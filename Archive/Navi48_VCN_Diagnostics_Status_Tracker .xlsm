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2550AC90-510D-4D52-AB52-35055CEDB96B}" xr6:coauthVersionLast="47" xr6:coauthVersionMax="47" xr10:uidLastSave="{00000000-0000-0000-0000-000000000000}"/>
  <bookViews>
    <workbookView xWindow="-28215" yWindow="915" windowWidth="25005" windowHeight="1386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Data'!$A$5:$AH$2692</definedName>
    <definedName name="_xlnm._FilterDatabase" localSheetId="7" hidden="1">'Feature Raw Data'!$A$2:$E$61</definedName>
    <definedName name="_xlnm._FilterDatabase" localSheetId="8" hidden="1">'Feature Summary'!$A$6:$U$70</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8"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65" i="55" l="1"/>
  <c r="J65" i="55"/>
  <c r="I65" i="55"/>
  <c r="F65" i="55"/>
  <c r="E65" i="55"/>
  <c r="D65" i="55" a="1"/>
  <c r="D65" i="55" s="1"/>
  <c r="C65" i="55"/>
  <c r="B65" i="55"/>
  <c r="Q64" i="55"/>
  <c r="J64" i="55"/>
  <c r="I64" i="55"/>
  <c r="F64" i="55"/>
  <c r="E64" i="55"/>
  <c r="D64" i="55" a="1"/>
  <c r="D64" i="55" s="1"/>
  <c r="C64" i="55"/>
  <c r="B64" i="55"/>
  <c r="Q63" i="55"/>
  <c r="J63" i="55"/>
  <c r="I63" i="55"/>
  <c r="F63" i="55"/>
  <c r="E63" i="55"/>
  <c r="D63" i="55" a="1"/>
  <c r="D63" i="55" s="1"/>
  <c r="C63" i="55"/>
  <c r="B63" i="55"/>
  <c r="Q62" i="55"/>
  <c r="J62" i="55"/>
  <c r="I62" i="55"/>
  <c r="F62" i="55"/>
  <c r="E62" i="55"/>
  <c r="D62" i="55" a="1"/>
  <c r="D62" i="55" s="1"/>
  <c r="C62" i="55"/>
  <c r="B62" i="55"/>
  <c r="Q61" i="55"/>
  <c r="P61" i="55"/>
  <c r="S61" i="55" s="1"/>
  <c r="J61" i="55"/>
  <c r="R61" i="55" s="1"/>
  <c r="I61" i="55"/>
  <c r="F61" i="55"/>
  <c r="E61" i="55"/>
  <c r="D61" i="55" a="1"/>
  <c r="D61" i="55" s="1"/>
  <c r="C61" i="55"/>
  <c r="B61" i="55"/>
  <c r="Q60" i="55"/>
  <c r="P60" i="55"/>
  <c r="S60" i="55" s="1"/>
  <c r="J60" i="55"/>
  <c r="R60" i="55" s="1"/>
  <c r="I60" i="55"/>
  <c r="F60" i="55"/>
  <c r="E60" i="55"/>
  <c r="D60" i="55" a="1"/>
  <c r="D60" i="55" s="1"/>
  <c r="H60" i="55" s="1"/>
  <c r="C60" i="55"/>
  <c r="B60" i="55"/>
  <c r="Q59" i="55"/>
  <c r="J59" i="55"/>
  <c r="I59" i="55"/>
  <c r="F59" i="55"/>
  <c r="E59" i="55"/>
  <c r="D59" i="55" a="1"/>
  <c r="D59" i="55" s="1"/>
  <c r="C59" i="55"/>
  <c r="B59" i="55"/>
  <c r="B7" i="55"/>
  <c r="B4" i="59"/>
  <c r="T2" i="53"/>
  <c r="R2692" i="53"/>
  <c r="M2" i="55" s="1"/>
  <c r="O2692" i="53"/>
  <c r="K2" i="53"/>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S11" i="59"/>
  <c r="R11" i="59"/>
  <c r="Q11" i="59"/>
  <c r="P11" i="59"/>
  <c r="K11" i="59"/>
  <c r="J11" i="59"/>
  <c r="I11" i="59"/>
  <c r="H11" i="59"/>
  <c r="E11" i="59"/>
  <c r="C11" i="59"/>
  <c r="B11" i="59"/>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J16" i="55"/>
  <c r="J17" i="55"/>
  <c r="D16" i="55" a="1"/>
  <c r="D16" i="55" s="1"/>
  <c r="D17" i="55" a="1"/>
  <c r="D17" i="55" s="1"/>
  <c r="D9" i="55" a="1"/>
  <c r="D9" i="55" s="1"/>
  <c r="D10" i="55" a="1"/>
  <c r="D10" i="55" s="1"/>
  <c r="G10" i="55" s="1"/>
  <c r="D11" i="55" a="1"/>
  <c r="D11" i="55" s="1"/>
  <c r="D12" i="55" a="1"/>
  <c r="D12" i="55" s="1"/>
  <c r="H12" i="55" s="1"/>
  <c r="D13" i="55" a="1"/>
  <c r="D13" i="55" s="1"/>
  <c r="G13" i="55" s="1"/>
  <c r="D14" i="55" a="1"/>
  <c r="D14" i="55" s="1"/>
  <c r="D15" i="55" a="1"/>
  <c r="D15" i="55" s="1"/>
  <c r="G15" i="55" s="1"/>
  <c r="D18" i="55" a="1"/>
  <c r="D18" i="55" s="1"/>
  <c r="G18" i="55" s="1"/>
  <c r="D19" i="55" a="1"/>
  <c r="D19" i="55" s="1"/>
  <c r="G19" i="55" s="1"/>
  <c r="D20" i="55" a="1"/>
  <c r="D20" i="55" s="1"/>
  <c r="D21" i="55" a="1"/>
  <c r="D21" i="55" s="1"/>
  <c r="G21" i="55" s="1"/>
  <c r="D22" i="55" a="1"/>
  <c r="D22" i="55" s="1"/>
  <c r="H22" i="55" s="1"/>
  <c r="D23" i="55" a="1"/>
  <c r="D23" i="55" s="1"/>
  <c r="G23" i="55" s="1"/>
  <c r="D24" i="55" a="1"/>
  <c r="D24" i="55" s="1"/>
  <c r="D25" i="55" a="1"/>
  <c r="D25" i="55" s="1"/>
  <c r="D26" i="55" a="1"/>
  <c r="D26" i="55" s="1"/>
  <c r="D27" i="55" a="1"/>
  <c r="D27" i="55" s="1"/>
  <c r="D28" i="55" a="1"/>
  <c r="D28" i="55" s="1"/>
  <c r="D29" i="55" a="1"/>
  <c r="D29" i="55" s="1"/>
  <c r="D30" i="55" a="1"/>
  <c r="D30" i="55" s="1"/>
  <c r="H30" i="55" s="1"/>
  <c r="D31" i="55" a="1"/>
  <c r="D31" i="55" s="1"/>
  <c r="D32" i="55" a="1"/>
  <c r="D32" i="55" s="1"/>
  <c r="D33" i="55" a="1"/>
  <c r="D33" i="55" s="1"/>
  <c r="K33" i="55" s="1" a="1"/>
  <c r="K33" i="55" s="1"/>
  <c r="D34" i="55" a="1"/>
  <c r="D34" i="55" s="1"/>
  <c r="G34" i="55" s="1"/>
  <c r="D35" i="55" a="1"/>
  <c r="D35" i="55" s="1"/>
  <c r="G35" i="55" s="1"/>
  <c r="D36" i="55" a="1"/>
  <c r="D36" i="55" s="1"/>
  <c r="H36" i="55" s="1"/>
  <c r="D37" i="55" a="1"/>
  <c r="D37" i="55" s="1"/>
  <c r="D38" i="55" a="1"/>
  <c r="D38" i="55" s="1"/>
  <c r="D39" i="55" a="1"/>
  <c r="D39" i="55" s="1"/>
  <c r="H39" i="55" s="1"/>
  <c r="D40" i="55" a="1"/>
  <c r="D40" i="55" s="1"/>
  <c r="H40" i="55" s="1"/>
  <c r="D41" i="55" a="1"/>
  <c r="D41" i="55" s="1"/>
  <c r="H41" i="55" s="1"/>
  <c r="D42" i="55" a="1"/>
  <c r="D42" i="55" s="1"/>
  <c r="D43" i="55" a="1"/>
  <c r="D43" i="55" s="1"/>
  <c r="D44" i="55" a="1"/>
  <c r="D44" i="55" s="1"/>
  <c r="D45" i="55" a="1"/>
  <c r="D45" i="55" s="1"/>
  <c r="D46" i="55" a="1"/>
  <c r="D46" i="55" s="1"/>
  <c r="H46" i="55" s="1"/>
  <c r="D47" i="55" a="1"/>
  <c r="D47" i="55" s="1"/>
  <c r="H47" i="55" s="1"/>
  <c r="D48" i="55" a="1"/>
  <c r="D48" i="55" s="1"/>
  <c r="D49" i="55" a="1"/>
  <c r="D49" i="55" s="1"/>
  <c r="D50" i="55" a="1"/>
  <c r="D50" i="55" s="1"/>
  <c r="D51" i="55" a="1"/>
  <c r="D51" i="55" s="1"/>
  <c r="D52" i="55" a="1"/>
  <c r="D52" i="55" s="1"/>
  <c r="H52" i="55" s="1"/>
  <c r="D53" i="55" a="1"/>
  <c r="D53" i="55" s="1"/>
  <c r="H53" i="55" s="1"/>
  <c r="D54" i="55" a="1"/>
  <c r="D54" i="55" s="1"/>
  <c r="H54" i="55" s="1"/>
  <c r="D55" i="55" a="1"/>
  <c r="D55" i="55" s="1"/>
  <c r="G55" i="55" s="1"/>
  <c r="D56" i="55" a="1"/>
  <c r="D56" i="55" s="1"/>
  <c r="D57" i="55" a="1"/>
  <c r="D57" i="55" s="1"/>
  <c r="G57" i="55" s="1"/>
  <c r="D58" i="55" a="1"/>
  <c r="D58" i="55" s="1"/>
  <c r="H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s="1"/>
  <c r="P39" i="55"/>
  <c r="S39" i="55" s="1"/>
  <c r="J9" i="55"/>
  <c r="J10" i="55"/>
  <c r="J11" i="55"/>
  <c r="J12" i="55"/>
  <c r="J13" i="55"/>
  <c r="J14" i="55"/>
  <c r="J15" i="55"/>
  <c r="J18" i="55"/>
  <c r="J19" i="55"/>
  <c r="J20" i="55"/>
  <c r="J21" i="55"/>
  <c r="J22" i="55"/>
  <c r="J23" i="55"/>
  <c r="J24" i="55"/>
  <c r="J25" i="55"/>
  <c r="J26" i="55"/>
  <c r="J27" i="55"/>
  <c r="J28" i="55"/>
  <c r="J29" i="55"/>
  <c r="J30" i="55"/>
  <c r="J31" i="55"/>
  <c r="J32" i="55"/>
  <c r="J33" i="55"/>
  <c r="R33" i="55" s="1"/>
  <c r="J34" i="55"/>
  <c r="J35" i="55"/>
  <c r="J36" i="55"/>
  <c r="J37" i="55"/>
  <c r="J38" i="55"/>
  <c r="J39" i="55"/>
  <c r="J40" i="55"/>
  <c r="J41" i="55"/>
  <c r="J42" i="55"/>
  <c r="J43" i="55"/>
  <c r="J44" i="55"/>
  <c r="J45" i="55"/>
  <c r="J46" i="55"/>
  <c r="J47" i="55"/>
  <c r="J48" i="55"/>
  <c r="J49" i="55"/>
  <c r="J50" i="55"/>
  <c r="J51" i="55"/>
  <c r="J52" i="55"/>
  <c r="J53" i="55"/>
  <c r="J54" i="55"/>
  <c r="J55" i="55"/>
  <c r="J56" i="55"/>
  <c r="R56" i="55" s="1"/>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2692" i="53"/>
  <c r="K2692" i="53"/>
  <c r="I69" i="55" s="1"/>
  <c r="C7" i="55"/>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9" i="55"/>
  <c r="C10" i="55"/>
  <c r="C11" i="55"/>
  <c r="C12" i="55"/>
  <c r="C13" i="55"/>
  <c r="C14" i="55"/>
  <c r="C8" i="55"/>
  <c r="I13" i="52"/>
  <c r="I12" i="52"/>
  <c r="I11" i="52"/>
  <c r="I10" i="52"/>
  <c r="I9" i="52"/>
  <c r="I8" i="52"/>
  <c r="I7" i="52"/>
  <c r="I6" i="52"/>
  <c r="I5" i="52"/>
  <c r="I4" i="52"/>
  <c r="K21" i="59"/>
  <c r="I22" i="59"/>
  <c r="C21" i="59"/>
  <c r="N21" i="59" s="1"/>
  <c r="C41" i="59"/>
  <c r="N41" i="59"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2692" i="53"/>
  <c r="AC2692" i="53"/>
  <c r="AB2692" i="53"/>
  <c r="AA2692" i="53"/>
  <c r="W2692" i="53"/>
  <c r="V2692" i="53"/>
  <c r="U2692" i="53"/>
  <c r="L2692" i="53"/>
  <c r="M8" i="55" a="1"/>
  <c r="M8" i="55" s="1"/>
  <c r="M15" i="55" a="1"/>
  <c r="M15" i="55" s="1"/>
  <c r="M21" i="55" a="1"/>
  <c r="M21" i="55" s="1"/>
  <c r="M28" i="55" a="1"/>
  <c r="M28" i="55" s="1"/>
  <c r="M36" i="55" a="1"/>
  <c r="M36" i="55" s="1"/>
  <c r="O36" i="55" s="1"/>
  <c r="M44" i="55" a="1"/>
  <c r="M44" i="55" s="1"/>
  <c r="M52" i="55" a="1"/>
  <c r="M52" i="55" s="1"/>
  <c r="M9" i="55" a="1"/>
  <c r="M9" i="55" s="1"/>
  <c r="M16" i="55" a="1"/>
  <c r="M16" i="55" s="1"/>
  <c r="M22" i="55" a="1"/>
  <c r="M22" i="55" s="1"/>
  <c r="M29" i="55" a="1"/>
  <c r="M29" i="55" s="1"/>
  <c r="M37" i="55" a="1"/>
  <c r="M37" i="55" s="1"/>
  <c r="M45" i="55" a="1"/>
  <c r="M45" i="55" s="1"/>
  <c r="O45" i="55" s="1"/>
  <c r="M53" i="55" a="1"/>
  <c r="M53" i="55" s="1"/>
  <c r="M10" i="55" a="1"/>
  <c r="M10" i="55" s="1"/>
  <c r="M23" i="55" a="1"/>
  <c r="M23" i="55" s="1"/>
  <c r="M30" i="55" a="1"/>
  <c r="M30" i="55" s="1"/>
  <c r="M38" i="55" a="1"/>
  <c r="M38" i="55" s="1"/>
  <c r="M46" i="55" a="1"/>
  <c r="M46" i="55" s="1"/>
  <c r="M54" i="55" a="1"/>
  <c r="M54" i="55" s="1"/>
  <c r="M7" i="55" a="1"/>
  <c r="M7" i="55" s="1"/>
  <c r="M11" i="55" a="1"/>
  <c r="M11" i="55" s="1"/>
  <c r="M17" i="55" a="1"/>
  <c r="M17" i="55" s="1"/>
  <c r="M24" i="55" a="1"/>
  <c r="M24" i="55" s="1"/>
  <c r="M31" i="55" a="1"/>
  <c r="M31" i="55" s="1"/>
  <c r="M39" i="55" a="1"/>
  <c r="M39" i="55" s="1"/>
  <c r="M47" i="55" a="1"/>
  <c r="M47" i="55" s="1"/>
  <c r="M55" i="55" a="1"/>
  <c r="M55" i="55" s="1"/>
  <c r="M57" i="55" a="1"/>
  <c r="M57" i="55" s="1"/>
  <c r="M12" i="55" a="1"/>
  <c r="M12" i="55" s="1"/>
  <c r="M18" i="55" a="1"/>
  <c r="M18" i="55" s="1"/>
  <c r="M32" i="55" a="1"/>
  <c r="M32" i="55" s="1"/>
  <c r="M40" i="55" a="1"/>
  <c r="M40" i="55" s="1"/>
  <c r="M48" i="55" a="1"/>
  <c r="M48" i="55" s="1"/>
  <c r="M56" i="55" a="1"/>
  <c r="M56" i="55" s="1"/>
  <c r="O56" i="55" s="1"/>
  <c r="M19" i="55" a="1"/>
  <c r="M19" i="55" s="1"/>
  <c r="M25" i="55" a="1"/>
  <c r="M25" i="55" s="1"/>
  <c r="M33" i="55" a="1"/>
  <c r="M33" i="55" s="1"/>
  <c r="O33" i="55" s="1"/>
  <c r="M41" i="55" a="1"/>
  <c r="M41" i="55" s="1"/>
  <c r="M49" i="55" a="1"/>
  <c r="M49" i="55" s="1"/>
  <c r="M13" i="55" a="1"/>
  <c r="M13" i="55" s="1"/>
  <c r="M20" i="55" a="1"/>
  <c r="M20" i="55" s="1"/>
  <c r="M26" i="55" a="1"/>
  <c r="M26" i="55" s="1"/>
  <c r="O26" i="55" s="1"/>
  <c r="M34" i="55" a="1"/>
  <c r="M34" i="55" s="1"/>
  <c r="O34" i="55" s="1"/>
  <c r="M42" i="55" a="1"/>
  <c r="M42" i="55" s="1"/>
  <c r="M50" i="55" a="1"/>
  <c r="M50" i="55" s="1"/>
  <c r="M58" i="55" a="1"/>
  <c r="M58" i="55" s="1"/>
  <c r="M14" i="55" a="1"/>
  <c r="M14" i="55" s="1"/>
  <c r="M27" i="55" a="1"/>
  <c r="M27" i="55" s="1"/>
  <c r="M35" i="55" a="1"/>
  <c r="M35" i="55" s="1"/>
  <c r="O35" i="55" s="1"/>
  <c r="M43" i="55" a="1"/>
  <c r="M43" i="55" s="1"/>
  <c r="M51" i="55" a="1"/>
  <c r="M51" i="55" s="1"/>
  <c r="P27" i="59"/>
  <c r="H32" i="59"/>
  <c r="C33" i="59"/>
  <c r="C34" i="59"/>
  <c r="C35" i="59"/>
  <c r="L35" i="59" s="1"/>
  <c r="C36" i="59"/>
  <c r="C37" i="59"/>
  <c r="C38" i="59"/>
  <c r="N38" i="59" s="1"/>
  <c r="C39" i="59"/>
  <c r="N39" i="59" s="1"/>
  <c r="C40" i="59"/>
  <c r="N40" i="59" s="1"/>
  <c r="C32" i="59"/>
  <c r="C19" i="59"/>
  <c r="N19" i="59" s="1"/>
  <c r="C20" i="59"/>
  <c r="L20" i="59" s="1"/>
  <c r="C22" i="59"/>
  <c r="N22" i="59" s="1"/>
  <c r="C23" i="59"/>
  <c r="N23" i="59" s="1"/>
  <c r="C24" i="59"/>
  <c r="N24" i="59" s="1"/>
  <c r="C25" i="59"/>
  <c r="N25" i="59" s="1"/>
  <c r="C26" i="59"/>
  <c r="L26" i="59" s="1"/>
  <c r="C27" i="59"/>
  <c r="L27" i="59" s="1"/>
  <c r="B32" i="59"/>
  <c r="B18" i="59"/>
  <c r="F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F22" i="59" s="1"/>
  <c r="B20" i="59"/>
  <c r="F20" i="59" s="1"/>
  <c r="B21" i="59"/>
  <c r="V21" i="59" s="1"/>
  <c r="B23" i="59"/>
  <c r="V23" i="59" s="1"/>
  <c r="B24" i="59"/>
  <c r="T24" i="59" s="1"/>
  <c r="B25" i="59"/>
  <c r="F25" i="59" s="1"/>
  <c r="B26" i="59"/>
  <c r="V26" i="59" s="1"/>
  <c r="B27" i="59"/>
  <c r="V27" i="59" s="1"/>
  <c r="E33" i="59"/>
  <c r="F33" i="59" s="1"/>
  <c r="E34" i="59"/>
  <c r="E35" i="59"/>
  <c r="E36" i="59"/>
  <c r="E37" i="59"/>
  <c r="E38" i="59"/>
  <c r="E39" i="59"/>
  <c r="E40" i="59"/>
  <c r="E41" i="59"/>
  <c r="Q33" i="59"/>
  <c r="V33" i="59" s="1"/>
  <c r="Q34" i="59"/>
  <c r="Q35" i="59"/>
  <c r="Q36" i="59"/>
  <c r="Q37" i="59"/>
  <c r="Q38" i="59"/>
  <c r="Q39" i="59"/>
  <c r="Q40" i="59"/>
  <c r="Q41" i="59"/>
  <c r="Q32" i="59"/>
  <c r="P33" i="59"/>
  <c r="P34" i="59"/>
  <c r="P35" i="59"/>
  <c r="P36" i="59"/>
  <c r="P37" i="59"/>
  <c r="P39" i="59"/>
  <c r="P40" i="59"/>
  <c r="P41" i="59"/>
  <c r="P32" i="59"/>
  <c r="I33" i="59"/>
  <c r="I34" i="59"/>
  <c r="I35" i="59"/>
  <c r="M35" i="59" s="1"/>
  <c r="I36" i="59"/>
  <c r="I37" i="59"/>
  <c r="I39" i="59"/>
  <c r="I40" i="59"/>
  <c r="I41" i="59"/>
  <c r="I32" i="59"/>
  <c r="H33" i="59"/>
  <c r="H34" i="59"/>
  <c r="H36" i="59"/>
  <c r="H37" i="59"/>
  <c r="H38" i="59"/>
  <c r="H39" i="59"/>
  <c r="H40" i="59"/>
  <c r="H41" i="59"/>
  <c r="E32" i="59"/>
  <c r="B34" i="59"/>
  <c r="B35" i="59"/>
  <c r="B36" i="59"/>
  <c r="B37" i="59"/>
  <c r="B38" i="59"/>
  <c r="B39" i="59"/>
  <c r="T39" i="59" s="1"/>
  <c r="B40" i="59"/>
  <c r="T40" i="59" s="1"/>
  <c r="B41" i="59"/>
  <c r="V41" i="59" s="1"/>
  <c r="G41" i="59"/>
  <c r="M41" i="59" s="1"/>
  <c r="G30" i="55"/>
  <c r="G22" i="55"/>
  <c r="G17" i="55"/>
  <c r="G14" i="55"/>
  <c r="G9" i="55"/>
  <c r="H21" i="55"/>
  <c r="H9" i="55"/>
  <c r="H17" i="55"/>
  <c r="H13" i="55"/>
  <c r="H14" i="55"/>
  <c r="P46" i="55"/>
  <c r="S46" i="55" s="1"/>
  <c r="P56" i="55"/>
  <c r="S56" i="55" s="1"/>
  <c r="P38" i="55"/>
  <c r="S38" i="55" s="1"/>
  <c r="O22" i="59"/>
  <c r="U22" i="59" s="1"/>
  <c r="P57" i="55"/>
  <c r="P30" i="55"/>
  <c r="C7" i="26"/>
  <c r="D7" i="26" s="1"/>
  <c r="D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H14" i="26"/>
  <c r="Q14" i="26"/>
  <c r="M12" i="26"/>
  <c r="M14" i="26"/>
  <c r="O41" i="59"/>
  <c r="U41" i="59" s="1"/>
  <c r="B6" i="26"/>
  <c r="T14" i="26"/>
  <c r="P12" i="26"/>
  <c r="S14" i="26"/>
  <c r="F7" i="55"/>
  <c r="H15" i="55"/>
  <c r="H34" i="55"/>
  <c r="H19" i="55"/>
  <c r="H10" i="55"/>
  <c r="G36" i="55"/>
  <c r="M65" i="55" a="1"/>
  <c r="M65" i="55" s="1"/>
  <c r="M63" i="55" a="1"/>
  <c r="M63" i="55" s="1"/>
  <c r="M64" i="55" a="1"/>
  <c r="M64" i="55" s="1"/>
  <c r="M62" i="55" a="1"/>
  <c r="M62" i="55" s="1"/>
  <c r="M59" i="55" a="1"/>
  <c r="M59" i="55" s="1"/>
  <c r="M60" i="55" a="1"/>
  <c r="M60" i="55" s="1"/>
  <c r="O60" i="55" s="1"/>
  <c r="M61" i="55" a="1"/>
  <c r="M61" i="55" s="1"/>
  <c r="O61" i="55" s="1"/>
  <c r="J69" i="55"/>
  <c r="G54" i="55"/>
  <c r="H23" i="55"/>
  <c r="G39" i="55"/>
  <c r="R35" i="55"/>
  <c r="T35" i="55" s="1"/>
  <c r="H57" i="55"/>
  <c r="G41" i="55"/>
  <c r="G52" i="55"/>
  <c r="P22" i="55"/>
  <c r="S22" i="55" s="1"/>
  <c r="V11" i="59"/>
  <c r="V9" i="59"/>
  <c r="V6" i="59"/>
  <c r="F11" i="59"/>
  <c r="F8" i="59"/>
  <c r="F4" i="59"/>
  <c r="V12" i="59"/>
  <c r="P29" i="55"/>
  <c r="N9" i="59"/>
  <c r="D42" i="59"/>
  <c r="H35" i="55"/>
  <c r="F13" i="59"/>
  <c r="J14" i="59"/>
  <c r="O25" i="59"/>
  <c r="V4" i="59"/>
  <c r="F6" i="59"/>
  <c r="F9" i="59"/>
  <c r="O23" i="59"/>
  <c r="U23" i="59" s="1"/>
  <c r="P34" i="55"/>
  <c r="S34" i="55" s="1"/>
  <c r="R34" i="55"/>
  <c r="V8" i="59"/>
  <c r="G25" i="59"/>
  <c r="M25" i="59" s="1"/>
  <c r="G37" i="59"/>
  <c r="M37" i="59" s="1"/>
  <c r="G27" i="59"/>
  <c r="M27" i="59" s="1"/>
  <c r="P45" i="55"/>
  <c r="S45" i="55" s="1"/>
  <c r="J2" i="55"/>
  <c r="F7" i="59"/>
  <c r="G26" i="59"/>
  <c r="M26" i="59" s="1"/>
  <c r="E14" i="59"/>
  <c r="I14" i="59"/>
  <c r="D14" i="59"/>
  <c r="K14" i="59"/>
  <c r="D28" i="59"/>
  <c r="N13" i="59"/>
  <c r="P23" i="55"/>
  <c r="S23" i="55" s="1"/>
  <c r="N18" i="59"/>
  <c r="Q14" i="59"/>
  <c r="V7" i="59"/>
  <c r="R14" i="59"/>
  <c r="V10" i="59"/>
  <c r="V13" i="59"/>
  <c r="P43" i="55"/>
  <c r="R43" i="55" s="1"/>
  <c r="P31" i="55"/>
  <c r="S14" i="59"/>
  <c r="N12" i="59"/>
  <c r="V5" i="59"/>
  <c r="O27" i="59"/>
  <c r="U27" i="59" s="1"/>
  <c r="G21" i="59"/>
  <c r="M21" i="59" s="1"/>
  <c r="G20" i="59"/>
  <c r="M20" i="59" s="1"/>
  <c r="P36" i="55"/>
  <c r="S36" i="55" s="1"/>
  <c r="O13" i="59"/>
  <c r="U13" i="59" s="1"/>
  <c r="G9" i="59"/>
  <c r="L9" i="59" s="1"/>
  <c r="F10" i="59"/>
  <c r="O8" i="59"/>
  <c r="U8" i="59" s="1"/>
  <c r="P17" i="55"/>
  <c r="S17" i="55" s="1"/>
  <c r="P37" i="55"/>
  <c r="S37" i="55" s="1"/>
  <c r="O26" i="59"/>
  <c r="U26" i="59" s="1"/>
  <c r="P16" i="55"/>
  <c r="R16" i="55" s="1"/>
  <c r="G18" i="59"/>
  <c r="M18" i="59" s="1"/>
  <c r="G38" i="59"/>
  <c r="M38" i="59" s="1"/>
  <c r="P26" i="55"/>
  <c r="S26" i="55" s="1"/>
  <c r="G22" i="59"/>
  <c r="M22" i="59" s="1"/>
  <c r="O40" i="59"/>
  <c r="U40" i="59" s="1"/>
  <c r="G19" i="59"/>
  <c r="M19" i="59" s="1"/>
  <c r="O9" i="59"/>
  <c r="T9" i="59" s="1"/>
  <c r="O37" i="59"/>
  <c r="U37" i="59" s="1"/>
  <c r="O39" i="59"/>
  <c r="U39" i="59" s="1"/>
  <c r="P50" i="55"/>
  <c r="S50" i="55" s="1"/>
  <c r="O38" i="59"/>
  <c r="U38" i="59" s="1"/>
  <c r="P15" i="55"/>
  <c r="S15" i="55" s="1"/>
  <c r="P48" i="55"/>
  <c r="R48" i="55" s="1"/>
  <c r="P44" i="55"/>
  <c r="S44" i="55" s="1"/>
  <c r="G24" i="59"/>
  <c r="M24" i="59" s="1"/>
  <c r="O36" i="59"/>
  <c r="U36" i="59" s="1"/>
  <c r="O20" i="59"/>
  <c r="U20" i="59" s="1"/>
  <c r="P24" i="55"/>
  <c r="R24" i="55" s="1"/>
  <c r="O21" i="59"/>
  <c r="U21" i="59" s="1"/>
  <c r="P33" i="55"/>
  <c r="S33" i="55" s="1"/>
  <c r="P25" i="55"/>
  <c r="S25" i="55" s="1"/>
  <c r="O18" i="59"/>
  <c r="U18" i="59" s="1"/>
  <c r="O12" i="59"/>
  <c r="U12" i="59" s="1"/>
  <c r="O24" i="59"/>
  <c r="U24" i="59" s="1"/>
  <c r="G8" i="59"/>
  <c r="L8" i="59" s="1"/>
  <c r="P27" i="55"/>
  <c r="S27" i="55" s="1"/>
  <c r="O19" i="59"/>
  <c r="U19" i="59" s="1"/>
  <c r="O11" i="59"/>
  <c r="T11" i="59" s="1"/>
  <c r="G11" i="59"/>
  <c r="M11" i="59" s="1"/>
  <c r="P28" i="55"/>
  <c r="R28" i="55" s="1"/>
  <c r="G12" i="59"/>
  <c r="M12" i="59" s="1"/>
  <c r="G23" i="59"/>
  <c r="M23" i="59" s="1"/>
  <c r="O10" i="59"/>
  <c r="U10" i="59" s="1"/>
  <c r="G36" i="59"/>
  <c r="M36" i="59" s="1"/>
  <c r="G39" i="59"/>
  <c r="M39" i="59" s="1"/>
  <c r="L14" i="26"/>
  <c r="AL12" i="26"/>
  <c r="O12" i="26"/>
  <c r="G40" i="59"/>
  <c r="M40" i="59" s="1"/>
  <c r="G10" i="59"/>
  <c r="M10" i="59" s="1"/>
  <c r="G13" i="59"/>
  <c r="M13" i="59" s="1"/>
  <c r="L35" i="55" a="1"/>
  <c r="L35" i="55" s="1"/>
  <c r="F12" i="59"/>
  <c r="N29" i="55" a="1"/>
  <c r="N29" i="55" s="1"/>
  <c r="C14" i="59"/>
  <c r="P14" i="59"/>
  <c r="B14" i="59"/>
  <c r="F5" i="59"/>
  <c r="N18" i="55" a="1"/>
  <c r="N18" i="55" s="1"/>
  <c r="O18" i="55" s="1"/>
  <c r="N47" i="55" a="1"/>
  <c r="N47" i="55" s="1"/>
  <c r="N50" i="55" a="1"/>
  <c r="N50" i="55" s="1"/>
  <c r="N40" i="55" a="1"/>
  <c r="N40" i="55" s="1"/>
  <c r="O40" i="55" s="1"/>
  <c r="N34" i="55" a="1"/>
  <c r="N34" i="55" s="1"/>
  <c r="N26" i="55" a="1"/>
  <c r="N26" i="55" s="1"/>
  <c r="K61" i="55" a="1"/>
  <c r="K61" i="55" s="1"/>
  <c r="L34" i="55" a="1"/>
  <c r="L34" i="55" s="1"/>
  <c r="K35" i="55" a="1"/>
  <c r="K35" i="55" s="1"/>
  <c r="L26" i="55" a="1"/>
  <c r="L26" i="55" s="1"/>
  <c r="T13" i="59"/>
  <c r="R36" i="55"/>
  <c r="R45" i="55"/>
  <c r="L18" i="59"/>
  <c r="L36" i="55" a="1"/>
  <c r="L36" i="55" s="1"/>
  <c r="L12" i="59"/>
  <c r="K36" i="55" a="1"/>
  <c r="K36" i="55" s="1"/>
  <c r="K26" i="55" a="1"/>
  <c r="K26" i="55" s="1"/>
  <c r="K34" i="55" a="1"/>
  <c r="K34" i="55" s="1"/>
  <c r="R26" i="55"/>
  <c r="L13" i="59"/>
  <c r="L39" i="59"/>
  <c r="H50" i="55"/>
  <c r="G50" i="55"/>
  <c r="H45" i="55"/>
  <c r="K45" i="55" a="1"/>
  <c r="K45" i="55" s="1"/>
  <c r="L45" i="55" a="1"/>
  <c r="L45" i="55" s="1"/>
  <c r="G45" i="55"/>
  <c r="Z14" i="26"/>
  <c r="W12" i="26"/>
  <c r="AL14" i="26"/>
  <c r="AB14" i="26"/>
  <c r="AG14" i="26"/>
  <c r="G38" i="55"/>
  <c r="H38" i="55"/>
  <c r="AA12" i="26"/>
  <c r="AA14" i="26"/>
  <c r="B12" i="26"/>
  <c r="AB12" i="26"/>
  <c r="G12" i="26"/>
  <c r="AJ14" i="26"/>
  <c r="L12" i="26"/>
  <c r="F14" i="26"/>
  <c r="N14" i="26"/>
  <c r="AK12" i="26"/>
  <c r="E7" i="26"/>
  <c r="G26" i="55"/>
  <c r="H26" i="55"/>
  <c r="S12" i="26"/>
  <c r="K12" i="26"/>
  <c r="AG12" i="26"/>
  <c r="AE12" i="26"/>
  <c r="AE14" i="26"/>
  <c r="AK14" i="26"/>
  <c r="Y12" i="26"/>
  <c r="G14" i="26"/>
  <c r="AJ12" i="26"/>
  <c r="AC12" i="26"/>
  <c r="R14" i="26"/>
  <c r="I12" i="26"/>
  <c r="G2" i="26"/>
  <c r="U12" i="26"/>
  <c r="H12" i="26"/>
  <c r="V14" i="26"/>
  <c r="Q12" i="26"/>
  <c r="D12" i="26"/>
  <c r="J14" i="26"/>
  <c r="U14" i="26"/>
  <c r="E12" i="26"/>
  <c r="AF12" i="26"/>
  <c r="AD14" i="26"/>
  <c r="X14" i="26"/>
  <c r="W14" i="26"/>
  <c r="C12" i="26"/>
  <c r="H61" i="55"/>
  <c r="L61" i="55" a="1"/>
  <c r="L61" i="55" s="1"/>
  <c r="G61" i="55"/>
  <c r="E6" i="26"/>
  <c r="F7" i="26"/>
  <c r="G7" i="26" s="1"/>
  <c r="N54" i="55" a="1"/>
  <c r="N54" i="55" s="1"/>
  <c r="N38" i="55" a="1"/>
  <c r="N38" i="55" s="1"/>
  <c r="O38" i="55" s="1"/>
  <c r="N42" i="55" a="1"/>
  <c r="N42" i="55" s="1"/>
  <c r="O42" i="55" s="1"/>
  <c r="N7" i="55" a="1"/>
  <c r="N7" i="55" s="1"/>
  <c r="O7" i="55" s="1"/>
  <c r="N56" i="55" a="1"/>
  <c r="N56" i="55" s="1"/>
  <c r="N14" i="55" a="1"/>
  <c r="N14" i="55" s="1"/>
  <c r="N35" i="55" a="1"/>
  <c r="N35" i="55" s="1"/>
  <c r="N30" i="55" a="1"/>
  <c r="N30" i="55" s="1"/>
  <c r="O30" i="55" s="1"/>
  <c r="N9" i="55" a="1"/>
  <c r="N9" i="55" s="1"/>
  <c r="N22" i="55" a="1"/>
  <c r="N22" i="55" s="1"/>
  <c r="N13" i="55" a="1"/>
  <c r="N13" i="55" s="1"/>
  <c r="N39" i="55" a="1"/>
  <c r="N39" i="55" s="1"/>
  <c r="N51" i="55" a="1"/>
  <c r="N51" i="55" s="1"/>
  <c r="N37" i="55" a="1"/>
  <c r="N37" i="55" s="1"/>
  <c r="N55" i="55" a="1"/>
  <c r="N55" i="55" s="1"/>
  <c r="O55" i="55" s="1"/>
  <c r="N20" i="55" a="1"/>
  <c r="N20" i="55" s="1"/>
  <c r="N49" i="55" a="1"/>
  <c r="N49" i="55" s="1"/>
  <c r="N28" i="55" a="1"/>
  <c r="N28" i="55" s="1"/>
  <c r="O28" i="55" s="1"/>
  <c r="N15" i="55" a="1"/>
  <c r="N15" i="55" s="1"/>
  <c r="O15" i="55" s="1"/>
  <c r="N52" i="55" a="1"/>
  <c r="N52" i="55" s="1"/>
  <c r="N11" i="55" a="1"/>
  <c r="N11" i="55" s="1"/>
  <c r="O11" i="55" s="1"/>
  <c r="N45" i="55" a="1"/>
  <c r="N45" i="55" s="1"/>
  <c r="N2" i="55"/>
  <c r="N27" i="55" a="1"/>
  <c r="N27" i="55" s="1"/>
  <c r="O27" i="55" s="1"/>
  <c r="N31" i="55" a="1"/>
  <c r="N31" i="55" s="1"/>
  <c r="O31" i="55" s="1"/>
  <c r="N57" i="55" a="1"/>
  <c r="N57" i="55" s="1"/>
  <c r="O57" i="55" s="1"/>
  <c r="N10" i="55" a="1"/>
  <c r="N10" i="55" s="1"/>
  <c r="O10" i="55" s="1"/>
  <c r="N19" i="55" a="1"/>
  <c r="N19" i="55" s="1"/>
  <c r="N44" i="55" a="1"/>
  <c r="N44" i="55" s="1"/>
  <c r="O44" i="55" s="1"/>
  <c r="N8" i="55" a="1"/>
  <c r="N8" i="55" s="1"/>
  <c r="O8" i="55" s="1"/>
  <c r="N17" i="55" a="1"/>
  <c r="N17" i="55" s="1"/>
  <c r="O17" i="55" s="1"/>
  <c r="N59" i="55" a="1"/>
  <c r="N59" i="55" s="1"/>
  <c r="N46" i="55" a="1"/>
  <c r="N46" i="55" s="1"/>
  <c r="O46" i="55" s="1"/>
  <c r="N61" i="55" a="1"/>
  <c r="N61" i="55" s="1"/>
  <c r="N24" i="55" a="1"/>
  <c r="N24" i="55" s="1"/>
  <c r="O24" i="55" s="1"/>
  <c r="N60" i="55" a="1"/>
  <c r="N60" i="55" s="1"/>
  <c r="H14" i="59"/>
  <c r="N14" i="59" s="1"/>
  <c r="N53" i="55" a="1"/>
  <c r="N53" i="55" s="1"/>
  <c r="O53" i="55" s="1"/>
  <c r="N62" i="55" a="1"/>
  <c r="N62" i="55" s="1"/>
  <c r="N64" i="55" a="1"/>
  <c r="N64" i="55" s="1"/>
  <c r="O64" i="55" s="1"/>
  <c r="P21" i="55"/>
  <c r="S21" i="55" s="1"/>
  <c r="G12" i="55"/>
  <c r="F6" i="26"/>
  <c r="G28" i="55"/>
  <c r="H28" i="55"/>
  <c r="T36" i="59"/>
  <c r="G24" i="55"/>
  <c r="H24" i="55"/>
  <c r="G16" i="55"/>
  <c r="H16" i="55"/>
  <c r="G40" i="55"/>
  <c r="G46" i="55"/>
  <c r="H42" i="59"/>
  <c r="P63" i="55"/>
  <c r="S63" i="55" s="1"/>
  <c r="F26" i="59"/>
  <c r="G32" i="55"/>
  <c r="H32" i="55"/>
  <c r="H18" i="55"/>
  <c r="T12" i="26"/>
  <c r="V12" i="26"/>
  <c r="J12" i="26"/>
  <c r="R12" i="26"/>
  <c r="P64" i="55"/>
  <c r="R64" i="55" s="1"/>
  <c r="O14" i="26"/>
  <c r="P14" i="26"/>
  <c r="G63" i="55"/>
  <c r="H63" i="55"/>
  <c r="N32" i="59"/>
  <c r="L40" i="59"/>
  <c r="C28" i="59"/>
  <c r="N28" i="59" s="1"/>
  <c r="L19" i="59"/>
  <c r="N11" i="59"/>
  <c r="U9" i="59"/>
  <c r="L24" i="59"/>
  <c r="S24" i="55"/>
  <c r="T21" i="59"/>
  <c r="T10" i="59"/>
  <c r="F35" i="59"/>
  <c r="T8" i="59"/>
  <c r="U11" i="59"/>
  <c r="M9" i="59"/>
  <c r="M8" i="59"/>
  <c r="R50" i="55"/>
  <c r="S31" i="55"/>
  <c r="S43" i="55"/>
  <c r="H37" i="55"/>
  <c r="G37" i="55"/>
  <c r="K42" i="59"/>
  <c r="P2692" i="53"/>
  <c r="L31" i="55" s="1" a="1"/>
  <c r="L31" i="55" s="1"/>
  <c r="T23" i="59"/>
  <c r="R27" i="55"/>
  <c r="S16" i="55"/>
  <c r="T16" i="55" s="1"/>
  <c r="S29" i="55"/>
  <c r="I2" i="55"/>
  <c r="S28" i="55"/>
  <c r="T28" i="55" s="1"/>
  <c r="R22" i="55"/>
  <c r="Q69" i="55"/>
  <c r="S28" i="59"/>
  <c r="V18" i="59"/>
  <c r="V25" i="59"/>
  <c r="S42" i="59"/>
  <c r="H51" i="55"/>
  <c r="G51" i="55"/>
  <c r="N8" i="59"/>
  <c r="V24" i="59"/>
  <c r="L23" i="59"/>
  <c r="N41" i="55" a="1"/>
  <c r="N41" i="55" s="1"/>
  <c r="V20" i="59"/>
  <c r="F38" i="59"/>
  <c r="T61" i="55"/>
  <c r="Q2" i="55"/>
  <c r="R46" i="55"/>
  <c r="V36" i="59"/>
  <c r="N63" i="55" a="1"/>
  <c r="N63" i="55" s="1"/>
  <c r="T20" i="59"/>
  <c r="T41" i="59"/>
  <c r="H55" i="55"/>
  <c r="N33" i="59"/>
  <c r="N4" i="59"/>
  <c r="T12" i="59"/>
  <c r="F23" i="59"/>
  <c r="N10" i="59"/>
  <c r="F27" i="59"/>
  <c r="T27" i="59"/>
  <c r="P65" i="55"/>
  <c r="R65" i="55" s="1"/>
  <c r="N26" i="59"/>
  <c r="G7" i="55"/>
  <c r="H7" i="55"/>
  <c r="H8" i="55"/>
  <c r="G8" i="55"/>
  <c r="L8" i="55" a="1"/>
  <c r="L8" i="55" s="1"/>
  <c r="N20" i="59"/>
  <c r="V32" i="59"/>
  <c r="I28" i="59"/>
  <c r="K28" i="59"/>
  <c r="V35" i="59"/>
  <c r="N34" i="59"/>
  <c r="V22" i="59"/>
  <c r="P42" i="55"/>
  <c r="S42" i="55" s="1"/>
  <c r="J42" i="59"/>
  <c r="G64" i="55"/>
  <c r="H64" i="55"/>
  <c r="N7" i="59"/>
  <c r="N6" i="59"/>
  <c r="P59" i="55"/>
  <c r="S59" i="55" s="1"/>
  <c r="P62" i="55"/>
  <c r="S62" i="55" s="1"/>
  <c r="N5" i="59"/>
  <c r="AH12" i="26"/>
  <c r="AD12" i="26"/>
  <c r="O5" i="59"/>
  <c r="T5" i="59" s="1"/>
  <c r="P20" i="55"/>
  <c r="S20" i="55" s="1"/>
  <c r="G27" i="55"/>
  <c r="H27" i="55"/>
  <c r="J28" i="59"/>
  <c r="F21" i="59"/>
  <c r="I14" i="26"/>
  <c r="T22" i="59"/>
  <c r="AI14" i="26"/>
  <c r="P9" i="55"/>
  <c r="R9" i="55" s="1"/>
  <c r="F32" i="59"/>
  <c r="Y14" i="26"/>
  <c r="H48" i="55"/>
  <c r="G48" i="55"/>
  <c r="F12" i="26"/>
  <c r="C6" i="26"/>
  <c r="R28" i="59"/>
  <c r="R42" i="59"/>
  <c r="R39" i="55"/>
  <c r="T39" i="55" s="1"/>
  <c r="R38" i="55"/>
  <c r="G44" i="55"/>
  <c r="H44" i="55"/>
  <c r="G60" i="55"/>
  <c r="L60" i="55" a="1"/>
  <c r="L60" i="55" s="1"/>
  <c r="K60" i="55" a="1"/>
  <c r="K60" i="55" s="1"/>
  <c r="T60" i="55"/>
  <c r="H62" i="55"/>
  <c r="G62" i="55"/>
  <c r="H65" i="55"/>
  <c r="G65" i="55"/>
  <c r="D9" i="57"/>
  <c r="D8" i="57"/>
  <c r="D12" i="57"/>
  <c r="D11" i="57"/>
  <c r="D7" i="57"/>
  <c r="D6" i="57"/>
  <c r="D10" i="57"/>
  <c r="D5" i="57"/>
  <c r="B28" i="59" l="1"/>
  <c r="V28" i="59" s="1"/>
  <c r="O59" i="55"/>
  <c r="O29" i="55"/>
  <c r="N37" i="59"/>
  <c r="M69" i="55"/>
  <c r="H59" i="55"/>
  <c r="G59" i="55"/>
  <c r="L7" i="55" a="1"/>
  <c r="L7" i="55" s="1"/>
  <c r="G47" i="55"/>
  <c r="O49" i="55"/>
  <c r="P42" i="59"/>
  <c r="S48" i="55"/>
  <c r="Q42" i="59"/>
  <c r="L48" i="55" a="1"/>
  <c r="L48" i="55" s="1"/>
  <c r="O34" i="59"/>
  <c r="U34" i="59" s="1"/>
  <c r="E28" i="59"/>
  <c r="L37" i="59"/>
  <c r="O9" i="55"/>
  <c r="R15" i="55"/>
  <c r="T38" i="59"/>
  <c r="V14" i="59"/>
  <c r="G28" i="59"/>
  <c r="M28" i="59" s="1"/>
  <c r="L46" i="55" a="1"/>
  <c r="L46" i="55" s="1"/>
  <c r="E42" i="59"/>
  <c r="L21" i="59"/>
  <c r="F39" i="59"/>
  <c r="L32" i="55" a="1"/>
  <c r="L32" i="55" s="1"/>
  <c r="V37" i="59"/>
  <c r="V19" i="59"/>
  <c r="N36" i="59"/>
  <c r="L41" i="59"/>
  <c r="L36" i="59"/>
  <c r="G4" i="59"/>
  <c r="L4" i="59" s="1"/>
  <c r="P51" i="55"/>
  <c r="R51" i="55" s="1"/>
  <c r="S65" i="55"/>
  <c r="L52" i="55" a="1"/>
  <c r="L52" i="55" s="1"/>
  <c r="L33" i="55" a="1"/>
  <c r="L33" i="55" s="1"/>
  <c r="T34" i="55"/>
  <c r="N32" i="55" a="1"/>
  <c r="N32" i="55" s="1"/>
  <c r="O32" i="55" s="1"/>
  <c r="O6" i="59"/>
  <c r="T6" i="59" s="1"/>
  <c r="O7" i="59"/>
  <c r="U7" i="59" s="1"/>
  <c r="P13" i="55"/>
  <c r="R13" i="55" s="1"/>
  <c r="F37" i="59"/>
  <c r="P28" i="59"/>
  <c r="N27" i="59"/>
  <c r="L22" i="59"/>
  <c r="T19" i="59"/>
  <c r="S64" i="55"/>
  <c r="R17" i="55"/>
  <c r="T26" i="59"/>
  <c r="O41" i="55"/>
  <c r="T33" i="55"/>
  <c r="L22" i="55" a="1"/>
  <c r="L22" i="55" s="1"/>
  <c r="L21" i="55" a="1"/>
  <c r="L21" i="55" s="1"/>
  <c r="H28" i="59"/>
  <c r="L40" i="55" a="1"/>
  <c r="L40" i="55" s="1"/>
  <c r="F40" i="59"/>
  <c r="P52" i="55"/>
  <c r="R52" i="55" s="1"/>
  <c r="C42" i="59"/>
  <c r="L19" i="55" a="1"/>
  <c r="L19" i="55" s="1"/>
  <c r="P49" i="55"/>
  <c r="S49" i="55" s="1"/>
  <c r="L42" i="55" a="1"/>
  <c r="L42" i="55" s="1"/>
  <c r="L43" i="55" a="1"/>
  <c r="L43" i="55" s="1"/>
  <c r="N2692" i="53"/>
  <c r="G32" i="59"/>
  <c r="L39" i="55" a="1"/>
  <c r="L39" i="55" s="1"/>
  <c r="O39" i="55"/>
  <c r="L25" i="55" a="1"/>
  <c r="L25" i="55" s="1"/>
  <c r="F14" i="59" a="1"/>
  <c r="F14" i="59" s="1"/>
  <c r="O13" i="55"/>
  <c r="L51" i="55" a="1"/>
  <c r="L51" i="55" s="1"/>
  <c r="T45" i="55"/>
  <c r="P40" i="55"/>
  <c r="R40" i="55" s="1"/>
  <c r="T50" i="55"/>
  <c r="O22" i="55"/>
  <c r="T27" i="55"/>
  <c r="N2" i="53"/>
  <c r="R23" i="55"/>
  <c r="P2" i="53"/>
  <c r="N69" i="55"/>
  <c r="S57" i="55"/>
  <c r="R57" i="55"/>
  <c r="T57" i="55" s="1"/>
  <c r="L29" i="55" a="1"/>
  <c r="L29" i="55" s="1"/>
  <c r="K42" i="55" a="1"/>
  <c r="K42" i="55" s="1"/>
  <c r="T46" i="55"/>
  <c r="K24" i="55" a="1"/>
  <c r="K24" i="55" s="1"/>
  <c r="P32" i="55"/>
  <c r="S32" i="55" s="1"/>
  <c r="K37" i="55" a="1"/>
  <c r="K37" i="55" s="1"/>
  <c r="K17" i="55" a="1"/>
  <c r="K17" i="55" s="1"/>
  <c r="K20" i="55" a="1"/>
  <c r="K20" i="55" s="1"/>
  <c r="K8" i="55" a="1"/>
  <c r="K8" i="55" s="1"/>
  <c r="K57" i="55" a="1"/>
  <c r="K57" i="55" s="1"/>
  <c r="K7" i="55" a="1"/>
  <c r="K7" i="55" s="1"/>
  <c r="K58" i="55" a="1"/>
  <c r="K58" i="55" s="1"/>
  <c r="L30" i="55" a="1"/>
  <c r="L30" i="55" s="1"/>
  <c r="L27" i="55" a="1"/>
  <c r="L27" i="55" s="1"/>
  <c r="O47" i="55"/>
  <c r="T56" i="55"/>
  <c r="K40" i="55" a="1"/>
  <c r="K40" i="55" s="1"/>
  <c r="L64" i="55" a="1"/>
  <c r="L64" i="55" s="1"/>
  <c r="K69" i="55"/>
  <c r="K27" i="55" a="1"/>
  <c r="K27" i="55" s="1"/>
  <c r="L50" i="55" a="1"/>
  <c r="L50" i="55" s="1"/>
  <c r="K18" i="55" a="1"/>
  <c r="K18" i="55" s="1"/>
  <c r="K46" i="55" a="1"/>
  <c r="K46" i="55" s="1"/>
  <c r="K19" i="55" a="1"/>
  <c r="K19" i="55" s="1"/>
  <c r="K31" i="55" a="1"/>
  <c r="K31" i="55" s="1"/>
  <c r="L54" i="55" a="1"/>
  <c r="L54" i="55" s="1"/>
  <c r="P8" i="55"/>
  <c r="S8" i="55" s="1"/>
  <c r="L10" i="59"/>
  <c r="K44" i="55" a="1"/>
  <c r="K44" i="55" s="1"/>
  <c r="K52" i="55" a="1"/>
  <c r="K52" i="55" s="1"/>
  <c r="L17" i="55" a="1"/>
  <c r="L17" i="55" s="1"/>
  <c r="K12" i="55" a="1"/>
  <c r="K12" i="55" s="1"/>
  <c r="K15" i="55" a="1"/>
  <c r="K15" i="55" s="1"/>
  <c r="L37" i="55" a="1"/>
  <c r="L37" i="55" s="1"/>
  <c r="K13" i="55" a="1"/>
  <c r="K13" i="55" s="1"/>
  <c r="K41" i="55" a="1"/>
  <c r="K41" i="55" s="1"/>
  <c r="F28" i="59" a="1"/>
  <c r="F28" i="59" s="1"/>
  <c r="L44" i="55" a="1"/>
  <c r="L44" i="55" s="1"/>
  <c r="O52" i="55"/>
  <c r="O2" i="55"/>
  <c r="O69" i="55"/>
  <c r="H56" i="55"/>
  <c r="K56" i="55" a="1"/>
  <c r="K56" i="55" s="1"/>
  <c r="G56" i="55"/>
  <c r="L56" i="55" a="1"/>
  <c r="L56" i="55" s="1"/>
  <c r="L25" i="59"/>
  <c r="N33" i="55" a="1"/>
  <c r="N33" i="55" s="1"/>
  <c r="V34" i="59"/>
  <c r="V38" i="59"/>
  <c r="L47" i="55" a="1"/>
  <c r="L47" i="55" s="1"/>
  <c r="L55" i="55" a="1"/>
  <c r="L55" i="55" s="1"/>
  <c r="L24" i="55" a="1"/>
  <c r="L24" i="55" s="1"/>
  <c r="L10" i="55" a="1"/>
  <c r="L10" i="55" s="1"/>
  <c r="L58" i="55" a="1"/>
  <c r="L58" i="55" s="1"/>
  <c r="F24" i="59"/>
  <c r="S40" i="55"/>
  <c r="T40" i="55" s="1"/>
  <c r="R31" i="55"/>
  <c r="T31" i="55" s="1"/>
  <c r="L2" i="55"/>
  <c r="T43" i="55"/>
  <c r="S9" i="55"/>
  <c r="L69" i="55"/>
  <c r="L65" i="55" a="1"/>
  <c r="L65" i="55" s="1"/>
  <c r="K51" i="55" a="1"/>
  <c r="K51" i="55" s="1"/>
  <c r="L63" i="55" a="1"/>
  <c r="L63" i="55" s="1"/>
  <c r="L9" i="55" a="1"/>
  <c r="L9" i="55" s="1"/>
  <c r="N36" i="55" a="1"/>
  <c r="N36" i="55" s="1"/>
  <c r="L57" i="55" a="1"/>
  <c r="L57" i="55" s="1"/>
  <c r="L20" i="55" a="1"/>
  <c r="L20" i="55" s="1"/>
  <c r="L62" i="55" a="1"/>
  <c r="L62" i="55" s="1"/>
  <c r="L23" i="55" a="1"/>
  <c r="L23" i="55" s="1"/>
  <c r="T22" i="55"/>
  <c r="F41" i="59"/>
  <c r="N25" i="55" a="1"/>
  <c r="N25" i="55" s="1"/>
  <c r="O25" i="55" s="1"/>
  <c r="R63" i="55"/>
  <c r="T63" i="55" s="1"/>
  <c r="L59" i="55" a="1"/>
  <c r="L59" i="55" s="1"/>
  <c r="L38" i="55" a="1"/>
  <c r="L38" i="55" s="1"/>
  <c r="N43" i="55" a="1"/>
  <c r="N43" i="55" s="1"/>
  <c r="O43" i="55" s="1"/>
  <c r="U6" i="59"/>
  <c r="L14" i="55" a="1"/>
  <c r="L14" i="55" s="1"/>
  <c r="L13" i="55" a="1"/>
  <c r="L13" i="55" s="1"/>
  <c r="L49" i="55" a="1"/>
  <c r="L49" i="55" s="1"/>
  <c r="N48" i="55" a="1"/>
  <c r="N48" i="55" s="1"/>
  <c r="O48" i="55" s="1"/>
  <c r="R44" i="55"/>
  <c r="T44" i="55" s="1"/>
  <c r="T24" i="55"/>
  <c r="T23" i="55"/>
  <c r="L16" i="55" a="1"/>
  <c r="L16" i="55" s="1"/>
  <c r="G5" i="59"/>
  <c r="G58" i="55"/>
  <c r="T48" i="55"/>
  <c r="O19" i="55"/>
  <c r="O37" i="55"/>
  <c r="T25" i="59"/>
  <c r="P41" i="55"/>
  <c r="S41" i="55" s="1"/>
  <c r="T17" i="55"/>
  <c r="P12" i="55"/>
  <c r="R12" i="55" s="1"/>
  <c r="T28" i="59"/>
  <c r="R37" i="55"/>
  <c r="T37" i="55" s="1"/>
  <c r="T65" i="55"/>
  <c r="O28" i="59"/>
  <c r="U28" i="59" s="1"/>
  <c r="Z2" i="53"/>
  <c r="R62" i="55"/>
  <c r="T62" i="55" s="1"/>
  <c r="P47" i="55"/>
  <c r="S47" i="55" s="1"/>
  <c r="V40" i="59"/>
  <c r="P11" i="55"/>
  <c r="R11" i="55" s="1"/>
  <c r="T38" i="55"/>
  <c r="T34" i="59"/>
  <c r="P58" i="55"/>
  <c r="R58" i="55" s="1"/>
  <c r="V39" i="59"/>
  <c r="O51" i="55"/>
  <c r="T26" i="55"/>
  <c r="T36" i="55"/>
  <c r="Q28" i="59"/>
  <c r="O54" i="55"/>
  <c r="T64" i="55"/>
  <c r="O14" i="55"/>
  <c r="L53" i="55" a="1"/>
  <c r="L53" i="55" s="1"/>
  <c r="P14" i="55"/>
  <c r="S14" i="55" s="1"/>
  <c r="B42" i="59"/>
  <c r="V42" i="59" s="1"/>
  <c r="L11" i="55" a="1"/>
  <c r="L11" i="55" s="1"/>
  <c r="L15" i="55" a="1"/>
  <c r="L15" i="55" s="1"/>
  <c r="T15" i="55"/>
  <c r="L28" i="55" a="1"/>
  <c r="L28" i="55" s="1"/>
  <c r="G33" i="55"/>
  <c r="H33" i="55"/>
  <c r="P18" i="55"/>
  <c r="R18" i="55" s="1"/>
  <c r="R49" i="55"/>
  <c r="T49" i="55" s="1"/>
  <c r="F42" i="59" a="1"/>
  <c r="F42" i="59" s="1"/>
  <c r="L41" i="55" a="1"/>
  <c r="L41" i="55" s="1"/>
  <c r="T9" i="55"/>
  <c r="L12" i="55" a="1"/>
  <c r="L12" i="55" s="1"/>
  <c r="T37" i="59"/>
  <c r="O50" i="55"/>
  <c r="O35" i="59"/>
  <c r="U35" i="59" s="1"/>
  <c r="R29" i="55"/>
  <c r="T29" i="55" s="1"/>
  <c r="E5" i="57"/>
  <c r="E6" i="57" s="1"/>
  <c r="E7" i="57" s="1"/>
  <c r="E8" i="57" s="1"/>
  <c r="E9" i="57" s="1"/>
  <c r="E10" i="57" s="1"/>
  <c r="E11" i="57" s="1"/>
  <c r="E12" i="57" s="1"/>
  <c r="D13" i="57"/>
  <c r="G6" i="26"/>
  <c r="H7" i="26"/>
  <c r="O20" i="55"/>
  <c r="O62" i="55"/>
  <c r="L5" i="59"/>
  <c r="M5" i="59"/>
  <c r="O63" i="55"/>
  <c r="S30" i="55"/>
  <c r="R30" i="55"/>
  <c r="R42" i="55"/>
  <c r="T42" i="55" s="1"/>
  <c r="Z2692" i="53"/>
  <c r="O33" i="59"/>
  <c r="P54" i="55"/>
  <c r="L11" i="59"/>
  <c r="I42" i="59"/>
  <c r="N42" i="59" s="1"/>
  <c r="L28" i="59"/>
  <c r="L18" i="55" a="1"/>
  <c r="L18" i="55" s="1"/>
  <c r="G34" i="59"/>
  <c r="K11" i="55" a="1"/>
  <c r="K11" i="55" s="1"/>
  <c r="X12" i="26"/>
  <c r="AI12" i="26"/>
  <c r="AC14" i="26"/>
  <c r="AH14" i="26"/>
  <c r="K14" i="26"/>
  <c r="N12" i="26"/>
  <c r="AF14" i="26"/>
  <c r="F36" i="59"/>
  <c r="G20" i="55"/>
  <c r="H20" i="55"/>
  <c r="U25" i="59"/>
  <c r="O32" i="59"/>
  <c r="P53" i="55"/>
  <c r="F34" i="59"/>
  <c r="K14" i="55" a="1"/>
  <c r="K14" i="55" s="1"/>
  <c r="R21" i="55"/>
  <c r="T21" i="55" s="1"/>
  <c r="G6" i="59"/>
  <c r="P19" i="55"/>
  <c r="P7" i="55"/>
  <c r="L38" i="59"/>
  <c r="H31" i="55"/>
  <c r="G31" i="55"/>
  <c r="P10" i="55"/>
  <c r="G33" i="59"/>
  <c r="G7" i="59"/>
  <c r="H43" i="55"/>
  <c r="G43" i="55"/>
  <c r="S52" i="55"/>
  <c r="T52" i="55" s="1"/>
  <c r="K22" i="55" a="1"/>
  <c r="K22" i="55" s="1"/>
  <c r="N35" i="59"/>
  <c r="P55" i="55"/>
  <c r="R25" i="55"/>
  <c r="T25" i="55" s="1"/>
  <c r="G42" i="55"/>
  <c r="H42" i="55"/>
  <c r="S2692" i="53"/>
  <c r="G29" i="55"/>
  <c r="H29" i="55"/>
  <c r="N58" i="55" a="1"/>
  <c r="N58" i="55" s="1"/>
  <c r="O58" i="55" s="1"/>
  <c r="N65" i="55" a="1"/>
  <c r="N65" i="55" s="1"/>
  <c r="O65" i="55" s="1"/>
  <c r="N16" i="55" a="1"/>
  <c r="N16" i="55" s="1"/>
  <c r="O16" i="55" s="1"/>
  <c r="N12" i="55" a="1"/>
  <c r="N12" i="55" s="1"/>
  <c r="O12" i="55" s="1"/>
  <c r="N23" i="55" a="1"/>
  <c r="N23" i="55" s="1"/>
  <c r="O23" i="55" s="1"/>
  <c r="N21" i="55" a="1"/>
  <c r="N21" i="55" s="1"/>
  <c r="O21" i="55" s="1"/>
  <c r="O4" i="59"/>
  <c r="U5" i="59"/>
  <c r="R59" i="55"/>
  <c r="T59" i="55" s="1"/>
  <c r="S2" i="53"/>
  <c r="G11" i="55"/>
  <c r="H11" i="55"/>
  <c r="T18" i="59"/>
  <c r="Z12" i="26"/>
  <c r="H25" i="55"/>
  <c r="G25" i="55"/>
  <c r="R20" i="55"/>
  <c r="T20" i="55" s="1"/>
  <c r="S13" i="55"/>
  <c r="T13" i="55" s="1"/>
  <c r="H49" i="55"/>
  <c r="G49" i="55"/>
  <c r="G53" i="55"/>
  <c r="R32" i="55" l="1"/>
  <c r="S51" i="55"/>
  <c r="T51" i="55" s="1"/>
  <c r="R47" i="55"/>
  <c r="M4" i="59"/>
  <c r="T7" i="59"/>
  <c r="T35" i="59"/>
  <c r="M32" i="59"/>
  <c r="L32" i="59"/>
  <c r="K65" i="55" a="1"/>
  <c r="K65" i="55" s="1"/>
  <c r="K30" i="55" a="1"/>
  <c r="K30" i="55" s="1"/>
  <c r="K48" i="55" a="1"/>
  <c r="K48" i="55" s="1"/>
  <c r="K28" i="55" a="1"/>
  <c r="K28" i="55" s="1"/>
  <c r="K9" i="55" a="1"/>
  <c r="K9" i="55" s="1"/>
  <c r="K43" i="55" a="1"/>
  <c r="K43" i="55" s="1"/>
  <c r="K10" i="55" a="1"/>
  <c r="K10" i="55" s="1"/>
  <c r="K16" i="55" a="1"/>
  <c r="K16" i="55" s="1"/>
  <c r="K49" i="55" a="1"/>
  <c r="K49" i="55" s="1"/>
  <c r="K54" i="55" a="1"/>
  <c r="K54" i="55" s="1"/>
  <c r="K55" i="55" a="1"/>
  <c r="K55" i="55" s="1"/>
  <c r="K25" i="55" a="1"/>
  <c r="K25" i="55" s="1"/>
  <c r="K29" i="55" a="1"/>
  <c r="K29" i="55" s="1"/>
  <c r="K47" i="55" a="1"/>
  <c r="K47" i="55" s="1"/>
  <c r="K62" i="55" a="1"/>
  <c r="K62" i="55" s="1"/>
  <c r="K2" i="55"/>
  <c r="K59" i="55" a="1"/>
  <c r="K59" i="55" s="1"/>
  <c r="K32" i="55" a="1"/>
  <c r="K32" i="55" s="1"/>
  <c r="K38" i="55" a="1"/>
  <c r="K38" i="55" s="1"/>
  <c r="K21" i="55" a="1"/>
  <c r="K21" i="55" s="1"/>
  <c r="K64" i="55" a="1"/>
  <c r="K64" i="55" s="1"/>
  <c r="K39" i="55" a="1"/>
  <c r="K39" i="55" s="1"/>
  <c r="K23" i="55" a="1"/>
  <c r="K23" i="55" s="1"/>
  <c r="K63" i="55" a="1"/>
  <c r="K63" i="55" s="1"/>
  <c r="K53" i="55" a="1"/>
  <c r="K53" i="55" s="1"/>
  <c r="K50" i="55" a="1"/>
  <c r="K50" i="55" s="1"/>
  <c r="R41" i="55"/>
  <c r="T41" i="55" s="1"/>
  <c r="R8" i="55"/>
  <c r="T8" i="55" s="1"/>
  <c r="S11" i="55"/>
  <c r="S18" i="55"/>
  <c r="T18" i="55" s="1"/>
  <c r="T32" i="55"/>
  <c r="S12" i="55"/>
  <c r="T12" i="55" s="1"/>
  <c r="S58" i="55"/>
  <c r="T58" i="55" s="1"/>
  <c r="G3" i="55"/>
  <c r="H2" i="55"/>
  <c r="T47" i="55"/>
  <c r="G14" i="59"/>
  <c r="M14" i="59" s="1"/>
  <c r="R14" i="55"/>
  <c r="T14" i="55" s="1"/>
  <c r="U4" i="59"/>
  <c r="T4" i="59"/>
  <c r="O14" i="59"/>
  <c r="R19" i="55"/>
  <c r="S19" i="55"/>
  <c r="H6" i="26"/>
  <c r="I7" i="26"/>
  <c r="L34" i="59"/>
  <c r="M34" i="59"/>
  <c r="S53" i="55"/>
  <c r="R53" i="55"/>
  <c r="T53" i="55" s="1"/>
  <c r="O42" i="59"/>
  <c r="T32" i="59"/>
  <c r="U32" i="59"/>
  <c r="S54" i="55"/>
  <c r="R54" i="55"/>
  <c r="T33" i="59"/>
  <c r="U33" i="59"/>
  <c r="P2" i="55"/>
  <c r="AE2692" i="53"/>
  <c r="P69" i="55"/>
  <c r="AE2" i="53"/>
  <c r="H69" i="55"/>
  <c r="L33" i="59"/>
  <c r="M33" i="59"/>
  <c r="G42" i="59"/>
  <c r="R10" i="55"/>
  <c r="S10" i="55"/>
  <c r="L7" i="59"/>
  <c r="M7" i="59"/>
  <c r="G69" i="55"/>
  <c r="G2" i="55"/>
  <c r="G70" i="55"/>
  <c r="X2692" i="53"/>
  <c r="X2" i="53"/>
  <c r="T11" i="55"/>
  <c r="R55" i="55"/>
  <c r="S55" i="55"/>
  <c r="L6" i="59"/>
  <c r="M6" i="59"/>
  <c r="R7" i="55"/>
  <c r="S7" i="55"/>
  <c r="T30" i="55"/>
  <c r="T54" i="55" l="1"/>
  <c r="T10" i="55"/>
  <c r="T55" i="55"/>
  <c r="L14" i="59"/>
  <c r="U42" i="59"/>
  <c r="T42" i="59"/>
  <c r="J7" i="26"/>
  <c r="I6" i="26"/>
  <c r="T7" i="55"/>
  <c r="T19" i="55"/>
  <c r="M42" i="59"/>
  <c r="L42" i="59"/>
  <c r="U14" i="59"/>
  <c r="T14" i="59"/>
  <c r="S69" i="55"/>
  <c r="R69" i="55"/>
  <c r="R2" i="55"/>
  <c r="S2" i="55"/>
  <c r="H70" i="55"/>
  <c r="H3" i="55"/>
  <c r="J6" i="26" l="1"/>
  <c r="K7" i="26"/>
  <c r="T2" i="55"/>
  <c r="T69" i="55"/>
  <c r="L7" i="26" l="1"/>
  <c r="K6" i="26"/>
  <c r="M7" i="26" l="1"/>
  <c r="L6" i="26"/>
  <c r="N7" i="26" l="1"/>
  <c r="M6" i="26"/>
  <c r="N6" i="26" l="1"/>
  <c r="O7" i="26"/>
  <c r="O6" i="26" l="1"/>
  <c r="P7" i="26"/>
  <c r="Q7" i="26" l="1"/>
  <c r="P6" i="26"/>
  <c r="R7" i="26" l="1"/>
  <c r="Q6" i="26"/>
  <c r="R6" i="26" l="1"/>
  <c r="S7" i="26"/>
  <c r="S6" i="26" l="1"/>
  <c r="T7" i="26"/>
  <c r="T6" i="26" l="1"/>
  <c r="U7" i="26"/>
  <c r="U6" i="26" l="1"/>
  <c r="V7" i="26"/>
  <c r="V6" i="26" l="1"/>
  <c r="W7" i="26"/>
  <c r="W6" i="26" l="1"/>
  <c r="X7" i="26"/>
  <c r="Y7" i="26" l="1"/>
  <c r="X6" i="26"/>
  <c r="Y6" i="26" l="1"/>
  <c r="Z7" i="26"/>
  <c r="AA7" i="26" l="1"/>
  <c r="Z6" i="26"/>
  <c r="AA6" i="26" l="1"/>
  <c r="AB7" i="26"/>
  <c r="AB6" i="26" l="1"/>
  <c r="AC7" i="26"/>
  <c r="AD7" i="26" l="1"/>
  <c r="AC6" i="26"/>
  <c r="AD6" i="26" l="1"/>
  <c r="AE7" i="26"/>
  <c r="AE6" i="26" l="1"/>
  <c r="AF7" i="26"/>
  <c r="AG7" i="26" l="1"/>
  <c r="AF6" i="26"/>
  <c r="AH7" i="26" l="1"/>
  <c r="AG6" i="26"/>
  <c r="AH6" i="26" l="1"/>
  <c r="AI7"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<sst xmlns="http://schemas.openxmlformats.org/spreadsheetml/2006/main" count="27767" uniqueCount="3604">
  <si>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</si>
  <si>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</si>
  <si>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</si>
  <si>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</si>
  <si>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</si>
  <si>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</si>
  <si>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</si>
  <si>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</si>
  <si>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</si>
  <si>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</si>
  <si>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</si>
  <si>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</si>
  <si>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</si>
  <si>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</si>
  <si>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</si>
  <si>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</si>
  <si>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</si>
  <si>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</si>
  <si>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</si>
  <si>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</si>
  <si>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</si>
  <si>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</si>
  <si>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</si>
  <si>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</si>
  <si>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</si>
  <si>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</si>
  <si>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</si>
  <si>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</si>
  <si>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</si>
  <si>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</si>
  <si>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</si>
  <si>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</si>
  <si>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</si>
  <si>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</si>
  <si>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</si>
  <si>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</si>
  <si>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</si>
  <si>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</si>
  <si>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</si>
  <si>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</si>
  <si>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</si>
  <si>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</si>
  <si>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</si>
  <si>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</si>
  <si>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</si>
  <si>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</si>
  <si>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</si>
  <si>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</si>
  <si>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</si>
  <si>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</si>
  <si>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</si>
  <si>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</si>
  <si>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</si>
  <si>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</si>
  <si>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</si>
  <si>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</si>
  <si>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</si>
  <si>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</si>
  <si>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</si>
  <si>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</si>
  <si>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</si>
  <si>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</si>
  <si>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</si>
  <si>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</si>
  <si>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</si>
  <si>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</si>
  <si>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</si>
  <si>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</si>
  <si>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</si>
  <si>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</si>
  <si>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</si>
  <si>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</si>
  <si>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</si>
  <si>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</si>
  <si>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</si>
  <si>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</si>
  <si>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</si>
  <si>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</si>
  <si>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</si>
  <si>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</si>
  <si>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</si>
  <si>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</si>
  <si>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</si>
  <si>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</si>
  <si>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</si>
  <si>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</si>
  <si>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</si>
  <si>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</si>
  <si>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</si>
  <si>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</si>
  <si>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</si>
  <si>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</si>
  <si>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</si>
  <si>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</si>
  <si>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</si>
  <si>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</si>
  <si>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</si>
  <si>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</si>
  <si>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</si>
  <si>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</si>
  <si>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</si>
  <si>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</si>
  <si>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</si>
  <si>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</si>
  <si>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</si>
  <si>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</si>
  <si>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</si>
  <si>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</si>
  <si>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</si>
  <si>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</si>
  <si>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</si>
  <si>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</si>
  <si>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</si>
  <si>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</si>
  <si>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</si>
  <si>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</si>
  <si>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</si>
  <si>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</si>
  <si>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</si>
  <si>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</si>
  <si>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</si>
  <si>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</si>
  <si>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</si>
  <si>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</si>
  <si>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</si>
  <si>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</si>
  <si>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</si>
  <si>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</si>
  <si>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</si>
  <si>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</si>
  <si>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</si>
  <si>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</si>
  <si>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</si>
  <si>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</si>
  <si>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</si>
  <si>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</si>
  <si>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</si>
  <si>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</si>
  <si>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</si>
  <si>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</si>
  <si>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</si>
  <si>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</si>
  <si>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</si>
  <si>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</si>
  <si>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</si>
  <si>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</si>
  <si>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</si>
  <si>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</si>
  <si>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</si>
  <si>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</si>
  <si>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</si>
  <si>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</si>
  <si>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</si>
  <si>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</si>
  <si>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</si>
  <si>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</si>
  <si>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</si>
  <si>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</si>
  <si>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</si>
  <si>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</si>
  <si>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</si>
  <si>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</si>
  <si>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</si>
  <si>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</si>
  <si>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</si>
  <si>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</si>
  <si>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</si>
  <si>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</si>
  <si>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</si>
  <si>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</si>
  <si>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</si>
  <si>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</si>
  <si>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</si>
  <si>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</si>
  <si>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</si>
  <si>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</si>
  <si>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</si>
  <si>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</si>
  <si>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</si>
  <si>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</si>
  <si>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</si>
  <si>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</si>
  <si>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</si>
  <si>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</si>
  <si>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</si>
  <si>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</si>
  <si>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</si>
  <si>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</si>
  <si>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</si>
  <si>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</si>
  <si>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</si>
  <si>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</si>
  <si>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</si>
  <si>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</si>
  <si>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</si>
  <si>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</si>
  <si>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</si>
  <si>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</si>
  <si>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</si>
  <si>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</si>
  <si>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</si>
  <si>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</si>
  <si>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</si>
  <si>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</si>
  <si>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</si>
  <si>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</si>
  <si>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</si>
  <si>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</si>
  <si>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</si>
  <si>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</si>
  <si>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</si>
  <si>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</si>
  <si>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</si>
  <si>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</si>
  <si>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</si>
  <si>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</si>
  <si>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</si>
  <si>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</si>
  <si>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</si>
  <si>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</si>
  <si>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</si>
  <si>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</si>
  <si>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</si>
  <si>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</si>
  <si>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</si>
  <si>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</si>
  <si>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</si>
  <si>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</si>
  <si>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</si>
  <si>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</si>
  <si>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</si>
  <si>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</si>
  <si>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</si>
  <si>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</si>
  <si>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</si>
  <si>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</si>
  <si>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</si>
  <si>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</si>
  <si>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</si>
  <si>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</si>
  <si>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</si>
  <si>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</si>
  <si>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</si>
  <si>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</si>
  <si>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</si>
  <si>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</si>
  <si>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</si>
  <si>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</si>
  <si>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</si>
  <si>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</si>
  <si>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</si>
  <si>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</si>
  <si>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</si>
  <si>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</si>
  <si>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</si>
  <si>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</si>
  <si>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</si>
  <si>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</si>
  <si>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</si>
  <si>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</si>
  <si>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</si>
  <si>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</si>
  <si>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</si>
  <si>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</si>
  <si>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</si>
  <si>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</si>
  <si>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</si>
  <si>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</si>
  <si>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</si>
  <si>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</si>
  <si>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</si>
  <si>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</si>
  <si>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</si>
  <si>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</si>
  <si>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</si>
  <si>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</si>
  <si>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</si>
  <si>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</si>
  <si>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</si>
  <si>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</si>
  <si>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</si>
  <si>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</si>
  <si>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</si>
  <si>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</si>
  <si>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</si>
  <si>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</si>
  <si>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</si>
  <si>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</si>
  <si>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</si>
  <si>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</si>
  <si>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</si>
  <si>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</si>
  <si>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</si>
  <si>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</si>
  <si>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</si>
  <si>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</si>
  <si>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</si>
  <si>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</si>
  <si>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</si>
  <si>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</si>
  <si>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</si>
  <si>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</si>
  <si>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</si>
  <si>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</si>
  <si>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</si>
  <si>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</si>
  <si>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</si>
  <si>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</si>
  <si>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</si>
  <si>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</si>
  <si>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</si>
  <si>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</si>
  <si>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</si>
  <si>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</si>
  <si>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</si>
  <si>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</si>
  <si>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</si>
  <si>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</si>
  <si>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</si>
  <si>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</si>
  <si>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</si>
  <si>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</si>
  <si>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</si>
  <si>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</si>
  <si>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</si>
  <si>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</si>
  <si>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</si>
  <si>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</si>
  <si>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</si>
  <si>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</si>
  <si>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</si>
  <si>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</si>
  <si>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</si>
  <si>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</si>
  <si>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</si>
  <si>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</si>
  <si>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</si>
  <si>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</si>
  <si>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</si>
  <si>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</si>
  <si>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</si>
  <si>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</si>
  <si>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</si>
  <si>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</si>
  <si>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</si>
  <si>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</si>
  <si>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</si>
  <si>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</si>
  <si>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</si>
  <si>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</si>
  <si>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</si>
  <si>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</si>
  <si>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</si>
  <si>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</si>
  <si>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</si>
  <si>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</si>
  <si>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</si>
  <si>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</si>
  <si>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</si>
  <si>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</si>
  <si>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</si>
  <si>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</si>
  <si>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</si>
  <si>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</si>
  <si>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</si>
  <si>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</si>
  <si>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</si>
  <si>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</si>
  <si>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</si>
  <si>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</si>
  <si>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</si>
  <si>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</si>
  <si>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</si>
  <si>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</si>
  <si>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</si>
  <si>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</si>
  <si>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</si>
  <si>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</si>
  <si>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</si>
  <si>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</si>
  <si>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</si>
  <si>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</si>
  <si>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NV48-VCN-004</t>
  </si>
  <si>
    <t>VCN Decode</t>
  </si>
  <si>
    <t>H264 Bitstream Tests</t>
  </si>
  <si>
    <t>H264-SD 720x480p Boston Harbor</t>
  </si>
  <si>
    <t>VCN104.001</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</si>
  <si>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</si>
  <si>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</si>
  <si>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</si>
  <si>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</si>
  <si>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</si>
  <si>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</si>
  <si>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</si>
  <si>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</si>
  <si>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</si>
  <si>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</si>
  <si>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</si>
  <si>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</si>
  <si>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</si>
  <si>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</si>
  <si>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</si>
  <si>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</si>
  <si>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</si>
  <si>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</si>
  <si>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</si>
  <si>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</si>
  <si>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</si>
  <si>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</si>
  <si>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</si>
  <si>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</si>
  <si>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</si>
  <si>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</si>
  <si>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</si>
  <si>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</si>
  <si>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</si>
  <si>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</si>
  <si>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H264 1920x1088 GrandBendPatio</t>
  </si>
  <si>
    <t>VCN104.017</t>
  </si>
  <si>
    <t>H264 Performance Decoder(AVC)</t>
  </si>
  <si>
    <t>H264 4K 3840x2160 GrandBendPatio</t>
  </si>
  <si>
    <t>VCN104.018</t>
  </si>
  <si>
    <t>H264 4K 4096x2160 GrandBendPatio</t>
  </si>
  <si>
    <t>VCN104.019</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</si>
  <si>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</si>
  <si>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</si>
  <si>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</si>
  <si>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</si>
  <si>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</si>
  <si>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</si>
  <si>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</si>
  <si>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</si>
  <si>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</si>
  <si>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</si>
  <si>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</si>
  <si>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</si>
  <si>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</si>
  <si>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</si>
  <si>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</si>
  <si>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</si>
  <si>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</si>
  <si>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</si>
  <si>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</si>
  <si>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</si>
  <si>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</si>
  <si>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</si>
  <si>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</si>
  <si>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</si>
  <si>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</si>
  <si>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</si>
  <si>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</si>
  <si>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</si>
  <si>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</si>
  <si>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</si>
  <si>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</si>
  <si>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</si>
  <si>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</si>
  <si>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</si>
  <si>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</si>
  <si>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H265-4K 4096x2160 Boston Harbor</t>
  </si>
  <si>
    <t>VCN105.016</t>
  </si>
  <si>
    <t>H265-4K 4096x2160 120FPS GrandBendPatio</t>
  </si>
  <si>
    <t>VCN105.017</t>
  </si>
  <si>
    <t>H265-4K 10-bit Grand Bend Patio 4096x2160 p010_mode msb_mode</t>
  </si>
  <si>
    <t>VCN105.101</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</si>
  <si>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</si>
  <si>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</si>
  <si>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</si>
  <si>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</si>
  <si>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</si>
  <si>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</si>
  <si>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</si>
  <si>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</si>
  <si>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</si>
  <si>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</si>
  <si>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</si>
  <si>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</si>
  <si>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</si>
  <si>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</si>
  <si>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</si>
  <si>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</si>
  <si>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</si>
  <si>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</si>
  <si>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</si>
  <si>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</si>
  <si>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</si>
  <si>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</si>
  <si>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</si>
  <si>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</si>
  <si>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</si>
  <si>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</si>
  <si>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</si>
  <si>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</si>
  <si>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</si>
  <si>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</si>
  <si>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</si>
  <si>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</si>
  <si>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</si>
  <si>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</si>
  <si>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</si>
  <si>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</si>
  <si>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</si>
  <si>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</si>
  <si>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</si>
  <si>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</si>
  <si>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</si>
  <si>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</si>
  <si>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</si>
  <si>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</si>
  <si>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</si>
  <si>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</si>
  <si>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</si>
  <si>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</si>
  <si>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</si>
  <si>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</si>
  <si>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</si>
  <si>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</si>
  <si>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</si>
  <si>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</si>
  <si>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</si>
  <si>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</si>
  <si>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</si>
  <si>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</si>
  <si>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</si>
  <si>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</si>
  <si>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</si>
  <si>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</si>
  <si>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</si>
  <si>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</si>
  <si>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</si>
  <si>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</si>
  <si>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</si>
  <si>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</si>
  <si>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</si>
  <si>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</si>
  <si>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</si>
  <si>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</si>
  <si>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</si>
  <si>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</si>
  <si>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</si>
  <si>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</si>
  <si>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</si>
  <si>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H265-8K 10-bit 7680x4320 60FPS Boston Harbor p010_mode msb_mode</t>
  </si>
  <si>
    <t>VCN105.308</t>
  </si>
  <si>
    <t>NV48-VCN-006</t>
  </si>
  <si>
    <t>VP9 Decoder up to 10-bit</t>
  </si>
  <si>
    <t>VP9 Bitstream Tests</t>
  </si>
  <si>
    <t>VP9 8-bit 720x480p Boston Harbor</t>
  </si>
  <si>
    <t>VCN106.001</t>
  </si>
  <si>
    <t>VP9 8-bit 720x480p Leaves</t>
  </si>
  <si>
    <t>VCN106.002</t>
  </si>
  <si>
    <t>VP9 8-bit 720x480p MainStreet</t>
  </si>
  <si>
    <t>VCN106.003</t>
  </si>
  <si>
    <t>VP9 8-bit 720x480p TooGoodPond</t>
  </si>
  <si>
    <t>VCN106.004</t>
  </si>
  <si>
    <t>VP9 8-bit 1280x720p Boston Harbor</t>
  </si>
  <si>
    <t>VCN106.005</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</si>
  <si>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</si>
  <si>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</si>
  <si>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</si>
  <si>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</si>
  <si>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</si>
  <si>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</si>
  <si>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</si>
  <si>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</si>
  <si>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</si>
  <si>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</si>
  <si>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</si>
  <si>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</si>
  <si>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</si>
  <si>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</si>
  <si>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</si>
  <si>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</si>
  <si>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VP9 8-bit 3840x2160 GrandBendPatio</t>
  </si>
  <si>
    <t>VCN106.014</t>
  </si>
  <si>
    <t>VP9 8-bit 4096x2304 GrandBendPatio</t>
  </si>
  <si>
    <t>VCN106.015</t>
  </si>
  <si>
    <t>VP9 8-bit 4096x2160 GrandBendPatio</t>
  </si>
  <si>
    <t>VCN106.016</t>
  </si>
  <si>
    <t>VP9 8-bit 7680x4320 GrandBendPatio</t>
  </si>
  <si>
    <t>VCN106.017</t>
  </si>
  <si>
    <t>VP9 8-bit 7680x4320 Boston Harbor</t>
  </si>
  <si>
    <t>VCN106.018</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</si>
  <si>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</si>
  <si>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</si>
  <si>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</si>
  <si>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</si>
  <si>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</si>
  <si>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</si>
  <si>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</si>
  <si>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</si>
  <si>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</si>
  <si>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</si>
  <si>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</si>
  <si>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</si>
  <si>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</si>
  <si>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</si>
  <si>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</si>
  <si>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</si>
  <si>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</si>
  <si>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</si>
  <si>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</si>
  <si>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</si>
  <si>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</si>
  <si>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</si>
  <si>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</si>
  <si>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</si>
  <si>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</si>
  <si>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</si>
  <si>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</si>
  <si>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</si>
  <si>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</si>
  <si>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</si>
  <si>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</si>
  <si>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</si>
  <si>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</si>
  <si>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</si>
  <si>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</si>
  <si>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</si>
  <si>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</si>
  <si>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</si>
  <si>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</si>
  <si>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</si>
  <si>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</si>
  <si>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</si>
  <si>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</si>
  <si>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</si>
  <si>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</si>
  <si>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</si>
  <si>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</si>
  <si>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</si>
  <si>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</si>
  <si>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</si>
  <si>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</si>
  <si>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</si>
  <si>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</si>
  <si>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</si>
  <si>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</si>
  <si>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</si>
  <si>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</si>
  <si>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</si>
  <si>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</si>
  <si>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</si>
  <si>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</si>
  <si>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</si>
  <si>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</si>
  <si>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</si>
  <si>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</si>
  <si>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</si>
  <si>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</si>
  <si>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</si>
  <si>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</si>
  <si>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</si>
  <si>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</si>
  <si>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</si>
  <si>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</si>
  <si>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</si>
  <si>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</si>
  <si>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</si>
  <si>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</si>
  <si>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</si>
  <si>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</si>
  <si>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</si>
  <si>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</si>
  <si>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</si>
  <si>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</si>
  <si>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</si>
  <si>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</si>
  <si>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</si>
  <si>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</si>
  <si>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</si>
  <si>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</si>
  <si>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</si>
  <si>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</si>
  <si>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</si>
  <si>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</si>
  <si>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</si>
  <si>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</si>
  <si>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</si>
  <si>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</si>
  <si>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</si>
  <si>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</si>
  <si>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</si>
  <si>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</si>
  <si>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</si>
  <si>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</si>
  <si>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</si>
  <si>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</si>
  <si>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</si>
  <si>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</si>
  <si>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</si>
  <si>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</si>
  <si>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</si>
  <si>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</si>
  <si>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</si>
  <si>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</si>
  <si>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</si>
  <si>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</si>
  <si>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</si>
  <si>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</si>
  <si>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</si>
  <si>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</si>
  <si>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</si>
  <si>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</si>
  <si>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</si>
  <si>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</si>
  <si>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</si>
  <si>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</si>
  <si>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</si>
  <si>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</si>
  <si>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</si>
  <si>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</si>
  <si>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</si>
  <si>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</si>
  <si>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</si>
  <si>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</si>
  <si>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</si>
  <si>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</si>
  <si>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</si>
  <si>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</si>
  <si>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</si>
  <si>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</si>
  <si>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</si>
  <si>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</si>
  <si>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</si>
  <si>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</si>
  <si>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AV1 8-bit 7680x4320 60FPS Snowfall with film grain</t>
  </si>
  <si>
    <t>VCN107.019</t>
  </si>
  <si>
    <t>AV1 8-bit 8192x4352 60FPS Snowfall with film grain</t>
  </si>
  <si>
    <t>VCN107.020</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</si>
  <si>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</si>
  <si>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</si>
  <si>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</si>
  <si>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</si>
  <si>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</si>
  <si>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</si>
  <si>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</si>
  <si>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</si>
  <si>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</si>
  <si>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</si>
  <si>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</si>
  <si>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</si>
  <si>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</si>
  <si>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</si>
  <si>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</si>
  <si>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</si>
  <si>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</si>
  <si>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</si>
  <si>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</si>
  <si>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</si>
  <si>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</si>
  <si>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</si>
  <si>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</si>
  <si>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</si>
  <si>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</si>
  <si>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</si>
  <si>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</si>
  <si>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</si>
  <si>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</si>
  <si>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</si>
  <si>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</si>
  <si>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</si>
  <si>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</si>
  <si>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</si>
  <si>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</si>
  <si>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</si>
  <si>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</si>
  <si>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</si>
  <si>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</si>
  <si>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</si>
  <si>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</si>
  <si>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</si>
  <si>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</si>
  <si>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</si>
  <si>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</si>
  <si>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</si>
  <si>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</si>
  <si>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</si>
  <si>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</si>
  <si>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</si>
  <si>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</si>
  <si>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</si>
  <si>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</si>
  <si>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</si>
  <si>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</si>
  <si>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</si>
  <si>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</si>
  <si>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</si>
  <si>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</si>
  <si>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</si>
  <si>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</si>
  <si>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</si>
  <si>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</si>
  <si>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</si>
  <si>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</si>
  <si>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</si>
  <si>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</si>
  <si>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</si>
  <si>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</si>
  <si>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</si>
  <si>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</si>
  <si>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</si>
  <si>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</si>
  <si>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</si>
  <si>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</si>
  <si>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</si>
  <si>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</si>
  <si>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</si>
  <si>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</si>
  <si>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</si>
  <si>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</si>
  <si>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</si>
  <si>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AV1 12-bit 7680x4320 60FPS Snowfall with film grain</t>
  </si>
  <si>
    <t>VCN107.219</t>
  </si>
  <si>
    <t>AV1 12-bit 8192x4352 60FPS Snowfall with film grain</t>
  </si>
  <si>
    <t>VCN107.220</t>
  </si>
  <si>
    <t>AV1 12-bit 4096x2160 120FPS Snowfall with film grain</t>
  </si>
  <si>
    <t>VCN107.221</t>
  </si>
  <si>
    <t>VCN Tiling Mode Tests</t>
  </si>
  <si>
    <t>SW_LINEAR Interleaved - Boston_Harbor, H264</t>
  </si>
  <si>
    <t>VCN120.001</t>
  </si>
  <si>
    <t>SW_256B_2D Interleaved - Boston_Harbor, H264</t>
  </si>
  <si>
    <t>VCN120.003</t>
  </si>
  <si>
    <t>SW_4KB_2D Interleaved - Boston_Harbor, H264</t>
  </si>
  <si>
    <t>VCN120.005</t>
  </si>
  <si>
    <t>SW_64KB_2D Interleaved - Boston_Harbor, H264</t>
  </si>
  <si>
    <t>VCN120.007</t>
  </si>
  <si>
    <t>SW_256KB_2D Interleaved - Boston_Harbor, H264</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</si>
  <si>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</si>
  <si>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</si>
  <si>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</si>
  <si>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</si>
  <si>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</si>
  <si>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</si>
  <si>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</si>
  <si>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</si>
  <si>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</si>
  <si>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</si>
  <si>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</si>
  <si>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</si>
  <si>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</si>
  <si>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</si>
  <si>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</si>
  <si>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</si>
  <si>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</si>
  <si>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</si>
  <si>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</si>
  <si>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</si>
  <si>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</si>
  <si>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</si>
  <si>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</si>
  <si>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</si>
  <si>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</si>
  <si>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</si>
  <si>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</si>
  <si>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</si>
  <si>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</si>
  <si>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</si>
  <si>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</si>
  <si>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</si>
  <si>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</si>
  <si>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</si>
  <si>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</si>
  <si>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</si>
  <si>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</si>
  <si>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</si>
  <si>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</si>
  <si>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</si>
  <si>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</si>
  <si>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</si>
  <si>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</si>
  <si>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</si>
  <si>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</si>
  <si>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</si>
  <si>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</si>
  <si>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</si>
  <si>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</si>
  <si>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</si>
  <si>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</si>
  <si>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</si>
  <si>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</si>
  <si>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</si>
  <si>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SW_LINEAR Interleaved - Boston_Harbor, AV1 12bit</t>
  </si>
  <si>
    <t>VCN120.081</t>
  </si>
  <si>
    <t>SW_256B_2D Interleaved - Boston_Harbor, AV1 12bit</t>
  </si>
  <si>
    <t>VCN120.082</t>
  </si>
  <si>
    <t>SW_4KB_2D Interleaved - Boston_Harbor, AV1 12bit</t>
  </si>
  <si>
    <t>VCN120.083</t>
  </si>
  <si>
    <t>SW_64KB_2D Interleaved - Boston_Harbor, AV1 12bit</t>
  </si>
  <si>
    <t>VCN120.084</t>
  </si>
  <si>
    <t>SW_256KB_2D Interleaved - Boston_Harbor, AV1 12bit</t>
  </si>
  <si>
    <t>VCN Bitstream H265 Tiled Stream Tests</t>
  </si>
  <si>
    <t>H265 4096x2160 Boston Harbor</t>
  </si>
  <si>
    <t>VCN121.001</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</si>
  <si>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</si>
  <si>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</si>
  <si>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</si>
  <si>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</si>
  <si>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</si>
  <si>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</si>
  <si>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</si>
  <si>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</si>
  <si>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</si>
  <si>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</si>
  <si>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</si>
  <si>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</si>
  <si>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</si>
  <si>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</si>
  <si>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</si>
  <si>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</si>
  <si>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</si>
  <si>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</si>
  <si>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</si>
  <si>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</si>
  <si>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</si>
  <si>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</si>
  <si>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</si>
  <si>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</si>
  <si>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</si>
  <si>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</si>
  <si>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</si>
  <si>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</si>
  <si>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</si>
  <si>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</si>
  <si>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</si>
  <si>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</si>
  <si>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</si>
  <si>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</si>
  <si>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</si>
  <si>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</si>
  <si>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</si>
  <si>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</si>
  <si>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</si>
  <si>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</si>
  <si>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</si>
  <si>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</si>
  <si>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</si>
  <si>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</si>
  <si>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</si>
  <si>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</si>
  <si>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</si>
  <si>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</si>
  <si>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</si>
  <si>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</si>
  <si>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</si>
  <si>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</si>
  <si>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</si>
  <si>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</si>
  <si>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</si>
  <si>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</si>
  <si>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</si>
  <si>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</si>
  <si>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</si>
  <si>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</si>
  <si>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</si>
  <si>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</si>
  <si>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</si>
  <si>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</si>
  <si>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</si>
  <si>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</si>
  <si>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</si>
  <si>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</si>
  <si>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</si>
  <si>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</si>
  <si>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</si>
  <si>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</si>
  <si>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</si>
  <si>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</si>
  <si>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</si>
  <si>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</si>
  <si>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</si>
  <si>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</si>
  <si>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</si>
  <si>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</si>
  <si>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</si>
  <si>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</si>
  <si>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</si>
  <si>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</si>
  <si>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</si>
  <si>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</si>
  <si>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</si>
  <si>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</si>
  <si>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</si>
  <si>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</si>
  <si>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</si>
  <si>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</si>
  <si>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</si>
  <si>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</si>
  <si>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</si>
  <si>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</si>
  <si>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</si>
  <si>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VCN cbcs Tests</t>
  </si>
  <si>
    <t>h264 1080p Boston Harbor cbcs</t>
  </si>
  <si>
    <t>VCN133.001</t>
  </si>
  <si>
    <t>h264 grand bend patio 4096x2160 cbcs</t>
  </si>
  <si>
    <t>VCN133.002</t>
  </si>
  <si>
    <t>h265 1080p Boston Harbor cbcs</t>
  </si>
  <si>
    <t>VCN133.003</t>
  </si>
  <si>
    <t>h265 Boston Harbor 4096x2160 10bit cbcs</t>
  </si>
  <si>
    <t>VCN133.004</t>
  </si>
  <si>
    <t>h265 Boston Harbor 7680x4320 10bit bt709 80MB cbcs</t>
  </si>
  <si>
    <t>VCN133.005</t>
  </si>
  <si>
    <t>vp9 1080p Boston Harbor non-tiled cbcs</t>
  </si>
  <si>
    <t>VCN133.006</t>
  </si>
  <si>
    <t>vp9 Boston Harbor 4096x2160 10bit non-tiled cbcs</t>
  </si>
  <si>
    <t>VCN133.007</t>
  </si>
  <si>
    <t>vp9 Boston Harbor 7680x4320 10bit bt709 80MB cbcs</t>
  </si>
  <si>
    <t>VCN133.008</t>
  </si>
  <si>
    <t>av1 1080p Boston Harbor cbcs</t>
  </si>
  <si>
    <t>VCN133.009</t>
  </si>
  <si>
    <t>av1 grand bend patio 4096x2160 10bit cbcs</t>
  </si>
  <si>
    <t>VCN133.010</t>
  </si>
  <si>
    <t>av1 grand bend patio 7680x4320 12bit cbcs</t>
  </si>
  <si>
    <t>VCN133.011</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</si>
  <si>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</si>
  <si>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</si>
  <si>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</si>
  <si>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</si>
  <si>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</si>
  <si>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</si>
  <si>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</si>
  <si>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</si>
  <si>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</si>
  <si>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</si>
  <si>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</si>
  <si>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</si>
  <si>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</si>
  <si>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</si>
  <si>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</si>
  <si>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</si>
  <si>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</si>
  <si>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</si>
  <si>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</si>
  <si>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</si>
  <si>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</si>
  <si>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</si>
  <si>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</si>
  <si>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</si>
  <si>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</si>
  <si>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</si>
  <si>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</si>
  <si>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</si>
  <si>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</si>
  <si>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</si>
  <si>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</si>
  <si>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</si>
  <si>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</si>
  <si>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</si>
  <si>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</si>
  <si>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</si>
  <si>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</si>
  <si>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</si>
  <si>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</si>
  <si>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</si>
  <si>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</si>
  <si>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</si>
  <si>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</si>
  <si>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</si>
  <si>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</si>
  <si>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</si>
  <si>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</si>
  <si>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</si>
  <si>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</si>
  <si>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</si>
  <si>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</si>
  <si>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</si>
  <si>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</si>
  <si>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</si>
  <si>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</si>
  <si>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</si>
  <si>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</si>
  <si>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</si>
  <si>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</si>
  <si>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</si>
  <si>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</si>
  <si>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</si>
  <si>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</si>
  <si>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</si>
  <si>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</si>
  <si>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</si>
  <si>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</si>
  <si>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</si>
  <si>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</si>
  <si>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</si>
  <si>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</si>
  <si>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</si>
  <si>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</si>
  <si>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</si>
  <si>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</si>
  <si>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</si>
  <si>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</si>
  <si>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</si>
  <si>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</si>
  <si>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</si>
  <si>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</si>
  <si>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</si>
  <si>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</si>
  <si>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</si>
  <si>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</si>
  <si>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</si>
  <si>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</si>
  <si>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</si>
  <si>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</si>
  <si>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</si>
  <si>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</si>
  <si>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</si>
  <si>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</si>
  <si>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</si>
  <si>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</si>
  <si>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</si>
  <si>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</si>
  <si>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</si>
  <si>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</si>
  <si>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</si>
  <si>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</si>
  <si>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</si>
  <si>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</si>
  <si>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</si>
  <si>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</si>
  <si>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</si>
  <si>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</si>
  <si>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</si>
  <si>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</si>
  <si>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</si>
  <si>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</si>
  <si>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</si>
  <si>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</si>
  <si>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</si>
  <si>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</si>
  <si>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</si>
  <si>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</si>
  <si>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</si>
  <si>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</si>
  <si>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</si>
  <si>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</si>
  <si>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</si>
  <si>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</si>
  <si>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</si>
  <si>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</si>
  <si>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</si>
  <si>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</si>
  <si>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</si>
  <si>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</si>
  <si>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</si>
  <si>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</si>
  <si>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</si>
  <si>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</si>
  <si>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</si>
  <si>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</si>
  <si>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</si>
  <si>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</si>
  <si>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</si>
  <si>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</si>
  <si>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</si>
  <si>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</si>
  <si>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</si>
  <si>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</si>
  <si>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</si>
  <si>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</si>
  <si>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</si>
  <si>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</si>
  <si>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</si>
  <si>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</si>
  <si>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</si>
  <si>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</si>
  <si>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</si>
  <si>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</si>
  <si>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</si>
  <si>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</si>
  <si>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</si>
  <si>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</si>
  <si>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</si>
  <si>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</si>
  <si>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</si>
  <si>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</si>
  <si>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</si>
  <si>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</si>
  <si>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</si>
  <si>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</si>
  <si>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</si>
  <si>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</si>
  <si>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</si>
  <si>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</si>
  <si>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</si>
  <si>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</si>
  <si>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</si>
  <si>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</si>
  <si>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</si>
  <si>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</si>
  <si>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</si>
  <si>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</si>
  <si>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</si>
  <si>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</si>
  <si>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</si>
  <si>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</si>
  <si>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</si>
  <si>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</si>
  <si>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</si>
  <si>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</si>
  <si>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</si>
  <si>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</si>
  <si>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</si>
  <si>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</si>
  <si>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</si>
  <si>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</si>
  <si>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</si>
  <si>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</si>
  <si>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</si>
  <si>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</si>
  <si>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</si>
  <si>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</si>
  <si>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</si>
  <si>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</si>
  <si>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</si>
  <si>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</si>
  <si>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</si>
  <si>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</si>
  <si>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</si>
  <si>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</si>
  <si>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</si>
  <si>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</si>
  <si>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</si>
  <si>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</si>
  <si>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</si>
  <si>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</si>
  <si>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</si>
  <si>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</si>
  <si>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</si>
  <si>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</si>
  <si>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</si>
  <si>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</si>
  <si>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</si>
  <si>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</si>
  <si>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</si>
  <si>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</si>
  <si>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</si>
  <si>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</si>
  <si>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</si>
  <si>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</si>
  <si>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</si>
  <si>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</si>
  <si>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</si>
  <si>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</si>
  <si>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</si>
  <si>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</si>
  <si>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</si>
  <si>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</si>
  <si>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</si>
  <si>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</si>
  <si>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</si>
  <si>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</si>
  <si>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</si>
  <si>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</si>
  <si>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</si>
  <si>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</si>
  <si>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</si>
  <si>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</si>
  <si>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</si>
  <si>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</si>
  <si>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</si>
  <si>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</si>
  <si>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</si>
  <si>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</si>
  <si>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</si>
  <si>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</si>
  <si>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</si>
  <si>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</si>
  <si>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</si>
  <si>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</si>
  <si>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</si>
  <si>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</si>
  <si>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</si>
  <si>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</si>
  <si>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</si>
  <si>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</si>
  <si>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cbcs encrypted bitstreams test with TMZ - Cipher mode</t>
  </si>
  <si>
    <t>VCN138.001</t>
  </si>
  <si>
    <t>VCN138.002</t>
  </si>
  <si>
    <t>VCN138.003</t>
  </si>
  <si>
    <t>VCN138.004</t>
  </si>
  <si>
    <t>VCN138.005</t>
  </si>
  <si>
    <t>VCN138.006</t>
  </si>
  <si>
    <t>VCN138.007</t>
  </si>
  <si>
    <t>VCN138.008</t>
  </si>
  <si>
    <t>VCN138.009</t>
  </si>
  <si>
    <t>VCN138.010</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</si>
  <si>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</si>
  <si>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</si>
  <si>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</si>
  <si>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</si>
  <si>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</si>
  <si>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</si>
  <si>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</si>
  <si>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</si>
  <si>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</si>
  <si>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</si>
  <si>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</si>
  <si>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</si>
  <si>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</si>
  <si>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</si>
  <si>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</si>
  <si>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</si>
  <si>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</si>
  <si>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</si>
  <si>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</si>
  <si>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</si>
  <si>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</si>
  <si>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</si>
  <si>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</si>
  <si>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</si>
  <si>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</si>
  <si>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</si>
  <si>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</si>
  <si>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</si>
  <si>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</si>
  <si>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</si>
  <si>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</si>
  <si>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</si>
  <si>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</si>
  <si>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</si>
  <si>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</si>
  <si>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</si>
  <si>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</si>
  <si>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</si>
  <si>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</si>
  <si>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</si>
  <si>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</si>
  <si>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</si>
  <si>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</si>
  <si>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</si>
  <si>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</si>
  <si>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</si>
  <si>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</si>
  <si>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</si>
  <si>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</si>
  <si>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</si>
  <si>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</si>
  <si>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</si>
  <si>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</si>
  <si>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</si>
  <si>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</si>
  <si>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</si>
  <si>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</si>
  <si>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</si>
  <si>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</si>
  <si>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</si>
  <si>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</si>
  <si>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</si>
  <si>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</si>
  <si>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</si>
  <si>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</si>
  <si>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</si>
  <si>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</si>
  <si>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</si>
  <si>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</si>
  <si>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</si>
  <si>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</si>
  <si>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</si>
  <si>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</si>
  <si>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</si>
  <si>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</si>
  <si>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</si>
  <si>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</si>
  <si>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</si>
  <si>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</si>
  <si>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</si>
  <si>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</si>
  <si>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</si>
  <si>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</si>
  <si>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</si>
  <si>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</si>
  <si>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</si>
  <si>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</si>
  <si>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</si>
  <si>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</si>
  <si>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</si>
  <si>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</si>
  <si>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</si>
  <si>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</si>
  <si>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</si>
  <si>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</si>
  <si>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</si>
  <si>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</si>
  <si>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</si>
  <si>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</si>
  <si>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</si>
  <si>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</si>
  <si>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</si>
  <si>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</si>
  <si>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</si>
  <si>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</si>
  <si>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</si>
  <si>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</si>
  <si>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</si>
  <si>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</si>
  <si>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</si>
  <si>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</si>
  <si>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</si>
  <si>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H264 Perf 4096x2160 with incorrectly signed policy negative test</t>
  </si>
  <si>
    <t>VCN140.101</t>
  </si>
  <si>
    <t>HEVC 10-bit 7680x4320 with incorrectly signed policy negative test</t>
  </si>
  <si>
    <t>VCN140.102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</si>
  <si>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</si>
  <si>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</si>
  <si>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</si>
  <si>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</si>
  <si>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</si>
  <si>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</si>
  <si>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</si>
  <si>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</si>
  <si>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</si>
  <si>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</si>
  <si>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AV1 12-bit 7680x4320 with missing keyblob message negative test</t>
  </si>
  <si>
    <t>VCN140.204</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</si>
  <si>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</si>
  <si>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</si>
  <si>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</si>
  <si>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</si>
  <si>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</si>
  <si>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</si>
  <si>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</si>
  <si>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</si>
  <si>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</si>
  <si>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</si>
  <si>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</si>
  <si>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</si>
  <si>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</si>
  <si>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</si>
  <si>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</si>
  <si>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</si>
  <si>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</si>
  <si>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</si>
  <si>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</si>
  <si>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</si>
  <si>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</si>
  <si>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</si>
  <si>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</si>
  <si>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</si>
  <si>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</si>
  <si>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</si>
  <si>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</si>
  <si>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</si>
  <si>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</si>
  <si>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</si>
  <si>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</si>
  <si>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</si>
  <si>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</si>
  <si>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</si>
  <si>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</si>
  <si>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</si>
  <si>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</si>
  <si>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</si>
  <si>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</si>
  <si>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</si>
  <si>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</si>
  <si>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</si>
  <si>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</si>
  <si>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</si>
  <si>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</si>
  <si>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</si>
  <si>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</si>
  <si>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</si>
  <si>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</si>
  <si>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</si>
  <si>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</si>
  <si>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</si>
  <si>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</si>
  <si>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</si>
  <si>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</si>
  <si>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</si>
  <si>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</si>
  <si>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</si>
  <si>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</si>
  <si>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</si>
  <si>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</si>
  <si>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</si>
  <si>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</si>
  <si>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</si>
  <si>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NV48-VCN-032</t>
  </si>
  <si>
    <t>MJPEG Tier 1  decoder Bitstream Tests (JRBC is not enabled)</t>
  </si>
  <si>
    <t>MJPEG decoding 1920x1080 4:2:0</t>
  </si>
  <si>
    <t>VCN200.001</t>
  </si>
  <si>
    <t>MJPEG decoding 1920x1080 4:2:2 YYUV</t>
  </si>
  <si>
    <t>VCN200.002</t>
  </si>
  <si>
    <t>MJPEG decoding 1920x1080 4:2:2 YYYYUUVV</t>
  </si>
  <si>
    <t>VCN200.003</t>
  </si>
  <si>
    <t>MJPEG decoding 1280x720 4:2:0</t>
  </si>
  <si>
    <t>VCN200.004</t>
  </si>
  <si>
    <t>MJPEG decoding 1280x720 4:2:2 YYUV</t>
  </si>
  <si>
    <t>VCN200.005</t>
  </si>
  <si>
    <t>MJPEG decoding 1280x720 4:2:2 YYYYUUVV</t>
  </si>
  <si>
    <t>VCN200.006</t>
  </si>
  <si>
    <t>MJPEG decoding 640x320 4:2:0</t>
  </si>
  <si>
    <t>VCN200.007</t>
  </si>
  <si>
    <t>MJPEG decoding 640x320 4:2:2 YYUV</t>
  </si>
  <si>
    <t>VCN200.008</t>
  </si>
  <si>
    <t>MJPEG decoding 640x320 4:2:2 YYYYUUVV</t>
  </si>
  <si>
    <t>VCN200.009</t>
  </si>
  <si>
    <t>MJPEG decoding 320x240 4:2:0</t>
  </si>
  <si>
    <t>VCN200.010</t>
  </si>
  <si>
    <t>MJPEG decoding 320x240 4:2:2 YYUV</t>
  </si>
  <si>
    <t>VCN200.011</t>
  </si>
  <si>
    <t>MJPEG decoding 320x240 4:2:2 YYYYUUVV</t>
  </si>
  <si>
    <t>VCN200.012</t>
  </si>
  <si>
    <t>MJPEG decoding 8192x16 4:2:0</t>
  </si>
  <si>
    <t>VCN200.013</t>
  </si>
  <si>
    <t>MJPEG decoding 8192x16 4:2:2 YYUV</t>
  </si>
  <si>
    <t>VCN200.014</t>
  </si>
  <si>
    <t>MJPEG decoding 8192x16 4:2:2 YYYYUUVV</t>
  </si>
  <si>
    <t>VCN200.015</t>
  </si>
  <si>
    <t>MJPEG decoding 16x8192 4:2:0</t>
  </si>
  <si>
    <t>VCN200.016</t>
  </si>
  <si>
    <t>MJPEG decoding 16x8192 4:2:2 YYUV</t>
  </si>
  <si>
    <t>VCN200.017</t>
  </si>
  <si>
    <t>MJPEG decoding 16x8192 4:2:2 YYYYUUVV</t>
  </si>
  <si>
    <t>VCN200.018</t>
  </si>
  <si>
    <t>MJPEG decoding 3840x2160 4:2:0</t>
  </si>
  <si>
    <t>VCN200.019</t>
  </si>
  <si>
    <t>MJPEG decoding 3840x2160 4:2:2 YYUV</t>
  </si>
  <si>
    <t>VCN200.020</t>
  </si>
  <si>
    <t>MJPEG decoding 3840x2160 4:2:2 YYYYUUVV</t>
  </si>
  <si>
    <t>VCN200.021</t>
  </si>
  <si>
    <t>MJPEG decoding 8192x8192 4:2:0</t>
  </si>
  <si>
    <t>VCN200.022</t>
  </si>
  <si>
    <t>MJPEG decoding 8192x8192 4:2:2 YYUV</t>
  </si>
  <si>
    <t>VCN200.023</t>
  </si>
  <si>
    <t>MJPEG decoding 8192x8192 4:2:2 YYYYUUVV</t>
  </si>
  <si>
    <t>VCN200.024</t>
  </si>
  <si>
    <t>MJPEG decoding 8200x8200 4:2:0</t>
  </si>
  <si>
    <t>VCN200.025</t>
  </si>
  <si>
    <t>MJPEG decoding 176x220 4:0:0</t>
  </si>
  <si>
    <t>VCN200.026</t>
  </si>
  <si>
    <t>MJPEG decoding 320x180 4:0:0</t>
  </si>
  <si>
    <t>VCN200.027</t>
  </si>
  <si>
    <t>MJPEG Tier 1 decoder Bitstream Tests via JRBC configuration engine</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</si>
  <si>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</si>
  <si>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</si>
  <si>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</si>
  <si>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</si>
  <si>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</si>
  <si>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</si>
  <si>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</si>
  <si>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</si>
  <si>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</si>
  <si>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</si>
  <si>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</si>
  <si>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</si>
  <si>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</si>
  <si>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</si>
  <si>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</si>
  <si>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</si>
  <si>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</si>
  <si>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</si>
  <si>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</si>
  <si>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</si>
  <si>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</si>
  <si>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</si>
  <si>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</si>
  <si>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</si>
  <si>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</si>
  <si>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</si>
  <si>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</si>
  <si>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</si>
  <si>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</si>
  <si>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</si>
  <si>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</si>
  <si>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</si>
  <si>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</si>
  <si>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</si>
  <si>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</si>
  <si>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</si>
  <si>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</si>
  <si>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</si>
  <si>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</si>
  <si>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</si>
  <si>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</si>
  <si>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</si>
  <si>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</si>
  <si>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</si>
  <si>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</si>
  <si>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</si>
  <si>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</si>
  <si>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</si>
  <si>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</si>
  <si>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</si>
  <si>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</si>
  <si>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</si>
  <si>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</si>
  <si>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</si>
  <si>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</si>
  <si>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</si>
  <si>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</si>
  <si>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</si>
  <si>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</si>
  <si>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</si>
  <si>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</si>
  <si>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</si>
  <si>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</si>
  <si>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</si>
  <si>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</si>
  <si>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</si>
  <si>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</si>
  <si>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</si>
  <si>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</si>
  <si>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</si>
  <si>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</si>
  <si>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</si>
  <si>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</si>
  <si>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</si>
  <si>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</si>
  <si>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</si>
  <si>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</si>
  <si>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</si>
  <si>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</si>
  <si>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</si>
  <si>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</si>
  <si>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</si>
  <si>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</si>
  <si>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</si>
  <si>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</si>
  <si>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</si>
  <si>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</si>
  <si>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</si>
  <si>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</si>
  <si>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</si>
  <si>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</si>
  <si>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</si>
  <si>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</si>
  <si>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</si>
  <si>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</si>
  <si>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</si>
  <si>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</si>
  <si>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</si>
  <si>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</si>
  <si>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</si>
  <si>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</si>
  <si>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</si>
  <si>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</si>
  <si>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</si>
  <si>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</si>
  <si>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</si>
  <si>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</si>
  <si>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</si>
  <si>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</si>
  <si>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</si>
  <si>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</si>
  <si>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</si>
  <si>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</si>
  <si>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</si>
  <si>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</si>
  <si>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</si>
  <si>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</si>
  <si>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</si>
  <si>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</si>
  <si>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</si>
  <si>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</si>
  <si>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</si>
  <si>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</si>
  <si>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</si>
  <si>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</si>
  <si>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</si>
  <si>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</si>
  <si>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</si>
  <si>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</si>
  <si>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</si>
  <si>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</si>
  <si>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</si>
  <si>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</si>
  <si>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</si>
  <si>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</si>
  <si>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</si>
  <si>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</si>
  <si>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</si>
  <si>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</si>
  <si>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</si>
  <si>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</si>
  <si>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</si>
  <si>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</si>
  <si>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</si>
  <si>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</si>
  <si>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</si>
  <si>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</si>
  <si>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</si>
  <si>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</si>
  <si>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</si>
  <si>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</si>
  <si>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</si>
  <si>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</si>
  <si>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</si>
  <si>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</si>
  <si>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</si>
  <si>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</si>
  <si>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</si>
  <si>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</si>
  <si>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</si>
  <si>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</si>
  <si>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</si>
  <si>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</si>
  <si>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</si>
  <si>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</si>
  <si>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</si>
  <si>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</si>
  <si>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</si>
  <si>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</si>
  <si>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</si>
  <si>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</si>
  <si>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</si>
  <si>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</si>
  <si>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</si>
  <si>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</si>
  <si>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</si>
  <si>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</si>
  <si>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</si>
  <si>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</si>
  <si>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</si>
  <si>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</si>
  <si>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</si>
  <si>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</si>
  <si>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</si>
  <si>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</si>
  <si>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</si>
  <si>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</si>
  <si>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</si>
  <si>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</si>
  <si>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</si>
  <si>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</si>
  <si>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</si>
  <si>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</si>
  <si>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</si>
  <si>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</si>
  <si>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</si>
  <si>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</si>
  <si>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</si>
  <si>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</si>
  <si>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</si>
  <si>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</si>
  <si>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</si>
  <si>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</si>
  <si>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</si>
  <si>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</si>
  <si>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</si>
  <si>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</si>
  <si>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</si>
  <si>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</si>
  <si>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</si>
  <si>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</si>
  <si>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</si>
  <si>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</si>
  <si>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</si>
  <si>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</si>
  <si>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</si>
  <si>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</si>
  <si>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</si>
  <si>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</si>
  <si>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</si>
  <si>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HW controlled MJPEG Dynamic Power Gating Test - MJPEG Tier 2 Bitstream</t>
  </si>
  <si>
    <t>VCN230.001</t>
  </si>
  <si>
    <t>VCN230.002</t>
  </si>
  <si>
    <t>VCN230.003</t>
  </si>
  <si>
    <t>VCN230.004</t>
  </si>
  <si>
    <t>VMID test for MJPEG non-JRBC decode</t>
  </si>
  <si>
    <t>All VMID match</t>
  </si>
  <si>
    <t>VCN240.001</t>
  </si>
  <si>
    <t>jpeg_wr_vmid not match</t>
  </si>
  <si>
    <t>VCN240.002</t>
  </si>
  <si>
    <t>jpeg_rd_vmid not match</t>
  </si>
  <si>
    <t>VCN240.003</t>
  </si>
  <si>
    <t>jpeg_wr_vmid and jpeg_rd_vmid not match</t>
  </si>
  <si>
    <t>VCN240.004</t>
  </si>
  <si>
    <t>VMID test for MJPEG JRBC decode</t>
  </si>
  <si>
    <t>VCN241.001</t>
  </si>
  <si>
    <t>jrbc_ib_rd_vmid not match</t>
  </si>
  <si>
    <t>VCN241.002</t>
  </si>
  <si>
    <t>jrbc_rb_rd_vmid not match</t>
  </si>
  <si>
    <t>VCN241.003</t>
  </si>
  <si>
    <t>VCN241.004</t>
  </si>
  <si>
    <t>NV48-VCN-018</t>
  </si>
  <si>
    <t>AVC Encoder</t>
  </si>
  <si>
    <t>VCN Encode</t>
  </si>
  <si>
    <t>H264 bit-stream encoding from memory (balance mode)</t>
  </si>
  <si>
    <t>H264 constrained baseline @ level 3.0 128x96 10Mbps</t>
  </si>
  <si>
    <t>VCN300.001</t>
  </si>
  <si>
    <t>H264 constrained baseline @ level 3.0 176x144 10Mbps</t>
  </si>
  <si>
    <t>VCN300.002</t>
  </si>
  <si>
    <t>H264 constrained baseline @ level 3.0 352x288 10Mbps</t>
  </si>
  <si>
    <t>VCN300.003</t>
  </si>
  <si>
    <t>H264 constrained baseline @ level 3.0 352x240 10Mbps</t>
  </si>
  <si>
    <t>VCN300.004</t>
  </si>
  <si>
    <t>H264 constrained baseline @ level 3.0 352x480 10Mbps</t>
  </si>
  <si>
    <t>VCN300.005</t>
  </si>
  <si>
    <t>H264 constrained baseline @ level 3.0 720x480 10Mbps</t>
  </si>
  <si>
    <t>VCN300.006</t>
  </si>
  <si>
    <t>H264 constrained baseline @ level 3.0 640x480 10Mbps</t>
  </si>
  <si>
    <t>VCN300.007</t>
  </si>
  <si>
    <t>H264 main @ level 4.1 1280x720  10Mbps</t>
  </si>
  <si>
    <t>VCN300.008</t>
  </si>
  <si>
    <t>H264 main @ level 4.1 1920x1080 20Mbps</t>
  </si>
  <si>
    <t>VCN300.009</t>
  </si>
  <si>
    <t>H264 main @ level 5.1 3840x2160 50Mbps</t>
  </si>
  <si>
    <t>VCN300.010</t>
  </si>
  <si>
    <t>H264 main @ level 5.1 4096x2160 80Mbps</t>
  </si>
  <si>
    <t>VCN300.011</t>
  </si>
  <si>
    <t>H264 main @ level 5.1 4096x2304 80Mbps</t>
  </si>
  <si>
    <t>VCN300.012</t>
  </si>
  <si>
    <t>H264 main @ level 5.2 3840x2160 60FPS 100Mbps</t>
  </si>
  <si>
    <t>VCN300.013</t>
  </si>
  <si>
    <t>H264 main @ level 5.2 1920x1080 240FPS 100Mbps</t>
  </si>
  <si>
    <t>VCN300.014</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</si>
  <si>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</si>
  <si>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</si>
  <si>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</si>
  <si>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</si>
  <si>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</si>
  <si>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</si>
  <si>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</si>
  <si>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</si>
  <si>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</si>
  <si>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</si>
  <si>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</si>
  <si>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</si>
  <si>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</si>
  <si>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</si>
  <si>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</si>
  <si>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</si>
  <si>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</si>
  <si>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</si>
  <si>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</si>
  <si>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</si>
  <si>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</si>
  <si>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</si>
  <si>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</si>
  <si>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</si>
  <si>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</si>
  <si>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</si>
  <si>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</si>
  <si>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</si>
  <si>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</si>
  <si>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</si>
  <si>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</si>
  <si>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</si>
  <si>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</si>
  <si>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</si>
  <si>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</si>
  <si>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</si>
  <si>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</si>
  <si>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</si>
  <si>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</si>
  <si>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</si>
  <si>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</si>
  <si>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</si>
  <si>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</si>
  <si>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</si>
  <si>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</si>
  <si>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</si>
  <si>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</si>
  <si>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</si>
  <si>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</si>
  <si>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</si>
  <si>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</si>
  <si>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</si>
  <si>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</si>
  <si>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</si>
  <si>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</si>
  <si>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</si>
  <si>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</si>
  <si>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</si>
  <si>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</si>
  <si>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</si>
  <si>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</si>
  <si>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</si>
  <si>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</si>
  <si>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</si>
  <si>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</si>
  <si>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</si>
  <si>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</si>
  <si>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</si>
  <si>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</si>
  <si>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</si>
  <si>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</si>
  <si>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</si>
  <si>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</si>
  <si>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</si>
  <si>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</si>
  <si>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</si>
  <si>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</si>
  <si>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</si>
  <si>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</si>
  <si>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</si>
  <si>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</si>
  <si>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</si>
  <si>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</si>
  <si>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</si>
  <si>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</si>
  <si>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</si>
  <si>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</si>
  <si>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</si>
  <si>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</si>
  <si>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</si>
  <si>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</si>
  <si>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</si>
  <si>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</si>
  <si>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</si>
  <si>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</si>
  <si>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</si>
  <si>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</si>
  <si>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</si>
  <si>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</si>
  <si>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</si>
  <si>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</si>
  <si>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</si>
  <si>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</si>
  <si>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</si>
  <si>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H264 YUV420 1920x1080x30fps Encoding reference frame tiling SW_LINEAR</t>
  </si>
  <si>
    <t>VCN310.010</t>
  </si>
  <si>
    <t>H264 YUV420 1920x1080x30fps Encoding reference frame tiling SW_256B_2D</t>
  </si>
  <si>
    <t>VCN310.011</t>
  </si>
  <si>
    <t>H264 encoding from memory YUV444/RGB444 w/ GFX12 tiling support</t>
  </si>
  <si>
    <t>H264 YUV444 AYUV8888 1920x1080x30fps encoding from memory input tiling SW_256B_2D</t>
  </si>
  <si>
    <t>VCN315.001</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</si>
  <si>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</si>
  <si>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</si>
  <si>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</si>
  <si>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</si>
  <si>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</si>
  <si>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H264 YUV444 ARGB8888 1920x1080x30fps encoding from memory input tiling SW_256B_2D</t>
  </si>
  <si>
    <t>VCN315.010</t>
  </si>
  <si>
    <t>H264 YUV444 ARGB8888 1920x1080x30fps encoding from memory input tiling SW_4KB_2D</t>
  </si>
  <si>
    <t>VCN315.011</t>
  </si>
  <si>
    <t>H264 YUV444 ARGB8888 1920x1080x30fps encoding from memory input tiling SW_64KB_2D</t>
  </si>
  <si>
    <t>VCN315.012</t>
  </si>
  <si>
    <t>H264 YUV444 ARGB8888 1920x1080x30fps encoding from memory input tiling SW_256KB_2D</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</si>
  <si>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</si>
  <si>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</si>
  <si>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</si>
  <si>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</si>
  <si>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</si>
  <si>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</si>
  <si>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</si>
  <si>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</si>
  <si>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</si>
  <si>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</si>
  <si>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</si>
  <si>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</si>
  <si>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</si>
  <si>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</si>
  <si>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</si>
  <si>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</si>
  <si>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</si>
  <si>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</si>
  <si>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</si>
  <si>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</si>
  <si>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</si>
  <si>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</si>
  <si>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</si>
  <si>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</si>
  <si>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</si>
  <si>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</si>
  <si>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</si>
  <si>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</si>
  <si>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</si>
  <si>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</si>
  <si>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</si>
  <si>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</si>
  <si>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</si>
  <si>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</si>
  <si>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</si>
  <si>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</si>
  <si>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</si>
  <si>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</si>
  <si>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</si>
  <si>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</si>
  <si>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</si>
  <si>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</si>
  <si>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</si>
  <si>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</si>
  <si>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</si>
  <si>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</si>
  <si>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</si>
  <si>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</si>
  <si>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</si>
  <si>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</si>
  <si>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</si>
  <si>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</si>
  <si>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</si>
  <si>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</si>
  <si>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</si>
  <si>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</si>
  <si>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</si>
  <si>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</si>
  <si>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</si>
  <si>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</si>
  <si>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</si>
  <si>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</si>
  <si>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</si>
  <si>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</si>
  <si>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</si>
  <si>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</si>
  <si>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</si>
  <si>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</si>
  <si>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</si>
  <si>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</si>
  <si>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</si>
  <si>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</si>
  <si>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</si>
  <si>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</si>
  <si>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</si>
  <si>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</si>
  <si>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</si>
  <si>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</si>
  <si>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</si>
  <si>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</si>
  <si>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</si>
  <si>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</si>
  <si>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</si>
  <si>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</si>
  <si>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</si>
  <si>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</si>
  <si>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</si>
  <si>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</si>
  <si>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</si>
  <si>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</si>
  <si>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</si>
  <si>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</si>
  <si>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</si>
  <si>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</si>
  <si>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</si>
  <si>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</si>
  <si>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</si>
  <si>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</si>
  <si>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</si>
  <si>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</si>
  <si>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</si>
  <si>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</si>
  <si>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</si>
  <si>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</si>
  <si>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</si>
  <si>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</si>
  <si>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</si>
  <si>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</si>
  <si>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NV48-VCN-021</t>
  </si>
  <si>
    <t>[Encode Quality]Encode Pre-analysis</t>
  </si>
  <si>
    <t>H264 bit-stream 2Pass encoding with LSM Reload</t>
  </si>
  <si>
    <t>AVC 1920x1080 ScrollImage_15fps_120f_1920x1080 with PreEncode</t>
  </si>
  <si>
    <t>VCN319.001</t>
  </si>
  <si>
    <t>AVC 1920x1080 ScrollImage_15fps_120f_1920x1080</t>
  </si>
  <si>
    <t>VCN319.002</t>
  </si>
  <si>
    <t>NV48-VCN-037</t>
  </si>
  <si>
    <t>HDCP video Encryption</t>
  </si>
  <si>
    <t>H264 encode to AVM</t>
  </si>
  <si>
    <t>VCN320.001</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</si>
  <si>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</si>
  <si>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</si>
  <si>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</si>
  <si>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</si>
  <si>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</si>
  <si>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</si>
  <si>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</si>
  <si>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</si>
  <si>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NV48-VCN-025</t>
  </si>
  <si>
    <t>Encode Pre-analysis HW support - Gradient</t>
  </si>
  <si>
    <t>H264 encode gradient and on screen statistics</t>
  </si>
  <si>
    <t>VCN321.001</t>
  </si>
  <si>
    <t>VCN321.002</t>
  </si>
  <si>
    <t>H264 B-frame encoding (balance mode)</t>
  </si>
  <si>
    <t>VCN322.001</t>
  </si>
  <si>
    <t>VCN322.002</t>
  </si>
  <si>
    <t>VCN322.003</t>
  </si>
  <si>
    <t>VCN322.004</t>
  </si>
  <si>
    <t>VCN322.005</t>
  </si>
  <si>
    <t>VCN322.006</t>
  </si>
  <si>
    <t>VCN322.007</t>
  </si>
  <si>
    <t>VCN322.008</t>
  </si>
  <si>
    <t>VCN322.009</t>
  </si>
  <si>
    <t>VCN322.010</t>
  </si>
  <si>
    <t>VCN322.011</t>
  </si>
  <si>
    <t>VCN322.012</t>
  </si>
  <si>
    <t>VCN322.013</t>
  </si>
  <si>
    <t>VCN322.014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</si>
  <si>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</si>
  <si>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</si>
  <si>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</si>
  <si>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</si>
  <si>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</si>
  <si>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</si>
  <si>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</si>
  <si>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</si>
  <si>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</si>
  <si>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</si>
  <si>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</si>
  <si>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</si>
  <si>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</si>
  <si>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NV48-VCN-016</t>
  </si>
  <si>
    <t>HEVC 8-bit Encoder</t>
  </si>
  <si>
    <t>H265 bit-stream encoding from memory (balanced mode)</t>
  </si>
  <si>
    <t>H265 64x64 30FPS main profile @ level 1 10Mbps</t>
  </si>
  <si>
    <t>VCN350.001</t>
  </si>
  <si>
    <t>H265 256x128 30FPS main profile @ level 2 10Mbps</t>
  </si>
  <si>
    <t>VCN350.002</t>
  </si>
  <si>
    <t>H265 352x240 30FPS main profile @ level 2 10Mbps</t>
  </si>
  <si>
    <t>VCN350.004</t>
  </si>
  <si>
    <t>H265 640x480 30FPS main profile @ level 3 10Mbps</t>
  </si>
  <si>
    <t>VCN350.005</t>
  </si>
  <si>
    <t>H265 720x576 30FPS main profile @ level 3 10Mbps</t>
  </si>
  <si>
    <t>VCN350.006</t>
  </si>
  <si>
    <t>H265 1280x720 30FPS main profile @ level 3.1 10Mbps</t>
  </si>
  <si>
    <t>VCN350.007</t>
  </si>
  <si>
    <t>H265 1920x1080 30FPS main profile @ level 4 20Mbps</t>
  </si>
  <si>
    <t>VCN350.008</t>
  </si>
  <si>
    <t>H265 3840x2160 30FPS main profile @ level 5 50Mbps</t>
  </si>
  <si>
    <t>VCN350.009</t>
  </si>
  <si>
    <t>H265 4096x2160 30FPS main profile @ level 5 50Mbps</t>
  </si>
  <si>
    <t>VCN350.010</t>
  </si>
  <si>
    <t>H265 1920x1080 240FPS main profile @ level 5.1 100Mbps</t>
  </si>
  <si>
    <t>VCN350.011</t>
  </si>
  <si>
    <t>H265 3840x2160 60FPS main profile @ level 5.1 100Mbps</t>
  </si>
  <si>
    <t>VCN350.012</t>
  </si>
  <si>
    <t>H265 7680x4320 30FPS main profile @ level 5.1 100Mbps</t>
  </si>
  <si>
    <t>VCN350.013</t>
  </si>
  <si>
    <t>H265 8192x4320 30FPS main profile @ level 5.1 100Mbps</t>
  </si>
  <si>
    <t>VCN350.014</t>
  </si>
  <si>
    <t>NV48-VCN-017</t>
  </si>
  <si>
    <t>10-bit HEVC 4:2:0 Encode</t>
  </si>
  <si>
    <t>H265 10 bit 64x64 30FPS main profile @ level 1 10Mbps</t>
  </si>
  <si>
    <t>VCN350.101</t>
  </si>
  <si>
    <t>H265 10 bit 256x128 30FPS main profile @ level 2 10Mbps</t>
  </si>
  <si>
    <t>VCN350.102</t>
  </si>
  <si>
    <t>H265 10 bit 352x240 30FPS main profile @ level 2 10Mbps</t>
  </si>
  <si>
    <t>VCN350.104</t>
  </si>
  <si>
    <t>H265 10 bit 640x480 30FPS main profile @ level 3 10Mbps</t>
  </si>
  <si>
    <t>VCN350.105</t>
  </si>
  <si>
    <t>H265 10 bit 720x576 30FPS main profile @ level 3 10Mbps</t>
  </si>
  <si>
    <t>VCN350.106</t>
  </si>
  <si>
    <t>H265 10 bit 1280x720 30FPS main profile @ level 3.1 10Mbps</t>
  </si>
  <si>
    <t>VCN350.107</t>
  </si>
  <si>
    <t>H265 10 bit 1920x1080 30FPS main profile @ level 4 20Mbps</t>
  </si>
  <si>
    <t>VCN350.108</t>
  </si>
  <si>
    <t>H265 10 bit 3840x2160 30FPS main profile @ level 5 50Mbps</t>
  </si>
  <si>
    <t>VCN350.109</t>
  </si>
  <si>
    <t>H265 10 bit 4096x2160 30FPS main profile @ level 5 50Mbps</t>
  </si>
  <si>
    <t>VCN350.110</t>
  </si>
  <si>
    <t>H265 10 bit 1920x1080 240FPS main10 profile @ level 5.1 100Mbps</t>
  </si>
  <si>
    <t>VCN350.111</t>
  </si>
  <si>
    <t>H265 10 bit 3840x2160 60FPS main10 profile @ level 5.1 100Mbps</t>
  </si>
  <si>
    <t>VCN350.112</t>
  </si>
  <si>
    <t>10-bit HEVC 4:2:0 Encode,
VCLK/DCLK deep sleep support</t>
  </si>
  <si>
    <t>H265 10 bit 7680x4320 30FPS main 10 profile @ level 5.1 100Mbps</t>
  </si>
  <si>
    <t>VCN350.113</t>
  </si>
  <si>
    <t>H265 10 bit 8192x4320 30FPS main 10 profile @ level 5.1 100Mbps</t>
  </si>
  <si>
    <t>VCN350.114</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</si>
  <si>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</si>
  <si>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</si>
  <si>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</si>
  <si>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</si>
  <si>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</si>
  <si>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</si>
  <si>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</si>
  <si>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</si>
  <si>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</si>
  <si>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</si>
  <si>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</si>
  <si>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</si>
  <si>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</si>
  <si>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</si>
  <si>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</si>
  <si>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</si>
  <si>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</si>
  <si>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</si>
  <si>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</si>
  <si>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</si>
  <si>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</si>
  <si>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</si>
  <si>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</si>
  <si>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</si>
  <si>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</si>
  <si>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</si>
  <si>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</si>
  <si>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</si>
  <si>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</si>
  <si>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</si>
  <si>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</si>
  <si>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</si>
  <si>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</si>
  <si>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</si>
  <si>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</si>
  <si>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</si>
  <si>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</si>
  <si>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</si>
  <si>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</si>
  <si>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</si>
  <si>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</si>
  <si>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</si>
  <si>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</si>
  <si>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</si>
  <si>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</si>
  <si>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</si>
  <si>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</si>
  <si>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</si>
  <si>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</si>
  <si>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</si>
  <si>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</si>
  <si>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</si>
  <si>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</si>
  <si>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</si>
  <si>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</si>
  <si>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</si>
  <si>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</si>
  <si>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</si>
  <si>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</si>
  <si>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</si>
  <si>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</si>
  <si>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</si>
  <si>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</si>
  <si>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</si>
  <si>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</si>
  <si>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</si>
  <si>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</si>
  <si>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</si>
  <si>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</si>
  <si>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</si>
  <si>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</si>
  <si>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</si>
  <si>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</si>
  <si>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</si>
  <si>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</si>
  <si>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</si>
  <si>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</si>
  <si>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</si>
  <si>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</si>
  <si>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</si>
  <si>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</si>
  <si>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</si>
  <si>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</si>
  <si>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</si>
  <si>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</si>
  <si>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</si>
  <si>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</si>
  <si>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</si>
  <si>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</si>
  <si>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</si>
  <si>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</si>
  <si>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</si>
  <si>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</si>
  <si>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</si>
  <si>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</si>
  <si>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</si>
  <si>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</si>
  <si>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</si>
  <si>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</si>
  <si>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</si>
  <si>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</si>
  <si>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</si>
  <si>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</si>
  <si>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</si>
  <si>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</si>
  <si>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</si>
  <si>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</si>
  <si>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</si>
  <si>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</si>
  <si>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</si>
  <si>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</si>
  <si>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</si>
  <si>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</si>
  <si>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</si>
  <si>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</si>
  <si>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</si>
  <si>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</si>
  <si>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</si>
  <si>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</si>
  <si>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</si>
  <si>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</si>
  <si>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</si>
  <si>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</si>
  <si>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</si>
  <si>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</si>
  <si>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</si>
  <si>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</si>
  <si>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</si>
  <si>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</si>
  <si>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</si>
  <si>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</si>
  <si>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</si>
  <si>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</si>
  <si>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</si>
  <si>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</si>
  <si>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</si>
  <si>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</si>
  <si>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</si>
  <si>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</si>
  <si>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</si>
  <si>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</si>
  <si>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</si>
  <si>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</si>
  <si>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</si>
  <si>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</si>
  <si>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</si>
  <si>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</si>
  <si>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</si>
  <si>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</si>
  <si>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</si>
  <si>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</si>
  <si>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</si>
  <si>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</si>
  <si>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</si>
  <si>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</si>
  <si>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10 bit 1920x1080 frame rate:60f/s BR: 15M/s peak constrained rate control</t>
  </si>
  <si>
    <t>VCN353.114</t>
  </si>
  <si>
    <t>H265 10 bit 7680x4320 frame rate:24f/s BR: 30-&gt;60-&gt;40M/s latency constrained rate control</t>
  </si>
  <si>
    <t>VCN353.115</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</si>
  <si>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</si>
  <si>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</si>
  <si>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</si>
  <si>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</si>
  <si>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</si>
  <si>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</si>
  <si>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</si>
  <si>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</si>
  <si>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</si>
  <si>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</si>
  <si>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</si>
  <si>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</si>
  <si>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</si>
  <si>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</si>
  <si>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</si>
  <si>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</si>
  <si>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</si>
  <si>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</si>
  <si>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</si>
  <si>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</si>
  <si>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</si>
  <si>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</si>
  <si>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</si>
  <si>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</si>
  <si>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</si>
  <si>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</si>
  <si>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</si>
  <si>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</si>
  <si>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</si>
  <si>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</si>
  <si>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</si>
  <si>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</si>
  <si>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YUV420 1920x1080x30fps encoding input tiling SW_256B_2D</t>
  </si>
  <si>
    <t>VCN355.002</t>
  </si>
  <si>
    <t>H265 YUV420 1920x1080x30fps encoding input tiling SW_4KB_2D</t>
  </si>
  <si>
    <t>VCN355.003</t>
  </si>
  <si>
    <t>H265 YUV420 1920x1080x30fps encoding input tiling SW_64KB_2D</t>
  </si>
  <si>
    <t>VCN355.004</t>
  </si>
  <si>
    <t>H265 YUV420 1920x1080x30fps encoding input tiling SW_256KB_2D</t>
  </si>
  <si>
    <t>H265 YUV420 1920x1080x30fps encoding reference frame tiling SW_LINEAR</t>
  </si>
  <si>
    <t>VCN355.010</t>
  </si>
  <si>
    <t>H265 YUV420 1920x1080x30fps encoding reference frame tiling SW_256B_2D</t>
  </si>
  <si>
    <t>VCN355.011</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</si>
  <si>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</si>
  <si>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</si>
  <si>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</si>
  <si>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</si>
  <si>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</si>
  <si>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</si>
  <si>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</si>
  <si>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</si>
  <si>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</si>
  <si>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</si>
  <si>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</si>
  <si>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</si>
  <si>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</si>
  <si>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</si>
  <si>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</si>
  <si>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</si>
  <si>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</si>
  <si>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</si>
  <si>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</si>
  <si>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</si>
  <si>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</si>
  <si>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</si>
  <si>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</si>
  <si>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</si>
  <si>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</si>
  <si>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</si>
  <si>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</si>
  <si>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</si>
  <si>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</si>
  <si>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</si>
  <si>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</si>
  <si>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</si>
  <si>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</si>
  <si>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</si>
  <si>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</si>
  <si>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</si>
  <si>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</si>
  <si>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</si>
  <si>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</si>
  <si>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</si>
  <si>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</si>
  <si>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</si>
  <si>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</si>
  <si>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</si>
  <si>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</si>
  <si>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</si>
  <si>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</si>
  <si>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</si>
  <si>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</si>
  <si>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</si>
  <si>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</si>
  <si>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</si>
  <si>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</si>
  <si>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</si>
  <si>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</si>
  <si>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</si>
  <si>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</si>
  <si>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</si>
  <si>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H265 RGB444 FP16 ARGB16161616 1920x1080x30fps encoding  input tiling SW_256B_2D</t>
  </si>
  <si>
    <t>VCN360.128</t>
  </si>
  <si>
    <t>H265 RGB444 FP16 ARGB16161616  1920x1080x30fps encoding  input tiling SW_4KB_2D</t>
  </si>
  <si>
    <t>VCN360.129</t>
  </si>
  <si>
    <t>H265 RGB444 FP16 ARGB16161616 1920x1080x30fps encoding  input tiling SW_64KB_2D</t>
  </si>
  <si>
    <t>VCN360.130</t>
  </si>
  <si>
    <t>H265 RGB444 FP16 ARGB16161616 1920x1080x30fps encoding  input tiling SW_256KB_2D</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</si>
  <si>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</si>
  <si>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</si>
  <si>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</si>
  <si>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</si>
  <si>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</si>
  <si>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</si>
  <si>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</si>
  <si>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</si>
  <si>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</si>
  <si>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</si>
  <si>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</si>
  <si>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</si>
  <si>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</si>
  <si>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</si>
  <si>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</si>
  <si>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</si>
  <si>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</si>
  <si>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</si>
  <si>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</si>
  <si>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</si>
  <si>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</si>
  <si>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</si>
  <si>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</si>
  <si>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</si>
  <si>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</si>
  <si>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</si>
  <si>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</si>
  <si>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</si>
  <si>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</si>
  <si>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</si>
  <si>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</si>
  <si>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</si>
  <si>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</si>
  <si>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</si>
  <si>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</si>
  <si>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</si>
  <si>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</si>
  <si>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</si>
  <si>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</si>
  <si>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</si>
  <si>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</si>
  <si>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</si>
  <si>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</si>
  <si>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</si>
  <si>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</si>
  <si>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</si>
  <si>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</si>
  <si>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</si>
  <si>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</si>
  <si>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</si>
  <si>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</si>
  <si>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</si>
  <si>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</si>
  <si>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</si>
  <si>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</si>
  <si>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</si>
  <si>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</si>
  <si>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</si>
  <si>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</si>
  <si>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</si>
  <si>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</si>
  <si>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</si>
  <si>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</si>
  <si>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</si>
  <si>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</si>
  <si>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</si>
  <si>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</si>
  <si>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</si>
  <si>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</si>
  <si>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</si>
  <si>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</si>
  <si>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</si>
  <si>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</si>
  <si>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</si>
  <si>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</si>
  <si>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</si>
  <si>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</si>
  <si>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</si>
  <si>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</si>
  <si>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</si>
  <si>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</si>
  <si>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</si>
  <si>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</si>
  <si>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</si>
  <si>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</si>
  <si>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</si>
  <si>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</si>
  <si>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</si>
  <si>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</si>
  <si>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</si>
  <si>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</si>
  <si>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</si>
  <si>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</si>
  <si>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</si>
  <si>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</si>
  <si>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</si>
  <si>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</si>
  <si>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</si>
  <si>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</si>
  <si>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</si>
  <si>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</si>
  <si>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</si>
  <si>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</si>
  <si>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</si>
  <si>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</si>
  <si>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</si>
  <si>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</si>
  <si>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</si>
  <si>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</si>
  <si>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</si>
  <si>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</si>
  <si>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</si>
  <si>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</si>
  <si>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</si>
  <si>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</si>
  <si>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</si>
  <si>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</si>
  <si>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</si>
  <si>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</si>
  <si>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</si>
  <si>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</si>
  <si>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</si>
  <si>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</si>
  <si>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</si>
  <si>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</si>
  <si>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</si>
  <si>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</si>
  <si>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</si>
  <si>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</si>
  <si>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</si>
  <si>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</si>
  <si>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</si>
  <si>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</si>
  <si>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</si>
  <si>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</si>
  <si>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</si>
  <si>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</si>
  <si>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</si>
  <si>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</si>
  <si>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</si>
  <si>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</si>
  <si>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</si>
  <si>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</si>
  <si>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</si>
  <si>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</si>
  <si>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</si>
  <si>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</si>
  <si>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</si>
  <si>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</si>
  <si>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</si>
  <si>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</si>
  <si>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</si>
  <si>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</si>
  <si>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</si>
  <si>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</si>
  <si>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</si>
  <si>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</si>
  <si>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</si>
  <si>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</si>
  <si>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</si>
  <si>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</si>
  <si>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</si>
  <si>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</si>
  <si>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</si>
  <si>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</si>
  <si>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</si>
  <si>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ASW Motion Vector Dump</t>
  </si>
  <si>
    <t>H265 1280x720p MV GRID_SIZE__16x16 test</t>
  </si>
  <si>
    <t>VCN361.001</t>
  </si>
  <si>
    <t>H265 1920x1080p MV GRID_SIZE__16x16 test</t>
  </si>
  <si>
    <t>VCN361.002</t>
  </si>
  <si>
    <t>H265 3840x2160 MV GRID_SIZE__16x16 test</t>
  </si>
  <si>
    <t>VCN361.003</t>
  </si>
  <si>
    <t>H265 1280x720p MV GRID_SIZE__8x8 test</t>
  </si>
  <si>
    <t>VCN361.004</t>
  </si>
  <si>
    <t>H265 1920x1080p MV GRID_SIZE__8x8 test</t>
  </si>
  <si>
    <t>VCN361.005</t>
  </si>
  <si>
    <t>H265 3840x2160 MV GRID_SIZE__8x8 test</t>
  </si>
  <si>
    <t>VCN361.006</t>
  </si>
  <si>
    <t>H265 bit-stream 2Pass encoding with LSM Reload</t>
  </si>
  <si>
    <t>HEVC 1920x1080 ScrollImage_15fps_120f_1920x1080 with PreEncode</t>
  </si>
  <si>
    <t>VCN362.001</t>
  </si>
  <si>
    <t>HEVC 1920x1080 ScrollImage_15fps_120f_1920x1080</t>
  </si>
  <si>
    <t>VCN362.002</t>
  </si>
  <si>
    <t>H265 bit-stream encoding from memory under TMZ cipher mode</t>
  </si>
  <si>
    <t>VCN363.001</t>
  </si>
  <si>
    <t>VCN363.002</t>
  </si>
  <si>
    <t>VCN363.004</t>
  </si>
  <si>
    <t>VCN363.005</t>
  </si>
  <si>
    <t>VCN363.006</t>
  </si>
  <si>
    <t>VCN363.007</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</si>
  <si>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</si>
  <si>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</si>
  <si>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</si>
  <si>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</si>
  <si>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</si>
  <si>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</si>
  <si>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</si>
  <si>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</si>
  <si>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</si>
  <si>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</si>
  <si>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</si>
  <si>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</si>
  <si>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</si>
  <si>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VCN363.106</t>
  </si>
  <si>
    <t>VCN363.107</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</si>
  <si>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</si>
  <si>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</si>
  <si>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</si>
  <si>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</si>
  <si>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</si>
  <si>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</si>
  <si>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</si>
  <si>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</si>
  <si>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</si>
  <si>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</si>
  <si>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</si>
  <si>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</si>
  <si>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</si>
  <si>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</si>
  <si>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</si>
  <si>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</si>
  <si>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</si>
  <si>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</si>
  <si>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</si>
  <si>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</si>
  <si>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</si>
  <si>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H265 encode gradient and on screen statistics</t>
  </si>
  <si>
    <t>VCN365.001</t>
  </si>
  <si>
    <t>VCN365.002</t>
  </si>
  <si>
    <t>VCN365.003</t>
  </si>
  <si>
    <t>NV48-VCN-058</t>
  </si>
  <si>
    <t>8-bit AV1 Encode</t>
  </si>
  <si>
    <t>AV1 Encode</t>
  </si>
  <si>
    <t>AV1 bit-stream encoding from memory</t>
  </si>
  <si>
    <t>AV1 256x128 30FPS main profile @ level 2 10Mbps</t>
  </si>
  <si>
    <t>VCN400.001</t>
  </si>
  <si>
    <t>AV1 352x240 30FPS main profile @ level 2 10Mbps</t>
  </si>
  <si>
    <t>VCN400.002</t>
  </si>
  <si>
    <t>AV1 640x480 30FPS main profile @ level 3 10Mbps</t>
  </si>
  <si>
    <t>VCN400.003</t>
  </si>
  <si>
    <t>AV1 720x576 30FPS main profile @ level 3 10Mbps</t>
  </si>
  <si>
    <t>VCN400.004</t>
  </si>
  <si>
    <t>AV1 1280x720 30FPS main profile @ level 3.1 10Mbps</t>
  </si>
  <si>
    <t>VCN400.005</t>
  </si>
  <si>
    <t>AV1 1920x1080 30FPS main profile @ level 4 20Mbps</t>
  </si>
  <si>
    <t>VCN400.006</t>
  </si>
  <si>
    <t>AV1 3840x2160 30FPS main profile @ level 5 50Mbps</t>
  </si>
  <si>
    <t>VCN400.007</t>
  </si>
  <si>
    <t>AV1 4096x2160 30FPS main profile @ level 5 50Mbps</t>
  </si>
  <si>
    <t>VCN400.008</t>
  </si>
  <si>
    <t>AV1 1920x1080 240FPS main profile @ level 5.1 100Mbps</t>
  </si>
  <si>
    <t>VCN400.009</t>
  </si>
  <si>
    <t>AV1 3840x2160 60FPS main profile @ level 5.1 100Mbps</t>
  </si>
  <si>
    <t>VCN400.010</t>
  </si>
  <si>
    <t>NV48-VCN-059</t>
  </si>
  <si>
    <t>10-bit AV1 Encode</t>
  </si>
  <si>
    <t>AV1 10 bit 256x128 30FPS main10 profile @ level 2 10Mbps</t>
  </si>
  <si>
    <t>VCN400.101</t>
  </si>
  <si>
    <t>AV1 10 bit 352x240 30FPS main10 profile @ level 2 10Mbps</t>
  </si>
  <si>
    <t>VCN400.102</t>
  </si>
  <si>
    <t>AV1 10 bit 640x480 30FPS main10 profile @ level 3 10Mbps</t>
  </si>
  <si>
    <t>VCN400.103</t>
  </si>
  <si>
    <t>AV1 10 bit 720x576 30FPS main10 profile @ level 3 10Mbps</t>
  </si>
  <si>
    <t>VCN400.104</t>
  </si>
  <si>
    <t>AV1 10 bit 1280x720 30FPS main10 profile @ level 3.1 10Mbps</t>
  </si>
  <si>
    <t>VCN400.105</t>
  </si>
  <si>
    <t>AV1 10 bit 1920x1080 30FPS main10 profile @ level 4 20Mbps</t>
  </si>
  <si>
    <t>VCN400.106</t>
  </si>
  <si>
    <t>AV1 10 bit 3840x2160 30FPS main10 profile @ level 5 50Mbps</t>
  </si>
  <si>
    <t>VCN400.107</t>
  </si>
  <si>
    <t>AV1 10 bit 4096x2160 30FPS main10 profile @ level 5 50Mbps</t>
  </si>
  <si>
    <t>VCN400.108</t>
  </si>
  <si>
    <t>AV1 10 bit 1920x1080 240FPS main10 profile @ level 5.1 100Mbps</t>
  </si>
  <si>
    <t>VCN400.109</t>
  </si>
  <si>
    <t>AV1 10 bit 3840x2160 60FPS main10 profile @ level 5.1 100Mbps</t>
  </si>
  <si>
    <t>VCN400.110</t>
  </si>
  <si>
    <t>AV1 7680x4320 30FPS main profile @ level 6.0 with tiles 160Mbps</t>
  </si>
  <si>
    <t>VCN400.201</t>
  </si>
  <si>
    <t>AV1 8192x4320 30FPS main profile @ level 6.0 with tiles 160Mbps</t>
  </si>
  <si>
    <t>VCN400.202</t>
  </si>
  <si>
    <t>AV1 10 bit 7680x4320 30FPS main 10 profile @ level 6.0 with tiles 160Mbps</t>
  </si>
  <si>
    <t>VCN400.211</t>
  </si>
  <si>
    <t>AV1 10 bit 8192x4320 30FPS main 10 profile @ level 6.0 with tiles 160Mbps</t>
  </si>
  <si>
    <t>VCN400.212</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</si>
  <si>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</si>
  <si>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</si>
  <si>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</si>
  <si>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</si>
  <si>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</si>
  <si>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</si>
  <si>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</si>
  <si>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</si>
  <si>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</si>
  <si>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</si>
  <si>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</si>
  <si>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</si>
  <si>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</si>
  <si>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</si>
  <si>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</si>
  <si>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</si>
  <si>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</si>
  <si>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</si>
  <si>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</si>
  <si>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</si>
  <si>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</si>
  <si>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</si>
  <si>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</si>
  <si>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</si>
  <si>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</si>
  <si>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</si>
  <si>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</si>
  <si>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</si>
  <si>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</si>
  <si>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</si>
  <si>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</si>
  <si>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</si>
  <si>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</si>
  <si>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</si>
  <si>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</si>
  <si>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</si>
  <si>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</si>
  <si>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</si>
  <si>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</si>
  <si>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</si>
  <si>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</si>
  <si>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</si>
  <si>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</si>
  <si>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</si>
  <si>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</si>
  <si>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</si>
  <si>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</si>
  <si>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</si>
  <si>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</si>
  <si>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</si>
  <si>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</si>
  <si>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</si>
  <si>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</si>
  <si>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</si>
  <si>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</si>
  <si>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</si>
  <si>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</si>
  <si>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</si>
  <si>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</si>
  <si>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</si>
  <si>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</si>
  <si>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</si>
  <si>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</si>
  <si>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</si>
  <si>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</si>
  <si>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</si>
  <si>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</si>
  <si>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</si>
  <si>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</si>
  <si>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</si>
  <si>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</si>
  <si>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</si>
  <si>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</si>
  <si>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</si>
  <si>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</si>
  <si>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</si>
  <si>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</si>
  <si>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</si>
  <si>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</si>
  <si>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</si>
  <si>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</si>
  <si>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</si>
  <si>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</si>
  <si>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</si>
  <si>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</si>
  <si>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</si>
  <si>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</si>
  <si>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</si>
  <si>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</si>
  <si>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</si>
  <si>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</si>
  <si>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</si>
  <si>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</si>
  <si>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</si>
  <si>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</si>
  <si>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</si>
  <si>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</si>
  <si>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</si>
  <si>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</si>
  <si>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</si>
  <si>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</si>
  <si>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</si>
  <si>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</si>
  <si>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</si>
  <si>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</si>
  <si>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</si>
  <si>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</si>
  <si>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</si>
  <si>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</si>
  <si>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</si>
  <si>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</si>
  <si>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</si>
  <si>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</si>
  <si>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</si>
  <si>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</si>
  <si>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</si>
  <si>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</si>
  <si>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</si>
  <si>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</si>
  <si>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</si>
  <si>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</si>
  <si>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</si>
  <si>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</si>
  <si>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</si>
  <si>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</si>
  <si>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</si>
  <si>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</si>
  <si>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</si>
  <si>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</si>
  <si>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</si>
  <si>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</si>
  <si>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</si>
  <si>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</si>
  <si>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</si>
  <si>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</si>
  <si>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</si>
  <si>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</si>
  <si>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</si>
  <si>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</si>
  <si>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</si>
  <si>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</si>
  <si>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</si>
  <si>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</si>
  <si>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</si>
  <si>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</si>
  <si>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</si>
  <si>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</si>
  <si>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</si>
  <si>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</si>
  <si>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</si>
  <si>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</si>
  <si>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</si>
  <si>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</si>
  <si>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</si>
  <si>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</si>
  <si>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</si>
  <si>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</si>
  <si>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</si>
  <si>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</si>
  <si>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</si>
  <si>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</si>
  <si>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</si>
  <si>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</si>
  <si>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</si>
  <si>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</si>
  <si>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</si>
  <si>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</si>
  <si>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AV1 10 bit 1920x1080 frame rate:30f/s BR: 10-&gt;30-&gt;20M/s peak constrained rate control</t>
  </si>
  <si>
    <t>VCN403.120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</si>
  <si>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</si>
  <si>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</si>
  <si>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</si>
  <si>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</si>
  <si>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</si>
  <si>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</si>
  <si>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</si>
  <si>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</si>
  <si>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</si>
  <si>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</si>
  <si>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</si>
  <si>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</si>
  <si>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</si>
  <si>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</si>
  <si>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</si>
  <si>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</si>
  <si>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</si>
  <si>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</si>
  <si>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</si>
  <si>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</si>
  <si>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</si>
  <si>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</si>
  <si>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</si>
  <si>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</si>
  <si>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</si>
  <si>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</si>
  <si>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</si>
  <si>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</si>
  <si>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</si>
  <si>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AV1 YUV420 1920x1080x30fps encoding reference frame tiling SW_LINEAR</t>
  </si>
  <si>
    <t>VCN405.010</t>
  </si>
  <si>
    <t>AV1 YUV420 1920x1080x30fps encoding reference frame tiling SW_256B_2D</t>
  </si>
  <si>
    <t>VCN405.011</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</si>
  <si>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</si>
  <si>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</si>
  <si>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</si>
  <si>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</si>
  <si>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</si>
  <si>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</si>
  <si>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</si>
  <si>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</si>
  <si>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</si>
  <si>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</si>
  <si>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</si>
  <si>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</si>
  <si>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</si>
  <si>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</si>
  <si>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</si>
  <si>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</si>
  <si>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</si>
  <si>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</si>
  <si>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</si>
  <si>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</si>
  <si>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</si>
  <si>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</si>
  <si>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</si>
  <si>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</si>
  <si>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</si>
  <si>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</si>
  <si>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</si>
  <si>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</si>
  <si>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</si>
  <si>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</si>
  <si>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</si>
  <si>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</si>
  <si>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</si>
  <si>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</si>
  <si>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</si>
  <si>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</si>
  <si>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</si>
  <si>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</si>
  <si>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</si>
  <si>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</si>
  <si>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</si>
  <si>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</si>
  <si>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</si>
  <si>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YUV444 10bit AYUV2101010 1920x1080x30fps encoding  input tiling SW_256KB_2D</t>
  </si>
  <si>
    <t>AV1 YUV444 10bit AUYV2101010 1920x1080x30fps encoding  input tiling SW_256B_2D</t>
  </si>
  <si>
    <t>VCN460.110</t>
  </si>
  <si>
    <t>AV1 YUV444 10bit AUYV2101010 1920x1080x30fps encoding  input tiling SW_4KB_2D</t>
  </si>
  <si>
    <t>VCN460.111</t>
  </si>
  <si>
    <t>AV1 YUV444 10bit AUYV2101010 1920x1080x30fps encoding  input tiling SW_64KB_2D</t>
  </si>
  <si>
    <t>VCN460.112</t>
  </si>
  <si>
    <t>AV1 YUV444 10bit AUYV2101010 1920x1080x30fps encoding  input tiling SW_256KB_2D</t>
  </si>
  <si>
    <t>AV1 RGB444 10bit ARGB2101010  1920x1080x30fps encoding  input tiling SW_256B_2D</t>
  </si>
  <si>
    <t>VCN460.119</t>
  </si>
  <si>
    <t>AV1 RGB444 10bit ARGB2101010  1920x1080x30fps encoding  input tiling SW_4KB_2D</t>
  </si>
  <si>
    <t>VCN460.120</t>
  </si>
  <si>
    <t>AV1 RGB444 10bit ARGB2101010  1920x1080x30fps encoding  input tiling SW_64KB_2D</t>
  </si>
  <si>
    <t>VCN460.121</t>
  </si>
  <si>
    <t>AV1 RGB444 10bit ARGB2101010  1920x1080x30fps encoding  input tiling SW_256KB_2D</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</si>
  <si>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</si>
  <si>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</si>
  <si>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</si>
  <si>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</si>
  <si>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</si>
  <si>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</si>
  <si>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</si>
  <si>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</si>
  <si>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</si>
  <si>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</si>
  <si>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</si>
  <si>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</si>
  <si>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</si>
  <si>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</si>
  <si>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</si>
  <si>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</si>
  <si>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</si>
  <si>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</si>
  <si>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</si>
  <si>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</si>
  <si>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</si>
  <si>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</si>
  <si>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</si>
  <si>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</si>
  <si>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</si>
  <si>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</si>
  <si>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</si>
  <si>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</si>
  <si>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</si>
  <si>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</si>
  <si>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</si>
  <si>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</si>
  <si>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</si>
  <si>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</si>
  <si>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</si>
  <si>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</si>
  <si>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</si>
  <si>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</si>
  <si>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</si>
  <si>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</si>
  <si>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</si>
  <si>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</si>
  <si>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</si>
  <si>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</si>
  <si>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</si>
  <si>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</si>
  <si>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</si>
  <si>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</si>
  <si>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</si>
  <si>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</si>
  <si>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</si>
  <si>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</si>
  <si>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</si>
  <si>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</si>
  <si>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</si>
  <si>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</si>
  <si>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</si>
  <si>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</si>
  <si>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</si>
  <si>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</si>
  <si>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</si>
  <si>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</si>
  <si>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</si>
  <si>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</si>
  <si>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</si>
  <si>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</si>
  <si>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</si>
  <si>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</si>
  <si>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</si>
  <si>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</si>
  <si>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</si>
  <si>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</si>
  <si>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</si>
  <si>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</si>
  <si>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</si>
  <si>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</si>
  <si>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</si>
  <si>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</si>
  <si>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</si>
  <si>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</si>
  <si>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</si>
  <si>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</si>
  <si>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</si>
  <si>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</si>
  <si>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</si>
  <si>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</si>
  <si>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</si>
  <si>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</si>
  <si>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</si>
  <si>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</si>
  <si>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</si>
  <si>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</si>
  <si>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</si>
  <si>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</si>
  <si>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</si>
  <si>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</si>
  <si>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</si>
  <si>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</si>
  <si>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</si>
  <si>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</si>
  <si>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</si>
  <si>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</si>
  <si>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</si>
  <si>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</si>
  <si>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</si>
  <si>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</si>
  <si>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</si>
  <si>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</si>
  <si>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</si>
  <si>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</si>
  <si>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</si>
  <si>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</si>
  <si>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</si>
  <si>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</si>
  <si>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</si>
  <si>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</si>
  <si>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</si>
  <si>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</si>
  <si>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</si>
  <si>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</si>
  <si>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</si>
  <si>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</si>
  <si>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</si>
  <si>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</si>
  <si>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</si>
  <si>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</si>
  <si>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</si>
  <si>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</si>
  <si>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</si>
  <si>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</si>
  <si>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</si>
  <si>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</si>
  <si>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</si>
  <si>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</si>
  <si>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</si>
  <si>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</si>
  <si>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</si>
  <si>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</si>
  <si>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</si>
  <si>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</si>
  <si>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</si>
  <si>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</si>
  <si>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</si>
  <si>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</si>
  <si>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</si>
  <si>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</si>
  <si>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</si>
  <si>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</si>
  <si>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</si>
  <si>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</si>
  <si>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</si>
  <si>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</si>
  <si>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</si>
  <si>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</si>
  <si>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</si>
  <si>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</si>
  <si>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</si>
  <si>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bit-stream 2Pass encoding with LSM Reload</t>
  </si>
  <si>
    <t>AV1 1920x1080 ScrollImage_15fps_120f_1920x1080 with PreEncode</t>
  </si>
  <si>
    <t>VCN410.001</t>
  </si>
  <si>
    <t>AV1 1920x1080 ScrollImage_15fps_120f_1920x1080</t>
  </si>
  <si>
    <t>VCN410.002</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</si>
  <si>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</si>
  <si>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</si>
  <si>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</si>
  <si>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</si>
  <si>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</si>
  <si>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</si>
  <si>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</si>
  <si>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</si>
  <si>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</si>
  <si>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</si>
  <si>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</si>
  <si>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</si>
  <si>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</si>
  <si>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</si>
  <si>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</si>
  <si>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</si>
  <si>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</si>
  <si>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</si>
  <si>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</si>
  <si>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</si>
  <si>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</si>
  <si>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</si>
  <si>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</si>
  <si>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AV1 10 bit 3840x2160 30FPS main profile @ level 5 50Mbps</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</si>
  <si>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</si>
  <si>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</si>
  <si>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</si>
  <si>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</si>
  <si>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</si>
  <si>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</si>
  <si>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</si>
  <si>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</si>
  <si>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</si>
  <si>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</si>
  <si>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</si>
  <si>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</si>
  <si>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</si>
  <si>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</si>
  <si>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</si>
  <si>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AV1 encode gradient and on screen statistics</t>
  </si>
  <si>
    <t>VCN413.001</t>
  </si>
  <si>
    <t>VCN413.002</t>
  </si>
  <si>
    <t>AV1 10 bit 7680x4320 30FPS main 10 profile @ level 5.1 with tiles 160Mbps</t>
  </si>
  <si>
    <t>VCN413.003</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</si>
  <si>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</si>
  <si>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</si>
  <si>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</si>
  <si>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</si>
  <si>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</si>
  <si>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</si>
  <si>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</si>
  <si>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</si>
  <si>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</si>
  <si>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</si>
  <si>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</si>
  <si>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</si>
  <si>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</si>
  <si>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</si>
  <si>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</si>
  <si>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</si>
  <si>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</si>
  <si>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</si>
  <si>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</si>
  <si>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</si>
  <si>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</si>
  <si>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</si>
  <si>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H264Perf 4096x2160 decode + HEVC 10-bit 7860x4320 decode + VP9 10-bit 7860x4320 decode + AV1 10-bit 7860x4320 decode</t>
  </si>
  <si>
    <t>VCN504.004</t>
  </si>
  <si>
    <t>H264Perf 1920x1080 decode + HEVC 1920x1080 decode + VP9 1920x1080 decode</t>
  </si>
  <si>
    <t>VCN504.005</t>
  </si>
  <si>
    <t>H264Perf 3840x2160 decode + HEVC 10-bit 3840x2160 decode + VP9 10-bit 3840x2160 decode</t>
  </si>
  <si>
    <t>VCN504.006</t>
  </si>
  <si>
    <t>H264Perf 4096x2160 decode + HEVC 8-bit 4096x2160 decode + VP9 10-bit 4096x2160 decode</t>
  </si>
  <si>
    <t>VCN504.007</t>
  </si>
  <si>
    <t>H264Perf 4096x2160 decode + HEVC 10-bit 7860x4320 decode + VP9 10-bit 7860x4320 decode</t>
  </si>
  <si>
    <t>VCN504.008</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</si>
  <si>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</si>
  <si>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</si>
  <si>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</si>
  <si>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</si>
  <si>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</si>
  <si>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</si>
  <si>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</si>
  <si>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</si>
  <si>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</si>
  <si>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</si>
  <si>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</si>
  <si>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</si>
  <si>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2 simultaneous jobs @ 7680x4320</t>
  </si>
  <si>
    <t>VCN511.003</t>
  </si>
  <si>
    <t>VCN Encode Multi-Job tests AV1</t>
  </si>
  <si>
    <t>VCN512.001</t>
  </si>
  <si>
    <t>4 simultaneous jobs @ 3840x2160</t>
  </si>
  <si>
    <t>VCN512.002</t>
  </si>
  <si>
    <t>VCN512.003</t>
  </si>
  <si>
    <t>VCN Encode Multi-Job tests AVC + HEVC + AV1</t>
  </si>
  <si>
    <t>4 AVC Encode 1920x1080 + 4 HEVC Encode 1920x1080 + 4 AV1 Encode 1920x1080</t>
  </si>
  <si>
    <t>VCN513.001</t>
  </si>
  <si>
    <t>2 AVC Encode 3840x2160 + 2 HEVC Encode 3840x2160 + 2 AV1 Encode 3840x2160</t>
  </si>
  <si>
    <t>VCN513.002</t>
  </si>
  <si>
    <t>1 AVC Encode 3840x2160 + 1 HEVC Encode 7680x4320 + 1 AV1 Encode 7680x4320</t>
  </si>
  <si>
    <t>VCN513.003</t>
  </si>
  <si>
    <t>4 AVC Encode 1920x1080 + 4 HEVC Encode 1920x1080</t>
  </si>
  <si>
    <t>VCN513.004</t>
  </si>
  <si>
    <t>2 AVC Encode 3840x2160 + 2 HEVC Encode 3840x2160</t>
  </si>
  <si>
    <t>VCN513.005</t>
  </si>
  <si>
    <t>1 AVC Encode 3840x2160 + 1 HEVC Encode 7680x4320</t>
  </si>
  <si>
    <t>VCN513.006</t>
  </si>
  <si>
    <t>NV48-VCN-093</t>
  </si>
  <si>
    <t>Single Decode+ Multiple Encode (HEVC+H264)+JPEG</t>
  </si>
  <si>
    <t>VCN Multi</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</si>
  <si>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</si>
  <si>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</si>
  <si>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</si>
  <si>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</si>
  <si>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</si>
  <si>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</si>
  <si>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</si>
  <si>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H264Perf 1920x1080 decode + HEVC 1920x1080 decode + VP9 1920x1080 decode + AVC Encode 1920x1080 + HEVC Encode 1920x1080</t>
  </si>
  <si>
    <t>VCN540.004</t>
  </si>
  <si>
    <t>H264Perf 3840x2160 decode + HEVC 3840x2160 decode + VP9 3840x2160 decode AVC Encode 3840x2160 + HEVC Encode 3840x2160</t>
  </si>
  <si>
    <t>VCN540.005</t>
  </si>
  <si>
    <t>H264Perf 4096x2160 decode + HEVC 7680x4320 decode + VP9 7680x4320 decode + AVC Encode 3840x2160 + HEVC Encode 7680x4320</t>
  </si>
  <si>
    <t>VCN540.006</t>
  </si>
  <si>
    <t>Encode + JPEG,
JPEG+Non JPEG Decode,
Multiple decode jobs + Multiple Encode Jobs,
Decode (Instance 0) + Decode (Instance 1),
Encode (Instance 0) + Encode (Instance 1),
MJPEG Decode (Instance 0) + Decode (Instance 1),
Encode  (Instance 0) + Decode (Instance 1),
+B1626AV1 Decode (instance 0) + VP9 Decode (Instance 1)</t>
  </si>
  <si>
    <t>Multi-Instance Multi-Job</t>
  </si>
  <si>
    <t>using vcn subtest to do UMSCH Multi-Instance VCN104.009,VCN105.010,VCN301.008,VCN315.026,VCN322.009,VCN203.023/VCN104.009,VCN105.010,VCN301.008,VCN315.026,VCN322.009</t>
  </si>
  <si>
    <t>VCN1000.001</t>
  </si>
  <si>
    <t>using vcn subtest to do UMSCH Multi-Instance VCN106.310,VCN107.112,VCN120.036,VCN359.008,VCN400.109,VCN203.030/VCN106.310,VCN120.36,VCN359.008</t>
  </si>
  <si>
    <t>VCN1000.002</t>
  </si>
  <si>
    <t>using vcn subtest to do UMSCH Multi-Instance VCN106.310,VCN107.112,VCN120.036,VCN359.008,VCN400.109,VCN210.009/VCN106.310,VCN120.36,VCN359.008</t>
  </si>
  <si>
    <t>VCN1000.003</t>
  </si>
  <si>
    <t>using vcn subtest to do UMSCH Multi-Instance VCN106.014,VCN107.015,VCN350.110/VCN106.014,VCN350.110</t>
  </si>
  <si>
    <t>VCN1000.004</t>
  </si>
  <si>
    <t>using vcn subtest to do UMSCH Multi-Instance VCN105.303/VCN105.303</t>
  </si>
  <si>
    <t>VCN1000.005</t>
  </si>
  <si>
    <t>using vcn subtest to do UMSCH Multi-Instance VCN106.117/VCN106.117</t>
  </si>
  <si>
    <t>VCN1000.006</t>
  </si>
  <si>
    <t>using vcn subtest to do UMSCH Multi-Instance VCN107.120,VCN400.202</t>
  </si>
  <si>
    <t>VCN1000.007</t>
  </si>
  <si>
    <t>using vcn subtest to do UMSCH Multi-Instance VCN107.217</t>
  </si>
  <si>
    <t>VCN1000.008</t>
  </si>
  <si>
    <t>using vcn subtest to do UMSCH Multi-Instance VCN350.114/VCN350.114</t>
  </si>
  <si>
    <t>VCN1000.009</t>
  </si>
  <si>
    <t>using vcn subtest to do UMSCH Multi-Instance VCN160.001,VCN241.001/VCN160.001</t>
  </si>
  <si>
    <t>VCN1000.010</t>
  </si>
  <si>
    <t>NV48-VCN-053</t>
  </si>
  <si>
    <t>UMSCH RS600 core (User mode Scheduler)</t>
  </si>
  <si>
    <t>UMSCH</t>
  </si>
  <si>
    <t>VCN UMSCH FW loading</t>
  </si>
  <si>
    <t>VCN700.001</t>
  </si>
  <si>
    <t>VCN UMSCH Register Tests</t>
  </si>
  <si>
    <t>VCN Video registers w/ UMSCH  Master Instance</t>
  </si>
  <si>
    <t>VCN700.002</t>
  </si>
  <si>
    <t>VCN JPEG registers w/ UMSCH Master Instance</t>
  </si>
  <si>
    <t>VCN700.003</t>
  </si>
  <si>
    <t>VCN AON registers w/ UMSCH Master Instance</t>
  </si>
  <si>
    <t>VCN700.004</t>
  </si>
  <si>
    <t>VCN SLMI registers w/ UMSCH Master Instance</t>
  </si>
  <si>
    <t>VCN700.005</t>
  </si>
  <si>
    <t>VCN SLMI registers w/ UMSCH Slave Instance</t>
  </si>
  <si>
    <t>VCN700.006</t>
  </si>
  <si>
    <t>VCN UMSCH Doorbell Tests</t>
  </si>
  <si>
    <t>Simple single doorbell ring test</t>
  </si>
  <si>
    <t>VCN701.001</t>
  </si>
  <si>
    <t>Doorbell drop with all DB register.EN =0</t>
  </si>
  <si>
    <t>VCN701.002</t>
  </si>
  <si>
    <t>Doorbell drop with mismatch of offset</t>
  </si>
  <si>
    <t>VCN701.003</t>
  </si>
  <si>
    <t>VCN UMSCH Decode Tests</t>
  </si>
  <si>
    <t>VCN704.001</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</si>
  <si>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</si>
  <si>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</si>
  <si>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</si>
  <si>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</si>
  <si>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</si>
  <si>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</si>
  <si>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</si>
  <si>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</si>
  <si>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</si>
  <si>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</si>
  <si>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</si>
  <si>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</si>
  <si>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</si>
  <si>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</si>
  <si>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</si>
  <si>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</si>
  <si>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</si>
  <si>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</si>
  <si>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</si>
  <si>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</si>
  <si>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</si>
  <si>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</si>
  <si>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</si>
  <si>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</si>
  <si>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</si>
  <si>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</si>
  <si>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</si>
  <si>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</si>
  <si>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</si>
  <si>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</si>
  <si>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</si>
  <si>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</si>
  <si>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</si>
  <si>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</si>
  <si>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</si>
  <si>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</si>
  <si>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</si>
  <si>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</si>
  <si>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</si>
  <si>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</si>
  <si>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AV1 8192x4320 24FPS main profile @ level 5.1 bit-stream encoding</t>
  </si>
  <si>
    <t>VCN705.104</t>
  </si>
  <si>
    <t>VCN UMSCH Multiple Context Job Submission</t>
  </si>
  <si>
    <t>H264 3840x2160 decode + H264 3840x2160 60fps encode</t>
  </si>
  <si>
    <t>VCN706.001</t>
  </si>
  <si>
    <t>H265 4096x2160 decode + H265 10-bit 4096x2160 30fps encode</t>
  </si>
  <si>
    <t>VCN706.002</t>
  </si>
  <si>
    <t>H265 10-bit 7680x4320 decode + H265 10-bit 7680x4320 24fps encode</t>
  </si>
  <si>
    <t>VCN706.003</t>
  </si>
  <si>
    <t>VP9 3840x2160 decode + H264 3840x2160 60fps encode</t>
  </si>
  <si>
    <t>VCN706.004</t>
  </si>
  <si>
    <t>VP9 10-bit 7680x4320 decode + H265 10-bit 6780x4320 24fps encode</t>
  </si>
  <si>
    <t>VCN706.005</t>
  </si>
  <si>
    <t>AV1 4096x2160 decode + H265 10-bit 4096x2160 30fps encode</t>
  </si>
  <si>
    <t>VCN706.006</t>
  </si>
  <si>
    <t>AV1 10-bit 7680x4320 decode + H265 10-bit 7680x4320 24fps encode</t>
  </si>
  <si>
    <t>VCN706.007</t>
  </si>
  <si>
    <t>VCN UMSCH Multi-Instance Decode + Encode</t>
  </si>
  <si>
    <t>VCN707.001</t>
  </si>
  <si>
    <t>VCN707.002</t>
  </si>
  <si>
    <t>VCN707.003</t>
  </si>
  <si>
    <t>VCN707.004</t>
  </si>
  <si>
    <t>VCN707.005</t>
  </si>
  <si>
    <t>VCN707.006</t>
  </si>
  <si>
    <t>VCN707.007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</si>
  <si>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</si>
  <si>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</si>
  <si>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</si>
  <si>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</si>
  <si>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</si>
  <si>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</si>
  <si>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</si>
  <si>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</si>
  <si>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</si>
  <si>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</si>
  <si>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</si>
  <si>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</si>
  <si>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</si>
  <si>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</si>
  <si>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</si>
  <si>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</si>
  <si>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</si>
  <si>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</si>
  <si>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</si>
  <si>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</si>
  <si>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</si>
  <si>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</si>
  <si>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</si>
  <si>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</si>
  <si>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</si>
  <si>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</si>
  <si>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</si>
  <si>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</si>
  <si>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</si>
  <si>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</si>
  <si>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</si>
  <si>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</si>
  <si>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</si>
  <si>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</si>
  <si>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</si>
  <si>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</si>
  <si>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</si>
  <si>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</si>
  <si>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</si>
  <si>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</si>
  <si>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</si>
  <si>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</si>
  <si>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</si>
  <si>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</si>
  <si>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NV48-VCN-020</t>
  </si>
  <si>
    <t>AV1 B-Frame Encode</t>
  </si>
  <si>
    <t>Refers to existing types of pre-analysis like LSM search windows for 2 pass encoding</t>
  </si>
  <si>
    <t>NV48-VCN-022</t>
  </si>
  <si>
    <t>EFC HDR to SDR conversion</t>
  </si>
  <si>
    <t>NV48-VCN-023</t>
  </si>
  <si>
    <t>EFC RGB/YUV444 to YUV420 conversion</t>
  </si>
  <si>
    <t>NV48-VCN-026</t>
  </si>
  <si>
    <t>2 reference support (AVC)</t>
  </si>
  <si>
    <t>NV48-VCN-027</t>
  </si>
  <si>
    <t>Bi-directional &amp; uni-directional Compound mode support (AV1)</t>
  </si>
  <si>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</si>
  <si>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</si>
  <si>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</si>
  <si>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</si>
  <si>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</si>
  <si>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</si>
  <si>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</si>
  <si>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</si>
  <si>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</si>
  <si>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</si>
  <si>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</si>
  <si>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</si>
  <si>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</si>
  <si>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</si>
  <si>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</si>
  <si>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</si>
  <si>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</si>
  <si>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</si>
  <si>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</si>
  <si>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</si>
  <si>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</si>
  <si>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</si>
  <si>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</si>
  <si>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</si>
  <si>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</si>
  <si>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</si>
  <si>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</si>
  <si>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</si>
  <si>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</si>
  <si>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</si>
  <si>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</si>
  <si>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</si>
  <si>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</si>
  <si>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</si>
  <si>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</si>
  <si>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</si>
  <si>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</si>
  <si>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</si>
  <si>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</si>
  <si>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</si>
  <si>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</si>
  <si>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</si>
  <si>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</si>
  <si>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</si>
  <si>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</si>
  <si>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</si>
  <si>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</si>
  <si>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</si>
  <si>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</si>
  <si>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</si>
  <si>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</si>
  <si>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</si>
  <si>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</si>
  <si>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</si>
  <si>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</si>
  <si>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</si>
  <si>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</si>
  <si>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</si>
  <si>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</si>
  <si>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</si>
  <si>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</si>
  <si>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</si>
  <si>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</si>
  <si>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</si>
  <si>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</si>
  <si>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</si>
  <si>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</si>
  <si>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</si>
  <si>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</si>
  <si>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</si>
  <si>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</si>
  <si>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</si>
  <si>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</si>
  <si>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</si>
  <si>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</si>
  <si>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</si>
  <si>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</si>
  <si>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</si>
  <si>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</si>
  <si>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</si>
  <si>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</si>
  <si>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</si>
  <si>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</si>
  <si>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</si>
  <si>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</si>
  <si>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</si>
  <si>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</si>
  <si>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</si>
  <si>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</si>
  <si>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</si>
  <si>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</si>
  <si>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</si>
  <si>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</si>
  <si>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</si>
  <si>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</si>
  <si>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</si>
  <si>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</si>
  <si>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</si>
  <si>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</si>
  <si>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</si>
  <si>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</si>
  <si>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</si>
  <si>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</si>
  <si>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</si>
  <si>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</si>
  <si>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</si>
  <si>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</si>
  <si>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</si>
  <si>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</si>
  <si>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</si>
  <si>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</si>
  <si>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</si>
  <si>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</si>
  <si>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</si>
  <si>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</si>
  <si>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</si>
  <si>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</si>
  <si>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</si>
  <si>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</si>
  <si>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</si>
  <si>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</si>
  <si>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</si>
  <si>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</si>
  <si>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</si>
  <si>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</si>
  <si>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</si>
  <si>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</si>
  <si>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</si>
  <si>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</si>
  <si>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</si>
  <si>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</si>
  <si>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</si>
  <si>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</si>
  <si>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</si>
  <si>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</si>
  <si>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</si>
  <si>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</si>
  <si>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</si>
  <si>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</si>
  <si>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</si>
  <si>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</si>
  <si>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</si>
  <si>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</si>
  <si>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</si>
  <si>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</si>
  <si>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</si>
  <si>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</si>
  <si>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</si>
  <si>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</si>
  <si>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</si>
  <si>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</si>
  <si>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</si>
  <si>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</si>
  <si>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</si>
  <si>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</si>
  <si>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</si>
  <si>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</si>
  <si>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</si>
  <si>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</si>
  <si>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</si>
  <si>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</si>
  <si>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</si>
  <si>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</si>
  <si>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</si>
  <si>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</si>
  <si>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</si>
  <si>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</si>
  <si>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</si>
  <si>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</si>
  <si>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</si>
  <si>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</si>
  <si>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</si>
  <si>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</si>
  <si>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</si>
  <si>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</si>
  <si>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</si>
  <si>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</si>
  <si>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</si>
  <si>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</si>
  <si>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</si>
  <si>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</si>
  <si>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NV48-VCN-072</t>
  </si>
  <si>
    <t>NV48-VCN-088</t>
  </si>
  <si>
    <t>NV48-VCN-091</t>
  </si>
  <si>
    <t>NV48-VCN-094</t>
  </si>
  <si>
    <t>NV48-VCN-096</t>
  </si>
  <si>
    <t>NV48-VCN-097</t>
  </si>
  <si>
    <t>NV48-VCN-098</t>
  </si>
  <si>
    <t>NV48-VCN-099</t>
  </si>
  <si>
    <t>NV48-VCN-105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</si>
</sst>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7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14"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30" t="s">
        <v>54</v>
      </c>
      <c r="C1" s="531"/>
      <c r="D1" s="531"/>
      <c r="E1" s="167" t="s">
        <v>55</v>
      </c>
      <c r="F1" s="167" t="s">
        <v>56</v>
      </c>
      <c r="G1" s="110" t="s">
        <v>57</v>
      </c>
    </row>
    <row r="2" spans="1:7" x14ac:dyDescent="0.25">
      <c r="A2" s="116" t="s">
        <v>58</v>
      </c>
      <c r="B2" s="532" t="s">
        <v>59</v>
      </c>
      <c r="C2" s="533"/>
      <c r="D2" s="533"/>
      <c r="E2" s="294" t="s">
        <v>60</v>
      </c>
      <c r="F2" s="294" t="s">
        <v>61</v>
      </c>
      <c r="G2" s="322" t="s">
        <v>62</v>
      </c>
    </row>
    <row r="3" spans="1:7" s="81" customFormat="1" x14ac:dyDescent="0.25">
      <c r="A3" s="202" t="s">
        <v>63</v>
      </c>
      <c r="B3" s="539" t="s">
        <v>64</v>
      </c>
      <c r="C3" s="540"/>
      <c r="D3" s="541"/>
      <c r="E3" s="80" t="s">
        <v>60</v>
      </c>
      <c r="F3" s="80" t="s">
        <v>61</v>
      </c>
      <c r="G3" s="323" t="s">
        <v>62</v>
      </c>
    </row>
    <row r="4" spans="1:7" x14ac:dyDescent="0.25">
      <c r="A4" s="202" t="s">
        <v>65</v>
      </c>
      <c r="B4" s="536" t="s">
        <v>66</v>
      </c>
      <c r="C4" s="537"/>
      <c r="D4" s="538"/>
      <c r="E4" s="80" t="s">
        <v>67</v>
      </c>
      <c r="F4" s="80" t="s">
        <v>61</v>
      </c>
      <c r="G4" s="323" t="s">
        <v>62</v>
      </c>
    </row>
    <row r="5" spans="1:7" x14ac:dyDescent="0.25">
      <c r="A5" s="117" t="s">
        <v>68</v>
      </c>
      <c r="B5" s="536" t="s">
        <v>69</v>
      </c>
      <c r="C5" s="537"/>
      <c r="D5" s="538"/>
      <c r="E5" s="80" t="s">
        <v>67</v>
      </c>
      <c r="F5" s="80" t="s">
        <v>61</v>
      </c>
      <c r="G5" s="323" t="s">
        <v>62</v>
      </c>
    </row>
    <row r="6" spans="1:7" x14ac:dyDescent="0.25">
      <c r="A6" s="117" t="s">
        <v>70</v>
      </c>
      <c r="B6" s="536" t="s">
        <v>71</v>
      </c>
      <c r="C6" s="537"/>
      <c r="D6" s="538"/>
      <c r="E6" s="80" t="s">
        <v>72</v>
      </c>
      <c r="F6" s="80" t="s">
        <v>61</v>
      </c>
      <c r="G6" s="85"/>
    </row>
    <row r="7" spans="1:7" ht="15.75" thickBot="1" x14ac:dyDescent="0.3">
      <c r="A7" s="118" t="s">
        <v>73</v>
      </c>
      <c r="B7" s="534" t="s">
        <v>74</v>
      </c>
      <c r="C7" s="535"/>
      <c r="D7" s="535"/>
      <c r="E7" s="86" t="s">
        <v>72</v>
      </c>
      <c r="F7" s="86"/>
      <c r="G7" s="87"/>
    </row>
    <row r="8" spans="1:7" s="84" customFormat="1" ht="15.75" thickBot="1" x14ac:dyDescent="0.3">
      <c r="A8" s="115" t="s">
        <v>53</v>
      </c>
      <c r="B8" s="392" t="s">
        <v>1</v>
      </c>
      <c r="C8" s="167" t="s">
        <v>75</v>
      </c>
      <c r="D8" s="167" t="s">
        <v>54</v>
      </c>
      <c r="E8" s="167" t="s">
        <v>55</v>
      </c>
      <c r="F8" s="167" t="s">
        <v>56</v>
      </c>
      <c r="G8" s="110" t="s">
        <v>57</v>
      </c>
    </row>
    <row r="9" spans="1:7" ht="105" x14ac:dyDescent="0.25">
      <c r="A9" s="516" t="s">
        <v>58</v>
      </c>
      <c r="B9" s="519" t="s">
        <v>76</v>
      </c>
      <c r="C9" s="329" t="s">
        <v>77</v>
      </c>
      <c r="D9" s="94" t="s">
        <v>78</v>
      </c>
      <c r="E9" s="94" t="s">
        <v>60</v>
      </c>
      <c r="F9" s="94" t="s">
        <v>79</v>
      </c>
      <c r="G9" s="393" t="s">
        <v>80</v>
      </c>
    </row>
    <row r="10" spans="1:7" ht="75" x14ac:dyDescent="0.25">
      <c r="A10" s="517"/>
      <c r="B10" s="520"/>
      <c r="C10" s="325" t="s">
        <v>81</v>
      </c>
      <c r="D10" s="82" t="s">
        <v>82</v>
      </c>
      <c r="E10" s="82" t="s">
        <v>60</v>
      </c>
      <c r="F10" s="82" t="s">
        <v>79</v>
      </c>
      <c r="G10" s="321" t="s">
        <v>83</v>
      </c>
    </row>
    <row r="11" spans="1:7" ht="45" x14ac:dyDescent="0.25">
      <c r="A11" s="517"/>
      <c r="B11" s="520"/>
      <c r="C11" s="325" t="s">
        <v>84</v>
      </c>
      <c r="D11" s="82" t="s">
        <v>85</v>
      </c>
      <c r="E11" s="82" t="s">
        <v>86</v>
      </c>
      <c r="F11" s="82" t="s">
        <v>79</v>
      </c>
      <c r="G11" s="95" t="s">
        <v>87</v>
      </c>
    </row>
    <row r="12" spans="1:7" ht="120" x14ac:dyDescent="0.25">
      <c r="A12" s="517"/>
      <c r="B12" s="520"/>
      <c r="C12" s="325" t="s">
        <v>88</v>
      </c>
      <c r="D12" s="345" t="s">
        <v>89</v>
      </c>
      <c r="E12" s="82" t="s">
        <v>86</v>
      </c>
      <c r="F12" s="82" t="s">
        <v>79</v>
      </c>
      <c r="G12" s="321" t="s">
        <v>90</v>
      </c>
    </row>
    <row r="13" spans="1:7" ht="30" x14ac:dyDescent="0.25">
      <c r="A13" s="517"/>
      <c r="B13" s="520"/>
      <c r="C13" s="325" t="s">
        <v>91</v>
      </c>
      <c r="D13" s="82" t="s">
        <v>92</v>
      </c>
      <c r="E13" s="82" t="s">
        <v>86</v>
      </c>
      <c r="F13" s="82" t="s">
        <v>79</v>
      </c>
      <c r="G13" s="95" t="s">
        <v>93</v>
      </c>
    </row>
    <row r="14" spans="1:7" ht="30" x14ac:dyDescent="0.25">
      <c r="A14" s="517"/>
      <c r="B14" s="520"/>
      <c r="C14" s="325" t="s">
        <v>94</v>
      </c>
      <c r="D14" s="82" t="s">
        <v>95</v>
      </c>
      <c r="E14" s="82" t="s">
        <v>86</v>
      </c>
      <c r="F14" s="82" t="s">
        <v>79</v>
      </c>
      <c r="G14" s="95" t="s">
        <v>93</v>
      </c>
    </row>
    <row r="15" spans="1:7" ht="30" x14ac:dyDescent="0.25">
      <c r="A15" s="517"/>
      <c r="B15" s="520"/>
      <c r="C15" s="121" t="s">
        <v>96</v>
      </c>
      <c r="D15" s="82" t="s">
        <v>97</v>
      </c>
      <c r="E15" s="82" t="s">
        <v>60</v>
      </c>
      <c r="F15" s="82" t="s">
        <v>79</v>
      </c>
      <c r="G15" s="95" t="s">
        <v>98</v>
      </c>
    </row>
    <row r="16" spans="1:7" ht="60" x14ac:dyDescent="0.25">
      <c r="A16" s="517"/>
      <c r="B16" s="520"/>
      <c r="C16" s="325" t="s">
        <v>99</v>
      </c>
      <c r="D16" s="345" t="s">
        <v>100</v>
      </c>
      <c r="E16" s="82" t="s">
        <v>86</v>
      </c>
      <c r="F16" s="82" t="s">
        <v>79</v>
      </c>
      <c r="G16" s="321" t="s">
        <v>101</v>
      </c>
    </row>
    <row r="17" spans="1:7" ht="30" x14ac:dyDescent="0.25">
      <c r="A17" s="517"/>
      <c r="B17" s="520"/>
      <c r="C17" s="325" t="s">
        <v>102</v>
      </c>
      <c r="D17" s="82" t="s">
        <v>103</v>
      </c>
      <c r="E17" s="82" t="s">
        <v>86</v>
      </c>
      <c r="F17" s="82" t="s">
        <v>79</v>
      </c>
      <c r="G17" s="95" t="s">
        <v>104</v>
      </c>
    </row>
    <row r="18" spans="1:7" ht="45" x14ac:dyDescent="0.25">
      <c r="A18" s="517"/>
      <c r="B18" s="520"/>
      <c r="C18" s="325" t="s">
        <v>105</v>
      </c>
      <c r="D18" s="82" t="s">
        <v>106</v>
      </c>
      <c r="E18" s="82" t="s">
        <v>86</v>
      </c>
      <c r="F18" s="82" t="s">
        <v>79</v>
      </c>
      <c r="G18" s="95" t="s">
        <v>107</v>
      </c>
    </row>
    <row r="19" spans="1:7" x14ac:dyDescent="0.25">
      <c r="A19" s="517"/>
      <c r="B19" s="520"/>
      <c r="C19" s="325" t="s">
        <v>108</v>
      </c>
      <c r="D19" s="82" t="s">
        <v>109</v>
      </c>
      <c r="E19" s="82" t="s">
        <v>86</v>
      </c>
      <c r="F19" s="82" t="s">
        <v>79</v>
      </c>
      <c r="G19" s="95" t="s">
        <v>110</v>
      </c>
    </row>
    <row r="20" spans="1:7" ht="105.75" thickBot="1" x14ac:dyDescent="0.3">
      <c r="A20" s="517"/>
      <c r="B20" s="521"/>
      <c r="C20" s="394" t="s">
        <v>1</v>
      </c>
      <c r="D20" s="475" t="s">
        <v>111</v>
      </c>
      <c r="E20" s="366" t="s">
        <v>86</v>
      </c>
      <c r="F20" s="366" t="s">
        <v>79</v>
      </c>
      <c r="G20" s="395" t="s">
        <v>112</v>
      </c>
    </row>
    <row r="21" spans="1:7" ht="45" x14ac:dyDescent="0.25">
      <c r="A21" s="517"/>
      <c r="B21" s="553" t="s">
        <v>113</v>
      </c>
      <c r="C21" s="326" t="s">
        <v>114</v>
      </c>
      <c r="D21" s="105" t="s">
        <v>115</v>
      </c>
      <c r="E21" s="105" t="s">
        <v>86</v>
      </c>
      <c r="F21" s="105" t="s">
        <v>116</v>
      </c>
      <c r="G21" s="168" t="s">
        <v>117</v>
      </c>
    </row>
    <row r="22" spans="1:7" ht="30" x14ac:dyDescent="0.25">
      <c r="A22" s="517"/>
      <c r="B22" s="554"/>
      <c r="C22" s="327" t="s">
        <v>118</v>
      </c>
      <c r="D22" s="399" t="s">
        <v>119</v>
      </c>
      <c r="E22" s="399" t="s">
        <v>86</v>
      </c>
      <c r="F22" s="399" t="s">
        <v>116</v>
      </c>
      <c r="G22" s="400" t="s">
        <v>120</v>
      </c>
    </row>
    <row r="23" spans="1:7" ht="15.75" thickBot="1" x14ac:dyDescent="0.3">
      <c r="A23" s="517"/>
      <c r="B23" s="555"/>
      <c r="C23" s="401" t="s">
        <v>121</v>
      </c>
      <c r="D23" s="107" t="s">
        <v>122</v>
      </c>
      <c r="E23" s="107" t="s">
        <v>86</v>
      </c>
      <c r="F23" s="107" t="s">
        <v>116</v>
      </c>
      <c r="G23" s="108" t="s">
        <v>123</v>
      </c>
    </row>
    <row r="24" spans="1:7" ht="30" customHeight="1" x14ac:dyDescent="0.25">
      <c r="A24" s="517"/>
      <c r="B24" s="556" t="s">
        <v>124</v>
      </c>
      <c r="C24" s="396" t="s">
        <v>125</v>
      </c>
      <c r="D24" s="397" t="s">
        <v>126</v>
      </c>
      <c r="E24" s="397" t="s">
        <v>86</v>
      </c>
      <c r="F24" s="397" t="s">
        <v>79</v>
      </c>
      <c r="G24" s="398" t="s">
        <v>127</v>
      </c>
    </row>
    <row r="25" spans="1:7" ht="30" customHeight="1" x14ac:dyDescent="0.25">
      <c r="A25" s="517"/>
      <c r="B25" s="557"/>
      <c r="C25" s="327" t="s">
        <v>128</v>
      </c>
      <c r="D25" s="109" t="s">
        <v>129</v>
      </c>
      <c r="E25" s="109" t="s">
        <v>86</v>
      </c>
      <c r="F25" s="109" t="s">
        <v>130</v>
      </c>
      <c r="G25" s="510" t="s">
        <v>131</v>
      </c>
    </row>
    <row r="26" spans="1:7" ht="30" x14ac:dyDescent="0.25">
      <c r="A26" s="517"/>
      <c r="B26" s="557"/>
      <c r="C26" s="275" t="s">
        <v>132</v>
      </c>
      <c r="D26" s="109" t="s">
        <v>133</v>
      </c>
      <c r="E26" s="109" t="s">
        <v>86</v>
      </c>
      <c r="F26" s="109" t="s">
        <v>130</v>
      </c>
      <c r="G26" s="511"/>
    </row>
    <row r="27" spans="1:7" x14ac:dyDescent="0.25">
      <c r="A27" s="517"/>
      <c r="B27" s="557"/>
      <c r="C27" s="327" t="s">
        <v>30</v>
      </c>
      <c r="D27" s="109" t="s">
        <v>134</v>
      </c>
      <c r="E27" s="109" t="s">
        <v>86</v>
      </c>
      <c r="F27" s="109" t="s">
        <v>130</v>
      </c>
      <c r="G27" s="511"/>
    </row>
    <row r="28" spans="1:7" x14ac:dyDescent="0.25">
      <c r="A28" s="517"/>
      <c r="B28" s="557"/>
      <c r="C28" s="327" t="s">
        <v>135</v>
      </c>
      <c r="D28" s="109" t="s">
        <v>136</v>
      </c>
      <c r="E28" s="109" t="s">
        <v>86</v>
      </c>
      <c r="F28" s="109" t="s">
        <v>130</v>
      </c>
      <c r="G28" s="511"/>
    </row>
    <row r="29" spans="1:7" x14ac:dyDescent="0.25">
      <c r="A29" s="517"/>
      <c r="B29" s="557"/>
      <c r="C29" s="327" t="s">
        <v>36</v>
      </c>
      <c r="D29" s="109" t="s">
        <v>137</v>
      </c>
      <c r="E29" s="109" t="s">
        <v>86</v>
      </c>
      <c r="F29" s="109" t="s">
        <v>130</v>
      </c>
      <c r="G29" s="511"/>
    </row>
    <row r="30" spans="1:7" x14ac:dyDescent="0.25">
      <c r="A30" s="517"/>
      <c r="B30" s="557"/>
      <c r="C30" s="327" t="s">
        <v>138</v>
      </c>
      <c r="D30" s="109" t="s">
        <v>139</v>
      </c>
      <c r="E30" s="109" t="s">
        <v>86</v>
      </c>
      <c r="F30" s="109" t="s">
        <v>130</v>
      </c>
      <c r="G30" s="511"/>
    </row>
    <row r="31" spans="1:7" x14ac:dyDescent="0.25">
      <c r="A31" s="517"/>
      <c r="B31" s="557"/>
      <c r="C31" s="275" t="s">
        <v>140</v>
      </c>
      <c r="D31" s="109" t="s">
        <v>141</v>
      </c>
      <c r="E31" s="109" t="s">
        <v>86</v>
      </c>
      <c r="F31" s="109" t="s">
        <v>130</v>
      </c>
      <c r="G31" s="511"/>
    </row>
    <row r="32" spans="1:7" ht="30.75" thickBot="1" x14ac:dyDescent="0.3">
      <c r="A32" s="517"/>
      <c r="B32" s="558"/>
      <c r="C32" s="328" t="s">
        <v>142</v>
      </c>
      <c r="D32" s="104" t="s">
        <v>143</v>
      </c>
      <c r="E32" s="104" t="s">
        <v>86</v>
      </c>
      <c r="F32" s="104" t="s">
        <v>130</v>
      </c>
      <c r="G32" s="512"/>
    </row>
    <row r="33" spans="1:7" ht="30" x14ac:dyDescent="0.25">
      <c r="A33" s="517"/>
      <c r="B33" s="559" t="s">
        <v>144</v>
      </c>
      <c r="C33" s="310" t="s">
        <v>132</v>
      </c>
      <c r="D33" s="273" t="s">
        <v>145</v>
      </c>
      <c r="E33" s="273" t="s">
        <v>86</v>
      </c>
      <c r="F33" s="273" t="s">
        <v>146</v>
      </c>
      <c r="G33" s="274" t="s">
        <v>147</v>
      </c>
    </row>
    <row r="34" spans="1:7" x14ac:dyDescent="0.25">
      <c r="A34" s="517"/>
      <c r="B34" s="560"/>
      <c r="C34" s="325" t="s">
        <v>30</v>
      </c>
      <c r="D34" s="83" t="s">
        <v>148</v>
      </c>
      <c r="E34" s="83" t="s">
        <v>86</v>
      </c>
      <c r="F34" s="83" t="s">
        <v>146</v>
      </c>
      <c r="G34" s="99"/>
    </row>
    <row r="35" spans="1:7" x14ac:dyDescent="0.25">
      <c r="A35" s="517"/>
      <c r="B35" s="560"/>
      <c r="C35" s="325" t="s">
        <v>135</v>
      </c>
      <c r="D35" s="83" t="s">
        <v>149</v>
      </c>
      <c r="E35" s="83" t="s">
        <v>86</v>
      </c>
      <c r="F35" s="83" t="s">
        <v>146</v>
      </c>
      <c r="G35" s="99" t="s">
        <v>150</v>
      </c>
    </row>
    <row r="36" spans="1:7" x14ac:dyDescent="0.25">
      <c r="A36" s="517"/>
      <c r="B36" s="560"/>
      <c r="C36" s="325" t="s">
        <v>36</v>
      </c>
      <c r="D36" s="83" t="s">
        <v>151</v>
      </c>
      <c r="E36" s="83" t="s">
        <v>86</v>
      </c>
      <c r="F36" s="83" t="s">
        <v>146</v>
      </c>
      <c r="G36" s="113"/>
    </row>
    <row r="37" spans="1:7" x14ac:dyDescent="0.25">
      <c r="A37" s="517"/>
      <c r="B37" s="560"/>
      <c r="C37" s="325" t="s">
        <v>138</v>
      </c>
      <c r="D37" s="83" t="s">
        <v>152</v>
      </c>
      <c r="E37" s="83" t="s">
        <v>86</v>
      </c>
      <c r="F37" s="83" t="s">
        <v>146</v>
      </c>
      <c r="G37" s="99" t="s">
        <v>153</v>
      </c>
    </row>
    <row r="38" spans="1:7" x14ac:dyDescent="0.25">
      <c r="A38" s="517"/>
      <c r="B38" s="560"/>
      <c r="C38" s="276" t="s">
        <v>140</v>
      </c>
      <c r="D38" s="83" t="s">
        <v>154</v>
      </c>
      <c r="E38" s="83" t="s">
        <v>86</v>
      </c>
      <c r="F38" s="83" t="s">
        <v>146</v>
      </c>
      <c r="G38" s="99"/>
    </row>
    <row r="39" spans="1:7" ht="30" x14ac:dyDescent="0.25">
      <c r="A39" s="517"/>
      <c r="B39" s="560"/>
      <c r="C39" s="327" t="s">
        <v>155</v>
      </c>
      <c r="D39" s="83" t="s">
        <v>156</v>
      </c>
      <c r="E39" s="83" t="s">
        <v>86</v>
      </c>
      <c r="F39" s="83" t="s">
        <v>146</v>
      </c>
      <c r="G39" s="99"/>
    </row>
    <row r="40" spans="1:7" ht="30" x14ac:dyDescent="0.25">
      <c r="A40" s="517"/>
      <c r="B40" s="560"/>
      <c r="C40" s="276" t="s">
        <v>157</v>
      </c>
      <c r="D40" s="83" t="s">
        <v>158</v>
      </c>
      <c r="E40" s="83" t="s">
        <v>60</v>
      </c>
      <c r="F40" s="83" t="s">
        <v>146</v>
      </c>
      <c r="G40" s="99" t="s">
        <v>159</v>
      </c>
    </row>
    <row r="41" spans="1:7" ht="45.75" thickBot="1" x14ac:dyDescent="0.3">
      <c r="A41" s="517"/>
      <c r="B41" s="561"/>
      <c r="C41" s="324" t="s">
        <v>160</v>
      </c>
      <c r="D41" s="100" t="s">
        <v>161</v>
      </c>
      <c r="E41" s="100" t="s">
        <v>86</v>
      </c>
      <c r="F41" s="100" t="s">
        <v>146</v>
      </c>
      <c r="G41" s="101" t="s">
        <v>162</v>
      </c>
    </row>
    <row r="42" spans="1:7" ht="135.75" thickBot="1" x14ac:dyDescent="0.3">
      <c r="A42" s="516" t="s">
        <v>63</v>
      </c>
      <c r="B42" s="402" t="s">
        <v>163</v>
      </c>
      <c r="C42" s="329" t="s">
        <v>88</v>
      </c>
      <c r="D42" s="403" t="s">
        <v>164</v>
      </c>
      <c r="E42" s="403" t="s">
        <v>86</v>
      </c>
      <c r="F42" s="403" t="s">
        <v>79</v>
      </c>
      <c r="G42" s="404" t="s">
        <v>165</v>
      </c>
    </row>
    <row r="43" spans="1:7" ht="15" customHeight="1" x14ac:dyDescent="0.25">
      <c r="A43" s="517"/>
      <c r="B43" s="545" t="s">
        <v>166</v>
      </c>
      <c r="C43" s="307" t="s">
        <v>167</v>
      </c>
      <c r="D43" s="295" t="s">
        <v>168</v>
      </c>
      <c r="E43" s="295" t="s">
        <v>67</v>
      </c>
      <c r="F43" s="295" t="s">
        <v>79</v>
      </c>
      <c r="G43" s="278" t="s">
        <v>169</v>
      </c>
    </row>
    <row r="44" spans="1:7" ht="30" x14ac:dyDescent="0.25">
      <c r="A44" s="517"/>
      <c r="B44" s="546"/>
      <c r="C44" s="308" t="s">
        <v>128</v>
      </c>
      <c r="D44" s="296" t="s">
        <v>170</v>
      </c>
      <c r="E44" s="296" t="s">
        <v>67</v>
      </c>
      <c r="F44" s="296" t="s">
        <v>79</v>
      </c>
      <c r="G44" s="279" t="s">
        <v>169</v>
      </c>
    </row>
    <row r="45" spans="1:7" ht="30" x14ac:dyDescent="0.25">
      <c r="A45" s="517"/>
      <c r="B45" s="546"/>
      <c r="C45" s="308" t="s">
        <v>105</v>
      </c>
      <c r="D45" s="296" t="s">
        <v>171</v>
      </c>
      <c r="E45" s="296" t="s">
        <v>67</v>
      </c>
      <c r="F45" s="296" t="s">
        <v>79</v>
      </c>
      <c r="G45" s="279" t="s">
        <v>172</v>
      </c>
    </row>
    <row r="46" spans="1:7" x14ac:dyDescent="0.25">
      <c r="A46" s="517"/>
      <c r="B46" s="546"/>
      <c r="C46" s="308" t="s">
        <v>173</v>
      </c>
      <c r="D46" s="296" t="s">
        <v>174</v>
      </c>
      <c r="E46" s="296" t="s">
        <v>67</v>
      </c>
      <c r="F46" s="296" t="s">
        <v>79</v>
      </c>
      <c r="G46" s="279" t="s">
        <v>169</v>
      </c>
    </row>
    <row r="47" spans="1:7" ht="15.75" thickBot="1" x14ac:dyDescent="0.3">
      <c r="A47" s="517"/>
      <c r="B47" s="547"/>
      <c r="C47" s="309" t="s">
        <v>175</v>
      </c>
      <c r="D47" s="297" t="s">
        <v>176</v>
      </c>
      <c r="E47" s="296" t="s">
        <v>67</v>
      </c>
      <c r="F47" s="297" t="s">
        <v>79</v>
      </c>
      <c r="G47" s="280" t="s">
        <v>169</v>
      </c>
    </row>
    <row r="48" spans="1:7" ht="30" x14ac:dyDescent="0.25">
      <c r="A48" s="517"/>
      <c r="B48" s="548" t="s">
        <v>177</v>
      </c>
      <c r="C48" s="304" t="s">
        <v>132</v>
      </c>
      <c r="D48" s="298" t="s">
        <v>178</v>
      </c>
      <c r="E48" s="298" t="s">
        <v>67</v>
      </c>
      <c r="F48" s="298" t="s">
        <v>130</v>
      </c>
      <c r="G48" s="513" t="s">
        <v>179</v>
      </c>
    </row>
    <row r="49" spans="1:7" ht="30" x14ac:dyDescent="0.25">
      <c r="A49" s="517"/>
      <c r="B49" s="548"/>
      <c r="C49" s="305" t="s">
        <v>30</v>
      </c>
      <c r="D49" s="281" t="s">
        <v>180</v>
      </c>
      <c r="E49" s="281" t="s">
        <v>67</v>
      </c>
      <c r="F49" s="281" t="s">
        <v>130</v>
      </c>
      <c r="G49" s="514"/>
    </row>
    <row r="50" spans="1:7" ht="30" x14ac:dyDescent="0.25">
      <c r="A50" s="517"/>
      <c r="B50" s="548"/>
      <c r="C50" s="305" t="s">
        <v>135</v>
      </c>
      <c r="D50" s="281" t="s">
        <v>181</v>
      </c>
      <c r="E50" s="281" t="s">
        <v>67</v>
      </c>
      <c r="F50" s="281" t="s">
        <v>130</v>
      </c>
      <c r="G50" s="514"/>
    </row>
    <row r="51" spans="1:7" ht="30" x14ac:dyDescent="0.25">
      <c r="A51" s="517"/>
      <c r="B51" s="548"/>
      <c r="C51" s="305" t="s">
        <v>36</v>
      </c>
      <c r="D51" s="281" t="s">
        <v>182</v>
      </c>
      <c r="E51" s="281" t="s">
        <v>67</v>
      </c>
      <c r="F51" s="281" t="s">
        <v>130</v>
      </c>
      <c r="G51" s="514"/>
    </row>
    <row r="52" spans="1:7" ht="30" x14ac:dyDescent="0.25">
      <c r="A52" s="517"/>
      <c r="B52" s="548"/>
      <c r="C52" s="305" t="s">
        <v>138</v>
      </c>
      <c r="D52" s="281" t="s">
        <v>183</v>
      </c>
      <c r="E52" s="281" t="s">
        <v>67</v>
      </c>
      <c r="F52" s="281" t="s">
        <v>130</v>
      </c>
      <c r="G52" s="514"/>
    </row>
    <row r="53" spans="1:7" ht="30" x14ac:dyDescent="0.25">
      <c r="A53" s="517"/>
      <c r="B53" s="548"/>
      <c r="C53" s="305" t="s">
        <v>184</v>
      </c>
      <c r="D53" s="281" t="s">
        <v>185</v>
      </c>
      <c r="E53" s="281" t="s">
        <v>67</v>
      </c>
      <c r="F53" s="281" t="s">
        <v>130</v>
      </c>
      <c r="G53" s="514"/>
    </row>
    <row r="54" spans="1:7" x14ac:dyDescent="0.25">
      <c r="A54" s="517"/>
      <c r="B54" s="548"/>
      <c r="C54" s="305" t="s">
        <v>140</v>
      </c>
      <c r="D54" s="281" t="s">
        <v>186</v>
      </c>
      <c r="E54" s="281" t="s">
        <v>67</v>
      </c>
      <c r="F54" s="281" t="s">
        <v>130</v>
      </c>
      <c r="G54" s="514"/>
    </row>
    <row r="55" spans="1:7" ht="30.75" thickBot="1" x14ac:dyDescent="0.3">
      <c r="A55" s="517"/>
      <c r="B55" s="549"/>
      <c r="C55" s="306" t="s">
        <v>187</v>
      </c>
      <c r="D55" s="299" t="s">
        <v>188</v>
      </c>
      <c r="E55" s="299" t="s">
        <v>67</v>
      </c>
      <c r="F55" s="299" t="s">
        <v>130</v>
      </c>
      <c r="G55" s="515"/>
    </row>
    <row r="56" spans="1:7" ht="30" x14ac:dyDescent="0.25">
      <c r="A56" s="517"/>
      <c r="B56" s="550" t="s">
        <v>144</v>
      </c>
      <c r="C56" s="389" t="s">
        <v>132</v>
      </c>
      <c r="D56" s="390" t="s">
        <v>189</v>
      </c>
      <c r="E56" s="390" t="s">
        <v>67</v>
      </c>
      <c r="F56" s="390" t="s">
        <v>146</v>
      </c>
      <c r="G56" s="391" t="s">
        <v>169</v>
      </c>
    </row>
    <row r="57" spans="1:7" ht="30" x14ac:dyDescent="0.25">
      <c r="A57" s="517"/>
      <c r="B57" s="551"/>
      <c r="C57" s="302" t="s">
        <v>30</v>
      </c>
      <c r="D57" s="300" t="s">
        <v>190</v>
      </c>
      <c r="E57" s="300" t="s">
        <v>67</v>
      </c>
      <c r="F57" s="300" t="s">
        <v>146</v>
      </c>
      <c r="G57" s="277" t="s">
        <v>169</v>
      </c>
    </row>
    <row r="58" spans="1:7" ht="30" x14ac:dyDescent="0.25">
      <c r="A58" s="517"/>
      <c r="B58" s="551"/>
      <c r="C58" s="302" t="s">
        <v>135</v>
      </c>
      <c r="D58" s="300" t="s">
        <v>191</v>
      </c>
      <c r="E58" s="300" t="s">
        <v>67</v>
      </c>
      <c r="F58" s="300" t="s">
        <v>146</v>
      </c>
      <c r="G58" s="277" t="s">
        <v>169</v>
      </c>
    </row>
    <row r="59" spans="1:7" x14ac:dyDescent="0.25">
      <c r="A59" s="517"/>
      <c r="B59" s="551"/>
      <c r="C59" s="302" t="s">
        <v>36</v>
      </c>
      <c r="D59" s="300" t="s">
        <v>192</v>
      </c>
      <c r="E59" s="300" t="s">
        <v>67</v>
      </c>
      <c r="F59" s="300" t="s">
        <v>146</v>
      </c>
      <c r="G59" s="277" t="s">
        <v>169</v>
      </c>
    </row>
    <row r="60" spans="1:7" ht="30" x14ac:dyDescent="0.25">
      <c r="A60" s="517"/>
      <c r="B60" s="551"/>
      <c r="C60" s="302" t="s">
        <v>138</v>
      </c>
      <c r="D60" s="300" t="s">
        <v>193</v>
      </c>
      <c r="E60" s="300" t="s">
        <v>67</v>
      </c>
      <c r="F60" s="300" t="s">
        <v>146</v>
      </c>
      <c r="G60" s="277" t="s">
        <v>169</v>
      </c>
    </row>
    <row r="61" spans="1:7" x14ac:dyDescent="0.25">
      <c r="A61" s="517"/>
      <c r="B61" s="551"/>
      <c r="C61" s="302" t="s">
        <v>184</v>
      </c>
      <c r="D61" s="300" t="s">
        <v>194</v>
      </c>
      <c r="E61" s="300" t="s">
        <v>67</v>
      </c>
      <c r="F61" s="300" t="s">
        <v>146</v>
      </c>
      <c r="G61" s="277" t="s">
        <v>169</v>
      </c>
    </row>
    <row r="62" spans="1:7" x14ac:dyDescent="0.25">
      <c r="A62" s="517"/>
      <c r="B62" s="551"/>
      <c r="C62" s="302" t="s">
        <v>140</v>
      </c>
      <c r="D62" s="300" t="s">
        <v>195</v>
      </c>
      <c r="E62" s="300" t="s">
        <v>67</v>
      </c>
      <c r="F62" s="300" t="s">
        <v>146</v>
      </c>
      <c r="G62" s="277" t="s">
        <v>169</v>
      </c>
    </row>
    <row r="63" spans="1:7" ht="15.75" thickBot="1" x14ac:dyDescent="0.3">
      <c r="A63" s="518"/>
      <c r="B63" s="552"/>
      <c r="C63" s="303" t="s">
        <v>187</v>
      </c>
      <c r="D63" s="301" t="s">
        <v>196</v>
      </c>
      <c r="E63" s="301" t="s">
        <v>67</v>
      </c>
      <c r="F63" s="301" t="s">
        <v>146</v>
      </c>
      <c r="G63" s="282" t="s">
        <v>169</v>
      </c>
    </row>
    <row r="64" spans="1:7" ht="120" x14ac:dyDescent="0.25">
      <c r="A64" s="517" t="s">
        <v>65</v>
      </c>
      <c r="B64" s="542" t="s">
        <v>197</v>
      </c>
      <c r="C64" s="326" t="s">
        <v>77</v>
      </c>
      <c r="D64" s="284" t="s">
        <v>198</v>
      </c>
      <c r="E64" s="284" t="s">
        <v>60</v>
      </c>
      <c r="F64" s="284" t="s">
        <v>79</v>
      </c>
      <c r="G64" s="405" t="s">
        <v>199</v>
      </c>
    </row>
    <row r="65" spans="1:7" ht="60" x14ac:dyDescent="0.25">
      <c r="A65" s="517"/>
      <c r="B65" s="543"/>
      <c r="C65" s="327" t="s">
        <v>81</v>
      </c>
      <c r="D65" s="285" t="s">
        <v>82</v>
      </c>
      <c r="E65" s="285" t="s">
        <v>60</v>
      </c>
      <c r="F65" s="285" t="s">
        <v>79</v>
      </c>
      <c r="G65" s="407" t="s">
        <v>200</v>
      </c>
    </row>
    <row r="66" spans="1:7" ht="30" x14ac:dyDescent="0.25">
      <c r="A66" s="517"/>
      <c r="B66" s="543"/>
      <c r="C66" s="327" t="s">
        <v>96</v>
      </c>
      <c r="D66" s="285" t="s">
        <v>97</v>
      </c>
      <c r="E66" s="285" t="s">
        <v>60</v>
      </c>
      <c r="F66" s="285" t="s">
        <v>79</v>
      </c>
      <c r="G66" s="286" t="s">
        <v>201</v>
      </c>
    </row>
    <row r="67" spans="1:7" ht="30" x14ac:dyDescent="0.25">
      <c r="A67" s="517"/>
      <c r="B67" s="543"/>
      <c r="C67" s="327" t="s">
        <v>202</v>
      </c>
      <c r="D67" s="285" t="s">
        <v>203</v>
      </c>
      <c r="E67" s="285" t="s">
        <v>60</v>
      </c>
      <c r="F67" s="285" t="s">
        <v>79</v>
      </c>
      <c r="G67" s="286" t="s">
        <v>204</v>
      </c>
    </row>
    <row r="68" spans="1:7" x14ac:dyDescent="0.25">
      <c r="A68" s="517"/>
      <c r="B68" s="543"/>
      <c r="C68" s="327" t="s">
        <v>1</v>
      </c>
      <c r="D68" s="285" t="s">
        <v>205</v>
      </c>
      <c r="E68" s="285" t="s">
        <v>60</v>
      </c>
      <c r="F68" s="285" t="s">
        <v>79</v>
      </c>
      <c r="G68" s="286" t="s">
        <v>206</v>
      </c>
    </row>
    <row r="69" spans="1:7" ht="15.75" thickBot="1" x14ac:dyDescent="0.3">
      <c r="A69" s="517"/>
      <c r="B69" s="544"/>
      <c r="C69" s="328" t="s">
        <v>207</v>
      </c>
      <c r="D69" s="287" t="s">
        <v>208</v>
      </c>
      <c r="E69" s="287" t="s">
        <v>60</v>
      </c>
      <c r="F69" s="287" t="s">
        <v>79</v>
      </c>
      <c r="G69" s="288"/>
    </row>
    <row r="70" spans="1:7" ht="150" x14ac:dyDescent="0.25">
      <c r="A70" s="516" t="s">
        <v>68</v>
      </c>
      <c r="B70" s="519" t="s">
        <v>76</v>
      </c>
      <c r="C70" s="337" t="s">
        <v>77</v>
      </c>
      <c r="D70" s="283" t="s">
        <v>209</v>
      </c>
      <c r="E70" s="283" t="s">
        <v>60</v>
      </c>
      <c r="F70" s="283" t="s">
        <v>79</v>
      </c>
      <c r="G70" s="406" t="s">
        <v>210</v>
      </c>
    </row>
    <row r="71" spans="1:7" x14ac:dyDescent="0.25">
      <c r="A71" s="517"/>
      <c r="B71" s="520"/>
      <c r="C71" s="121" t="s">
        <v>81</v>
      </c>
      <c r="D71" s="82" t="s">
        <v>82</v>
      </c>
      <c r="E71" s="82" t="s">
        <v>60</v>
      </c>
      <c r="F71" s="82" t="s">
        <v>79</v>
      </c>
      <c r="G71" s="95" t="s">
        <v>169</v>
      </c>
    </row>
    <row r="72" spans="1:7" ht="30" x14ac:dyDescent="0.25">
      <c r="A72" s="517"/>
      <c r="B72" s="520"/>
      <c r="C72" s="121" t="s">
        <v>96</v>
      </c>
      <c r="D72" s="82" t="s">
        <v>97</v>
      </c>
      <c r="E72" s="82" t="s">
        <v>60</v>
      </c>
      <c r="F72" s="82" t="s">
        <v>79</v>
      </c>
      <c r="G72" s="95" t="s">
        <v>211</v>
      </c>
    </row>
    <row r="73" spans="1:7" x14ac:dyDescent="0.25">
      <c r="A73" s="517"/>
      <c r="B73" s="520"/>
      <c r="C73" s="121" t="s">
        <v>212</v>
      </c>
      <c r="D73" s="82" t="s">
        <v>213</v>
      </c>
      <c r="E73" s="82" t="s">
        <v>86</v>
      </c>
      <c r="F73" s="82" t="s">
        <v>79</v>
      </c>
      <c r="G73" s="95" t="s">
        <v>169</v>
      </c>
    </row>
    <row r="74" spans="1:7" ht="60" customHeight="1" x14ac:dyDescent="0.25">
      <c r="A74" s="517"/>
      <c r="B74" s="520"/>
      <c r="C74" s="121" t="s">
        <v>88</v>
      </c>
      <c r="D74" s="82" t="s">
        <v>214</v>
      </c>
      <c r="E74" s="82" t="s">
        <v>86</v>
      </c>
      <c r="F74" s="82" t="s">
        <v>79</v>
      </c>
      <c r="G74" s="95" t="s">
        <v>169</v>
      </c>
    </row>
    <row r="75" spans="1:7" x14ac:dyDescent="0.25">
      <c r="A75" s="517"/>
      <c r="B75" s="520"/>
      <c r="C75" s="121" t="s">
        <v>1</v>
      </c>
      <c r="D75" s="82" t="s">
        <v>205</v>
      </c>
      <c r="E75" s="82" t="s">
        <v>86</v>
      </c>
      <c r="F75" s="82" t="s">
        <v>79</v>
      </c>
      <c r="G75" s="95" t="s">
        <v>169</v>
      </c>
    </row>
    <row r="76" spans="1:7" ht="90" x14ac:dyDescent="0.25">
      <c r="A76" s="517"/>
      <c r="B76" s="520"/>
      <c r="C76" s="121" t="s">
        <v>215</v>
      </c>
      <c r="D76" s="82" t="s">
        <v>216</v>
      </c>
      <c r="E76" s="82" t="s">
        <v>60</v>
      </c>
      <c r="F76" s="82" t="s">
        <v>79</v>
      </c>
      <c r="G76" s="321" t="s">
        <v>217</v>
      </c>
    </row>
    <row r="77" spans="1:7" ht="90" x14ac:dyDescent="0.25">
      <c r="A77" s="517"/>
      <c r="B77" s="520"/>
      <c r="C77" s="121" t="s">
        <v>218</v>
      </c>
      <c r="D77" s="82" t="s">
        <v>219</v>
      </c>
      <c r="E77" s="82" t="s">
        <v>60</v>
      </c>
      <c r="F77" s="82" t="s">
        <v>79</v>
      </c>
      <c r="G77" s="321" t="s">
        <v>220</v>
      </c>
    </row>
    <row r="78" spans="1:7" ht="30" x14ac:dyDescent="0.25">
      <c r="A78" s="517"/>
      <c r="B78" s="520"/>
      <c r="C78" s="121" t="s">
        <v>105</v>
      </c>
      <c r="D78" s="82" t="s">
        <v>171</v>
      </c>
      <c r="E78" s="82" t="s">
        <v>86</v>
      </c>
      <c r="F78" s="82" t="s">
        <v>79</v>
      </c>
      <c r="G78" s="95" t="s">
        <v>172</v>
      </c>
    </row>
    <row r="79" spans="1:7" ht="30.75" thickBot="1" x14ac:dyDescent="0.3">
      <c r="A79" s="517"/>
      <c r="B79" s="521"/>
      <c r="C79" s="122" t="s">
        <v>221</v>
      </c>
      <c r="D79" s="96" t="s">
        <v>222</v>
      </c>
      <c r="E79" s="96" t="s">
        <v>60</v>
      </c>
      <c r="F79" s="96" t="s">
        <v>79</v>
      </c>
      <c r="G79" s="97" t="s">
        <v>223</v>
      </c>
    </row>
    <row r="80" spans="1:7" ht="30" x14ac:dyDescent="0.25">
      <c r="A80" s="517"/>
      <c r="B80" s="522" t="s">
        <v>113</v>
      </c>
      <c r="C80" s="123" t="s">
        <v>114</v>
      </c>
      <c r="D80" s="105" t="s">
        <v>224</v>
      </c>
      <c r="E80" s="105" t="s">
        <v>60</v>
      </c>
      <c r="F80" s="105" t="s">
        <v>225</v>
      </c>
      <c r="G80" s="106" t="s">
        <v>223</v>
      </c>
    </row>
    <row r="81" spans="1:7" ht="30.75" thickBot="1" x14ac:dyDescent="0.3">
      <c r="A81" s="517"/>
      <c r="B81" s="523"/>
      <c r="C81" s="124" t="s">
        <v>121</v>
      </c>
      <c r="D81" s="107" t="s">
        <v>226</v>
      </c>
      <c r="E81" s="107" t="s">
        <v>60</v>
      </c>
      <c r="F81" s="107" t="s">
        <v>225</v>
      </c>
      <c r="G81" s="108" t="s">
        <v>223</v>
      </c>
    </row>
    <row r="82" spans="1:7" ht="30" x14ac:dyDescent="0.25">
      <c r="A82" s="517"/>
      <c r="B82" s="524" t="s">
        <v>124</v>
      </c>
      <c r="C82" s="125" t="s">
        <v>227</v>
      </c>
      <c r="D82" s="102" t="s">
        <v>228</v>
      </c>
      <c r="E82" s="102" t="s">
        <v>60</v>
      </c>
      <c r="F82" s="102" t="s">
        <v>79</v>
      </c>
      <c r="G82" s="103" t="s">
        <v>223</v>
      </c>
    </row>
    <row r="83" spans="1:7" ht="30" x14ac:dyDescent="0.25">
      <c r="A83" s="517"/>
      <c r="B83" s="525"/>
      <c r="C83" s="127" t="s">
        <v>229</v>
      </c>
      <c r="D83" s="109" t="s">
        <v>230</v>
      </c>
      <c r="E83" s="109" t="s">
        <v>60</v>
      </c>
      <c r="F83" s="109" t="s">
        <v>225</v>
      </c>
      <c r="G83" s="114" t="s">
        <v>223</v>
      </c>
    </row>
    <row r="84" spans="1:7" ht="30.75" thickBot="1" x14ac:dyDescent="0.3">
      <c r="A84" s="517"/>
      <c r="B84" s="526"/>
      <c r="C84" s="128" t="s">
        <v>187</v>
      </c>
      <c r="D84" s="119" t="s">
        <v>231</v>
      </c>
      <c r="E84" s="119" t="s">
        <v>60</v>
      </c>
      <c r="F84" s="119" t="s">
        <v>225</v>
      </c>
      <c r="G84" s="120" t="s">
        <v>223</v>
      </c>
    </row>
    <row r="85" spans="1:7" ht="30" x14ac:dyDescent="0.25">
      <c r="A85" s="517"/>
      <c r="B85" s="527" t="s">
        <v>144</v>
      </c>
      <c r="C85" s="126" t="s">
        <v>232</v>
      </c>
      <c r="D85" s="111" t="s">
        <v>233</v>
      </c>
      <c r="E85" s="111" t="s">
        <v>60</v>
      </c>
      <c r="F85" s="111" t="s">
        <v>225</v>
      </c>
      <c r="G85" s="112" t="s">
        <v>223</v>
      </c>
    </row>
    <row r="86" spans="1:7" ht="30" x14ac:dyDescent="0.25">
      <c r="A86" s="517"/>
      <c r="B86" s="528"/>
      <c r="C86" s="98" t="s">
        <v>229</v>
      </c>
      <c r="D86" s="83" t="s">
        <v>234</v>
      </c>
      <c r="E86" s="83" t="s">
        <v>60</v>
      </c>
      <c r="F86" s="83" t="s">
        <v>225</v>
      </c>
      <c r="G86" s="99" t="s">
        <v>223</v>
      </c>
    </row>
    <row r="87" spans="1:7" ht="30" x14ac:dyDescent="0.25">
      <c r="A87" s="517"/>
      <c r="B87" s="528"/>
      <c r="C87" s="98" t="s">
        <v>184</v>
      </c>
      <c r="D87" s="83" t="s">
        <v>235</v>
      </c>
      <c r="E87" s="83" t="s">
        <v>60</v>
      </c>
      <c r="F87" s="83" t="s">
        <v>225</v>
      </c>
      <c r="G87" s="99" t="s">
        <v>223</v>
      </c>
    </row>
    <row r="88" spans="1:7" ht="30" x14ac:dyDescent="0.25">
      <c r="A88" s="517"/>
      <c r="B88" s="528"/>
      <c r="C88" s="98" t="s">
        <v>140</v>
      </c>
      <c r="D88" s="83" t="s">
        <v>236</v>
      </c>
      <c r="E88" s="83" t="s">
        <v>60</v>
      </c>
      <c r="F88" s="83" t="s">
        <v>225</v>
      </c>
      <c r="G88" s="99" t="s">
        <v>223</v>
      </c>
    </row>
    <row r="89" spans="1:7" ht="45" customHeight="1" x14ac:dyDescent="0.25">
      <c r="A89" s="517"/>
      <c r="B89" s="528"/>
      <c r="C89" s="98" t="s">
        <v>187</v>
      </c>
      <c r="D89" s="83" t="s">
        <v>237</v>
      </c>
      <c r="E89" s="83" t="s">
        <v>60</v>
      </c>
      <c r="F89" s="83" t="s">
        <v>225</v>
      </c>
      <c r="G89" s="99" t="s">
        <v>223</v>
      </c>
    </row>
    <row r="90" spans="1:7" ht="30.75" thickBot="1" x14ac:dyDescent="0.3">
      <c r="A90" s="518"/>
      <c r="B90" s="529"/>
      <c r="C90" s="324"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62" t="s">
        <v>240</v>
      </c>
      <c r="B2" s="562"/>
      <c r="C2" s="562"/>
      <c r="D2" s="562"/>
      <c r="E2" s="562"/>
      <c r="F2" s="89"/>
      <c r="G2" s="89"/>
      <c r="H2" s="89"/>
      <c r="I2" s="89"/>
      <c r="J2" s="89"/>
      <c r="K2" s="89"/>
      <c r="L2" s="89"/>
      <c r="M2" s="89"/>
      <c r="N2" s="89"/>
      <c r="O2" s="89"/>
      <c r="P2" s="89"/>
      <c r="Q2" s="89"/>
      <c r="R2" s="89"/>
    </row>
    <row r="3" spans="1:19" ht="45" x14ac:dyDescent="0.25">
      <c r="A3" s="476" t="s">
        <v>241</v>
      </c>
      <c r="B3" s="476" t="s">
        <v>242</v>
      </c>
      <c r="C3" s="476" t="s">
        <v>243</v>
      </c>
      <c r="D3" s="476" t="s">
        <v>244</v>
      </c>
      <c r="E3" s="476" t="s">
        <v>245</v>
      </c>
    </row>
    <row r="4" spans="1:19" x14ac:dyDescent="0.25">
      <c r="A4" s="477" t="s">
        <v>246</v>
      </c>
      <c r="B4" s="477" t="s">
        <v>247</v>
      </c>
      <c r="C4" s="477" t="s">
        <v>248</v>
      </c>
      <c r="D4" s="477" t="s">
        <v>249</v>
      </c>
      <c r="E4" s="477" t="s">
        <v>248</v>
      </c>
    </row>
    <row r="5" spans="1:19" x14ac:dyDescent="0.25">
      <c r="A5" s="477" t="s">
        <v>250</v>
      </c>
      <c r="B5" s="477" t="s">
        <v>251</v>
      </c>
      <c r="C5" s="477" t="s">
        <v>252</v>
      </c>
      <c r="D5" s="477" t="s">
        <v>249</v>
      </c>
      <c r="E5" s="477" t="s">
        <v>248</v>
      </c>
    </row>
    <row r="6" spans="1:19" x14ac:dyDescent="0.25">
      <c r="A6" s="81"/>
    </row>
    <row r="7" spans="1:19" ht="59.25" customHeight="1" x14ac:dyDescent="0.25">
      <c r="A7" s="562" t="s">
        <v>253</v>
      </c>
      <c r="B7" s="563"/>
      <c r="C7" s="563"/>
      <c r="D7" s="563"/>
      <c r="E7" s="563"/>
      <c r="F7" s="563"/>
      <c r="G7" s="563"/>
      <c r="H7" s="563"/>
      <c r="I7" s="563"/>
      <c r="J7" s="563"/>
      <c r="K7" s="563"/>
      <c r="L7" s="563"/>
      <c r="M7" s="89"/>
      <c r="N7" s="89"/>
      <c r="O7" s="89"/>
      <c r="P7" s="89"/>
      <c r="Q7" s="89"/>
      <c r="R7" s="89"/>
      <c r="S7" s="89"/>
    </row>
    <row r="8" spans="1:19" x14ac:dyDescent="0.25">
      <c r="A8" s="478" t="s">
        <v>254</v>
      </c>
      <c r="B8" s="479"/>
      <c r="C8" s="479"/>
      <c r="D8" s="479"/>
      <c r="E8" s="479"/>
      <c r="F8" s="479"/>
      <c r="G8" s="479"/>
      <c r="H8" s="479"/>
      <c r="I8" s="479"/>
      <c r="J8" s="479"/>
      <c r="K8" s="479"/>
      <c r="L8" s="479"/>
      <c r="M8" s="89"/>
      <c r="N8" s="89"/>
      <c r="O8" s="89"/>
      <c r="P8" s="89"/>
      <c r="Q8" s="89"/>
      <c r="R8" s="89"/>
      <c r="S8" s="89"/>
    </row>
    <row r="9" spans="1:19" x14ac:dyDescent="0.25">
      <c r="A9" s="480" t="s">
        <v>77</v>
      </c>
      <c r="B9" s="481" t="s">
        <v>81</v>
      </c>
      <c r="C9" s="481" t="s">
        <v>84</v>
      </c>
      <c r="D9" s="482" t="s">
        <v>88</v>
      </c>
      <c r="E9" s="481" t="s">
        <v>91</v>
      </c>
      <c r="F9" s="481" t="s">
        <v>94</v>
      </c>
      <c r="G9" s="481" t="s">
        <v>96</v>
      </c>
      <c r="H9" s="481" t="s">
        <v>99</v>
      </c>
      <c r="I9" s="481" t="s">
        <v>102</v>
      </c>
      <c r="J9" s="483" t="s">
        <v>105</v>
      </c>
      <c r="K9" s="483" t="s">
        <v>108</v>
      </c>
      <c r="L9" s="484" t="s">
        <v>1</v>
      </c>
    </row>
    <row r="10" spans="1:19" x14ac:dyDescent="0.25">
      <c r="A10" s="485" t="s">
        <v>255</v>
      </c>
      <c r="B10" s="486" t="s">
        <v>256</v>
      </c>
      <c r="C10" s="486"/>
      <c r="D10" s="487" t="s">
        <v>257</v>
      </c>
      <c r="E10" s="488"/>
      <c r="F10" s="486" t="s">
        <v>258</v>
      </c>
      <c r="G10" s="487" t="s">
        <v>259</v>
      </c>
      <c r="H10" s="486" t="s">
        <v>260</v>
      </c>
      <c r="I10" s="486"/>
      <c r="J10" s="487">
        <v>1</v>
      </c>
      <c r="K10" s="487">
        <v>1</v>
      </c>
      <c r="L10" s="487" t="s">
        <v>261</v>
      </c>
    </row>
    <row r="11" spans="1:19" x14ac:dyDescent="0.25">
      <c r="A11" s="485" t="s">
        <v>262</v>
      </c>
      <c r="B11" s="486" t="s">
        <v>263</v>
      </c>
      <c r="C11" s="486"/>
      <c r="D11" s="487" t="s">
        <v>264</v>
      </c>
      <c r="E11" s="488"/>
      <c r="F11" s="486" t="s">
        <v>265</v>
      </c>
      <c r="G11" s="487" t="s">
        <v>259</v>
      </c>
      <c r="H11" s="486" t="s">
        <v>266</v>
      </c>
      <c r="I11" s="486"/>
      <c r="J11" s="487">
        <v>1</v>
      </c>
      <c r="K11" s="487">
        <v>1</v>
      </c>
      <c r="L11" s="487" t="s">
        <v>267</v>
      </c>
    </row>
    <row r="12" spans="1:19" ht="30" x14ac:dyDescent="0.25">
      <c r="A12" s="485" t="s">
        <v>268</v>
      </c>
      <c r="B12" s="485" t="s">
        <v>269</v>
      </c>
      <c r="C12" s="486"/>
      <c r="D12" s="487" t="s">
        <v>247</v>
      </c>
      <c r="E12" s="488"/>
      <c r="F12" s="486" t="s">
        <v>270</v>
      </c>
      <c r="G12" s="487" t="e">
        <v>#N/A</v>
      </c>
      <c r="H12" s="486" t="s">
        <v>249</v>
      </c>
      <c r="I12" s="486"/>
      <c r="J12" s="487">
        <v>1</v>
      </c>
      <c r="K12" s="487">
        <v>1</v>
      </c>
      <c r="L12" s="487" t="s">
        <v>261</v>
      </c>
    </row>
    <row r="13" spans="1:19" x14ac:dyDescent="0.25">
      <c r="A13" s="489" t="s">
        <v>271</v>
      </c>
    </row>
    <row r="14" spans="1:19" x14ac:dyDescent="0.25">
      <c r="A14" s="480" t="s">
        <v>77</v>
      </c>
      <c r="B14" s="481" t="s">
        <v>81</v>
      </c>
      <c r="C14" s="481" t="s">
        <v>84</v>
      </c>
      <c r="D14" s="482" t="s">
        <v>88</v>
      </c>
      <c r="E14" s="481" t="s">
        <v>91</v>
      </c>
      <c r="F14" s="481" t="s">
        <v>94</v>
      </c>
      <c r="G14" s="481" t="s">
        <v>96</v>
      </c>
      <c r="H14" s="481" t="s">
        <v>99</v>
      </c>
      <c r="I14" s="481" t="s">
        <v>102</v>
      </c>
      <c r="J14" s="483" t="s">
        <v>105</v>
      </c>
      <c r="K14" s="483" t="s">
        <v>108</v>
      </c>
      <c r="L14" s="490" t="s">
        <v>1</v>
      </c>
      <c r="M14" s="483" t="s">
        <v>114</v>
      </c>
      <c r="N14" s="483" t="s">
        <v>118</v>
      </c>
      <c r="O14" s="483" t="s">
        <v>121</v>
      </c>
      <c r="P14" s="483" t="s">
        <v>125</v>
      </c>
      <c r="Q14" s="483" t="s">
        <v>128</v>
      </c>
      <c r="R14" s="483" t="s">
        <v>132</v>
      </c>
      <c r="S14" s="483" t="s">
        <v>157</v>
      </c>
    </row>
    <row r="15" spans="1:19" x14ac:dyDescent="0.25">
      <c r="A15" s="485" t="s">
        <v>272</v>
      </c>
      <c r="B15" s="486" t="s">
        <v>273</v>
      </c>
      <c r="C15" s="486"/>
      <c r="D15" s="487" t="s">
        <v>252</v>
      </c>
      <c r="E15" s="486"/>
      <c r="F15" s="486" t="s">
        <v>274</v>
      </c>
      <c r="G15" s="487" t="s">
        <v>259</v>
      </c>
      <c r="H15" s="486" t="s">
        <v>275</v>
      </c>
      <c r="I15" s="486"/>
      <c r="J15" s="487">
        <v>1</v>
      </c>
      <c r="K15" s="487">
        <v>1</v>
      </c>
      <c r="L15" s="487" t="s">
        <v>276</v>
      </c>
      <c r="M15" s="491">
        <v>0</v>
      </c>
      <c r="N15" s="487"/>
      <c r="O15" s="491">
        <v>0</v>
      </c>
      <c r="P15" s="486" t="s">
        <v>48</v>
      </c>
      <c r="Q15" s="487">
        <v>1</v>
      </c>
      <c r="R15" s="487">
        <v>0</v>
      </c>
      <c r="S15" s="486" t="s">
        <v>277</v>
      </c>
    </row>
    <row r="16" spans="1:19" x14ac:dyDescent="0.25">
      <c r="A16" s="485" t="s">
        <v>250</v>
      </c>
      <c r="B16" s="486" t="s">
        <v>278</v>
      </c>
      <c r="C16" s="486"/>
      <c r="D16" s="492" t="s">
        <v>247</v>
      </c>
      <c r="E16" s="486"/>
      <c r="F16" s="486" t="s">
        <v>279</v>
      </c>
      <c r="G16" s="487" t="s">
        <v>280</v>
      </c>
      <c r="H16" s="493" t="s">
        <v>249</v>
      </c>
      <c r="I16" s="486"/>
      <c r="J16" s="487">
        <v>1</v>
      </c>
      <c r="K16" s="487">
        <v>1</v>
      </c>
      <c r="L16" s="487" t="s">
        <v>261</v>
      </c>
      <c r="M16" s="491">
        <v>0</v>
      </c>
      <c r="N16" s="487"/>
      <c r="O16" s="491">
        <v>0</v>
      </c>
      <c r="P16" s="486" t="s">
        <v>48</v>
      </c>
      <c r="Q16" s="487">
        <v>1</v>
      </c>
      <c r="R16" s="487">
        <v>0</v>
      </c>
      <c r="S16" s="486" t="s">
        <v>277</v>
      </c>
    </row>
    <row r="17" spans="1:19" x14ac:dyDescent="0.25">
      <c r="A17" s="485" t="s">
        <v>281</v>
      </c>
      <c r="B17" s="486" t="s">
        <v>282</v>
      </c>
      <c r="C17" s="486"/>
      <c r="D17" s="487" t="s">
        <v>252</v>
      </c>
      <c r="E17" s="486"/>
      <c r="F17" s="486" t="s">
        <v>283</v>
      </c>
      <c r="G17" s="487" t="s">
        <v>284</v>
      </c>
      <c r="H17" s="486" t="s">
        <v>285</v>
      </c>
      <c r="I17" s="486"/>
      <c r="J17" s="487">
        <v>1</v>
      </c>
      <c r="K17" s="487">
        <v>1</v>
      </c>
      <c r="L17" s="487" t="s">
        <v>276</v>
      </c>
      <c r="M17" s="491">
        <v>0</v>
      </c>
      <c r="N17" s="487"/>
      <c r="O17" s="491">
        <v>0</v>
      </c>
      <c r="P17" s="486" t="s">
        <v>48</v>
      </c>
      <c r="Q17" s="487">
        <v>1</v>
      </c>
      <c r="R17" s="487">
        <v>0</v>
      </c>
      <c r="S17" s="486"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94" t="s">
        <v>0</v>
      </c>
      <c r="B1" s="495" t="s">
        <v>287</v>
      </c>
      <c r="C1" s="495" t="s">
        <v>288</v>
      </c>
    </row>
    <row r="2" spans="1:3" x14ac:dyDescent="0.25">
      <c r="A2" s="496">
        <v>43807</v>
      </c>
      <c r="B2" s="497" t="s">
        <v>289</v>
      </c>
      <c r="C2" s="497" t="s">
        <v>11</v>
      </c>
    </row>
    <row r="3" spans="1:3" ht="30" x14ac:dyDescent="0.25">
      <c r="A3" s="496">
        <v>43937</v>
      </c>
      <c r="B3" s="80" t="s">
        <v>290</v>
      </c>
      <c r="C3" s="497" t="s">
        <v>11</v>
      </c>
    </row>
    <row r="4" spans="1:3" x14ac:dyDescent="0.25">
      <c r="A4" s="496">
        <v>43941</v>
      </c>
      <c r="B4" s="497" t="s">
        <v>291</v>
      </c>
      <c r="C4" s="497" t="s">
        <v>11</v>
      </c>
    </row>
    <row r="5" spans="1:3" x14ac:dyDescent="0.25">
      <c r="A5" s="496">
        <v>43942</v>
      </c>
      <c r="B5" s="497" t="s">
        <v>292</v>
      </c>
      <c r="C5" s="497" t="s">
        <v>11</v>
      </c>
    </row>
    <row r="6" spans="1:3" x14ac:dyDescent="0.25">
      <c r="A6" s="496">
        <v>43963</v>
      </c>
      <c r="B6" s="497" t="s">
        <v>293</v>
      </c>
      <c r="C6" s="497" t="s">
        <v>11</v>
      </c>
    </row>
    <row r="7" spans="1:3" x14ac:dyDescent="0.25">
      <c r="A7" s="496">
        <v>43990</v>
      </c>
      <c r="B7" s="497" t="s">
        <v>294</v>
      </c>
      <c r="C7" s="497" t="s">
        <v>11</v>
      </c>
    </row>
    <row r="8" spans="1:3" ht="30" x14ac:dyDescent="0.25">
      <c r="A8" s="496">
        <v>44104</v>
      </c>
      <c r="B8" s="80" t="s">
        <v>295</v>
      </c>
      <c r="C8" s="497" t="s">
        <v>296</v>
      </c>
    </row>
    <row r="9" spans="1:3" ht="150" x14ac:dyDescent="0.25">
      <c r="A9" s="496">
        <v>44128</v>
      </c>
      <c r="B9" s="80" t="s">
        <v>297</v>
      </c>
      <c r="C9" s="497" t="s">
        <v>296</v>
      </c>
    </row>
    <row r="10" spans="1:3" x14ac:dyDescent="0.25">
      <c r="A10" s="496">
        <v>44361</v>
      </c>
      <c r="B10" s="497" t="s">
        <v>298</v>
      </c>
      <c r="C10" s="497" t="s">
        <v>299</v>
      </c>
    </row>
    <row r="11" spans="1:3" x14ac:dyDescent="0.25">
      <c r="A11" s="496">
        <v>44813</v>
      </c>
      <c r="B11" s="497" t="s">
        <v>300</v>
      </c>
      <c r="C11" s="497"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2694"/>
  <sheetViews>
    <sheetView tabSelected="1" zoomScale="85" zoomScaleNormal="85" workbookViewId="0">
      <pane xSplit="2" ySplit="5" topLeftCell="Y2608" activePane="bottomRight" state="frozen"/>
      <selection pane="topRight" activeCell="C1" sqref="C1"/>
      <selection pane="bottomLeft" activeCell="A4" sqref="A4"/>
      <selection pane="bottomRight" activeCell="A5" sqref="A5:AH2627"/>
    </sheetView>
  </sheetViews>
  <sheetFormatPr defaultColWidth="9.140625" defaultRowHeight="15" x14ac:dyDescent="0.25"/>
  <cols>
    <col min="1" max="1" width="16.85546875" style="173" bestFit="1" customWidth="1"/>
    <col min="2" max="2" width="50.7109375" style="170" customWidth="1"/>
    <col min="3" max="3" width="9.28515625" style="170" bestFit="1" customWidth="1"/>
    <col min="4" max="4" width="14.140625" style="174" bestFit="1" customWidth="1"/>
    <col min="5" max="5" width="25.7109375" style="170" customWidth="1"/>
    <col min="6" max="6" width="82" style="170" customWidth="1"/>
    <col min="7" max="7" width="9.85546875" style="170" bestFit="1" customWidth="1"/>
    <col min="8" max="8" width="16.28515625" style="174" customWidth="1"/>
    <col min="9" max="9" width="13.42578125" style="174" customWidth="1"/>
    <col min="10" max="10" width="13.42578125" style="170" hidden="1" customWidth="1"/>
    <col min="11" max="11" width="8.28515625" style="170" hidden="1" customWidth="1"/>
    <col min="12" max="12" width="17.28515625" style="170" hidden="1" customWidth="1"/>
    <col min="13" max="13" width="11.140625" style="170" hidden="1" customWidth="1"/>
    <col min="14" max="14" width="12.5703125" style="170" hidden="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70" t="s">
        <v>301</v>
      </c>
      <c r="B1" s="571"/>
      <c r="C1" s="571"/>
      <c r="D1" s="571"/>
      <c r="E1" s="571"/>
      <c r="F1" s="571"/>
      <c r="G1" s="571"/>
      <c r="H1" s="571"/>
      <c r="I1" s="571"/>
      <c r="J1" s="571"/>
      <c r="K1" s="571"/>
      <c r="L1" s="571"/>
      <c r="M1" s="571"/>
      <c r="N1" s="571"/>
      <c r="O1" s="571"/>
      <c r="P1" s="571"/>
      <c r="Q1" s="571"/>
      <c r="R1" s="571"/>
      <c r="S1" s="571"/>
      <c r="T1" s="571"/>
      <c r="U1" s="571"/>
      <c r="V1" s="571"/>
      <c r="W1" s="571"/>
      <c r="X1" s="571"/>
      <c r="Y1" s="571"/>
      <c r="Z1" s="571"/>
      <c r="AA1" s="571"/>
      <c r="AB1" s="571"/>
      <c r="AC1" s="571"/>
      <c r="AD1" s="571"/>
      <c r="AE1" s="571"/>
      <c r="AF1" s="571"/>
      <c r="AG1" s="571"/>
      <c r="AH1" s="572"/>
    </row>
    <row r="2" spans="1:34" ht="19.5" thickBot="1" x14ac:dyDescent="0.3">
      <c r="A2" s="573" t="s">
        <v>302</v>
      </c>
      <c r="B2" s="574"/>
      <c r="C2" s="574"/>
      <c r="D2" s="574"/>
      <c r="E2" s="574"/>
      <c r="F2" s="574"/>
      <c r="G2" s="574"/>
      <c r="H2" s="574"/>
      <c r="I2" s="574"/>
      <c r="J2" s="575"/>
      <c r="K2" s="371">
        <f>SUM(K6:K2689)</f>
        <v>2622</v>
      </c>
      <c r="L2" s="371">
        <f>SUM(L6:L2689)</f>
        <v>2622</v>
      </c>
      <c r="M2" s="372"/>
      <c r="N2" s="424">
        <f>SUMPRODUCT(K6:K2689,N6:N2689)/K2692</f>
        <v>0.93344774980930589</v>
      </c>
      <c r="O2" s="425">
        <f>SUM(O6:O2689)</f>
        <v>940.5</v>
      </c>
      <c r="P2" s="426">
        <f>SUMPRODUCT(K6:K2689,P6:P2689)/K2692</f>
        <v>0.35869565217391303</v>
      </c>
      <c r="Q2" s="373"/>
      <c r="R2" s="374">
        <f>SUM(R6:R2689)</f>
        <v>2123</v>
      </c>
      <c r="S2" s="427">
        <f>SUM(S6:S2689)</f>
        <v>399</v>
      </c>
      <c r="T2" s="427">
        <f>SUM(T6:T2689)</f>
        <v>399</v>
      </c>
      <c r="U2" s="427">
        <f>SUM(U6:U2689)</f>
        <v>0</v>
      </c>
      <c r="V2" s="427">
        <f>SUM(V6:V2689)</f>
        <v>0</v>
      </c>
      <c r="W2" s="427">
        <f>SUM(W6:W2689)</f>
        <v>0</v>
      </c>
      <c r="X2" s="428">
        <f>IF((S2692=0),0,((T2692+U2692)/S2692*100%))</f>
        <v>1</v>
      </c>
      <c r="Y2" s="375"/>
      <c r="Z2" s="435">
        <f>SUM(Z6:Z2689)</f>
        <v>0</v>
      </c>
      <c r="AA2" s="436">
        <f>SUM(AA6:AA2689)</f>
        <v>0</v>
      </c>
      <c r="AB2" s="436">
        <f>SUM(AB6:AB2689)</f>
        <v>0</v>
      </c>
      <c r="AC2" s="436">
        <f>SUM(AC6:AC2689)</f>
        <v>0</v>
      </c>
      <c r="AD2" s="436">
        <f>SUM(AD6:AD2689)</f>
        <v>0</v>
      </c>
      <c r="AE2" s="431">
        <f>IF((Z2692=0),0,((AA2692+AB2692)/Z2692*100%))</f>
        <v>0</v>
      </c>
      <c r="AF2" s="376"/>
      <c r="AG2" s="376"/>
      <c r="AH2" s="377"/>
    </row>
    <row r="3" spans="1:34" ht="19.5" customHeight="1" thickBot="1" x14ac:dyDescent="0.3">
      <c r="A3" s="570" t="s">
        <v>303</v>
      </c>
      <c r="B3" s="571"/>
      <c r="C3" s="571"/>
      <c r="D3" s="571"/>
      <c r="E3" s="571"/>
      <c r="F3" s="571"/>
      <c r="G3" s="571"/>
      <c r="H3" s="571"/>
      <c r="I3" s="571"/>
      <c r="J3" s="571"/>
      <c r="K3" s="571"/>
      <c r="L3" s="571"/>
      <c r="M3" s="571"/>
      <c r="N3" s="571"/>
      <c r="O3" s="571"/>
      <c r="P3" s="571"/>
      <c r="Q3" s="571"/>
      <c r="R3" s="571"/>
      <c r="S3" s="571"/>
      <c r="T3" s="571"/>
      <c r="U3" s="571"/>
      <c r="V3" s="571"/>
      <c r="W3" s="571"/>
      <c r="X3" s="571"/>
      <c r="Y3" s="571"/>
      <c r="Z3" s="571"/>
      <c r="AA3" s="571"/>
      <c r="AB3" s="571"/>
      <c r="AC3" s="571"/>
      <c r="AD3" s="571"/>
      <c r="AE3" s="571"/>
      <c r="AF3" s="571"/>
      <c r="AG3" s="571"/>
      <c r="AH3" s="572"/>
    </row>
    <row r="4" spans="1:34" ht="31.5" customHeight="1" x14ac:dyDescent="0.25">
      <c r="A4" s="576" t="s">
        <v>76</v>
      </c>
      <c r="B4" s="577"/>
      <c r="C4" s="577"/>
      <c r="D4" s="577"/>
      <c r="E4" s="577"/>
      <c r="F4" s="577"/>
      <c r="G4" s="577"/>
      <c r="H4" s="577"/>
      <c r="I4" s="577"/>
      <c r="J4" s="577"/>
      <c r="K4" s="577"/>
      <c r="L4" s="577"/>
      <c r="M4" s="578"/>
      <c r="N4" s="579" t="s">
        <v>304</v>
      </c>
      <c r="O4" s="580"/>
      <c r="P4" s="581"/>
      <c r="Q4" s="586" t="s">
        <v>305</v>
      </c>
      <c r="R4" s="587"/>
      <c r="S4" s="587"/>
      <c r="T4" s="587"/>
      <c r="U4" s="587"/>
      <c r="V4" s="587"/>
      <c r="W4" s="587"/>
      <c r="X4" s="587"/>
      <c r="Y4" s="588"/>
      <c r="Z4" s="582" t="s">
        <v>306</v>
      </c>
      <c r="AA4" s="583"/>
      <c r="AB4" s="583"/>
      <c r="AC4" s="583"/>
      <c r="AD4" s="583"/>
      <c r="AE4" s="584"/>
      <c r="AF4" s="584"/>
      <c r="AG4" s="584"/>
      <c r="AH4" s="585"/>
    </row>
    <row r="5" spans="1:34" s="171" customFormat="1" x14ac:dyDescent="0.25">
      <c r="A5" s="673" t="s">
        <v>77</v>
      </c>
      <c r="B5" s="673" t="s">
        <v>81</v>
      </c>
      <c r="C5" s="673" t="s">
        <v>84</v>
      </c>
      <c r="D5" s="673" t="s">
        <v>88</v>
      </c>
      <c r="E5" s="673" t="s">
        <v>91</v>
      </c>
      <c r="F5" s="673" t="s">
        <v>94</v>
      </c>
      <c r="G5" s="673" t="s">
        <v>96</v>
      </c>
      <c r="H5" s="673" t="s">
        <v>99</v>
      </c>
      <c r="I5" s="673" t="s">
        <v>307</v>
      </c>
      <c r="J5" s="673" t="s">
        <v>102</v>
      </c>
      <c r="K5" s="673" t="s">
        <v>105</v>
      </c>
      <c r="L5" s="673" t="s">
        <v>108</v>
      </c>
      <c r="M5" s="673" t="s">
        <v>1</v>
      </c>
      <c r="N5" s="673" t="s">
        <v>114</v>
      </c>
      <c r="O5" s="673" t="s">
        <v>118</v>
      </c>
      <c r="P5" s="673" t="s">
        <v>121</v>
      </c>
      <c r="Q5" s="673" t="s">
        <v>125</v>
      </c>
      <c r="R5" s="673" t="s">
        <v>128</v>
      </c>
      <c r="S5" s="673" t="s">
        <v>132</v>
      </c>
      <c r="T5" s="673" t="s">
        <v>30</v>
      </c>
      <c r="U5" s="673" t="s">
        <v>135</v>
      </c>
      <c r="V5" s="673" t="s">
        <v>36</v>
      </c>
      <c r="W5" s="673" t="s">
        <v>138</v>
      </c>
      <c r="X5" s="673" t="s">
        <v>140</v>
      </c>
      <c r="Y5" s="673" t="s">
        <v>142</v>
      </c>
      <c r="Z5" s="673" t="s">
        <v>3589</v>
      </c>
      <c r="AA5" s="673" t="s">
        <v>3590</v>
      </c>
      <c r="AB5" s="673" t="s">
        <v>3591</v>
      </c>
      <c r="AC5" s="673" t="s">
        <v>3592</v>
      </c>
      <c r="AD5" s="673" t="s">
        <v>3593</v>
      </c>
      <c r="AE5" s="673" t="s">
        <v>3594</v>
      </c>
      <c r="AF5" s="673" t="s">
        <v>155</v>
      </c>
      <c r="AG5" s="673" t="s">
        <v>157</v>
      </c>
      <c r="AH5" s="673" t="s">
        <v>160</v>
      </c>
    </row>
    <row r="6" spans="1:34" x14ac:dyDescent="0.25">
      <c r="A6" t="s">
        <v>308</v>
      </c>
      <c r="B6" t="s">
        <v>309</v>
      </c>
      <c r="C6"/>
      <c r="D6" t="s">
        <v>310</v>
      </c>
      <c r="E6" t="s">
        <v>311</v>
      </c>
      <c r="F6" t="s">
        <v>312</v>
      </c>
      <c r="G6" t="s">
        <v>280</v>
      </c>
      <c r="H6" t="s">
        <v>313</v>
      </c>
      <c r="I6" t="s">
        <v>35</v>
      </c>
      <c r="J6"/>
      <c r="K6">
        <v>1</v>
      </c>
      <c r="L6">
        <v>1</v>
      </c>
      <c r="M6" t="s">
        <v>33</v>
      </c>
      <c r="N6">
        <v>1</v>
      </c>
      <c r="O6"/>
      <c r="P6">
        <v>0</v>
      </c>
      <c r="Q6" t="s">
        <v>50</v>
      </c>
      <c r="R6">
        <v>1</v>
      </c>
      <c r="S6">
        <v>1</v>
      </c>
      <c r="T6">
        <v>1</v>
      </c>
      <c r="U6"/>
      <c r="V6"/>
      <c r="W6"/>
      <c r="X6">
        <v>1</v>
      </c>
      <c r="Y6"/>
      <c r="Z6">
        <v>0</v>
      </c>
      <c r="AA6"/>
      <c r="AB6"/>
      <c r="AC6"/>
      <c r="AD6"/>
      <c r="AE6">
        <v>0</v>
      </c>
      <c r="AF6"/>
      <c r="AG6" t="s">
        <v>3465</v>
      </c>
      <c r="AH6"/>
    </row>
    <row r="7" spans="1:34" x14ac:dyDescent="0.25">
      <c r="A7" t="s">
        <v>308</v>
      </c>
      <c r="B7" t="s">
        <v>309</v>
      </c>
      <c r="C7"/>
      <c r="D7" t="s">
        <v>310</v>
      </c>
      <c r="E7" t="s">
        <v>311</v>
      </c>
      <c r="F7" t="s">
        <v>314</v>
      </c>
      <c r="G7" t="s">
        <v>280</v>
      </c>
      <c r="H7" t="s">
        <v>315</v>
      </c>
      <c r="I7" t="s">
        <v>35</v>
      </c>
      <c r="J7"/>
      <c r="K7">
        <v>1</v>
      </c>
      <c r="L7">
        <v>1</v>
      </c>
      <c r="M7" t="s">
        <v>33</v>
      </c>
      <c r="N7">
        <v>1</v>
      </c>
      <c r="O7"/>
      <c r="P7">
        <v>0</v>
      </c>
      <c r="Q7" t="s">
        <v>50</v>
      </c>
      <c r="R7">
        <v>1</v>
      </c>
      <c r="S7">
        <v>1</v>
      </c>
      <c r="T7">
        <v>1</v>
      </c>
      <c r="U7"/>
      <c r="V7"/>
      <c r="W7"/>
      <c r="X7">
        <v>1</v>
      </c>
      <c r="Y7"/>
      <c r="Z7">
        <v>0</v>
      </c>
      <c r="AA7"/>
      <c r="AB7"/>
      <c r="AC7"/>
      <c r="AD7"/>
      <c r="AE7">
        <v>0</v>
      </c>
      <c r="AF7"/>
      <c r="AG7" t="s">
        <v>3465</v>
      </c>
      <c r="AH7"/>
    </row>
    <row r="8" spans="1:34" x14ac:dyDescent="0.25">
      <c r="A8" t="s">
        <v>308</v>
      </c>
      <c r="B8" t="s">
        <v>309</v>
      </c>
      <c r="C8"/>
      <c r="D8" t="s">
        <v>310</v>
      </c>
      <c r="E8" t="s">
        <v>311</v>
      </c>
      <c r="F8" t="s">
        <v>316</v>
      </c>
      <c r="G8" t="s">
        <v>280</v>
      </c>
      <c r="H8" t="s">
        <v>317</v>
      </c>
      <c r="I8" t="s">
        <v>35</v>
      </c>
      <c r="J8"/>
      <c r="K8">
        <v>1</v>
      </c>
      <c r="L8">
        <v>1</v>
      </c>
      <c r="M8" t="s">
        <v>33</v>
      </c>
      <c r="N8">
        <v>1</v>
      </c>
      <c r="O8"/>
      <c r="P8">
        <v>0</v>
      </c>
      <c r="Q8" t="s">
        <v>50</v>
      </c>
      <c r="R8">
        <v>1</v>
      </c>
      <c r="S8">
        <v>1</v>
      </c>
      <c r="T8">
        <v>1</v>
      </c>
      <c r="U8"/>
      <c r="V8"/>
      <c r="W8"/>
      <c r="X8">
        <v>1</v>
      </c>
      <c r="Y8"/>
      <c r="Z8">
        <v>0</v>
      </c>
      <c r="AA8"/>
      <c r="AB8"/>
      <c r="AC8"/>
      <c r="AD8"/>
      <c r="AE8">
        <v>0</v>
      </c>
      <c r="AF8"/>
      <c r="AG8" t="s">
        <v>3465</v>
      </c>
      <c r="AH8"/>
    </row>
    <row r="9" spans="1:34" x14ac:dyDescent="0.25">
      <c r="A9" t="s">
        <v>308</v>
      </c>
      <c r="B9" t="s">
        <v>309</v>
      </c>
      <c r="C9"/>
      <c r="D9" t="s">
        <v>310</v>
      </c>
      <c r="E9" t="s">
        <v>311</v>
      </c>
      <c r="F9" t="s">
        <v>318</v>
      </c>
      <c r="G9" t="s">
        <v>280</v>
      </c>
      <c r="H9" t="s">
        <v>319</v>
      </c>
      <c r="I9" t="s">
        <v>35</v>
      </c>
      <c r="J9"/>
      <c r="K9">
        <v>1</v>
      </c>
      <c r="L9">
        <v>1</v>
      </c>
      <c r="M9" t="s">
        <v>33</v>
      </c>
      <c r="N9">
        <v>1</v>
      </c>
      <c r="O9"/>
      <c r="P9">
        <v>0</v>
      </c>
      <c r="Q9" t="s">
        <v>50</v>
      </c>
      <c r="R9">
        <v>1</v>
      </c>
      <c r="S9">
        <v>0</v>
      </c>
      <c r="T9"/>
      <c r="U9"/>
      <c r="V9"/>
      <c r="W9"/>
      <c r="X9">
        <v>0</v>
      </c>
      <c r="Y9"/>
      <c r="Z9">
        <v>0</v>
      </c>
      <c r="AA9"/>
      <c r="AB9"/>
      <c r="AC9"/>
      <c r="AD9"/>
      <c r="AE9">
        <v>0</v>
      </c>
      <c r="AF9"/>
      <c r="AG9" t="s">
        <v>3465</v>
      </c>
      <c r="AH9"/>
    </row>
    <row r="10" spans="1:34" x14ac:dyDescent="0.25">
      <c r="A10" t="s">
        <v>308</v>
      </c>
      <c r="B10" t="s">
        <v>309</v>
      </c>
      <c r="C10"/>
      <c r="D10" t="s">
        <v>310</v>
      </c>
      <c r="E10" t="s">
        <v>311</v>
      </c>
      <c r="F10" t="s">
        <v>320</v>
      </c>
      <c r="G10" t="s">
        <v>280</v>
      </c>
      <c r="H10" t="s">
        <v>321</v>
      </c>
      <c r="I10" t="s">
        <v>35</v>
      </c>
      <c r="J10"/>
      <c r="K10">
        <v>1</v>
      </c>
      <c r="L10">
        <v>1</v>
      </c>
      <c r="M10" t="s">
        <v>33</v>
      </c>
      <c r="N10">
        <v>1</v>
      </c>
      <c r="O10"/>
      <c r="P10">
        <v>0</v>
      </c>
      <c r="Q10" t="s">
        <v>50</v>
      </c>
      <c r="R10">
        <v>1</v>
      </c>
      <c r="S10">
        <v>0</v>
      </c>
      <c r="T10"/>
      <c r="U10"/>
      <c r="V10"/>
      <c r="W10"/>
      <c r="X10">
        <v>0</v>
      </c>
      <c r="Y10"/>
      <c r="Z10">
        <v>0</v>
      </c>
      <c r="AA10"/>
      <c r="AB10"/>
      <c r="AC10"/>
      <c r="AD10"/>
      <c r="AE10">
        <v>0</v>
      </c>
      <c r="AF10"/>
      <c r="AG10" t="s">
        <v>3465</v>
      </c>
      <c r="AH10"/>
    </row>
    <row r="11" spans="1:34" x14ac:dyDescent="0.25">
      <c r="A11" t="s">
        <v>322</v>
      </c>
      <c r="B11" t="s">
        <v>323</v>
      </c>
      <c r="C11"/>
      <c r="D11" t="s">
        <v>310</v>
      </c>
      <c r="E11" t="s">
        <v>324</v>
      </c>
      <c r="F11" t="s">
        <v>325</v>
      </c>
      <c r="G11" t="s">
        <v>280</v>
      </c>
      <c r="H11" t="s">
        <v>326</v>
      </c>
      <c r="I11" t="s">
        <v>35</v>
      </c>
      <c r="J11"/>
      <c r="K11">
        <v>1</v>
      </c>
      <c r="L11">
        <v>1</v>
      </c>
      <c r="M11" t="s">
        <v>33</v>
      </c>
      <c r="N11">
        <v>1</v>
      </c>
      <c r="O11">
        <v>1</v>
      </c>
      <c r="P11">
        <v>1</v>
      </c>
      <c r="Q11" t="s">
        <v>38</v>
      </c>
      <c r="R11">
        <v>1</v>
      </c>
      <c r="S11">
        <v>1</v>
      </c>
      <c r="T11">
        <v>1</v>
      </c>
      <c r="U11"/>
      <c r="V11"/>
      <c r="W11"/>
      <c r="X11">
        <v>1</v>
      </c>
      <c r="Y11"/>
      <c r="Z11">
        <v>0</v>
      </c>
      <c r="AA11"/>
      <c r="AB11"/>
      <c r="AC11"/>
      <c r="AD11"/>
      <c r="AE11">
        <v>0</v>
      </c>
      <c r="AF11"/>
      <c r="AG11" t="s">
        <v>3465</v>
      </c>
      <c r="AH11"/>
    </row>
    <row r="12" spans="1:34" x14ac:dyDescent="0.25">
      <c r="A12" t="s">
        <v>322</v>
      </c>
      <c r="B12" t="s">
        <v>323</v>
      </c>
      <c r="C12"/>
      <c r="D12" t="s">
        <v>310</v>
      </c>
      <c r="E12" t="s">
        <v>324</v>
      </c>
      <c r="F12" t="s">
        <v>327</v>
      </c>
      <c r="G12" t="s">
        <v>280</v>
      </c>
      <c r="H12" t="s">
        <v>328</v>
      </c>
      <c r="I12" t="s">
        <v>35</v>
      </c>
      <c r="J12"/>
      <c r="K12">
        <v>1</v>
      </c>
      <c r="L12">
        <v>1</v>
      </c>
      <c r="M12" t="s">
        <v>33</v>
      </c>
      <c r="N12">
        <v>1</v>
      </c>
      <c r="O12"/>
      <c r="P12">
        <v>0</v>
      </c>
      <c r="Q12" t="s">
        <v>38</v>
      </c>
      <c r="R12">
        <v>1</v>
      </c>
      <c r="S12">
        <v>1</v>
      </c>
      <c r="T12">
        <v>1</v>
      </c>
      <c r="U12"/>
      <c r="V12"/>
      <c r="W12"/>
      <c r="X12">
        <v>1</v>
      </c>
      <c r="Y12"/>
      <c r="Z12">
        <v>0</v>
      </c>
      <c r="AA12"/>
      <c r="AB12"/>
      <c r="AC12"/>
      <c r="AD12"/>
      <c r="AE12">
        <v>0</v>
      </c>
      <c r="AF12"/>
      <c r="AG12" t="s">
        <v>3465</v>
      </c>
      <c r="AH12"/>
    </row>
    <row r="13" spans="1:34" x14ac:dyDescent="0.25">
      <c r="A13" t="s">
        <v>322</v>
      </c>
      <c r="B13" t="s">
        <v>323</v>
      </c>
      <c r="C13"/>
      <c r="D13" t="s">
        <v>329</v>
      </c>
      <c r="E13" t="s">
        <v>324</v>
      </c>
      <c r="F13" t="s">
        <v>330</v>
      </c>
      <c r="G13" t="s">
        <v>280</v>
      </c>
      <c r="H13" t="s">
        <v>331</v>
      </c>
      <c r="I13" t="s">
        <v>35</v>
      </c>
      <c r="J13"/>
      <c r="K13">
        <v>1</v>
      </c>
      <c r="L13">
        <v>1</v>
      </c>
      <c r="M13" t="s">
        <v>33</v>
      </c>
      <c r="N13">
        <v>1</v>
      </c>
      <c r="O13">
        <v>1</v>
      </c>
      <c r="P13">
        <v>1</v>
      </c>
      <c r="Q13" t="s">
        <v>38</v>
      </c>
      <c r="R13">
        <v>1</v>
      </c>
      <c r="S13">
        <v>0</v>
      </c>
      <c r="T13"/>
      <c r="U13"/>
      <c r="V13"/>
      <c r="W13"/>
      <c r="X13">
        <v>0</v>
      </c>
      <c r="Y13"/>
      <c r="Z13">
        <v>0</v>
      </c>
      <c r="AA13"/>
      <c r="AB13"/>
      <c r="AC13"/>
      <c r="AD13"/>
      <c r="AE13">
        <v>0</v>
      </c>
      <c r="AF13"/>
      <c r="AG13" t="s">
        <v>3465</v>
      </c>
      <c r="AH13"/>
    </row>
    <row r="14" spans="1:34" x14ac:dyDescent="0.25">
      <c r="A14" t="s">
        <v>322</v>
      </c>
      <c r="B14" t="s">
        <v>323</v>
      </c>
      <c r="C14"/>
      <c r="D14" t="s">
        <v>329</v>
      </c>
      <c r="E14" t="s">
        <v>324</v>
      </c>
      <c r="F14" t="s">
        <v>332</v>
      </c>
      <c r="G14" t="s">
        <v>280</v>
      </c>
      <c r="H14" t="s">
        <v>333</v>
      </c>
      <c r="I14" t="s">
        <v>35</v>
      </c>
      <c r="J14"/>
      <c r="K14">
        <v>1</v>
      </c>
      <c r="L14">
        <v>1</v>
      </c>
      <c r="M14" t="s">
        <v>33</v>
      </c>
      <c r="N14">
        <v>1</v>
      </c>
      <c r="O14"/>
      <c r="P14">
        <v>0</v>
      </c>
      <c r="Q14" t="s">
        <v>38</v>
      </c>
      <c r="R14">
        <v>1</v>
      </c>
      <c r="S14">
        <v>0</v>
      </c>
      <c r="T14"/>
      <c r="U14"/>
      <c r="V14"/>
      <c r="W14"/>
      <c r="X14">
        <v>0</v>
      </c>
      <c r="Y14"/>
      <c r="Z14">
        <v>0</v>
      </c>
      <c r="AA14"/>
      <c r="AB14"/>
      <c r="AC14"/>
      <c r="AD14"/>
      <c r="AE14">
        <v>0</v>
      </c>
      <c r="AF14"/>
      <c r="AG14" t="s">
        <v>3465</v>
      </c>
      <c r="AH14"/>
    </row>
    <row r="15" spans="1:34" x14ac:dyDescent="0.25">
      <c r="A15" t="s">
        <v>322</v>
      </c>
      <c r="B15" t="s">
        <v>323</v>
      </c>
      <c r="C15"/>
      <c r="D15" t="s">
        <v>329</v>
      </c>
      <c r="E15" t="s">
        <v>324</v>
      </c>
      <c r="F15" t="s">
        <v>334</v>
      </c>
      <c r="G15" t="s">
        <v>280</v>
      </c>
      <c r="H15" t="s">
        <v>335</v>
      </c>
      <c r="I15" t="s">
        <v>35</v>
      </c>
      <c r="J15"/>
      <c r="K15">
        <v>1</v>
      </c>
      <c r="L15">
        <v>1</v>
      </c>
      <c r="M15" t="s">
        <v>33</v>
      </c>
      <c r="N15">
        <v>1</v>
      </c>
      <c r="O15"/>
      <c r="P15">
        <v>0</v>
      </c>
      <c r="Q15" t="s">
        <v>38</v>
      </c>
      <c r="R15">
        <v>1</v>
      </c>
      <c r="S15">
        <v>0</v>
      </c>
      <c r="T15"/>
      <c r="U15"/>
      <c r="V15"/>
      <c r="W15"/>
      <c r="X15">
        <v>0</v>
      </c>
      <c r="Y15"/>
      <c r="Z15">
        <v>0</v>
      </c>
      <c r="AA15"/>
      <c r="AB15"/>
      <c r="AC15"/>
      <c r="AD15"/>
      <c r="AE15">
        <v>0</v>
      </c>
      <c r="AF15"/>
      <c r="AG15" t="s">
        <v>3465</v>
      </c>
      <c r="AH15"/>
    </row>
    <row r="16" spans="1:34" x14ac:dyDescent="0.25">
      <c r="A16" t="s">
        <v>322</v>
      </c>
      <c r="B16" t="s">
        <v>323</v>
      </c>
      <c r="C16"/>
      <c r="D16" t="s">
        <v>310</v>
      </c>
      <c r="E16" t="s">
        <v>336</v>
      </c>
      <c r="F16" t="s">
        <v>337</v>
      </c>
      <c r="G16" t="s">
        <v>280</v>
      </c>
      <c r="H16" t="s">
        <v>338</v>
      </c>
      <c r="I16" t="s">
        <v>35</v>
      </c>
      <c r="J16"/>
      <c r="K16">
        <v>1</v>
      </c>
      <c r="L16">
        <v>1</v>
      </c>
      <c r="M16" t="s">
        <v>33</v>
      </c>
      <c r="N16">
        <v>1</v>
      </c>
      <c r="O16"/>
      <c r="P16">
        <v>0</v>
      </c>
      <c r="Q16" t="s">
        <v>38</v>
      </c>
      <c r="R16">
        <v>1</v>
      </c>
      <c r="S16">
        <v>1</v>
      </c>
      <c r="T16">
        <v>1</v>
      </c>
      <c r="U16"/>
      <c r="V16"/>
      <c r="W16"/>
      <c r="X16">
        <v>1</v>
      </c>
      <c r="Y16"/>
      <c r="Z16">
        <v>0</v>
      </c>
      <c r="AA16"/>
      <c r="AB16"/>
      <c r="AC16"/>
      <c r="AD16"/>
      <c r="AE16">
        <v>0</v>
      </c>
      <c r="AF16"/>
      <c r="AG16" t="s">
        <v>3465</v>
      </c>
      <c r="AH16"/>
    </row>
    <row r="17" spans="1:34" x14ac:dyDescent="0.25">
      <c r="A17" t="s">
        <v>339</v>
      </c>
      <c r="B17" t="s">
        <v>340</v>
      </c>
      <c r="C17"/>
      <c r="D17" t="s">
        <v>310</v>
      </c>
      <c r="E17" t="s">
        <v>336</v>
      </c>
      <c r="F17" t="s">
        <v>341</v>
      </c>
      <c r="G17" t="s">
        <v>280</v>
      </c>
      <c r="H17" t="s">
        <v>342</v>
      </c>
      <c r="I17" t="s">
        <v>35</v>
      </c>
      <c r="J17"/>
      <c r="K17">
        <v>1</v>
      </c>
      <c r="L17">
        <v>1</v>
      </c>
      <c r="M17" t="s">
        <v>33</v>
      </c>
      <c r="N17">
        <v>1</v>
      </c>
      <c r="O17">
        <v>1</v>
      </c>
      <c r="P17">
        <v>1</v>
      </c>
      <c r="Q17" t="s">
        <v>38</v>
      </c>
      <c r="R17">
        <v>1</v>
      </c>
      <c r="S17">
        <v>1</v>
      </c>
      <c r="T17">
        <v>1</v>
      </c>
      <c r="U17"/>
      <c r="V17"/>
      <c r="W17"/>
      <c r="X17">
        <v>1</v>
      </c>
      <c r="Y17"/>
      <c r="Z17">
        <v>0</v>
      </c>
      <c r="AA17"/>
      <c r="AB17"/>
      <c r="AC17"/>
      <c r="AD17"/>
      <c r="AE17">
        <v>0</v>
      </c>
      <c r="AF17"/>
      <c r="AG17" t="s">
        <v>3466</v>
      </c>
      <c r="AH17"/>
    </row>
    <row r="18" spans="1:34" x14ac:dyDescent="0.25">
      <c r="A18" t="s">
        <v>339</v>
      </c>
      <c r="B18" t="s">
        <v>340</v>
      </c>
      <c r="C18"/>
      <c r="D18" t="s">
        <v>310</v>
      </c>
      <c r="E18" t="s">
        <v>336</v>
      </c>
      <c r="F18" t="s">
        <v>343</v>
      </c>
      <c r="G18" t="s">
        <v>280</v>
      </c>
      <c r="H18" t="s">
        <v>344</v>
      </c>
      <c r="I18" t="s">
        <v>35</v>
      </c>
      <c r="J18"/>
      <c r="K18">
        <v>1</v>
      </c>
      <c r="L18">
        <v>1</v>
      </c>
      <c r="M18" t="s">
        <v>33</v>
      </c>
      <c r="N18">
        <v>1</v>
      </c>
      <c r="O18"/>
      <c r="P18">
        <v>0</v>
      </c>
      <c r="Q18" t="s">
        <v>38</v>
      </c>
      <c r="R18">
        <v>1</v>
      </c>
      <c r="S18">
        <v>0</v>
      </c>
      <c r="T18"/>
      <c r="U18"/>
      <c r="V18"/>
      <c r="W18"/>
      <c r="X18">
        <v>0</v>
      </c>
      <c r="Y18"/>
      <c r="Z18">
        <v>0</v>
      </c>
      <c r="AA18"/>
      <c r="AB18"/>
      <c r="AC18"/>
      <c r="AD18"/>
      <c r="AE18">
        <v>0</v>
      </c>
      <c r="AF18"/>
      <c r="AG18" t="s">
        <v>3466</v>
      </c>
      <c r="AH18"/>
    </row>
    <row r="19" spans="1:34" x14ac:dyDescent="0.25">
      <c r="A19" t="s">
        <v>345</v>
      </c>
      <c r="B19" t="s">
        <v>346</v>
      </c>
      <c r="C19"/>
      <c r="D19" t="s">
        <v>310</v>
      </c>
      <c r="E19" t="s">
        <v>336</v>
      </c>
      <c r="F19" t="s">
        <v>347</v>
      </c>
      <c r="G19" t="s">
        <v>280</v>
      </c>
      <c r="H19" t="s">
        <v>348</v>
      </c>
      <c r="I19" t="s">
        <v>35</v>
      </c>
      <c r="J19"/>
      <c r="K19">
        <v>1</v>
      </c>
      <c r="L19">
        <v>1</v>
      </c>
      <c r="M19" t="s">
        <v>33</v>
      </c>
      <c r="N19">
        <v>1</v>
      </c>
      <c r="O19"/>
      <c r="P19">
        <v>0</v>
      </c>
      <c r="Q19" t="s">
        <v>38</v>
      </c>
      <c r="R19">
        <v>1</v>
      </c>
      <c r="S19">
        <v>0</v>
      </c>
      <c r="T19"/>
      <c r="U19"/>
      <c r="V19"/>
      <c r="W19"/>
      <c r="X19">
        <v>0</v>
      </c>
      <c r="Y19"/>
      <c r="Z19">
        <v>0</v>
      </c>
      <c r="AA19"/>
      <c r="AB19"/>
      <c r="AC19"/>
      <c r="AD19"/>
      <c r="AE19">
        <v>0</v>
      </c>
      <c r="AF19"/>
      <c r="AG19" t="s">
        <v>3468</v>
      </c>
      <c r="AH19"/>
    </row>
    <row r="20" spans="1:34" x14ac:dyDescent="0.25">
      <c r="A20" t="s">
        <v>345</v>
      </c>
      <c r="B20" t="s">
        <v>346</v>
      </c>
      <c r="C20"/>
      <c r="D20" t="s">
        <v>310</v>
      </c>
      <c r="E20" t="s">
        <v>349</v>
      </c>
      <c r="F20" t="s">
        <v>350</v>
      </c>
      <c r="G20" t="s">
        <v>280</v>
      </c>
      <c r="H20" t="s">
        <v>351</v>
      </c>
      <c r="I20" t="s">
        <v>35</v>
      </c>
      <c r="J20"/>
      <c r="K20">
        <v>1</v>
      </c>
      <c r="L20">
        <v>1</v>
      </c>
      <c r="M20" t="s">
        <v>33</v>
      </c>
      <c r="N20">
        <v>1</v>
      </c>
      <c r="O20"/>
      <c r="P20">
        <v>0</v>
      </c>
      <c r="Q20" t="s">
        <v>38</v>
      </c>
      <c r="R20">
        <v>1</v>
      </c>
      <c r="S20">
        <v>0</v>
      </c>
      <c r="T20"/>
      <c r="U20"/>
      <c r="V20"/>
      <c r="W20"/>
      <c r="X20">
        <v>0</v>
      </c>
      <c r="Y20"/>
      <c r="Z20">
        <v>0</v>
      </c>
      <c r="AA20"/>
      <c r="AB20"/>
      <c r="AC20"/>
      <c r="AD20"/>
      <c r="AE20">
        <v>0</v>
      </c>
      <c r="AF20"/>
      <c r="AG20" t="s">
        <v>3468</v>
      </c>
      <c r="AH20"/>
    </row>
    <row r="21" spans="1:34" x14ac:dyDescent="0.25">
      <c r="A21" t="s">
        <v>345</v>
      </c>
      <c r="B21" t="s">
        <v>346</v>
      </c>
      <c r="C21"/>
      <c r="D21" t="s">
        <v>310</v>
      </c>
      <c r="E21" t="s">
        <v>349</v>
      </c>
      <c r="F21" t="s">
        <v>352</v>
      </c>
      <c r="G21" t="s">
        <v>280</v>
      </c>
      <c r="H21" t="s">
        <v>353</v>
      </c>
      <c r="I21" t="s">
        <v>35</v>
      </c>
      <c r="J21"/>
      <c r="K21">
        <v>1</v>
      </c>
      <c r="L21">
        <v>1</v>
      </c>
      <c r="M21" t="s">
        <v>33</v>
      </c>
      <c r="N21">
        <v>1</v>
      </c>
      <c r="O21"/>
      <c r="P21">
        <v>0</v>
      </c>
      <c r="Q21" t="s">
        <v>38</v>
      </c>
      <c r="R21">
        <v>1</v>
      </c>
      <c r="S21">
        <v>0</v>
      </c>
      <c r="T21"/>
      <c r="U21"/>
      <c r="V21"/>
      <c r="W21"/>
      <c r="X21">
        <v>0</v>
      </c>
      <c r="Y21"/>
      <c r="Z21">
        <v>0</v>
      </c>
      <c r="AA21"/>
      <c r="AB21"/>
      <c r="AC21"/>
      <c r="AD21"/>
      <c r="AE21">
        <v>0</v>
      </c>
      <c r="AF21"/>
      <c r="AG21" t="s">
        <v>3468</v>
      </c>
      <c r="AH21"/>
    </row>
    <row r="22" spans="1:34" x14ac:dyDescent="0.25">
      <c r="A22" t="s">
        <v>345</v>
      </c>
      <c r="B22" t="s">
        <v>346</v>
      </c>
      <c r="C22"/>
      <c r="D22" t="s">
        <v>310</v>
      </c>
      <c r="E22" t="s">
        <v>349</v>
      </c>
      <c r="F22" t="s">
        <v>354</v>
      </c>
      <c r="G22" t="s">
        <v>280</v>
      </c>
      <c r="H22" t="s">
        <v>355</v>
      </c>
      <c r="I22" t="s">
        <v>35</v>
      </c>
      <c r="J22"/>
      <c r="K22">
        <v>1</v>
      </c>
      <c r="L22">
        <v>1</v>
      </c>
      <c r="M22" t="s">
        <v>33</v>
      </c>
      <c r="N22">
        <v>1</v>
      </c>
      <c r="O22"/>
      <c r="P22">
        <v>0</v>
      </c>
      <c r="Q22" t="s">
        <v>38</v>
      </c>
      <c r="R22">
        <v>1</v>
      </c>
      <c r="S22">
        <v>0</v>
      </c>
      <c r="T22"/>
      <c r="U22"/>
      <c r="V22"/>
      <c r="W22"/>
      <c r="X22">
        <v>0</v>
      </c>
      <c r="Y22"/>
      <c r="Z22">
        <v>0</v>
      </c>
      <c r="AA22"/>
      <c r="AB22"/>
      <c r="AC22"/>
      <c r="AD22"/>
      <c r="AE22">
        <v>0</v>
      </c>
      <c r="AF22"/>
      <c r="AG22" t="s">
        <v>3468</v>
      </c>
      <c r="AH22"/>
    </row>
    <row r="23" spans="1:34" x14ac:dyDescent="0.25">
      <c r="A23" t="s">
        <v>345</v>
      </c>
      <c r="B23" t="s">
        <v>346</v>
      </c>
      <c r="C23"/>
      <c r="D23" t="s">
        <v>310</v>
      </c>
      <c r="E23" t="s">
        <v>349</v>
      </c>
      <c r="F23" t="s">
        <v>356</v>
      </c>
      <c r="G23" t="s">
        <v>280</v>
      </c>
      <c r="H23" t="s">
        <v>357</v>
      </c>
      <c r="I23" t="s">
        <v>35</v>
      </c>
      <c r="J23"/>
      <c r="K23">
        <v>1</v>
      </c>
      <c r="L23">
        <v>1</v>
      </c>
      <c r="M23" t="s">
        <v>33</v>
      </c>
      <c r="N23">
        <v>1</v>
      </c>
      <c r="O23"/>
      <c r="P23">
        <v>0</v>
      </c>
      <c r="Q23" t="s">
        <v>38</v>
      </c>
      <c r="R23">
        <v>1</v>
      </c>
      <c r="S23">
        <v>0</v>
      </c>
      <c r="T23"/>
      <c r="U23"/>
      <c r="V23"/>
      <c r="W23"/>
      <c r="X23">
        <v>0</v>
      </c>
      <c r="Y23"/>
      <c r="Z23">
        <v>0</v>
      </c>
      <c r="AA23"/>
      <c r="AB23"/>
      <c r="AC23"/>
      <c r="AD23"/>
      <c r="AE23">
        <v>0</v>
      </c>
      <c r="AF23"/>
      <c r="AG23" t="s">
        <v>3468</v>
      </c>
      <c r="AH23"/>
    </row>
    <row r="24" spans="1:34" x14ac:dyDescent="0.25">
      <c r="A24" t="s">
        <v>345</v>
      </c>
      <c r="B24" t="s">
        <v>346</v>
      </c>
      <c r="C24"/>
      <c r="D24" t="s">
        <v>329</v>
      </c>
      <c r="E24" t="s">
        <v>349</v>
      </c>
      <c r="F24" t="s">
        <v>358</v>
      </c>
      <c r="G24" t="s">
        <v>280</v>
      </c>
      <c r="H24" t="s">
        <v>359</v>
      </c>
      <c r="I24" t="s">
        <v>35</v>
      </c>
      <c r="J24"/>
      <c r="K24">
        <v>1</v>
      </c>
      <c r="L24">
        <v>1</v>
      </c>
      <c r="M24" t="s">
        <v>33</v>
      </c>
      <c r="N24">
        <v>1</v>
      </c>
      <c r="O24"/>
      <c r="P24">
        <v>0</v>
      </c>
      <c r="Q24" t="s">
        <v>38</v>
      </c>
      <c r="R24">
        <v>1</v>
      </c>
      <c r="S24">
        <v>0</v>
      </c>
      <c r="T24"/>
      <c r="U24"/>
      <c r="V24"/>
      <c r="W24"/>
      <c r="X24">
        <v>0</v>
      </c>
      <c r="Y24"/>
      <c r="Z24">
        <v>0</v>
      </c>
      <c r="AA24"/>
      <c r="AB24"/>
      <c r="AC24"/>
      <c r="AD24"/>
      <c r="AE24">
        <v>0</v>
      </c>
      <c r="AF24"/>
      <c r="AG24" t="s">
        <v>3468</v>
      </c>
      <c r="AH24"/>
    </row>
    <row r="25" spans="1:34" x14ac:dyDescent="0.25">
      <c r="A25" t="s">
        <v>345</v>
      </c>
      <c r="B25" t="s">
        <v>346</v>
      </c>
      <c r="C25"/>
      <c r="D25" t="s">
        <v>329</v>
      </c>
      <c r="E25" t="s">
        <v>349</v>
      </c>
      <c r="F25" t="s">
        <v>360</v>
      </c>
      <c r="G25" t="s">
        <v>280</v>
      </c>
      <c r="H25" t="s">
        <v>361</v>
      </c>
      <c r="I25" t="s">
        <v>35</v>
      </c>
      <c r="J25"/>
      <c r="K25">
        <v>1</v>
      </c>
      <c r="L25">
        <v>1</v>
      </c>
      <c r="M25" t="s">
        <v>33</v>
      </c>
      <c r="N25">
        <v>1</v>
      </c>
      <c r="O25"/>
      <c r="P25">
        <v>0</v>
      </c>
      <c r="Q25" t="s">
        <v>38</v>
      </c>
      <c r="R25">
        <v>1</v>
      </c>
      <c r="S25">
        <v>0</v>
      </c>
      <c r="T25"/>
      <c r="U25"/>
      <c r="V25"/>
      <c r="W25"/>
      <c r="X25">
        <v>0</v>
      </c>
      <c r="Y25"/>
      <c r="Z25">
        <v>0</v>
      </c>
      <c r="AA25"/>
      <c r="AB25"/>
      <c r="AC25"/>
      <c r="AD25"/>
      <c r="AE25">
        <v>0</v>
      </c>
      <c r="AF25"/>
      <c r="AG25" t="s">
        <v>3468</v>
      </c>
      <c r="AH25"/>
    </row>
    <row r="26" spans="1:34" x14ac:dyDescent="0.25">
      <c r="A26" t="s">
        <v>345</v>
      </c>
      <c r="B26" t="s">
        <v>346</v>
      </c>
      <c r="C26"/>
      <c r="D26" t="s">
        <v>329</v>
      </c>
      <c r="E26" t="s">
        <v>349</v>
      </c>
      <c r="F26" t="s">
        <v>362</v>
      </c>
      <c r="G26" t="s">
        <v>280</v>
      </c>
      <c r="H26" t="s">
        <v>363</v>
      </c>
      <c r="I26" t="s">
        <v>35</v>
      </c>
      <c r="J26"/>
      <c r="K26">
        <v>1</v>
      </c>
      <c r="L26">
        <v>1</v>
      </c>
      <c r="M26" t="s">
        <v>33</v>
      </c>
      <c r="N26">
        <v>1</v>
      </c>
      <c r="O26"/>
      <c r="P26">
        <v>0</v>
      </c>
      <c r="Q26" t="s">
        <v>38</v>
      </c>
      <c r="R26">
        <v>1</v>
      </c>
      <c r="S26">
        <v>0</v>
      </c>
      <c r="T26"/>
      <c r="U26"/>
      <c r="V26"/>
      <c r="W26"/>
      <c r="X26">
        <v>0</v>
      </c>
      <c r="Y26"/>
      <c r="Z26">
        <v>0</v>
      </c>
      <c r="AA26"/>
      <c r="AB26"/>
      <c r="AC26"/>
      <c r="AD26"/>
      <c r="AE26">
        <v>0</v>
      </c>
      <c r="AF26"/>
      <c r="AG26" t="s">
        <v>3468</v>
      </c>
      <c r="AH26"/>
    </row>
    <row r="27" spans="1:34" x14ac:dyDescent="0.25">
      <c r="A27" t="s">
        <v>345</v>
      </c>
      <c r="B27" t="s">
        <v>346</v>
      </c>
      <c r="C27"/>
      <c r="D27" t="s">
        <v>329</v>
      </c>
      <c r="E27" t="s">
        <v>349</v>
      </c>
      <c r="F27" t="s">
        <v>364</v>
      </c>
      <c r="G27" t="s">
        <v>280</v>
      </c>
      <c r="H27" t="s">
        <v>365</v>
      </c>
      <c r="I27" t="s">
        <v>35</v>
      </c>
      <c r="J27"/>
      <c r="K27">
        <v>1</v>
      </c>
      <c r="L27">
        <v>1</v>
      </c>
      <c r="M27" t="s">
        <v>33</v>
      </c>
      <c r="N27">
        <v>1</v>
      </c>
      <c r="O27"/>
      <c r="P27">
        <v>0</v>
      </c>
      <c r="Q27" t="s">
        <v>38</v>
      </c>
      <c r="R27">
        <v>1</v>
      </c>
      <c r="S27">
        <v>0</v>
      </c>
      <c r="T27"/>
      <c r="U27"/>
      <c r="V27"/>
      <c r="W27"/>
      <c r="X27">
        <v>0</v>
      </c>
      <c r="Y27"/>
      <c r="Z27">
        <v>0</v>
      </c>
      <c r="AA27"/>
      <c r="AB27"/>
      <c r="AC27"/>
      <c r="AD27"/>
      <c r="AE27">
        <v>0</v>
      </c>
      <c r="AF27"/>
      <c r="AG27" t="s">
        <v>3468</v>
      </c>
      <c r="AH27"/>
    </row>
    <row r="28" spans="1:34" x14ac:dyDescent="0.25">
      <c r="A28" t="s">
        <v>322</v>
      </c>
      <c r="B28" t="s">
        <v>323</v>
      </c>
      <c r="C28"/>
      <c r="D28" t="s">
        <v>310</v>
      </c>
      <c r="E28" t="s">
        <v>324</v>
      </c>
      <c r="F28" t="s">
        <v>366</v>
      </c>
      <c r="G28" t="s">
        <v>280</v>
      </c>
      <c r="H28" t="s">
        <v>367</v>
      </c>
      <c r="I28" t="s">
        <v>35</v>
      </c>
      <c r="J28"/>
      <c r="K28">
        <v>1</v>
      </c>
      <c r="L28">
        <v>1</v>
      </c>
      <c r="M28" t="s">
        <v>33</v>
      </c>
      <c r="N28">
        <v>1</v>
      </c>
      <c r="O28"/>
      <c r="P28">
        <v>0</v>
      </c>
      <c r="Q28" t="s">
        <v>38</v>
      </c>
      <c r="R28">
        <v>1</v>
      </c>
      <c r="S28">
        <v>0</v>
      </c>
      <c r="T28"/>
      <c r="U28"/>
      <c r="V28"/>
      <c r="W28"/>
      <c r="X28">
        <v>0</v>
      </c>
      <c r="Y28"/>
      <c r="Z28">
        <v>0</v>
      </c>
      <c r="AA28"/>
      <c r="AB28"/>
      <c r="AC28"/>
      <c r="AD28"/>
      <c r="AE28">
        <v>0</v>
      </c>
      <c r="AF28"/>
      <c r="AG28" t="s">
        <v>3465</v>
      </c>
      <c r="AH28"/>
    </row>
    <row r="29" spans="1:34" x14ac:dyDescent="0.25">
      <c r="A29" t="s">
        <v>322</v>
      </c>
      <c r="B29" t="s">
        <v>323</v>
      </c>
      <c r="C29"/>
      <c r="D29" t="s">
        <v>310</v>
      </c>
      <c r="E29" t="s">
        <v>324</v>
      </c>
      <c r="F29" t="s">
        <v>368</v>
      </c>
      <c r="G29" t="s">
        <v>280</v>
      </c>
      <c r="H29" t="s">
        <v>369</v>
      </c>
      <c r="I29" t="s">
        <v>35</v>
      </c>
      <c r="J29"/>
      <c r="K29">
        <v>1</v>
      </c>
      <c r="L29">
        <v>1</v>
      </c>
      <c r="M29" t="s">
        <v>33</v>
      </c>
      <c r="N29">
        <v>1</v>
      </c>
      <c r="O29"/>
      <c r="P29">
        <v>0</v>
      </c>
      <c r="Q29" t="s">
        <v>38</v>
      </c>
      <c r="R29">
        <v>1</v>
      </c>
      <c r="S29">
        <v>0</v>
      </c>
      <c r="T29"/>
      <c r="U29"/>
      <c r="V29"/>
      <c r="W29"/>
      <c r="X29">
        <v>0</v>
      </c>
      <c r="Y29"/>
      <c r="Z29">
        <v>0</v>
      </c>
      <c r="AA29"/>
      <c r="AB29"/>
      <c r="AC29"/>
      <c r="AD29"/>
      <c r="AE29">
        <v>0</v>
      </c>
      <c r="AF29"/>
      <c r="AG29" t="s">
        <v>3465</v>
      </c>
      <c r="AH29"/>
    </row>
    <row r="30" spans="1:34" hidden="1" x14ac:dyDescent="0.25">
      <c r="A30" t="s">
        <v>1945</v>
      </c>
      <c r="B30" t="s">
        <v>1946</v>
      </c>
      <c r="C30"/>
      <c r="D30" t="s">
        <v>370</v>
      </c>
      <c r="E30" t="s">
        <v>324</v>
      </c>
      <c r="F30" t="s">
        <v>371</v>
      </c>
      <c r="G30" t="s">
        <v>280</v>
      </c>
      <c r="H30" t="s">
        <v>372</v>
      </c>
      <c r="I30" t="s">
        <v>373</v>
      </c>
      <c r="J30"/>
      <c r="K30">
        <v>1</v>
      </c>
      <c r="L30">
        <v>1</v>
      </c>
      <c r="M30" t="s">
        <v>33</v>
      </c>
      <c r="N30">
        <v>0</v>
      </c>
      <c r="O30"/>
      <c r="P30">
        <v>0</v>
      </c>
      <c r="Q30" t="s">
        <v>38</v>
      </c>
      <c r="R30">
        <v>1</v>
      </c>
      <c r="S30">
        <v>0</v>
      </c>
      <c r="T30"/>
      <c r="U30"/>
      <c r="V30"/>
      <c r="W30"/>
      <c r="X30">
        <v>0</v>
      </c>
      <c r="Y30"/>
      <c r="Z30">
        <v>0</v>
      </c>
      <c r="AA30"/>
      <c r="AB30"/>
      <c r="AC30"/>
      <c r="AD30"/>
      <c r="AE30">
        <v>0</v>
      </c>
      <c r="AF30"/>
      <c r="AG30"/>
      <c r="AH30"/>
    </row>
    <row r="31" spans="1:34" hidden="1" x14ac:dyDescent="0.25">
      <c r="A31" t="s">
        <v>322</v>
      </c>
      <c r="B31" t="s">
        <v>323</v>
      </c>
      <c r="C31"/>
      <c r="D31" t="s">
        <v>370</v>
      </c>
      <c r="E31" t="s">
        <v>324</v>
      </c>
      <c r="F31" t="s">
        <v>371</v>
      </c>
      <c r="G31" t="s">
        <v>280</v>
      </c>
      <c r="H31" t="s">
        <v>372</v>
      </c>
      <c r="I31" t="s">
        <v>373</v>
      </c>
      <c r="J31"/>
      <c r="K31">
        <v>1</v>
      </c>
      <c r="L31">
        <v>1</v>
      </c>
      <c r="M31" t="s">
        <v>33</v>
      </c>
      <c r="N31">
        <v>0</v>
      </c>
      <c r="O31"/>
      <c r="P31">
        <v>0</v>
      </c>
      <c r="Q31" t="s">
        <v>38</v>
      </c>
      <c r="R31">
        <v>1</v>
      </c>
      <c r="S31">
        <v>0</v>
      </c>
      <c r="T31"/>
      <c r="U31"/>
      <c r="V31"/>
      <c r="W31"/>
      <c r="X31">
        <v>0</v>
      </c>
      <c r="Y31"/>
      <c r="Z31">
        <v>0</v>
      </c>
      <c r="AA31"/>
      <c r="AB31"/>
      <c r="AC31"/>
      <c r="AD31"/>
      <c r="AE31">
        <v>0</v>
      </c>
      <c r="AF31"/>
      <c r="AG31"/>
      <c r="AH31"/>
    </row>
    <row r="32" spans="1:34" hidden="1" x14ac:dyDescent="0.25">
      <c r="A32" t="s">
        <v>1945</v>
      </c>
      <c r="B32" t="s">
        <v>1946</v>
      </c>
      <c r="C32"/>
      <c r="D32" t="s">
        <v>370</v>
      </c>
      <c r="E32" t="s">
        <v>324</v>
      </c>
      <c r="F32" t="s">
        <v>374</v>
      </c>
      <c r="G32" t="s">
        <v>280</v>
      </c>
      <c r="H32" t="s">
        <v>375</v>
      </c>
      <c r="I32" t="s">
        <v>373</v>
      </c>
      <c r="J32"/>
      <c r="K32">
        <v>1</v>
      </c>
      <c r="L32">
        <v>1</v>
      </c>
      <c r="M32" t="s">
        <v>33</v>
      </c>
      <c r="N32">
        <v>0</v>
      </c>
      <c r="O32"/>
      <c r="P32">
        <v>0</v>
      </c>
      <c r="Q32" t="s">
        <v>38</v>
      </c>
      <c r="R32">
        <v>1</v>
      </c>
      <c r="S32">
        <v>0</v>
      </c>
      <c r="T32"/>
      <c r="U32"/>
      <c r="V32"/>
      <c r="W32"/>
      <c r="X32">
        <v>0</v>
      </c>
      <c r="Y32"/>
      <c r="Z32">
        <v>0</v>
      </c>
      <c r="AA32"/>
      <c r="AB32"/>
      <c r="AC32"/>
      <c r="AD32"/>
      <c r="AE32">
        <v>0</v>
      </c>
      <c r="AF32"/>
      <c r="AG32"/>
      <c r="AH32"/>
    </row>
    <row r="33" spans="1:34" hidden="1" x14ac:dyDescent="0.25">
      <c r="A33" t="s">
        <v>322</v>
      </c>
      <c r="B33" t="s">
        <v>323</v>
      </c>
      <c r="C33"/>
      <c r="D33" t="s">
        <v>370</v>
      </c>
      <c r="E33" t="s">
        <v>324</v>
      </c>
      <c r="F33" t="s">
        <v>374</v>
      </c>
      <c r="G33" t="s">
        <v>280</v>
      </c>
      <c r="H33" t="s">
        <v>375</v>
      </c>
      <c r="I33" t="s">
        <v>373</v>
      </c>
      <c r="J33"/>
      <c r="K33">
        <v>1</v>
      </c>
      <c r="L33">
        <v>1</v>
      </c>
      <c r="M33" t="s">
        <v>33</v>
      </c>
      <c r="N33">
        <v>0</v>
      </c>
      <c r="O33"/>
      <c r="P33">
        <v>0</v>
      </c>
      <c r="Q33" t="s">
        <v>38</v>
      </c>
      <c r="R33">
        <v>1</v>
      </c>
      <c r="S33">
        <v>0</v>
      </c>
      <c r="T33"/>
      <c r="U33"/>
      <c r="V33"/>
      <c r="W33"/>
      <c r="X33">
        <v>0</v>
      </c>
      <c r="Y33"/>
      <c r="Z33">
        <v>0</v>
      </c>
      <c r="AA33"/>
      <c r="AB33"/>
      <c r="AC33"/>
      <c r="AD33"/>
      <c r="AE33">
        <v>0</v>
      </c>
      <c r="AF33"/>
      <c r="AG33"/>
      <c r="AH33"/>
    </row>
    <row r="34" spans="1:34" hidden="1" x14ac:dyDescent="0.25">
      <c r="A34" t="s">
        <v>322</v>
      </c>
      <c r="B34" t="s">
        <v>323</v>
      </c>
      <c r="C34"/>
      <c r="D34" t="s">
        <v>310</v>
      </c>
      <c r="E34" t="s">
        <v>324</v>
      </c>
      <c r="F34" t="s">
        <v>376</v>
      </c>
      <c r="G34" t="s">
        <v>280</v>
      </c>
      <c r="H34" t="s">
        <v>377</v>
      </c>
      <c r="I34" t="s">
        <v>35</v>
      </c>
      <c r="J34"/>
      <c r="K34">
        <v>1</v>
      </c>
      <c r="L34">
        <v>1</v>
      </c>
      <c r="M34" t="s">
        <v>33</v>
      </c>
      <c r="N34">
        <v>0</v>
      </c>
      <c r="O34"/>
      <c r="P34">
        <v>0</v>
      </c>
      <c r="Q34" t="s">
        <v>38</v>
      </c>
      <c r="R34">
        <v>1</v>
      </c>
      <c r="S34">
        <v>0</v>
      </c>
      <c r="T34"/>
      <c r="U34"/>
      <c r="V34"/>
      <c r="W34"/>
      <c r="X34">
        <v>0</v>
      </c>
      <c r="Y34"/>
      <c r="Z34">
        <v>0</v>
      </c>
      <c r="AA34"/>
      <c r="AB34"/>
      <c r="AC34"/>
      <c r="AD34"/>
      <c r="AE34">
        <v>0</v>
      </c>
      <c r="AF34"/>
      <c r="AG34" t="s">
        <v>3465</v>
      </c>
      <c r="AH34"/>
    </row>
    <row r="35" spans="1:34" x14ac:dyDescent="0.25">
      <c r="A35" t="s">
        <v>322</v>
      </c>
      <c r="B35" t="s">
        <v>323</v>
      </c>
      <c r="C35"/>
      <c r="D35" t="s">
        <v>310</v>
      </c>
      <c r="E35" t="s">
        <v>324</v>
      </c>
      <c r="F35" t="s">
        <v>378</v>
      </c>
      <c r="G35" t="s">
        <v>280</v>
      </c>
      <c r="H35" t="s">
        <v>379</v>
      </c>
      <c r="I35" t="s">
        <v>35</v>
      </c>
      <c r="J35"/>
      <c r="K35">
        <v>1</v>
      </c>
      <c r="L35">
        <v>1</v>
      </c>
      <c r="M35" t="s">
        <v>33</v>
      </c>
      <c r="N35">
        <v>0</v>
      </c>
      <c r="O35"/>
      <c r="P35">
        <v>0</v>
      </c>
      <c r="Q35" t="s">
        <v>38</v>
      </c>
      <c r="R35">
        <v>1</v>
      </c>
      <c r="S35">
        <v>0</v>
      </c>
      <c r="T35"/>
      <c r="U35"/>
      <c r="V35"/>
      <c r="W35"/>
      <c r="X35">
        <v>0</v>
      </c>
      <c r="Y35"/>
      <c r="Z35">
        <v>0</v>
      </c>
      <c r="AA35"/>
      <c r="AB35"/>
      <c r="AC35"/>
      <c r="AD35"/>
      <c r="AE35">
        <v>0</v>
      </c>
      <c r="AF35"/>
      <c r="AG35" t="s">
        <v>3465</v>
      </c>
      <c r="AH35"/>
    </row>
    <row r="36" spans="1:34" x14ac:dyDescent="0.25">
      <c r="A36" t="s">
        <v>1945</v>
      </c>
      <c r="B36" t="s">
        <v>1946</v>
      </c>
      <c r="C36"/>
      <c r="D36" t="s">
        <v>370</v>
      </c>
      <c r="E36" t="s">
        <v>324</v>
      </c>
      <c r="F36" t="s">
        <v>380</v>
      </c>
      <c r="G36" t="s">
        <v>280</v>
      </c>
      <c r="H36" t="s">
        <v>381</v>
      </c>
      <c r="I36" t="s">
        <v>373</v>
      </c>
      <c r="J36"/>
      <c r="K36">
        <v>1</v>
      </c>
      <c r="L36">
        <v>1</v>
      </c>
      <c r="M36" t="s">
        <v>33</v>
      </c>
      <c r="N36">
        <v>0</v>
      </c>
      <c r="O36"/>
      <c r="P36">
        <v>0</v>
      </c>
      <c r="Q36" t="s">
        <v>38</v>
      </c>
      <c r="R36">
        <v>1</v>
      </c>
      <c r="S36">
        <v>0</v>
      </c>
      <c r="T36"/>
      <c r="U36"/>
      <c r="V36"/>
      <c r="W36"/>
      <c r="X36">
        <v>0</v>
      </c>
      <c r="Y36"/>
      <c r="Z36">
        <v>0</v>
      </c>
      <c r="AA36"/>
      <c r="AB36"/>
      <c r="AC36"/>
      <c r="AD36"/>
      <c r="AE36">
        <v>0</v>
      </c>
      <c r="AF36"/>
      <c r="AG36"/>
      <c r="AH36"/>
    </row>
    <row r="37" spans="1:34" x14ac:dyDescent="0.25">
      <c r="A37" t="s">
        <v>322</v>
      </c>
      <c r="B37" t="s">
        <v>323</v>
      </c>
      <c r="C37"/>
      <c r="D37" t="s">
        <v>370</v>
      </c>
      <c r="E37" t="s">
        <v>324</v>
      </c>
      <c r="F37" t="s">
        <v>380</v>
      </c>
      <c r="G37" t="s">
        <v>280</v>
      </c>
      <c r="H37" t="s">
        <v>381</v>
      </c>
      <c r="I37" t="s">
        <v>373</v>
      </c>
      <c r="J37"/>
      <c r="K37">
        <v>1</v>
      </c>
      <c r="L37">
        <v>1</v>
      </c>
      <c r="M37" t="s">
        <v>33</v>
      </c>
      <c r="N37">
        <v>0</v>
      </c>
      <c r="O37"/>
      <c r="P37">
        <v>0</v>
      </c>
      <c r="Q37" t="s">
        <v>38</v>
      </c>
      <c r="R37">
        <v>1</v>
      </c>
      <c r="S37">
        <v>0</v>
      </c>
      <c r="T37"/>
      <c r="U37"/>
      <c r="V37"/>
      <c r="W37"/>
      <c r="X37">
        <v>0</v>
      </c>
      <c r="Y37"/>
      <c r="Z37">
        <v>0</v>
      </c>
      <c r="AA37"/>
      <c r="AB37"/>
      <c r="AC37"/>
      <c r="AD37"/>
      <c r="AE37">
        <v>0</v>
      </c>
      <c r="AF37"/>
      <c r="AG37"/>
      <c r="AH37"/>
    </row>
    <row r="38" spans="1:34" x14ac:dyDescent="0.25">
      <c r="A38" t="s">
        <v>382</v>
      </c>
      <c r="B38" t="s">
        <v>419</v>
      </c>
      <c r="C38"/>
      <c r="D38" t="s">
        <v>383</v>
      </c>
      <c r="E38" t="s">
        <v>384</v>
      </c>
      <c r="F38" t="s">
        <v>385</v>
      </c>
      <c r="G38" t="s">
        <v>280</v>
      </c>
      <c r="H38" t="s">
        <v>386</v>
      </c>
      <c r="I38" t="s">
        <v>35</v>
      </c>
      <c r="J38"/>
      <c r="K38">
        <v>1</v>
      </c>
      <c r="L38">
        <v>1</v>
      </c>
      <c r="M38" t="s">
        <v>33</v>
      </c>
      <c r="N38">
        <v>1</v>
      </c>
      <c r="O38">
        <v>1</v>
      </c>
      <c r="P38">
        <v>1</v>
      </c>
      <c r="Q38" t="s">
        <v>38</v>
      </c>
      <c r="R38">
        <v>1</v>
      </c>
      <c r="S38">
        <v>1</v>
      </c>
      <c r="T38">
        <v>1</v>
      </c>
      <c r="U38"/>
      <c r="V38"/>
      <c r="W38"/>
      <c r="X38">
        <v>1</v>
      </c>
      <c r="Y38"/>
      <c r="Z38">
        <v>0</v>
      </c>
      <c r="AA38"/>
      <c r="AB38"/>
      <c r="AC38"/>
      <c r="AD38"/>
      <c r="AE38">
        <v>0</v>
      </c>
      <c r="AF38"/>
      <c r="AG38" t="s">
        <v>3467</v>
      </c>
      <c r="AH38"/>
    </row>
    <row r="39" spans="1:34" x14ac:dyDescent="0.25">
      <c r="A39" t="s">
        <v>382</v>
      </c>
      <c r="B39" t="s">
        <v>419</v>
      </c>
      <c r="C39"/>
      <c r="D39" t="s">
        <v>383</v>
      </c>
      <c r="E39" t="s">
        <v>384</v>
      </c>
      <c r="F39" t="s">
        <v>387</v>
      </c>
      <c r="G39" t="s">
        <v>280</v>
      </c>
      <c r="H39" t="s">
        <v>388</v>
      </c>
      <c r="I39" t="s">
        <v>35</v>
      </c>
      <c r="J39"/>
      <c r="K39">
        <v>1</v>
      </c>
      <c r="L39">
        <v>1</v>
      </c>
      <c r="M39" t="s">
        <v>33</v>
      </c>
      <c r="N39">
        <v>1</v>
      </c>
      <c r="O39">
        <v>1</v>
      </c>
      <c r="P39">
        <v>1</v>
      </c>
      <c r="Q39" t="s">
        <v>38</v>
      </c>
      <c r="R39">
        <v>1</v>
      </c>
      <c r="S39">
        <v>1</v>
      </c>
      <c r="T39">
        <v>1</v>
      </c>
      <c r="U39"/>
      <c r="V39"/>
      <c r="W39"/>
      <c r="X39">
        <v>1</v>
      </c>
      <c r="Y39"/>
      <c r="Z39">
        <v>0</v>
      </c>
      <c r="AA39"/>
      <c r="AB39"/>
      <c r="AC39"/>
      <c r="AD39"/>
      <c r="AE39">
        <v>0</v>
      </c>
      <c r="AF39"/>
      <c r="AG39" t="s">
        <v>3467</v>
      </c>
      <c r="AH39"/>
    </row>
    <row r="40" spans="1:34" x14ac:dyDescent="0.25">
      <c r="A40" t="s">
        <v>382</v>
      </c>
      <c r="B40" t="s">
        <v>419</v>
      </c>
      <c r="C40"/>
      <c r="D40" t="s">
        <v>383</v>
      </c>
      <c r="E40" t="s">
        <v>384</v>
      </c>
      <c r="F40" t="s">
        <v>389</v>
      </c>
      <c r="G40" t="s">
        <v>280</v>
      </c>
      <c r="H40" t="s">
        <v>390</v>
      </c>
      <c r="I40" t="s">
        <v>35</v>
      </c>
      <c r="J40"/>
      <c r="K40">
        <v>1</v>
      </c>
      <c r="L40">
        <v>1</v>
      </c>
      <c r="M40" t="s">
        <v>33</v>
      </c>
      <c r="N40">
        <v>1</v>
      </c>
      <c r="O40">
        <v>1</v>
      </c>
      <c r="P40">
        <v>1</v>
      </c>
      <c r="Q40" t="s">
        <v>38</v>
      </c>
      <c r="R40">
        <v>1</v>
      </c>
      <c r="S40">
        <v>1</v>
      </c>
      <c r="T40">
        <v>1</v>
      </c>
      <c r="U40"/>
      <c r="V40"/>
      <c r="W40"/>
      <c r="X40">
        <v>1</v>
      </c>
      <c r="Y40"/>
      <c r="Z40">
        <v>0</v>
      </c>
      <c r="AA40"/>
      <c r="AB40"/>
      <c r="AC40"/>
      <c r="AD40"/>
      <c r="AE40">
        <v>0</v>
      </c>
      <c r="AF40"/>
      <c r="AG40" t="s">
        <v>3467</v>
      </c>
      <c r="AH40"/>
    </row>
    <row r="41" spans="1:34" x14ac:dyDescent="0.25">
      <c r="A41" t="s">
        <v>382</v>
      </c>
      <c r="B41" t="s">
        <v>419</v>
      </c>
      <c r="C41"/>
      <c r="D41" t="s">
        <v>383</v>
      </c>
      <c r="E41" t="s">
        <v>384</v>
      </c>
      <c r="F41" t="s">
        <v>391</v>
      </c>
      <c r="G41" t="s">
        <v>280</v>
      </c>
      <c r="H41" t="s">
        <v>392</v>
      </c>
      <c r="I41" t="s">
        <v>35</v>
      </c>
      <c r="J41"/>
      <c r="K41">
        <v>1</v>
      </c>
      <c r="L41">
        <v>1</v>
      </c>
      <c r="M41" t="s">
        <v>33</v>
      </c>
      <c r="N41">
        <v>1</v>
      </c>
      <c r="O41">
        <v>1</v>
      </c>
      <c r="P41">
        <v>1</v>
      </c>
      <c r="Q41" t="s">
        <v>38</v>
      </c>
      <c r="R41">
        <v>1</v>
      </c>
      <c r="S41">
        <v>1</v>
      </c>
      <c r="T41">
        <v>1</v>
      </c>
      <c r="U41"/>
      <c r="V41"/>
      <c r="W41"/>
      <c r="X41">
        <v>1</v>
      </c>
      <c r="Y41"/>
      <c r="Z41">
        <v>0</v>
      </c>
      <c r="AA41"/>
      <c r="AB41"/>
      <c r="AC41"/>
      <c r="AD41"/>
      <c r="AE41">
        <v>0</v>
      </c>
      <c r="AF41"/>
      <c r="AG41" t="s">
        <v>3467</v>
      </c>
      <c r="AH41"/>
    </row>
    <row r="42" spans="1:34" x14ac:dyDescent="0.25">
      <c r="A42" t="s">
        <v>382</v>
      </c>
      <c r="B42" t="s">
        <v>419</v>
      </c>
      <c r="C42"/>
      <c r="D42" t="s">
        <v>383</v>
      </c>
      <c r="E42" t="s">
        <v>384</v>
      </c>
      <c r="F42" t="s">
        <v>393</v>
      </c>
      <c r="G42" t="s">
        <v>280</v>
      </c>
      <c r="H42" t="s">
        <v>394</v>
      </c>
      <c r="I42" t="s">
        <v>35</v>
      </c>
      <c r="J42"/>
      <c r="K42">
        <v>1</v>
      </c>
      <c r="L42">
        <v>1</v>
      </c>
      <c r="M42" t="s">
        <v>33</v>
      </c>
      <c r="N42">
        <v>1</v>
      </c>
      <c r="O42">
        <v>1</v>
      </c>
      <c r="P42">
        <v>1</v>
      </c>
      <c r="Q42" t="s">
        <v>38</v>
      </c>
      <c r="R42">
        <v>1</v>
      </c>
      <c r="S42">
        <v>1</v>
      </c>
      <c r="T42">
        <v>1</v>
      </c>
      <c r="U42"/>
      <c r="V42"/>
      <c r="W42"/>
      <c r="X42">
        <v>1</v>
      </c>
      <c r="Y42"/>
      <c r="Z42">
        <v>0</v>
      </c>
      <c r="AA42"/>
      <c r="AB42"/>
      <c r="AC42"/>
      <c r="AD42"/>
      <c r="AE42">
        <v>0</v>
      </c>
      <c r="AF42"/>
      <c r="AG42" t="s">
        <v>3467</v>
      </c>
      <c r="AH42"/>
    </row>
    <row r="43" spans="1:34" x14ac:dyDescent="0.25">
      <c r="A43" t="s">
        <v>382</v>
      </c>
      <c r="B43" t="s">
        <v>419</v>
      </c>
      <c r="C43"/>
      <c r="D43" t="s">
        <v>383</v>
      </c>
      <c r="E43" t="s">
        <v>384</v>
      </c>
      <c r="F43" t="s">
        <v>395</v>
      </c>
      <c r="G43" t="s">
        <v>280</v>
      </c>
      <c r="H43" t="s">
        <v>396</v>
      </c>
      <c r="I43" t="s">
        <v>35</v>
      </c>
      <c r="J43"/>
      <c r="K43">
        <v>1</v>
      </c>
      <c r="L43">
        <v>1</v>
      </c>
      <c r="M43" t="s">
        <v>33</v>
      </c>
      <c r="N43">
        <v>1</v>
      </c>
      <c r="O43">
        <v>1</v>
      </c>
      <c r="P43">
        <v>1</v>
      </c>
      <c r="Q43" t="s">
        <v>38</v>
      </c>
      <c r="R43">
        <v>1</v>
      </c>
      <c r="S43">
        <v>1</v>
      </c>
      <c r="T43">
        <v>1</v>
      </c>
      <c r="U43"/>
      <c r="V43"/>
      <c r="W43"/>
      <c r="X43">
        <v>1</v>
      </c>
      <c r="Y43"/>
      <c r="Z43">
        <v>0</v>
      </c>
      <c r="AA43"/>
      <c r="AB43"/>
      <c r="AC43"/>
      <c r="AD43"/>
      <c r="AE43">
        <v>0</v>
      </c>
      <c r="AF43"/>
      <c r="AG43" t="s">
        <v>3467</v>
      </c>
      <c r="AH43"/>
    </row>
    <row r="44" spans="1:34" x14ac:dyDescent="0.25">
      <c r="A44" t="s">
        <v>382</v>
      </c>
      <c r="B44" t="s">
        <v>419</v>
      </c>
      <c r="C44"/>
      <c r="D44" t="s">
        <v>383</v>
      </c>
      <c r="E44" t="s">
        <v>384</v>
      </c>
      <c r="F44" t="s">
        <v>397</v>
      </c>
      <c r="G44" t="s">
        <v>280</v>
      </c>
      <c r="H44" t="s">
        <v>398</v>
      </c>
      <c r="I44" t="s">
        <v>35</v>
      </c>
      <c r="J44"/>
      <c r="K44">
        <v>1</v>
      </c>
      <c r="L44">
        <v>1</v>
      </c>
      <c r="M44" t="s">
        <v>33</v>
      </c>
      <c r="N44">
        <v>1</v>
      </c>
      <c r="O44">
        <v>1</v>
      </c>
      <c r="P44">
        <v>1</v>
      </c>
      <c r="Q44" t="s">
        <v>38</v>
      </c>
      <c r="R44">
        <v>1</v>
      </c>
      <c r="S44">
        <v>1</v>
      </c>
      <c r="T44">
        <v>1</v>
      </c>
      <c r="U44"/>
      <c r="V44"/>
      <c r="W44"/>
      <c r="X44">
        <v>1</v>
      </c>
      <c r="Y44"/>
      <c r="Z44">
        <v>0</v>
      </c>
      <c r="AA44"/>
      <c r="AB44"/>
      <c r="AC44"/>
      <c r="AD44"/>
      <c r="AE44">
        <v>0</v>
      </c>
      <c r="AF44"/>
      <c r="AG44" t="s">
        <v>3467</v>
      </c>
      <c r="AH44"/>
    </row>
    <row r="45" spans="1:34" x14ac:dyDescent="0.25">
      <c r="A45" t="s">
        <v>382</v>
      </c>
      <c r="B45" t="s">
        <v>419</v>
      </c>
      <c r="C45"/>
      <c r="D45" t="s">
        <v>383</v>
      </c>
      <c r="E45" t="s">
        <v>384</v>
      </c>
      <c r="F45" t="s">
        <v>399</v>
      </c>
      <c r="G45" t="s">
        <v>280</v>
      </c>
      <c r="H45" t="s">
        <v>400</v>
      </c>
      <c r="I45" t="s">
        <v>35</v>
      </c>
      <c r="J45"/>
      <c r="K45">
        <v>1</v>
      </c>
      <c r="L45">
        <v>1</v>
      </c>
      <c r="M45" t="s">
        <v>33</v>
      </c>
      <c r="N45">
        <v>1</v>
      </c>
      <c r="O45">
        <v>1</v>
      </c>
      <c r="P45">
        <v>1</v>
      </c>
      <c r="Q45" t="s">
        <v>38</v>
      </c>
      <c r="R45">
        <v>1</v>
      </c>
      <c r="S45">
        <v>1</v>
      </c>
      <c r="T45">
        <v>1</v>
      </c>
      <c r="U45"/>
      <c r="V45"/>
      <c r="W45"/>
      <c r="X45">
        <v>1</v>
      </c>
      <c r="Y45"/>
      <c r="Z45">
        <v>0</v>
      </c>
      <c r="AA45"/>
      <c r="AB45"/>
      <c r="AC45"/>
      <c r="AD45"/>
      <c r="AE45">
        <v>0</v>
      </c>
      <c r="AF45"/>
      <c r="AG45" t="s">
        <v>3467</v>
      </c>
      <c r="AH45"/>
    </row>
    <row r="46" spans="1:34" x14ac:dyDescent="0.25">
      <c r="A46" t="s">
        <v>382</v>
      </c>
      <c r="B46" t="s">
        <v>419</v>
      </c>
      <c r="C46"/>
      <c r="D46" t="s">
        <v>383</v>
      </c>
      <c r="E46" t="s">
        <v>384</v>
      </c>
      <c r="F46" t="s">
        <v>401</v>
      </c>
      <c r="G46" t="s">
        <v>280</v>
      </c>
      <c r="H46" t="s">
        <v>402</v>
      </c>
      <c r="I46" t="s">
        <v>35</v>
      </c>
      <c r="J46"/>
      <c r="K46">
        <v>1</v>
      </c>
      <c r="L46">
        <v>1</v>
      </c>
      <c r="M46" t="s">
        <v>33</v>
      </c>
      <c r="N46">
        <v>1</v>
      </c>
      <c r="O46">
        <v>1</v>
      </c>
      <c r="P46">
        <v>1</v>
      </c>
      <c r="Q46" t="s">
        <v>38</v>
      </c>
      <c r="R46">
        <v>1</v>
      </c>
      <c r="S46">
        <v>1</v>
      </c>
      <c r="T46">
        <v>1</v>
      </c>
      <c r="U46"/>
      <c r="V46"/>
      <c r="W46"/>
      <c r="X46">
        <v>1</v>
      </c>
      <c r="Y46"/>
      <c r="Z46">
        <v>0</v>
      </c>
      <c r="AA46"/>
      <c r="AB46"/>
      <c r="AC46"/>
      <c r="AD46"/>
      <c r="AE46">
        <v>0</v>
      </c>
      <c r="AF46"/>
      <c r="AG46" t="s">
        <v>3467</v>
      </c>
      <c r="AH46"/>
    </row>
    <row r="47" spans="1:34" x14ac:dyDescent="0.25">
      <c r="A47" t="s">
        <v>382</v>
      </c>
      <c r="B47" t="s">
        <v>419</v>
      </c>
      <c r="C47"/>
      <c r="D47" t="s">
        <v>383</v>
      </c>
      <c r="E47" t="s">
        <v>384</v>
      </c>
      <c r="F47" t="s">
        <v>403</v>
      </c>
      <c r="G47" t="s">
        <v>280</v>
      </c>
      <c r="H47" t="s">
        <v>404</v>
      </c>
      <c r="I47" t="s">
        <v>35</v>
      </c>
      <c r="J47"/>
      <c r="K47">
        <v>1</v>
      </c>
      <c r="L47">
        <v>1</v>
      </c>
      <c r="M47" t="s">
        <v>33</v>
      </c>
      <c r="N47">
        <v>1</v>
      </c>
      <c r="O47">
        <v>1</v>
      </c>
      <c r="P47">
        <v>1</v>
      </c>
      <c r="Q47" t="s">
        <v>38</v>
      </c>
      <c r="R47">
        <v>1</v>
      </c>
      <c r="S47">
        <v>1</v>
      </c>
      <c r="T47">
        <v>1</v>
      </c>
      <c r="U47"/>
      <c r="V47"/>
      <c r="W47"/>
      <c r="X47">
        <v>1</v>
      </c>
      <c r="Y47"/>
      <c r="Z47">
        <v>0</v>
      </c>
      <c r="AA47"/>
      <c r="AB47"/>
      <c r="AC47"/>
      <c r="AD47"/>
      <c r="AE47">
        <v>0</v>
      </c>
      <c r="AF47"/>
      <c r="AG47" t="s">
        <v>3467</v>
      </c>
      <c r="AH47"/>
    </row>
    <row r="48" spans="1:34" x14ac:dyDescent="0.25">
      <c r="A48" t="s">
        <v>382</v>
      </c>
      <c r="B48" t="s">
        <v>419</v>
      </c>
      <c r="C48"/>
      <c r="D48" t="s">
        <v>383</v>
      </c>
      <c r="E48" t="s">
        <v>384</v>
      </c>
      <c r="F48" t="s">
        <v>405</v>
      </c>
      <c r="G48" t="s">
        <v>280</v>
      </c>
      <c r="H48" t="s">
        <v>406</v>
      </c>
      <c r="I48" t="s">
        <v>35</v>
      </c>
      <c r="J48"/>
      <c r="K48">
        <v>1</v>
      </c>
      <c r="L48">
        <v>1</v>
      </c>
      <c r="M48" t="s">
        <v>33</v>
      </c>
      <c r="N48">
        <v>1</v>
      </c>
      <c r="O48">
        <v>1</v>
      </c>
      <c r="P48">
        <v>1</v>
      </c>
      <c r="Q48" t="s">
        <v>38</v>
      </c>
      <c r="R48">
        <v>1</v>
      </c>
      <c r="S48">
        <v>1</v>
      </c>
      <c r="T48">
        <v>1</v>
      </c>
      <c r="U48"/>
      <c r="V48"/>
      <c r="W48"/>
      <c r="X48">
        <v>1</v>
      </c>
      <c r="Y48"/>
      <c r="Z48">
        <v>0</v>
      </c>
      <c r="AA48"/>
      <c r="AB48"/>
      <c r="AC48"/>
      <c r="AD48"/>
      <c r="AE48">
        <v>0</v>
      </c>
      <c r="AF48"/>
      <c r="AG48" t="s">
        <v>3467</v>
      </c>
      <c r="AH48"/>
    </row>
    <row r="49" spans="1:34" x14ac:dyDescent="0.25">
      <c r="A49" t="s">
        <v>382</v>
      </c>
      <c r="B49" t="s">
        <v>419</v>
      </c>
      <c r="C49"/>
      <c r="D49" t="s">
        <v>383</v>
      </c>
      <c r="E49" t="s">
        <v>384</v>
      </c>
      <c r="F49" t="s">
        <v>407</v>
      </c>
      <c r="G49" t="s">
        <v>280</v>
      </c>
      <c r="H49" t="s">
        <v>408</v>
      </c>
      <c r="I49" t="s">
        <v>35</v>
      </c>
      <c r="J49"/>
      <c r="K49">
        <v>1</v>
      </c>
      <c r="L49">
        <v>1</v>
      </c>
      <c r="M49" t="s">
        <v>33</v>
      </c>
      <c r="N49">
        <v>1</v>
      </c>
      <c r="O49">
        <v>1</v>
      </c>
      <c r="P49">
        <v>1</v>
      </c>
      <c r="Q49" t="s">
        <v>38</v>
      </c>
      <c r="R49">
        <v>1</v>
      </c>
      <c r="S49">
        <v>1</v>
      </c>
      <c r="T49">
        <v>1</v>
      </c>
      <c r="U49"/>
      <c r="V49"/>
      <c r="W49"/>
      <c r="X49">
        <v>1</v>
      </c>
      <c r="Y49"/>
      <c r="Z49">
        <v>0</v>
      </c>
      <c r="AA49"/>
      <c r="AB49"/>
      <c r="AC49"/>
      <c r="AD49"/>
      <c r="AE49">
        <v>0</v>
      </c>
      <c r="AF49"/>
      <c r="AG49" t="s">
        <v>3467</v>
      </c>
      <c r="AH49"/>
    </row>
    <row r="50" spans="1:34" x14ac:dyDescent="0.25">
      <c r="A50" t="s">
        <v>382</v>
      </c>
      <c r="B50" t="s">
        <v>419</v>
      </c>
      <c r="C50"/>
      <c r="D50" t="s">
        <v>383</v>
      </c>
      <c r="E50" t="s">
        <v>384</v>
      </c>
      <c r="F50" t="s">
        <v>409</v>
      </c>
      <c r="G50" t="s">
        <v>280</v>
      </c>
      <c r="H50" t="s">
        <v>410</v>
      </c>
      <c r="I50" t="s">
        <v>35</v>
      </c>
      <c r="J50"/>
      <c r="K50">
        <v>1</v>
      </c>
      <c r="L50">
        <v>1</v>
      </c>
      <c r="M50" t="s">
        <v>33</v>
      </c>
      <c r="N50">
        <v>1</v>
      </c>
      <c r="O50">
        <v>1</v>
      </c>
      <c r="P50">
        <v>1</v>
      </c>
      <c r="Q50" t="s">
        <v>38</v>
      </c>
      <c r="R50">
        <v>1</v>
      </c>
      <c r="S50">
        <v>1</v>
      </c>
      <c r="T50">
        <v>1</v>
      </c>
      <c r="U50"/>
      <c r="V50"/>
      <c r="W50"/>
      <c r="X50">
        <v>1</v>
      </c>
      <c r="Y50"/>
      <c r="Z50">
        <v>0</v>
      </c>
      <c r="AA50"/>
      <c r="AB50"/>
      <c r="AC50"/>
      <c r="AD50"/>
      <c r="AE50">
        <v>0</v>
      </c>
      <c r="AF50"/>
      <c r="AG50" t="s">
        <v>3467</v>
      </c>
      <c r="AH50"/>
    </row>
    <row r="51" spans="1:34" x14ac:dyDescent="0.25">
      <c r="A51" t="s">
        <v>382</v>
      </c>
      <c r="B51" t="s">
        <v>419</v>
      </c>
      <c r="C51"/>
      <c r="D51" t="s">
        <v>383</v>
      </c>
      <c r="E51" t="s">
        <v>384</v>
      </c>
      <c r="F51" t="s">
        <v>411</v>
      </c>
      <c r="G51" t="s">
        <v>280</v>
      </c>
      <c r="H51" t="s">
        <v>412</v>
      </c>
      <c r="I51" t="s">
        <v>35</v>
      </c>
      <c r="J51"/>
      <c r="K51">
        <v>1</v>
      </c>
      <c r="L51">
        <v>1</v>
      </c>
      <c r="M51" t="s">
        <v>33</v>
      </c>
      <c r="N51">
        <v>1</v>
      </c>
      <c r="O51">
        <v>1</v>
      </c>
      <c r="P51">
        <v>1</v>
      </c>
      <c r="Q51" t="s">
        <v>38</v>
      </c>
      <c r="R51">
        <v>1</v>
      </c>
      <c r="S51">
        <v>1</v>
      </c>
      <c r="T51">
        <v>1</v>
      </c>
      <c r="U51"/>
      <c r="V51"/>
      <c r="W51"/>
      <c r="X51">
        <v>1</v>
      </c>
      <c r="Y51"/>
      <c r="Z51">
        <v>0</v>
      </c>
      <c r="AA51"/>
      <c r="AB51"/>
      <c r="AC51"/>
      <c r="AD51"/>
      <c r="AE51">
        <v>0</v>
      </c>
      <c r="AF51"/>
      <c r="AG51" t="s">
        <v>3467</v>
      </c>
      <c r="AH51"/>
    </row>
    <row r="52" spans="1:34" x14ac:dyDescent="0.25">
      <c r="A52" t="s">
        <v>382</v>
      </c>
      <c r="B52" t="s">
        <v>419</v>
      </c>
      <c r="C52"/>
      <c r="D52" t="s">
        <v>383</v>
      </c>
      <c r="E52" t="s">
        <v>384</v>
      </c>
      <c r="F52" t="s">
        <v>413</v>
      </c>
      <c r="G52" t="s">
        <v>280</v>
      </c>
      <c r="H52" t="s">
        <v>414</v>
      </c>
      <c r="I52" t="s">
        <v>35</v>
      </c>
      <c r="J52"/>
      <c r="K52">
        <v>1</v>
      </c>
      <c r="L52">
        <v>1</v>
      </c>
      <c r="M52" t="s">
        <v>33</v>
      </c>
      <c r="N52">
        <v>1</v>
      </c>
      <c r="O52">
        <v>1</v>
      </c>
      <c r="P52">
        <v>1</v>
      </c>
      <c r="Q52" t="s">
        <v>38</v>
      </c>
      <c r="R52">
        <v>1</v>
      </c>
      <c r="S52">
        <v>1</v>
      </c>
      <c r="T52">
        <v>1</v>
      </c>
      <c r="U52"/>
      <c r="V52"/>
      <c r="W52"/>
      <c r="X52">
        <v>1</v>
      </c>
      <c r="Y52"/>
      <c r="Z52">
        <v>0</v>
      </c>
      <c r="AA52"/>
      <c r="AB52"/>
      <c r="AC52"/>
      <c r="AD52"/>
      <c r="AE52">
        <v>0</v>
      </c>
      <c r="AF52"/>
      <c r="AG52" t="s">
        <v>3467</v>
      </c>
      <c r="AH52"/>
    </row>
    <row r="53" spans="1:34" x14ac:dyDescent="0.25">
      <c r="A53" t="s">
        <v>382</v>
      </c>
      <c r="B53" t="s">
        <v>419</v>
      </c>
      <c r="C53"/>
      <c r="D53" t="s">
        <v>383</v>
      </c>
      <c r="E53" t="s">
        <v>384</v>
      </c>
      <c r="F53" t="s">
        <v>415</v>
      </c>
      <c r="G53" t="s">
        <v>280</v>
      </c>
      <c r="H53" t="s">
        <v>416</v>
      </c>
      <c r="I53" t="s">
        <v>35</v>
      </c>
      <c r="J53"/>
      <c r="K53">
        <v>1</v>
      </c>
      <c r="L53">
        <v>1</v>
      </c>
      <c r="M53" t="s">
        <v>33</v>
      </c>
      <c r="N53">
        <v>1</v>
      </c>
      <c r="O53">
        <v>1</v>
      </c>
      <c r="P53">
        <v>1</v>
      </c>
      <c r="Q53" t="s">
        <v>38</v>
      </c>
      <c r="R53">
        <v>1</v>
      </c>
      <c r="S53">
        <v>1</v>
      </c>
      <c r="T53">
        <v>1</v>
      </c>
      <c r="U53"/>
      <c r="V53"/>
      <c r="W53"/>
      <c r="X53">
        <v>1</v>
      </c>
      <c r="Y53"/>
      <c r="Z53">
        <v>0</v>
      </c>
      <c r="AA53"/>
      <c r="AB53"/>
      <c r="AC53"/>
      <c r="AD53"/>
      <c r="AE53">
        <v>0</v>
      </c>
      <c r="AF53"/>
      <c r="AG53" t="s">
        <v>3467</v>
      </c>
      <c r="AH53"/>
    </row>
    <row r="54" spans="1:34" x14ac:dyDescent="0.25">
      <c r="A54" t="s">
        <v>382</v>
      </c>
      <c r="B54" t="s">
        <v>419</v>
      </c>
      <c r="C54"/>
      <c r="D54" t="s">
        <v>383</v>
      </c>
      <c r="E54" t="s">
        <v>384</v>
      </c>
      <c r="F54" t="s">
        <v>417</v>
      </c>
      <c r="G54" t="s">
        <v>280</v>
      </c>
      <c r="H54" t="s">
        <v>418</v>
      </c>
      <c r="I54" t="s">
        <v>35</v>
      </c>
      <c r="J54"/>
      <c r="K54">
        <v>1</v>
      </c>
      <c r="L54">
        <v>1</v>
      </c>
      <c r="M54" t="s">
        <v>33</v>
      </c>
      <c r="N54">
        <v>1</v>
      </c>
      <c r="O54">
        <v>1</v>
      </c>
      <c r="P54">
        <v>1</v>
      </c>
      <c r="Q54" t="s">
        <v>38</v>
      </c>
      <c r="R54">
        <v>1</v>
      </c>
      <c r="S54">
        <v>1</v>
      </c>
      <c r="T54">
        <v>1</v>
      </c>
      <c r="U54"/>
      <c r="V54"/>
      <c r="W54"/>
      <c r="X54">
        <v>1</v>
      </c>
      <c r="Y54"/>
      <c r="Z54">
        <v>0</v>
      </c>
      <c r="AA54"/>
      <c r="AB54"/>
      <c r="AC54"/>
      <c r="AD54"/>
      <c r="AE54">
        <v>0</v>
      </c>
      <c r="AF54"/>
      <c r="AG54"/>
      <c r="AH54"/>
    </row>
    <row r="55" spans="1:34" x14ac:dyDescent="0.25">
      <c r="A55" t="s">
        <v>3392</v>
      </c>
      <c r="B55" t="s">
        <v>3393</v>
      </c>
      <c r="C55"/>
      <c r="D55" t="s">
        <v>383</v>
      </c>
      <c r="E55" t="s">
        <v>384</v>
      </c>
      <c r="F55" t="s">
        <v>417</v>
      </c>
      <c r="G55" t="s">
        <v>280</v>
      </c>
      <c r="H55" t="s">
        <v>418</v>
      </c>
      <c r="I55" t="s">
        <v>35</v>
      </c>
      <c r="J55"/>
      <c r="K55">
        <v>1</v>
      </c>
      <c r="L55">
        <v>1</v>
      </c>
      <c r="M55" t="s">
        <v>33</v>
      </c>
      <c r="N55">
        <v>1</v>
      </c>
      <c r="O55">
        <v>1</v>
      </c>
      <c r="P55">
        <v>1</v>
      </c>
      <c r="Q55" t="s">
        <v>38</v>
      </c>
      <c r="R55">
        <v>1</v>
      </c>
      <c r="S55">
        <v>1</v>
      </c>
      <c r="T55">
        <v>1</v>
      </c>
      <c r="U55"/>
      <c r="V55"/>
      <c r="W55"/>
      <c r="X55">
        <v>1</v>
      </c>
      <c r="Y55"/>
      <c r="Z55">
        <v>0</v>
      </c>
      <c r="AA55"/>
      <c r="AB55"/>
      <c r="AC55"/>
      <c r="AD55"/>
      <c r="AE55">
        <v>0</v>
      </c>
      <c r="AF55"/>
      <c r="AG55"/>
      <c r="AH55"/>
    </row>
    <row r="56" spans="1:34" x14ac:dyDescent="0.25">
      <c r="A56" t="s">
        <v>3399</v>
      </c>
      <c r="B56" t="s">
        <v>3400</v>
      </c>
      <c r="C56"/>
      <c r="D56" t="s">
        <v>383</v>
      </c>
      <c r="E56" t="s">
        <v>384</v>
      </c>
      <c r="F56" t="s">
        <v>417</v>
      </c>
      <c r="G56" t="s">
        <v>280</v>
      </c>
      <c r="H56" t="s">
        <v>418</v>
      </c>
      <c r="I56" t="s">
        <v>35</v>
      </c>
      <c r="J56"/>
      <c r="K56">
        <v>1</v>
      </c>
      <c r="L56">
        <v>1</v>
      </c>
      <c r="M56" t="s">
        <v>33</v>
      </c>
      <c r="N56">
        <v>1</v>
      </c>
      <c r="O56">
        <v>1</v>
      </c>
      <c r="P56">
        <v>1</v>
      </c>
      <c r="Q56" t="s">
        <v>38</v>
      </c>
      <c r="R56">
        <v>1</v>
      </c>
      <c r="S56">
        <v>1</v>
      </c>
      <c r="T56">
        <v>1</v>
      </c>
      <c r="U56"/>
      <c r="V56"/>
      <c r="W56"/>
      <c r="X56">
        <v>1</v>
      </c>
      <c r="Y56"/>
      <c r="Z56">
        <v>0</v>
      </c>
      <c r="AA56"/>
      <c r="AB56"/>
      <c r="AC56"/>
      <c r="AD56"/>
      <c r="AE56">
        <v>0</v>
      </c>
      <c r="AF56"/>
      <c r="AG56"/>
      <c r="AH56"/>
    </row>
    <row r="57" spans="1:34" x14ac:dyDescent="0.25">
      <c r="A57" t="s">
        <v>382</v>
      </c>
      <c r="B57" t="s">
        <v>419</v>
      </c>
      <c r="C57"/>
      <c r="D57" t="s">
        <v>383</v>
      </c>
      <c r="E57" t="s">
        <v>384</v>
      </c>
      <c r="F57" t="s">
        <v>420</v>
      </c>
      <c r="G57" t="s">
        <v>280</v>
      </c>
      <c r="H57" t="s">
        <v>421</v>
      </c>
      <c r="I57" t="s">
        <v>35</v>
      </c>
      <c r="J57"/>
      <c r="K57">
        <v>1</v>
      </c>
      <c r="L57">
        <v>1</v>
      </c>
      <c r="M57" t="s">
        <v>33</v>
      </c>
      <c r="N57">
        <v>1</v>
      </c>
      <c r="O57">
        <v>1</v>
      </c>
      <c r="P57">
        <v>1</v>
      </c>
      <c r="Q57" t="s">
        <v>38</v>
      </c>
      <c r="R57">
        <v>1</v>
      </c>
      <c r="S57">
        <v>1</v>
      </c>
      <c r="T57">
        <v>1</v>
      </c>
      <c r="U57"/>
      <c r="V57"/>
      <c r="W57"/>
      <c r="X57">
        <v>1</v>
      </c>
      <c r="Y57"/>
      <c r="Z57">
        <v>0</v>
      </c>
      <c r="AA57"/>
      <c r="AB57"/>
      <c r="AC57"/>
      <c r="AD57"/>
      <c r="AE57">
        <v>0</v>
      </c>
      <c r="AF57"/>
      <c r="AG57" t="s">
        <v>3467</v>
      </c>
      <c r="AH57"/>
    </row>
    <row r="58" spans="1:34" x14ac:dyDescent="0.25">
      <c r="A58" t="s">
        <v>382</v>
      </c>
      <c r="B58" t="s">
        <v>419</v>
      </c>
      <c r="C58"/>
      <c r="D58" t="s">
        <v>383</v>
      </c>
      <c r="E58" t="s">
        <v>384</v>
      </c>
      <c r="F58" t="s">
        <v>422</v>
      </c>
      <c r="G58" t="s">
        <v>280</v>
      </c>
      <c r="H58" t="s">
        <v>423</v>
      </c>
      <c r="I58" t="s">
        <v>35</v>
      </c>
      <c r="J58"/>
      <c r="K58">
        <v>1</v>
      </c>
      <c r="L58">
        <v>1</v>
      </c>
      <c r="M58" t="s">
        <v>33</v>
      </c>
      <c r="N58">
        <v>1</v>
      </c>
      <c r="O58">
        <v>1</v>
      </c>
      <c r="P58">
        <v>1</v>
      </c>
      <c r="Q58" t="s">
        <v>38</v>
      </c>
      <c r="R58">
        <v>1</v>
      </c>
      <c r="S58">
        <v>1</v>
      </c>
      <c r="T58">
        <v>1</v>
      </c>
      <c r="U58"/>
      <c r="V58"/>
      <c r="W58"/>
      <c r="X58">
        <v>1</v>
      </c>
      <c r="Y58"/>
      <c r="Z58">
        <v>0</v>
      </c>
      <c r="AA58"/>
      <c r="AB58"/>
      <c r="AC58"/>
      <c r="AD58"/>
      <c r="AE58">
        <v>0</v>
      </c>
      <c r="AF58"/>
      <c r="AG58" t="s">
        <v>3467</v>
      </c>
      <c r="AH58"/>
    </row>
    <row r="59" spans="1:34" x14ac:dyDescent="0.25">
      <c r="A59" t="s">
        <v>382</v>
      </c>
      <c r="B59" t="s">
        <v>419</v>
      </c>
      <c r="C59"/>
      <c r="D59" t="s">
        <v>383</v>
      </c>
      <c r="E59" t="s">
        <v>384</v>
      </c>
      <c r="F59" t="s">
        <v>424</v>
      </c>
      <c r="G59" t="s">
        <v>280</v>
      </c>
      <c r="H59" t="s">
        <v>425</v>
      </c>
      <c r="I59" t="s">
        <v>35</v>
      </c>
      <c r="J59"/>
      <c r="K59">
        <v>1</v>
      </c>
      <c r="L59">
        <v>1</v>
      </c>
      <c r="M59" t="s">
        <v>33</v>
      </c>
      <c r="N59">
        <v>1</v>
      </c>
      <c r="O59">
        <v>1</v>
      </c>
      <c r="P59">
        <v>1</v>
      </c>
      <c r="Q59" t="s">
        <v>38</v>
      </c>
      <c r="R59">
        <v>1</v>
      </c>
      <c r="S59">
        <v>1</v>
      </c>
      <c r="T59">
        <v>1</v>
      </c>
      <c r="U59"/>
      <c r="V59"/>
      <c r="W59"/>
      <c r="X59">
        <v>1</v>
      </c>
      <c r="Y59"/>
      <c r="Z59">
        <v>0</v>
      </c>
      <c r="AA59"/>
      <c r="AB59"/>
      <c r="AC59"/>
      <c r="AD59"/>
      <c r="AE59">
        <v>0</v>
      </c>
      <c r="AF59"/>
      <c r="AG59"/>
      <c r="AH59"/>
    </row>
    <row r="60" spans="1:34" x14ac:dyDescent="0.25">
      <c r="A60" t="s">
        <v>3392</v>
      </c>
      <c r="B60" t="s">
        <v>3393</v>
      </c>
      <c r="C60"/>
      <c r="D60" t="s">
        <v>383</v>
      </c>
      <c r="E60" t="s">
        <v>384</v>
      </c>
      <c r="F60" t="s">
        <v>424</v>
      </c>
      <c r="G60" t="s">
        <v>280</v>
      </c>
      <c r="H60" t="s">
        <v>425</v>
      </c>
      <c r="I60" t="s">
        <v>35</v>
      </c>
      <c r="J60"/>
      <c r="K60">
        <v>1</v>
      </c>
      <c r="L60">
        <v>1</v>
      </c>
      <c r="M60" t="s">
        <v>33</v>
      </c>
      <c r="N60">
        <v>1</v>
      </c>
      <c r="O60">
        <v>1</v>
      </c>
      <c r="P60">
        <v>1</v>
      </c>
      <c r="Q60" t="s">
        <v>38</v>
      </c>
      <c r="R60">
        <v>1</v>
      </c>
      <c r="S60">
        <v>1</v>
      </c>
      <c r="T60">
        <v>1</v>
      </c>
      <c r="U60"/>
      <c r="V60"/>
      <c r="W60"/>
      <c r="X60">
        <v>1</v>
      </c>
      <c r="Y60"/>
      <c r="Z60">
        <v>0</v>
      </c>
      <c r="AA60"/>
      <c r="AB60"/>
      <c r="AC60"/>
      <c r="AD60"/>
      <c r="AE60">
        <v>0</v>
      </c>
      <c r="AF60"/>
      <c r="AG60"/>
      <c r="AH60"/>
    </row>
    <row r="61" spans="1:34" x14ac:dyDescent="0.25">
      <c r="A61" t="s">
        <v>3394</v>
      </c>
      <c r="B61" t="s">
        <v>3395</v>
      </c>
      <c r="C61"/>
      <c r="D61" t="s">
        <v>383</v>
      </c>
      <c r="E61" t="s">
        <v>384</v>
      </c>
      <c r="F61" t="s">
        <v>424</v>
      </c>
      <c r="G61" t="s">
        <v>280</v>
      </c>
      <c r="H61" t="s">
        <v>425</v>
      </c>
      <c r="I61" t="s">
        <v>35</v>
      </c>
      <c r="J61"/>
      <c r="K61">
        <v>1</v>
      </c>
      <c r="L61">
        <v>1</v>
      </c>
      <c r="M61" t="s">
        <v>33</v>
      </c>
      <c r="N61">
        <v>1</v>
      </c>
      <c r="O61">
        <v>1</v>
      </c>
      <c r="P61">
        <v>1</v>
      </c>
      <c r="Q61" t="s">
        <v>38</v>
      </c>
      <c r="R61">
        <v>1</v>
      </c>
      <c r="S61">
        <v>1</v>
      </c>
      <c r="T61">
        <v>1</v>
      </c>
      <c r="U61"/>
      <c r="V61"/>
      <c r="W61"/>
      <c r="X61">
        <v>1</v>
      </c>
      <c r="Y61"/>
      <c r="Z61">
        <v>0</v>
      </c>
      <c r="AA61"/>
      <c r="AB61"/>
      <c r="AC61"/>
      <c r="AD61"/>
      <c r="AE61">
        <v>0</v>
      </c>
      <c r="AF61"/>
      <c r="AG61"/>
      <c r="AH61"/>
    </row>
    <row r="62" spans="1:34" x14ac:dyDescent="0.25">
      <c r="A62" t="s">
        <v>3397</v>
      </c>
      <c r="B62" t="s">
        <v>3398</v>
      </c>
      <c r="C62"/>
      <c r="D62" t="s">
        <v>383</v>
      </c>
      <c r="E62" t="s">
        <v>384</v>
      </c>
      <c r="F62" t="s">
        <v>424</v>
      </c>
      <c r="G62" t="s">
        <v>280</v>
      </c>
      <c r="H62" t="s">
        <v>425</v>
      </c>
      <c r="I62" t="s">
        <v>35</v>
      </c>
      <c r="J62"/>
      <c r="K62">
        <v>1</v>
      </c>
      <c r="L62">
        <v>1</v>
      </c>
      <c r="M62" t="s">
        <v>33</v>
      </c>
      <c r="N62">
        <v>1</v>
      </c>
      <c r="O62">
        <v>1</v>
      </c>
      <c r="P62">
        <v>1</v>
      </c>
      <c r="Q62" t="s">
        <v>38</v>
      </c>
      <c r="R62">
        <v>1</v>
      </c>
      <c r="S62">
        <v>1</v>
      </c>
      <c r="T62">
        <v>1</v>
      </c>
      <c r="U62"/>
      <c r="V62"/>
      <c r="W62"/>
      <c r="X62">
        <v>1</v>
      </c>
      <c r="Y62"/>
      <c r="Z62">
        <v>0</v>
      </c>
      <c r="AA62"/>
      <c r="AB62"/>
      <c r="AC62"/>
      <c r="AD62"/>
      <c r="AE62">
        <v>0</v>
      </c>
      <c r="AF62"/>
      <c r="AG62"/>
      <c r="AH62"/>
    </row>
    <row r="63" spans="1:34" x14ac:dyDescent="0.25">
      <c r="A63" t="s">
        <v>3399</v>
      </c>
      <c r="B63" t="s">
        <v>3400</v>
      </c>
      <c r="C63"/>
      <c r="D63" t="s">
        <v>383</v>
      </c>
      <c r="E63" t="s">
        <v>384</v>
      </c>
      <c r="F63" t="s">
        <v>424</v>
      </c>
      <c r="G63" t="s">
        <v>280</v>
      </c>
      <c r="H63" t="s">
        <v>425</v>
      </c>
      <c r="I63" t="s">
        <v>35</v>
      </c>
      <c r="J63"/>
      <c r="K63">
        <v>1</v>
      </c>
      <c r="L63">
        <v>1</v>
      </c>
      <c r="M63" t="s">
        <v>33</v>
      </c>
      <c r="N63">
        <v>1</v>
      </c>
      <c r="O63">
        <v>1</v>
      </c>
      <c r="P63">
        <v>1</v>
      </c>
      <c r="Q63" t="s">
        <v>38</v>
      </c>
      <c r="R63">
        <v>1</v>
      </c>
      <c r="S63">
        <v>1</v>
      </c>
      <c r="T63">
        <v>1</v>
      </c>
      <c r="U63"/>
      <c r="V63"/>
      <c r="W63"/>
      <c r="X63">
        <v>1</v>
      </c>
      <c r="Y63"/>
      <c r="Z63">
        <v>0</v>
      </c>
      <c r="AA63"/>
      <c r="AB63"/>
      <c r="AC63"/>
      <c r="AD63"/>
      <c r="AE63">
        <v>0</v>
      </c>
      <c r="AF63"/>
      <c r="AG63"/>
      <c r="AH63"/>
    </row>
    <row r="64" spans="1:34" x14ac:dyDescent="0.25">
      <c r="A64" t="s">
        <v>3444</v>
      </c>
      <c r="B64" t="s">
        <v>3445</v>
      </c>
      <c r="C64"/>
      <c r="D64" t="s">
        <v>383</v>
      </c>
      <c r="E64" t="s">
        <v>384</v>
      </c>
      <c r="F64" t="s">
        <v>424</v>
      </c>
      <c r="G64" t="s">
        <v>259</v>
      </c>
      <c r="H64" t="s">
        <v>425</v>
      </c>
      <c r="I64" t="s">
        <v>35</v>
      </c>
      <c r="J64"/>
      <c r="K64">
        <v>1</v>
      </c>
      <c r="L64">
        <v>1</v>
      </c>
      <c r="M64" t="s">
        <v>33</v>
      </c>
      <c r="N64">
        <v>1</v>
      </c>
      <c r="O64">
        <v>1</v>
      </c>
      <c r="P64">
        <v>1</v>
      </c>
      <c r="Q64" t="s">
        <v>38</v>
      </c>
      <c r="R64">
        <v>1</v>
      </c>
      <c r="S64">
        <v>1</v>
      </c>
      <c r="T64">
        <v>1</v>
      </c>
      <c r="U64"/>
      <c r="V64"/>
      <c r="W64"/>
      <c r="X64">
        <v>1</v>
      </c>
      <c r="Y64"/>
      <c r="Z64">
        <v>0</v>
      </c>
      <c r="AA64"/>
      <c r="AB64"/>
      <c r="AC64"/>
      <c r="AD64"/>
      <c r="AE64">
        <v>0</v>
      </c>
      <c r="AF64"/>
      <c r="AG64"/>
      <c r="AH64"/>
    </row>
    <row r="65" spans="1:34" x14ac:dyDescent="0.25">
      <c r="A65" t="s">
        <v>3446</v>
      </c>
      <c r="B65" t="s">
        <v>3447</v>
      </c>
      <c r="C65"/>
      <c r="D65" t="s">
        <v>383</v>
      </c>
      <c r="E65" t="s">
        <v>384</v>
      </c>
      <c r="F65" t="s">
        <v>424</v>
      </c>
      <c r="G65" t="s">
        <v>259</v>
      </c>
      <c r="H65" t="s">
        <v>425</v>
      </c>
      <c r="I65" t="s">
        <v>35</v>
      </c>
      <c r="J65"/>
      <c r="K65">
        <v>1</v>
      </c>
      <c r="L65">
        <v>1</v>
      </c>
      <c r="M65" t="s">
        <v>33</v>
      </c>
      <c r="N65">
        <v>1</v>
      </c>
      <c r="O65">
        <v>1</v>
      </c>
      <c r="P65">
        <v>1</v>
      </c>
      <c r="Q65" t="s">
        <v>38</v>
      </c>
      <c r="R65">
        <v>1</v>
      </c>
      <c r="S65">
        <v>1</v>
      </c>
      <c r="T65">
        <v>1</v>
      </c>
      <c r="U65"/>
      <c r="V65"/>
      <c r="W65"/>
      <c r="X65">
        <v>1</v>
      </c>
      <c r="Y65"/>
      <c r="Z65">
        <v>0</v>
      </c>
      <c r="AA65"/>
      <c r="AB65"/>
      <c r="AC65"/>
      <c r="AD65"/>
      <c r="AE65">
        <v>0</v>
      </c>
      <c r="AF65"/>
      <c r="AG65"/>
      <c r="AH65"/>
    </row>
    <row r="66" spans="1:34" x14ac:dyDescent="0.25">
      <c r="A66" t="s">
        <v>3448</v>
      </c>
      <c r="B66" t="s">
        <v>3449</v>
      </c>
      <c r="C66"/>
      <c r="D66" t="s">
        <v>383</v>
      </c>
      <c r="E66" t="s">
        <v>384</v>
      </c>
      <c r="F66" t="s">
        <v>424</v>
      </c>
      <c r="G66" t="s">
        <v>280</v>
      </c>
      <c r="H66" t="s">
        <v>425</v>
      </c>
      <c r="I66" t="s">
        <v>35</v>
      </c>
      <c r="J66"/>
      <c r="K66">
        <v>1</v>
      </c>
      <c r="L66">
        <v>1</v>
      </c>
      <c r="M66" t="s">
        <v>33</v>
      </c>
      <c r="N66">
        <v>1</v>
      </c>
      <c r="O66">
        <v>1</v>
      </c>
      <c r="P66">
        <v>1</v>
      </c>
      <c r="Q66" t="s">
        <v>38</v>
      </c>
      <c r="R66">
        <v>1</v>
      </c>
      <c r="S66">
        <v>1</v>
      </c>
      <c r="T66">
        <v>1</v>
      </c>
      <c r="U66"/>
      <c r="V66"/>
      <c r="W66"/>
      <c r="X66">
        <v>1</v>
      </c>
      <c r="Y66"/>
      <c r="Z66">
        <v>0</v>
      </c>
      <c r="AA66"/>
      <c r="AB66"/>
      <c r="AC66"/>
      <c r="AD66"/>
      <c r="AE66">
        <v>0</v>
      </c>
      <c r="AF66"/>
      <c r="AG66"/>
      <c r="AH66"/>
    </row>
    <row r="67" spans="1:34" x14ac:dyDescent="0.25">
      <c r="A67" t="s">
        <v>3454</v>
      </c>
      <c r="B67" t="s">
        <v>3455</v>
      </c>
      <c r="C67"/>
      <c r="D67" t="s">
        <v>383</v>
      </c>
      <c r="E67" t="s">
        <v>384</v>
      </c>
      <c r="F67" t="s">
        <v>424</v>
      </c>
      <c r="G67" t="s">
        <v>259</v>
      </c>
      <c r="H67" t="s">
        <v>425</v>
      </c>
      <c r="I67" t="s">
        <v>35</v>
      </c>
      <c r="J67"/>
      <c r="K67">
        <v>1</v>
      </c>
      <c r="L67">
        <v>1</v>
      </c>
      <c r="M67" t="s">
        <v>33</v>
      </c>
      <c r="N67">
        <v>1</v>
      </c>
      <c r="O67">
        <v>1</v>
      </c>
      <c r="P67">
        <v>1</v>
      </c>
      <c r="Q67" t="s">
        <v>38</v>
      </c>
      <c r="R67">
        <v>1</v>
      </c>
      <c r="S67">
        <v>1</v>
      </c>
      <c r="T67">
        <v>1</v>
      </c>
      <c r="U67"/>
      <c r="V67"/>
      <c r="W67"/>
      <c r="X67">
        <v>1</v>
      </c>
      <c r="Y67"/>
      <c r="Z67">
        <v>0</v>
      </c>
      <c r="AA67"/>
      <c r="AB67"/>
      <c r="AC67"/>
      <c r="AD67"/>
      <c r="AE67">
        <v>0</v>
      </c>
      <c r="AF67"/>
      <c r="AG67"/>
      <c r="AH67"/>
    </row>
    <row r="68" spans="1:34" x14ac:dyDescent="0.25">
      <c r="A68" t="s">
        <v>426</v>
      </c>
      <c r="B68" t="s">
        <v>427</v>
      </c>
      <c r="C68"/>
      <c r="D68" t="s">
        <v>383</v>
      </c>
      <c r="E68" t="s">
        <v>428</v>
      </c>
      <c r="F68" t="s">
        <v>429</v>
      </c>
      <c r="G68" t="s">
        <v>280</v>
      </c>
      <c r="H68" t="s">
        <v>430</v>
      </c>
      <c r="I68" t="s">
        <v>35</v>
      </c>
      <c r="J68"/>
      <c r="K68">
        <v>1</v>
      </c>
      <c r="L68">
        <v>1</v>
      </c>
      <c r="M68" t="s">
        <v>33</v>
      </c>
      <c r="N68">
        <v>1</v>
      </c>
      <c r="O68">
        <v>1</v>
      </c>
      <c r="P68">
        <v>1</v>
      </c>
      <c r="Q68" t="s">
        <v>38</v>
      </c>
      <c r="R68">
        <v>1</v>
      </c>
      <c r="S68">
        <v>1</v>
      </c>
      <c r="T68">
        <v>1</v>
      </c>
      <c r="U68"/>
      <c r="V68"/>
      <c r="W68"/>
      <c r="X68">
        <v>1</v>
      </c>
      <c r="Y68"/>
      <c r="Z68">
        <v>0</v>
      </c>
      <c r="AA68"/>
      <c r="AB68"/>
      <c r="AC68"/>
      <c r="AD68"/>
      <c r="AE68">
        <v>0</v>
      </c>
      <c r="AF68"/>
      <c r="AG68" t="s">
        <v>3468</v>
      </c>
      <c r="AH68"/>
    </row>
    <row r="69" spans="1:34" x14ac:dyDescent="0.25">
      <c r="A69" t="s">
        <v>426</v>
      </c>
      <c r="B69" t="s">
        <v>427</v>
      </c>
      <c r="C69"/>
      <c r="D69" t="s">
        <v>383</v>
      </c>
      <c r="E69" t="s">
        <v>428</v>
      </c>
      <c r="F69" t="s">
        <v>431</v>
      </c>
      <c r="G69" t="s">
        <v>280</v>
      </c>
      <c r="H69" t="s">
        <v>432</v>
      </c>
      <c r="I69" t="s">
        <v>35</v>
      </c>
      <c r="J69"/>
      <c r="K69">
        <v>1</v>
      </c>
      <c r="L69">
        <v>1</v>
      </c>
      <c r="M69" t="s">
        <v>33</v>
      </c>
      <c r="N69">
        <v>1</v>
      </c>
      <c r="O69">
        <v>1</v>
      </c>
      <c r="P69">
        <v>1</v>
      </c>
      <c r="Q69" t="s">
        <v>38</v>
      </c>
      <c r="R69">
        <v>1</v>
      </c>
      <c r="S69">
        <v>1</v>
      </c>
      <c r="T69">
        <v>1</v>
      </c>
      <c r="U69"/>
      <c r="V69"/>
      <c r="W69"/>
      <c r="X69">
        <v>1</v>
      </c>
      <c r="Y69"/>
      <c r="Z69">
        <v>0</v>
      </c>
      <c r="AA69"/>
      <c r="AB69"/>
      <c r="AC69"/>
      <c r="AD69"/>
      <c r="AE69">
        <v>0</v>
      </c>
      <c r="AF69"/>
      <c r="AG69" t="s">
        <v>3468</v>
      </c>
      <c r="AH69"/>
    </row>
    <row r="70" spans="1:34" x14ac:dyDescent="0.25">
      <c r="A70" t="s">
        <v>426</v>
      </c>
      <c r="B70" t="s">
        <v>427</v>
      </c>
      <c r="C70"/>
      <c r="D70" t="s">
        <v>383</v>
      </c>
      <c r="E70" t="s">
        <v>428</v>
      </c>
      <c r="F70" t="s">
        <v>433</v>
      </c>
      <c r="G70" t="s">
        <v>280</v>
      </c>
      <c r="H70" t="s">
        <v>434</v>
      </c>
      <c r="I70" t="s">
        <v>35</v>
      </c>
      <c r="J70"/>
      <c r="K70">
        <v>1</v>
      </c>
      <c r="L70">
        <v>1</v>
      </c>
      <c r="M70" t="s">
        <v>33</v>
      </c>
      <c r="N70">
        <v>1</v>
      </c>
      <c r="O70">
        <v>1</v>
      </c>
      <c r="P70">
        <v>1</v>
      </c>
      <c r="Q70" t="s">
        <v>38</v>
      </c>
      <c r="R70">
        <v>1</v>
      </c>
      <c r="S70">
        <v>1</v>
      </c>
      <c r="T70">
        <v>1</v>
      </c>
      <c r="U70"/>
      <c r="V70"/>
      <c r="W70"/>
      <c r="X70">
        <v>1</v>
      </c>
      <c r="Y70"/>
      <c r="Z70">
        <v>0</v>
      </c>
      <c r="AA70"/>
      <c r="AB70"/>
      <c r="AC70"/>
      <c r="AD70"/>
      <c r="AE70">
        <v>0</v>
      </c>
      <c r="AF70"/>
      <c r="AG70" t="s">
        <v>3468</v>
      </c>
      <c r="AH70"/>
    </row>
    <row r="71" spans="1:34" x14ac:dyDescent="0.25">
      <c r="A71" t="s">
        <v>426</v>
      </c>
      <c r="B71" t="s">
        <v>427</v>
      </c>
      <c r="C71"/>
      <c r="D71" t="s">
        <v>383</v>
      </c>
      <c r="E71" t="s">
        <v>428</v>
      </c>
      <c r="F71" t="s">
        <v>435</v>
      </c>
      <c r="G71" t="s">
        <v>280</v>
      </c>
      <c r="H71" t="s">
        <v>436</v>
      </c>
      <c r="I71" t="s">
        <v>35</v>
      </c>
      <c r="J71"/>
      <c r="K71">
        <v>1</v>
      </c>
      <c r="L71">
        <v>1</v>
      </c>
      <c r="M71" t="s">
        <v>33</v>
      </c>
      <c r="N71">
        <v>1</v>
      </c>
      <c r="O71">
        <v>1</v>
      </c>
      <c r="P71">
        <v>1</v>
      </c>
      <c r="Q71" t="s">
        <v>38</v>
      </c>
      <c r="R71">
        <v>1</v>
      </c>
      <c r="S71">
        <v>1</v>
      </c>
      <c r="T71">
        <v>1</v>
      </c>
      <c r="U71"/>
      <c r="V71"/>
      <c r="W71"/>
      <c r="X71">
        <v>1</v>
      </c>
      <c r="Y71"/>
      <c r="Z71">
        <v>0</v>
      </c>
      <c r="AA71"/>
      <c r="AB71"/>
      <c r="AC71"/>
      <c r="AD71"/>
      <c r="AE71">
        <v>0</v>
      </c>
      <c r="AF71"/>
      <c r="AG71" t="s">
        <v>3468</v>
      </c>
      <c r="AH71"/>
    </row>
    <row r="72" spans="1:34" x14ac:dyDescent="0.25">
      <c r="A72" t="s">
        <v>426</v>
      </c>
      <c r="B72" t="s">
        <v>427</v>
      </c>
      <c r="C72"/>
      <c r="D72" t="s">
        <v>383</v>
      </c>
      <c r="E72" t="s">
        <v>428</v>
      </c>
      <c r="F72" t="s">
        <v>437</v>
      </c>
      <c r="G72" t="s">
        <v>280</v>
      </c>
      <c r="H72" t="s">
        <v>438</v>
      </c>
      <c r="I72" t="s">
        <v>35</v>
      </c>
      <c r="J72"/>
      <c r="K72">
        <v>1</v>
      </c>
      <c r="L72">
        <v>1</v>
      </c>
      <c r="M72" t="s">
        <v>33</v>
      </c>
      <c r="N72">
        <v>1</v>
      </c>
      <c r="O72">
        <v>1</v>
      </c>
      <c r="P72">
        <v>1</v>
      </c>
      <c r="Q72" t="s">
        <v>38</v>
      </c>
      <c r="R72">
        <v>1</v>
      </c>
      <c r="S72">
        <v>1</v>
      </c>
      <c r="T72">
        <v>1</v>
      </c>
      <c r="U72"/>
      <c r="V72"/>
      <c r="W72"/>
      <c r="X72">
        <v>1</v>
      </c>
      <c r="Y72"/>
      <c r="Z72">
        <v>0</v>
      </c>
      <c r="AA72"/>
      <c r="AB72"/>
      <c r="AC72"/>
      <c r="AD72"/>
      <c r="AE72">
        <v>0</v>
      </c>
      <c r="AF72"/>
      <c r="AG72" t="s">
        <v>3468</v>
      </c>
      <c r="AH72"/>
    </row>
    <row r="73" spans="1:34" x14ac:dyDescent="0.25">
      <c r="A73" t="s">
        <v>426</v>
      </c>
      <c r="B73" t="s">
        <v>427</v>
      </c>
      <c r="C73"/>
      <c r="D73" t="s">
        <v>383</v>
      </c>
      <c r="E73" t="s">
        <v>428</v>
      </c>
      <c r="F73" t="s">
        <v>439</v>
      </c>
      <c r="G73" t="s">
        <v>280</v>
      </c>
      <c r="H73" t="s">
        <v>440</v>
      </c>
      <c r="I73" t="s">
        <v>35</v>
      </c>
      <c r="J73"/>
      <c r="K73">
        <v>1</v>
      </c>
      <c r="L73">
        <v>1</v>
      </c>
      <c r="M73" t="s">
        <v>33</v>
      </c>
      <c r="N73">
        <v>1</v>
      </c>
      <c r="O73">
        <v>1</v>
      </c>
      <c r="P73">
        <v>1</v>
      </c>
      <c r="Q73" t="s">
        <v>38</v>
      </c>
      <c r="R73">
        <v>1</v>
      </c>
      <c r="S73">
        <v>1</v>
      </c>
      <c r="T73">
        <v>1</v>
      </c>
      <c r="U73"/>
      <c r="V73"/>
      <c r="W73"/>
      <c r="X73">
        <v>1</v>
      </c>
      <c r="Y73"/>
      <c r="Z73">
        <v>0</v>
      </c>
      <c r="AA73"/>
      <c r="AB73"/>
      <c r="AC73"/>
      <c r="AD73"/>
      <c r="AE73">
        <v>0</v>
      </c>
      <c r="AF73"/>
      <c r="AG73" t="s">
        <v>3468</v>
      </c>
      <c r="AH73"/>
    </row>
    <row r="74" spans="1:34" x14ac:dyDescent="0.25">
      <c r="A74" t="s">
        <v>426</v>
      </c>
      <c r="B74" t="s">
        <v>427</v>
      </c>
      <c r="C74"/>
      <c r="D74" t="s">
        <v>383</v>
      </c>
      <c r="E74" t="s">
        <v>428</v>
      </c>
      <c r="F74" t="s">
        <v>441</v>
      </c>
      <c r="G74" t="s">
        <v>280</v>
      </c>
      <c r="H74" t="s">
        <v>442</v>
      </c>
      <c r="I74" t="s">
        <v>35</v>
      </c>
      <c r="J74"/>
      <c r="K74">
        <v>1</v>
      </c>
      <c r="L74">
        <v>1</v>
      </c>
      <c r="M74" t="s">
        <v>33</v>
      </c>
      <c r="N74">
        <v>1</v>
      </c>
      <c r="O74">
        <v>1</v>
      </c>
      <c r="P74">
        <v>1</v>
      </c>
      <c r="Q74" t="s">
        <v>38</v>
      </c>
      <c r="R74">
        <v>1</v>
      </c>
      <c r="S74">
        <v>1</v>
      </c>
      <c r="T74">
        <v>1</v>
      </c>
      <c r="U74"/>
      <c r="V74"/>
      <c r="W74"/>
      <c r="X74">
        <v>1</v>
      </c>
      <c r="Y74"/>
      <c r="Z74">
        <v>0</v>
      </c>
      <c r="AA74"/>
      <c r="AB74"/>
      <c r="AC74"/>
      <c r="AD74"/>
      <c r="AE74">
        <v>0</v>
      </c>
      <c r="AF74"/>
      <c r="AG74" t="s">
        <v>3468</v>
      </c>
      <c r="AH74"/>
    </row>
    <row r="75" spans="1:34" x14ac:dyDescent="0.25">
      <c r="A75" t="s">
        <v>426</v>
      </c>
      <c r="B75" t="s">
        <v>427</v>
      </c>
      <c r="C75"/>
      <c r="D75" t="s">
        <v>383</v>
      </c>
      <c r="E75" t="s">
        <v>428</v>
      </c>
      <c r="F75" t="s">
        <v>443</v>
      </c>
      <c r="G75" t="s">
        <v>280</v>
      </c>
      <c r="H75" t="s">
        <v>444</v>
      </c>
      <c r="I75" t="s">
        <v>35</v>
      </c>
      <c r="J75"/>
      <c r="K75">
        <v>1</v>
      </c>
      <c r="L75">
        <v>1</v>
      </c>
      <c r="M75" t="s">
        <v>33</v>
      </c>
      <c r="N75">
        <v>1</v>
      </c>
      <c r="O75">
        <v>1</v>
      </c>
      <c r="P75">
        <v>1</v>
      </c>
      <c r="Q75" t="s">
        <v>38</v>
      </c>
      <c r="R75">
        <v>1</v>
      </c>
      <c r="S75">
        <v>1</v>
      </c>
      <c r="T75">
        <v>1</v>
      </c>
      <c r="U75"/>
      <c r="V75"/>
      <c r="W75"/>
      <c r="X75">
        <v>1</v>
      </c>
      <c r="Y75"/>
      <c r="Z75">
        <v>0</v>
      </c>
      <c r="AA75"/>
      <c r="AB75"/>
      <c r="AC75"/>
      <c r="AD75"/>
      <c r="AE75">
        <v>0</v>
      </c>
      <c r="AF75"/>
      <c r="AG75" t="s">
        <v>3468</v>
      </c>
      <c r="AH75"/>
    </row>
    <row r="76" spans="1:34" x14ac:dyDescent="0.25">
      <c r="A76" t="s">
        <v>426</v>
      </c>
      <c r="B76" t="s">
        <v>427</v>
      </c>
      <c r="C76"/>
      <c r="D76" t="s">
        <v>383</v>
      </c>
      <c r="E76" t="s">
        <v>428</v>
      </c>
      <c r="F76" t="s">
        <v>445</v>
      </c>
      <c r="G76" t="s">
        <v>280</v>
      </c>
      <c r="H76" t="s">
        <v>446</v>
      </c>
      <c r="I76" t="s">
        <v>35</v>
      </c>
      <c r="J76"/>
      <c r="K76">
        <v>1</v>
      </c>
      <c r="L76">
        <v>1</v>
      </c>
      <c r="M76" t="s">
        <v>33</v>
      </c>
      <c r="N76">
        <v>1</v>
      </c>
      <c r="O76">
        <v>1</v>
      </c>
      <c r="P76">
        <v>1</v>
      </c>
      <c r="Q76" t="s">
        <v>38</v>
      </c>
      <c r="R76">
        <v>1</v>
      </c>
      <c r="S76">
        <v>1</v>
      </c>
      <c r="T76">
        <v>1</v>
      </c>
      <c r="U76"/>
      <c r="V76"/>
      <c r="W76"/>
      <c r="X76">
        <v>1</v>
      </c>
      <c r="Y76"/>
      <c r="Z76">
        <v>0</v>
      </c>
      <c r="AA76"/>
      <c r="AB76"/>
      <c r="AC76"/>
      <c r="AD76"/>
      <c r="AE76">
        <v>0</v>
      </c>
      <c r="AF76"/>
      <c r="AG76" t="s">
        <v>3468</v>
      </c>
      <c r="AH76"/>
    </row>
    <row r="77" spans="1:34" x14ac:dyDescent="0.25">
      <c r="A77" t="s">
        <v>426</v>
      </c>
      <c r="B77" t="s">
        <v>427</v>
      </c>
      <c r="C77"/>
      <c r="D77" t="s">
        <v>383</v>
      </c>
      <c r="E77" t="s">
        <v>428</v>
      </c>
      <c r="F77" t="s">
        <v>447</v>
      </c>
      <c r="G77" t="s">
        <v>280</v>
      </c>
      <c r="H77" t="s">
        <v>448</v>
      </c>
      <c r="I77" t="s">
        <v>35</v>
      </c>
      <c r="J77"/>
      <c r="K77">
        <v>1</v>
      </c>
      <c r="L77">
        <v>1</v>
      </c>
      <c r="M77" t="s">
        <v>33</v>
      </c>
      <c r="N77">
        <v>1</v>
      </c>
      <c r="O77">
        <v>1</v>
      </c>
      <c r="P77">
        <v>1</v>
      </c>
      <c r="Q77" t="s">
        <v>38</v>
      </c>
      <c r="R77">
        <v>1</v>
      </c>
      <c r="S77">
        <v>1</v>
      </c>
      <c r="T77">
        <v>1</v>
      </c>
      <c r="U77"/>
      <c r="V77"/>
      <c r="W77"/>
      <c r="X77">
        <v>1</v>
      </c>
      <c r="Y77"/>
      <c r="Z77">
        <v>0</v>
      </c>
      <c r="AA77"/>
      <c r="AB77"/>
      <c r="AC77"/>
      <c r="AD77"/>
      <c r="AE77">
        <v>0</v>
      </c>
      <c r="AF77"/>
      <c r="AG77" t="s">
        <v>3468</v>
      </c>
      <c r="AH77"/>
    </row>
    <row r="78" spans="1:34" x14ac:dyDescent="0.25">
      <c r="A78" t="s">
        <v>426</v>
      </c>
      <c r="B78" t="s">
        <v>427</v>
      </c>
      <c r="C78"/>
      <c r="D78" t="s">
        <v>383</v>
      </c>
      <c r="E78" t="s">
        <v>428</v>
      </c>
      <c r="F78" t="s">
        <v>449</v>
      </c>
      <c r="G78" t="s">
        <v>280</v>
      </c>
      <c r="H78" t="s">
        <v>450</v>
      </c>
      <c r="I78" t="s">
        <v>35</v>
      </c>
      <c r="J78"/>
      <c r="K78">
        <v>1</v>
      </c>
      <c r="L78">
        <v>1</v>
      </c>
      <c r="M78" t="s">
        <v>33</v>
      </c>
      <c r="N78">
        <v>1</v>
      </c>
      <c r="O78">
        <v>1</v>
      </c>
      <c r="P78">
        <v>1</v>
      </c>
      <c r="Q78" t="s">
        <v>38</v>
      </c>
      <c r="R78">
        <v>1</v>
      </c>
      <c r="S78">
        <v>1</v>
      </c>
      <c r="T78">
        <v>1</v>
      </c>
      <c r="U78"/>
      <c r="V78"/>
      <c r="W78"/>
      <c r="X78">
        <v>1</v>
      </c>
      <c r="Y78"/>
      <c r="Z78">
        <v>0</v>
      </c>
      <c r="AA78"/>
      <c r="AB78"/>
      <c r="AC78"/>
      <c r="AD78"/>
      <c r="AE78">
        <v>0</v>
      </c>
      <c r="AF78"/>
      <c r="AG78" t="s">
        <v>3468</v>
      </c>
      <c r="AH78"/>
    </row>
    <row r="79" spans="1:34" x14ac:dyDescent="0.25">
      <c r="A79" t="s">
        <v>426</v>
      </c>
      <c r="B79" t="s">
        <v>427</v>
      </c>
      <c r="C79"/>
      <c r="D79" t="s">
        <v>383</v>
      </c>
      <c r="E79" t="s">
        <v>428</v>
      </c>
      <c r="F79" t="s">
        <v>451</v>
      </c>
      <c r="G79" t="s">
        <v>280</v>
      </c>
      <c r="H79" t="s">
        <v>452</v>
      </c>
      <c r="I79" t="s">
        <v>35</v>
      </c>
      <c r="J79"/>
      <c r="K79">
        <v>1</v>
      </c>
      <c r="L79">
        <v>1</v>
      </c>
      <c r="M79" t="s">
        <v>33</v>
      </c>
      <c r="N79">
        <v>1</v>
      </c>
      <c r="O79">
        <v>1</v>
      </c>
      <c r="P79">
        <v>1</v>
      </c>
      <c r="Q79" t="s">
        <v>38</v>
      </c>
      <c r="R79">
        <v>1</v>
      </c>
      <c r="S79">
        <v>1</v>
      </c>
      <c r="T79">
        <v>1</v>
      </c>
      <c r="U79"/>
      <c r="V79"/>
      <c r="W79"/>
      <c r="X79">
        <v>1</v>
      </c>
      <c r="Y79"/>
      <c r="Z79">
        <v>0</v>
      </c>
      <c r="AA79"/>
      <c r="AB79"/>
      <c r="AC79"/>
      <c r="AD79"/>
      <c r="AE79">
        <v>0</v>
      </c>
      <c r="AF79"/>
      <c r="AG79" t="s">
        <v>3468</v>
      </c>
      <c r="AH79"/>
    </row>
    <row r="80" spans="1:34" x14ac:dyDescent="0.25">
      <c r="A80" t="s">
        <v>426</v>
      </c>
      <c r="B80" t="s">
        <v>427</v>
      </c>
      <c r="C80"/>
      <c r="D80" t="s">
        <v>383</v>
      </c>
      <c r="E80" t="s">
        <v>428</v>
      </c>
      <c r="F80" t="s">
        <v>453</v>
      </c>
      <c r="G80" t="s">
        <v>280</v>
      </c>
      <c r="H80" t="s">
        <v>454</v>
      </c>
      <c r="I80" t="s">
        <v>35</v>
      </c>
      <c r="J80"/>
      <c r="K80">
        <v>1</v>
      </c>
      <c r="L80">
        <v>1</v>
      </c>
      <c r="M80" t="s">
        <v>33</v>
      </c>
      <c r="N80">
        <v>1</v>
      </c>
      <c r="O80">
        <v>1</v>
      </c>
      <c r="P80">
        <v>1</v>
      </c>
      <c r="Q80" t="s">
        <v>38</v>
      </c>
      <c r="R80">
        <v>1</v>
      </c>
      <c r="S80">
        <v>1</v>
      </c>
      <c r="T80">
        <v>1</v>
      </c>
      <c r="U80"/>
      <c r="V80"/>
      <c r="W80"/>
      <c r="X80">
        <v>1</v>
      </c>
      <c r="Y80"/>
      <c r="Z80">
        <v>0</v>
      </c>
      <c r="AA80"/>
      <c r="AB80"/>
      <c r="AC80"/>
      <c r="AD80"/>
      <c r="AE80">
        <v>0</v>
      </c>
      <c r="AF80"/>
      <c r="AG80" t="s">
        <v>3468</v>
      </c>
      <c r="AH80"/>
    </row>
    <row r="81" spans="1:34" x14ac:dyDescent="0.25">
      <c r="A81" t="s">
        <v>426</v>
      </c>
      <c r="B81" t="s">
        <v>427</v>
      </c>
      <c r="C81"/>
      <c r="D81" t="s">
        <v>383</v>
      </c>
      <c r="E81" t="s">
        <v>428</v>
      </c>
      <c r="F81" t="s">
        <v>455</v>
      </c>
      <c r="G81" t="s">
        <v>280</v>
      </c>
      <c r="H81" t="s">
        <v>456</v>
      </c>
      <c r="I81" t="s">
        <v>35</v>
      </c>
      <c r="J81"/>
      <c r="K81">
        <v>1</v>
      </c>
      <c r="L81">
        <v>1</v>
      </c>
      <c r="M81" t="s">
        <v>33</v>
      </c>
      <c r="N81">
        <v>1</v>
      </c>
      <c r="O81">
        <v>1</v>
      </c>
      <c r="P81">
        <v>1</v>
      </c>
      <c r="Q81" t="s">
        <v>38</v>
      </c>
      <c r="R81">
        <v>1</v>
      </c>
      <c r="S81">
        <v>1</v>
      </c>
      <c r="T81">
        <v>1</v>
      </c>
      <c r="U81"/>
      <c r="V81"/>
      <c r="W81"/>
      <c r="X81">
        <v>1</v>
      </c>
      <c r="Y81"/>
      <c r="Z81">
        <v>0</v>
      </c>
      <c r="AA81"/>
      <c r="AB81"/>
      <c r="AC81"/>
      <c r="AD81"/>
      <c r="AE81">
        <v>0</v>
      </c>
      <c r="AF81"/>
      <c r="AG81" t="s">
        <v>3468</v>
      </c>
      <c r="AH81"/>
    </row>
    <row r="82" spans="1:34" x14ac:dyDescent="0.25">
      <c r="A82" t="s">
        <v>426</v>
      </c>
      <c r="B82" t="s">
        <v>427</v>
      </c>
      <c r="C82"/>
      <c r="D82" t="s">
        <v>383</v>
      </c>
      <c r="E82" t="s">
        <v>428</v>
      </c>
      <c r="F82" t="s">
        <v>457</v>
      </c>
      <c r="G82" t="s">
        <v>280</v>
      </c>
      <c r="H82" t="s">
        <v>458</v>
      </c>
      <c r="I82" t="s">
        <v>35</v>
      </c>
      <c r="J82"/>
      <c r="K82">
        <v>1</v>
      </c>
      <c r="L82">
        <v>1</v>
      </c>
      <c r="M82" t="s">
        <v>33</v>
      </c>
      <c r="N82">
        <v>1</v>
      </c>
      <c r="O82">
        <v>1</v>
      </c>
      <c r="P82">
        <v>1</v>
      </c>
      <c r="Q82" t="s">
        <v>38</v>
      </c>
      <c r="R82">
        <v>1</v>
      </c>
      <c r="S82">
        <v>1</v>
      </c>
      <c r="T82">
        <v>1</v>
      </c>
      <c r="U82"/>
      <c r="V82"/>
      <c r="W82"/>
      <c r="X82">
        <v>1</v>
      </c>
      <c r="Y82"/>
      <c r="Z82">
        <v>0</v>
      </c>
      <c r="AA82"/>
      <c r="AB82"/>
      <c r="AC82"/>
      <c r="AD82"/>
      <c r="AE82">
        <v>0</v>
      </c>
      <c r="AF82"/>
      <c r="AG82" t="s">
        <v>3468</v>
      </c>
      <c r="AH82"/>
    </row>
    <row r="83" spans="1:34" x14ac:dyDescent="0.25">
      <c r="A83" t="s">
        <v>426</v>
      </c>
      <c r="B83" t="s">
        <v>427</v>
      </c>
      <c r="C83"/>
      <c r="D83" t="s">
        <v>383</v>
      </c>
      <c r="E83" t="s">
        <v>428</v>
      </c>
      <c r="F83" t="s">
        <v>459</v>
      </c>
      <c r="G83" t="s">
        <v>280</v>
      </c>
      <c r="H83" t="s">
        <v>460</v>
      </c>
      <c r="I83" t="s">
        <v>35</v>
      </c>
      <c r="J83"/>
      <c r="K83">
        <v>1</v>
      </c>
      <c r="L83">
        <v>1</v>
      </c>
      <c r="M83" t="s">
        <v>33</v>
      </c>
      <c r="N83">
        <v>1</v>
      </c>
      <c r="O83">
        <v>1</v>
      </c>
      <c r="P83">
        <v>1</v>
      </c>
      <c r="Q83" t="s">
        <v>38</v>
      </c>
      <c r="R83">
        <v>1</v>
      </c>
      <c r="S83">
        <v>1</v>
      </c>
      <c r="T83">
        <v>1</v>
      </c>
      <c r="U83"/>
      <c r="V83"/>
      <c r="W83"/>
      <c r="X83">
        <v>1</v>
      </c>
      <c r="Y83"/>
      <c r="Z83">
        <v>0</v>
      </c>
      <c r="AA83"/>
      <c r="AB83"/>
      <c r="AC83"/>
      <c r="AD83"/>
      <c r="AE83">
        <v>0</v>
      </c>
      <c r="AF83"/>
      <c r="AG83"/>
      <c r="AH83"/>
    </row>
    <row r="84" spans="1:34" x14ac:dyDescent="0.25">
      <c r="A84" t="s">
        <v>3392</v>
      </c>
      <c r="B84" t="s">
        <v>3393</v>
      </c>
      <c r="C84"/>
      <c r="D84" t="s">
        <v>383</v>
      </c>
      <c r="E84" t="s">
        <v>428</v>
      </c>
      <c r="F84" t="s">
        <v>459</v>
      </c>
      <c r="G84" t="s">
        <v>280</v>
      </c>
      <c r="H84" t="s">
        <v>460</v>
      </c>
      <c r="I84" t="s">
        <v>35</v>
      </c>
      <c r="J84"/>
      <c r="K84">
        <v>1</v>
      </c>
      <c r="L84">
        <v>1</v>
      </c>
      <c r="M84" t="s">
        <v>33</v>
      </c>
      <c r="N84">
        <v>1</v>
      </c>
      <c r="O84">
        <v>1</v>
      </c>
      <c r="P84">
        <v>1</v>
      </c>
      <c r="Q84" t="s">
        <v>38</v>
      </c>
      <c r="R84">
        <v>1</v>
      </c>
      <c r="S84">
        <v>1</v>
      </c>
      <c r="T84">
        <v>1</v>
      </c>
      <c r="U84"/>
      <c r="V84"/>
      <c r="W84"/>
      <c r="X84">
        <v>1</v>
      </c>
      <c r="Y84"/>
      <c r="Z84">
        <v>0</v>
      </c>
      <c r="AA84"/>
      <c r="AB84"/>
      <c r="AC84"/>
      <c r="AD84"/>
      <c r="AE84">
        <v>0</v>
      </c>
      <c r="AF84"/>
      <c r="AG84"/>
      <c r="AH84"/>
    </row>
    <row r="85" spans="1:34" x14ac:dyDescent="0.25">
      <c r="A85" t="s">
        <v>3394</v>
      </c>
      <c r="B85" t="s">
        <v>3395</v>
      </c>
      <c r="C85"/>
      <c r="D85" t="s">
        <v>383</v>
      </c>
      <c r="E85" t="s">
        <v>428</v>
      </c>
      <c r="F85" t="s">
        <v>459</v>
      </c>
      <c r="G85" t="s">
        <v>280</v>
      </c>
      <c r="H85" t="s">
        <v>460</v>
      </c>
      <c r="I85" t="s">
        <v>35</v>
      </c>
      <c r="J85"/>
      <c r="K85">
        <v>1</v>
      </c>
      <c r="L85">
        <v>1</v>
      </c>
      <c r="M85" t="s">
        <v>33</v>
      </c>
      <c r="N85">
        <v>1</v>
      </c>
      <c r="O85">
        <v>1</v>
      </c>
      <c r="P85">
        <v>1</v>
      </c>
      <c r="Q85" t="s">
        <v>38</v>
      </c>
      <c r="R85">
        <v>1</v>
      </c>
      <c r="S85">
        <v>1</v>
      </c>
      <c r="T85">
        <v>1</v>
      </c>
      <c r="U85"/>
      <c r="V85"/>
      <c r="W85"/>
      <c r="X85">
        <v>1</v>
      </c>
      <c r="Y85"/>
      <c r="Z85">
        <v>0</v>
      </c>
      <c r="AA85"/>
      <c r="AB85"/>
      <c r="AC85"/>
      <c r="AD85"/>
      <c r="AE85">
        <v>0</v>
      </c>
      <c r="AF85"/>
      <c r="AG85"/>
      <c r="AH85"/>
    </row>
    <row r="86" spans="1:34" x14ac:dyDescent="0.25">
      <c r="A86" t="s">
        <v>3397</v>
      </c>
      <c r="B86" t="s">
        <v>3398</v>
      </c>
      <c r="C86"/>
      <c r="D86" t="s">
        <v>383</v>
      </c>
      <c r="E86" t="s">
        <v>428</v>
      </c>
      <c r="F86" t="s">
        <v>459</v>
      </c>
      <c r="G86" t="s">
        <v>280</v>
      </c>
      <c r="H86" t="s">
        <v>460</v>
      </c>
      <c r="I86" t="s">
        <v>35</v>
      </c>
      <c r="J86"/>
      <c r="K86">
        <v>1</v>
      </c>
      <c r="L86">
        <v>1</v>
      </c>
      <c r="M86" t="s">
        <v>33</v>
      </c>
      <c r="N86">
        <v>1</v>
      </c>
      <c r="O86">
        <v>1</v>
      </c>
      <c r="P86">
        <v>1</v>
      </c>
      <c r="Q86" t="s">
        <v>38</v>
      </c>
      <c r="R86">
        <v>1</v>
      </c>
      <c r="S86">
        <v>1</v>
      </c>
      <c r="T86">
        <v>1</v>
      </c>
      <c r="U86"/>
      <c r="V86"/>
      <c r="W86"/>
      <c r="X86">
        <v>1</v>
      </c>
      <c r="Y86"/>
      <c r="Z86">
        <v>0</v>
      </c>
      <c r="AA86"/>
      <c r="AB86"/>
      <c r="AC86"/>
      <c r="AD86"/>
      <c r="AE86">
        <v>0</v>
      </c>
      <c r="AF86"/>
      <c r="AG86"/>
      <c r="AH86"/>
    </row>
    <row r="87" spans="1:34" x14ac:dyDescent="0.25">
      <c r="A87" t="s">
        <v>3444</v>
      </c>
      <c r="B87" t="s">
        <v>3445</v>
      </c>
      <c r="C87"/>
      <c r="D87" t="s">
        <v>383</v>
      </c>
      <c r="E87" t="s">
        <v>428</v>
      </c>
      <c r="F87" t="s">
        <v>459</v>
      </c>
      <c r="G87" t="s">
        <v>259</v>
      </c>
      <c r="H87" t="s">
        <v>460</v>
      </c>
      <c r="I87" t="s">
        <v>35</v>
      </c>
      <c r="J87"/>
      <c r="K87">
        <v>1</v>
      </c>
      <c r="L87">
        <v>1</v>
      </c>
      <c r="M87" t="s">
        <v>33</v>
      </c>
      <c r="N87">
        <v>1</v>
      </c>
      <c r="O87">
        <v>1</v>
      </c>
      <c r="P87">
        <v>1</v>
      </c>
      <c r="Q87" t="s">
        <v>38</v>
      </c>
      <c r="R87">
        <v>1</v>
      </c>
      <c r="S87">
        <v>1</v>
      </c>
      <c r="T87">
        <v>1</v>
      </c>
      <c r="U87"/>
      <c r="V87"/>
      <c r="W87"/>
      <c r="X87">
        <v>1</v>
      </c>
      <c r="Y87"/>
      <c r="Z87">
        <v>0</v>
      </c>
      <c r="AA87"/>
      <c r="AB87"/>
      <c r="AC87"/>
      <c r="AD87"/>
      <c r="AE87">
        <v>0</v>
      </c>
      <c r="AF87"/>
      <c r="AG87"/>
      <c r="AH87"/>
    </row>
    <row r="88" spans="1:34" x14ac:dyDescent="0.25">
      <c r="A88" t="s">
        <v>3446</v>
      </c>
      <c r="B88" t="s">
        <v>3447</v>
      </c>
      <c r="C88"/>
      <c r="D88" t="s">
        <v>383</v>
      </c>
      <c r="E88" t="s">
        <v>428</v>
      </c>
      <c r="F88" t="s">
        <v>459</v>
      </c>
      <c r="G88" t="s">
        <v>259</v>
      </c>
      <c r="H88" t="s">
        <v>460</v>
      </c>
      <c r="I88" t="s">
        <v>35</v>
      </c>
      <c r="J88"/>
      <c r="K88">
        <v>1</v>
      </c>
      <c r="L88">
        <v>1</v>
      </c>
      <c r="M88" t="s">
        <v>33</v>
      </c>
      <c r="N88">
        <v>1</v>
      </c>
      <c r="O88">
        <v>1</v>
      </c>
      <c r="P88">
        <v>1</v>
      </c>
      <c r="Q88" t="s">
        <v>38</v>
      </c>
      <c r="R88">
        <v>1</v>
      </c>
      <c r="S88">
        <v>1</v>
      </c>
      <c r="T88">
        <v>1</v>
      </c>
      <c r="U88"/>
      <c r="V88"/>
      <c r="W88"/>
      <c r="X88">
        <v>1</v>
      </c>
      <c r="Y88"/>
      <c r="Z88">
        <v>0</v>
      </c>
      <c r="AA88"/>
      <c r="AB88"/>
      <c r="AC88"/>
      <c r="AD88"/>
      <c r="AE88">
        <v>0</v>
      </c>
      <c r="AF88"/>
      <c r="AG88"/>
      <c r="AH88"/>
    </row>
    <row r="89" spans="1:34" x14ac:dyDescent="0.25">
      <c r="A89" t="s">
        <v>3454</v>
      </c>
      <c r="B89" t="s">
        <v>3455</v>
      </c>
      <c r="C89"/>
      <c r="D89" t="s">
        <v>383</v>
      </c>
      <c r="E89" t="s">
        <v>428</v>
      </c>
      <c r="F89" t="s">
        <v>459</v>
      </c>
      <c r="G89" t="s">
        <v>259</v>
      </c>
      <c r="H89" t="s">
        <v>460</v>
      </c>
      <c r="I89" t="s">
        <v>35</v>
      </c>
      <c r="J89"/>
      <c r="K89">
        <v>1</v>
      </c>
      <c r="L89">
        <v>1</v>
      </c>
      <c r="M89" t="s">
        <v>33</v>
      </c>
      <c r="N89">
        <v>1</v>
      </c>
      <c r="O89">
        <v>1</v>
      </c>
      <c r="P89">
        <v>1</v>
      </c>
      <c r="Q89" t="s">
        <v>38</v>
      </c>
      <c r="R89">
        <v>1</v>
      </c>
      <c r="S89">
        <v>1</v>
      </c>
      <c r="T89">
        <v>1</v>
      </c>
      <c r="U89"/>
      <c r="V89"/>
      <c r="W89"/>
      <c r="X89">
        <v>1</v>
      </c>
      <c r="Y89"/>
      <c r="Z89">
        <v>0</v>
      </c>
      <c r="AA89"/>
      <c r="AB89"/>
      <c r="AC89"/>
      <c r="AD89"/>
      <c r="AE89">
        <v>0</v>
      </c>
      <c r="AF89"/>
      <c r="AG89"/>
      <c r="AH89"/>
    </row>
    <row r="90" spans="1:34" x14ac:dyDescent="0.25">
      <c r="A90" t="s">
        <v>426</v>
      </c>
      <c r="B90" t="s">
        <v>427</v>
      </c>
      <c r="C90"/>
      <c r="D90" t="s">
        <v>383</v>
      </c>
      <c r="E90" t="s">
        <v>428</v>
      </c>
      <c r="F90" t="s">
        <v>461</v>
      </c>
      <c r="G90" t="s">
        <v>280</v>
      </c>
      <c r="H90" t="s">
        <v>462</v>
      </c>
      <c r="I90" t="s">
        <v>35</v>
      </c>
      <c r="J90"/>
      <c r="K90">
        <v>1</v>
      </c>
      <c r="L90">
        <v>1</v>
      </c>
      <c r="M90" t="s">
        <v>33</v>
      </c>
      <c r="N90">
        <v>1</v>
      </c>
      <c r="O90">
        <v>1</v>
      </c>
      <c r="P90">
        <v>1</v>
      </c>
      <c r="Q90" t="s">
        <v>38</v>
      </c>
      <c r="R90">
        <v>1</v>
      </c>
      <c r="S90">
        <v>1</v>
      </c>
      <c r="T90">
        <v>1</v>
      </c>
      <c r="U90"/>
      <c r="V90"/>
      <c r="W90"/>
      <c r="X90">
        <v>1</v>
      </c>
      <c r="Y90"/>
      <c r="Z90">
        <v>0</v>
      </c>
      <c r="AA90"/>
      <c r="AB90"/>
      <c r="AC90"/>
      <c r="AD90"/>
      <c r="AE90">
        <v>0</v>
      </c>
      <c r="AF90"/>
      <c r="AG90"/>
      <c r="AH90"/>
    </row>
    <row r="91" spans="1:34" x14ac:dyDescent="0.25">
      <c r="A91" t="s">
        <v>3392</v>
      </c>
      <c r="B91" t="s">
        <v>3393</v>
      </c>
      <c r="C91"/>
      <c r="D91" t="s">
        <v>383</v>
      </c>
      <c r="E91" t="s">
        <v>428</v>
      </c>
      <c r="F91" t="s">
        <v>461</v>
      </c>
      <c r="G91" t="s">
        <v>280</v>
      </c>
      <c r="H91" t="s">
        <v>462</v>
      </c>
      <c r="I91" t="s">
        <v>35</v>
      </c>
      <c r="J91"/>
      <c r="K91">
        <v>1</v>
      </c>
      <c r="L91">
        <v>1</v>
      </c>
      <c r="M91" t="s">
        <v>33</v>
      </c>
      <c r="N91">
        <v>1</v>
      </c>
      <c r="O91">
        <v>1</v>
      </c>
      <c r="P91">
        <v>1</v>
      </c>
      <c r="Q91" t="s">
        <v>38</v>
      </c>
      <c r="R91">
        <v>1</v>
      </c>
      <c r="S91">
        <v>1</v>
      </c>
      <c r="T91">
        <v>1</v>
      </c>
      <c r="U91"/>
      <c r="V91"/>
      <c r="W91"/>
      <c r="X91">
        <v>1</v>
      </c>
      <c r="Y91"/>
      <c r="Z91">
        <v>0</v>
      </c>
      <c r="AA91"/>
      <c r="AB91"/>
      <c r="AC91"/>
      <c r="AD91"/>
      <c r="AE91">
        <v>0</v>
      </c>
      <c r="AF91"/>
      <c r="AG91"/>
      <c r="AH91"/>
    </row>
    <row r="92" spans="1:34" x14ac:dyDescent="0.25">
      <c r="A92" t="s">
        <v>3394</v>
      </c>
      <c r="B92" t="s">
        <v>3395</v>
      </c>
      <c r="C92"/>
      <c r="D92" t="s">
        <v>383</v>
      </c>
      <c r="E92" t="s">
        <v>428</v>
      </c>
      <c r="F92" t="s">
        <v>461</v>
      </c>
      <c r="G92" t="s">
        <v>280</v>
      </c>
      <c r="H92" t="s">
        <v>462</v>
      </c>
      <c r="I92" t="s">
        <v>35</v>
      </c>
      <c r="J92"/>
      <c r="K92">
        <v>1</v>
      </c>
      <c r="L92">
        <v>1</v>
      </c>
      <c r="M92" t="s">
        <v>33</v>
      </c>
      <c r="N92">
        <v>1</v>
      </c>
      <c r="O92">
        <v>1</v>
      </c>
      <c r="P92">
        <v>1</v>
      </c>
      <c r="Q92" t="s">
        <v>38</v>
      </c>
      <c r="R92">
        <v>1</v>
      </c>
      <c r="S92">
        <v>1</v>
      </c>
      <c r="T92">
        <v>1</v>
      </c>
      <c r="U92"/>
      <c r="V92"/>
      <c r="W92"/>
      <c r="X92">
        <v>1</v>
      </c>
      <c r="Y92"/>
      <c r="Z92">
        <v>0</v>
      </c>
      <c r="AA92"/>
      <c r="AB92"/>
      <c r="AC92"/>
      <c r="AD92"/>
      <c r="AE92">
        <v>0</v>
      </c>
      <c r="AF92"/>
      <c r="AG92"/>
      <c r="AH92"/>
    </row>
    <row r="93" spans="1:34" x14ac:dyDescent="0.25">
      <c r="A93" t="s">
        <v>3397</v>
      </c>
      <c r="B93" t="s">
        <v>3398</v>
      </c>
      <c r="C93"/>
      <c r="D93" t="s">
        <v>383</v>
      </c>
      <c r="E93" t="s">
        <v>428</v>
      </c>
      <c r="F93" t="s">
        <v>461</v>
      </c>
      <c r="G93" t="s">
        <v>280</v>
      </c>
      <c r="H93" t="s">
        <v>462</v>
      </c>
      <c r="I93" t="s">
        <v>35</v>
      </c>
      <c r="J93"/>
      <c r="K93">
        <v>1</v>
      </c>
      <c r="L93">
        <v>1</v>
      </c>
      <c r="M93" t="s">
        <v>33</v>
      </c>
      <c r="N93">
        <v>1</v>
      </c>
      <c r="O93">
        <v>1</v>
      </c>
      <c r="P93">
        <v>1</v>
      </c>
      <c r="Q93" t="s">
        <v>38</v>
      </c>
      <c r="R93">
        <v>1</v>
      </c>
      <c r="S93">
        <v>1</v>
      </c>
      <c r="T93">
        <v>1</v>
      </c>
      <c r="U93"/>
      <c r="V93"/>
      <c r="W93"/>
      <c r="X93">
        <v>1</v>
      </c>
      <c r="Y93"/>
      <c r="Z93">
        <v>0</v>
      </c>
      <c r="AA93"/>
      <c r="AB93"/>
      <c r="AC93"/>
      <c r="AD93"/>
      <c r="AE93">
        <v>0</v>
      </c>
      <c r="AF93"/>
      <c r="AG93"/>
      <c r="AH93"/>
    </row>
    <row r="94" spans="1:34" x14ac:dyDescent="0.25">
      <c r="A94" t="s">
        <v>3444</v>
      </c>
      <c r="B94" t="s">
        <v>3445</v>
      </c>
      <c r="C94"/>
      <c r="D94" t="s">
        <v>383</v>
      </c>
      <c r="E94" t="s">
        <v>428</v>
      </c>
      <c r="F94" t="s">
        <v>461</v>
      </c>
      <c r="G94" t="s">
        <v>259</v>
      </c>
      <c r="H94" t="s">
        <v>462</v>
      </c>
      <c r="I94" t="s">
        <v>35</v>
      </c>
      <c r="J94"/>
      <c r="K94">
        <v>1</v>
      </c>
      <c r="L94">
        <v>1</v>
      </c>
      <c r="M94" t="s">
        <v>33</v>
      </c>
      <c r="N94">
        <v>1</v>
      </c>
      <c r="O94">
        <v>1</v>
      </c>
      <c r="P94">
        <v>1</v>
      </c>
      <c r="Q94" t="s">
        <v>38</v>
      </c>
      <c r="R94">
        <v>1</v>
      </c>
      <c r="S94">
        <v>1</v>
      </c>
      <c r="T94">
        <v>1</v>
      </c>
      <c r="U94"/>
      <c r="V94"/>
      <c r="W94"/>
      <c r="X94">
        <v>1</v>
      </c>
      <c r="Y94"/>
      <c r="Z94">
        <v>0</v>
      </c>
      <c r="AA94"/>
      <c r="AB94"/>
      <c r="AC94"/>
      <c r="AD94"/>
      <c r="AE94">
        <v>0</v>
      </c>
      <c r="AF94"/>
      <c r="AG94"/>
      <c r="AH94"/>
    </row>
    <row r="95" spans="1:34" x14ac:dyDescent="0.25">
      <c r="A95" t="s">
        <v>3446</v>
      </c>
      <c r="B95" t="s">
        <v>3447</v>
      </c>
      <c r="C95"/>
      <c r="D95" t="s">
        <v>383</v>
      </c>
      <c r="E95" t="s">
        <v>428</v>
      </c>
      <c r="F95" t="s">
        <v>461</v>
      </c>
      <c r="G95" t="s">
        <v>259</v>
      </c>
      <c r="H95" t="s">
        <v>462</v>
      </c>
      <c r="I95" t="s">
        <v>35</v>
      </c>
      <c r="J95"/>
      <c r="K95">
        <v>1</v>
      </c>
      <c r="L95">
        <v>1</v>
      </c>
      <c r="M95" t="s">
        <v>33</v>
      </c>
      <c r="N95">
        <v>1</v>
      </c>
      <c r="O95">
        <v>1</v>
      </c>
      <c r="P95">
        <v>1</v>
      </c>
      <c r="Q95" t="s">
        <v>38</v>
      </c>
      <c r="R95">
        <v>1</v>
      </c>
      <c r="S95">
        <v>1</v>
      </c>
      <c r="T95">
        <v>1</v>
      </c>
      <c r="U95"/>
      <c r="V95"/>
      <c r="W95"/>
      <c r="X95">
        <v>1</v>
      </c>
      <c r="Y95"/>
      <c r="Z95">
        <v>0</v>
      </c>
      <c r="AA95"/>
      <c r="AB95"/>
      <c r="AC95"/>
      <c r="AD95"/>
      <c r="AE95">
        <v>0</v>
      </c>
      <c r="AF95"/>
      <c r="AG95"/>
      <c r="AH95"/>
    </row>
    <row r="96" spans="1:34" x14ac:dyDescent="0.25">
      <c r="A96" t="s">
        <v>3454</v>
      </c>
      <c r="B96" t="s">
        <v>3455</v>
      </c>
      <c r="C96"/>
      <c r="D96" t="s">
        <v>383</v>
      </c>
      <c r="E96" t="s">
        <v>428</v>
      </c>
      <c r="F96" t="s">
        <v>461</v>
      </c>
      <c r="G96" t="s">
        <v>259</v>
      </c>
      <c r="H96" t="s">
        <v>462</v>
      </c>
      <c r="I96" t="s">
        <v>35</v>
      </c>
      <c r="J96"/>
      <c r="K96">
        <v>1</v>
      </c>
      <c r="L96">
        <v>1</v>
      </c>
      <c r="M96" t="s">
        <v>33</v>
      </c>
      <c r="N96">
        <v>1</v>
      </c>
      <c r="O96">
        <v>1</v>
      </c>
      <c r="P96">
        <v>1</v>
      </c>
      <c r="Q96" t="s">
        <v>38</v>
      </c>
      <c r="R96">
        <v>1</v>
      </c>
      <c r="S96">
        <v>1</v>
      </c>
      <c r="T96">
        <v>1</v>
      </c>
      <c r="U96"/>
      <c r="V96"/>
      <c r="W96"/>
      <c r="X96">
        <v>1</v>
      </c>
      <c r="Y96"/>
      <c r="Z96">
        <v>0</v>
      </c>
      <c r="AA96"/>
      <c r="AB96"/>
      <c r="AC96"/>
      <c r="AD96"/>
      <c r="AE96">
        <v>0</v>
      </c>
      <c r="AF96"/>
      <c r="AG96"/>
      <c r="AH96"/>
    </row>
    <row r="97" spans="1:34" x14ac:dyDescent="0.25">
      <c r="A97" t="s">
        <v>426</v>
      </c>
      <c r="B97" t="s">
        <v>427</v>
      </c>
      <c r="C97"/>
      <c r="D97" t="s">
        <v>383</v>
      </c>
      <c r="E97" t="s">
        <v>428</v>
      </c>
      <c r="F97" t="s">
        <v>463</v>
      </c>
      <c r="G97" t="s">
        <v>280</v>
      </c>
      <c r="H97" t="s">
        <v>464</v>
      </c>
      <c r="I97" t="s">
        <v>35</v>
      </c>
      <c r="J97"/>
      <c r="K97">
        <v>1</v>
      </c>
      <c r="L97">
        <v>1</v>
      </c>
      <c r="M97" t="s">
        <v>33</v>
      </c>
      <c r="N97">
        <v>1</v>
      </c>
      <c r="O97">
        <v>1</v>
      </c>
      <c r="P97">
        <v>1</v>
      </c>
      <c r="Q97" t="s">
        <v>38</v>
      </c>
      <c r="R97">
        <v>1</v>
      </c>
      <c r="S97">
        <v>1</v>
      </c>
      <c r="T97">
        <v>1</v>
      </c>
      <c r="U97"/>
      <c r="V97"/>
      <c r="W97"/>
      <c r="X97">
        <v>1</v>
      </c>
      <c r="Y97"/>
      <c r="Z97">
        <v>0</v>
      </c>
      <c r="AA97"/>
      <c r="AB97"/>
      <c r="AC97"/>
      <c r="AD97"/>
      <c r="AE97">
        <v>0</v>
      </c>
      <c r="AF97"/>
      <c r="AG97" t="s">
        <v>3468</v>
      </c>
      <c r="AH97"/>
    </row>
    <row r="98" spans="1:34" x14ac:dyDescent="0.25">
      <c r="A98" t="s">
        <v>426</v>
      </c>
      <c r="B98" t="s">
        <v>427</v>
      </c>
      <c r="C98"/>
      <c r="D98" t="s">
        <v>383</v>
      </c>
      <c r="E98" t="s">
        <v>428</v>
      </c>
      <c r="F98" t="s">
        <v>465</v>
      </c>
      <c r="G98" t="s">
        <v>280</v>
      </c>
      <c r="H98" t="s">
        <v>466</v>
      </c>
      <c r="I98" t="s">
        <v>35</v>
      </c>
      <c r="J98"/>
      <c r="K98">
        <v>1</v>
      </c>
      <c r="L98">
        <v>1</v>
      </c>
      <c r="M98" t="s">
        <v>33</v>
      </c>
      <c r="N98">
        <v>1</v>
      </c>
      <c r="O98">
        <v>1</v>
      </c>
      <c r="P98">
        <v>1</v>
      </c>
      <c r="Q98" t="s">
        <v>38</v>
      </c>
      <c r="R98">
        <v>1</v>
      </c>
      <c r="S98">
        <v>1</v>
      </c>
      <c r="T98">
        <v>1</v>
      </c>
      <c r="U98"/>
      <c r="V98"/>
      <c r="W98"/>
      <c r="X98">
        <v>1</v>
      </c>
      <c r="Y98"/>
      <c r="Z98">
        <v>0</v>
      </c>
      <c r="AA98"/>
      <c r="AB98"/>
      <c r="AC98"/>
      <c r="AD98"/>
      <c r="AE98">
        <v>0</v>
      </c>
      <c r="AF98"/>
      <c r="AG98"/>
      <c r="AH98"/>
    </row>
    <row r="99" spans="1:34" x14ac:dyDescent="0.25">
      <c r="A99" t="s">
        <v>3392</v>
      </c>
      <c r="B99" t="s">
        <v>3393</v>
      </c>
      <c r="C99"/>
      <c r="D99" t="s">
        <v>383</v>
      </c>
      <c r="E99" t="s">
        <v>428</v>
      </c>
      <c r="F99" t="s">
        <v>465</v>
      </c>
      <c r="G99" t="s">
        <v>280</v>
      </c>
      <c r="H99" t="s">
        <v>466</v>
      </c>
      <c r="I99" t="s">
        <v>35</v>
      </c>
      <c r="J99"/>
      <c r="K99">
        <v>1</v>
      </c>
      <c r="L99">
        <v>1</v>
      </c>
      <c r="M99" t="s">
        <v>33</v>
      </c>
      <c r="N99">
        <v>1</v>
      </c>
      <c r="O99">
        <v>1</v>
      </c>
      <c r="P99">
        <v>1</v>
      </c>
      <c r="Q99" t="s">
        <v>38</v>
      </c>
      <c r="R99">
        <v>1</v>
      </c>
      <c r="S99">
        <v>1</v>
      </c>
      <c r="T99">
        <v>1</v>
      </c>
      <c r="U99"/>
      <c r="V99"/>
      <c r="W99"/>
      <c r="X99">
        <v>1</v>
      </c>
      <c r="Y99"/>
      <c r="Z99">
        <v>0</v>
      </c>
      <c r="AA99"/>
      <c r="AB99"/>
      <c r="AC99"/>
      <c r="AD99"/>
      <c r="AE99">
        <v>0</v>
      </c>
      <c r="AF99"/>
      <c r="AG99"/>
      <c r="AH99"/>
    </row>
    <row r="100" spans="1:34" x14ac:dyDescent="0.25">
      <c r="A100" t="s">
        <v>426</v>
      </c>
      <c r="B100" t="s">
        <v>427</v>
      </c>
      <c r="C100"/>
      <c r="D100" t="s">
        <v>383</v>
      </c>
      <c r="E100" t="s">
        <v>428</v>
      </c>
      <c r="F100" t="s">
        <v>467</v>
      </c>
      <c r="G100" t="s">
        <v>280</v>
      </c>
      <c r="H100" t="s">
        <v>468</v>
      </c>
      <c r="I100" t="s">
        <v>35</v>
      </c>
      <c r="J100"/>
      <c r="K100">
        <v>1</v>
      </c>
      <c r="L100">
        <v>1</v>
      </c>
      <c r="M100" t="s">
        <v>33</v>
      </c>
      <c r="N100">
        <v>1</v>
      </c>
      <c r="O100">
        <v>1</v>
      </c>
      <c r="P100">
        <v>1</v>
      </c>
      <c r="Q100" t="s">
        <v>38</v>
      </c>
      <c r="R100">
        <v>1</v>
      </c>
      <c r="S100">
        <v>1</v>
      </c>
      <c r="T100">
        <v>1</v>
      </c>
      <c r="U100"/>
      <c r="V100"/>
      <c r="W100"/>
      <c r="X100">
        <v>1</v>
      </c>
      <c r="Y100"/>
      <c r="Z100">
        <v>0</v>
      </c>
      <c r="AA100"/>
      <c r="AB100"/>
      <c r="AC100"/>
      <c r="AD100"/>
      <c r="AE100">
        <v>0</v>
      </c>
      <c r="AF100"/>
      <c r="AG100" t="s">
        <v>3468</v>
      </c>
      <c r="AH100"/>
    </row>
    <row r="101" spans="1:34" x14ac:dyDescent="0.25">
      <c r="A101" t="s">
        <v>426</v>
      </c>
      <c r="B101" t="s">
        <v>427</v>
      </c>
      <c r="C101"/>
      <c r="D101" t="s">
        <v>383</v>
      </c>
      <c r="E101" t="s">
        <v>428</v>
      </c>
      <c r="F101" t="s">
        <v>469</v>
      </c>
      <c r="G101" t="s">
        <v>280</v>
      </c>
      <c r="H101" t="s">
        <v>470</v>
      </c>
      <c r="I101" t="s">
        <v>35</v>
      </c>
      <c r="J101"/>
      <c r="K101">
        <v>1</v>
      </c>
      <c r="L101">
        <v>1</v>
      </c>
      <c r="M101" t="s">
        <v>33</v>
      </c>
      <c r="N101">
        <v>1</v>
      </c>
      <c r="O101">
        <v>1</v>
      </c>
      <c r="P101">
        <v>1</v>
      </c>
      <c r="Q101" t="s">
        <v>38</v>
      </c>
      <c r="R101">
        <v>1</v>
      </c>
      <c r="S101">
        <v>1</v>
      </c>
      <c r="T101">
        <v>1</v>
      </c>
      <c r="U101"/>
      <c r="V101"/>
      <c r="W101"/>
      <c r="X101">
        <v>1</v>
      </c>
      <c r="Y101"/>
      <c r="Z101">
        <v>0</v>
      </c>
      <c r="AA101"/>
      <c r="AB101"/>
      <c r="AC101"/>
      <c r="AD101"/>
      <c r="AE101">
        <v>0</v>
      </c>
      <c r="AF101"/>
      <c r="AG101" t="s">
        <v>3468</v>
      </c>
      <c r="AH101"/>
    </row>
    <row r="102" spans="1:34" x14ac:dyDescent="0.25">
      <c r="A102" t="s">
        <v>426</v>
      </c>
      <c r="B102" t="s">
        <v>427</v>
      </c>
      <c r="C102"/>
      <c r="D102" t="s">
        <v>383</v>
      </c>
      <c r="E102" t="s">
        <v>428</v>
      </c>
      <c r="F102" t="s">
        <v>471</v>
      </c>
      <c r="G102" t="s">
        <v>280</v>
      </c>
      <c r="H102" t="s">
        <v>472</v>
      </c>
      <c r="I102" t="s">
        <v>35</v>
      </c>
      <c r="J102"/>
      <c r="K102">
        <v>1</v>
      </c>
      <c r="L102">
        <v>1</v>
      </c>
      <c r="M102" t="s">
        <v>33</v>
      </c>
      <c r="N102">
        <v>1</v>
      </c>
      <c r="O102">
        <v>1</v>
      </c>
      <c r="P102">
        <v>1</v>
      </c>
      <c r="Q102" t="s">
        <v>38</v>
      </c>
      <c r="R102">
        <v>1</v>
      </c>
      <c r="S102">
        <v>1</v>
      </c>
      <c r="T102">
        <v>1</v>
      </c>
      <c r="U102"/>
      <c r="V102"/>
      <c r="W102"/>
      <c r="X102">
        <v>1</v>
      </c>
      <c r="Y102"/>
      <c r="Z102">
        <v>0</v>
      </c>
      <c r="AA102"/>
      <c r="AB102"/>
      <c r="AC102"/>
      <c r="AD102"/>
      <c r="AE102">
        <v>0</v>
      </c>
      <c r="AF102"/>
      <c r="AG102" t="s">
        <v>3468</v>
      </c>
      <c r="AH102"/>
    </row>
    <row r="103" spans="1:34" x14ac:dyDescent="0.25">
      <c r="A103" t="s">
        <v>426</v>
      </c>
      <c r="B103" t="s">
        <v>427</v>
      </c>
      <c r="C103"/>
      <c r="D103" t="s">
        <v>383</v>
      </c>
      <c r="E103" t="s">
        <v>428</v>
      </c>
      <c r="F103" t="s">
        <v>473</v>
      </c>
      <c r="G103" t="s">
        <v>280</v>
      </c>
      <c r="H103" t="s">
        <v>474</v>
      </c>
      <c r="I103" t="s">
        <v>35</v>
      </c>
      <c r="J103"/>
      <c r="K103">
        <v>1</v>
      </c>
      <c r="L103">
        <v>1</v>
      </c>
      <c r="M103" t="s">
        <v>33</v>
      </c>
      <c r="N103">
        <v>1</v>
      </c>
      <c r="O103">
        <v>1</v>
      </c>
      <c r="P103">
        <v>1</v>
      </c>
      <c r="Q103" t="s">
        <v>38</v>
      </c>
      <c r="R103">
        <v>1</v>
      </c>
      <c r="S103">
        <v>1</v>
      </c>
      <c r="T103">
        <v>1</v>
      </c>
      <c r="U103"/>
      <c r="V103"/>
      <c r="W103"/>
      <c r="X103">
        <v>1</v>
      </c>
      <c r="Y103"/>
      <c r="Z103">
        <v>0</v>
      </c>
      <c r="AA103"/>
      <c r="AB103"/>
      <c r="AC103"/>
      <c r="AD103"/>
      <c r="AE103">
        <v>0</v>
      </c>
      <c r="AF103"/>
      <c r="AG103" t="s">
        <v>3468</v>
      </c>
      <c r="AH103"/>
    </row>
    <row r="104" spans="1:34" x14ac:dyDescent="0.25">
      <c r="A104" t="s">
        <v>426</v>
      </c>
      <c r="B104" t="s">
        <v>427</v>
      </c>
      <c r="C104"/>
      <c r="D104" t="s">
        <v>383</v>
      </c>
      <c r="E104" t="s">
        <v>428</v>
      </c>
      <c r="F104" t="s">
        <v>475</v>
      </c>
      <c r="G104" t="s">
        <v>280</v>
      </c>
      <c r="H104" t="s">
        <v>476</v>
      </c>
      <c r="I104" t="s">
        <v>35</v>
      </c>
      <c r="J104"/>
      <c r="K104">
        <v>1</v>
      </c>
      <c r="L104">
        <v>1</v>
      </c>
      <c r="M104" t="s">
        <v>33</v>
      </c>
      <c r="N104">
        <v>1</v>
      </c>
      <c r="O104">
        <v>1</v>
      </c>
      <c r="P104">
        <v>1</v>
      </c>
      <c r="Q104" t="s">
        <v>38</v>
      </c>
      <c r="R104">
        <v>1</v>
      </c>
      <c r="S104">
        <v>1</v>
      </c>
      <c r="T104">
        <v>1</v>
      </c>
      <c r="U104"/>
      <c r="V104"/>
      <c r="W104"/>
      <c r="X104">
        <v>1</v>
      </c>
      <c r="Y104"/>
      <c r="Z104">
        <v>0</v>
      </c>
      <c r="AA104"/>
      <c r="AB104"/>
      <c r="AC104"/>
      <c r="AD104"/>
      <c r="AE104">
        <v>0</v>
      </c>
      <c r="AF104"/>
      <c r="AG104" t="s">
        <v>3468</v>
      </c>
      <c r="AH104"/>
    </row>
    <row r="105" spans="1:34" x14ac:dyDescent="0.25">
      <c r="A105" t="s">
        <v>426</v>
      </c>
      <c r="B105" t="s">
        <v>427</v>
      </c>
      <c r="C105"/>
      <c r="D105" t="s">
        <v>383</v>
      </c>
      <c r="E105" t="s">
        <v>428</v>
      </c>
      <c r="F105" t="s">
        <v>477</v>
      </c>
      <c r="G105" t="s">
        <v>280</v>
      </c>
      <c r="H105" t="s">
        <v>478</v>
      </c>
      <c r="I105" t="s">
        <v>35</v>
      </c>
      <c r="J105"/>
      <c r="K105">
        <v>1</v>
      </c>
      <c r="L105">
        <v>1</v>
      </c>
      <c r="M105" t="s">
        <v>33</v>
      </c>
      <c r="N105">
        <v>1</v>
      </c>
      <c r="O105">
        <v>1</v>
      </c>
      <c r="P105">
        <v>1</v>
      </c>
      <c r="Q105" t="s">
        <v>38</v>
      </c>
      <c r="R105">
        <v>1</v>
      </c>
      <c r="S105">
        <v>1</v>
      </c>
      <c r="T105">
        <v>1</v>
      </c>
      <c r="U105"/>
      <c r="V105"/>
      <c r="W105"/>
      <c r="X105">
        <v>1</v>
      </c>
      <c r="Y105"/>
      <c r="Z105">
        <v>0</v>
      </c>
      <c r="AA105"/>
      <c r="AB105"/>
      <c r="AC105"/>
      <c r="AD105"/>
      <c r="AE105">
        <v>0</v>
      </c>
      <c r="AF105"/>
      <c r="AG105" t="s">
        <v>3468</v>
      </c>
      <c r="AH105"/>
    </row>
    <row r="106" spans="1:34" x14ac:dyDescent="0.25">
      <c r="A106" t="s">
        <v>426</v>
      </c>
      <c r="B106" t="s">
        <v>427</v>
      </c>
      <c r="C106"/>
      <c r="D106" t="s">
        <v>383</v>
      </c>
      <c r="E106" t="s">
        <v>428</v>
      </c>
      <c r="F106" t="s">
        <v>479</v>
      </c>
      <c r="G106" t="s">
        <v>280</v>
      </c>
      <c r="H106" t="s">
        <v>480</v>
      </c>
      <c r="I106" t="s">
        <v>35</v>
      </c>
      <c r="J106"/>
      <c r="K106">
        <v>1</v>
      </c>
      <c r="L106">
        <v>1</v>
      </c>
      <c r="M106" t="s">
        <v>33</v>
      </c>
      <c r="N106">
        <v>1</v>
      </c>
      <c r="O106">
        <v>1</v>
      </c>
      <c r="P106">
        <v>1</v>
      </c>
      <c r="Q106" t="s">
        <v>38</v>
      </c>
      <c r="R106">
        <v>1</v>
      </c>
      <c r="S106">
        <v>1</v>
      </c>
      <c r="T106">
        <v>1</v>
      </c>
      <c r="U106"/>
      <c r="V106"/>
      <c r="W106"/>
      <c r="X106">
        <v>1</v>
      </c>
      <c r="Y106"/>
      <c r="Z106">
        <v>0</v>
      </c>
      <c r="AA106"/>
      <c r="AB106"/>
      <c r="AC106"/>
      <c r="AD106"/>
      <c r="AE106">
        <v>0</v>
      </c>
      <c r="AF106"/>
      <c r="AG106" t="s">
        <v>3468</v>
      </c>
      <c r="AH106"/>
    </row>
    <row r="107" spans="1:34" x14ac:dyDescent="0.25">
      <c r="A107" t="s">
        <v>426</v>
      </c>
      <c r="B107" t="s">
        <v>427</v>
      </c>
      <c r="C107"/>
      <c r="D107" t="s">
        <v>383</v>
      </c>
      <c r="E107" t="s">
        <v>428</v>
      </c>
      <c r="F107" t="s">
        <v>481</v>
      </c>
      <c r="G107" t="s">
        <v>280</v>
      </c>
      <c r="H107" t="s">
        <v>482</v>
      </c>
      <c r="I107" t="s">
        <v>35</v>
      </c>
      <c r="J107"/>
      <c r="K107">
        <v>1</v>
      </c>
      <c r="L107">
        <v>1</v>
      </c>
      <c r="M107" t="s">
        <v>33</v>
      </c>
      <c r="N107">
        <v>1</v>
      </c>
      <c r="O107">
        <v>1</v>
      </c>
      <c r="P107">
        <v>1</v>
      </c>
      <c r="Q107" t="s">
        <v>38</v>
      </c>
      <c r="R107">
        <v>1</v>
      </c>
      <c r="S107">
        <v>1</v>
      </c>
      <c r="T107">
        <v>1</v>
      </c>
      <c r="U107"/>
      <c r="V107"/>
      <c r="W107"/>
      <c r="X107">
        <v>1</v>
      </c>
      <c r="Y107"/>
      <c r="Z107">
        <v>0</v>
      </c>
      <c r="AA107"/>
      <c r="AB107"/>
      <c r="AC107"/>
      <c r="AD107"/>
      <c r="AE107">
        <v>0</v>
      </c>
      <c r="AF107"/>
      <c r="AG107" t="s">
        <v>3468</v>
      </c>
      <c r="AH107"/>
    </row>
    <row r="108" spans="1:34" x14ac:dyDescent="0.25">
      <c r="A108" t="s">
        <v>426</v>
      </c>
      <c r="B108" t="s">
        <v>427</v>
      </c>
      <c r="C108"/>
      <c r="D108" t="s">
        <v>383</v>
      </c>
      <c r="E108" t="s">
        <v>428</v>
      </c>
      <c r="F108" t="s">
        <v>483</v>
      </c>
      <c r="G108" t="s">
        <v>280</v>
      </c>
      <c r="H108" t="s">
        <v>484</v>
      </c>
      <c r="I108" t="s">
        <v>35</v>
      </c>
      <c r="J108"/>
      <c r="K108">
        <v>1</v>
      </c>
      <c r="L108">
        <v>1</v>
      </c>
      <c r="M108" t="s">
        <v>33</v>
      </c>
      <c r="N108">
        <v>1</v>
      </c>
      <c r="O108">
        <v>1</v>
      </c>
      <c r="P108">
        <v>1</v>
      </c>
      <c r="Q108" t="s">
        <v>38</v>
      </c>
      <c r="R108">
        <v>1</v>
      </c>
      <c r="S108">
        <v>1</v>
      </c>
      <c r="T108">
        <v>1</v>
      </c>
      <c r="U108"/>
      <c r="V108"/>
      <c r="W108"/>
      <c r="X108">
        <v>1</v>
      </c>
      <c r="Y108"/>
      <c r="Z108">
        <v>0</v>
      </c>
      <c r="AA108"/>
      <c r="AB108"/>
      <c r="AC108"/>
      <c r="AD108"/>
      <c r="AE108">
        <v>0</v>
      </c>
      <c r="AF108"/>
      <c r="AG108" t="s">
        <v>3468</v>
      </c>
      <c r="AH108"/>
    </row>
    <row r="109" spans="1:34" x14ac:dyDescent="0.25">
      <c r="A109" t="s">
        <v>426</v>
      </c>
      <c r="B109" t="s">
        <v>427</v>
      </c>
      <c r="C109"/>
      <c r="D109" t="s">
        <v>383</v>
      </c>
      <c r="E109" t="s">
        <v>428</v>
      </c>
      <c r="F109" t="s">
        <v>485</v>
      </c>
      <c r="G109" t="s">
        <v>280</v>
      </c>
      <c r="H109" t="s">
        <v>486</v>
      </c>
      <c r="I109" t="s">
        <v>35</v>
      </c>
      <c r="J109"/>
      <c r="K109">
        <v>1</v>
      </c>
      <c r="L109">
        <v>1</v>
      </c>
      <c r="M109" t="s">
        <v>33</v>
      </c>
      <c r="N109">
        <v>1</v>
      </c>
      <c r="O109">
        <v>1</v>
      </c>
      <c r="P109">
        <v>1</v>
      </c>
      <c r="Q109" t="s">
        <v>38</v>
      </c>
      <c r="R109">
        <v>1</v>
      </c>
      <c r="S109">
        <v>1</v>
      </c>
      <c r="T109">
        <v>1</v>
      </c>
      <c r="U109"/>
      <c r="V109"/>
      <c r="W109"/>
      <c r="X109">
        <v>1</v>
      </c>
      <c r="Y109"/>
      <c r="Z109">
        <v>0</v>
      </c>
      <c r="AA109"/>
      <c r="AB109"/>
      <c r="AC109"/>
      <c r="AD109"/>
      <c r="AE109">
        <v>0</v>
      </c>
      <c r="AF109"/>
      <c r="AG109" t="s">
        <v>3468</v>
      </c>
      <c r="AH109"/>
    </row>
    <row r="110" spans="1:34" x14ac:dyDescent="0.25">
      <c r="A110" t="s">
        <v>426</v>
      </c>
      <c r="B110" t="s">
        <v>427</v>
      </c>
      <c r="C110"/>
      <c r="D110" t="s">
        <v>383</v>
      </c>
      <c r="E110" t="s">
        <v>428</v>
      </c>
      <c r="F110" t="s">
        <v>487</v>
      </c>
      <c r="G110" t="s">
        <v>280</v>
      </c>
      <c r="H110" t="s">
        <v>488</v>
      </c>
      <c r="I110" t="s">
        <v>35</v>
      </c>
      <c r="J110"/>
      <c r="K110">
        <v>1</v>
      </c>
      <c r="L110">
        <v>1</v>
      </c>
      <c r="M110" t="s">
        <v>33</v>
      </c>
      <c r="N110">
        <v>1</v>
      </c>
      <c r="O110">
        <v>1</v>
      </c>
      <c r="P110">
        <v>1</v>
      </c>
      <c r="Q110" t="s">
        <v>38</v>
      </c>
      <c r="R110">
        <v>1</v>
      </c>
      <c r="S110">
        <v>1</v>
      </c>
      <c r="T110">
        <v>1</v>
      </c>
      <c r="U110"/>
      <c r="V110"/>
      <c r="W110"/>
      <c r="X110">
        <v>1</v>
      </c>
      <c r="Y110"/>
      <c r="Z110">
        <v>0</v>
      </c>
      <c r="AA110"/>
      <c r="AB110"/>
      <c r="AC110"/>
      <c r="AD110"/>
      <c r="AE110">
        <v>0</v>
      </c>
      <c r="AF110"/>
      <c r="AG110" t="s">
        <v>3468</v>
      </c>
      <c r="AH110"/>
    </row>
    <row r="111" spans="1:34" x14ac:dyDescent="0.25">
      <c r="A111" t="s">
        <v>426</v>
      </c>
      <c r="B111" t="s">
        <v>427</v>
      </c>
      <c r="C111"/>
      <c r="D111" t="s">
        <v>383</v>
      </c>
      <c r="E111" t="s">
        <v>428</v>
      </c>
      <c r="F111" t="s">
        <v>489</v>
      </c>
      <c r="G111" t="s">
        <v>280</v>
      </c>
      <c r="H111" t="s">
        <v>490</v>
      </c>
      <c r="I111" t="s">
        <v>35</v>
      </c>
      <c r="J111"/>
      <c r="K111">
        <v>1</v>
      </c>
      <c r="L111">
        <v>1</v>
      </c>
      <c r="M111" t="s">
        <v>33</v>
      </c>
      <c r="N111">
        <v>1</v>
      </c>
      <c r="O111">
        <v>1</v>
      </c>
      <c r="P111">
        <v>1</v>
      </c>
      <c r="Q111" t="s">
        <v>38</v>
      </c>
      <c r="R111">
        <v>1</v>
      </c>
      <c r="S111">
        <v>1</v>
      </c>
      <c r="T111">
        <v>1</v>
      </c>
      <c r="U111"/>
      <c r="V111"/>
      <c r="W111"/>
      <c r="X111">
        <v>1</v>
      </c>
      <c r="Y111"/>
      <c r="Z111">
        <v>0</v>
      </c>
      <c r="AA111"/>
      <c r="AB111"/>
      <c r="AC111"/>
      <c r="AD111"/>
      <c r="AE111">
        <v>0</v>
      </c>
      <c r="AF111"/>
      <c r="AG111" t="s">
        <v>3468</v>
      </c>
      <c r="AH111"/>
    </row>
    <row r="112" spans="1:34" x14ac:dyDescent="0.25">
      <c r="A112" t="s">
        <v>426</v>
      </c>
      <c r="B112" t="s">
        <v>427</v>
      </c>
      <c r="C112"/>
      <c r="D112" t="s">
        <v>383</v>
      </c>
      <c r="E112" t="s">
        <v>428</v>
      </c>
      <c r="F112" t="s">
        <v>491</v>
      </c>
      <c r="G112" t="s">
        <v>280</v>
      </c>
      <c r="H112" t="s">
        <v>492</v>
      </c>
      <c r="I112" t="s">
        <v>35</v>
      </c>
      <c r="J112"/>
      <c r="K112">
        <v>1</v>
      </c>
      <c r="L112">
        <v>1</v>
      </c>
      <c r="M112" t="s">
        <v>33</v>
      </c>
      <c r="N112">
        <v>1</v>
      </c>
      <c r="O112">
        <v>1</v>
      </c>
      <c r="P112">
        <v>1</v>
      </c>
      <c r="Q112" t="s">
        <v>38</v>
      </c>
      <c r="R112">
        <v>1</v>
      </c>
      <c r="S112">
        <v>1</v>
      </c>
      <c r="T112">
        <v>1</v>
      </c>
      <c r="U112"/>
      <c r="V112"/>
      <c r="W112"/>
      <c r="X112">
        <v>1</v>
      </c>
      <c r="Y112"/>
      <c r="Z112">
        <v>0</v>
      </c>
      <c r="AA112"/>
      <c r="AB112"/>
      <c r="AC112"/>
      <c r="AD112"/>
      <c r="AE112">
        <v>0</v>
      </c>
      <c r="AF112"/>
      <c r="AG112" t="s">
        <v>3468</v>
      </c>
      <c r="AH112"/>
    </row>
    <row r="113" spans="1:34" x14ac:dyDescent="0.25">
      <c r="A113" t="s">
        <v>426</v>
      </c>
      <c r="B113" t="s">
        <v>427</v>
      </c>
      <c r="C113"/>
      <c r="D113" t="s">
        <v>383</v>
      </c>
      <c r="E113" t="s">
        <v>428</v>
      </c>
      <c r="F113" t="s">
        <v>493</v>
      </c>
      <c r="G113" t="s">
        <v>280</v>
      </c>
      <c r="H113" t="s">
        <v>494</v>
      </c>
      <c r="I113" t="s">
        <v>35</v>
      </c>
      <c r="J113"/>
      <c r="K113">
        <v>1</v>
      </c>
      <c r="L113">
        <v>1</v>
      </c>
      <c r="M113" t="s">
        <v>33</v>
      </c>
      <c r="N113">
        <v>1</v>
      </c>
      <c r="O113">
        <v>1</v>
      </c>
      <c r="P113">
        <v>1</v>
      </c>
      <c r="Q113" t="s">
        <v>38</v>
      </c>
      <c r="R113">
        <v>1</v>
      </c>
      <c r="S113">
        <v>1</v>
      </c>
      <c r="T113">
        <v>1</v>
      </c>
      <c r="U113"/>
      <c r="V113"/>
      <c r="W113"/>
      <c r="X113">
        <v>1</v>
      </c>
      <c r="Y113"/>
      <c r="Z113">
        <v>0</v>
      </c>
      <c r="AA113"/>
      <c r="AB113"/>
      <c r="AC113"/>
      <c r="AD113"/>
      <c r="AE113">
        <v>0</v>
      </c>
      <c r="AF113"/>
      <c r="AG113" t="s">
        <v>3468</v>
      </c>
      <c r="AH113"/>
    </row>
    <row r="114" spans="1:34" x14ac:dyDescent="0.25">
      <c r="A114" t="s">
        <v>426</v>
      </c>
      <c r="B114" t="s">
        <v>427</v>
      </c>
      <c r="C114"/>
      <c r="D114" t="s">
        <v>383</v>
      </c>
      <c r="E114" t="s">
        <v>428</v>
      </c>
      <c r="F114" t="s">
        <v>495</v>
      </c>
      <c r="G114" t="s">
        <v>280</v>
      </c>
      <c r="H114" t="s">
        <v>496</v>
      </c>
      <c r="I114" t="s">
        <v>35</v>
      </c>
      <c r="J114"/>
      <c r="K114">
        <v>1</v>
      </c>
      <c r="L114">
        <v>1</v>
      </c>
      <c r="M114" t="s">
        <v>33</v>
      </c>
      <c r="N114">
        <v>1</v>
      </c>
      <c r="O114">
        <v>1</v>
      </c>
      <c r="P114">
        <v>1</v>
      </c>
      <c r="Q114" t="s">
        <v>38</v>
      </c>
      <c r="R114">
        <v>1</v>
      </c>
      <c r="S114">
        <v>1</v>
      </c>
      <c r="T114">
        <v>1</v>
      </c>
      <c r="U114"/>
      <c r="V114"/>
      <c r="W114"/>
      <c r="X114">
        <v>1</v>
      </c>
      <c r="Y114"/>
      <c r="Z114">
        <v>0</v>
      </c>
      <c r="AA114"/>
      <c r="AB114"/>
      <c r="AC114"/>
      <c r="AD114"/>
      <c r="AE114">
        <v>0</v>
      </c>
      <c r="AF114"/>
      <c r="AG114" t="s">
        <v>3468</v>
      </c>
      <c r="AH114"/>
    </row>
    <row r="115" spans="1:34" x14ac:dyDescent="0.25">
      <c r="A115" t="s">
        <v>426</v>
      </c>
      <c r="B115" t="s">
        <v>427</v>
      </c>
      <c r="C115"/>
      <c r="D115" t="s">
        <v>383</v>
      </c>
      <c r="E115" t="s">
        <v>428</v>
      </c>
      <c r="F115" t="s">
        <v>497</v>
      </c>
      <c r="G115" t="s">
        <v>280</v>
      </c>
      <c r="H115" t="s">
        <v>498</v>
      </c>
      <c r="I115" t="s">
        <v>35</v>
      </c>
      <c r="J115"/>
      <c r="K115">
        <v>1</v>
      </c>
      <c r="L115">
        <v>1</v>
      </c>
      <c r="M115" t="s">
        <v>33</v>
      </c>
      <c r="N115">
        <v>1</v>
      </c>
      <c r="O115">
        <v>1</v>
      </c>
      <c r="P115">
        <v>1</v>
      </c>
      <c r="Q115" t="s">
        <v>38</v>
      </c>
      <c r="R115">
        <v>1</v>
      </c>
      <c r="S115">
        <v>1</v>
      </c>
      <c r="T115">
        <v>1</v>
      </c>
      <c r="U115"/>
      <c r="V115"/>
      <c r="W115"/>
      <c r="X115">
        <v>1</v>
      </c>
      <c r="Y115"/>
      <c r="Z115">
        <v>0</v>
      </c>
      <c r="AA115"/>
      <c r="AB115"/>
      <c r="AC115"/>
      <c r="AD115"/>
      <c r="AE115">
        <v>0</v>
      </c>
      <c r="AF115"/>
      <c r="AG115" t="s">
        <v>3468</v>
      </c>
      <c r="AH115"/>
    </row>
    <row r="116" spans="1:34" x14ac:dyDescent="0.25">
      <c r="A116" t="s">
        <v>426</v>
      </c>
      <c r="B116" t="s">
        <v>427</v>
      </c>
      <c r="C116"/>
      <c r="D116" t="s">
        <v>383</v>
      </c>
      <c r="E116" t="s">
        <v>428</v>
      </c>
      <c r="F116" t="s">
        <v>499</v>
      </c>
      <c r="G116" t="s">
        <v>280</v>
      </c>
      <c r="H116" t="s">
        <v>500</v>
      </c>
      <c r="I116" t="s">
        <v>35</v>
      </c>
      <c r="J116"/>
      <c r="K116">
        <v>1</v>
      </c>
      <c r="L116">
        <v>1</v>
      </c>
      <c r="M116" t="s">
        <v>33</v>
      </c>
      <c r="N116">
        <v>1</v>
      </c>
      <c r="O116">
        <v>1</v>
      </c>
      <c r="P116">
        <v>1</v>
      </c>
      <c r="Q116" t="s">
        <v>38</v>
      </c>
      <c r="R116">
        <v>1</v>
      </c>
      <c r="S116">
        <v>1</v>
      </c>
      <c r="T116">
        <v>1</v>
      </c>
      <c r="U116"/>
      <c r="V116"/>
      <c r="W116"/>
      <c r="X116">
        <v>1</v>
      </c>
      <c r="Y116"/>
      <c r="Z116">
        <v>0</v>
      </c>
      <c r="AA116"/>
      <c r="AB116"/>
      <c r="AC116"/>
      <c r="AD116"/>
      <c r="AE116">
        <v>0</v>
      </c>
      <c r="AF116"/>
      <c r="AG116" t="s">
        <v>3468</v>
      </c>
      <c r="AH116"/>
    </row>
    <row r="117" spans="1:34" x14ac:dyDescent="0.25">
      <c r="A117" t="s">
        <v>426</v>
      </c>
      <c r="B117" t="s">
        <v>427</v>
      </c>
      <c r="C117"/>
      <c r="D117" t="s">
        <v>383</v>
      </c>
      <c r="E117" t="s">
        <v>428</v>
      </c>
      <c r="F117" t="s">
        <v>501</v>
      </c>
      <c r="G117" t="s">
        <v>280</v>
      </c>
      <c r="H117" t="s">
        <v>502</v>
      </c>
      <c r="I117" t="s">
        <v>35</v>
      </c>
      <c r="J117"/>
      <c r="K117">
        <v>1</v>
      </c>
      <c r="L117">
        <v>1</v>
      </c>
      <c r="M117" t="s">
        <v>33</v>
      </c>
      <c r="N117">
        <v>1</v>
      </c>
      <c r="O117">
        <v>1</v>
      </c>
      <c r="P117">
        <v>1</v>
      </c>
      <c r="Q117" t="s">
        <v>38</v>
      </c>
      <c r="R117">
        <v>1</v>
      </c>
      <c r="S117">
        <v>1</v>
      </c>
      <c r="T117">
        <v>1</v>
      </c>
      <c r="U117"/>
      <c r="V117"/>
      <c r="W117"/>
      <c r="X117">
        <v>1</v>
      </c>
      <c r="Y117"/>
      <c r="Z117">
        <v>0</v>
      </c>
      <c r="AA117"/>
      <c r="AB117"/>
      <c r="AC117"/>
      <c r="AD117"/>
      <c r="AE117">
        <v>0</v>
      </c>
      <c r="AF117"/>
      <c r="AG117" t="s">
        <v>3468</v>
      </c>
      <c r="AH117"/>
    </row>
    <row r="118" spans="1:34" x14ac:dyDescent="0.25">
      <c r="A118" t="s">
        <v>426</v>
      </c>
      <c r="B118" t="s">
        <v>427</v>
      </c>
      <c r="C118"/>
      <c r="D118" t="s">
        <v>383</v>
      </c>
      <c r="E118" t="s">
        <v>428</v>
      </c>
      <c r="F118" t="s">
        <v>503</v>
      </c>
      <c r="G118" t="s">
        <v>280</v>
      </c>
      <c r="H118" t="s">
        <v>504</v>
      </c>
      <c r="I118" t="s">
        <v>35</v>
      </c>
      <c r="J118"/>
      <c r="K118">
        <v>1</v>
      </c>
      <c r="L118">
        <v>1</v>
      </c>
      <c r="M118" t="s">
        <v>33</v>
      </c>
      <c r="N118">
        <v>1</v>
      </c>
      <c r="O118">
        <v>1</v>
      </c>
      <c r="P118">
        <v>1</v>
      </c>
      <c r="Q118" t="s">
        <v>38</v>
      </c>
      <c r="R118">
        <v>1</v>
      </c>
      <c r="S118">
        <v>1</v>
      </c>
      <c r="T118">
        <v>1</v>
      </c>
      <c r="U118"/>
      <c r="V118"/>
      <c r="W118"/>
      <c r="X118">
        <v>1</v>
      </c>
      <c r="Y118"/>
      <c r="Z118">
        <v>0</v>
      </c>
      <c r="AA118"/>
      <c r="AB118"/>
      <c r="AC118"/>
      <c r="AD118"/>
      <c r="AE118">
        <v>0</v>
      </c>
      <c r="AF118"/>
      <c r="AG118" t="s">
        <v>3468</v>
      </c>
      <c r="AH118"/>
    </row>
    <row r="119" spans="1:34" x14ac:dyDescent="0.25">
      <c r="A119" t="s">
        <v>426</v>
      </c>
      <c r="B119" t="s">
        <v>427</v>
      </c>
      <c r="C119"/>
      <c r="D119" t="s">
        <v>383</v>
      </c>
      <c r="E119" t="s">
        <v>428</v>
      </c>
      <c r="F119" t="s">
        <v>505</v>
      </c>
      <c r="G119" t="s">
        <v>280</v>
      </c>
      <c r="H119" t="s">
        <v>506</v>
      </c>
      <c r="I119" t="s">
        <v>35</v>
      </c>
      <c r="J119"/>
      <c r="K119">
        <v>1</v>
      </c>
      <c r="L119">
        <v>1</v>
      </c>
      <c r="M119" t="s">
        <v>33</v>
      </c>
      <c r="N119">
        <v>1</v>
      </c>
      <c r="O119">
        <v>1</v>
      </c>
      <c r="P119">
        <v>1</v>
      </c>
      <c r="Q119" t="s">
        <v>38</v>
      </c>
      <c r="R119">
        <v>1</v>
      </c>
      <c r="S119">
        <v>1</v>
      </c>
      <c r="T119">
        <v>1</v>
      </c>
      <c r="U119"/>
      <c r="V119"/>
      <c r="W119"/>
      <c r="X119">
        <v>1</v>
      </c>
      <c r="Y119"/>
      <c r="Z119">
        <v>0</v>
      </c>
      <c r="AA119"/>
      <c r="AB119"/>
      <c r="AC119"/>
      <c r="AD119"/>
      <c r="AE119">
        <v>0</v>
      </c>
      <c r="AF119"/>
      <c r="AG119" t="s">
        <v>3468</v>
      </c>
      <c r="AH119"/>
    </row>
    <row r="120" spans="1:34" x14ac:dyDescent="0.25">
      <c r="A120" t="s">
        <v>426</v>
      </c>
      <c r="B120" t="s">
        <v>427</v>
      </c>
      <c r="C120"/>
      <c r="D120" t="s">
        <v>383</v>
      </c>
      <c r="E120" t="s">
        <v>428</v>
      </c>
      <c r="F120" t="s">
        <v>507</v>
      </c>
      <c r="G120" t="s">
        <v>280</v>
      </c>
      <c r="H120" t="s">
        <v>508</v>
      </c>
      <c r="I120" t="s">
        <v>35</v>
      </c>
      <c r="J120"/>
      <c r="K120">
        <v>1</v>
      </c>
      <c r="L120">
        <v>1</v>
      </c>
      <c r="M120" t="s">
        <v>33</v>
      </c>
      <c r="N120">
        <v>1</v>
      </c>
      <c r="O120">
        <v>1</v>
      </c>
      <c r="P120">
        <v>1</v>
      </c>
      <c r="Q120" t="s">
        <v>38</v>
      </c>
      <c r="R120">
        <v>1</v>
      </c>
      <c r="S120">
        <v>1</v>
      </c>
      <c r="T120">
        <v>1</v>
      </c>
      <c r="U120"/>
      <c r="V120"/>
      <c r="W120"/>
      <c r="X120">
        <v>1</v>
      </c>
      <c r="Y120"/>
      <c r="Z120">
        <v>0</v>
      </c>
      <c r="AA120"/>
      <c r="AB120"/>
      <c r="AC120"/>
      <c r="AD120"/>
      <c r="AE120">
        <v>0</v>
      </c>
      <c r="AF120"/>
      <c r="AG120" t="s">
        <v>3468</v>
      </c>
      <c r="AH120"/>
    </row>
    <row r="121" spans="1:34" x14ac:dyDescent="0.25">
      <c r="A121" t="s">
        <v>426</v>
      </c>
      <c r="B121" t="s">
        <v>427</v>
      </c>
      <c r="C121"/>
      <c r="D121" t="s">
        <v>383</v>
      </c>
      <c r="E121" t="s">
        <v>428</v>
      </c>
      <c r="F121" t="s">
        <v>509</v>
      </c>
      <c r="G121" t="s">
        <v>280</v>
      </c>
      <c r="H121" t="s">
        <v>510</v>
      </c>
      <c r="I121" t="s">
        <v>35</v>
      </c>
      <c r="J121"/>
      <c r="K121">
        <v>1</v>
      </c>
      <c r="L121">
        <v>1</v>
      </c>
      <c r="M121" t="s">
        <v>33</v>
      </c>
      <c r="N121">
        <v>1</v>
      </c>
      <c r="O121">
        <v>1</v>
      </c>
      <c r="P121">
        <v>1</v>
      </c>
      <c r="Q121" t="s">
        <v>38</v>
      </c>
      <c r="R121">
        <v>1</v>
      </c>
      <c r="S121">
        <v>1</v>
      </c>
      <c r="T121">
        <v>1</v>
      </c>
      <c r="U121"/>
      <c r="V121"/>
      <c r="W121"/>
      <c r="X121">
        <v>1</v>
      </c>
      <c r="Y121"/>
      <c r="Z121">
        <v>0</v>
      </c>
      <c r="AA121"/>
      <c r="AB121"/>
      <c r="AC121"/>
      <c r="AD121"/>
      <c r="AE121">
        <v>0</v>
      </c>
      <c r="AF121"/>
      <c r="AG121" t="s">
        <v>3468</v>
      </c>
      <c r="AH121"/>
    </row>
    <row r="122" spans="1:34" x14ac:dyDescent="0.25">
      <c r="A122" t="s">
        <v>426</v>
      </c>
      <c r="B122" t="s">
        <v>427</v>
      </c>
      <c r="C122"/>
      <c r="D122" t="s">
        <v>383</v>
      </c>
      <c r="E122" t="s">
        <v>428</v>
      </c>
      <c r="F122" t="s">
        <v>511</v>
      </c>
      <c r="G122" t="s">
        <v>280</v>
      </c>
      <c r="H122" t="s">
        <v>512</v>
      </c>
      <c r="I122" t="s">
        <v>35</v>
      </c>
      <c r="J122"/>
      <c r="K122">
        <v>1</v>
      </c>
      <c r="L122">
        <v>1</v>
      </c>
      <c r="M122" t="s">
        <v>33</v>
      </c>
      <c r="N122">
        <v>1</v>
      </c>
      <c r="O122">
        <v>1</v>
      </c>
      <c r="P122">
        <v>1</v>
      </c>
      <c r="Q122" t="s">
        <v>38</v>
      </c>
      <c r="R122">
        <v>1</v>
      </c>
      <c r="S122">
        <v>1</v>
      </c>
      <c r="T122">
        <v>1</v>
      </c>
      <c r="U122"/>
      <c r="V122"/>
      <c r="W122"/>
      <c r="X122">
        <v>1</v>
      </c>
      <c r="Y122"/>
      <c r="Z122">
        <v>0</v>
      </c>
      <c r="AA122"/>
      <c r="AB122"/>
      <c r="AC122"/>
      <c r="AD122"/>
      <c r="AE122">
        <v>0</v>
      </c>
      <c r="AF122"/>
      <c r="AG122" t="s">
        <v>3468</v>
      </c>
      <c r="AH122"/>
    </row>
    <row r="123" spans="1:34" x14ac:dyDescent="0.25">
      <c r="A123" t="s">
        <v>426</v>
      </c>
      <c r="B123" t="s">
        <v>427</v>
      </c>
      <c r="C123"/>
      <c r="D123" t="s">
        <v>383</v>
      </c>
      <c r="E123" t="s">
        <v>428</v>
      </c>
      <c r="F123" t="s">
        <v>513</v>
      </c>
      <c r="G123" t="s">
        <v>280</v>
      </c>
      <c r="H123" t="s">
        <v>514</v>
      </c>
      <c r="I123" t="s">
        <v>35</v>
      </c>
      <c r="J123"/>
      <c r="K123">
        <v>1</v>
      </c>
      <c r="L123">
        <v>1</v>
      </c>
      <c r="M123" t="s">
        <v>33</v>
      </c>
      <c r="N123">
        <v>1</v>
      </c>
      <c r="O123">
        <v>1</v>
      </c>
      <c r="P123">
        <v>1</v>
      </c>
      <c r="Q123" t="s">
        <v>38</v>
      </c>
      <c r="R123">
        <v>1</v>
      </c>
      <c r="S123">
        <v>1</v>
      </c>
      <c r="T123">
        <v>1</v>
      </c>
      <c r="U123"/>
      <c r="V123"/>
      <c r="W123"/>
      <c r="X123">
        <v>1</v>
      </c>
      <c r="Y123"/>
      <c r="Z123">
        <v>0</v>
      </c>
      <c r="AA123"/>
      <c r="AB123"/>
      <c r="AC123"/>
      <c r="AD123"/>
      <c r="AE123">
        <v>0</v>
      </c>
      <c r="AF123"/>
      <c r="AG123" t="s">
        <v>3468</v>
      </c>
      <c r="AH123"/>
    </row>
    <row r="124" spans="1:34" x14ac:dyDescent="0.25">
      <c r="A124" t="s">
        <v>426</v>
      </c>
      <c r="B124" t="s">
        <v>427</v>
      </c>
      <c r="C124"/>
      <c r="D124" t="s">
        <v>383</v>
      </c>
      <c r="E124" t="s">
        <v>428</v>
      </c>
      <c r="F124" t="s">
        <v>515</v>
      </c>
      <c r="G124" t="s">
        <v>280</v>
      </c>
      <c r="H124" t="s">
        <v>516</v>
      </c>
      <c r="I124" t="s">
        <v>35</v>
      </c>
      <c r="J124"/>
      <c r="K124">
        <v>1</v>
      </c>
      <c r="L124">
        <v>1</v>
      </c>
      <c r="M124" t="s">
        <v>33</v>
      </c>
      <c r="N124">
        <v>1</v>
      </c>
      <c r="O124">
        <v>1</v>
      </c>
      <c r="P124">
        <v>1</v>
      </c>
      <c r="Q124" t="s">
        <v>38</v>
      </c>
      <c r="R124">
        <v>1</v>
      </c>
      <c r="S124">
        <v>1</v>
      </c>
      <c r="T124">
        <v>1</v>
      </c>
      <c r="U124"/>
      <c r="V124"/>
      <c r="W124"/>
      <c r="X124">
        <v>1</v>
      </c>
      <c r="Y124"/>
      <c r="Z124">
        <v>0</v>
      </c>
      <c r="AA124"/>
      <c r="AB124"/>
      <c r="AC124"/>
      <c r="AD124"/>
      <c r="AE124">
        <v>0</v>
      </c>
      <c r="AF124"/>
      <c r="AG124" t="s">
        <v>3468</v>
      </c>
      <c r="AH124"/>
    </row>
    <row r="125" spans="1:34" x14ac:dyDescent="0.25">
      <c r="A125" t="s">
        <v>426</v>
      </c>
      <c r="B125" t="s">
        <v>427</v>
      </c>
      <c r="C125"/>
      <c r="D125" t="s">
        <v>383</v>
      </c>
      <c r="E125" t="s">
        <v>428</v>
      </c>
      <c r="F125" t="s">
        <v>517</v>
      </c>
      <c r="G125" t="s">
        <v>280</v>
      </c>
      <c r="H125" t="s">
        <v>518</v>
      </c>
      <c r="I125" t="s">
        <v>35</v>
      </c>
      <c r="J125"/>
      <c r="K125">
        <v>1</v>
      </c>
      <c r="L125">
        <v>1</v>
      </c>
      <c r="M125" t="s">
        <v>33</v>
      </c>
      <c r="N125">
        <v>1</v>
      </c>
      <c r="O125">
        <v>1</v>
      </c>
      <c r="P125">
        <v>1</v>
      </c>
      <c r="Q125" t="s">
        <v>38</v>
      </c>
      <c r="R125">
        <v>1</v>
      </c>
      <c r="S125">
        <v>1</v>
      </c>
      <c r="T125">
        <v>1</v>
      </c>
      <c r="U125"/>
      <c r="V125"/>
      <c r="W125"/>
      <c r="X125">
        <v>1</v>
      </c>
      <c r="Y125"/>
      <c r="Z125">
        <v>0</v>
      </c>
      <c r="AA125"/>
      <c r="AB125"/>
      <c r="AC125"/>
      <c r="AD125"/>
      <c r="AE125">
        <v>0</v>
      </c>
      <c r="AF125"/>
      <c r="AG125" t="s">
        <v>3468</v>
      </c>
      <c r="AH125"/>
    </row>
    <row r="126" spans="1:34" x14ac:dyDescent="0.25">
      <c r="A126" t="s">
        <v>426</v>
      </c>
      <c r="B126" t="s">
        <v>427</v>
      </c>
      <c r="C126"/>
      <c r="D126" t="s">
        <v>383</v>
      </c>
      <c r="E126" t="s">
        <v>428</v>
      </c>
      <c r="F126" t="s">
        <v>519</v>
      </c>
      <c r="G126" t="s">
        <v>280</v>
      </c>
      <c r="H126" t="s">
        <v>520</v>
      </c>
      <c r="I126" t="s">
        <v>35</v>
      </c>
      <c r="J126"/>
      <c r="K126">
        <v>1</v>
      </c>
      <c r="L126">
        <v>1</v>
      </c>
      <c r="M126" t="s">
        <v>33</v>
      </c>
      <c r="N126">
        <v>1</v>
      </c>
      <c r="O126">
        <v>1</v>
      </c>
      <c r="P126">
        <v>1</v>
      </c>
      <c r="Q126" t="s">
        <v>38</v>
      </c>
      <c r="R126">
        <v>1</v>
      </c>
      <c r="S126">
        <v>1</v>
      </c>
      <c r="T126">
        <v>1</v>
      </c>
      <c r="U126"/>
      <c r="V126"/>
      <c r="W126"/>
      <c r="X126">
        <v>1</v>
      </c>
      <c r="Y126"/>
      <c r="Z126">
        <v>0</v>
      </c>
      <c r="AA126"/>
      <c r="AB126"/>
      <c r="AC126"/>
      <c r="AD126"/>
      <c r="AE126">
        <v>0</v>
      </c>
      <c r="AF126"/>
      <c r="AG126" t="s">
        <v>3468</v>
      </c>
      <c r="AH126"/>
    </row>
    <row r="127" spans="1:34" x14ac:dyDescent="0.25">
      <c r="A127" t="s">
        <v>426</v>
      </c>
      <c r="B127" t="s">
        <v>427</v>
      </c>
      <c r="C127"/>
      <c r="D127" t="s">
        <v>383</v>
      </c>
      <c r="E127" t="s">
        <v>428</v>
      </c>
      <c r="F127" t="s">
        <v>521</v>
      </c>
      <c r="G127" t="s">
        <v>280</v>
      </c>
      <c r="H127" t="s">
        <v>522</v>
      </c>
      <c r="I127" t="s">
        <v>35</v>
      </c>
      <c r="J127"/>
      <c r="K127">
        <v>1</v>
      </c>
      <c r="L127">
        <v>1</v>
      </c>
      <c r="M127" t="s">
        <v>33</v>
      </c>
      <c r="N127">
        <v>1</v>
      </c>
      <c r="O127">
        <v>1</v>
      </c>
      <c r="P127">
        <v>1</v>
      </c>
      <c r="Q127" t="s">
        <v>38</v>
      </c>
      <c r="R127">
        <v>1</v>
      </c>
      <c r="S127">
        <v>1</v>
      </c>
      <c r="T127">
        <v>1</v>
      </c>
      <c r="U127"/>
      <c r="V127"/>
      <c r="W127"/>
      <c r="X127">
        <v>1</v>
      </c>
      <c r="Y127"/>
      <c r="Z127">
        <v>0</v>
      </c>
      <c r="AA127"/>
      <c r="AB127"/>
      <c r="AC127"/>
      <c r="AD127"/>
      <c r="AE127">
        <v>0</v>
      </c>
      <c r="AF127"/>
      <c r="AG127" t="s">
        <v>3468</v>
      </c>
      <c r="AH127"/>
    </row>
    <row r="128" spans="1:34" x14ac:dyDescent="0.25">
      <c r="A128" t="s">
        <v>426</v>
      </c>
      <c r="B128" t="s">
        <v>427</v>
      </c>
      <c r="C128"/>
      <c r="D128" t="s">
        <v>383</v>
      </c>
      <c r="E128" t="s">
        <v>428</v>
      </c>
      <c r="F128" t="s">
        <v>523</v>
      </c>
      <c r="G128" t="s">
        <v>280</v>
      </c>
      <c r="H128" t="s">
        <v>524</v>
      </c>
      <c r="I128" t="s">
        <v>35</v>
      </c>
      <c r="J128"/>
      <c r="K128">
        <v>1</v>
      </c>
      <c r="L128">
        <v>1</v>
      </c>
      <c r="M128" t="s">
        <v>33</v>
      </c>
      <c r="N128">
        <v>1</v>
      </c>
      <c r="O128">
        <v>1</v>
      </c>
      <c r="P128">
        <v>1</v>
      </c>
      <c r="Q128" t="s">
        <v>38</v>
      </c>
      <c r="R128">
        <v>1</v>
      </c>
      <c r="S128">
        <v>1</v>
      </c>
      <c r="T128">
        <v>1</v>
      </c>
      <c r="U128"/>
      <c r="V128"/>
      <c r="W128"/>
      <c r="X128">
        <v>1</v>
      </c>
      <c r="Y128"/>
      <c r="Z128">
        <v>0</v>
      </c>
      <c r="AA128"/>
      <c r="AB128"/>
      <c r="AC128"/>
      <c r="AD128"/>
      <c r="AE128">
        <v>0</v>
      </c>
      <c r="AF128"/>
      <c r="AG128" t="s">
        <v>3468</v>
      </c>
      <c r="AH128"/>
    </row>
    <row r="129" spans="1:34" x14ac:dyDescent="0.25">
      <c r="A129" t="s">
        <v>426</v>
      </c>
      <c r="B129" t="s">
        <v>427</v>
      </c>
      <c r="C129"/>
      <c r="D129" t="s">
        <v>383</v>
      </c>
      <c r="E129" t="s">
        <v>428</v>
      </c>
      <c r="F129" t="s">
        <v>525</v>
      </c>
      <c r="G129" t="s">
        <v>280</v>
      </c>
      <c r="H129" t="s">
        <v>526</v>
      </c>
      <c r="I129" t="s">
        <v>35</v>
      </c>
      <c r="J129"/>
      <c r="K129">
        <v>1</v>
      </c>
      <c r="L129">
        <v>1</v>
      </c>
      <c r="M129" t="s">
        <v>33</v>
      </c>
      <c r="N129">
        <v>1</v>
      </c>
      <c r="O129">
        <v>1</v>
      </c>
      <c r="P129">
        <v>1</v>
      </c>
      <c r="Q129" t="s">
        <v>38</v>
      </c>
      <c r="R129">
        <v>1</v>
      </c>
      <c r="S129">
        <v>1</v>
      </c>
      <c r="T129">
        <v>1</v>
      </c>
      <c r="U129"/>
      <c r="V129"/>
      <c r="W129"/>
      <c r="X129">
        <v>1</v>
      </c>
      <c r="Y129"/>
      <c r="Z129">
        <v>0</v>
      </c>
      <c r="AA129"/>
      <c r="AB129"/>
      <c r="AC129"/>
      <c r="AD129"/>
      <c r="AE129">
        <v>0</v>
      </c>
      <c r="AF129"/>
      <c r="AG129" t="s">
        <v>3468</v>
      </c>
      <c r="AH129"/>
    </row>
    <row r="130" spans="1:34" x14ac:dyDescent="0.25">
      <c r="A130" t="s">
        <v>426</v>
      </c>
      <c r="B130" t="s">
        <v>427</v>
      </c>
      <c r="C130"/>
      <c r="D130" t="s">
        <v>383</v>
      </c>
      <c r="E130" t="s">
        <v>428</v>
      </c>
      <c r="F130" t="s">
        <v>497</v>
      </c>
      <c r="G130" t="s">
        <v>280</v>
      </c>
      <c r="H130" t="s">
        <v>527</v>
      </c>
      <c r="I130" t="s">
        <v>35</v>
      </c>
      <c r="J130"/>
      <c r="K130">
        <v>1</v>
      </c>
      <c r="L130">
        <v>1</v>
      </c>
      <c r="M130" t="s">
        <v>33</v>
      </c>
      <c r="N130">
        <v>1</v>
      </c>
      <c r="O130">
        <v>1</v>
      </c>
      <c r="P130">
        <v>1</v>
      </c>
      <c r="Q130" t="s">
        <v>38</v>
      </c>
      <c r="R130">
        <v>1</v>
      </c>
      <c r="S130">
        <v>1</v>
      </c>
      <c r="T130">
        <v>1</v>
      </c>
      <c r="U130"/>
      <c r="V130"/>
      <c r="W130"/>
      <c r="X130">
        <v>1</v>
      </c>
      <c r="Y130"/>
      <c r="Z130">
        <v>0</v>
      </c>
      <c r="AA130"/>
      <c r="AB130"/>
      <c r="AC130"/>
      <c r="AD130"/>
      <c r="AE130">
        <v>0</v>
      </c>
      <c r="AF130"/>
      <c r="AG130"/>
      <c r="AH130"/>
    </row>
    <row r="131" spans="1:34" x14ac:dyDescent="0.25">
      <c r="A131" t="s">
        <v>3392</v>
      </c>
      <c r="B131" t="s">
        <v>3393</v>
      </c>
      <c r="C131"/>
      <c r="D131" t="s">
        <v>383</v>
      </c>
      <c r="E131" t="s">
        <v>428</v>
      </c>
      <c r="F131" t="s">
        <v>497</v>
      </c>
      <c r="G131" t="s">
        <v>280</v>
      </c>
      <c r="H131" t="s">
        <v>527</v>
      </c>
      <c r="I131" t="s">
        <v>35</v>
      </c>
      <c r="J131"/>
      <c r="K131">
        <v>1</v>
      </c>
      <c r="L131">
        <v>1</v>
      </c>
      <c r="M131" t="s">
        <v>33</v>
      </c>
      <c r="N131">
        <v>1</v>
      </c>
      <c r="O131">
        <v>1</v>
      </c>
      <c r="P131">
        <v>1</v>
      </c>
      <c r="Q131" t="s">
        <v>38</v>
      </c>
      <c r="R131">
        <v>1</v>
      </c>
      <c r="S131">
        <v>1</v>
      </c>
      <c r="T131">
        <v>1</v>
      </c>
      <c r="U131"/>
      <c r="V131"/>
      <c r="W131"/>
      <c r="X131">
        <v>1</v>
      </c>
      <c r="Y131"/>
      <c r="Z131">
        <v>0</v>
      </c>
      <c r="AA131"/>
      <c r="AB131"/>
      <c r="AC131"/>
      <c r="AD131"/>
      <c r="AE131">
        <v>0</v>
      </c>
      <c r="AF131"/>
      <c r="AG131"/>
      <c r="AH131"/>
    </row>
    <row r="132" spans="1:34" x14ac:dyDescent="0.25">
      <c r="A132" t="s">
        <v>3394</v>
      </c>
      <c r="B132" t="s">
        <v>3395</v>
      </c>
      <c r="C132"/>
      <c r="D132" t="s">
        <v>383</v>
      </c>
      <c r="E132" t="s">
        <v>428</v>
      </c>
      <c r="F132" t="s">
        <v>497</v>
      </c>
      <c r="G132" t="s">
        <v>280</v>
      </c>
      <c r="H132" t="s">
        <v>527</v>
      </c>
      <c r="I132" t="s">
        <v>35</v>
      </c>
      <c r="J132"/>
      <c r="K132">
        <v>1</v>
      </c>
      <c r="L132">
        <v>1</v>
      </c>
      <c r="M132" t="s">
        <v>33</v>
      </c>
      <c r="N132">
        <v>1</v>
      </c>
      <c r="O132">
        <v>1</v>
      </c>
      <c r="P132">
        <v>1</v>
      </c>
      <c r="Q132" t="s">
        <v>38</v>
      </c>
      <c r="R132">
        <v>1</v>
      </c>
      <c r="S132">
        <v>1</v>
      </c>
      <c r="T132">
        <v>1</v>
      </c>
      <c r="U132"/>
      <c r="V132"/>
      <c r="W132"/>
      <c r="X132">
        <v>1</v>
      </c>
      <c r="Y132"/>
      <c r="Z132">
        <v>0</v>
      </c>
      <c r="AA132"/>
      <c r="AB132"/>
      <c r="AC132"/>
      <c r="AD132"/>
      <c r="AE132">
        <v>0</v>
      </c>
      <c r="AF132"/>
      <c r="AG132"/>
      <c r="AH132"/>
    </row>
    <row r="133" spans="1:34" x14ac:dyDescent="0.25">
      <c r="A133" t="s">
        <v>3397</v>
      </c>
      <c r="B133" t="s">
        <v>3398</v>
      </c>
      <c r="C133"/>
      <c r="D133" t="s">
        <v>383</v>
      </c>
      <c r="E133" t="s">
        <v>428</v>
      </c>
      <c r="F133" t="s">
        <v>497</v>
      </c>
      <c r="G133" t="s">
        <v>280</v>
      </c>
      <c r="H133" t="s">
        <v>527</v>
      </c>
      <c r="I133" t="s">
        <v>35</v>
      </c>
      <c r="J133"/>
      <c r="K133">
        <v>1</v>
      </c>
      <c r="L133">
        <v>1</v>
      </c>
      <c r="M133" t="s">
        <v>33</v>
      </c>
      <c r="N133">
        <v>1</v>
      </c>
      <c r="O133">
        <v>1</v>
      </c>
      <c r="P133">
        <v>1</v>
      </c>
      <c r="Q133" t="s">
        <v>38</v>
      </c>
      <c r="R133">
        <v>1</v>
      </c>
      <c r="S133">
        <v>1</v>
      </c>
      <c r="T133">
        <v>1</v>
      </c>
      <c r="U133"/>
      <c r="V133"/>
      <c r="W133"/>
      <c r="X133">
        <v>1</v>
      </c>
      <c r="Y133"/>
      <c r="Z133">
        <v>0</v>
      </c>
      <c r="AA133"/>
      <c r="AB133"/>
      <c r="AC133"/>
      <c r="AD133"/>
      <c r="AE133">
        <v>0</v>
      </c>
      <c r="AF133"/>
      <c r="AG133"/>
      <c r="AH133"/>
    </row>
    <row r="134" spans="1:34" x14ac:dyDescent="0.25">
      <c r="A134" t="s">
        <v>3444</v>
      </c>
      <c r="B134" t="s">
        <v>3445</v>
      </c>
      <c r="C134"/>
      <c r="D134" t="s">
        <v>383</v>
      </c>
      <c r="E134" t="s">
        <v>428</v>
      </c>
      <c r="F134" t="s">
        <v>497</v>
      </c>
      <c r="G134" t="s">
        <v>259</v>
      </c>
      <c r="H134" t="s">
        <v>527</v>
      </c>
      <c r="I134" t="s">
        <v>35</v>
      </c>
      <c r="J134"/>
      <c r="K134">
        <v>1</v>
      </c>
      <c r="L134">
        <v>1</v>
      </c>
      <c r="M134" t="s">
        <v>33</v>
      </c>
      <c r="N134">
        <v>1</v>
      </c>
      <c r="O134">
        <v>1</v>
      </c>
      <c r="P134">
        <v>1</v>
      </c>
      <c r="Q134" t="s">
        <v>38</v>
      </c>
      <c r="R134">
        <v>1</v>
      </c>
      <c r="S134">
        <v>1</v>
      </c>
      <c r="T134">
        <v>1</v>
      </c>
      <c r="U134"/>
      <c r="V134"/>
      <c r="W134"/>
      <c r="X134">
        <v>1</v>
      </c>
      <c r="Y134"/>
      <c r="Z134">
        <v>0</v>
      </c>
      <c r="AA134"/>
      <c r="AB134"/>
      <c r="AC134"/>
      <c r="AD134"/>
      <c r="AE134">
        <v>0</v>
      </c>
      <c r="AF134"/>
      <c r="AG134"/>
      <c r="AH134"/>
    </row>
    <row r="135" spans="1:34" x14ac:dyDescent="0.25">
      <c r="A135" t="s">
        <v>3446</v>
      </c>
      <c r="B135" t="s">
        <v>3447</v>
      </c>
      <c r="C135"/>
      <c r="D135" t="s">
        <v>383</v>
      </c>
      <c r="E135" t="s">
        <v>428</v>
      </c>
      <c r="F135" t="s">
        <v>497</v>
      </c>
      <c r="G135" t="s">
        <v>259</v>
      </c>
      <c r="H135" t="s">
        <v>527</v>
      </c>
      <c r="I135" t="s">
        <v>35</v>
      </c>
      <c r="J135"/>
      <c r="K135">
        <v>1</v>
      </c>
      <c r="L135">
        <v>1</v>
      </c>
      <c r="M135" t="s">
        <v>33</v>
      </c>
      <c r="N135">
        <v>1</v>
      </c>
      <c r="O135">
        <v>1</v>
      </c>
      <c r="P135">
        <v>1</v>
      </c>
      <c r="Q135" t="s">
        <v>38</v>
      </c>
      <c r="R135">
        <v>1</v>
      </c>
      <c r="S135">
        <v>1</v>
      </c>
      <c r="T135">
        <v>1</v>
      </c>
      <c r="U135"/>
      <c r="V135"/>
      <c r="W135"/>
      <c r="X135">
        <v>1</v>
      </c>
      <c r="Y135"/>
      <c r="Z135">
        <v>0</v>
      </c>
      <c r="AA135"/>
      <c r="AB135"/>
      <c r="AC135"/>
      <c r="AD135"/>
      <c r="AE135">
        <v>0</v>
      </c>
      <c r="AF135"/>
      <c r="AG135"/>
      <c r="AH135"/>
    </row>
    <row r="136" spans="1:34" x14ac:dyDescent="0.25">
      <c r="A136" t="s">
        <v>3454</v>
      </c>
      <c r="B136" t="s">
        <v>3455</v>
      </c>
      <c r="C136"/>
      <c r="D136" t="s">
        <v>383</v>
      </c>
      <c r="E136" t="s">
        <v>428</v>
      </c>
      <c r="F136" t="s">
        <v>497</v>
      </c>
      <c r="G136" t="s">
        <v>259</v>
      </c>
      <c r="H136" t="s">
        <v>527</v>
      </c>
      <c r="I136" t="s">
        <v>35</v>
      </c>
      <c r="J136"/>
      <c r="K136">
        <v>1</v>
      </c>
      <c r="L136">
        <v>1</v>
      </c>
      <c r="M136" t="s">
        <v>33</v>
      </c>
      <c r="N136">
        <v>1</v>
      </c>
      <c r="O136">
        <v>1</v>
      </c>
      <c r="P136">
        <v>1</v>
      </c>
      <c r="Q136" t="s">
        <v>38</v>
      </c>
      <c r="R136">
        <v>1</v>
      </c>
      <c r="S136">
        <v>1</v>
      </c>
      <c r="T136">
        <v>1</v>
      </c>
      <c r="U136"/>
      <c r="V136"/>
      <c r="W136"/>
      <c r="X136">
        <v>1</v>
      </c>
      <c r="Y136"/>
      <c r="Z136">
        <v>0</v>
      </c>
      <c r="AA136"/>
      <c r="AB136"/>
      <c r="AC136"/>
      <c r="AD136"/>
      <c r="AE136">
        <v>0</v>
      </c>
      <c r="AF136"/>
      <c r="AG136"/>
      <c r="AH136"/>
    </row>
    <row r="137" spans="1:34" x14ac:dyDescent="0.25">
      <c r="A137" t="s">
        <v>426</v>
      </c>
      <c r="B137" t="s">
        <v>427</v>
      </c>
      <c r="C137"/>
      <c r="D137" t="s">
        <v>383</v>
      </c>
      <c r="E137" t="s">
        <v>428</v>
      </c>
      <c r="F137" t="s">
        <v>528</v>
      </c>
      <c r="G137" t="s">
        <v>280</v>
      </c>
      <c r="H137" t="s">
        <v>529</v>
      </c>
      <c r="I137" t="s">
        <v>35</v>
      </c>
      <c r="J137"/>
      <c r="K137">
        <v>1</v>
      </c>
      <c r="L137">
        <v>1</v>
      </c>
      <c r="M137" t="s">
        <v>33</v>
      </c>
      <c r="N137">
        <v>1</v>
      </c>
      <c r="O137">
        <v>1</v>
      </c>
      <c r="P137">
        <v>1</v>
      </c>
      <c r="Q137" t="s">
        <v>38</v>
      </c>
      <c r="R137">
        <v>1</v>
      </c>
      <c r="S137">
        <v>1</v>
      </c>
      <c r="T137">
        <v>1</v>
      </c>
      <c r="U137"/>
      <c r="V137"/>
      <c r="W137"/>
      <c r="X137">
        <v>1</v>
      </c>
      <c r="Y137"/>
      <c r="Z137">
        <v>0</v>
      </c>
      <c r="AA137"/>
      <c r="AB137"/>
      <c r="AC137"/>
      <c r="AD137"/>
      <c r="AE137">
        <v>0</v>
      </c>
      <c r="AF137"/>
      <c r="AG137" t="s">
        <v>3468</v>
      </c>
      <c r="AH137"/>
    </row>
    <row r="138" spans="1:34" x14ac:dyDescent="0.25">
      <c r="A138" t="s">
        <v>426</v>
      </c>
      <c r="B138" t="s">
        <v>427</v>
      </c>
      <c r="C138"/>
      <c r="D138" t="s">
        <v>383</v>
      </c>
      <c r="E138" t="s">
        <v>428</v>
      </c>
      <c r="F138" t="s">
        <v>530</v>
      </c>
      <c r="G138" t="s">
        <v>280</v>
      </c>
      <c r="H138" t="s">
        <v>531</v>
      </c>
      <c r="I138" t="s">
        <v>35</v>
      </c>
      <c r="J138"/>
      <c r="K138">
        <v>1</v>
      </c>
      <c r="L138">
        <v>1</v>
      </c>
      <c r="M138" t="s">
        <v>33</v>
      </c>
      <c r="N138">
        <v>1</v>
      </c>
      <c r="O138">
        <v>1</v>
      </c>
      <c r="P138">
        <v>1</v>
      </c>
      <c r="Q138" t="s">
        <v>38</v>
      </c>
      <c r="R138">
        <v>1</v>
      </c>
      <c r="S138">
        <v>1</v>
      </c>
      <c r="T138">
        <v>1</v>
      </c>
      <c r="U138"/>
      <c r="V138"/>
      <c r="W138"/>
      <c r="X138">
        <v>1</v>
      </c>
      <c r="Y138"/>
      <c r="Z138">
        <v>0</v>
      </c>
      <c r="AA138"/>
      <c r="AB138"/>
      <c r="AC138"/>
      <c r="AD138"/>
      <c r="AE138">
        <v>0</v>
      </c>
      <c r="AF138"/>
      <c r="AG138" t="s">
        <v>3468</v>
      </c>
      <c r="AH138"/>
    </row>
    <row r="139" spans="1:34" x14ac:dyDescent="0.25">
      <c r="A139" t="s">
        <v>426</v>
      </c>
      <c r="B139" t="s">
        <v>427</v>
      </c>
      <c r="C139"/>
      <c r="D139" t="s">
        <v>383</v>
      </c>
      <c r="E139" t="s">
        <v>428</v>
      </c>
      <c r="F139" t="s">
        <v>532</v>
      </c>
      <c r="G139" t="s">
        <v>280</v>
      </c>
      <c r="H139" t="s">
        <v>533</v>
      </c>
      <c r="I139" t="s">
        <v>35</v>
      </c>
      <c r="J139"/>
      <c r="K139">
        <v>1</v>
      </c>
      <c r="L139">
        <v>1</v>
      </c>
      <c r="M139" t="s">
        <v>33</v>
      </c>
      <c r="N139">
        <v>1</v>
      </c>
      <c r="O139">
        <v>1</v>
      </c>
      <c r="P139">
        <v>1</v>
      </c>
      <c r="Q139" t="s">
        <v>38</v>
      </c>
      <c r="R139">
        <v>1</v>
      </c>
      <c r="S139">
        <v>1</v>
      </c>
      <c r="T139">
        <v>1</v>
      </c>
      <c r="U139"/>
      <c r="V139"/>
      <c r="W139"/>
      <c r="X139">
        <v>1</v>
      </c>
      <c r="Y139"/>
      <c r="Z139">
        <v>0</v>
      </c>
      <c r="AA139"/>
      <c r="AB139"/>
      <c r="AC139"/>
      <c r="AD139"/>
      <c r="AE139">
        <v>0</v>
      </c>
      <c r="AF139"/>
      <c r="AG139" t="s">
        <v>3468</v>
      </c>
      <c r="AH139"/>
    </row>
    <row r="140" spans="1:34" x14ac:dyDescent="0.25">
      <c r="A140" t="s">
        <v>426</v>
      </c>
      <c r="B140" t="s">
        <v>427</v>
      </c>
      <c r="C140"/>
      <c r="D140" t="s">
        <v>383</v>
      </c>
      <c r="E140" t="s">
        <v>428</v>
      </c>
      <c r="F140" t="s">
        <v>534</v>
      </c>
      <c r="G140" t="s">
        <v>280</v>
      </c>
      <c r="H140" t="s">
        <v>535</v>
      </c>
      <c r="I140" t="s">
        <v>35</v>
      </c>
      <c r="J140"/>
      <c r="K140">
        <v>1</v>
      </c>
      <c r="L140">
        <v>1</v>
      </c>
      <c r="M140" t="s">
        <v>33</v>
      </c>
      <c r="N140">
        <v>1</v>
      </c>
      <c r="O140">
        <v>1</v>
      </c>
      <c r="P140">
        <v>1</v>
      </c>
      <c r="Q140" t="s">
        <v>38</v>
      </c>
      <c r="R140">
        <v>1</v>
      </c>
      <c r="S140">
        <v>1</v>
      </c>
      <c r="T140">
        <v>1</v>
      </c>
      <c r="U140"/>
      <c r="V140"/>
      <c r="W140"/>
      <c r="X140">
        <v>1</v>
      </c>
      <c r="Y140"/>
      <c r="Z140">
        <v>0</v>
      </c>
      <c r="AA140"/>
      <c r="AB140"/>
      <c r="AC140"/>
      <c r="AD140"/>
      <c r="AE140">
        <v>0</v>
      </c>
      <c r="AF140"/>
      <c r="AG140" t="s">
        <v>3468</v>
      </c>
      <c r="AH140"/>
    </row>
    <row r="141" spans="1:34" x14ac:dyDescent="0.25">
      <c r="A141" t="s">
        <v>426</v>
      </c>
      <c r="B141" t="s">
        <v>427</v>
      </c>
      <c r="C141"/>
      <c r="D141" t="s">
        <v>383</v>
      </c>
      <c r="E141" t="s">
        <v>428</v>
      </c>
      <c r="F141" t="s">
        <v>536</v>
      </c>
      <c r="G141" t="s">
        <v>280</v>
      </c>
      <c r="H141" t="s">
        <v>537</v>
      </c>
      <c r="I141" t="s">
        <v>35</v>
      </c>
      <c r="J141"/>
      <c r="K141">
        <v>1</v>
      </c>
      <c r="L141">
        <v>1</v>
      </c>
      <c r="M141" t="s">
        <v>33</v>
      </c>
      <c r="N141">
        <v>1</v>
      </c>
      <c r="O141">
        <v>1</v>
      </c>
      <c r="P141">
        <v>1</v>
      </c>
      <c r="Q141" t="s">
        <v>38</v>
      </c>
      <c r="R141">
        <v>1</v>
      </c>
      <c r="S141">
        <v>1</v>
      </c>
      <c r="T141">
        <v>1</v>
      </c>
      <c r="U141"/>
      <c r="V141"/>
      <c r="W141"/>
      <c r="X141">
        <v>1</v>
      </c>
      <c r="Y141"/>
      <c r="Z141">
        <v>0</v>
      </c>
      <c r="AA141"/>
      <c r="AB141"/>
      <c r="AC141"/>
      <c r="AD141"/>
      <c r="AE141">
        <v>0</v>
      </c>
      <c r="AF141"/>
      <c r="AG141" t="s">
        <v>3468</v>
      </c>
      <c r="AH141"/>
    </row>
    <row r="142" spans="1:34" x14ac:dyDescent="0.25">
      <c r="A142" t="s">
        <v>426</v>
      </c>
      <c r="B142" t="s">
        <v>427</v>
      </c>
      <c r="C142"/>
      <c r="D142" t="s">
        <v>383</v>
      </c>
      <c r="E142" t="s">
        <v>428</v>
      </c>
      <c r="F142" t="s">
        <v>538</v>
      </c>
      <c r="G142" t="s">
        <v>280</v>
      </c>
      <c r="H142" t="s">
        <v>539</v>
      </c>
      <c r="I142" t="s">
        <v>35</v>
      </c>
      <c r="J142"/>
      <c r="K142">
        <v>1</v>
      </c>
      <c r="L142">
        <v>1</v>
      </c>
      <c r="M142" t="s">
        <v>33</v>
      </c>
      <c r="N142">
        <v>1</v>
      </c>
      <c r="O142">
        <v>1</v>
      </c>
      <c r="P142">
        <v>1</v>
      </c>
      <c r="Q142" t="s">
        <v>38</v>
      </c>
      <c r="R142">
        <v>1</v>
      </c>
      <c r="S142">
        <v>1</v>
      </c>
      <c r="T142">
        <v>1</v>
      </c>
      <c r="U142"/>
      <c r="V142"/>
      <c r="W142"/>
      <c r="X142">
        <v>1</v>
      </c>
      <c r="Y142"/>
      <c r="Z142">
        <v>0</v>
      </c>
      <c r="AA142"/>
      <c r="AB142"/>
      <c r="AC142"/>
      <c r="AD142"/>
      <c r="AE142">
        <v>0</v>
      </c>
      <c r="AF142"/>
      <c r="AG142" t="s">
        <v>3468</v>
      </c>
      <c r="AH142"/>
    </row>
    <row r="143" spans="1:34" x14ac:dyDescent="0.25">
      <c r="A143" t="s">
        <v>426</v>
      </c>
      <c r="B143" t="s">
        <v>427</v>
      </c>
      <c r="C143"/>
      <c r="D143" t="s">
        <v>383</v>
      </c>
      <c r="E143" t="s">
        <v>428</v>
      </c>
      <c r="F143" t="s">
        <v>540</v>
      </c>
      <c r="G143" t="s">
        <v>280</v>
      </c>
      <c r="H143" t="s">
        <v>541</v>
      </c>
      <c r="I143" t="s">
        <v>35</v>
      </c>
      <c r="J143"/>
      <c r="K143">
        <v>1</v>
      </c>
      <c r="L143">
        <v>1</v>
      </c>
      <c r="M143" t="s">
        <v>33</v>
      </c>
      <c r="N143">
        <v>1</v>
      </c>
      <c r="O143">
        <v>1</v>
      </c>
      <c r="P143">
        <v>1</v>
      </c>
      <c r="Q143" t="s">
        <v>38</v>
      </c>
      <c r="R143">
        <v>1</v>
      </c>
      <c r="S143">
        <v>1</v>
      </c>
      <c r="T143">
        <v>1</v>
      </c>
      <c r="U143"/>
      <c r="V143"/>
      <c r="W143"/>
      <c r="X143">
        <v>1</v>
      </c>
      <c r="Y143"/>
      <c r="Z143">
        <v>0</v>
      </c>
      <c r="AA143"/>
      <c r="AB143"/>
      <c r="AC143"/>
      <c r="AD143"/>
      <c r="AE143">
        <v>0</v>
      </c>
      <c r="AF143"/>
      <c r="AG143"/>
      <c r="AH143"/>
    </row>
    <row r="144" spans="1:34" x14ac:dyDescent="0.25">
      <c r="A144" t="s">
        <v>3392</v>
      </c>
      <c r="B144" t="s">
        <v>3393</v>
      </c>
      <c r="C144"/>
      <c r="D144" t="s">
        <v>383</v>
      </c>
      <c r="E144" t="s">
        <v>428</v>
      </c>
      <c r="F144" t="s">
        <v>540</v>
      </c>
      <c r="G144" t="s">
        <v>280</v>
      </c>
      <c r="H144" t="s">
        <v>541</v>
      </c>
      <c r="I144" t="s">
        <v>35</v>
      </c>
      <c r="J144"/>
      <c r="K144">
        <v>1</v>
      </c>
      <c r="L144">
        <v>1</v>
      </c>
      <c r="M144" t="s">
        <v>33</v>
      </c>
      <c r="N144">
        <v>1</v>
      </c>
      <c r="O144">
        <v>1</v>
      </c>
      <c r="P144">
        <v>1</v>
      </c>
      <c r="Q144" t="s">
        <v>38</v>
      </c>
      <c r="R144">
        <v>1</v>
      </c>
      <c r="S144">
        <v>1</v>
      </c>
      <c r="T144">
        <v>1</v>
      </c>
      <c r="U144"/>
      <c r="V144"/>
      <c r="W144"/>
      <c r="X144">
        <v>1</v>
      </c>
      <c r="Y144"/>
      <c r="Z144">
        <v>0</v>
      </c>
      <c r="AA144"/>
      <c r="AB144"/>
      <c r="AC144"/>
      <c r="AD144"/>
      <c r="AE144">
        <v>0</v>
      </c>
      <c r="AF144"/>
      <c r="AG144"/>
      <c r="AH144"/>
    </row>
    <row r="145" spans="1:34" x14ac:dyDescent="0.25">
      <c r="A145" t="s">
        <v>3394</v>
      </c>
      <c r="B145" t="s">
        <v>3395</v>
      </c>
      <c r="C145"/>
      <c r="D145" t="s">
        <v>383</v>
      </c>
      <c r="E145" t="s">
        <v>428</v>
      </c>
      <c r="F145" t="s">
        <v>540</v>
      </c>
      <c r="G145" t="s">
        <v>280</v>
      </c>
      <c r="H145" t="s">
        <v>541</v>
      </c>
      <c r="I145" t="s">
        <v>35</v>
      </c>
      <c r="J145"/>
      <c r="K145">
        <v>1</v>
      </c>
      <c r="L145">
        <v>1</v>
      </c>
      <c r="M145" t="s">
        <v>33</v>
      </c>
      <c r="N145">
        <v>1</v>
      </c>
      <c r="O145">
        <v>1</v>
      </c>
      <c r="P145">
        <v>1</v>
      </c>
      <c r="Q145" t="s">
        <v>38</v>
      </c>
      <c r="R145">
        <v>1</v>
      </c>
      <c r="S145">
        <v>1</v>
      </c>
      <c r="T145">
        <v>1</v>
      </c>
      <c r="U145"/>
      <c r="V145"/>
      <c r="W145"/>
      <c r="X145">
        <v>1</v>
      </c>
      <c r="Y145"/>
      <c r="Z145">
        <v>0</v>
      </c>
      <c r="AA145"/>
      <c r="AB145"/>
      <c r="AC145"/>
      <c r="AD145"/>
      <c r="AE145">
        <v>0</v>
      </c>
      <c r="AF145"/>
      <c r="AG145"/>
      <c r="AH145"/>
    </row>
    <row r="146" spans="1:34" x14ac:dyDescent="0.25">
      <c r="A146" t="s">
        <v>3397</v>
      </c>
      <c r="B146" t="s">
        <v>3398</v>
      </c>
      <c r="C146"/>
      <c r="D146" t="s">
        <v>383</v>
      </c>
      <c r="E146" t="s">
        <v>428</v>
      </c>
      <c r="F146" t="s">
        <v>540</v>
      </c>
      <c r="G146" t="s">
        <v>280</v>
      </c>
      <c r="H146" t="s">
        <v>541</v>
      </c>
      <c r="I146" t="s">
        <v>35</v>
      </c>
      <c r="J146"/>
      <c r="K146">
        <v>1</v>
      </c>
      <c r="L146">
        <v>1</v>
      </c>
      <c r="M146" t="s">
        <v>33</v>
      </c>
      <c r="N146">
        <v>1</v>
      </c>
      <c r="O146">
        <v>1</v>
      </c>
      <c r="P146">
        <v>1</v>
      </c>
      <c r="Q146" t="s">
        <v>38</v>
      </c>
      <c r="R146">
        <v>1</v>
      </c>
      <c r="S146">
        <v>1</v>
      </c>
      <c r="T146">
        <v>1</v>
      </c>
      <c r="U146"/>
      <c r="V146"/>
      <c r="W146"/>
      <c r="X146">
        <v>1</v>
      </c>
      <c r="Y146"/>
      <c r="Z146">
        <v>0</v>
      </c>
      <c r="AA146"/>
      <c r="AB146"/>
      <c r="AC146"/>
      <c r="AD146"/>
      <c r="AE146">
        <v>0</v>
      </c>
      <c r="AF146"/>
      <c r="AG146"/>
      <c r="AH146"/>
    </row>
    <row r="147" spans="1:34" x14ac:dyDescent="0.25">
      <c r="A147" t="s">
        <v>3444</v>
      </c>
      <c r="B147" t="s">
        <v>3445</v>
      </c>
      <c r="C147"/>
      <c r="D147" t="s">
        <v>383</v>
      </c>
      <c r="E147" t="s">
        <v>428</v>
      </c>
      <c r="F147" t="s">
        <v>540</v>
      </c>
      <c r="G147" t="s">
        <v>259</v>
      </c>
      <c r="H147" t="s">
        <v>541</v>
      </c>
      <c r="I147" t="s">
        <v>35</v>
      </c>
      <c r="J147"/>
      <c r="K147">
        <v>1</v>
      </c>
      <c r="L147">
        <v>1</v>
      </c>
      <c r="M147" t="s">
        <v>33</v>
      </c>
      <c r="N147">
        <v>1</v>
      </c>
      <c r="O147">
        <v>1</v>
      </c>
      <c r="P147">
        <v>1</v>
      </c>
      <c r="Q147" t="s">
        <v>38</v>
      </c>
      <c r="R147">
        <v>1</v>
      </c>
      <c r="S147">
        <v>1</v>
      </c>
      <c r="T147">
        <v>1</v>
      </c>
      <c r="U147"/>
      <c r="V147"/>
      <c r="W147"/>
      <c r="X147">
        <v>1</v>
      </c>
      <c r="Y147"/>
      <c r="Z147">
        <v>0</v>
      </c>
      <c r="AA147"/>
      <c r="AB147"/>
      <c r="AC147"/>
      <c r="AD147"/>
      <c r="AE147">
        <v>0</v>
      </c>
      <c r="AF147"/>
      <c r="AG147"/>
      <c r="AH147"/>
    </row>
    <row r="148" spans="1:34" x14ac:dyDescent="0.25">
      <c r="A148" t="s">
        <v>3446</v>
      </c>
      <c r="B148" t="s">
        <v>3447</v>
      </c>
      <c r="C148"/>
      <c r="D148" t="s">
        <v>383</v>
      </c>
      <c r="E148" t="s">
        <v>428</v>
      </c>
      <c r="F148" t="s">
        <v>540</v>
      </c>
      <c r="G148" t="s">
        <v>259</v>
      </c>
      <c r="H148" t="s">
        <v>541</v>
      </c>
      <c r="I148" t="s">
        <v>35</v>
      </c>
      <c r="J148"/>
      <c r="K148">
        <v>1</v>
      </c>
      <c r="L148">
        <v>1</v>
      </c>
      <c r="M148" t="s">
        <v>33</v>
      </c>
      <c r="N148">
        <v>1</v>
      </c>
      <c r="O148">
        <v>1</v>
      </c>
      <c r="P148">
        <v>1</v>
      </c>
      <c r="Q148" t="s">
        <v>38</v>
      </c>
      <c r="R148">
        <v>1</v>
      </c>
      <c r="S148">
        <v>1</v>
      </c>
      <c r="T148">
        <v>1</v>
      </c>
      <c r="U148"/>
      <c r="V148"/>
      <c r="W148"/>
      <c r="X148">
        <v>1</v>
      </c>
      <c r="Y148"/>
      <c r="Z148">
        <v>0</v>
      </c>
      <c r="AA148"/>
      <c r="AB148"/>
      <c r="AC148"/>
      <c r="AD148"/>
      <c r="AE148">
        <v>0</v>
      </c>
      <c r="AF148"/>
      <c r="AG148"/>
      <c r="AH148"/>
    </row>
    <row r="149" spans="1:34" x14ac:dyDescent="0.25">
      <c r="A149" t="s">
        <v>3454</v>
      </c>
      <c r="B149" t="s">
        <v>3455</v>
      </c>
      <c r="C149"/>
      <c r="D149" t="s">
        <v>383</v>
      </c>
      <c r="E149" t="s">
        <v>428</v>
      </c>
      <c r="F149" t="s">
        <v>540</v>
      </c>
      <c r="G149" t="s">
        <v>259</v>
      </c>
      <c r="H149" t="s">
        <v>541</v>
      </c>
      <c r="I149" t="s">
        <v>35</v>
      </c>
      <c r="J149"/>
      <c r="K149">
        <v>1</v>
      </c>
      <c r="L149">
        <v>1</v>
      </c>
      <c r="M149" t="s">
        <v>33</v>
      </c>
      <c r="N149">
        <v>1</v>
      </c>
      <c r="O149">
        <v>1</v>
      </c>
      <c r="P149">
        <v>1</v>
      </c>
      <c r="Q149" t="s">
        <v>38</v>
      </c>
      <c r="R149">
        <v>1</v>
      </c>
      <c r="S149">
        <v>1</v>
      </c>
      <c r="T149">
        <v>1</v>
      </c>
      <c r="U149"/>
      <c r="V149"/>
      <c r="W149"/>
      <c r="X149">
        <v>1</v>
      </c>
      <c r="Y149"/>
      <c r="Z149">
        <v>0</v>
      </c>
      <c r="AA149"/>
      <c r="AB149"/>
      <c r="AC149"/>
      <c r="AD149"/>
      <c r="AE149">
        <v>0</v>
      </c>
      <c r="AF149"/>
      <c r="AG149"/>
      <c r="AH149"/>
    </row>
    <row r="150" spans="1:34" x14ac:dyDescent="0.25">
      <c r="A150" t="s">
        <v>426</v>
      </c>
      <c r="B150" t="s">
        <v>427</v>
      </c>
      <c r="C150"/>
      <c r="D150" t="s">
        <v>383</v>
      </c>
      <c r="E150" t="s">
        <v>428</v>
      </c>
      <c r="F150" t="s">
        <v>542</v>
      </c>
      <c r="G150" t="s">
        <v>280</v>
      </c>
      <c r="H150" t="s">
        <v>543</v>
      </c>
      <c r="I150" t="s">
        <v>35</v>
      </c>
      <c r="J150"/>
      <c r="K150">
        <v>1</v>
      </c>
      <c r="L150">
        <v>1</v>
      </c>
      <c r="M150" t="s">
        <v>33</v>
      </c>
      <c r="N150">
        <v>1</v>
      </c>
      <c r="O150">
        <v>1</v>
      </c>
      <c r="P150">
        <v>1</v>
      </c>
      <c r="Q150" t="s">
        <v>38</v>
      </c>
      <c r="R150">
        <v>1</v>
      </c>
      <c r="S150">
        <v>1</v>
      </c>
      <c r="T150">
        <v>1</v>
      </c>
      <c r="U150"/>
      <c r="V150"/>
      <c r="W150"/>
      <c r="X150">
        <v>1</v>
      </c>
      <c r="Y150"/>
      <c r="Z150">
        <v>0</v>
      </c>
      <c r="AA150"/>
      <c r="AB150"/>
      <c r="AC150"/>
      <c r="AD150"/>
      <c r="AE150">
        <v>0</v>
      </c>
      <c r="AF150"/>
      <c r="AG150"/>
      <c r="AH150"/>
    </row>
    <row r="151" spans="1:34" x14ac:dyDescent="0.25">
      <c r="A151" t="s">
        <v>3392</v>
      </c>
      <c r="B151" t="s">
        <v>3393</v>
      </c>
      <c r="C151"/>
      <c r="D151" t="s">
        <v>383</v>
      </c>
      <c r="E151" t="s">
        <v>428</v>
      </c>
      <c r="F151" t="s">
        <v>542</v>
      </c>
      <c r="G151" t="s">
        <v>280</v>
      </c>
      <c r="H151" t="s">
        <v>543</v>
      </c>
      <c r="I151" t="s">
        <v>35</v>
      </c>
      <c r="J151"/>
      <c r="K151">
        <v>1</v>
      </c>
      <c r="L151">
        <v>1</v>
      </c>
      <c r="M151" t="s">
        <v>33</v>
      </c>
      <c r="N151">
        <v>1</v>
      </c>
      <c r="O151">
        <v>1</v>
      </c>
      <c r="P151">
        <v>1</v>
      </c>
      <c r="Q151" t="s">
        <v>38</v>
      </c>
      <c r="R151">
        <v>1</v>
      </c>
      <c r="S151">
        <v>1</v>
      </c>
      <c r="T151">
        <v>1</v>
      </c>
      <c r="U151"/>
      <c r="V151"/>
      <c r="W151"/>
      <c r="X151">
        <v>1</v>
      </c>
      <c r="Y151"/>
      <c r="Z151">
        <v>0</v>
      </c>
      <c r="AA151"/>
      <c r="AB151"/>
      <c r="AC151"/>
      <c r="AD151"/>
      <c r="AE151">
        <v>0</v>
      </c>
      <c r="AF151"/>
      <c r="AG151"/>
      <c r="AH151"/>
    </row>
    <row r="152" spans="1:34" x14ac:dyDescent="0.25">
      <c r="A152" t="s">
        <v>3394</v>
      </c>
      <c r="B152" t="s">
        <v>3395</v>
      </c>
      <c r="C152"/>
      <c r="D152" t="s">
        <v>383</v>
      </c>
      <c r="E152" t="s">
        <v>428</v>
      </c>
      <c r="F152" t="s">
        <v>542</v>
      </c>
      <c r="G152" t="s">
        <v>280</v>
      </c>
      <c r="H152" t="s">
        <v>543</v>
      </c>
      <c r="I152" t="s">
        <v>35</v>
      </c>
      <c r="J152"/>
      <c r="K152">
        <v>1</v>
      </c>
      <c r="L152">
        <v>1</v>
      </c>
      <c r="M152" t="s">
        <v>33</v>
      </c>
      <c r="N152">
        <v>1</v>
      </c>
      <c r="O152">
        <v>1</v>
      </c>
      <c r="P152">
        <v>1</v>
      </c>
      <c r="Q152" t="s">
        <v>38</v>
      </c>
      <c r="R152">
        <v>1</v>
      </c>
      <c r="S152">
        <v>1</v>
      </c>
      <c r="T152">
        <v>1</v>
      </c>
      <c r="U152"/>
      <c r="V152"/>
      <c r="W152"/>
      <c r="X152">
        <v>1</v>
      </c>
      <c r="Y152"/>
      <c r="Z152">
        <v>0</v>
      </c>
      <c r="AA152"/>
      <c r="AB152"/>
      <c r="AC152"/>
      <c r="AD152"/>
      <c r="AE152">
        <v>0</v>
      </c>
      <c r="AF152"/>
      <c r="AG152"/>
      <c r="AH152"/>
    </row>
    <row r="153" spans="1:34" x14ac:dyDescent="0.25">
      <c r="A153" t="s">
        <v>3397</v>
      </c>
      <c r="B153" t="s">
        <v>3398</v>
      </c>
      <c r="C153"/>
      <c r="D153" t="s">
        <v>383</v>
      </c>
      <c r="E153" t="s">
        <v>428</v>
      </c>
      <c r="F153" t="s">
        <v>542</v>
      </c>
      <c r="G153" t="s">
        <v>280</v>
      </c>
      <c r="H153" t="s">
        <v>543</v>
      </c>
      <c r="I153" t="s">
        <v>35</v>
      </c>
      <c r="J153"/>
      <c r="K153">
        <v>1</v>
      </c>
      <c r="L153">
        <v>1</v>
      </c>
      <c r="M153" t="s">
        <v>33</v>
      </c>
      <c r="N153">
        <v>1</v>
      </c>
      <c r="O153">
        <v>1</v>
      </c>
      <c r="P153">
        <v>1</v>
      </c>
      <c r="Q153" t="s">
        <v>38</v>
      </c>
      <c r="R153">
        <v>1</v>
      </c>
      <c r="S153">
        <v>1</v>
      </c>
      <c r="T153">
        <v>1</v>
      </c>
      <c r="U153"/>
      <c r="V153"/>
      <c r="W153"/>
      <c r="X153">
        <v>1</v>
      </c>
      <c r="Y153"/>
      <c r="Z153">
        <v>0</v>
      </c>
      <c r="AA153"/>
      <c r="AB153"/>
      <c r="AC153"/>
      <c r="AD153"/>
      <c r="AE153">
        <v>0</v>
      </c>
      <c r="AF153"/>
      <c r="AG153"/>
      <c r="AH153"/>
    </row>
    <row r="154" spans="1:34" x14ac:dyDescent="0.25">
      <c r="A154" t="s">
        <v>3444</v>
      </c>
      <c r="B154" t="s">
        <v>3445</v>
      </c>
      <c r="C154"/>
      <c r="D154" t="s">
        <v>383</v>
      </c>
      <c r="E154" t="s">
        <v>428</v>
      </c>
      <c r="F154" t="s">
        <v>542</v>
      </c>
      <c r="G154" t="s">
        <v>259</v>
      </c>
      <c r="H154" t="s">
        <v>543</v>
      </c>
      <c r="I154" t="s">
        <v>35</v>
      </c>
      <c r="J154"/>
      <c r="K154">
        <v>1</v>
      </c>
      <c r="L154">
        <v>1</v>
      </c>
      <c r="M154" t="s">
        <v>33</v>
      </c>
      <c r="N154">
        <v>1</v>
      </c>
      <c r="O154">
        <v>1</v>
      </c>
      <c r="P154">
        <v>1</v>
      </c>
      <c r="Q154" t="s">
        <v>38</v>
      </c>
      <c r="R154">
        <v>1</v>
      </c>
      <c r="S154">
        <v>1</v>
      </c>
      <c r="T154">
        <v>1</v>
      </c>
      <c r="U154"/>
      <c r="V154"/>
      <c r="W154"/>
      <c r="X154">
        <v>1</v>
      </c>
      <c r="Y154"/>
      <c r="Z154">
        <v>0</v>
      </c>
      <c r="AA154"/>
      <c r="AB154"/>
      <c r="AC154"/>
      <c r="AD154"/>
      <c r="AE154">
        <v>0</v>
      </c>
      <c r="AF154"/>
      <c r="AG154"/>
      <c r="AH154"/>
    </row>
    <row r="155" spans="1:34" x14ac:dyDescent="0.25">
      <c r="A155" t="s">
        <v>3446</v>
      </c>
      <c r="B155" t="s">
        <v>3447</v>
      </c>
      <c r="C155"/>
      <c r="D155" t="s">
        <v>383</v>
      </c>
      <c r="E155" t="s">
        <v>428</v>
      </c>
      <c r="F155" t="s">
        <v>542</v>
      </c>
      <c r="G155" t="s">
        <v>259</v>
      </c>
      <c r="H155" t="s">
        <v>543</v>
      </c>
      <c r="I155" t="s">
        <v>35</v>
      </c>
      <c r="J155"/>
      <c r="K155">
        <v>1</v>
      </c>
      <c r="L155">
        <v>1</v>
      </c>
      <c r="M155" t="s">
        <v>33</v>
      </c>
      <c r="N155">
        <v>1</v>
      </c>
      <c r="O155">
        <v>1</v>
      </c>
      <c r="P155">
        <v>1</v>
      </c>
      <c r="Q155" t="s">
        <v>38</v>
      </c>
      <c r="R155">
        <v>1</v>
      </c>
      <c r="S155">
        <v>1</v>
      </c>
      <c r="T155">
        <v>1</v>
      </c>
      <c r="U155"/>
      <c r="V155"/>
      <c r="W155"/>
      <c r="X155">
        <v>1</v>
      </c>
      <c r="Y155"/>
      <c r="Z155">
        <v>0</v>
      </c>
      <c r="AA155"/>
      <c r="AB155"/>
      <c r="AC155"/>
      <c r="AD155"/>
      <c r="AE155">
        <v>0</v>
      </c>
      <c r="AF155"/>
      <c r="AG155"/>
      <c r="AH155"/>
    </row>
    <row r="156" spans="1:34" x14ac:dyDescent="0.25">
      <c r="A156" t="s">
        <v>3448</v>
      </c>
      <c r="B156" t="s">
        <v>3449</v>
      </c>
      <c r="C156"/>
      <c r="D156" t="s">
        <v>383</v>
      </c>
      <c r="E156" t="s">
        <v>428</v>
      </c>
      <c r="F156" t="s">
        <v>542</v>
      </c>
      <c r="G156" t="s">
        <v>280</v>
      </c>
      <c r="H156" t="s">
        <v>543</v>
      </c>
      <c r="I156" t="s">
        <v>35</v>
      </c>
      <c r="J156"/>
      <c r="K156">
        <v>1</v>
      </c>
      <c r="L156">
        <v>1</v>
      </c>
      <c r="M156" t="s">
        <v>33</v>
      </c>
      <c r="N156">
        <v>1</v>
      </c>
      <c r="O156">
        <v>1</v>
      </c>
      <c r="P156">
        <v>1</v>
      </c>
      <c r="Q156" t="s">
        <v>38</v>
      </c>
      <c r="R156">
        <v>1</v>
      </c>
      <c r="S156">
        <v>1</v>
      </c>
      <c r="T156">
        <v>1</v>
      </c>
      <c r="U156"/>
      <c r="V156"/>
      <c r="W156"/>
      <c r="X156">
        <v>1</v>
      </c>
      <c r="Y156"/>
      <c r="Z156">
        <v>0</v>
      </c>
      <c r="AA156"/>
      <c r="AB156"/>
      <c r="AC156"/>
      <c r="AD156"/>
      <c r="AE156">
        <v>0</v>
      </c>
      <c r="AF156"/>
      <c r="AG156"/>
      <c r="AH156"/>
    </row>
    <row r="157" spans="1:34" x14ac:dyDescent="0.25">
      <c r="A157" t="s">
        <v>3454</v>
      </c>
      <c r="B157" t="s">
        <v>3455</v>
      </c>
      <c r="C157"/>
      <c r="D157" t="s">
        <v>383</v>
      </c>
      <c r="E157" t="s">
        <v>428</v>
      </c>
      <c r="F157" t="s">
        <v>542</v>
      </c>
      <c r="G157" t="s">
        <v>259</v>
      </c>
      <c r="H157" t="s">
        <v>543</v>
      </c>
      <c r="I157" t="s">
        <v>35</v>
      </c>
      <c r="J157"/>
      <c r="K157">
        <v>1</v>
      </c>
      <c r="L157">
        <v>1</v>
      </c>
      <c r="M157" t="s">
        <v>33</v>
      </c>
      <c r="N157">
        <v>1</v>
      </c>
      <c r="O157">
        <v>1</v>
      </c>
      <c r="P157">
        <v>1</v>
      </c>
      <c r="Q157" t="s">
        <v>38</v>
      </c>
      <c r="R157">
        <v>1</v>
      </c>
      <c r="S157">
        <v>1</v>
      </c>
      <c r="T157">
        <v>1</v>
      </c>
      <c r="U157"/>
      <c r="V157"/>
      <c r="W157"/>
      <c r="X157">
        <v>1</v>
      </c>
      <c r="Y157"/>
      <c r="Z157">
        <v>0</v>
      </c>
      <c r="AA157"/>
      <c r="AB157"/>
      <c r="AC157"/>
      <c r="AD157"/>
      <c r="AE157">
        <v>0</v>
      </c>
      <c r="AF157"/>
      <c r="AG157"/>
      <c r="AH157"/>
    </row>
    <row r="158" spans="1:34" x14ac:dyDescent="0.25">
      <c r="A158" t="s">
        <v>544</v>
      </c>
      <c r="B158" t="s">
        <v>545</v>
      </c>
      <c r="C158"/>
      <c r="D158" t="s">
        <v>383</v>
      </c>
      <c r="E158" t="s">
        <v>546</v>
      </c>
      <c r="F158" t="s">
        <v>547</v>
      </c>
      <c r="G158" t="s">
        <v>280</v>
      </c>
      <c r="H158" t="s">
        <v>548</v>
      </c>
      <c r="I158" t="s">
        <v>35</v>
      </c>
      <c r="J158"/>
      <c r="K158">
        <v>1</v>
      </c>
      <c r="L158">
        <v>1</v>
      </c>
      <c r="M158" t="s">
        <v>33</v>
      </c>
      <c r="N158">
        <v>1</v>
      </c>
      <c r="O158">
        <v>1</v>
      </c>
      <c r="P158">
        <v>1</v>
      </c>
      <c r="Q158" t="s">
        <v>38</v>
      </c>
      <c r="R158">
        <v>1</v>
      </c>
      <c r="S158">
        <v>1</v>
      </c>
      <c r="T158">
        <v>1</v>
      </c>
      <c r="U158"/>
      <c r="V158"/>
      <c r="W158"/>
      <c r="X158">
        <v>1</v>
      </c>
      <c r="Y158"/>
      <c r="Z158">
        <v>0</v>
      </c>
      <c r="AA158"/>
      <c r="AB158"/>
      <c r="AC158"/>
      <c r="AD158"/>
      <c r="AE158">
        <v>0</v>
      </c>
      <c r="AF158"/>
      <c r="AG158" t="s">
        <v>3465</v>
      </c>
      <c r="AH158"/>
    </row>
    <row r="159" spans="1:34" x14ac:dyDescent="0.25">
      <c r="A159" t="s">
        <v>544</v>
      </c>
      <c r="B159" t="s">
        <v>545</v>
      </c>
      <c r="C159"/>
      <c r="D159" t="s">
        <v>383</v>
      </c>
      <c r="E159" t="s">
        <v>546</v>
      </c>
      <c r="F159" t="s">
        <v>549</v>
      </c>
      <c r="G159" t="s">
        <v>280</v>
      </c>
      <c r="H159" t="s">
        <v>550</v>
      </c>
      <c r="I159" t="s">
        <v>35</v>
      </c>
      <c r="J159"/>
      <c r="K159">
        <v>1</v>
      </c>
      <c r="L159">
        <v>1</v>
      </c>
      <c r="M159" t="s">
        <v>33</v>
      </c>
      <c r="N159">
        <v>1</v>
      </c>
      <c r="O159">
        <v>1</v>
      </c>
      <c r="P159">
        <v>1</v>
      </c>
      <c r="Q159" t="s">
        <v>38</v>
      </c>
      <c r="R159">
        <v>1</v>
      </c>
      <c r="S159">
        <v>1</v>
      </c>
      <c r="T159">
        <v>1</v>
      </c>
      <c r="U159"/>
      <c r="V159"/>
      <c r="W159"/>
      <c r="X159">
        <v>1</v>
      </c>
      <c r="Y159"/>
      <c r="Z159">
        <v>0</v>
      </c>
      <c r="AA159"/>
      <c r="AB159"/>
      <c r="AC159"/>
      <c r="AD159"/>
      <c r="AE159">
        <v>0</v>
      </c>
      <c r="AF159"/>
      <c r="AG159" t="s">
        <v>3465</v>
      </c>
      <c r="AH159"/>
    </row>
    <row r="160" spans="1:34" x14ac:dyDescent="0.25">
      <c r="A160" t="s">
        <v>544</v>
      </c>
      <c r="B160" t="s">
        <v>545</v>
      </c>
      <c r="C160"/>
      <c r="D160" t="s">
        <v>383</v>
      </c>
      <c r="E160" t="s">
        <v>546</v>
      </c>
      <c r="F160" t="s">
        <v>551</v>
      </c>
      <c r="G160" t="s">
        <v>280</v>
      </c>
      <c r="H160" t="s">
        <v>552</v>
      </c>
      <c r="I160" t="s">
        <v>35</v>
      </c>
      <c r="J160"/>
      <c r="K160">
        <v>1</v>
      </c>
      <c r="L160">
        <v>1</v>
      </c>
      <c r="M160" t="s">
        <v>33</v>
      </c>
      <c r="N160">
        <v>1</v>
      </c>
      <c r="O160">
        <v>1</v>
      </c>
      <c r="P160">
        <v>1</v>
      </c>
      <c r="Q160" t="s">
        <v>38</v>
      </c>
      <c r="R160">
        <v>1</v>
      </c>
      <c r="S160">
        <v>1</v>
      </c>
      <c r="T160">
        <v>1</v>
      </c>
      <c r="U160"/>
      <c r="V160"/>
      <c r="W160"/>
      <c r="X160">
        <v>1</v>
      </c>
      <c r="Y160"/>
      <c r="Z160">
        <v>0</v>
      </c>
      <c r="AA160"/>
      <c r="AB160"/>
      <c r="AC160"/>
      <c r="AD160"/>
      <c r="AE160">
        <v>0</v>
      </c>
      <c r="AF160"/>
      <c r="AG160" t="s">
        <v>3465</v>
      </c>
      <c r="AH160"/>
    </row>
    <row r="161" spans="1:34" x14ac:dyDescent="0.25">
      <c r="A161" t="s">
        <v>544</v>
      </c>
      <c r="B161" t="s">
        <v>545</v>
      </c>
      <c r="C161"/>
      <c r="D161" t="s">
        <v>383</v>
      </c>
      <c r="E161" t="s">
        <v>546</v>
      </c>
      <c r="F161" t="s">
        <v>553</v>
      </c>
      <c r="G161" t="s">
        <v>280</v>
      </c>
      <c r="H161" t="s">
        <v>554</v>
      </c>
      <c r="I161" t="s">
        <v>35</v>
      </c>
      <c r="J161"/>
      <c r="K161">
        <v>1</v>
      </c>
      <c r="L161">
        <v>1</v>
      </c>
      <c r="M161" t="s">
        <v>33</v>
      </c>
      <c r="N161">
        <v>1</v>
      </c>
      <c r="O161">
        <v>1</v>
      </c>
      <c r="P161">
        <v>1</v>
      </c>
      <c r="Q161" t="s">
        <v>38</v>
      </c>
      <c r="R161">
        <v>1</v>
      </c>
      <c r="S161">
        <v>1</v>
      </c>
      <c r="T161">
        <v>1</v>
      </c>
      <c r="U161"/>
      <c r="V161"/>
      <c r="W161"/>
      <c r="X161">
        <v>1</v>
      </c>
      <c r="Y161"/>
      <c r="Z161">
        <v>0</v>
      </c>
      <c r="AA161"/>
      <c r="AB161"/>
      <c r="AC161"/>
      <c r="AD161"/>
      <c r="AE161">
        <v>0</v>
      </c>
      <c r="AF161"/>
      <c r="AG161" t="s">
        <v>3465</v>
      </c>
      <c r="AH161"/>
    </row>
    <row r="162" spans="1:34" x14ac:dyDescent="0.25">
      <c r="A162" t="s">
        <v>544</v>
      </c>
      <c r="B162" t="s">
        <v>545</v>
      </c>
      <c r="C162"/>
      <c r="D162" t="s">
        <v>383</v>
      </c>
      <c r="E162" t="s">
        <v>546</v>
      </c>
      <c r="F162" t="s">
        <v>555</v>
      </c>
      <c r="G162" t="s">
        <v>280</v>
      </c>
      <c r="H162" t="s">
        <v>556</v>
      </c>
      <c r="I162" t="s">
        <v>35</v>
      </c>
      <c r="J162"/>
      <c r="K162">
        <v>1</v>
      </c>
      <c r="L162">
        <v>1</v>
      </c>
      <c r="M162" t="s">
        <v>33</v>
      </c>
      <c r="N162">
        <v>1</v>
      </c>
      <c r="O162">
        <v>1</v>
      </c>
      <c r="P162">
        <v>1</v>
      </c>
      <c r="Q162" t="s">
        <v>38</v>
      </c>
      <c r="R162">
        <v>1</v>
      </c>
      <c r="S162">
        <v>1</v>
      </c>
      <c r="T162">
        <v>1</v>
      </c>
      <c r="U162"/>
      <c r="V162"/>
      <c r="W162"/>
      <c r="X162">
        <v>1</v>
      </c>
      <c r="Y162"/>
      <c r="Z162">
        <v>0</v>
      </c>
      <c r="AA162"/>
      <c r="AB162"/>
      <c r="AC162"/>
      <c r="AD162"/>
      <c r="AE162">
        <v>0</v>
      </c>
      <c r="AF162"/>
      <c r="AG162" t="s">
        <v>3465</v>
      </c>
      <c r="AH162"/>
    </row>
    <row r="163" spans="1:34" x14ac:dyDescent="0.25">
      <c r="A163" t="s">
        <v>544</v>
      </c>
      <c r="B163" t="s">
        <v>545</v>
      </c>
      <c r="C163"/>
      <c r="D163" t="s">
        <v>383</v>
      </c>
      <c r="E163" t="s">
        <v>546</v>
      </c>
      <c r="F163" t="s">
        <v>557</v>
      </c>
      <c r="G163" t="s">
        <v>280</v>
      </c>
      <c r="H163" t="s">
        <v>558</v>
      </c>
      <c r="I163" t="s">
        <v>35</v>
      </c>
      <c r="J163"/>
      <c r="K163">
        <v>1</v>
      </c>
      <c r="L163">
        <v>1</v>
      </c>
      <c r="M163" t="s">
        <v>33</v>
      </c>
      <c r="N163">
        <v>1</v>
      </c>
      <c r="O163">
        <v>1</v>
      </c>
      <c r="P163">
        <v>1</v>
      </c>
      <c r="Q163" t="s">
        <v>38</v>
      </c>
      <c r="R163">
        <v>1</v>
      </c>
      <c r="S163">
        <v>1</v>
      </c>
      <c r="T163">
        <v>1</v>
      </c>
      <c r="U163"/>
      <c r="V163"/>
      <c r="W163"/>
      <c r="X163">
        <v>1</v>
      </c>
      <c r="Y163"/>
      <c r="Z163">
        <v>0</v>
      </c>
      <c r="AA163"/>
      <c r="AB163"/>
      <c r="AC163"/>
      <c r="AD163"/>
      <c r="AE163">
        <v>0</v>
      </c>
      <c r="AF163"/>
      <c r="AG163" t="s">
        <v>3465</v>
      </c>
      <c r="AH163"/>
    </row>
    <row r="164" spans="1:34" x14ac:dyDescent="0.25">
      <c r="A164" t="s">
        <v>544</v>
      </c>
      <c r="B164" t="s">
        <v>545</v>
      </c>
      <c r="C164"/>
      <c r="D164" t="s">
        <v>383</v>
      </c>
      <c r="E164" t="s">
        <v>546</v>
      </c>
      <c r="F164" t="s">
        <v>559</v>
      </c>
      <c r="G164" t="s">
        <v>280</v>
      </c>
      <c r="H164" t="s">
        <v>560</v>
      </c>
      <c r="I164" t="s">
        <v>35</v>
      </c>
      <c r="J164"/>
      <c r="K164">
        <v>1</v>
      </c>
      <c r="L164">
        <v>1</v>
      </c>
      <c r="M164" t="s">
        <v>33</v>
      </c>
      <c r="N164">
        <v>1</v>
      </c>
      <c r="O164">
        <v>1</v>
      </c>
      <c r="P164">
        <v>1</v>
      </c>
      <c r="Q164" t="s">
        <v>38</v>
      </c>
      <c r="R164">
        <v>1</v>
      </c>
      <c r="S164">
        <v>1</v>
      </c>
      <c r="T164">
        <v>1</v>
      </c>
      <c r="U164"/>
      <c r="V164"/>
      <c r="W164"/>
      <c r="X164">
        <v>1</v>
      </c>
      <c r="Y164"/>
      <c r="Z164">
        <v>0</v>
      </c>
      <c r="AA164"/>
      <c r="AB164"/>
      <c r="AC164"/>
      <c r="AD164"/>
      <c r="AE164">
        <v>0</v>
      </c>
      <c r="AF164"/>
      <c r="AG164" t="s">
        <v>3465</v>
      </c>
      <c r="AH164"/>
    </row>
    <row r="165" spans="1:34" x14ac:dyDescent="0.25">
      <c r="A165" t="s">
        <v>544</v>
      </c>
      <c r="B165" t="s">
        <v>545</v>
      </c>
      <c r="C165"/>
      <c r="D165" t="s">
        <v>383</v>
      </c>
      <c r="E165" t="s">
        <v>546</v>
      </c>
      <c r="F165" t="s">
        <v>561</v>
      </c>
      <c r="G165" t="s">
        <v>280</v>
      </c>
      <c r="H165" t="s">
        <v>562</v>
      </c>
      <c r="I165" t="s">
        <v>35</v>
      </c>
      <c r="J165"/>
      <c r="K165">
        <v>1</v>
      </c>
      <c r="L165">
        <v>1</v>
      </c>
      <c r="M165" t="s">
        <v>33</v>
      </c>
      <c r="N165">
        <v>1</v>
      </c>
      <c r="O165">
        <v>1</v>
      </c>
      <c r="P165">
        <v>1</v>
      </c>
      <c r="Q165" t="s">
        <v>38</v>
      </c>
      <c r="R165">
        <v>1</v>
      </c>
      <c r="S165">
        <v>1</v>
      </c>
      <c r="T165">
        <v>1</v>
      </c>
      <c r="U165"/>
      <c r="V165"/>
      <c r="W165"/>
      <c r="X165">
        <v>1</v>
      </c>
      <c r="Y165"/>
      <c r="Z165">
        <v>0</v>
      </c>
      <c r="AA165"/>
      <c r="AB165"/>
      <c r="AC165"/>
      <c r="AD165"/>
      <c r="AE165">
        <v>0</v>
      </c>
      <c r="AF165"/>
      <c r="AG165" t="s">
        <v>3465</v>
      </c>
      <c r="AH165"/>
    </row>
    <row r="166" spans="1:34" x14ac:dyDescent="0.25">
      <c r="A166" t="s">
        <v>544</v>
      </c>
      <c r="B166" t="s">
        <v>545</v>
      </c>
      <c r="C166"/>
      <c r="D166" t="s">
        <v>383</v>
      </c>
      <c r="E166" t="s">
        <v>546</v>
      </c>
      <c r="F166" t="s">
        <v>563</v>
      </c>
      <c r="G166" t="s">
        <v>280</v>
      </c>
      <c r="H166" t="s">
        <v>564</v>
      </c>
      <c r="I166" t="s">
        <v>35</v>
      </c>
      <c r="J166"/>
      <c r="K166">
        <v>1</v>
      </c>
      <c r="L166">
        <v>1</v>
      </c>
      <c r="M166" t="s">
        <v>33</v>
      </c>
      <c r="N166">
        <v>1</v>
      </c>
      <c r="O166">
        <v>1</v>
      </c>
      <c r="P166">
        <v>1</v>
      </c>
      <c r="Q166" t="s">
        <v>38</v>
      </c>
      <c r="R166">
        <v>1</v>
      </c>
      <c r="S166">
        <v>1</v>
      </c>
      <c r="T166">
        <v>1</v>
      </c>
      <c r="U166"/>
      <c r="V166"/>
      <c r="W166"/>
      <c r="X166">
        <v>1</v>
      </c>
      <c r="Y166"/>
      <c r="Z166">
        <v>0</v>
      </c>
      <c r="AA166"/>
      <c r="AB166"/>
      <c r="AC166"/>
      <c r="AD166"/>
      <c r="AE166">
        <v>0</v>
      </c>
      <c r="AF166"/>
      <c r="AG166" t="s">
        <v>3465</v>
      </c>
      <c r="AH166"/>
    </row>
    <row r="167" spans="1:34" x14ac:dyDescent="0.25">
      <c r="A167" t="s">
        <v>544</v>
      </c>
      <c r="B167" t="s">
        <v>545</v>
      </c>
      <c r="C167"/>
      <c r="D167" t="s">
        <v>383</v>
      </c>
      <c r="E167" t="s">
        <v>546</v>
      </c>
      <c r="F167" t="s">
        <v>565</v>
      </c>
      <c r="G167" t="s">
        <v>280</v>
      </c>
      <c r="H167" t="s">
        <v>566</v>
      </c>
      <c r="I167" t="s">
        <v>35</v>
      </c>
      <c r="J167"/>
      <c r="K167">
        <v>1</v>
      </c>
      <c r="L167">
        <v>1</v>
      </c>
      <c r="M167" t="s">
        <v>33</v>
      </c>
      <c r="N167">
        <v>1</v>
      </c>
      <c r="O167">
        <v>1</v>
      </c>
      <c r="P167">
        <v>1</v>
      </c>
      <c r="Q167" t="s">
        <v>38</v>
      </c>
      <c r="R167">
        <v>1</v>
      </c>
      <c r="S167">
        <v>1</v>
      </c>
      <c r="T167">
        <v>1</v>
      </c>
      <c r="U167"/>
      <c r="V167"/>
      <c r="W167"/>
      <c r="X167">
        <v>1</v>
      </c>
      <c r="Y167"/>
      <c r="Z167">
        <v>0</v>
      </c>
      <c r="AA167"/>
      <c r="AB167"/>
      <c r="AC167"/>
      <c r="AD167"/>
      <c r="AE167">
        <v>0</v>
      </c>
      <c r="AF167"/>
      <c r="AG167" t="s">
        <v>3465</v>
      </c>
      <c r="AH167"/>
    </row>
    <row r="168" spans="1:34" x14ac:dyDescent="0.25">
      <c r="A168" t="s">
        <v>544</v>
      </c>
      <c r="B168" t="s">
        <v>545</v>
      </c>
      <c r="C168"/>
      <c r="D168" t="s">
        <v>383</v>
      </c>
      <c r="E168" t="s">
        <v>546</v>
      </c>
      <c r="F168" t="s">
        <v>567</v>
      </c>
      <c r="G168" t="s">
        <v>280</v>
      </c>
      <c r="H168" t="s">
        <v>568</v>
      </c>
      <c r="I168" t="s">
        <v>35</v>
      </c>
      <c r="J168"/>
      <c r="K168">
        <v>1</v>
      </c>
      <c r="L168">
        <v>1</v>
      </c>
      <c r="M168" t="s">
        <v>33</v>
      </c>
      <c r="N168">
        <v>1</v>
      </c>
      <c r="O168">
        <v>1</v>
      </c>
      <c r="P168">
        <v>1</v>
      </c>
      <c r="Q168" t="s">
        <v>38</v>
      </c>
      <c r="R168">
        <v>1</v>
      </c>
      <c r="S168">
        <v>1</v>
      </c>
      <c r="T168">
        <v>1</v>
      </c>
      <c r="U168"/>
      <c r="V168"/>
      <c r="W168"/>
      <c r="X168">
        <v>1</v>
      </c>
      <c r="Y168"/>
      <c r="Z168">
        <v>0</v>
      </c>
      <c r="AA168"/>
      <c r="AB168"/>
      <c r="AC168"/>
      <c r="AD168"/>
      <c r="AE168">
        <v>0</v>
      </c>
      <c r="AF168"/>
      <c r="AG168" t="s">
        <v>3465</v>
      </c>
      <c r="AH168"/>
    </row>
    <row r="169" spans="1:34" x14ac:dyDescent="0.25">
      <c r="A169" t="s">
        <v>544</v>
      </c>
      <c r="B169" t="s">
        <v>545</v>
      </c>
      <c r="C169"/>
      <c r="D169" t="s">
        <v>383</v>
      </c>
      <c r="E169" t="s">
        <v>546</v>
      </c>
      <c r="F169" t="s">
        <v>569</v>
      </c>
      <c r="G169" t="s">
        <v>280</v>
      </c>
      <c r="H169" t="s">
        <v>570</v>
      </c>
      <c r="I169" t="s">
        <v>35</v>
      </c>
      <c r="J169"/>
      <c r="K169">
        <v>1</v>
      </c>
      <c r="L169">
        <v>1</v>
      </c>
      <c r="M169" t="s">
        <v>33</v>
      </c>
      <c r="N169">
        <v>1</v>
      </c>
      <c r="O169">
        <v>1</v>
      </c>
      <c r="P169">
        <v>1</v>
      </c>
      <c r="Q169" t="s">
        <v>38</v>
      </c>
      <c r="R169">
        <v>1</v>
      </c>
      <c r="S169">
        <v>1</v>
      </c>
      <c r="T169">
        <v>1</v>
      </c>
      <c r="U169"/>
      <c r="V169"/>
      <c r="W169"/>
      <c r="X169">
        <v>1</v>
      </c>
      <c r="Y169"/>
      <c r="Z169">
        <v>0</v>
      </c>
      <c r="AA169"/>
      <c r="AB169"/>
      <c r="AC169"/>
      <c r="AD169"/>
      <c r="AE169">
        <v>0</v>
      </c>
      <c r="AF169"/>
      <c r="AG169" t="s">
        <v>3465</v>
      </c>
      <c r="AH169"/>
    </row>
    <row r="170" spans="1:34" x14ac:dyDescent="0.25">
      <c r="A170" t="s">
        <v>544</v>
      </c>
      <c r="B170" t="s">
        <v>545</v>
      </c>
      <c r="C170"/>
      <c r="D170" t="s">
        <v>383</v>
      </c>
      <c r="E170" t="s">
        <v>546</v>
      </c>
      <c r="F170" t="s">
        <v>571</v>
      </c>
      <c r="G170" t="s">
        <v>280</v>
      </c>
      <c r="H170" t="s">
        <v>572</v>
      </c>
      <c r="I170" t="s">
        <v>35</v>
      </c>
      <c r="J170"/>
      <c r="K170">
        <v>1</v>
      </c>
      <c r="L170">
        <v>1</v>
      </c>
      <c r="M170" t="s">
        <v>33</v>
      </c>
      <c r="N170">
        <v>1</v>
      </c>
      <c r="O170">
        <v>1</v>
      </c>
      <c r="P170">
        <v>1</v>
      </c>
      <c r="Q170" t="s">
        <v>38</v>
      </c>
      <c r="R170">
        <v>1</v>
      </c>
      <c r="S170">
        <v>1</v>
      </c>
      <c r="T170">
        <v>1</v>
      </c>
      <c r="U170"/>
      <c r="V170"/>
      <c r="W170"/>
      <c r="X170">
        <v>1</v>
      </c>
      <c r="Y170"/>
      <c r="Z170">
        <v>0</v>
      </c>
      <c r="AA170"/>
      <c r="AB170"/>
      <c r="AC170"/>
      <c r="AD170"/>
      <c r="AE170">
        <v>0</v>
      </c>
      <c r="AF170"/>
      <c r="AG170" t="s">
        <v>3465</v>
      </c>
      <c r="AH170"/>
    </row>
    <row r="171" spans="1:34" x14ac:dyDescent="0.25">
      <c r="A171" t="s">
        <v>544</v>
      </c>
      <c r="B171" t="s">
        <v>545</v>
      </c>
      <c r="C171"/>
      <c r="D171" t="s">
        <v>383</v>
      </c>
      <c r="E171" t="s">
        <v>546</v>
      </c>
      <c r="F171" t="s">
        <v>573</v>
      </c>
      <c r="G171" t="s">
        <v>280</v>
      </c>
      <c r="H171" t="s">
        <v>574</v>
      </c>
      <c r="I171" t="s">
        <v>35</v>
      </c>
      <c r="J171"/>
      <c r="K171">
        <v>1</v>
      </c>
      <c r="L171">
        <v>1</v>
      </c>
      <c r="M171" t="s">
        <v>33</v>
      </c>
      <c r="N171">
        <v>1</v>
      </c>
      <c r="O171">
        <v>1</v>
      </c>
      <c r="P171">
        <v>1</v>
      </c>
      <c r="Q171" t="s">
        <v>38</v>
      </c>
      <c r="R171">
        <v>1</v>
      </c>
      <c r="S171">
        <v>1</v>
      </c>
      <c r="T171">
        <v>1</v>
      </c>
      <c r="U171"/>
      <c r="V171"/>
      <c r="W171"/>
      <c r="X171">
        <v>1</v>
      </c>
      <c r="Y171"/>
      <c r="Z171">
        <v>0</v>
      </c>
      <c r="AA171"/>
      <c r="AB171"/>
      <c r="AC171"/>
      <c r="AD171"/>
      <c r="AE171">
        <v>0</v>
      </c>
      <c r="AF171"/>
      <c r="AG171"/>
      <c r="AH171"/>
    </row>
    <row r="172" spans="1:34" x14ac:dyDescent="0.25">
      <c r="A172" t="s">
        <v>2024</v>
      </c>
      <c r="B172" t="s">
        <v>2025</v>
      </c>
      <c r="C172"/>
      <c r="D172" t="s">
        <v>383</v>
      </c>
      <c r="E172" t="s">
        <v>546</v>
      </c>
      <c r="F172" t="s">
        <v>573</v>
      </c>
      <c r="G172" t="s">
        <v>280</v>
      </c>
      <c r="H172" t="s">
        <v>574</v>
      </c>
      <c r="I172" t="s">
        <v>35</v>
      </c>
      <c r="J172"/>
      <c r="K172">
        <v>1</v>
      </c>
      <c r="L172">
        <v>1</v>
      </c>
      <c r="M172" t="s">
        <v>33</v>
      </c>
      <c r="N172">
        <v>1</v>
      </c>
      <c r="O172">
        <v>1</v>
      </c>
      <c r="P172">
        <v>1</v>
      </c>
      <c r="Q172" t="s">
        <v>38</v>
      </c>
      <c r="R172">
        <v>1</v>
      </c>
      <c r="S172">
        <v>1</v>
      </c>
      <c r="T172">
        <v>1</v>
      </c>
      <c r="U172"/>
      <c r="V172"/>
      <c r="W172"/>
      <c r="X172">
        <v>1</v>
      </c>
      <c r="Y172"/>
      <c r="Z172">
        <v>0</v>
      </c>
      <c r="AA172"/>
      <c r="AB172"/>
      <c r="AC172"/>
      <c r="AD172"/>
      <c r="AE172">
        <v>0</v>
      </c>
      <c r="AF172"/>
      <c r="AG172"/>
      <c r="AH172"/>
    </row>
    <row r="173" spans="1:34" x14ac:dyDescent="0.25">
      <c r="A173" t="s">
        <v>544</v>
      </c>
      <c r="B173" t="s">
        <v>545</v>
      </c>
      <c r="C173"/>
      <c r="D173" t="s">
        <v>383</v>
      </c>
      <c r="E173" t="s">
        <v>546</v>
      </c>
      <c r="F173" t="s">
        <v>575</v>
      </c>
      <c r="G173" t="s">
        <v>280</v>
      </c>
      <c r="H173" t="s">
        <v>576</v>
      </c>
      <c r="I173" t="s">
        <v>35</v>
      </c>
      <c r="J173"/>
      <c r="K173">
        <v>1</v>
      </c>
      <c r="L173">
        <v>1</v>
      </c>
      <c r="M173" t="s">
        <v>33</v>
      </c>
      <c r="N173">
        <v>1</v>
      </c>
      <c r="O173">
        <v>1</v>
      </c>
      <c r="P173">
        <v>1</v>
      </c>
      <c r="Q173" t="s">
        <v>38</v>
      </c>
      <c r="R173">
        <v>1</v>
      </c>
      <c r="S173">
        <v>1</v>
      </c>
      <c r="T173">
        <v>1</v>
      </c>
      <c r="U173"/>
      <c r="V173"/>
      <c r="W173"/>
      <c r="X173">
        <v>1</v>
      </c>
      <c r="Y173"/>
      <c r="Z173">
        <v>0</v>
      </c>
      <c r="AA173"/>
      <c r="AB173"/>
      <c r="AC173"/>
      <c r="AD173"/>
      <c r="AE173">
        <v>0</v>
      </c>
      <c r="AF173"/>
      <c r="AG173" t="s">
        <v>3465</v>
      </c>
      <c r="AH173"/>
    </row>
    <row r="174" spans="1:34" x14ac:dyDescent="0.25">
      <c r="A174" t="s">
        <v>544</v>
      </c>
      <c r="B174" t="s">
        <v>545</v>
      </c>
      <c r="C174"/>
      <c r="D174" t="s">
        <v>383</v>
      </c>
      <c r="E174" t="s">
        <v>546</v>
      </c>
      <c r="F174" t="s">
        <v>577</v>
      </c>
      <c r="G174" t="s">
        <v>280</v>
      </c>
      <c r="H174" t="s">
        <v>578</v>
      </c>
      <c r="I174" t="s">
        <v>35</v>
      </c>
      <c r="J174"/>
      <c r="K174">
        <v>1</v>
      </c>
      <c r="L174">
        <v>1</v>
      </c>
      <c r="M174" t="s">
        <v>33</v>
      </c>
      <c r="N174">
        <v>1</v>
      </c>
      <c r="O174">
        <v>1</v>
      </c>
      <c r="P174">
        <v>1</v>
      </c>
      <c r="Q174" t="s">
        <v>38</v>
      </c>
      <c r="R174">
        <v>1</v>
      </c>
      <c r="S174">
        <v>1</v>
      </c>
      <c r="T174">
        <v>1</v>
      </c>
      <c r="U174"/>
      <c r="V174"/>
      <c r="W174"/>
      <c r="X174">
        <v>1</v>
      </c>
      <c r="Y174"/>
      <c r="Z174">
        <v>0</v>
      </c>
      <c r="AA174"/>
      <c r="AB174"/>
      <c r="AC174"/>
      <c r="AD174"/>
      <c r="AE174">
        <v>0</v>
      </c>
      <c r="AF174"/>
      <c r="AG174" t="s">
        <v>3465</v>
      </c>
      <c r="AH174"/>
    </row>
    <row r="175" spans="1:34" x14ac:dyDescent="0.25">
      <c r="A175" t="s">
        <v>544</v>
      </c>
      <c r="B175" t="s">
        <v>545</v>
      </c>
      <c r="C175"/>
      <c r="D175" t="s">
        <v>383</v>
      </c>
      <c r="E175" t="s">
        <v>546</v>
      </c>
      <c r="F175" t="s">
        <v>579</v>
      </c>
      <c r="G175" t="s">
        <v>280</v>
      </c>
      <c r="H175" t="s">
        <v>580</v>
      </c>
      <c r="I175" t="s">
        <v>35</v>
      </c>
      <c r="J175"/>
      <c r="K175">
        <v>1</v>
      </c>
      <c r="L175">
        <v>1</v>
      </c>
      <c r="M175" t="s">
        <v>33</v>
      </c>
      <c r="N175">
        <v>1</v>
      </c>
      <c r="O175">
        <v>1</v>
      </c>
      <c r="P175">
        <v>1</v>
      </c>
      <c r="Q175" t="s">
        <v>38</v>
      </c>
      <c r="R175">
        <v>1</v>
      </c>
      <c r="S175">
        <v>1</v>
      </c>
      <c r="T175">
        <v>1</v>
      </c>
      <c r="U175"/>
      <c r="V175"/>
      <c r="W175"/>
      <c r="X175">
        <v>1</v>
      </c>
      <c r="Y175"/>
      <c r="Z175">
        <v>0</v>
      </c>
      <c r="AA175"/>
      <c r="AB175"/>
      <c r="AC175"/>
      <c r="AD175"/>
      <c r="AE175">
        <v>0</v>
      </c>
      <c r="AF175"/>
      <c r="AG175"/>
      <c r="AH175"/>
    </row>
    <row r="176" spans="1:34" x14ac:dyDescent="0.25">
      <c r="A176" t="s">
        <v>3394</v>
      </c>
      <c r="B176" t="s">
        <v>3395</v>
      </c>
      <c r="C176"/>
      <c r="D176" t="s">
        <v>383</v>
      </c>
      <c r="E176" t="s">
        <v>546</v>
      </c>
      <c r="F176" t="s">
        <v>579</v>
      </c>
      <c r="G176" t="s">
        <v>280</v>
      </c>
      <c r="H176" t="s">
        <v>580</v>
      </c>
      <c r="I176" t="s">
        <v>35</v>
      </c>
      <c r="J176"/>
      <c r="K176">
        <v>1</v>
      </c>
      <c r="L176">
        <v>1</v>
      </c>
      <c r="M176" t="s">
        <v>33</v>
      </c>
      <c r="N176">
        <v>1</v>
      </c>
      <c r="O176">
        <v>1</v>
      </c>
      <c r="P176">
        <v>1</v>
      </c>
      <c r="Q176" t="s">
        <v>38</v>
      </c>
      <c r="R176">
        <v>1</v>
      </c>
      <c r="S176">
        <v>1</v>
      </c>
      <c r="T176">
        <v>1</v>
      </c>
      <c r="U176"/>
      <c r="V176"/>
      <c r="W176"/>
      <c r="X176">
        <v>1</v>
      </c>
      <c r="Y176"/>
      <c r="Z176">
        <v>0</v>
      </c>
      <c r="AA176"/>
      <c r="AB176"/>
      <c r="AC176"/>
      <c r="AD176"/>
      <c r="AE176">
        <v>0</v>
      </c>
      <c r="AF176"/>
      <c r="AG176"/>
      <c r="AH176"/>
    </row>
    <row r="177" spans="1:34" x14ac:dyDescent="0.25">
      <c r="A177" t="s">
        <v>3397</v>
      </c>
      <c r="B177" t="s">
        <v>3398</v>
      </c>
      <c r="C177"/>
      <c r="D177" t="s">
        <v>383</v>
      </c>
      <c r="E177" t="s">
        <v>546</v>
      </c>
      <c r="F177" t="s">
        <v>579</v>
      </c>
      <c r="G177" t="s">
        <v>280</v>
      </c>
      <c r="H177" t="s">
        <v>580</v>
      </c>
      <c r="I177" t="s">
        <v>35</v>
      </c>
      <c r="J177"/>
      <c r="K177">
        <v>1</v>
      </c>
      <c r="L177">
        <v>1</v>
      </c>
      <c r="M177" t="s">
        <v>33</v>
      </c>
      <c r="N177">
        <v>1</v>
      </c>
      <c r="O177">
        <v>1</v>
      </c>
      <c r="P177">
        <v>1</v>
      </c>
      <c r="Q177" t="s">
        <v>38</v>
      </c>
      <c r="R177">
        <v>1</v>
      </c>
      <c r="S177">
        <v>1</v>
      </c>
      <c r="T177">
        <v>1</v>
      </c>
      <c r="U177"/>
      <c r="V177"/>
      <c r="W177"/>
      <c r="X177">
        <v>1</v>
      </c>
      <c r="Y177"/>
      <c r="Z177">
        <v>0</v>
      </c>
      <c r="AA177"/>
      <c r="AB177"/>
      <c r="AC177"/>
      <c r="AD177"/>
      <c r="AE177">
        <v>0</v>
      </c>
      <c r="AF177"/>
      <c r="AG177"/>
      <c r="AH177"/>
    </row>
    <row r="178" spans="1:34" x14ac:dyDescent="0.25">
      <c r="A178" t="s">
        <v>3444</v>
      </c>
      <c r="B178" t="s">
        <v>3445</v>
      </c>
      <c r="C178"/>
      <c r="D178" t="s">
        <v>383</v>
      </c>
      <c r="E178" t="s">
        <v>546</v>
      </c>
      <c r="F178" t="s">
        <v>579</v>
      </c>
      <c r="G178" t="s">
        <v>259</v>
      </c>
      <c r="H178" t="s">
        <v>580</v>
      </c>
      <c r="I178" t="s">
        <v>35</v>
      </c>
      <c r="J178"/>
      <c r="K178">
        <v>1</v>
      </c>
      <c r="L178">
        <v>1</v>
      </c>
      <c r="M178" t="s">
        <v>33</v>
      </c>
      <c r="N178">
        <v>1</v>
      </c>
      <c r="O178">
        <v>1</v>
      </c>
      <c r="P178">
        <v>1</v>
      </c>
      <c r="Q178" t="s">
        <v>38</v>
      </c>
      <c r="R178">
        <v>1</v>
      </c>
      <c r="S178">
        <v>1</v>
      </c>
      <c r="T178">
        <v>1</v>
      </c>
      <c r="U178"/>
      <c r="V178"/>
      <c r="W178"/>
      <c r="X178">
        <v>1</v>
      </c>
      <c r="Y178"/>
      <c r="Z178">
        <v>0</v>
      </c>
      <c r="AA178"/>
      <c r="AB178"/>
      <c r="AC178"/>
      <c r="AD178"/>
      <c r="AE178">
        <v>0</v>
      </c>
      <c r="AF178"/>
      <c r="AG178"/>
      <c r="AH178"/>
    </row>
    <row r="179" spans="1:34" x14ac:dyDescent="0.25">
      <c r="A179" t="s">
        <v>3446</v>
      </c>
      <c r="B179" t="s">
        <v>3447</v>
      </c>
      <c r="C179"/>
      <c r="D179" t="s">
        <v>383</v>
      </c>
      <c r="E179" t="s">
        <v>546</v>
      </c>
      <c r="F179" t="s">
        <v>579</v>
      </c>
      <c r="G179" t="s">
        <v>259</v>
      </c>
      <c r="H179" t="s">
        <v>580</v>
      </c>
      <c r="I179" t="s">
        <v>35</v>
      </c>
      <c r="J179"/>
      <c r="K179">
        <v>1</v>
      </c>
      <c r="L179">
        <v>1</v>
      </c>
      <c r="M179" t="s">
        <v>33</v>
      </c>
      <c r="N179">
        <v>1</v>
      </c>
      <c r="O179">
        <v>1</v>
      </c>
      <c r="P179">
        <v>1</v>
      </c>
      <c r="Q179" t="s">
        <v>38</v>
      </c>
      <c r="R179">
        <v>1</v>
      </c>
      <c r="S179">
        <v>1</v>
      </c>
      <c r="T179">
        <v>1</v>
      </c>
      <c r="U179"/>
      <c r="V179"/>
      <c r="W179"/>
      <c r="X179">
        <v>1</v>
      </c>
      <c r="Y179"/>
      <c r="Z179">
        <v>0</v>
      </c>
      <c r="AA179"/>
      <c r="AB179"/>
      <c r="AC179"/>
      <c r="AD179"/>
      <c r="AE179">
        <v>0</v>
      </c>
      <c r="AF179"/>
      <c r="AG179"/>
      <c r="AH179"/>
    </row>
    <row r="180" spans="1:34" x14ac:dyDescent="0.25">
      <c r="A180" t="s">
        <v>3452</v>
      </c>
      <c r="B180" t="s">
        <v>3453</v>
      </c>
      <c r="C180"/>
      <c r="D180" t="s">
        <v>383</v>
      </c>
      <c r="E180" t="s">
        <v>546</v>
      </c>
      <c r="F180" t="s">
        <v>579</v>
      </c>
      <c r="G180" t="s">
        <v>280</v>
      </c>
      <c r="H180" t="s">
        <v>580</v>
      </c>
      <c r="I180" t="s">
        <v>35</v>
      </c>
      <c r="J180"/>
      <c r="K180">
        <v>1</v>
      </c>
      <c r="L180">
        <v>1</v>
      </c>
      <c r="M180" t="s">
        <v>33</v>
      </c>
      <c r="N180">
        <v>1</v>
      </c>
      <c r="O180">
        <v>1</v>
      </c>
      <c r="P180">
        <v>1</v>
      </c>
      <c r="Q180" t="s">
        <v>38</v>
      </c>
      <c r="R180">
        <v>1</v>
      </c>
      <c r="S180">
        <v>1</v>
      </c>
      <c r="T180">
        <v>1</v>
      </c>
      <c r="U180"/>
      <c r="V180"/>
      <c r="W180"/>
      <c r="X180">
        <v>1</v>
      </c>
      <c r="Y180"/>
      <c r="Z180">
        <v>0</v>
      </c>
      <c r="AA180"/>
      <c r="AB180"/>
      <c r="AC180"/>
      <c r="AD180"/>
      <c r="AE180">
        <v>0</v>
      </c>
      <c r="AF180"/>
      <c r="AG180"/>
      <c r="AH180"/>
    </row>
    <row r="181" spans="1:34" x14ac:dyDescent="0.25">
      <c r="A181" t="s">
        <v>3454</v>
      </c>
      <c r="B181" t="s">
        <v>3455</v>
      </c>
      <c r="C181"/>
      <c r="D181" t="s">
        <v>383</v>
      </c>
      <c r="E181" t="s">
        <v>546</v>
      </c>
      <c r="F181" t="s">
        <v>579</v>
      </c>
      <c r="G181" t="s">
        <v>259</v>
      </c>
      <c r="H181" t="s">
        <v>580</v>
      </c>
      <c r="I181" t="s">
        <v>35</v>
      </c>
      <c r="J181"/>
      <c r="K181">
        <v>1</v>
      </c>
      <c r="L181">
        <v>1</v>
      </c>
      <c r="M181" t="s">
        <v>33</v>
      </c>
      <c r="N181">
        <v>1</v>
      </c>
      <c r="O181">
        <v>1</v>
      </c>
      <c r="P181">
        <v>1</v>
      </c>
      <c r="Q181" t="s">
        <v>38</v>
      </c>
      <c r="R181">
        <v>1</v>
      </c>
      <c r="S181">
        <v>1</v>
      </c>
      <c r="T181">
        <v>1</v>
      </c>
      <c r="U181"/>
      <c r="V181"/>
      <c r="W181"/>
      <c r="X181">
        <v>1</v>
      </c>
      <c r="Y181"/>
      <c r="Z181">
        <v>0</v>
      </c>
      <c r="AA181"/>
      <c r="AB181"/>
      <c r="AC181"/>
      <c r="AD181"/>
      <c r="AE181">
        <v>0</v>
      </c>
      <c r="AF181"/>
      <c r="AG181"/>
      <c r="AH181"/>
    </row>
    <row r="182" spans="1:34" x14ac:dyDescent="0.25">
      <c r="A182" t="s">
        <v>544</v>
      </c>
      <c r="B182" t="s">
        <v>545</v>
      </c>
      <c r="C182"/>
      <c r="D182" t="s">
        <v>383</v>
      </c>
      <c r="E182" t="s">
        <v>546</v>
      </c>
      <c r="F182" t="s">
        <v>581</v>
      </c>
      <c r="G182" t="s">
        <v>280</v>
      </c>
      <c r="H182" t="s">
        <v>582</v>
      </c>
      <c r="I182" t="s">
        <v>35</v>
      </c>
      <c r="J182"/>
      <c r="K182">
        <v>1</v>
      </c>
      <c r="L182">
        <v>1</v>
      </c>
      <c r="M182" t="s">
        <v>33</v>
      </c>
      <c r="N182">
        <v>1</v>
      </c>
      <c r="O182">
        <v>1</v>
      </c>
      <c r="P182">
        <v>1</v>
      </c>
      <c r="Q182" t="s">
        <v>38</v>
      </c>
      <c r="R182">
        <v>1</v>
      </c>
      <c r="S182">
        <v>1</v>
      </c>
      <c r="T182">
        <v>1</v>
      </c>
      <c r="U182"/>
      <c r="V182"/>
      <c r="W182"/>
      <c r="X182">
        <v>1</v>
      </c>
      <c r="Y182"/>
      <c r="Z182">
        <v>0</v>
      </c>
      <c r="AA182"/>
      <c r="AB182"/>
      <c r="AC182"/>
      <c r="AD182"/>
      <c r="AE182">
        <v>0</v>
      </c>
      <c r="AF182"/>
      <c r="AG182" t="s">
        <v>3465</v>
      </c>
      <c r="AH182"/>
    </row>
    <row r="183" spans="1:34" x14ac:dyDescent="0.25">
      <c r="A183" t="s">
        <v>544</v>
      </c>
      <c r="B183" t="s">
        <v>545</v>
      </c>
      <c r="C183"/>
      <c r="D183" t="s">
        <v>383</v>
      </c>
      <c r="E183" t="s">
        <v>546</v>
      </c>
      <c r="F183" t="s">
        <v>583</v>
      </c>
      <c r="G183" t="s">
        <v>280</v>
      </c>
      <c r="H183" t="s">
        <v>584</v>
      </c>
      <c r="I183" t="s">
        <v>35</v>
      </c>
      <c r="J183"/>
      <c r="K183">
        <v>1</v>
      </c>
      <c r="L183">
        <v>1</v>
      </c>
      <c r="M183" t="s">
        <v>33</v>
      </c>
      <c r="N183">
        <v>1</v>
      </c>
      <c r="O183">
        <v>1</v>
      </c>
      <c r="P183">
        <v>1</v>
      </c>
      <c r="Q183" t="s">
        <v>38</v>
      </c>
      <c r="R183">
        <v>1</v>
      </c>
      <c r="S183">
        <v>1</v>
      </c>
      <c r="T183">
        <v>1</v>
      </c>
      <c r="U183"/>
      <c r="V183"/>
      <c r="W183"/>
      <c r="X183">
        <v>1</v>
      </c>
      <c r="Y183"/>
      <c r="Z183">
        <v>0</v>
      </c>
      <c r="AA183"/>
      <c r="AB183"/>
      <c r="AC183"/>
      <c r="AD183"/>
      <c r="AE183">
        <v>0</v>
      </c>
      <c r="AF183"/>
      <c r="AG183"/>
      <c r="AH183"/>
    </row>
    <row r="184" spans="1:34" x14ac:dyDescent="0.25">
      <c r="A184" t="s">
        <v>3448</v>
      </c>
      <c r="B184" t="s">
        <v>3449</v>
      </c>
      <c r="C184"/>
      <c r="D184" t="s">
        <v>383</v>
      </c>
      <c r="E184" t="s">
        <v>546</v>
      </c>
      <c r="F184" t="s">
        <v>583</v>
      </c>
      <c r="G184" t="s">
        <v>280</v>
      </c>
      <c r="H184" t="s">
        <v>584</v>
      </c>
      <c r="I184" t="s">
        <v>35</v>
      </c>
      <c r="J184"/>
      <c r="K184">
        <v>1</v>
      </c>
      <c r="L184">
        <v>1</v>
      </c>
      <c r="M184" t="s">
        <v>33</v>
      </c>
      <c r="N184">
        <v>1</v>
      </c>
      <c r="O184">
        <v>1</v>
      </c>
      <c r="P184">
        <v>1</v>
      </c>
      <c r="Q184" t="s">
        <v>38</v>
      </c>
      <c r="R184">
        <v>1</v>
      </c>
      <c r="S184">
        <v>1</v>
      </c>
      <c r="T184">
        <v>1</v>
      </c>
      <c r="U184"/>
      <c r="V184"/>
      <c r="W184"/>
      <c r="X184">
        <v>1</v>
      </c>
      <c r="Y184"/>
      <c r="Z184">
        <v>0</v>
      </c>
      <c r="AA184"/>
      <c r="AB184"/>
      <c r="AC184"/>
      <c r="AD184"/>
      <c r="AE184">
        <v>0</v>
      </c>
      <c r="AF184"/>
      <c r="AG184"/>
      <c r="AH184"/>
    </row>
    <row r="185" spans="1:34" x14ac:dyDescent="0.25">
      <c r="A185" t="s">
        <v>544</v>
      </c>
      <c r="B185" t="s">
        <v>545</v>
      </c>
      <c r="C185"/>
      <c r="D185" t="s">
        <v>383</v>
      </c>
      <c r="E185" t="s">
        <v>546</v>
      </c>
      <c r="F185" t="s">
        <v>585</v>
      </c>
      <c r="G185" t="s">
        <v>280</v>
      </c>
      <c r="H185" t="s">
        <v>586</v>
      </c>
      <c r="I185" t="s">
        <v>35</v>
      </c>
      <c r="J185"/>
      <c r="K185">
        <v>1</v>
      </c>
      <c r="L185">
        <v>1</v>
      </c>
      <c r="M185" t="s">
        <v>33</v>
      </c>
      <c r="N185">
        <v>1</v>
      </c>
      <c r="O185">
        <v>1</v>
      </c>
      <c r="P185">
        <v>1</v>
      </c>
      <c r="Q185" t="s">
        <v>38</v>
      </c>
      <c r="R185">
        <v>1</v>
      </c>
      <c r="S185">
        <v>1</v>
      </c>
      <c r="T185">
        <v>1</v>
      </c>
      <c r="U185"/>
      <c r="V185"/>
      <c r="W185"/>
      <c r="X185">
        <v>1</v>
      </c>
      <c r="Y185"/>
      <c r="Z185">
        <v>0</v>
      </c>
      <c r="AA185"/>
      <c r="AB185"/>
      <c r="AC185"/>
      <c r="AD185"/>
      <c r="AE185">
        <v>0</v>
      </c>
      <c r="AF185"/>
      <c r="AG185" t="s">
        <v>3465</v>
      </c>
      <c r="AH185"/>
    </row>
    <row r="186" spans="1:34" x14ac:dyDescent="0.25">
      <c r="A186" t="s">
        <v>544</v>
      </c>
      <c r="B186" t="s">
        <v>545</v>
      </c>
      <c r="C186"/>
      <c r="D186" t="s">
        <v>383</v>
      </c>
      <c r="E186" t="s">
        <v>546</v>
      </c>
      <c r="F186" t="s">
        <v>587</v>
      </c>
      <c r="G186" t="s">
        <v>280</v>
      </c>
      <c r="H186" t="s">
        <v>588</v>
      </c>
      <c r="I186" t="s">
        <v>35</v>
      </c>
      <c r="J186"/>
      <c r="K186">
        <v>1</v>
      </c>
      <c r="L186">
        <v>1</v>
      </c>
      <c r="M186" t="s">
        <v>33</v>
      </c>
      <c r="N186">
        <v>1</v>
      </c>
      <c r="O186">
        <v>1</v>
      </c>
      <c r="P186">
        <v>1</v>
      </c>
      <c r="Q186" t="s">
        <v>38</v>
      </c>
      <c r="R186">
        <v>1</v>
      </c>
      <c r="S186">
        <v>1</v>
      </c>
      <c r="T186">
        <v>1</v>
      </c>
      <c r="U186"/>
      <c r="V186"/>
      <c r="W186"/>
      <c r="X186">
        <v>1</v>
      </c>
      <c r="Y186"/>
      <c r="Z186">
        <v>0</v>
      </c>
      <c r="AA186"/>
      <c r="AB186"/>
      <c r="AC186"/>
      <c r="AD186"/>
      <c r="AE186">
        <v>0</v>
      </c>
      <c r="AF186"/>
      <c r="AG186" t="s">
        <v>3465</v>
      </c>
      <c r="AH186"/>
    </row>
    <row r="187" spans="1:34" x14ac:dyDescent="0.25">
      <c r="A187" t="s">
        <v>544</v>
      </c>
      <c r="B187" t="s">
        <v>545</v>
      </c>
      <c r="C187"/>
      <c r="D187" t="s">
        <v>383</v>
      </c>
      <c r="E187" t="s">
        <v>546</v>
      </c>
      <c r="F187" t="s">
        <v>589</v>
      </c>
      <c r="G187" t="s">
        <v>280</v>
      </c>
      <c r="H187" t="s">
        <v>590</v>
      </c>
      <c r="I187" t="s">
        <v>35</v>
      </c>
      <c r="J187"/>
      <c r="K187">
        <v>1</v>
      </c>
      <c r="L187">
        <v>1</v>
      </c>
      <c r="M187" t="s">
        <v>33</v>
      </c>
      <c r="N187">
        <v>1</v>
      </c>
      <c r="O187">
        <v>1</v>
      </c>
      <c r="P187">
        <v>1</v>
      </c>
      <c r="Q187" t="s">
        <v>38</v>
      </c>
      <c r="R187">
        <v>1</v>
      </c>
      <c r="S187">
        <v>1</v>
      </c>
      <c r="T187">
        <v>1</v>
      </c>
      <c r="U187"/>
      <c r="V187"/>
      <c r="W187"/>
      <c r="X187">
        <v>1</v>
      </c>
      <c r="Y187"/>
      <c r="Z187">
        <v>0</v>
      </c>
      <c r="AA187"/>
      <c r="AB187"/>
      <c r="AC187"/>
      <c r="AD187"/>
      <c r="AE187">
        <v>0</v>
      </c>
      <c r="AF187"/>
      <c r="AG187" t="s">
        <v>3465</v>
      </c>
      <c r="AH187"/>
    </row>
    <row r="188" spans="1:34" x14ac:dyDescent="0.25">
      <c r="A188" t="s">
        <v>544</v>
      </c>
      <c r="B188" t="s">
        <v>545</v>
      </c>
      <c r="C188"/>
      <c r="D188" t="s">
        <v>383</v>
      </c>
      <c r="E188" t="s">
        <v>546</v>
      </c>
      <c r="F188" t="s">
        <v>591</v>
      </c>
      <c r="G188" t="s">
        <v>280</v>
      </c>
      <c r="H188" t="s">
        <v>592</v>
      </c>
      <c r="I188" t="s">
        <v>35</v>
      </c>
      <c r="J188"/>
      <c r="K188">
        <v>1</v>
      </c>
      <c r="L188">
        <v>1</v>
      </c>
      <c r="M188" t="s">
        <v>33</v>
      </c>
      <c r="N188">
        <v>1</v>
      </c>
      <c r="O188">
        <v>1</v>
      </c>
      <c r="P188">
        <v>1</v>
      </c>
      <c r="Q188" t="s">
        <v>38</v>
      </c>
      <c r="R188">
        <v>1</v>
      </c>
      <c r="S188">
        <v>1</v>
      </c>
      <c r="T188">
        <v>1</v>
      </c>
      <c r="U188"/>
      <c r="V188"/>
      <c r="W188"/>
      <c r="X188">
        <v>1</v>
      </c>
      <c r="Y188"/>
      <c r="Z188">
        <v>0</v>
      </c>
      <c r="AA188"/>
      <c r="AB188"/>
      <c r="AC188"/>
      <c r="AD188"/>
      <c r="AE188">
        <v>0</v>
      </c>
      <c r="AF188"/>
      <c r="AG188" t="s">
        <v>3465</v>
      </c>
      <c r="AH188"/>
    </row>
    <row r="189" spans="1:34" x14ac:dyDescent="0.25">
      <c r="A189" t="s">
        <v>544</v>
      </c>
      <c r="B189" t="s">
        <v>545</v>
      </c>
      <c r="C189"/>
      <c r="D189" t="s">
        <v>383</v>
      </c>
      <c r="E189" t="s">
        <v>546</v>
      </c>
      <c r="F189" t="s">
        <v>593</v>
      </c>
      <c r="G189" t="s">
        <v>280</v>
      </c>
      <c r="H189" t="s">
        <v>594</v>
      </c>
      <c r="I189" t="s">
        <v>35</v>
      </c>
      <c r="J189"/>
      <c r="K189">
        <v>1</v>
      </c>
      <c r="L189">
        <v>1</v>
      </c>
      <c r="M189" t="s">
        <v>33</v>
      </c>
      <c r="N189">
        <v>1</v>
      </c>
      <c r="O189">
        <v>1</v>
      </c>
      <c r="P189">
        <v>1</v>
      </c>
      <c r="Q189" t="s">
        <v>38</v>
      </c>
      <c r="R189">
        <v>1</v>
      </c>
      <c r="S189">
        <v>1</v>
      </c>
      <c r="T189">
        <v>1</v>
      </c>
      <c r="U189"/>
      <c r="V189"/>
      <c r="W189"/>
      <c r="X189">
        <v>1</v>
      </c>
      <c r="Y189"/>
      <c r="Z189">
        <v>0</v>
      </c>
      <c r="AA189"/>
      <c r="AB189"/>
      <c r="AC189"/>
      <c r="AD189"/>
      <c r="AE189">
        <v>0</v>
      </c>
      <c r="AF189"/>
      <c r="AG189" t="s">
        <v>3465</v>
      </c>
      <c r="AH189"/>
    </row>
    <row r="190" spans="1:34" x14ac:dyDescent="0.25">
      <c r="A190" t="s">
        <v>544</v>
      </c>
      <c r="B190" t="s">
        <v>545</v>
      </c>
      <c r="C190"/>
      <c r="D190" t="s">
        <v>383</v>
      </c>
      <c r="E190" t="s">
        <v>546</v>
      </c>
      <c r="F190" t="s">
        <v>595</v>
      </c>
      <c r="G190" t="s">
        <v>280</v>
      </c>
      <c r="H190" t="s">
        <v>596</v>
      </c>
      <c r="I190" t="s">
        <v>35</v>
      </c>
      <c r="J190"/>
      <c r="K190">
        <v>1</v>
      </c>
      <c r="L190">
        <v>1</v>
      </c>
      <c r="M190" t="s">
        <v>33</v>
      </c>
      <c r="N190">
        <v>1</v>
      </c>
      <c r="O190">
        <v>1</v>
      </c>
      <c r="P190">
        <v>1</v>
      </c>
      <c r="Q190" t="s">
        <v>38</v>
      </c>
      <c r="R190">
        <v>1</v>
      </c>
      <c r="S190">
        <v>1</v>
      </c>
      <c r="T190">
        <v>1</v>
      </c>
      <c r="U190"/>
      <c r="V190"/>
      <c r="W190"/>
      <c r="X190">
        <v>1</v>
      </c>
      <c r="Y190"/>
      <c r="Z190">
        <v>0</v>
      </c>
      <c r="AA190"/>
      <c r="AB190"/>
      <c r="AC190"/>
      <c r="AD190"/>
      <c r="AE190">
        <v>0</v>
      </c>
      <c r="AF190"/>
      <c r="AG190" t="s">
        <v>3465</v>
      </c>
      <c r="AH190"/>
    </row>
    <row r="191" spans="1:34" x14ac:dyDescent="0.25">
      <c r="A191" t="s">
        <v>544</v>
      </c>
      <c r="B191" t="s">
        <v>545</v>
      </c>
      <c r="C191"/>
      <c r="D191" t="s">
        <v>383</v>
      </c>
      <c r="E191" t="s">
        <v>546</v>
      </c>
      <c r="F191" t="s">
        <v>597</v>
      </c>
      <c r="G191" t="s">
        <v>280</v>
      </c>
      <c r="H191" t="s">
        <v>598</v>
      </c>
      <c r="I191" t="s">
        <v>35</v>
      </c>
      <c r="J191"/>
      <c r="K191">
        <v>1</v>
      </c>
      <c r="L191">
        <v>1</v>
      </c>
      <c r="M191" t="s">
        <v>33</v>
      </c>
      <c r="N191">
        <v>1</v>
      </c>
      <c r="O191">
        <v>1</v>
      </c>
      <c r="P191">
        <v>1</v>
      </c>
      <c r="Q191" t="s">
        <v>38</v>
      </c>
      <c r="R191">
        <v>1</v>
      </c>
      <c r="S191">
        <v>1</v>
      </c>
      <c r="T191">
        <v>1</v>
      </c>
      <c r="U191"/>
      <c r="V191"/>
      <c r="W191"/>
      <c r="X191">
        <v>1</v>
      </c>
      <c r="Y191"/>
      <c r="Z191">
        <v>0</v>
      </c>
      <c r="AA191"/>
      <c r="AB191"/>
      <c r="AC191"/>
      <c r="AD191"/>
      <c r="AE191">
        <v>0</v>
      </c>
      <c r="AF191"/>
      <c r="AG191" t="s">
        <v>3465</v>
      </c>
      <c r="AH191"/>
    </row>
    <row r="192" spans="1:34" x14ac:dyDescent="0.25">
      <c r="A192" t="s">
        <v>544</v>
      </c>
      <c r="B192" t="s">
        <v>545</v>
      </c>
      <c r="C192"/>
      <c r="D192" t="s">
        <v>383</v>
      </c>
      <c r="E192" t="s">
        <v>546</v>
      </c>
      <c r="F192" t="s">
        <v>599</v>
      </c>
      <c r="G192" t="s">
        <v>280</v>
      </c>
      <c r="H192" t="s">
        <v>600</v>
      </c>
      <c r="I192" t="s">
        <v>35</v>
      </c>
      <c r="J192"/>
      <c r="K192">
        <v>1</v>
      </c>
      <c r="L192">
        <v>1</v>
      </c>
      <c r="M192" t="s">
        <v>33</v>
      </c>
      <c r="N192">
        <v>1</v>
      </c>
      <c r="O192">
        <v>1</v>
      </c>
      <c r="P192">
        <v>1</v>
      </c>
      <c r="Q192" t="s">
        <v>38</v>
      </c>
      <c r="R192">
        <v>1</v>
      </c>
      <c r="S192">
        <v>1</v>
      </c>
      <c r="T192">
        <v>1</v>
      </c>
      <c r="U192"/>
      <c r="V192"/>
      <c r="W192"/>
      <c r="X192">
        <v>1</v>
      </c>
      <c r="Y192"/>
      <c r="Z192">
        <v>0</v>
      </c>
      <c r="AA192"/>
      <c r="AB192"/>
      <c r="AC192"/>
      <c r="AD192"/>
      <c r="AE192">
        <v>0</v>
      </c>
      <c r="AF192"/>
      <c r="AG192" t="s">
        <v>3465</v>
      </c>
      <c r="AH192"/>
    </row>
    <row r="193" spans="1:34" x14ac:dyDescent="0.25">
      <c r="A193" t="s">
        <v>544</v>
      </c>
      <c r="B193" t="s">
        <v>545</v>
      </c>
      <c r="C193"/>
      <c r="D193" t="s">
        <v>383</v>
      </c>
      <c r="E193" t="s">
        <v>546</v>
      </c>
      <c r="F193" t="s">
        <v>601</v>
      </c>
      <c r="G193" t="s">
        <v>280</v>
      </c>
      <c r="H193" t="s">
        <v>602</v>
      </c>
      <c r="I193" t="s">
        <v>35</v>
      </c>
      <c r="J193"/>
      <c r="K193">
        <v>1</v>
      </c>
      <c r="L193">
        <v>1</v>
      </c>
      <c r="M193" t="s">
        <v>33</v>
      </c>
      <c r="N193">
        <v>1</v>
      </c>
      <c r="O193">
        <v>1</v>
      </c>
      <c r="P193">
        <v>1</v>
      </c>
      <c r="Q193" t="s">
        <v>38</v>
      </c>
      <c r="R193">
        <v>1</v>
      </c>
      <c r="S193">
        <v>1</v>
      </c>
      <c r="T193">
        <v>1</v>
      </c>
      <c r="U193"/>
      <c r="V193"/>
      <c r="W193"/>
      <c r="X193">
        <v>1</v>
      </c>
      <c r="Y193"/>
      <c r="Z193">
        <v>0</v>
      </c>
      <c r="AA193"/>
      <c r="AB193"/>
      <c r="AC193"/>
      <c r="AD193"/>
      <c r="AE193">
        <v>0</v>
      </c>
      <c r="AF193"/>
      <c r="AG193" t="s">
        <v>3465</v>
      </c>
      <c r="AH193"/>
    </row>
    <row r="194" spans="1:34" x14ac:dyDescent="0.25">
      <c r="A194" t="s">
        <v>544</v>
      </c>
      <c r="B194" t="s">
        <v>545</v>
      </c>
      <c r="C194"/>
      <c r="D194" t="s">
        <v>383</v>
      </c>
      <c r="E194" t="s">
        <v>546</v>
      </c>
      <c r="F194" t="s">
        <v>603</v>
      </c>
      <c r="G194" t="s">
        <v>280</v>
      </c>
      <c r="H194" t="s">
        <v>604</v>
      </c>
      <c r="I194" t="s">
        <v>35</v>
      </c>
      <c r="J194"/>
      <c r="K194">
        <v>1</v>
      </c>
      <c r="L194">
        <v>1</v>
      </c>
      <c r="M194" t="s">
        <v>33</v>
      </c>
      <c r="N194">
        <v>1</v>
      </c>
      <c r="O194">
        <v>1</v>
      </c>
      <c r="P194">
        <v>1</v>
      </c>
      <c r="Q194" t="s">
        <v>38</v>
      </c>
      <c r="R194">
        <v>1</v>
      </c>
      <c r="S194">
        <v>1</v>
      </c>
      <c r="T194">
        <v>1</v>
      </c>
      <c r="U194"/>
      <c r="V194"/>
      <c r="W194"/>
      <c r="X194">
        <v>1</v>
      </c>
      <c r="Y194"/>
      <c r="Z194">
        <v>0</v>
      </c>
      <c r="AA194"/>
      <c r="AB194"/>
      <c r="AC194"/>
      <c r="AD194"/>
      <c r="AE194">
        <v>0</v>
      </c>
      <c r="AF194"/>
      <c r="AG194" t="s">
        <v>3465</v>
      </c>
      <c r="AH194"/>
    </row>
    <row r="195" spans="1:34" x14ac:dyDescent="0.25">
      <c r="A195" t="s">
        <v>544</v>
      </c>
      <c r="B195" t="s">
        <v>545</v>
      </c>
      <c r="C195"/>
      <c r="D195" t="s">
        <v>383</v>
      </c>
      <c r="E195" t="s">
        <v>546</v>
      </c>
      <c r="F195" t="s">
        <v>605</v>
      </c>
      <c r="G195" t="s">
        <v>280</v>
      </c>
      <c r="H195" t="s">
        <v>606</v>
      </c>
      <c r="I195" t="s">
        <v>35</v>
      </c>
      <c r="J195"/>
      <c r="K195">
        <v>1</v>
      </c>
      <c r="L195">
        <v>1</v>
      </c>
      <c r="M195" t="s">
        <v>33</v>
      </c>
      <c r="N195">
        <v>1</v>
      </c>
      <c r="O195">
        <v>1</v>
      </c>
      <c r="P195">
        <v>1</v>
      </c>
      <c r="Q195" t="s">
        <v>38</v>
      </c>
      <c r="R195">
        <v>1</v>
      </c>
      <c r="S195">
        <v>1</v>
      </c>
      <c r="T195">
        <v>1</v>
      </c>
      <c r="U195"/>
      <c r="V195"/>
      <c r="W195"/>
      <c r="X195">
        <v>1</v>
      </c>
      <c r="Y195"/>
      <c r="Z195">
        <v>0</v>
      </c>
      <c r="AA195"/>
      <c r="AB195"/>
      <c r="AC195"/>
      <c r="AD195"/>
      <c r="AE195">
        <v>0</v>
      </c>
      <c r="AF195"/>
      <c r="AG195" t="s">
        <v>3465</v>
      </c>
      <c r="AH195"/>
    </row>
    <row r="196" spans="1:34" x14ac:dyDescent="0.25">
      <c r="A196" t="s">
        <v>544</v>
      </c>
      <c r="B196" t="s">
        <v>545</v>
      </c>
      <c r="C196"/>
      <c r="D196" t="s">
        <v>383</v>
      </c>
      <c r="E196" t="s">
        <v>546</v>
      </c>
      <c r="F196" t="s">
        <v>607</v>
      </c>
      <c r="G196" t="s">
        <v>280</v>
      </c>
      <c r="H196" t="s">
        <v>608</v>
      </c>
      <c r="I196" t="s">
        <v>35</v>
      </c>
      <c r="J196"/>
      <c r="K196">
        <v>1</v>
      </c>
      <c r="L196">
        <v>1</v>
      </c>
      <c r="M196" t="s">
        <v>33</v>
      </c>
      <c r="N196">
        <v>1</v>
      </c>
      <c r="O196">
        <v>1</v>
      </c>
      <c r="P196">
        <v>1</v>
      </c>
      <c r="Q196" t="s">
        <v>38</v>
      </c>
      <c r="R196">
        <v>1</v>
      </c>
      <c r="S196">
        <v>1</v>
      </c>
      <c r="T196">
        <v>1</v>
      </c>
      <c r="U196"/>
      <c r="V196"/>
      <c r="W196"/>
      <c r="X196">
        <v>1</v>
      </c>
      <c r="Y196"/>
      <c r="Z196">
        <v>0</v>
      </c>
      <c r="AA196"/>
      <c r="AB196"/>
      <c r="AC196"/>
      <c r="AD196"/>
      <c r="AE196">
        <v>0</v>
      </c>
      <c r="AF196"/>
      <c r="AG196" t="s">
        <v>3465</v>
      </c>
      <c r="AH196"/>
    </row>
    <row r="197" spans="1:34" x14ac:dyDescent="0.25">
      <c r="A197" t="s">
        <v>544</v>
      </c>
      <c r="B197" t="s">
        <v>545</v>
      </c>
      <c r="C197"/>
      <c r="D197" t="s">
        <v>383</v>
      </c>
      <c r="E197" t="s">
        <v>546</v>
      </c>
      <c r="F197" t="s">
        <v>609</v>
      </c>
      <c r="G197" t="s">
        <v>280</v>
      </c>
      <c r="H197" t="s">
        <v>610</v>
      </c>
      <c r="I197" t="s">
        <v>35</v>
      </c>
      <c r="J197"/>
      <c r="K197">
        <v>1</v>
      </c>
      <c r="L197">
        <v>1</v>
      </c>
      <c r="M197" t="s">
        <v>33</v>
      </c>
      <c r="N197">
        <v>1</v>
      </c>
      <c r="O197">
        <v>1</v>
      </c>
      <c r="P197">
        <v>1</v>
      </c>
      <c r="Q197" t="s">
        <v>38</v>
      </c>
      <c r="R197">
        <v>1</v>
      </c>
      <c r="S197">
        <v>1</v>
      </c>
      <c r="T197">
        <v>1</v>
      </c>
      <c r="U197"/>
      <c r="V197"/>
      <c r="W197"/>
      <c r="X197">
        <v>1</v>
      </c>
      <c r="Y197"/>
      <c r="Z197">
        <v>0</v>
      </c>
      <c r="AA197"/>
      <c r="AB197"/>
      <c r="AC197"/>
      <c r="AD197"/>
      <c r="AE197">
        <v>0</v>
      </c>
      <c r="AF197"/>
      <c r="AG197"/>
      <c r="AH197"/>
    </row>
    <row r="198" spans="1:34" x14ac:dyDescent="0.25">
      <c r="A198" t="s">
        <v>3392</v>
      </c>
      <c r="B198" t="s">
        <v>3393</v>
      </c>
      <c r="C198"/>
      <c r="D198" t="s">
        <v>383</v>
      </c>
      <c r="E198" t="s">
        <v>546</v>
      </c>
      <c r="F198" t="s">
        <v>609</v>
      </c>
      <c r="G198" t="s">
        <v>280</v>
      </c>
      <c r="H198" t="s">
        <v>610</v>
      </c>
      <c r="I198" t="s">
        <v>35</v>
      </c>
      <c r="J198"/>
      <c r="K198">
        <v>1</v>
      </c>
      <c r="L198">
        <v>1</v>
      </c>
      <c r="M198" t="s">
        <v>33</v>
      </c>
      <c r="N198">
        <v>1</v>
      </c>
      <c r="O198">
        <v>1</v>
      </c>
      <c r="P198">
        <v>1</v>
      </c>
      <c r="Q198" t="s">
        <v>38</v>
      </c>
      <c r="R198">
        <v>1</v>
      </c>
      <c r="S198">
        <v>1</v>
      </c>
      <c r="T198">
        <v>1</v>
      </c>
      <c r="U198"/>
      <c r="V198"/>
      <c r="W198"/>
      <c r="X198">
        <v>1</v>
      </c>
      <c r="Y198"/>
      <c r="Z198">
        <v>0</v>
      </c>
      <c r="AA198"/>
      <c r="AB198"/>
      <c r="AC198"/>
      <c r="AD198"/>
      <c r="AE198">
        <v>0</v>
      </c>
      <c r="AF198"/>
      <c r="AG198"/>
      <c r="AH198"/>
    </row>
    <row r="199" spans="1:34" x14ac:dyDescent="0.25">
      <c r="A199" t="s">
        <v>544</v>
      </c>
      <c r="B199" t="s">
        <v>545</v>
      </c>
      <c r="C199"/>
      <c r="D199" t="s">
        <v>383</v>
      </c>
      <c r="E199" t="s">
        <v>546</v>
      </c>
      <c r="F199" t="s">
        <v>611</v>
      </c>
      <c r="G199" t="s">
        <v>280</v>
      </c>
      <c r="H199" t="s">
        <v>612</v>
      </c>
      <c r="I199" t="s">
        <v>35</v>
      </c>
      <c r="J199"/>
      <c r="K199">
        <v>1</v>
      </c>
      <c r="L199">
        <v>1</v>
      </c>
      <c r="M199" t="s">
        <v>33</v>
      </c>
      <c r="N199">
        <v>1</v>
      </c>
      <c r="O199">
        <v>1</v>
      </c>
      <c r="P199">
        <v>1</v>
      </c>
      <c r="Q199" t="s">
        <v>38</v>
      </c>
      <c r="R199">
        <v>1</v>
      </c>
      <c r="S199">
        <v>1</v>
      </c>
      <c r="T199">
        <v>1</v>
      </c>
      <c r="U199"/>
      <c r="V199"/>
      <c r="W199"/>
      <c r="X199">
        <v>1</v>
      </c>
      <c r="Y199"/>
      <c r="Z199">
        <v>0</v>
      </c>
      <c r="AA199"/>
      <c r="AB199"/>
      <c r="AC199"/>
      <c r="AD199"/>
      <c r="AE199">
        <v>0</v>
      </c>
      <c r="AF199"/>
      <c r="AG199" t="s">
        <v>3465</v>
      </c>
      <c r="AH199"/>
    </row>
    <row r="200" spans="1:34" s="172" customFormat="1" x14ac:dyDescent="0.25">
      <c r="A200" t="s">
        <v>544</v>
      </c>
      <c r="B200" t="s">
        <v>545</v>
      </c>
      <c r="C200"/>
      <c r="D200" t="s">
        <v>383</v>
      </c>
      <c r="E200" t="s">
        <v>546</v>
      </c>
      <c r="F200" t="s">
        <v>613</v>
      </c>
      <c r="G200" t="s">
        <v>280</v>
      </c>
      <c r="H200" t="s">
        <v>614</v>
      </c>
      <c r="I200" t="s">
        <v>35</v>
      </c>
      <c r="J200"/>
      <c r="K200">
        <v>1</v>
      </c>
      <c r="L200">
        <v>1</v>
      </c>
      <c r="M200" t="s">
        <v>33</v>
      </c>
      <c r="N200">
        <v>1</v>
      </c>
      <c r="O200">
        <v>1</v>
      </c>
      <c r="P200">
        <v>1</v>
      </c>
      <c r="Q200" t="s">
        <v>38</v>
      </c>
      <c r="R200">
        <v>1</v>
      </c>
      <c r="S200">
        <v>1</v>
      </c>
      <c r="T200">
        <v>1</v>
      </c>
      <c r="U200"/>
      <c r="V200"/>
      <c r="W200"/>
      <c r="X200">
        <v>1</v>
      </c>
      <c r="Y200"/>
      <c r="Z200">
        <v>0</v>
      </c>
      <c r="AA200"/>
      <c r="AB200"/>
      <c r="AC200"/>
      <c r="AD200"/>
      <c r="AE200">
        <v>0</v>
      </c>
      <c r="AF200"/>
      <c r="AG200" t="s">
        <v>3465</v>
      </c>
      <c r="AH200"/>
    </row>
    <row r="201" spans="1:34" x14ac:dyDescent="0.25">
      <c r="A201" t="s">
        <v>544</v>
      </c>
      <c r="B201" t="s">
        <v>545</v>
      </c>
      <c r="C201"/>
      <c r="D201" t="s">
        <v>383</v>
      </c>
      <c r="E201" t="s">
        <v>546</v>
      </c>
      <c r="F201" t="s">
        <v>615</v>
      </c>
      <c r="G201" t="s">
        <v>280</v>
      </c>
      <c r="H201" t="s">
        <v>616</v>
      </c>
      <c r="I201" t="s">
        <v>35</v>
      </c>
      <c r="J201"/>
      <c r="K201">
        <v>1</v>
      </c>
      <c r="L201">
        <v>1</v>
      </c>
      <c r="M201" t="s">
        <v>33</v>
      </c>
      <c r="N201">
        <v>1</v>
      </c>
      <c r="O201">
        <v>1</v>
      </c>
      <c r="P201">
        <v>1</v>
      </c>
      <c r="Q201" t="s">
        <v>38</v>
      </c>
      <c r="R201">
        <v>1</v>
      </c>
      <c r="S201">
        <v>1</v>
      </c>
      <c r="T201">
        <v>1</v>
      </c>
      <c r="U201"/>
      <c r="V201"/>
      <c r="W201"/>
      <c r="X201">
        <v>1</v>
      </c>
      <c r="Y201"/>
      <c r="Z201">
        <v>0</v>
      </c>
      <c r="AA201"/>
      <c r="AB201"/>
      <c r="AC201"/>
      <c r="AD201"/>
      <c r="AE201">
        <v>0</v>
      </c>
      <c r="AF201"/>
      <c r="AG201" t="s">
        <v>3465</v>
      </c>
      <c r="AH201"/>
    </row>
    <row r="202" spans="1:34" x14ac:dyDescent="0.25">
      <c r="A202" t="s">
        <v>544</v>
      </c>
      <c r="B202" t="s">
        <v>545</v>
      </c>
      <c r="C202"/>
      <c r="D202" t="s">
        <v>383</v>
      </c>
      <c r="E202" t="s">
        <v>546</v>
      </c>
      <c r="F202" t="s">
        <v>617</v>
      </c>
      <c r="G202" t="s">
        <v>280</v>
      </c>
      <c r="H202" t="s">
        <v>618</v>
      </c>
      <c r="I202" t="s">
        <v>35</v>
      </c>
      <c r="J202"/>
      <c r="K202">
        <v>1</v>
      </c>
      <c r="L202">
        <v>1</v>
      </c>
      <c r="M202" t="s">
        <v>33</v>
      </c>
      <c r="N202">
        <v>1</v>
      </c>
      <c r="O202">
        <v>1</v>
      </c>
      <c r="P202">
        <v>1</v>
      </c>
      <c r="Q202" t="s">
        <v>38</v>
      </c>
      <c r="R202">
        <v>1</v>
      </c>
      <c r="S202">
        <v>1</v>
      </c>
      <c r="T202">
        <v>1</v>
      </c>
      <c r="U202"/>
      <c r="V202"/>
      <c r="W202"/>
      <c r="X202">
        <v>1</v>
      </c>
      <c r="Y202"/>
      <c r="Z202">
        <v>0</v>
      </c>
      <c r="AA202"/>
      <c r="AB202"/>
      <c r="AC202"/>
      <c r="AD202"/>
      <c r="AE202">
        <v>0</v>
      </c>
      <c r="AF202"/>
      <c r="AG202" t="s">
        <v>3465</v>
      </c>
      <c r="AH202"/>
    </row>
    <row r="203" spans="1:34" x14ac:dyDescent="0.25">
      <c r="A203" t="s">
        <v>544</v>
      </c>
      <c r="B203" t="s">
        <v>545</v>
      </c>
      <c r="C203"/>
      <c r="D203" t="s">
        <v>383</v>
      </c>
      <c r="E203" t="s">
        <v>546</v>
      </c>
      <c r="F203" t="s">
        <v>619</v>
      </c>
      <c r="G203" t="s">
        <v>280</v>
      </c>
      <c r="H203" t="s">
        <v>620</v>
      </c>
      <c r="I203" t="s">
        <v>35</v>
      </c>
      <c r="J203"/>
      <c r="K203">
        <v>1</v>
      </c>
      <c r="L203">
        <v>1</v>
      </c>
      <c r="M203" t="s">
        <v>33</v>
      </c>
      <c r="N203">
        <v>1</v>
      </c>
      <c r="O203">
        <v>1</v>
      </c>
      <c r="P203">
        <v>1</v>
      </c>
      <c r="Q203" t="s">
        <v>38</v>
      </c>
      <c r="R203">
        <v>1</v>
      </c>
      <c r="S203">
        <v>1</v>
      </c>
      <c r="T203">
        <v>1</v>
      </c>
      <c r="U203"/>
      <c r="V203"/>
      <c r="W203"/>
      <c r="X203">
        <v>1</v>
      </c>
      <c r="Y203"/>
      <c r="Z203">
        <v>0</v>
      </c>
      <c r="AA203"/>
      <c r="AB203"/>
      <c r="AC203"/>
      <c r="AD203"/>
      <c r="AE203">
        <v>0</v>
      </c>
      <c r="AF203"/>
      <c r="AG203" t="s">
        <v>3465</v>
      </c>
      <c r="AH203"/>
    </row>
    <row r="204" spans="1:34" x14ac:dyDescent="0.25">
      <c r="A204" t="s">
        <v>544</v>
      </c>
      <c r="B204" t="s">
        <v>545</v>
      </c>
      <c r="C204"/>
      <c r="D204" t="s">
        <v>383</v>
      </c>
      <c r="E204" t="s">
        <v>546</v>
      </c>
      <c r="F204" t="s">
        <v>621</v>
      </c>
      <c r="G204" t="s">
        <v>280</v>
      </c>
      <c r="H204" t="s">
        <v>622</v>
      </c>
      <c r="I204" t="s">
        <v>35</v>
      </c>
      <c r="J204"/>
      <c r="K204">
        <v>1</v>
      </c>
      <c r="L204">
        <v>1</v>
      </c>
      <c r="M204" t="s">
        <v>33</v>
      </c>
      <c r="N204">
        <v>1</v>
      </c>
      <c r="O204">
        <v>1</v>
      </c>
      <c r="P204">
        <v>1</v>
      </c>
      <c r="Q204" t="s">
        <v>38</v>
      </c>
      <c r="R204">
        <v>1</v>
      </c>
      <c r="S204">
        <v>1</v>
      </c>
      <c r="T204">
        <v>1</v>
      </c>
      <c r="U204"/>
      <c r="V204"/>
      <c r="W204"/>
      <c r="X204">
        <v>1</v>
      </c>
      <c r="Y204"/>
      <c r="Z204">
        <v>0</v>
      </c>
      <c r="AA204"/>
      <c r="AB204"/>
      <c r="AC204"/>
      <c r="AD204"/>
      <c r="AE204">
        <v>0</v>
      </c>
      <c r="AF204"/>
      <c r="AG204"/>
      <c r="AH204"/>
    </row>
    <row r="205" spans="1:34" x14ac:dyDescent="0.25">
      <c r="A205" t="s">
        <v>3394</v>
      </c>
      <c r="B205" t="s">
        <v>3395</v>
      </c>
      <c r="C205"/>
      <c r="D205" t="s">
        <v>383</v>
      </c>
      <c r="E205" t="s">
        <v>546</v>
      </c>
      <c r="F205" t="s">
        <v>621</v>
      </c>
      <c r="G205" t="s">
        <v>280</v>
      </c>
      <c r="H205" t="s">
        <v>622</v>
      </c>
      <c r="I205" t="s">
        <v>35</v>
      </c>
      <c r="J205"/>
      <c r="K205">
        <v>1</v>
      </c>
      <c r="L205">
        <v>1</v>
      </c>
      <c r="M205" t="s">
        <v>33</v>
      </c>
      <c r="N205">
        <v>1</v>
      </c>
      <c r="O205">
        <v>1</v>
      </c>
      <c r="P205">
        <v>1</v>
      </c>
      <c r="Q205" t="s">
        <v>38</v>
      </c>
      <c r="R205">
        <v>1</v>
      </c>
      <c r="S205">
        <v>1</v>
      </c>
      <c r="T205">
        <v>1</v>
      </c>
      <c r="U205"/>
      <c r="V205"/>
      <c r="W205"/>
      <c r="X205">
        <v>1</v>
      </c>
      <c r="Y205"/>
      <c r="Z205">
        <v>0</v>
      </c>
      <c r="AA205"/>
      <c r="AB205"/>
      <c r="AC205"/>
      <c r="AD205"/>
      <c r="AE205">
        <v>0</v>
      </c>
      <c r="AF205"/>
      <c r="AG205"/>
      <c r="AH205"/>
    </row>
    <row r="206" spans="1:34" x14ac:dyDescent="0.25">
      <c r="A206" t="s">
        <v>3397</v>
      </c>
      <c r="B206" t="s">
        <v>3398</v>
      </c>
      <c r="C206"/>
      <c r="D206" t="s">
        <v>383</v>
      </c>
      <c r="E206" t="s">
        <v>546</v>
      </c>
      <c r="F206" t="s">
        <v>621</v>
      </c>
      <c r="G206" t="s">
        <v>280</v>
      </c>
      <c r="H206" t="s">
        <v>622</v>
      </c>
      <c r="I206" t="s">
        <v>35</v>
      </c>
      <c r="J206"/>
      <c r="K206">
        <v>1</v>
      </c>
      <c r="L206">
        <v>1</v>
      </c>
      <c r="M206" t="s">
        <v>33</v>
      </c>
      <c r="N206">
        <v>1</v>
      </c>
      <c r="O206">
        <v>1</v>
      </c>
      <c r="P206">
        <v>1</v>
      </c>
      <c r="Q206" t="s">
        <v>38</v>
      </c>
      <c r="R206">
        <v>1</v>
      </c>
      <c r="S206">
        <v>1</v>
      </c>
      <c r="T206">
        <v>1</v>
      </c>
      <c r="U206"/>
      <c r="V206"/>
      <c r="W206"/>
      <c r="X206">
        <v>1</v>
      </c>
      <c r="Y206"/>
      <c r="Z206">
        <v>0</v>
      </c>
      <c r="AA206"/>
      <c r="AB206"/>
      <c r="AC206"/>
      <c r="AD206"/>
      <c r="AE206">
        <v>0</v>
      </c>
      <c r="AF206"/>
      <c r="AG206"/>
      <c r="AH206"/>
    </row>
    <row r="207" spans="1:34" x14ac:dyDescent="0.25">
      <c r="A207" t="s">
        <v>3444</v>
      </c>
      <c r="B207" t="s">
        <v>3445</v>
      </c>
      <c r="C207"/>
      <c r="D207" t="s">
        <v>383</v>
      </c>
      <c r="E207" t="s">
        <v>546</v>
      </c>
      <c r="F207" t="s">
        <v>621</v>
      </c>
      <c r="G207" t="s">
        <v>259</v>
      </c>
      <c r="H207" t="s">
        <v>622</v>
      </c>
      <c r="I207" t="s">
        <v>35</v>
      </c>
      <c r="J207"/>
      <c r="K207">
        <v>1</v>
      </c>
      <c r="L207">
        <v>1</v>
      </c>
      <c r="M207" t="s">
        <v>33</v>
      </c>
      <c r="N207">
        <v>1</v>
      </c>
      <c r="O207">
        <v>1</v>
      </c>
      <c r="P207">
        <v>1</v>
      </c>
      <c r="Q207" t="s">
        <v>38</v>
      </c>
      <c r="R207">
        <v>1</v>
      </c>
      <c r="S207">
        <v>1</v>
      </c>
      <c r="T207">
        <v>1</v>
      </c>
      <c r="U207"/>
      <c r="V207"/>
      <c r="W207"/>
      <c r="X207">
        <v>1</v>
      </c>
      <c r="Y207"/>
      <c r="Z207">
        <v>0</v>
      </c>
      <c r="AA207"/>
      <c r="AB207"/>
      <c r="AC207"/>
      <c r="AD207"/>
      <c r="AE207">
        <v>0</v>
      </c>
      <c r="AF207"/>
      <c r="AG207"/>
      <c r="AH207"/>
    </row>
    <row r="208" spans="1:34" x14ac:dyDescent="0.25">
      <c r="A208" t="s">
        <v>3446</v>
      </c>
      <c r="B208" t="s">
        <v>3447</v>
      </c>
      <c r="C208"/>
      <c r="D208" t="s">
        <v>383</v>
      </c>
      <c r="E208" t="s">
        <v>546</v>
      </c>
      <c r="F208" t="s">
        <v>621</v>
      </c>
      <c r="G208" t="s">
        <v>259</v>
      </c>
      <c r="H208" t="s">
        <v>622</v>
      </c>
      <c r="I208" t="s">
        <v>35</v>
      </c>
      <c r="J208"/>
      <c r="K208">
        <v>1</v>
      </c>
      <c r="L208">
        <v>1</v>
      </c>
      <c r="M208" t="s">
        <v>33</v>
      </c>
      <c r="N208">
        <v>1</v>
      </c>
      <c r="O208">
        <v>1</v>
      </c>
      <c r="P208">
        <v>1</v>
      </c>
      <c r="Q208" t="s">
        <v>38</v>
      </c>
      <c r="R208">
        <v>1</v>
      </c>
      <c r="S208">
        <v>1</v>
      </c>
      <c r="T208">
        <v>1</v>
      </c>
      <c r="U208"/>
      <c r="V208"/>
      <c r="W208"/>
      <c r="X208">
        <v>1</v>
      </c>
      <c r="Y208"/>
      <c r="Z208">
        <v>0</v>
      </c>
      <c r="AA208"/>
      <c r="AB208"/>
      <c r="AC208"/>
      <c r="AD208"/>
      <c r="AE208">
        <v>0</v>
      </c>
      <c r="AF208"/>
      <c r="AG208"/>
      <c r="AH208"/>
    </row>
    <row r="209" spans="1:34" x14ac:dyDescent="0.25">
      <c r="A209" t="s">
        <v>3448</v>
      </c>
      <c r="B209" t="s">
        <v>3449</v>
      </c>
      <c r="C209"/>
      <c r="D209" t="s">
        <v>383</v>
      </c>
      <c r="E209" t="s">
        <v>546</v>
      </c>
      <c r="F209" t="s">
        <v>621</v>
      </c>
      <c r="G209" t="s">
        <v>280</v>
      </c>
      <c r="H209" t="s">
        <v>622</v>
      </c>
      <c r="I209" t="s">
        <v>35</v>
      </c>
      <c r="J209"/>
      <c r="K209">
        <v>1</v>
      </c>
      <c r="L209">
        <v>1</v>
      </c>
      <c r="M209" t="s">
        <v>33</v>
      </c>
      <c r="N209">
        <v>1</v>
      </c>
      <c r="O209">
        <v>1</v>
      </c>
      <c r="P209">
        <v>1</v>
      </c>
      <c r="Q209" t="s">
        <v>38</v>
      </c>
      <c r="R209">
        <v>1</v>
      </c>
      <c r="S209">
        <v>1</v>
      </c>
      <c r="T209">
        <v>1</v>
      </c>
      <c r="U209"/>
      <c r="V209"/>
      <c r="W209"/>
      <c r="X209">
        <v>1</v>
      </c>
      <c r="Y209"/>
      <c r="Z209">
        <v>0</v>
      </c>
      <c r="AA209"/>
      <c r="AB209"/>
      <c r="AC209"/>
      <c r="AD209"/>
      <c r="AE209">
        <v>0</v>
      </c>
      <c r="AF209"/>
      <c r="AG209"/>
      <c r="AH209"/>
    </row>
    <row r="210" spans="1:34" x14ac:dyDescent="0.25">
      <c r="A210" t="s">
        <v>3454</v>
      </c>
      <c r="B210" t="s">
        <v>3455</v>
      </c>
      <c r="C210"/>
      <c r="D210" t="s">
        <v>383</v>
      </c>
      <c r="E210" t="s">
        <v>546</v>
      </c>
      <c r="F210" t="s">
        <v>621</v>
      </c>
      <c r="G210" t="s">
        <v>259</v>
      </c>
      <c r="H210" t="s">
        <v>622</v>
      </c>
      <c r="I210" t="s">
        <v>35</v>
      </c>
      <c r="J210"/>
      <c r="K210">
        <v>1</v>
      </c>
      <c r="L210">
        <v>1</v>
      </c>
      <c r="M210" t="s">
        <v>33</v>
      </c>
      <c r="N210">
        <v>1</v>
      </c>
      <c r="O210">
        <v>1</v>
      </c>
      <c r="P210">
        <v>1</v>
      </c>
      <c r="Q210" t="s">
        <v>38</v>
      </c>
      <c r="R210">
        <v>1</v>
      </c>
      <c r="S210">
        <v>1</v>
      </c>
      <c r="T210">
        <v>1</v>
      </c>
      <c r="U210"/>
      <c r="V210"/>
      <c r="W210"/>
      <c r="X210">
        <v>1</v>
      </c>
      <c r="Y210"/>
      <c r="Z210">
        <v>0</v>
      </c>
      <c r="AA210"/>
      <c r="AB210"/>
      <c r="AC210"/>
      <c r="AD210"/>
      <c r="AE210">
        <v>0</v>
      </c>
      <c r="AF210"/>
      <c r="AG210"/>
      <c r="AH210"/>
    </row>
    <row r="211" spans="1:34" x14ac:dyDescent="0.25">
      <c r="A211" t="s">
        <v>544</v>
      </c>
      <c r="B211" t="s">
        <v>545</v>
      </c>
      <c r="C211"/>
      <c r="D211" t="s">
        <v>383</v>
      </c>
      <c r="E211" t="s">
        <v>546</v>
      </c>
      <c r="F211" t="s">
        <v>623</v>
      </c>
      <c r="G211" t="s">
        <v>280</v>
      </c>
      <c r="H211" t="s">
        <v>624</v>
      </c>
      <c r="I211" t="s">
        <v>35</v>
      </c>
      <c r="J211"/>
      <c r="K211">
        <v>1</v>
      </c>
      <c r="L211">
        <v>1</v>
      </c>
      <c r="M211" t="s">
        <v>33</v>
      </c>
      <c r="N211">
        <v>1</v>
      </c>
      <c r="O211">
        <v>1</v>
      </c>
      <c r="P211">
        <v>1</v>
      </c>
      <c r="Q211" t="s">
        <v>38</v>
      </c>
      <c r="R211">
        <v>1</v>
      </c>
      <c r="S211">
        <v>1</v>
      </c>
      <c r="T211">
        <v>1</v>
      </c>
      <c r="U211"/>
      <c r="V211"/>
      <c r="W211"/>
      <c r="X211">
        <v>1</v>
      </c>
      <c r="Y211"/>
      <c r="Z211">
        <v>0</v>
      </c>
      <c r="AA211"/>
      <c r="AB211"/>
      <c r="AC211"/>
      <c r="AD211"/>
      <c r="AE211">
        <v>0</v>
      </c>
      <c r="AF211"/>
      <c r="AG211" t="s">
        <v>3465</v>
      </c>
      <c r="AH211"/>
    </row>
    <row r="212" spans="1:34" x14ac:dyDescent="0.25">
      <c r="A212" t="s">
        <v>544</v>
      </c>
      <c r="B212" t="s">
        <v>545</v>
      </c>
      <c r="C212"/>
      <c r="D212" t="s">
        <v>383</v>
      </c>
      <c r="E212" t="s">
        <v>546</v>
      </c>
      <c r="F212" t="s">
        <v>625</v>
      </c>
      <c r="G212" t="s">
        <v>280</v>
      </c>
      <c r="H212" t="s">
        <v>626</v>
      </c>
      <c r="I212" t="s">
        <v>35</v>
      </c>
      <c r="J212"/>
      <c r="K212">
        <v>1</v>
      </c>
      <c r="L212">
        <v>1</v>
      </c>
      <c r="M212" t="s">
        <v>33</v>
      </c>
      <c r="N212">
        <v>1</v>
      </c>
      <c r="O212">
        <v>1</v>
      </c>
      <c r="P212">
        <v>1</v>
      </c>
      <c r="Q212" t="s">
        <v>38</v>
      </c>
      <c r="R212">
        <v>1</v>
      </c>
      <c r="S212">
        <v>1</v>
      </c>
      <c r="T212">
        <v>1</v>
      </c>
      <c r="U212"/>
      <c r="V212"/>
      <c r="W212"/>
      <c r="X212">
        <v>1</v>
      </c>
      <c r="Y212"/>
      <c r="Z212">
        <v>0</v>
      </c>
      <c r="AA212"/>
      <c r="AB212"/>
      <c r="AC212"/>
      <c r="AD212"/>
      <c r="AE212">
        <v>0</v>
      </c>
      <c r="AF212"/>
      <c r="AG212" t="s">
        <v>3465</v>
      </c>
      <c r="AH212"/>
    </row>
    <row r="213" spans="1:34" x14ac:dyDescent="0.25">
      <c r="A213" t="s">
        <v>544</v>
      </c>
      <c r="B213" t="s">
        <v>545</v>
      </c>
      <c r="C213"/>
      <c r="D213" t="s">
        <v>383</v>
      </c>
      <c r="E213" t="s">
        <v>546</v>
      </c>
      <c r="F213" t="s">
        <v>627</v>
      </c>
      <c r="G213" t="s">
        <v>280</v>
      </c>
      <c r="H213" t="s">
        <v>628</v>
      </c>
      <c r="I213" t="s">
        <v>35</v>
      </c>
      <c r="J213"/>
      <c r="K213">
        <v>1</v>
      </c>
      <c r="L213">
        <v>1</v>
      </c>
      <c r="M213" t="s">
        <v>33</v>
      </c>
      <c r="N213">
        <v>1</v>
      </c>
      <c r="O213">
        <v>1</v>
      </c>
      <c r="P213">
        <v>1</v>
      </c>
      <c r="Q213" t="s">
        <v>38</v>
      </c>
      <c r="R213">
        <v>1</v>
      </c>
      <c r="S213">
        <v>1</v>
      </c>
      <c r="T213">
        <v>1</v>
      </c>
      <c r="U213"/>
      <c r="V213"/>
      <c r="W213"/>
      <c r="X213">
        <v>1</v>
      </c>
      <c r="Y213"/>
      <c r="Z213">
        <v>0</v>
      </c>
      <c r="AA213"/>
      <c r="AB213"/>
      <c r="AC213"/>
      <c r="AD213"/>
      <c r="AE213">
        <v>0</v>
      </c>
      <c r="AF213"/>
      <c r="AG213" t="s">
        <v>3465</v>
      </c>
      <c r="AH213"/>
    </row>
    <row r="214" spans="1:34" x14ac:dyDescent="0.25">
      <c r="A214" t="s">
        <v>544</v>
      </c>
      <c r="B214" t="s">
        <v>545</v>
      </c>
      <c r="C214"/>
      <c r="D214" t="s">
        <v>383</v>
      </c>
      <c r="E214" t="s">
        <v>546</v>
      </c>
      <c r="F214" t="s">
        <v>629</v>
      </c>
      <c r="G214" t="s">
        <v>280</v>
      </c>
      <c r="H214" t="s">
        <v>630</v>
      </c>
      <c r="I214" t="s">
        <v>35</v>
      </c>
      <c r="J214"/>
      <c r="K214">
        <v>1</v>
      </c>
      <c r="L214">
        <v>1</v>
      </c>
      <c r="M214" t="s">
        <v>33</v>
      </c>
      <c r="N214">
        <v>1</v>
      </c>
      <c r="O214">
        <v>1</v>
      </c>
      <c r="P214">
        <v>1</v>
      </c>
      <c r="Q214" t="s">
        <v>38</v>
      </c>
      <c r="R214">
        <v>1</v>
      </c>
      <c r="S214">
        <v>1</v>
      </c>
      <c r="T214">
        <v>1</v>
      </c>
      <c r="U214"/>
      <c r="V214"/>
      <c r="W214"/>
      <c r="X214">
        <v>1</v>
      </c>
      <c r="Y214"/>
      <c r="Z214">
        <v>0</v>
      </c>
      <c r="AA214"/>
      <c r="AB214"/>
      <c r="AC214"/>
      <c r="AD214"/>
      <c r="AE214">
        <v>0</v>
      </c>
      <c r="AF214"/>
      <c r="AG214" t="s">
        <v>3465</v>
      </c>
      <c r="AH214"/>
    </row>
    <row r="215" spans="1:34" x14ac:dyDescent="0.25">
      <c r="A215" t="s">
        <v>544</v>
      </c>
      <c r="B215" t="s">
        <v>545</v>
      </c>
      <c r="C215"/>
      <c r="D215" t="s">
        <v>383</v>
      </c>
      <c r="E215" t="s">
        <v>546</v>
      </c>
      <c r="F215" t="s">
        <v>631</v>
      </c>
      <c r="G215" t="s">
        <v>280</v>
      </c>
      <c r="H215" t="s">
        <v>632</v>
      </c>
      <c r="I215" t="s">
        <v>35</v>
      </c>
      <c r="J215"/>
      <c r="K215">
        <v>1</v>
      </c>
      <c r="L215">
        <v>1</v>
      </c>
      <c r="M215" t="s">
        <v>33</v>
      </c>
      <c r="N215">
        <v>1</v>
      </c>
      <c r="O215">
        <v>1</v>
      </c>
      <c r="P215">
        <v>1</v>
      </c>
      <c r="Q215" t="s">
        <v>38</v>
      </c>
      <c r="R215">
        <v>1</v>
      </c>
      <c r="S215">
        <v>1</v>
      </c>
      <c r="T215">
        <v>1</v>
      </c>
      <c r="U215"/>
      <c r="V215"/>
      <c r="W215"/>
      <c r="X215">
        <v>1</v>
      </c>
      <c r="Y215"/>
      <c r="Z215">
        <v>0</v>
      </c>
      <c r="AA215"/>
      <c r="AB215"/>
      <c r="AC215"/>
      <c r="AD215"/>
      <c r="AE215">
        <v>0</v>
      </c>
      <c r="AF215"/>
      <c r="AG215" t="s">
        <v>3465</v>
      </c>
      <c r="AH215"/>
    </row>
    <row r="216" spans="1:34" x14ac:dyDescent="0.25">
      <c r="A216" t="s">
        <v>544</v>
      </c>
      <c r="B216" t="s">
        <v>545</v>
      </c>
      <c r="C216"/>
      <c r="D216" t="s">
        <v>383</v>
      </c>
      <c r="E216" t="s">
        <v>546</v>
      </c>
      <c r="F216" t="s">
        <v>633</v>
      </c>
      <c r="G216" t="s">
        <v>280</v>
      </c>
      <c r="H216" t="s">
        <v>634</v>
      </c>
      <c r="I216" t="s">
        <v>35</v>
      </c>
      <c r="J216"/>
      <c r="K216">
        <v>1</v>
      </c>
      <c r="L216">
        <v>1</v>
      </c>
      <c r="M216" t="s">
        <v>33</v>
      </c>
      <c r="N216">
        <v>1</v>
      </c>
      <c r="O216">
        <v>1</v>
      </c>
      <c r="P216">
        <v>1</v>
      </c>
      <c r="Q216" t="s">
        <v>38</v>
      </c>
      <c r="R216">
        <v>1</v>
      </c>
      <c r="S216">
        <v>1</v>
      </c>
      <c r="T216">
        <v>1</v>
      </c>
      <c r="U216"/>
      <c r="V216"/>
      <c r="W216"/>
      <c r="X216">
        <v>1</v>
      </c>
      <c r="Y216"/>
      <c r="Z216">
        <v>0</v>
      </c>
      <c r="AA216"/>
      <c r="AB216"/>
      <c r="AC216"/>
      <c r="AD216"/>
      <c r="AE216">
        <v>0</v>
      </c>
      <c r="AF216"/>
      <c r="AG216" t="s">
        <v>3465</v>
      </c>
      <c r="AH216"/>
    </row>
    <row r="217" spans="1:34" x14ac:dyDescent="0.25">
      <c r="A217" t="s">
        <v>544</v>
      </c>
      <c r="B217" t="s">
        <v>545</v>
      </c>
      <c r="C217"/>
      <c r="D217" t="s">
        <v>383</v>
      </c>
      <c r="E217" t="s">
        <v>546</v>
      </c>
      <c r="F217" t="s">
        <v>635</v>
      </c>
      <c r="G217" t="s">
        <v>280</v>
      </c>
      <c r="H217" t="s">
        <v>636</v>
      </c>
      <c r="I217" t="s">
        <v>35</v>
      </c>
      <c r="J217"/>
      <c r="K217">
        <v>1</v>
      </c>
      <c r="L217">
        <v>1</v>
      </c>
      <c r="M217" t="s">
        <v>33</v>
      </c>
      <c r="N217">
        <v>1</v>
      </c>
      <c r="O217">
        <v>1</v>
      </c>
      <c r="P217">
        <v>1</v>
      </c>
      <c r="Q217" t="s">
        <v>38</v>
      </c>
      <c r="R217">
        <v>1</v>
      </c>
      <c r="S217">
        <v>1</v>
      </c>
      <c r="T217">
        <v>1</v>
      </c>
      <c r="U217"/>
      <c r="V217"/>
      <c r="W217"/>
      <c r="X217">
        <v>1</v>
      </c>
      <c r="Y217"/>
      <c r="Z217">
        <v>0</v>
      </c>
      <c r="AA217"/>
      <c r="AB217"/>
      <c r="AC217"/>
      <c r="AD217"/>
      <c r="AE217">
        <v>0</v>
      </c>
      <c r="AF217"/>
      <c r="AG217" t="s">
        <v>3465</v>
      </c>
      <c r="AH217"/>
    </row>
    <row r="218" spans="1:34" x14ac:dyDescent="0.25">
      <c r="A218" t="s">
        <v>544</v>
      </c>
      <c r="B218" t="s">
        <v>545</v>
      </c>
      <c r="C218"/>
      <c r="D218" t="s">
        <v>383</v>
      </c>
      <c r="E218" t="s">
        <v>546</v>
      </c>
      <c r="F218" t="s">
        <v>637</v>
      </c>
      <c r="G218" t="s">
        <v>280</v>
      </c>
      <c r="H218" t="s">
        <v>638</v>
      </c>
      <c r="I218" t="s">
        <v>35</v>
      </c>
      <c r="J218"/>
      <c r="K218">
        <v>1</v>
      </c>
      <c r="L218">
        <v>1</v>
      </c>
      <c r="M218" t="s">
        <v>33</v>
      </c>
      <c r="N218">
        <v>1</v>
      </c>
      <c r="O218">
        <v>1</v>
      </c>
      <c r="P218">
        <v>1</v>
      </c>
      <c r="Q218" t="s">
        <v>38</v>
      </c>
      <c r="R218">
        <v>1</v>
      </c>
      <c r="S218">
        <v>1</v>
      </c>
      <c r="T218">
        <v>1</v>
      </c>
      <c r="U218"/>
      <c r="V218"/>
      <c r="W218"/>
      <c r="X218">
        <v>1</v>
      </c>
      <c r="Y218"/>
      <c r="Z218">
        <v>0</v>
      </c>
      <c r="AA218"/>
      <c r="AB218"/>
      <c r="AC218"/>
      <c r="AD218"/>
      <c r="AE218">
        <v>0</v>
      </c>
      <c r="AF218"/>
      <c r="AG218" t="s">
        <v>3465</v>
      </c>
      <c r="AH218"/>
    </row>
    <row r="219" spans="1:34" x14ac:dyDescent="0.25">
      <c r="A219" t="s">
        <v>544</v>
      </c>
      <c r="B219" t="s">
        <v>545</v>
      </c>
      <c r="C219"/>
      <c r="D219" t="s">
        <v>383</v>
      </c>
      <c r="E219" t="s">
        <v>546</v>
      </c>
      <c r="F219" t="s">
        <v>639</v>
      </c>
      <c r="G219" t="s">
        <v>280</v>
      </c>
      <c r="H219" t="s">
        <v>640</v>
      </c>
      <c r="I219" t="s">
        <v>35</v>
      </c>
      <c r="J219"/>
      <c r="K219">
        <v>1</v>
      </c>
      <c r="L219">
        <v>1</v>
      </c>
      <c r="M219" t="s">
        <v>33</v>
      </c>
      <c r="N219">
        <v>1</v>
      </c>
      <c r="O219">
        <v>1</v>
      </c>
      <c r="P219">
        <v>1</v>
      </c>
      <c r="Q219" t="s">
        <v>38</v>
      </c>
      <c r="R219">
        <v>1</v>
      </c>
      <c r="S219">
        <v>1</v>
      </c>
      <c r="T219">
        <v>1</v>
      </c>
      <c r="U219"/>
      <c r="V219"/>
      <c r="W219"/>
      <c r="X219">
        <v>1</v>
      </c>
      <c r="Y219"/>
      <c r="Z219">
        <v>0</v>
      </c>
      <c r="AA219"/>
      <c r="AB219"/>
      <c r="AC219"/>
      <c r="AD219"/>
      <c r="AE219">
        <v>0</v>
      </c>
      <c r="AF219"/>
      <c r="AG219" t="s">
        <v>3465</v>
      </c>
      <c r="AH219"/>
    </row>
    <row r="220" spans="1:34" x14ac:dyDescent="0.25">
      <c r="A220" t="s">
        <v>544</v>
      </c>
      <c r="B220" t="s">
        <v>545</v>
      </c>
      <c r="C220"/>
      <c r="D220" t="s">
        <v>383</v>
      </c>
      <c r="E220" t="s">
        <v>546</v>
      </c>
      <c r="F220" t="s">
        <v>641</v>
      </c>
      <c r="G220" t="s">
        <v>280</v>
      </c>
      <c r="H220" t="s">
        <v>642</v>
      </c>
      <c r="I220" t="s">
        <v>35</v>
      </c>
      <c r="J220"/>
      <c r="K220">
        <v>1</v>
      </c>
      <c r="L220">
        <v>1</v>
      </c>
      <c r="M220" t="s">
        <v>33</v>
      </c>
      <c r="N220">
        <v>1</v>
      </c>
      <c r="O220">
        <v>1</v>
      </c>
      <c r="P220">
        <v>1</v>
      </c>
      <c r="Q220" t="s">
        <v>38</v>
      </c>
      <c r="R220">
        <v>1</v>
      </c>
      <c r="S220">
        <v>1</v>
      </c>
      <c r="T220">
        <v>1</v>
      </c>
      <c r="U220"/>
      <c r="V220"/>
      <c r="W220"/>
      <c r="X220">
        <v>1</v>
      </c>
      <c r="Y220"/>
      <c r="Z220">
        <v>0</v>
      </c>
      <c r="AA220"/>
      <c r="AB220"/>
      <c r="AC220"/>
      <c r="AD220"/>
      <c r="AE220">
        <v>0</v>
      </c>
      <c r="AF220"/>
      <c r="AG220" t="s">
        <v>3465</v>
      </c>
      <c r="AH220"/>
    </row>
    <row r="221" spans="1:34" x14ac:dyDescent="0.25">
      <c r="A221" t="s">
        <v>544</v>
      </c>
      <c r="B221" t="s">
        <v>545</v>
      </c>
      <c r="C221"/>
      <c r="D221" t="s">
        <v>383</v>
      </c>
      <c r="E221" t="s">
        <v>546</v>
      </c>
      <c r="F221" t="s">
        <v>643</v>
      </c>
      <c r="G221" t="s">
        <v>280</v>
      </c>
      <c r="H221" t="s">
        <v>644</v>
      </c>
      <c r="I221" t="s">
        <v>35</v>
      </c>
      <c r="J221"/>
      <c r="K221">
        <v>1</v>
      </c>
      <c r="L221">
        <v>1</v>
      </c>
      <c r="M221" t="s">
        <v>33</v>
      </c>
      <c r="N221">
        <v>1</v>
      </c>
      <c r="O221">
        <v>1</v>
      </c>
      <c r="P221">
        <v>1</v>
      </c>
      <c r="Q221" t="s">
        <v>38</v>
      </c>
      <c r="R221">
        <v>1</v>
      </c>
      <c r="S221">
        <v>1</v>
      </c>
      <c r="T221">
        <v>1</v>
      </c>
      <c r="U221"/>
      <c r="V221"/>
      <c r="W221"/>
      <c r="X221">
        <v>1</v>
      </c>
      <c r="Y221"/>
      <c r="Z221">
        <v>0</v>
      </c>
      <c r="AA221"/>
      <c r="AB221"/>
      <c r="AC221"/>
      <c r="AD221"/>
      <c r="AE221">
        <v>0</v>
      </c>
      <c r="AF221"/>
      <c r="AG221" t="s">
        <v>3465</v>
      </c>
      <c r="AH221"/>
    </row>
    <row r="222" spans="1:34" x14ac:dyDescent="0.25">
      <c r="A222" t="s">
        <v>544</v>
      </c>
      <c r="B222" t="s">
        <v>545</v>
      </c>
      <c r="C222"/>
      <c r="D222" t="s">
        <v>383</v>
      </c>
      <c r="E222" t="s">
        <v>546</v>
      </c>
      <c r="F222" t="s">
        <v>645</v>
      </c>
      <c r="G222" t="s">
        <v>280</v>
      </c>
      <c r="H222" t="s">
        <v>646</v>
      </c>
      <c r="I222" t="s">
        <v>35</v>
      </c>
      <c r="J222"/>
      <c r="K222">
        <v>1</v>
      </c>
      <c r="L222">
        <v>1</v>
      </c>
      <c r="M222" t="s">
        <v>33</v>
      </c>
      <c r="N222">
        <v>1</v>
      </c>
      <c r="O222">
        <v>1</v>
      </c>
      <c r="P222">
        <v>1</v>
      </c>
      <c r="Q222" t="s">
        <v>38</v>
      </c>
      <c r="R222">
        <v>1</v>
      </c>
      <c r="S222">
        <v>1</v>
      </c>
      <c r="T222">
        <v>1</v>
      </c>
      <c r="U222"/>
      <c r="V222"/>
      <c r="W222"/>
      <c r="X222">
        <v>1</v>
      </c>
      <c r="Y222"/>
      <c r="Z222">
        <v>0</v>
      </c>
      <c r="AA222"/>
      <c r="AB222"/>
      <c r="AC222"/>
      <c r="AD222"/>
      <c r="AE222">
        <v>0</v>
      </c>
      <c r="AF222"/>
      <c r="AG222" t="s">
        <v>3465</v>
      </c>
      <c r="AH222"/>
    </row>
    <row r="223" spans="1:34" x14ac:dyDescent="0.25">
      <c r="A223" t="s">
        <v>544</v>
      </c>
      <c r="B223" t="s">
        <v>545</v>
      </c>
      <c r="C223"/>
      <c r="D223" t="s">
        <v>383</v>
      </c>
      <c r="E223" t="s">
        <v>546</v>
      </c>
      <c r="F223" t="s">
        <v>647</v>
      </c>
      <c r="G223" t="s">
        <v>280</v>
      </c>
      <c r="H223" t="s">
        <v>648</v>
      </c>
      <c r="I223" t="s">
        <v>35</v>
      </c>
      <c r="J223"/>
      <c r="K223">
        <v>1</v>
      </c>
      <c r="L223">
        <v>1</v>
      </c>
      <c r="M223" t="s">
        <v>33</v>
      </c>
      <c r="N223">
        <v>1</v>
      </c>
      <c r="O223">
        <v>1</v>
      </c>
      <c r="P223">
        <v>1</v>
      </c>
      <c r="Q223" t="s">
        <v>38</v>
      </c>
      <c r="R223">
        <v>1</v>
      </c>
      <c r="S223">
        <v>1</v>
      </c>
      <c r="T223">
        <v>1</v>
      </c>
      <c r="U223"/>
      <c r="V223"/>
      <c r="W223"/>
      <c r="X223">
        <v>1</v>
      </c>
      <c r="Y223"/>
      <c r="Z223">
        <v>0</v>
      </c>
      <c r="AA223"/>
      <c r="AB223"/>
      <c r="AC223"/>
      <c r="AD223"/>
      <c r="AE223">
        <v>0</v>
      </c>
      <c r="AF223"/>
      <c r="AG223" t="s">
        <v>3465</v>
      </c>
      <c r="AH223"/>
    </row>
    <row r="224" spans="1:34" x14ac:dyDescent="0.25">
      <c r="A224" t="s">
        <v>544</v>
      </c>
      <c r="B224" t="s">
        <v>545</v>
      </c>
      <c r="C224"/>
      <c r="D224" t="s">
        <v>383</v>
      </c>
      <c r="E224" t="s">
        <v>546</v>
      </c>
      <c r="F224" t="s">
        <v>649</v>
      </c>
      <c r="G224" t="s">
        <v>280</v>
      </c>
      <c r="H224" t="s">
        <v>650</v>
      </c>
      <c r="I224" t="s">
        <v>35</v>
      </c>
      <c r="J224"/>
      <c r="K224">
        <v>1</v>
      </c>
      <c r="L224">
        <v>1</v>
      </c>
      <c r="M224" t="s">
        <v>33</v>
      </c>
      <c r="N224">
        <v>1</v>
      </c>
      <c r="O224">
        <v>1</v>
      </c>
      <c r="P224">
        <v>1</v>
      </c>
      <c r="Q224" t="s">
        <v>38</v>
      </c>
      <c r="R224">
        <v>1</v>
      </c>
      <c r="S224">
        <v>1</v>
      </c>
      <c r="T224">
        <v>1</v>
      </c>
      <c r="U224"/>
      <c r="V224"/>
      <c r="W224"/>
      <c r="X224">
        <v>1</v>
      </c>
      <c r="Y224"/>
      <c r="Z224">
        <v>0</v>
      </c>
      <c r="AA224"/>
      <c r="AB224"/>
      <c r="AC224"/>
      <c r="AD224"/>
      <c r="AE224">
        <v>0</v>
      </c>
      <c r="AF224"/>
      <c r="AG224" t="s">
        <v>3465</v>
      </c>
      <c r="AH224"/>
    </row>
    <row r="225" spans="1:34" x14ac:dyDescent="0.25">
      <c r="A225" t="s">
        <v>544</v>
      </c>
      <c r="B225" t="s">
        <v>545</v>
      </c>
      <c r="C225"/>
      <c r="D225" t="s">
        <v>383</v>
      </c>
      <c r="E225" t="s">
        <v>546</v>
      </c>
      <c r="F225" t="s">
        <v>651</v>
      </c>
      <c r="G225" t="s">
        <v>280</v>
      </c>
      <c r="H225" t="s">
        <v>652</v>
      </c>
      <c r="I225" t="s">
        <v>35</v>
      </c>
      <c r="J225"/>
      <c r="K225">
        <v>1</v>
      </c>
      <c r="L225">
        <v>1</v>
      </c>
      <c r="M225" t="s">
        <v>33</v>
      </c>
      <c r="N225">
        <v>1</v>
      </c>
      <c r="O225">
        <v>1</v>
      </c>
      <c r="P225">
        <v>1</v>
      </c>
      <c r="Q225" t="s">
        <v>38</v>
      </c>
      <c r="R225">
        <v>1</v>
      </c>
      <c r="S225">
        <v>1</v>
      </c>
      <c r="T225">
        <v>1</v>
      </c>
      <c r="U225"/>
      <c r="V225"/>
      <c r="W225"/>
      <c r="X225">
        <v>1</v>
      </c>
      <c r="Y225"/>
      <c r="Z225">
        <v>0</v>
      </c>
      <c r="AA225"/>
      <c r="AB225"/>
      <c r="AC225"/>
      <c r="AD225"/>
      <c r="AE225">
        <v>0</v>
      </c>
      <c r="AF225"/>
      <c r="AG225" t="s">
        <v>3465</v>
      </c>
      <c r="AH225"/>
    </row>
    <row r="226" spans="1:34" x14ac:dyDescent="0.25">
      <c r="A226" t="s">
        <v>544</v>
      </c>
      <c r="B226" t="s">
        <v>545</v>
      </c>
      <c r="C226"/>
      <c r="D226" t="s">
        <v>383</v>
      </c>
      <c r="E226" t="s">
        <v>546</v>
      </c>
      <c r="F226" t="s">
        <v>653</v>
      </c>
      <c r="G226" t="s">
        <v>280</v>
      </c>
      <c r="H226" t="s">
        <v>654</v>
      </c>
      <c r="I226" t="s">
        <v>35</v>
      </c>
      <c r="J226"/>
      <c r="K226">
        <v>1</v>
      </c>
      <c r="L226">
        <v>1</v>
      </c>
      <c r="M226" t="s">
        <v>33</v>
      </c>
      <c r="N226">
        <v>1</v>
      </c>
      <c r="O226">
        <v>1</v>
      </c>
      <c r="P226">
        <v>1</v>
      </c>
      <c r="Q226" t="s">
        <v>38</v>
      </c>
      <c r="R226">
        <v>1</v>
      </c>
      <c r="S226">
        <v>1</v>
      </c>
      <c r="T226">
        <v>1</v>
      </c>
      <c r="U226"/>
      <c r="V226"/>
      <c r="W226"/>
      <c r="X226">
        <v>1</v>
      </c>
      <c r="Y226"/>
      <c r="Z226">
        <v>0</v>
      </c>
      <c r="AA226"/>
      <c r="AB226"/>
      <c r="AC226"/>
      <c r="AD226"/>
      <c r="AE226">
        <v>0</v>
      </c>
      <c r="AF226"/>
      <c r="AG226" t="s">
        <v>3465</v>
      </c>
      <c r="AH226"/>
    </row>
    <row r="227" spans="1:34" x14ac:dyDescent="0.25">
      <c r="A227" t="s">
        <v>544</v>
      </c>
      <c r="B227" t="s">
        <v>545</v>
      </c>
      <c r="C227"/>
      <c r="D227" t="s">
        <v>383</v>
      </c>
      <c r="E227" t="s">
        <v>546</v>
      </c>
      <c r="F227" t="s">
        <v>655</v>
      </c>
      <c r="G227" t="s">
        <v>280</v>
      </c>
      <c r="H227" t="s">
        <v>656</v>
      </c>
      <c r="I227" t="s">
        <v>35</v>
      </c>
      <c r="J227"/>
      <c r="K227">
        <v>1</v>
      </c>
      <c r="L227">
        <v>1</v>
      </c>
      <c r="M227" t="s">
        <v>33</v>
      </c>
      <c r="N227">
        <v>1</v>
      </c>
      <c r="O227">
        <v>1</v>
      </c>
      <c r="P227">
        <v>1</v>
      </c>
      <c r="Q227" t="s">
        <v>38</v>
      </c>
      <c r="R227">
        <v>1</v>
      </c>
      <c r="S227">
        <v>1</v>
      </c>
      <c r="T227">
        <v>1</v>
      </c>
      <c r="U227"/>
      <c r="V227"/>
      <c r="W227"/>
      <c r="X227">
        <v>1</v>
      </c>
      <c r="Y227"/>
      <c r="Z227">
        <v>0</v>
      </c>
      <c r="AA227"/>
      <c r="AB227"/>
      <c r="AC227"/>
      <c r="AD227"/>
      <c r="AE227">
        <v>0</v>
      </c>
      <c r="AF227"/>
      <c r="AG227" t="s">
        <v>3465</v>
      </c>
      <c r="AH227"/>
    </row>
    <row r="228" spans="1:34" x14ac:dyDescent="0.25">
      <c r="A228" t="s">
        <v>544</v>
      </c>
      <c r="B228" t="s">
        <v>545</v>
      </c>
      <c r="C228"/>
      <c r="D228" t="s">
        <v>383</v>
      </c>
      <c r="E228" t="s">
        <v>546</v>
      </c>
      <c r="F228" t="s">
        <v>657</v>
      </c>
      <c r="G228" t="s">
        <v>280</v>
      </c>
      <c r="H228" t="s">
        <v>658</v>
      </c>
      <c r="I228" t="s">
        <v>35</v>
      </c>
      <c r="J228"/>
      <c r="K228">
        <v>1</v>
      </c>
      <c r="L228">
        <v>1</v>
      </c>
      <c r="M228" t="s">
        <v>33</v>
      </c>
      <c r="N228">
        <v>1</v>
      </c>
      <c r="O228">
        <v>1</v>
      </c>
      <c r="P228">
        <v>1</v>
      </c>
      <c r="Q228" t="s">
        <v>38</v>
      </c>
      <c r="R228">
        <v>1</v>
      </c>
      <c r="S228">
        <v>1</v>
      </c>
      <c r="T228">
        <v>1</v>
      </c>
      <c r="U228"/>
      <c r="V228"/>
      <c r="W228"/>
      <c r="X228">
        <v>1</v>
      </c>
      <c r="Y228"/>
      <c r="Z228">
        <v>0</v>
      </c>
      <c r="AA228"/>
      <c r="AB228"/>
      <c r="AC228"/>
      <c r="AD228"/>
      <c r="AE228">
        <v>0</v>
      </c>
      <c r="AF228"/>
      <c r="AG228" t="s">
        <v>3465</v>
      </c>
      <c r="AH228"/>
    </row>
    <row r="229" spans="1:34" x14ac:dyDescent="0.25">
      <c r="A229" t="s">
        <v>544</v>
      </c>
      <c r="B229" t="s">
        <v>545</v>
      </c>
      <c r="C229"/>
      <c r="D229" t="s">
        <v>383</v>
      </c>
      <c r="E229" t="s">
        <v>546</v>
      </c>
      <c r="F229" t="s">
        <v>659</v>
      </c>
      <c r="G229" t="s">
        <v>280</v>
      </c>
      <c r="H229" t="s">
        <v>660</v>
      </c>
      <c r="I229" t="s">
        <v>35</v>
      </c>
      <c r="J229"/>
      <c r="K229">
        <v>1</v>
      </c>
      <c r="L229">
        <v>1</v>
      </c>
      <c r="M229" t="s">
        <v>33</v>
      </c>
      <c r="N229">
        <v>1</v>
      </c>
      <c r="O229">
        <v>1</v>
      </c>
      <c r="P229">
        <v>1</v>
      </c>
      <c r="Q229" t="s">
        <v>38</v>
      </c>
      <c r="R229">
        <v>1</v>
      </c>
      <c r="S229">
        <v>1</v>
      </c>
      <c r="T229">
        <v>1</v>
      </c>
      <c r="U229"/>
      <c r="V229"/>
      <c r="W229"/>
      <c r="X229">
        <v>1</v>
      </c>
      <c r="Y229"/>
      <c r="Z229">
        <v>0</v>
      </c>
      <c r="AA229"/>
      <c r="AB229"/>
      <c r="AC229"/>
      <c r="AD229"/>
      <c r="AE229">
        <v>0</v>
      </c>
      <c r="AF229"/>
      <c r="AG229" t="s">
        <v>3465</v>
      </c>
      <c r="AH229"/>
    </row>
    <row r="230" spans="1:34" x14ac:dyDescent="0.25">
      <c r="A230" t="s">
        <v>544</v>
      </c>
      <c r="B230" t="s">
        <v>545</v>
      </c>
      <c r="C230"/>
      <c r="D230" t="s">
        <v>383</v>
      </c>
      <c r="E230" t="s">
        <v>546</v>
      </c>
      <c r="F230" t="s">
        <v>661</v>
      </c>
      <c r="G230" t="s">
        <v>280</v>
      </c>
      <c r="H230" t="s">
        <v>662</v>
      </c>
      <c r="I230" t="s">
        <v>35</v>
      </c>
      <c r="J230"/>
      <c r="K230">
        <v>1</v>
      </c>
      <c r="L230">
        <v>1</v>
      </c>
      <c r="M230" t="s">
        <v>33</v>
      </c>
      <c r="N230">
        <v>1</v>
      </c>
      <c r="O230">
        <v>1</v>
      </c>
      <c r="P230">
        <v>1</v>
      </c>
      <c r="Q230" t="s">
        <v>38</v>
      </c>
      <c r="R230">
        <v>1</v>
      </c>
      <c r="S230">
        <v>1</v>
      </c>
      <c r="T230">
        <v>1</v>
      </c>
      <c r="U230"/>
      <c r="V230"/>
      <c r="W230"/>
      <c r="X230">
        <v>1</v>
      </c>
      <c r="Y230"/>
      <c r="Z230">
        <v>0</v>
      </c>
      <c r="AA230"/>
      <c r="AB230"/>
      <c r="AC230"/>
      <c r="AD230"/>
      <c r="AE230">
        <v>0</v>
      </c>
      <c r="AF230"/>
      <c r="AG230" t="s">
        <v>3465</v>
      </c>
      <c r="AH230"/>
    </row>
    <row r="231" spans="1:34" x14ac:dyDescent="0.25">
      <c r="A231" t="s">
        <v>544</v>
      </c>
      <c r="B231" t="s">
        <v>545</v>
      </c>
      <c r="C231"/>
      <c r="D231" t="s">
        <v>383</v>
      </c>
      <c r="E231" t="s">
        <v>546</v>
      </c>
      <c r="F231" t="s">
        <v>663</v>
      </c>
      <c r="G231" t="s">
        <v>280</v>
      </c>
      <c r="H231" t="s">
        <v>664</v>
      </c>
      <c r="I231" t="s">
        <v>35</v>
      </c>
      <c r="J231"/>
      <c r="K231">
        <v>1</v>
      </c>
      <c r="L231">
        <v>1</v>
      </c>
      <c r="M231" t="s">
        <v>33</v>
      </c>
      <c r="N231">
        <v>1</v>
      </c>
      <c r="O231">
        <v>1</v>
      </c>
      <c r="P231">
        <v>1</v>
      </c>
      <c r="Q231" t="s">
        <v>38</v>
      </c>
      <c r="R231">
        <v>1</v>
      </c>
      <c r="S231">
        <v>1</v>
      </c>
      <c r="T231">
        <v>1</v>
      </c>
      <c r="U231"/>
      <c r="V231"/>
      <c r="W231"/>
      <c r="X231">
        <v>1</v>
      </c>
      <c r="Y231"/>
      <c r="Z231">
        <v>0</v>
      </c>
      <c r="AA231"/>
      <c r="AB231"/>
      <c r="AC231"/>
      <c r="AD231"/>
      <c r="AE231">
        <v>0</v>
      </c>
      <c r="AF231"/>
      <c r="AG231" t="s">
        <v>3465</v>
      </c>
      <c r="AH231"/>
    </row>
    <row r="232" spans="1:34" x14ac:dyDescent="0.25">
      <c r="A232" t="s">
        <v>544</v>
      </c>
      <c r="B232" t="s">
        <v>545</v>
      </c>
      <c r="C232"/>
      <c r="D232" t="s">
        <v>383</v>
      </c>
      <c r="E232" t="s">
        <v>546</v>
      </c>
      <c r="F232" t="s">
        <v>665</v>
      </c>
      <c r="G232" t="s">
        <v>280</v>
      </c>
      <c r="H232" t="s">
        <v>666</v>
      </c>
      <c r="I232" t="s">
        <v>35</v>
      </c>
      <c r="J232"/>
      <c r="K232">
        <v>1</v>
      </c>
      <c r="L232">
        <v>1</v>
      </c>
      <c r="M232" t="s">
        <v>33</v>
      </c>
      <c r="N232">
        <v>1</v>
      </c>
      <c r="O232">
        <v>1</v>
      </c>
      <c r="P232">
        <v>1</v>
      </c>
      <c r="Q232" t="s">
        <v>38</v>
      </c>
      <c r="R232">
        <v>1</v>
      </c>
      <c r="S232">
        <v>1</v>
      </c>
      <c r="T232">
        <v>1</v>
      </c>
      <c r="U232"/>
      <c r="V232"/>
      <c r="W232"/>
      <c r="X232">
        <v>1</v>
      </c>
      <c r="Y232"/>
      <c r="Z232">
        <v>0</v>
      </c>
      <c r="AA232"/>
      <c r="AB232"/>
      <c r="AC232"/>
      <c r="AD232"/>
      <c r="AE232">
        <v>0</v>
      </c>
      <c r="AF232"/>
      <c r="AG232" t="s">
        <v>3465</v>
      </c>
      <c r="AH232"/>
    </row>
    <row r="233" spans="1:34" s="172" customFormat="1" x14ac:dyDescent="0.25">
      <c r="A233" t="s">
        <v>544</v>
      </c>
      <c r="B233" t="s">
        <v>545</v>
      </c>
      <c r="C233"/>
      <c r="D233" t="s">
        <v>383</v>
      </c>
      <c r="E233" t="s">
        <v>546</v>
      </c>
      <c r="F233" t="s">
        <v>667</v>
      </c>
      <c r="G233" t="s">
        <v>280</v>
      </c>
      <c r="H233" t="s">
        <v>668</v>
      </c>
      <c r="I233" t="s">
        <v>35</v>
      </c>
      <c r="J233"/>
      <c r="K233">
        <v>1</v>
      </c>
      <c r="L233">
        <v>1</v>
      </c>
      <c r="M233" t="s">
        <v>33</v>
      </c>
      <c r="N233">
        <v>1</v>
      </c>
      <c r="O233">
        <v>1</v>
      </c>
      <c r="P233">
        <v>1</v>
      </c>
      <c r="Q233" t="s">
        <v>38</v>
      </c>
      <c r="R233">
        <v>1</v>
      </c>
      <c r="S233">
        <v>1</v>
      </c>
      <c r="T233">
        <v>1</v>
      </c>
      <c r="U233"/>
      <c r="V233"/>
      <c r="W233"/>
      <c r="X233">
        <v>1</v>
      </c>
      <c r="Y233"/>
      <c r="Z233">
        <v>0</v>
      </c>
      <c r="AA233"/>
      <c r="AB233"/>
      <c r="AC233"/>
      <c r="AD233"/>
      <c r="AE233">
        <v>0</v>
      </c>
      <c r="AF233"/>
      <c r="AG233" t="s">
        <v>3465</v>
      </c>
      <c r="AH233"/>
    </row>
    <row r="234" spans="1:34" x14ac:dyDescent="0.25">
      <c r="A234" t="s">
        <v>544</v>
      </c>
      <c r="B234" t="s">
        <v>545</v>
      </c>
      <c r="C234"/>
      <c r="D234" t="s">
        <v>383</v>
      </c>
      <c r="E234" t="s">
        <v>546</v>
      </c>
      <c r="F234" t="s">
        <v>669</v>
      </c>
      <c r="G234" t="s">
        <v>280</v>
      </c>
      <c r="H234" t="s">
        <v>670</v>
      </c>
      <c r="I234" t="s">
        <v>35</v>
      </c>
      <c r="J234"/>
      <c r="K234">
        <v>1</v>
      </c>
      <c r="L234">
        <v>1</v>
      </c>
      <c r="M234" t="s">
        <v>33</v>
      </c>
      <c r="N234">
        <v>1</v>
      </c>
      <c r="O234">
        <v>1</v>
      </c>
      <c r="P234">
        <v>1</v>
      </c>
      <c r="Q234" t="s">
        <v>38</v>
      </c>
      <c r="R234">
        <v>1</v>
      </c>
      <c r="S234">
        <v>1</v>
      </c>
      <c r="T234">
        <v>1</v>
      </c>
      <c r="U234"/>
      <c r="V234"/>
      <c r="W234"/>
      <c r="X234">
        <v>1</v>
      </c>
      <c r="Y234"/>
      <c r="Z234">
        <v>0</v>
      </c>
      <c r="AA234"/>
      <c r="AB234"/>
      <c r="AC234"/>
      <c r="AD234"/>
      <c r="AE234">
        <v>0</v>
      </c>
      <c r="AF234"/>
      <c r="AG234" t="s">
        <v>3465</v>
      </c>
      <c r="AH234"/>
    </row>
    <row r="235" spans="1:34" x14ac:dyDescent="0.25">
      <c r="A235" t="s">
        <v>544</v>
      </c>
      <c r="B235" t="s">
        <v>545</v>
      </c>
      <c r="C235"/>
      <c r="D235" t="s">
        <v>383</v>
      </c>
      <c r="E235" t="s">
        <v>546</v>
      </c>
      <c r="F235" t="s">
        <v>671</v>
      </c>
      <c r="G235" t="s">
        <v>280</v>
      </c>
      <c r="H235" t="s">
        <v>672</v>
      </c>
      <c r="I235" t="s">
        <v>35</v>
      </c>
      <c r="J235"/>
      <c r="K235">
        <v>1</v>
      </c>
      <c r="L235">
        <v>1</v>
      </c>
      <c r="M235" t="s">
        <v>33</v>
      </c>
      <c r="N235">
        <v>1</v>
      </c>
      <c r="O235">
        <v>1</v>
      </c>
      <c r="P235">
        <v>1</v>
      </c>
      <c r="Q235" t="s">
        <v>38</v>
      </c>
      <c r="R235">
        <v>1</v>
      </c>
      <c r="S235">
        <v>1</v>
      </c>
      <c r="T235">
        <v>1</v>
      </c>
      <c r="U235"/>
      <c r="V235"/>
      <c r="W235"/>
      <c r="X235">
        <v>1</v>
      </c>
      <c r="Y235"/>
      <c r="Z235">
        <v>0</v>
      </c>
      <c r="AA235"/>
      <c r="AB235"/>
      <c r="AC235"/>
      <c r="AD235"/>
      <c r="AE235">
        <v>0</v>
      </c>
      <c r="AF235"/>
      <c r="AG235" t="s">
        <v>3465</v>
      </c>
      <c r="AH235"/>
    </row>
    <row r="236" spans="1:34" x14ac:dyDescent="0.25">
      <c r="A236" t="s">
        <v>544</v>
      </c>
      <c r="B236" t="s">
        <v>545</v>
      </c>
      <c r="C236"/>
      <c r="D236" t="s">
        <v>383</v>
      </c>
      <c r="E236" t="s">
        <v>546</v>
      </c>
      <c r="F236" t="s">
        <v>673</v>
      </c>
      <c r="G236" t="s">
        <v>280</v>
      </c>
      <c r="H236" t="s">
        <v>674</v>
      </c>
      <c r="I236" t="s">
        <v>35</v>
      </c>
      <c r="J236"/>
      <c r="K236">
        <v>1</v>
      </c>
      <c r="L236">
        <v>1</v>
      </c>
      <c r="M236" t="s">
        <v>33</v>
      </c>
      <c r="N236">
        <v>1</v>
      </c>
      <c r="O236">
        <v>1</v>
      </c>
      <c r="P236">
        <v>1</v>
      </c>
      <c r="Q236" t="s">
        <v>38</v>
      </c>
      <c r="R236">
        <v>1</v>
      </c>
      <c r="S236">
        <v>1</v>
      </c>
      <c r="T236">
        <v>1</v>
      </c>
      <c r="U236"/>
      <c r="V236"/>
      <c r="W236"/>
      <c r="X236">
        <v>1</v>
      </c>
      <c r="Y236"/>
      <c r="Z236">
        <v>0</v>
      </c>
      <c r="AA236"/>
      <c r="AB236"/>
      <c r="AC236"/>
      <c r="AD236"/>
      <c r="AE236">
        <v>0</v>
      </c>
      <c r="AF236"/>
      <c r="AG236" t="s">
        <v>3465</v>
      </c>
      <c r="AH236"/>
    </row>
    <row r="237" spans="1:34" x14ac:dyDescent="0.25">
      <c r="A237" t="s">
        <v>544</v>
      </c>
      <c r="B237" t="s">
        <v>545</v>
      </c>
      <c r="C237"/>
      <c r="D237" t="s">
        <v>383</v>
      </c>
      <c r="E237" t="s">
        <v>546</v>
      </c>
      <c r="F237" t="s">
        <v>675</v>
      </c>
      <c r="G237" t="s">
        <v>280</v>
      </c>
      <c r="H237" t="s">
        <v>676</v>
      </c>
      <c r="I237" t="s">
        <v>35</v>
      </c>
      <c r="J237"/>
      <c r="K237">
        <v>1</v>
      </c>
      <c r="L237">
        <v>1</v>
      </c>
      <c r="M237" t="s">
        <v>33</v>
      </c>
      <c r="N237">
        <v>1</v>
      </c>
      <c r="O237">
        <v>1</v>
      </c>
      <c r="P237">
        <v>1</v>
      </c>
      <c r="Q237" t="s">
        <v>38</v>
      </c>
      <c r="R237">
        <v>1</v>
      </c>
      <c r="S237">
        <v>1</v>
      </c>
      <c r="T237">
        <v>1</v>
      </c>
      <c r="U237"/>
      <c r="V237"/>
      <c r="W237"/>
      <c r="X237">
        <v>1</v>
      </c>
      <c r="Y237"/>
      <c r="Z237">
        <v>0</v>
      </c>
      <c r="AA237"/>
      <c r="AB237"/>
      <c r="AC237"/>
      <c r="AD237"/>
      <c r="AE237">
        <v>0</v>
      </c>
      <c r="AF237"/>
      <c r="AG237" t="s">
        <v>3465</v>
      </c>
      <c r="AH237"/>
    </row>
    <row r="238" spans="1:34" x14ac:dyDescent="0.25">
      <c r="A238" t="s">
        <v>544</v>
      </c>
      <c r="B238" t="s">
        <v>545</v>
      </c>
      <c r="C238"/>
      <c r="D238" t="s">
        <v>383</v>
      </c>
      <c r="E238" t="s">
        <v>546</v>
      </c>
      <c r="F238" t="s">
        <v>677</v>
      </c>
      <c r="G238" t="s">
        <v>280</v>
      </c>
      <c r="H238" t="s">
        <v>678</v>
      </c>
      <c r="I238" t="s">
        <v>35</v>
      </c>
      <c r="J238"/>
      <c r="K238">
        <v>1</v>
      </c>
      <c r="L238">
        <v>1</v>
      </c>
      <c r="M238" t="s">
        <v>33</v>
      </c>
      <c r="N238">
        <v>1</v>
      </c>
      <c r="O238">
        <v>1</v>
      </c>
      <c r="P238">
        <v>1</v>
      </c>
      <c r="Q238" t="s">
        <v>38</v>
      </c>
      <c r="R238">
        <v>1</v>
      </c>
      <c r="S238">
        <v>1</v>
      </c>
      <c r="T238">
        <v>1</v>
      </c>
      <c r="U238"/>
      <c r="V238"/>
      <c r="W238"/>
      <c r="X238">
        <v>1</v>
      </c>
      <c r="Y238"/>
      <c r="Z238">
        <v>0</v>
      </c>
      <c r="AA238"/>
      <c r="AB238"/>
      <c r="AC238"/>
      <c r="AD238"/>
      <c r="AE238">
        <v>0</v>
      </c>
      <c r="AF238"/>
      <c r="AG238" t="s">
        <v>3465</v>
      </c>
      <c r="AH238"/>
    </row>
    <row r="239" spans="1:34" x14ac:dyDescent="0.25">
      <c r="A239" t="s">
        <v>544</v>
      </c>
      <c r="B239" t="s">
        <v>545</v>
      </c>
      <c r="C239"/>
      <c r="D239" t="s">
        <v>383</v>
      </c>
      <c r="E239" t="s">
        <v>546</v>
      </c>
      <c r="F239" t="s">
        <v>679</v>
      </c>
      <c r="G239" t="s">
        <v>280</v>
      </c>
      <c r="H239" t="s">
        <v>680</v>
      </c>
      <c r="I239" t="s">
        <v>35</v>
      </c>
      <c r="J239"/>
      <c r="K239">
        <v>1</v>
      </c>
      <c r="L239">
        <v>1</v>
      </c>
      <c r="M239" t="s">
        <v>33</v>
      </c>
      <c r="N239">
        <v>1</v>
      </c>
      <c r="O239">
        <v>1</v>
      </c>
      <c r="P239">
        <v>1</v>
      </c>
      <c r="Q239" t="s">
        <v>38</v>
      </c>
      <c r="R239">
        <v>1</v>
      </c>
      <c r="S239">
        <v>1</v>
      </c>
      <c r="T239">
        <v>1</v>
      </c>
      <c r="U239"/>
      <c r="V239"/>
      <c r="W239"/>
      <c r="X239">
        <v>1</v>
      </c>
      <c r="Y239"/>
      <c r="Z239">
        <v>0</v>
      </c>
      <c r="AA239"/>
      <c r="AB239"/>
      <c r="AC239"/>
      <c r="AD239"/>
      <c r="AE239">
        <v>0</v>
      </c>
      <c r="AF239"/>
      <c r="AG239" t="s">
        <v>3465</v>
      </c>
      <c r="AH239"/>
    </row>
    <row r="240" spans="1:34" x14ac:dyDescent="0.25">
      <c r="A240" t="s">
        <v>544</v>
      </c>
      <c r="B240" t="s">
        <v>545</v>
      </c>
      <c r="C240"/>
      <c r="D240" t="s">
        <v>383</v>
      </c>
      <c r="E240" t="s">
        <v>546</v>
      </c>
      <c r="F240" t="s">
        <v>681</v>
      </c>
      <c r="G240" t="s">
        <v>280</v>
      </c>
      <c r="H240" t="s">
        <v>682</v>
      </c>
      <c r="I240" t="s">
        <v>35</v>
      </c>
      <c r="J240"/>
      <c r="K240">
        <v>1</v>
      </c>
      <c r="L240">
        <v>1</v>
      </c>
      <c r="M240" t="s">
        <v>33</v>
      </c>
      <c r="N240">
        <v>1</v>
      </c>
      <c r="O240">
        <v>1</v>
      </c>
      <c r="P240">
        <v>1</v>
      </c>
      <c r="Q240" t="s">
        <v>38</v>
      </c>
      <c r="R240">
        <v>1</v>
      </c>
      <c r="S240">
        <v>1</v>
      </c>
      <c r="T240">
        <v>1</v>
      </c>
      <c r="U240"/>
      <c r="V240"/>
      <c r="W240"/>
      <c r="X240">
        <v>1</v>
      </c>
      <c r="Y240"/>
      <c r="Z240">
        <v>0</v>
      </c>
      <c r="AA240"/>
      <c r="AB240"/>
      <c r="AC240"/>
      <c r="AD240"/>
      <c r="AE240">
        <v>0</v>
      </c>
      <c r="AF240"/>
      <c r="AG240" t="s">
        <v>3465</v>
      </c>
      <c r="AH240"/>
    </row>
    <row r="241" spans="1:34" x14ac:dyDescent="0.25">
      <c r="A241" t="s">
        <v>544</v>
      </c>
      <c r="B241" t="s">
        <v>545</v>
      </c>
      <c r="C241"/>
      <c r="D241" t="s">
        <v>383</v>
      </c>
      <c r="E241" t="s">
        <v>546</v>
      </c>
      <c r="F241" t="s">
        <v>683</v>
      </c>
      <c r="G241" t="s">
        <v>280</v>
      </c>
      <c r="H241" t="s">
        <v>684</v>
      </c>
      <c r="I241" t="s">
        <v>35</v>
      </c>
      <c r="J241"/>
      <c r="K241">
        <v>1</v>
      </c>
      <c r="L241">
        <v>1</v>
      </c>
      <c r="M241" t="s">
        <v>33</v>
      </c>
      <c r="N241">
        <v>1</v>
      </c>
      <c r="O241">
        <v>1</v>
      </c>
      <c r="P241">
        <v>1</v>
      </c>
      <c r="Q241" t="s">
        <v>38</v>
      </c>
      <c r="R241">
        <v>1</v>
      </c>
      <c r="S241">
        <v>1</v>
      </c>
      <c r="T241">
        <v>1</v>
      </c>
      <c r="U241"/>
      <c r="V241"/>
      <c r="W241"/>
      <c r="X241">
        <v>1</v>
      </c>
      <c r="Y241"/>
      <c r="Z241">
        <v>0</v>
      </c>
      <c r="AA241"/>
      <c r="AB241"/>
      <c r="AC241"/>
      <c r="AD241"/>
      <c r="AE241">
        <v>0</v>
      </c>
      <c r="AF241"/>
      <c r="AG241" t="s">
        <v>3465</v>
      </c>
      <c r="AH241"/>
    </row>
    <row r="242" spans="1:34" x14ac:dyDescent="0.25">
      <c r="A242" t="s">
        <v>544</v>
      </c>
      <c r="B242" t="s">
        <v>545</v>
      </c>
      <c r="C242"/>
      <c r="D242" t="s">
        <v>383</v>
      </c>
      <c r="E242" t="s">
        <v>546</v>
      </c>
      <c r="F242" t="s">
        <v>685</v>
      </c>
      <c r="G242" t="s">
        <v>280</v>
      </c>
      <c r="H242" t="s">
        <v>686</v>
      </c>
      <c r="I242" t="s">
        <v>35</v>
      </c>
      <c r="J242"/>
      <c r="K242">
        <v>1</v>
      </c>
      <c r="L242">
        <v>1</v>
      </c>
      <c r="M242" t="s">
        <v>33</v>
      </c>
      <c r="N242">
        <v>1</v>
      </c>
      <c r="O242">
        <v>1</v>
      </c>
      <c r="P242">
        <v>1</v>
      </c>
      <c r="Q242" t="s">
        <v>38</v>
      </c>
      <c r="R242">
        <v>1</v>
      </c>
      <c r="S242">
        <v>1</v>
      </c>
      <c r="T242">
        <v>1</v>
      </c>
      <c r="U242"/>
      <c r="V242"/>
      <c r="W242"/>
      <c r="X242">
        <v>1</v>
      </c>
      <c r="Y242"/>
      <c r="Z242">
        <v>0</v>
      </c>
      <c r="AA242"/>
      <c r="AB242"/>
      <c r="AC242"/>
      <c r="AD242"/>
      <c r="AE242">
        <v>0</v>
      </c>
      <c r="AF242"/>
      <c r="AG242" t="s">
        <v>3465</v>
      </c>
      <c r="AH242"/>
    </row>
    <row r="243" spans="1:34" x14ac:dyDescent="0.25">
      <c r="A243" t="s">
        <v>687</v>
      </c>
      <c r="B243" t="s">
        <v>688</v>
      </c>
      <c r="C243"/>
      <c r="D243" t="s">
        <v>383</v>
      </c>
      <c r="E243" t="s">
        <v>689</v>
      </c>
      <c r="F243" t="s">
        <v>690</v>
      </c>
      <c r="G243" t="s">
        <v>280</v>
      </c>
      <c r="H243" t="s">
        <v>691</v>
      </c>
      <c r="I243" t="s">
        <v>35</v>
      </c>
      <c r="J243"/>
      <c r="K243">
        <v>1</v>
      </c>
      <c r="L243">
        <v>1</v>
      </c>
      <c r="M243" t="s">
        <v>33</v>
      </c>
      <c r="N243">
        <v>1</v>
      </c>
      <c r="O243">
        <v>1</v>
      </c>
      <c r="P243">
        <v>1</v>
      </c>
      <c r="Q243" t="s">
        <v>38</v>
      </c>
      <c r="R243">
        <v>1</v>
      </c>
      <c r="S243">
        <v>1</v>
      </c>
      <c r="T243">
        <v>1</v>
      </c>
      <c r="U243"/>
      <c r="V243"/>
      <c r="W243"/>
      <c r="X243">
        <v>1</v>
      </c>
      <c r="Y243"/>
      <c r="Z243">
        <v>0</v>
      </c>
      <c r="AA243"/>
      <c r="AB243"/>
      <c r="AC243"/>
      <c r="AD243"/>
      <c r="AE243">
        <v>0</v>
      </c>
      <c r="AF243"/>
      <c r="AG243" t="s">
        <v>3466</v>
      </c>
      <c r="AH243"/>
    </row>
    <row r="244" spans="1:34" x14ac:dyDescent="0.25">
      <c r="A244" t="s">
        <v>687</v>
      </c>
      <c r="B244" t="s">
        <v>688</v>
      </c>
      <c r="C244"/>
      <c r="D244" t="s">
        <v>383</v>
      </c>
      <c r="E244" t="s">
        <v>689</v>
      </c>
      <c r="F244" t="s">
        <v>692</v>
      </c>
      <c r="G244" t="s">
        <v>280</v>
      </c>
      <c r="H244" t="s">
        <v>693</v>
      </c>
      <c r="I244" t="s">
        <v>35</v>
      </c>
      <c r="J244"/>
      <c r="K244">
        <v>1</v>
      </c>
      <c r="L244">
        <v>1</v>
      </c>
      <c r="M244" t="s">
        <v>33</v>
      </c>
      <c r="N244">
        <v>1</v>
      </c>
      <c r="O244">
        <v>1</v>
      </c>
      <c r="P244">
        <v>1</v>
      </c>
      <c r="Q244" t="s">
        <v>38</v>
      </c>
      <c r="R244">
        <v>1</v>
      </c>
      <c r="S244">
        <v>1</v>
      </c>
      <c r="T244">
        <v>1</v>
      </c>
      <c r="U244"/>
      <c r="V244"/>
      <c r="W244"/>
      <c r="X244">
        <v>1</v>
      </c>
      <c r="Y244"/>
      <c r="Z244">
        <v>0</v>
      </c>
      <c r="AA244"/>
      <c r="AB244"/>
      <c r="AC244"/>
      <c r="AD244"/>
      <c r="AE244">
        <v>0</v>
      </c>
      <c r="AF244"/>
      <c r="AG244" t="s">
        <v>3466</v>
      </c>
      <c r="AH244"/>
    </row>
    <row r="245" spans="1:34" x14ac:dyDescent="0.25">
      <c r="A245" t="s">
        <v>687</v>
      </c>
      <c r="B245" t="s">
        <v>688</v>
      </c>
      <c r="C245"/>
      <c r="D245" t="s">
        <v>383</v>
      </c>
      <c r="E245" t="s">
        <v>689</v>
      </c>
      <c r="F245" t="s">
        <v>694</v>
      </c>
      <c r="G245" t="s">
        <v>280</v>
      </c>
      <c r="H245" t="s">
        <v>695</v>
      </c>
      <c r="I245" t="s">
        <v>35</v>
      </c>
      <c r="J245"/>
      <c r="K245">
        <v>1</v>
      </c>
      <c r="L245">
        <v>1</v>
      </c>
      <c r="M245" t="s">
        <v>33</v>
      </c>
      <c r="N245">
        <v>1</v>
      </c>
      <c r="O245">
        <v>1</v>
      </c>
      <c r="P245">
        <v>1</v>
      </c>
      <c r="Q245" t="s">
        <v>38</v>
      </c>
      <c r="R245">
        <v>1</v>
      </c>
      <c r="S245">
        <v>1</v>
      </c>
      <c r="T245">
        <v>1</v>
      </c>
      <c r="U245"/>
      <c r="V245"/>
      <c r="W245"/>
      <c r="X245">
        <v>1</v>
      </c>
      <c r="Y245"/>
      <c r="Z245">
        <v>0</v>
      </c>
      <c r="AA245"/>
      <c r="AB245"/>
      <c r="AC245"/>
      <c r="AD245"/>
      <c r="AE245">
        <v>0</v>
      </c>
      <c r="AF245"/>
      <c r="AG245" t="s">
        <v>3466</v>
      </c>
      <c r="AH245"/>
    </row>
    <row r="246" spans="1:34" x14ac:dyDescent="0.25">
      <c r="A246" t="s">
        <v>687</v>
      </c>
      <c r="B246" t="s">
        <v>688</v>
      </c>
      <c r="C246"/>
      <c r="D246" t="s">
        <v>383</v>
      </c>
      <c r="E246" t="s">
        <v>689</v>
      </c>
      <c r="F246" t="s">
        <v>696</v>
      </c>
      <c r="G246" t="s">
        <v>280</v>
      </c>
      <c r="H246" t="s">
        <v>697</v>
      </c>
      <c r="I246" t="s">
        <v>35</v>
      </c>
      <c r="J246"/>
      <c r="K246">
        <v>1</v>
      </c>
      <c r="L246">
        <v>1</v>
      </c>
      <c r="M246" t="s">
        <v>33</v>
      </c>
      <c r="N246">
        <v>1</v>
      </c>
      <c r="O246">
        <v>1</v>
      </c>
      <c r="P246">
        <v>1</v>
      </c>
      <c r="Q246" t="s">
        <v>38</v>
      </c>
      <c r="R246">
        <v>1</v>
      </c>
      <c r="S246">
        <v>1</v>
      </c>
      <c r="T246">
        <v>1</v>
      </c>
      <c r="U246"/>
      <c r="V246"/>
      <c r="W246"/>
      <c r="X246">
        <v>1</v>
      </c>
      <c r="Y246"/>
      <c r="Z246">
        <v>0</v>
      </c>
      <c r="AA246"/>
      <c r="AB246"/>
      <c r="AC246"/>
      <c r="AD246"/>
      <c r="AE246">
        <v>0</v>
      </c>
      <c r="AF246"/>
      <c r="AG246" t="s">
        <v>3466</v>
      </c>
      <c r="AH246"/>
    </row>
    <row r="247" spans="1:34" x14ac:dyDescent="0.25">
      <c r="A247" t="s">
        <v>687</v>
      </c>
      <c r="B247" t="s">
        <v>688</v>
      </c>
      <c r="C247"/>
      <c r="D247" t="s">
        <v>383</v>
      </c>
      <c r="E247" t="s">
        <v>689</v>
      </c>
      <c r="F247" t="s">
        <v>698</v>
      </c>
      <c r="G247" t="s">
        <v>280</v>
      </c>
      <c r="H247" t="s">
        <v>699</v>
      </c>
      <c r="I247" t="s">
        <v>35</v>
      </c>
      <c r="J247"/>
      <c r="K247">
        <v>1</v>
      </c>
      <c r="L247">
        <v>1</v>
      </c>
      <c r="M247" t="s">
        <v>33</v>
      </c>
      <c r="N247">
        <v>1</v>
      </c>
      <c r="O247">
        <v>1</v>
      </c>
      <c r="P247">
        <v>1</v>
      </c>
      <c r="Q247" t="s">
        <v>38</v>
      </c>
      <c r="R247">
        <v>1</v>
      </c>
      <c r="S247">
        <v>1</v>
      </c>
      <c r="T247">
        <v>1</v>
      </c>
      <c r="U247"/>
      <c r="V247"/>
      <c r="W247"/>
      <c r="X247">
        <v>1</v>
      </c>
      <c r="Y247"/>
      <c r="Z247">
        <v>0</v>
      </c>
      <c r="AA247"/>
      <c r="AB247"/>
      <c r="AC247"/>
      <c r="AD247"/>
      <c r="AE247">
        <v>0</v>
      </c>
      <c r="AF247"/>
      <c r="AG247" t="s">
        <v>3466</v>
      </c>
      <c r="AH247"/>
    </row>
    <row r="248" spans="1:34" x14ac:dyDescent="0.25">
      <c r="A248" t="s">
        <v>687</v>
      </c>
      <c r="B248" t="s">
        <v>688</v>
      </c>
      <c r="C248"/>
      <c r="D248" t="s">
        <v>383</v>
      </c>
      <c r="E248" t="s">
        <v>689</v>
      </c>
      <c r="F248" t="s">
        <v>700</v>
      </c>
      <c r="G248" t="s">
        <v>280</v>
      </c>
      <c r="H248" t="s">
        <v>701</v>
      </c>
      <c r="I248" t="s">
        <v>35</v>
      </c>
      <c r="J248"/>
      <c r="K248">
        <v>1</v>
      </c>
      <c r="L248">
        <v>1</v>
      </c>
      <c r="M248" t="s">
        <v>33</v>
      </c>
      <c r="N248">
        <v>1</v>
      </c>
      <c r="O248">
        <v>1</v>
      </c>
      <c r="P248">
        <v>1</v>
      </c>
      <c r="Q248" t="s">
        <v>38</v>
      </c>
      <c r="R248">
        <v>1</v>
      </c>
      <c r="S248">
        <v>1</v>
      </c>
      <c r="T248">
        <v>1</v>
      </c>
      <c r="U248"/>
      <c r="V248"/>
      <c r="W248"/>
      <c r="X248">
        <v>1</v>
      </c>
      <c r="Y248"/>
      <c r="Z248">
        <v>0</v>
      </c>
      <c r="AA248"/>
      <c r="AB248"/>
      <c r="AC248"/>
      <c r="AD248"/>
      <c r="AE248">
        <v>0</v>
      </c>
      <c r="AF248"/>
      <c r="AG248" t="s">
        <v>3466</v>
      </c>
      <c r="AH248"/>
    </row>
    <row r="249" spans="1:34" x14ac:dyDescent="0.25">
      <c r="A249" t="s">
        <v>687</v>
      </c>
      <c r="B249" t="s">
        <v>688</v>
      </c>
      <c r="C249"/>
      <c r="D249" t="s">
        <v>383</v>
      </c>
      <c r="E249" t="s">
        <v>689</v>
      </c>
      <c r="F249" t="s">
        <v>702</v>
      </c>
      <c r="G249" t="s">
        <v>280</v>
      </c>
      <c r="H249" t="s">
        <v>703</v>
      </c>
      <c r="I249" t="s">
        <v>35</v>
      </c>
      <c r="J249"/>
      <c r="K249">
        <v>1</v>
      </c>
      <c r="L249">
        <v>1</v>
      </c>
      <c r="M249" t="s">
        <v>33</v>
      </c>
      <c r="N249">
        <v>1</v>
      </c>
      <c r="O249">
        <v>1</v>
      </c>
      <c r="P249">
        <v>1</v>
      </c>
      <c r="Q249" t="s">
        <v>38</v>
      </c>
      <c r="R249">
        <v>1</v>
      </c>
      <c r="S249">
        <v>1</v>
      </c>
      <c r="T249">
        <v>1</v>
      </c>
      <c r="U249"/>
      <c r="V249"/>
      <c r="W249"/>
      <c r="X249">
        <v>1</v>
      </c>
      <c r="Y249"/>
      <c r="Z249">
        <v>0</v>
      </c>
      <c r="AA249"/>
      <c r="AB249"/>
      <c r="AC249"/>
      <c r="AD249"/>
      <c r="AE249">
        <v>0</v>
      </c>
      <c r="AF249"/>
      <c r="AG249" t="s">
        <v>3466</v>
      </c>
      <c r="AH249"/>
    </row>
    <row r="250" spans="1:34" x14ac:dyDescent="0.25">
      <c r="A250" t="s">
        <v>687</v>
      </c>
      <c r="B250" t="s">
        <v>688</v>
      </c>
      <c r="C250"/>
      <c r="D250" t="s">
        <v>383</v>
      </c>
      <c r="E250" t="s">
        <v>689</v>
      </c>
      <c r="F250" t="s">
        <v>704</v>
      </c>
      <c r="G250" t="s">
        <v>280</v>
      </c>
      <c r="H250" t="s">
        <v>705</v>
      </c>
      <c r="I250" t="s">
        <v>35</v>
      </c>
      <c r="J250"/>
      <c r="K250">
        <v>1</v>
      </c>
      <c r="L250">
        <v>1</v>
      </c>
      <c r="M250" t="s">
        <v>33</v>
      </c>
      <c r="N250">
        <v>1</v>
      </c>
      <c r="O250">
        <v>1</v>
      </c>
      <c r="P250">
        <v>1</v>
      </c>
      <c r="Q250" t="s">
        <v>38</v>
      </c>
      <c r="R250">
        <v>1</v>
      </c>
      <c r="S250">
        <v>1</v>
      </c>
      <c r="T250">
        <v>1</v>
      </c>
      <c r="U250"/>
      <c r="V250"/>
      <c r="W250"/>
      <c r="X250">
        <v>1</v>
      </c>
      <c r="Y250"/>
      <c r="Z250">
        <v>0</v>
      </c>
      <c r="AA250"/>
      <c r="AB250"/>
      <c r="AC250"/>
      <c r="AD250"/>
      <c r="AE250">
        <v>0</v>
      </c>
      <c r="AF250"/>
      <c r="AG250" t="s">
        <v>3466</v>
      </c>
      <c r="AH250"/>
    </row>
    <row r="251" spans="1:34" x14ac:dyDescent="0.25">
      <c r="A251" t="s">
        <v>687</v>
      </c>
      <c r="B251" t="s">
        <v>688</v>
      </c>
      <c r="C251"/>
      <c r="D251" t="s">
        <v>383</v>
      </c>
      <c r="E251" t="s">
        <v>689</v>
      </c>
      <c r="F251" t="s">
        <v>706</v>
      </c>
      <c r="G251" t="s">
        <v>280</v>
      </c>
      <c r="H251" t="s">
        <v>707</v>
      </c>
      <c r="I251" t="s">
        <v>35</v>
      </c>
      <c r="J251"/>
      <c r="K251">
        <v>1</v>
      </c>
      <c r="L251">
        <v>1</v>
      </c>
      <c r="M251" t="s">
        <v>33</v>
      </c>
      <c r="N251">
        <v>1</v>
      </c>
      <c r="O251">
        <v>1</v>
      </c>
      <c r="P251">
        <v>1</v>
      </c>
      <c r="Q251" t="s">
        <v>38</v>
      </c>
      <c r="R251">
        <v>1</v>
      </c>
      <c r="S251">
        <v>1</v>
      </c>
      <c r="T251">
        <v>1</v>
      </c>
      <c r="U251"/>
      <c r="V251"/>
      <c r="W251"/>
      <c r="X251">
        <v>1</v>
      </c>
      <c r="Y251"/>
      <c r="Z251">
        <v>0</v>
      </c>
      <c r="AA251"/>
      <c r="AB251"/>
      <c r="AC251"/>
      <c r="AD251"/>
      <c r="AE251">
        <v>0</v>
      </c>
      <c r="AF251"/>
      <c r="AG251" t="s">
        <v>3466</v>
      </c>
      <c r="AH251"/>
    </row>
    <row r="252" spans="1:34" x14ac:dyDescent="0.25">
      <c r="A252" t="s">
        <v>687</v>
      </c>
      <c r="B252" t="s">
        <v>688</v>
      </c>
      <c r="C252"/>
      <c r="D252" t="s">
        <v>383</v>
      </c>
      <c r="E252" t="s">
        <v>689</v>
      </c>
      <c r="F252" t="s">
        <v>708</v>
      </c>
      <c r="G252" t="s">
        <v>280</v>
      </c>
      <c r="H252" t="s">
        <v>709</v>
      </c>
      <c r="I252" t="s">
        <v>35</v>
      </c>
      <c r="J252"/>
      <c r="K252">
        <v>1</v>
      </c>
      <c r="L252">
        <v>1</v>
      </c>
      <c r="M252" t="s">
        <v>33</v>
      </c>
      <c r="N252">
        <v>1</v>
      </c>
      <c r="O252">
        <v>1</v>
      </c>
      <c r="P252">
        <v>1</v>
      </c>
      <c r="Q252" t="s">
        <v>38</v>
      </c>
      <c r="R252">
        <v>1</v>
      </c>
      <c r="S252">
        <v>1</v>
      </c>
      <c r="T252">
        <v>1</v>
      </c>
      <c r="U252"/>
      <c r="V252"/>
      <c r="W252"/>
      <c r="X252">
        <v>1</v>
      </c>
      <c r="Y252"/>
      <c r="Z252">
        <v>0</v>
      </c>
      <c r="AA252"/>
      <c r="AB252"/>
      <c r="AC252"/>
      <c r="AD252"/>
      <c r="AE252">
        <v>0</v>
      </c>
      <c r="AF252"/>
      <c r="AG252" t="s">
        <v>3466</v>
      </c>
      <c r="AH252"/>
    </row>
    <row r="253" spans="1:34" x14ac:dyDescent="0.25">
      <c r="A253" t="s">
        <v>687</v>
      </c>
      <c r="B253" t="s">
        <v>688</v>
      </c>
      <c r="C253"/>
      <c r="D253" t="s">
        <v>383</v>
      </c>
      <c r="E253" t="s">
        <v>689</v>
      </c>
      <c r="F253" t="s">
        <v>710</v>
      </c>
      <c r="G253" t="s">
        <v>280</v>
      </c>
      <c r="H253" t="s">
        <v>711</v>
      </c>
      <c r="I253" t="s">
        <v>35</v>
      </c>
      <c r="J253"/>
      <c r="K253">
        <v>1</v>
      </c>
      <c r="L253">
        <v>1</v>
      </c>
      <c r="M253" t="s">
        <v>33</v>
      </c>
      <c r="N253">
        <v>1</v>
      </c>
      <c r="O253">
        <v>1</v>
      </c>
      <c r="P253">
        <v>1</v>
      </c>
      <c r="Q253" t="s">
        <v>38</v>
      </c>
      <c r="R253">
        <v>1</v>
      </c>
      <c r="S253">
        <v>1</v>
      </c>
      <c r="T253">
        <v>1</v>
      </c>
      <c r="U253"/>
      <c r="V253"/>
      <c r="W253"/>
      <c r="X253">
        <v>1</v>
      </c>
      <c r="Y253"/>
      <c r="Z253">
        <v>0</v>
      </c>
      <c r="AA253"/>
      <c r="AB253"/>
      <c r="AC253"/>
      <c r="AD253"/>
      <c r="AE253">
        <v>0</v>
      </c>
      <c r="AF253"/>
      <c r="AG253" t="s">
        <v>3466</v>
      </c>
      <c r="AH253"/>
    </row>
    <row r="254" spans="1:34" x14ac:dyDescent="0.25">
      <c r="A254" t="s">
        <v>687</v>
      </c>
      <c r="B254" t="s">
        <v>688</v>
      </c>
      <c r="C254"/>
      <c r="D254" t="s">
        <v>383</v>
      </c>
      <c r="E254" t="s">
        <v>689</v>
      </c>
      <c r="F254" t="s">
        <v>712</v>
      </c>
      <c r="G254" t="s">
        <v>280</v>
      </c>
      <c r="H254" t="s">
        <v>713</v>
      </c>
      <c r="I254" t="s">
        <v>35</v>
      </c>
      <c r="J254"/>
      <c r="K254">
        <v>1</v>
      </c>
      <c r="L254">
        <v>1</v>
      </c>
      <c r="M254" t="s">
        <v>33</v>
      </c>
      <c r="N254">
        <v>1</v>
      </c>
      <c r="O254">
        <v>1</v>
      </c>
      <c r="P254">
        <v>1</v>
      </c>
      <c r="Q254" t="s">
        <v>38</v>
      </c>
      <c r="R254">
        <v>1</v>
      </c>
      <c r="S254">
        <v>1</v>
      </c>
      <c r="T254">
        <v>1</v>
      </c>
      <c r="U254"/>
      <c r="V254"/>
      <c r="W254"/>
      <c r="X254">
        <v>1</v>
      </c>
      <c r="Y254"/>
      <c r="Z254">
        <v>0</v>
      </c>
      <c r="AA254"/>
      <c r="AB254"/>
      <c r="AC254"/>
      <c r="AD254"/>
      <c r="AE254">
        <v>0</v>
      </c>
      <c r="AF254"/>
      <c r="AG254" t="s">
        <v>3466</v>
      </c>
      <c r="AH254"/>
    </row>
    <row r="255" spans="1:34" x14ac:dyDescent="0.25">
      <c r="A255" t="s">
        <v>687</v>
      </c>
      <c r="B255" t="s">
        <v>688</v>
      </c>
      <c r="C255"/>
      <c r="D255" t="s">
        <v>383</v>
      </c>
      <c r="E255" t="s">
        <v>689</v>
      </c>
      <c r="F255" t="s">
        <v>714</v>
      </c>
      <c r="G255" t="s">
        <v>280</v>
      </c>
      <c r="H255" t="s">
        <v>715</v>
      </c>
      <c r="I255" t="s">
        <v>35</v>
      </c>
      <c r="J255"/>
      <c r="K255">
        <v>1</v>
      </c>
      <c r="L255">
        <v>1</v>
      </c>
      <c r="M255" t="s">
        <v>33</v>
      </c>
      <c r="N255">
        <v>1</v>
      </c>
      <c r="O255">
        <v>1</v>
      </c>
      <c r="P255">
        <v>1</v>
      </c>
      <c r="Q255" t="s">
        <v>38</v>
      </c>
      <c r="R255">
        <v>1</v>
      </c>
      <c r="S255">
        <v>0</v>
      </c>
      <c r="T255"/>
      <c r="U255"/>
      <c r="V255"/>
      <c r="W255"/>
      <c r="X255">
        <v>0</v>
      </c>
      <c r="Y255"/>
      <c r="Z255">
        <v>0</v>
      </c>
      <c r="AA255"/>
      <c r="AB255"/>
      <c r="AC255"/>
      <c r="AD255"/>
      <c r="AE255">
        <v>0</v>
      </c>
      <c r="AF255"/>
      <c r="AG255" t="s">
        <v>3466</v>
      </c>
      <c r="AH255"/>
    </row>
    <row r="256" spans="1:34" x14ac:dyDescent="0.25">
      <c r="A256" t="s">
        <v>687</v>
      </c>
      <c r="B256" t="s">
        <v>688</v>
      </c>
      <c r="C256"/>
      <c r="D256" t="s">
        <v>383</v>
      </c>
      <c r="E256" t="s">
        <v>689</v>
      </c>
      <c r="F256" t="s">
        <v>716</v>
      </c>
      <c r="G256" t="s">
        <v>280</v>
      </c>
      <c r="H256" t="s">
        <v>717</v>
      </c>
      <c r="I256" t="s">
        <v>35</v>
      </c>
      <c r="J256"/>
      <c r="K256">
        <v>1</v>
      </c>
      <c r="L256">
        <v>1</v>
      </c>
      <c r="M256" t="s">
        <v>33</v>
      </c>
      <c r="N256">
        <v>1</v>
      </c>
      <c r="O256">
        <v>1</v>
      </c>
      <c r="P256">
        <v>1</v>
      </c>
      <c r="Q256" t="s">
        <v>38</v>
      </c>
      <c r="R256">
        <v>1</v>
      </c>
      <c r="S256">
        <v>1</v>
      </c>
      <c r="T256">
        <v>1</v>
      </c>
      <c r="U256"/>
      <c r="V256"/>
      <c r="W256"/>
      <c r="X256">
        <v>1</v>
      </c>
      <c r="Y256"/>
      <c r="Z256">
        <v>0</v>
      </c>
      <c r="AA256"/>
      <c r="AB256"/>
      <c r="AC256"/>
      <c r="AD256"/>
      <c r="AE256">
        <v>0</v>
      </c>
      <c r="AF256"/>
      <c r="AG256" t="s">
        <v>3466</v>
      </c>
      <c r="AH256"/>
    </row>
    <row r="257" spans="1:34" x14ac:dyDescent="0.25">
      <c r="A257" t="s">
        <v>687</v>
      </c>
      <c r="B257" t="s">
        <v>688</v>
      </c>
      <c r="C257"/>
      <c r="D257" t="s">
        <v>383</v>
      </c>
      <c r="E257" t="s">
        <v>689</v>
      </c>
      <c r="F257" t="s">
        <v>718</v>
      </c>
      <c r="G257" t="s">
        <v>280</v>
      </c>
      <c r="H257" t="s">
        <v>719</v>
      </c>
      <c r="I257" t="s">
        <v>35</v>
      </c>
      <c r="J257"/>
      <c r="K257">
        <v>1</v>
      </c>
      <c r="L257">
        <v>1</v>
      </c>
      <c r="M257" t="s">
        <v>33</v>
      </c>
      <c r="N257">
        <v>1</v>
      </c>
      <c r="O257">
        <v>1</v>
      </c>
      <c r="P257">
        <v>1</v>
      </c>
      <c r="Q257" t="s">
        <v>38</v>
      </c>
      <c r="R257">
        <v>1</v>
      </c>
      <c r="S257">
        <v>1</v>
      </c>
      <c r="T257">
        <v>1</v>
      </c>
      <c r="U257"/>
      <c r="V257"/>
      <c r="W257"/>
      <c r="X257">
        <v>1</v>
      </c>
      <c r="Y257"/>
      <c r="Z257">
        <v>0</v>
      </c>
      <c r="AA257"/>
      <c r="AB257"/>
      <c r="AC257"/>
      <c r="AD257"/>
      <c r="AE257">
        <v>0</v>
      </c>
      <c r="AF257"/>
      <c r="AG257" t="s">
        <v>3466</v>
      </c>
      <c r="AH257"/>
    </row>
    <row r="258" spans="1:34" x14ac:dyDescent="0.25">
      <c r="A258" t="s">
        <v>687</v>
      </c>
      <c r="B258" t="s">
        <v>688</v>
      </c>
      <c r="C258"/>
      <c r="D258" t="s">
        <v>383</v>
      </c>
      <c r="E258" t="s">
        <v>689</v>
      </c>
      <c r="F258" t="s">
        <v>720</v>
      </c>
      <c r="G258" t="s">
        <v>280</v>
      </c>
      <c r="H258" t="s">
        <v>721</v>
      </c>
      <c r="I258" t="s">
        <v>35</v>
      </c>
      <c r="J258"/>
      <c r="K258">
        <v>1</v>
      </c>
      <c r="L258">
        <v>1</v>
      </c>
      <c r="M258" t="s">
        <v>33</v>
      </c>
      <c r="N258">
        <v>1</v>
      </c>
      <c r="O258">
        <v>1</v>
      </c>
      <c r="P258">
        <v>1</v>
      </c>
      <c r="Q258" t="s">
        <v>38</v>
      </c>
      <c r="R258">
        <v>1</v>
      </c>
      <c r="S258">
        <v>1</v>
      </c>
      <c r="T258">
        <v>1</v>
      </c>
      <c r="U258"/>
      <c r="V258"/>
      <c r="W258"/>
      <c r="X258">
        <v>1</v>
      </c>
      <c r="Y258"/>
      <c r="Z258">
        <v>0</v>
      </c>
      <c r="AA258"/>
      <c r="AB258"/>
      <c r="AC258"/>
      <c r="AD258"/>
      <c r="AE258">
        <v>0</v>
      </c>
      <c r="AF258"/>
      <c r="AG258" t="s">
        <v>3466</v>
      </c>
      <c r="AH258"/>
    </row>
    <row r="259" spans="1:34" x14ac:dyDescent="0.25">
      <c r="A259" t="s">
        <v>687</v>
      </c>
      <c r="B259" t="s">
        <v>688</v>
      </c>
      <c r="C259"/>
      <c r="D259" t="s">
        <v>383</v>
      </c>
      <c r="E259" t="s">
        <v>689</v>
      </c>
      <c r="F259" t="s">
        <v>722</v>
      </c>
      <c r="G259" t="s">
        <v>280</v>
      </c>
      <c r="H259" t="s">
        <v>723</v>
      </c>
      <c r="I259" t="s">
        <v>35</v>
      </c>
      <c r="J259"/>
      <c r="K259">
        <v>1</v>
      </c>
      <c r="L259">
        <v>1</v>
      </c>
      <c r="M259" t="s">
        <v>33</v>
      </c>
      <c r="N259">
        <v>1</v>
      </c>
      <c r="O259">
        <v>1</v>
      </c>
      <c r="P259">
        <v>1</v>
      </c>
      <c r="Q259" t="s">
        <v>38</v>
      </c>
      <c r="R259">
        <v>1</v>
      </c>
      <c r="S259">
        <v>1</v>
      </c>
      <c r="T259">
        <v>1</v>
      </c>
      <c r="U259"/>
      <c r="V259"/>
      <c r="W259"/>
      <c r="X259">
        <v>1</v>
      </c>
      <c r="Y259"/>
      <c r="Z259">
        <v>0</v>
      </c>
      <c r="AA259"/>
      <c r="AB259"/>
      <c r="AC259"/>
      <c r="AD259"/>
      <c r="AE259">
        <v>0</v>
      </c>
      <c r="AF259"/>
      <c r="AG259" t="s">
        <v>3466</v>
      </c>
      <c r="AH259"/>
    </row>
    <row r="260" spans="1:34" x14ac:dyDescent="0.25">
      <c r="A260" t="s">
        <v>687</v>
      </c>
      <c r="B260" t="s">
        <v>688</v>
      </c>
      <c r="C260"/>
      <c r="D260" t="s">
        <v>383</v>
      </c>
      <c r="E260" t="s">
        <v>689</v>
      </c>
      <c r="F260" t="s">
        <v>724</v>
      </c>
      <c r="G260" t="s">
        <v>280</v>
      </c>
      <c r="H260" t="s">
        <v>725</v>
      </c>
      <c r="I260" t="s">
        <v>35</v>
      </c>
      <c r="J260"/>
      <c r="K260">
        <v>1</v>
      </c>
      <c r="L260">
        <v>1</v>
      </c>
      <c r="M260" t="s">
        <v>33</v>
      </c>
      <c r="N260">
        <v>1</v>
      </c>
      <c r="O260">
        <v>1</v>
      </c>
      <c r="P260">
        <v>1</v>
      </c>
      <c r="Q260" t="s">
        <v>38</v>
      </c>
      <c r="R260">
        <v>1</v>
      </c>
      <c r="S260">
        <v>0</v>
      </c>
      <c r="T260"/>
      <c r="U260"/>
      <c r="V260"/>
      <c r="W260"/>
      <c r="X260">
        <v>0</v>
      </c>
      <c r="Y260"/>
      <c r="Z260">
        <v>0</v>
      </c>
      <c r="AA260"/>
      <c r="AB260"/>
      <c r="AC260"/>
      <c r="AD260"/>
      <c r="AE260">
        <v>0</v>
      </c>
      <c r="AF260"/>
      <c r="AG260" t="s">
        <v>3466</v>
      </c>
      <c r="AH260"/>
    </row>
    <row r="261" spans="1:34" x14ac:dyDescent="0.25">
      <c r="A261" t="s">
        <v>687</v>
      </c>
      <c r="B261" t="s">
        <v>688</v>
      </c>
      <c r="C261"/>
      <c r="D261" t="s">
        <v>383</v>
      </c>
      <c r="E261" t="s">
        <v>689</v>
      </c>
      <c r="F261" t="s">
        <v>726</v>
      </c>
      <c r="G261" t="s">
        <v>280</v>
      </c>
      <c r="H261" t="s">
        <v>727</v>
      </c>
      <c r="I261" t="s">
        <v>35</v>
      </c>
      <c r="J261"/>
      <c r="K261">
        <v>1</v>
      </c>
      <c r="L261">
        <v>1</v>
      </c>
      <c r="M261" t="s">
        <v>33</v>
      </c>
      <c r="N261">
        <v>1</v>
      </c>
      <c r="O261">
        <v>1</v>
      </c>
      <c r="P261">
        <v>1</v>
      </c>
      <c r="Q261" t="s">
        <v>38</v>
      </c>
      <c r="R261">
        <v>1</v>
      </c>
      <c r="S261">
        <v>1</v>
      </c>
      <c r="T261">
        <v>1</v>
      </c>
      <c r="U261"/>
      <c r="V261"/>
      <c r="W261"/>
      <c r="X261">
        <v>1</v>
      </c>
      <c r="Y261"/>
      <c r="Z261">
        <v>0</v>
      </c>
      <c r="AA261"/>
      <c r="AB261"/>
      <c r="AC261"/>
      <c r="AD261"/>
      <c r="AE261">
        <v>0</v>
      </c>
      <c r="AF261"/>
      <c r="AG261"/>
      <c r="AH261"/>
    </row>
    <row r="262" spans="1:34" x14ac:dyDescent="0.25">
      <c r="A262" t="s">
        <v>3392</v>
      </c>
      <c r="B262" t="s">
        <v>3393</v>
      </c>
      <c r="C262"/>
      <c r="D262" t="s">
        <v>383</v>
      </c>
      <c r="E262" t="s">
        <v>689</v>
      </c>
      <c r="F262" t="s">
        <v>726</v>
      </c>
      <c r="G262" t="s">
        <v>280</v>
      </c>
      <c r="H262" t="s">
        <v>727</v>
      </c>
      <c r="I262" t="s">
        <v>35</v>
      </c>
      <c r="J262"/>
      <c r="K262">
        <v>1</v>
      </c>
      <c r="L262">
        <v>1</v>
      </c>
      <c r="M262" t="s">
        <v>33</v>
      </c>
      <c r="N262">
        <v>1</v>
      </c>
      <c r="O262">
        <v>1</v>
      </c>
      <c r="P262">
        <v>1</v>
      </c>
      <c r="Q262" t="s">
        <v>38</v>
      </c>
      <c r="R262">
        <v>1</v>
      </c>
      <c r="S262">
        <v>1</v>
      </c>
      <c r="T262">
        <v>1</v>
      </c>
      <c r="U262"/>
      <c r="V262"/>
      <c r="W262"/>
      <c r="X262">
        <v>1</v>
      </c>
      <c r="Y262"/>
      <c r="Z262">
        <v>0</v>
      </c>
      <c r="AA262"/>
      <c r="AB262"/>
      <c r="AC262"/>
      <c r="AD262"/>
      <c r="AE262">
        <v>0</v>
      </c>
      <c r="AF262"/>
      <c r="AG262"/>
      <c r="AH262"/>
    </row>
    <row r="263" spans="1:34" x14ac:dyDescent="0.25">
      <c r="A263" t="s">
        <v>687</v>
      </c>
      <c r="B263" t="s">
        <v>688</v>
      </c>
      <c r="C263"/>
      <c r="D263" t="s">
        <v>383</v>
      </c>
      <c r="E263" t="s">
        <v>689</v>
      </c>
      <c r="F263" t="s">
        <v>728</v>
      </c>
      <c r="G263" t="s">
        <v>280</v>
      </c>
      <c r="H263" t="s">
        <v>729</v>
      </c>
      <c r="I263" t="s">
        <v>35</v>
      </c>
      <c r="J263"/>
      <c r="K263">
        <v>1</v>
      </c>
      <c r="L263">
        <v>1</v>
      </c>
      <c r="M263" t="s">
        <v>33</v>
      </c>
      <c r="N263">
        <v>1</v>
      </c>
      <c r="O263">
        <v>1</v>
      </c>
      <c r="P263">
        <v>1</v>
      </c>
      <c r="Q263" t="s">
        <v>38</v>
      </c>
      <c r="R263">
        <v>1</v>
      </c>
      <c r="S263">
        <v>0</v>
      </c>
      <c r="T263"/>
      <c r="U263"/>
      <c r="V263"/>
      <c r="W263"/>
      <c r="X263">
        <v>0</v>
      </c>
      <c r="Y263"/>
      <c r="Z263">
        <v>0</v>
      </c>
      <c r="AA263"/>
      <c r="AB263"/>
      <c r="AC263"/>
      <c r="AD263"/>
      <c r="AE263">
        <v>0</v>
      </c>
      <c r="AF263"/>
      <c r="AG263"/>
      <c r="AH263"/>
    </row>
    <row r="264" spans="1:34" x14ac:dyDescent="0.25">
      <c r="A264" t="s">
        <v>3392</v>
      </c>
      <c r="B264" t="s">
        <v>3393</v>
      </c>
      <c r="C264"/>
      <c r="D264" t="s">
        <v>383</v>
      </c>
      <c r="E264" t="s">
        <v>689</v>
      </c>
      <c r="F264" t="s">
        <v>728</v>
      </c>
      <c r="G264" t="s">
        <v>280</v>
      </c>
      <c r="H264" t="s">
        <v>729</v>
      </c>
      <c r="I264" t="s">
        <v>35</v>
      </c>
      <c r="J264"/>
      <c r="K264">
        <v>1</v>
      </c>
      <c r="L264">
        <v>1</v>
      </c>
      <c r="M264" t="s">
        <v>33</v>
      </c>
      <c r="N264">
        <v>1</v>
      </c>
      <c r="O264">
        <v>1</v>
      </c>
      <c r="P264">
        <v>1</v>
      </c>
      <c r="Q264" t="s">
        <v>38</v>
      </c>
      <c r="R264">
        <v>1</v>
      </c>
      <c r="S264">
        <v>0</v>
      </c>
      <c r="T264"/>
      <c r="U264"/>
      <c r="V264"/>
      <c r="W264"/>
      <c r="X264">
        <v>0</v>
      </c>
      <c r="Y264"/>
      <c r="Z264">
        <v>0</v>
      </c>
      <c r="AA264"/>
      <c r="AB264"/>
      <c r="AC264"/>
      <c r="AD264"/>
      <c r="AE264">
        <v>0</v>
      </c>
      <c r="AF264"/>
      <c r="AG264"/>
      <c r="AH264"/>
    </row>
    <row r="265" spans="1:34" x14ac:dyDescent="0.25">
      <c r="A265" t="s">
        <v>3394</v>
      </c>
      <c r="B265" t="s">
        <v>3395</v>
      </c>
      <c r="C265"/>
      <c r="D265" t="s">
        <v>383</v>
      </c>
      <c r="E265" t="s">
        <v>689</v>
      </c>
      <c r="F265" t="s">
        <v>728</v>
      </c>
      <c r="G265" t="s">
        <v>280</v>
      </c>
      <c r="H265" t="s">
        <v>729</v>
      </c>
      <c r="I265" t="s">
        <v>35</v>
      </c>
      <c r="J265"/>
      <c r="K265">
        <v>1</v>
      </c>
      <c r="L265">
        <v>1</v>
      </c>
      <c r="M265" t="s">
        <v>33</v>
      </c>
      <c r="N265">
        <v>1</v>
      </c>
      <c r="O265">
        <v>1</v>
      </c>
      <c r="P265">
        <v>1</v>
      </c>
      <c r="Q265" t="s">
        <v>38</v>
      </c>
      <c r="R265">
        <v>1</v>
      </c>
      <c r="S265">
        <v>0</v>
      </c>
      <c r="T265"/>
      <c r="U265"/>
      <c r="V265"/>
      <c r="W265"/>
      <c r="X265">
        <v>0</v>
      </c>
      <c r="Y265"/>
      <c r="Z265">
        <v>0</v>
      </c>
      <c r="AA265"/>
      <c r="AB265"/>
      <c r="AC265"/>
      <c r="AD265"/>
      <c r="AE265">
        <v>0</v>
      </c>
      <c r="AF265"/>
      <c r="AG265"/>
      <c r="AH265"/>
    </row>
    <row r="266" spans="1:34" x14ac:dyDescent="0.25">
      <c r="A266" t="s">
        <v>3397</v>
      </c>
      <c r="B266" t="s">
        <v>3398</v>
      </c>
      <c r="C266"/>
      <c r="D266" t="s">
        <v>383</v>
      </c>
      <c r="E266" t="s">
        <v>689</v>
      </c>
      <c r="F266" t="s">
        <v>728</v>
      </c>
      <c r="G266" t="s">
        <v>280</v>
      </c>
      <c r="H266" t="s">
        <v>729</v>
      </c>
      <c r="I266" t="s">
        <v>35</v>
      </c>
      <c r="J266"/>
      <c r="K266">
        <v>1</v>
      </c>
      <c r="L266">
        <v>1</v>
      </c>
      <c r="M266" t="s">
        <v>33</v>
      </c>
      <c r="N266">
        <v>1</v>
      </c>
      <c r="O266">
        <v>1</v>
      </c>
      <c r="P266">
        <v>1</v>
      </c>
      <c r="Q266" t="s">
        <v>38</v>
      </c>
      <c r="R266">
        <v>1</v>
      </c>
      <c r="S266">
        <v>0</v>
      </c>
      <c r="T266"/>
      <c r="U266"/>
      <c r="V266"/>
      <c r="W266"/>
      <c r="X266">
        <v>0</v>
      </c>
      <c r="Y266"/>
      <c r="Z266">
        <v>0</v>
      </c>
      <c r="AA266"/>
      <c r="AB266"/>
      <c r="AC266"/>
      <c r="AD266"/>
      <c r="AE266">
        <v>0</v>
      </c>
      <c r="AF266"/>
      <c r="AG266"/>
      <c r="AH266"/>
    </row>
    <row r="267" spans="1:34" x14ac:dyDescent="0.25">
      <c r="A267" t="s">
        <v>3444</v>
      </c>
      <c r="B267" t="s">
        <v>3445</v>
      </c>
      <c r="C267"/>
      <c r="D267" t="s">
        <v>383</v>
      </c>
      <c r="E267" t="s">
        <v>689</v>
      </c>
      <c r="F267" t="s">
        <v>728</v>
      </c>
      <c r="G267" t="s">
        <v>259</v>
      </c>
      <c r="H267" t="s">
        <v>729</v>
      </c>
      <c r="I267" t="s">
        <v>35</v>
      </c>
      <c r="J267"/>
      <c r="K267">
        <v>1</v>
      </c>
      <c r="L267">
        <v>1</v>
      </c>
      <c r="M267" t="s">
        <v>33</v>
      </c>
      <c r="N267">
        <v>1</v>
      </c>
      <c r="O267">
        <v>1</v>
      </c>
      <c r="P267">
        <v>1</v>
      </c>
      <c r="Q267" t="s">
        <v>38</v>
      </c>
      <c r="R267">
        <v>1</v>
      </c>
      <c r="S267">
        <v>0</v>
      </c>
      <c r="T267"/>
      <c r="U267"/>
      <c r="V267"/>
      <c r="W267"/>
      <c r="X267">
        <v>0</v>
      </c>
      <c r="Y267"/>
      <c r="Z267">
        <v>0</v>
      </c>
      <c r="AA267"/>
      <c r="AB267"/>
      <c r="AC267"/>
      <c r="AD267"/>
      <c r="AE267">
        <v>0</v>
      </c>
      <c r="AF267"/>
      <c r="AG267"/>
      <c r="AH267"/>
    </row>
    <row r="268" spans="1:34" x14ac:dyDescent="0.25">
      <c r="A268" t="s">
        <v>3446</v>
      </c>
      <c r="B268" t="s">
        <v>3447</v>
      </c>
      <c r="C268"/>
      <c r="D268" t="s">
        <v>383</v>
      </c>
      <c r="E268" t="s">
        <v>689</v>
      </c>
      <c r="F268" t="s">
        <v>728</v>
      </c>
      <c r="G268" t="s">
        <v>259</v>
      </c>
      <c r="H268" t="s">
        <v>729</v>
      </c>
      <c r="I268" t="s">
        <v>35</v>
      </c>
      <c r="J268"/>
      <c r="K268">
        <v>1</v>
      </c>
      <c r="L268">
        <v>1</v>
      </c>
      <c r="M268" t="s">
        <v>33</v>
      </c>
      <c r="N268">
        <v>1</v>
      </c>
      <c r="O268">
        <v>1</v>
      </c>
      <c r="P268">
        <v>1</v>
      </c>
      <c r="Q268" t="s">
        <v>38</v>
      </c>
      <c r="R268">
        <v>1</v>
      </c>
      <c r="S268">
        <v>0</v>
      </c>
      <c r="T268"/>
      <c r="U268"/>
      <c r="V268"/>
      <c r="W268"/>
      <c r="X268">
        <v>0</v>
      </c>
      <c r="Y268"/>
      <c r="Z268">
        <v>0</v>
      </c>
      <c r="AA268"/>
      <c r="AB268"/>
      <c r="AC268"/>
      <c r="AD268"/>
      <c r="AE268">
        <v>0</v>
      </c>
      <c r="AF268"/>
      <c r="AG268"/>
      <c r="AH268"/>
    </row>
    <row r="269" spans="1:34" x14ac:dyDescent="0.25">
      <c r="A269" t="s">
        <v>3454</v>
      </c>
      <c r="B269" t="s">
        <v>3455</v>
      </c>
      <c r="C269"/>
      <c r="D269" t="s">
        <v>383</v>
      </c>
      <c r="E269" t="s">
        <v>689</v>
      </c>
      <c r="F269" t="s">
        <v>728</v>
      </c>
      <c r="G269" t="s">
        <v>259</v>
      </c>
      <c r="H269" t="s">
        <v>729</v>
      </c>
      <c r="I269" t="s">
        <v>35</v>
      </c>
      <c r="J269"/>
      <c r="K269">
        <v>1</v>
      </c>
      <c r="L269">
        <v>1</v>
      </c>
      <c r="M269" t="s">
        <v>33</v>
      </c>
      <c r="N269">
        <v>1</v>
      </c>
      <c r="O269">
        <v>1</v>
      </c>
      <c r="P269">
        <v>1</v>
      </c>
      <c r="Q269" t="s">
        <v>38</v>
      </c>
      <c r="R269">
        <v>1</v>
      </c>
      <c r="S269">
        <v>0</v>
      </c>
      <c r="T269"/>
      <c r="U269"/>
      <c r="V269"/>
      <c r="W269"/>
      <c r="X269">
        <v>0</v>
      </c>
      <c r="Y269"/>
      <c r="Z269">
        <v>0</v>
      </c>
      <c r="AA269"/>
      <c r="AB269"/>
      <c r="AC269"/>
      <c r="AD269"/>
      <c r="AE269">
        <v>0</v>
      </c>
      <c r="AF269"/>
      <c r="AG269"/>
      <c r="AH269"/>
    </row>
    <row r="270" spans="1:34" x14ac:dyDescent="0.25">
      <c r="A270" t="s">
        <v>687</v>
      </c>
      <c r="B270" t="s">
        <v>688</v>
      </c>
      <c r="C270"/>
      <c r="D270" t="s">
        <v>383</v>
      </c>
      <c r="E270" t="s">
        <v>689</v>
      </c>
      <c r="F270" t="s">
        <v>730</v>
      </c>
      <c r="G270" t="s">
        <v>280</v>
      </c>
      <c r="H270" t="s">
        <v>731</v>
      </c>
      <c r="I270" t="s">
        <v>35</v>
      </c>
      <c r="J270"/>
      <c r="K270">
        <v>1</v>
      </c>
      <c r="L270">
        <v>1</v>
      </c>
      <c r="M270" t="s">
        <v>33</v>
      </c>
      <c r="N270">
        <v>1</v>
      </c>
      <c r="O270">
        <v>1</v>
      </c>
      <c r="P270">
        <v>1</v>
      </c>
      <c r="Q270" t="s">
        <v>38</v>
      </c>
      <c r="R270">
        <v>1</v>
      </c>
      <c r="S270">
        <v>1</v>
      </c>
      <c r="T270">
        <v>1</v>
      </c>
      <c r="U270"/>
      <c r="V270"/>
      <c r="W270"/>
      <c r="X270">
        <v>1</v>
      </c>
      <c r="Y270"/>
      <c r="Z270">
        <v>0</v>
      </c>
      <c r="AA270"/>
      <c r="AB270"/>
      <c r="AC270"/>
      <c r="AD270"/>
      <c r="AE270">
        <v>0</v>
      </c>
      <c r="AF270"/>
      <c r="AG270"/>
      <c r="AH270"/>
    </row>
    <row r="271" spans="1:34" x14ac:dyDescent="0.25">
      <c r="A271" t="s">
        <v>3392</v>
      </c>
      <c r="B271" t="s">
        <v>3393</v>
      </c>
      <c r="C271"/>
      <c r="D271" t="s">
        <v>383</v>
      </c>
      <c r="E271" t="s">
        <v>689</v>
      </c>
      <c r="F271" t="s">
        <v>730</v>
      </c>
      <c r="G271" t="s">
        <v>280</v>
      </c>
      <c r="H271" t="s">
        <v>731</v>
      </c>
      <c r="I271" t="s">
        <v>35</v>
      </c>
      <c r="J271"/>
      <c r="K271">
        <v>1</v>
      </c>
      <c r="L271">
        <v>1</v>
      </c>
      <c r="M271" t="s">
        <v>33</v>
      </c>
      <c r="N271">
        <v>1</v>
      </c>
      <c r="O271">
        <v>1</v>
      </c>
      <c r="P271">
        <v>1</v>
      </c>
      <c r="Q271" t="s">
        <v>38</v>
      </c>
      <c r="R271">
        <v>1</v>
      </c>
      <c r="S271">
        <v>1</v>
      </c>
      <c r="T271">
        <v>1</v>
      </c>
      <c r="U271"/>
      <c r="V271"/>
      <c r="W271"/>
      <c r="X271">
        <v>1</v>
      </c>
      <c r="Y271"/>
      <c r="Z271">
        <v>0</v>
      </c>
      <c r="AA271"/>
      <c r="AB271"/>
      <c r="AC271"/>
      <c r="AD271"/>
      <c r="AE271">
        <v>0</v>
      </c>
      <c r="AF271"/>
      <c r="AG271"/>
      <c r="AH271"/>
    </row>
    <row r="272" spans="1:34" x14ac:dyDescent="0.25">
      <c r="A272" t="s">
        <v>3448</v>
      </c>
      <c r="B272" t="s">
        <v>3449</v>
      </c>
      <c r="C272"/>
      <c r="D272" t="s">
        <v>383</v>
      </c>
      <c r="E272" t="s">
        <v>689</v>
      </c>
      <c r="F272" t="s">
        <v>730</v>
      </c>
      <c r="G272" t="s">
        <v>280</v>
      </c>
      <c r="H272" t="s">
        <v>731</v>
      </c>
      <c r="I272" t="s">
        <v>35</v>
      </c>
      <c r="J272"/>
      <c r="K272">
        <v>1</v>
      </c>
      <c r="L272">
        <v>1</v>
      </c>
      <c r="M272" t="s">
        <v>33</v>
      </c>
      <c r="N272">
        <v>1</v>
      </c>
      <c r="O272">
        <v>1</v>
      </c>
      <c r="P272">
        <v>1</v>
      </c>
      <c r="Q272" t="s">
        <v>38</v>
      </c>
      <c r="R272">
        <v>1</v>
      </c>
      <c r="S272">
        <v>1</v>
      </c>
      <c r="T272">
        <v>1</v>
      </c>
      <c r="U272"/>
      <c r="V272"/>
      <c r="W272"/>
      <c r="X272">
        <v>1</v>
      </c>
      <c r="Y272"/>
      <c r="Z272">
        <v>0</v>
      </c>
      <c r="AA272"/>
      <c r="AB272"/>
      <c r="AC272"/>
      <c r="AD272"/>
      <c r="AE272">
        <v>0</v>
      </c>
      <c r="AF272"/>
      <c r="AG272"/>
      <c r="AH272"/>
    </row>
    <row r="273" spans="1:34" x14ac:dyDescent="0.25">
      <c r="A273" t="s">
        <v>687</v>
      </c>
      <c r="B273" t="s">
        <v>688</v>
      </c>
      <c r="C273"/>
      <c r="D273" t="s">
        <v>383</v>
      </c>
      <c r="E273" t="s">
        <v>689</v>
      </c>
      <c r="F273" t="s">
        <v>732</v>
      </c>
      <c r="G273" t="s">
        <v>280</v>
      </c>
      <c r="H273" t="s">
        <v>733</v>
      </c>
      <c r="I273" t="s">
        <v>35</v>
      </c>
      <c r="J273"/>
      <c r="K273">
        <v>1</v>
      </c>
      <c r="L273">
        <v>1</v>
      </c>
      <c r="M273" t="s">
        <v>33</v>
      </c>
      <c r="N273">
        <v>1</v>
      </c>
      <c r="O273">
        <v>1</v>
      </c>
      <c r="P273">
        <v>1</v>
      </c>
      <c r="Q273" t="s">
        <v>38</v>
      </c>
      <c r="R273">
        <v>1</v>
      </c>
      <c r="S273">
        <v>1</v>
      </c>
      <c r="T273">
        <v>1</v>
      </c>
      <c r="U273"/>
      <c r="V273"/>
      <c r="W273"/>
      <c r="X273">
        <v>1</v>
      </c>
      <c r="Y273"/>
      <c r="Z273">
        <v>0</v>
      </c>
      <c r="AA273"/>
      <c r="AB273"/>
      <c r="AC273"/>
      <c r="AD273"/>
      <c r="AE273">
        <v>0</v>
      </c>
      <c r="AF273"/>
      <c r="AG273" t="s">
        <v>3466</v>
      </c>
      <c r="AH273"/>
    </row>
    <row r="274" spans="1:34" x14ac:dyDescent="0.25">
      <c r="A274" t="s">
        <v>687</v>
      </c>
      <c r="B274" t="s">
        <v>688</v>
      </c>
      <c r="C274"/>
      <c r="D274" t="s">
        <v>383</v>
      </c>
      <c r="E274" t="s">
        <v>689</v>
      </c>
      <c r="F274" t="s">
        <v>734</v>
      </c>
      <c r="G274" t="s">
        <v>280</v>
      </c>
      <c r="H274" t="s">
        <v>735</v>
      </c>
      <c r="I274" t="s">
        <v>35</v>
      </c>
      <c r="J274"/>
      <c r="K274">
        <v>1</v>
      </c>
      <c r="L274">
        <v>1</v>
      </c>
      <c r="M274" t="s">
        <v>33</v>
      </c>
      <c r="N274">
        <v>1</v>
      </c>
      <c r="O274">
        <v>1</v>
      </c>
      <c r="P274">
        <v>1</v>
      </c>
      <c r="Q274" t="s">
        <v>38</v>
      </c>
      <c r="R274">
        <v>1</v>
      </c>
      <c r="S274">
        <v>1</v>
      </c>
      <c r="T274">
        <v>1</v>
      </c>
      <c r="U274"/>
      <c r="V274"/>
      <c r="W274"/>
      <c r="X274">
        <v>1</v>
      </c>
      <c r="Y274"/>
      <c r="Z274">
        <v>0</v>
      </c>
      <c r="AA274"/>
      <c r="AB274"/>
      <c r="AC274"/>
      <c r="AD274"/>
      <c r="AE274">
        <v>0</v>
      </c>
      <c r="AF274"/>
      <c r="AG274" t="s">
        <v>3466</v>
      </c>
      <c r="AH274"/>
    </row>
    <row r="275" spans="1:34" x14ac:dyDescent="0.25">
      <c r="A275" t="s">
        <v>687</v>
      </c>
      <c r="B275" t="s">
        <v>688</v>
      </c>
      <c r="C275"/>
      <c r="D275" t="s">
        <v>383</v>
      </c>
      <c r="E275" t="s">
        <v>689</v>
      </c>
      <c r="F275" t="s">
        <v>736</v>
      </c>
      <c r="G275" t="s">
        <v>280</v>
      </c>
      <c r="H275" t="s">
        <v>737</v>
      </c>
      <c r="I275" t="s">
        <v>35</v>
      </c>
      <c r="J275"/>
      <c r="K275">
        <v>1</v>
      </c>
      <c r="L275">
        <v>1</v>
      </c>
      <c r="M275" t="s">
        <v>33</v>
      </c>
      <c r="N275">
        <v>1</v>
      </c>
      <c r="O275">
        <v>1</v>
      </c>
      <c r="P275">
        <v>1</v>
      </c>
      <c r="Q275" t="s">
        <v>38</v>
      </c>
      <c r="R275">
        <v>1</v>
      </c>
      <c r="S275">
        <v>1</v>
      </c>
      <c r="T275">
        <v>1</v>
      </c>
      <c r="U275"/>
      <c r="V275"/>
      <c r="W275"/>
      <c r="X275">
        <v>1</v>
      </c>
      <c r="Y275"/>
      <c r="Z275">
        <v>0</v>
      </c>
      <c r="AA275"/>
      <c r="AB275"/>
      <c r="AC275"/>
      <c r="AD275"/>
      <c r="AE275">
        <v>0</v>
      </c>
      <c r="AF275"/>
      <c r="AG275" t="s">
        <v>3466</v>
      </c>
      <c r="AH275"/>
    </row>
    <row r="276" spans="1:34" x14ac:dyDescent="0.25">
      <c r="A276" t="s">
        <v>687</v>
      </c>
      <c r="B276" t="s">
        <v>688</v>
      </c>
      <c r="C276"/>
      <c r="D276" t="s">
        <v>383</v>
      </c>
      <c r="E276" t="s">
        <v>689</v>
      </c>
      <c r="F276" t="s">
        <v>738</v>
      </c>
      <c r="G276" t="s">
        <v>280</v>
      </c>
      <c r="H276" t="s">
        <v>739</v>
      </c>
      <c r="I276" t="s">
        <v>35</v>
      </c>
      <c r="J276"/>
      <c r="K276">
        <v>1</v>
      </c>
      <c r="L276">
        <v>1</v>
      </c>
      <c r="M276" t="s">
        <v>33</v>
      </c>
      <c r="N276">
        <v>1</v>
      </c>
      <c r="O276">
        <v>1</v>
      </c>
      <c r="P276">
        <v>1</v>
      </c>
      <c r="Q276" t="s">
        <v>38</v>
      </c>
      <c r="R276">
        <v>1</v>
      </c>
      <c r="S276">
        <v>1</v>
      </c>
      <c r="T276">
        <v>1</v>
      </c>
      <c r="U276"/>
      <c r="V276"/>
      <c r="W276"/>
      <c r="X276">
        <v>1</v>
      </c>
      <c r="Y276"/>
      <c r="Z276">
        <v>0</v>
      </c>
      <c r="AA276"/>
      <c r="AB276"/>
      <c r="AC276"/>
      <c r="AD276"/>
      <c r="AE276">
        <v>0</v>
      </c>
      <c r="AF276"/>
      <c r="AG276" t="s">
        <v>3466</v>
      </c>
      <c r="AH276"/>
    </row>
    <row r="277" spans="1:34" x14ac:dyDescent="0.25">
      <c r="A277" t="s">
        <v>687</v>
      </c>
      <c r="B277" t="s">
        <v>688</v>
      </c>
      <c r="C277"/>
      <c r="D277" t="s">
        <v>383</v>
      </c>
      <c r="E277" t="s">
        <v>689</v>
      </c>
      <c r="F277" t="s">
        <v>740</v>
      </c>
      <c r="G277" t="s">
        <v>280</v>
      </c>
      <c r="H277" t="s">
        <v>741</v>
      </c>
      <c r="I277" t="s">
        <v>35</v>
      </c>
      <c r="J277"/>
      <c r="K277">
        <v>1</v>
      </c>
      <c r="L277">
        <v>1</v>
      </c>
      <c r="M277" t="s">
        <v>33</v>
      </c>
      <c r="N277">
        <v>1</v>
      </c>
      <c r="O277">
        <v>1</v>
      </c>
      <c r="P277">
        <v>1</v>
      </c>
      <c r="Q277" t="s">
        <v>38</v>
      </c>
      <c r="R277">
        <v>1</v>
      </c>
      <c r="S277">
        <v>1</v>
      </c>
      <c r="T277">
        <v>1</v>
      </c>
      <c r="U277"/>
      <c r="V277"/>
      <c r="W277"/>
      <c r="X277">
        <v>1</v>
      </c>
      <c r="Y277"/>
      <c r="Z277">
        <v>0</v>
      </c>
      <c r="AA277"/>
      <c r="AB277"/>
      <c r="AC277"/>
      <c r="AD277"/>
      <c r="AE277">
        <v>0</v>
      </c>
      <c r="AF277"/>
      <c r="AG277" t="s">
        <v>3466</v>
      </c>
      <c r="AH277"/>
    </row>
    <row r="278" spans="1:34" x14ac:dyDescent="0.25">
      <c r="A278" t="s">
        <v>687</v>
      </c>
      <c r="B278" t="s">
        <v>688</v>
      </c>
      <c r="C278"/>
      <c r="D278" t="s">
        <v>383</v>
      </c>
      <c r="E278" t="s">
        <v>689</v>
      </c>
      <c r="F278" t="s">
        <v>742</v>
      </c>
      <c r="G278" t="s">
        <v>280</v>
      </c>
      <c r="H278" t="s">
        <v>743</v>
      </c>
      <c r="I278" t="s">
        <v>35</v>
      </c>
      <c r="J278"/>
      <c r="K278">
        <v>1</v>
      </c>
      <c r="L278">
        <v>1</v>
      </c>
      <c r="M278" t="s">
        <v>33</v>
      </c>
      <c r="N278">
        <v>1</v>
      </c>
      <c r="O278">
        <v>1</v>
      </c>
      <c r="P278">
        <v>1</v>
      </c>
      <c r="Q278" t="s">
        <v>38</v>
      </c>
      <c r="R278">
        <v>1</v>
      </c>
      <c r="S278">
        <v>1</v>
      </c>
      <c r="T278">
        <v>1</v>
      </c>
      <c r="U278"/>
      <c r="V278"/>
      <c r="W278"/>
      <c r="X278">
        <v>1</v>
      </c>
      <c r="Y278"/>
      <c r="Z278">
        <v>0</v>
      </c>
      <c r="AA278"/>
      <c r="AB278"/>
      <c r="AC278"/>
      <c r="AD278"/>
      <c r="AE278">
        <v>0</v>
      </c>
      <c r="AF278"/>
      <c r="AG278" t="s">
        <v>3466</v>
      </c>
      <c r="AH278"/>
    </row>
    <row r="279" spans="1:34" x14ac:dyDescent="0.25">
      <c r="A279" t="s">
        <v>687</v>
      </c>
      <c r="B279" t="s">
        <v>688</v>
      </c>
      <c r="C279"/>
      <c r="D279" t="s">
        <v>383</v>
      </c>
      <c r="E279" t="s">
        <v>689</v>
      </c>
      <c r="F279" t="s">
        <v>744</v>
      </c>
      <c r="G279" t="s">
        <v>280</v>
      </c>
      <c r="H279" t="s">
        <v>745</v>
      </c>
      <c r="I279" t="s">
        <v>35</v>
      </c>
      <c r="J279"/>
      <c r="K279">
        <v>1</v>
      </c>
      <c r="L279">
        <v>1</v>
      </c>
      <c r="M279" t="s">
        <v>33</v>
      </c>
      <c r="N279">
        <v>1</v>
      </c>
      <c r="O279">
        <v>1</v>
      </c>
      <c r="P279">
        <v>1</v>
      </c>
      <c r="Q279" t="s">
        <v>38</v>
      </c>
      <c r="R279">
        <v>1</v>
      </c>
      <c r="S279">
        <v>1</v>
      </c>
      <c r="T279">
        <v>1</v>
      </c>
      <c r="U279"/>
      <c r="V279"/>
      <c r="W279"/>
      <c r="X279">
        <v>1</v>
      </c>
      <c r="Y279"/>
      <c r="Z279">
        <v>0</v>
      </c>
      <c r="AA279"/>
      <c r="AB279"/>
      <c r="AC279"/>
      <c r="AD279"/>
      <c r="AE279">
        <v>0</v>
      </c>
      <c r="AF279"/>
      <c r="AG279" t="s">
        <v>3466</v>
      </c>
      <c r="AH279"/>
    </row>
    <row r="280" spans="1:34" x14ac:dyDescent="0.25">
      <c r="A280" t="s">
        <v>687</v>
      </c>
      <c r="B280" t="s">
        <v>688</v>
      </c>
      <c r="C280"/>
      <c r="D280" t="s">
        <v>383</v>
      </c>
      <c r="E280" t="s">
        <v>689</v>
      </c>
      <c r="F280" t="s">
        <v>746</v>
      </c>
      <c r="G280" t="s">
        <v>280</v>
      </c>
      <c r="H280" t="s">
        <v>747</v>
      </c>
      <c r="I280" t="s">
        <v>35</v>
      </c>
      <c r="J280"/>
      <c r="K280">
        <v>1</v>
      </c>
      <c r="L280">
        <v>1</v>
      </c>
      <c r="M280" t="s">
        <v>33</v>
      </c>
      <c r="N280">
        <v>1</v>
      </c>
      <c r="O280">
        <v>1</v>
      </c>
      <c r="P280">
        <v>1</v>
      </c>
      <c r="Q280" t="s">
        <v>38</v>
      </c>
      <c r="R280">
        <v>1</v>
      </c>
      <c r="S280">
        <v>1</v>
      </c>
      <c r="T280">
        <v>1</v>
      </c>
      <c r="U280"/>
      <c r="V280"/>
      <c r="W280"/>
      <c r="X280">
        <v>1</v>
      </c>
      <c r="Y280"/>
      <c r="Z280">
        <v>0</v>
      </c>
      <c r="AA280"/>
      <c r="AB280"/>
      <c r="AC280"/>
      <c r="AD280"/>
      <c r="AE280">
        <v>0</v>
      </c>
      <c r="AF280"/>
      <c r="AG280" t="s">
        <v>3466</v>
      </c>
      <c r="AH280"/>
    </row>
    <row r="281" spans="1:34" x14ac:dyDescent="0.25">
      <c r="A281" t="s">
        <v>687</v>
      </c>
      <c r="B281" t="s">
        <v>688</v>
      </c>
      <c r="C281"/>
      <c r="D281" t="s">
        <v>383</v>
      </c>
      <c r="E281" t="s">
        <v>689</v>
      </c>
      <c r="F281" t="s">
        <v>748</v>
      </c>
      <c r="G281" t="s">
        <v>280</v>
      </c>
      <c r="H281" t="s">
        <v>749</v>
      </c>
      <c r="I281" t="s">
        <v>35</v>
      </c>
      <c r="J281"/>
      <c r="K281">
        <v>1</v>
      </c>
      <c r="L281">
        <v>1</v>
      </c>
      <c r="M281" t="s">
        <v>33</v>
      </c>
      <c r="N281">
        <v>1</v>
      </c>
      <c r="O281">
        <v>1</v>
      </c>
      <c r="P281">
        <v>1</v>
      </c>
      <c r="Q281" t="s">
        <v>38</v>
      </c>
      <c r="R281">
        <v>1</v>
      </c>
      <c r="S281">
        <v>1</v>
      </c>
      <c r="T281">
        <v>1</v>
      </c>
      <c r="U281"/>
      <c r="V281"/>
      <c r="W281"/>
      <c r="X281">
        <v>1</v>
      </c>
      <c r="Y281"/>
      <c r="Z281">
        <v>0</v>
      </c>
      <c r="AA281"/>
      <c r="AB281"/>
      <c r="AC281"/>
      <c r="AD281"/>
      <c r="AE281">
        <v>0</v>
      </c>
      <c r="AF281"/>
      <c r="AG281" t="s">
        <v>3466</v>
      </c>
      <c r="AH281"/>
    </row>
    <row r="282" spans="1:34" x14ac:dyDescent="0.25">
      <c r="A282" t="s">
        <v>687</v>
      </c>
      <c r="B282" t="s">
        <v>688</v>
      </c>
      <c r="C282"/>
      <c r="D282" t="s">
        <v>383</v>
      </c>
      <c r="E282" t="s">
        <v>689</v>
      </c>
      <c r="F282" t="s">
        <v>750</v>
      </c>
      <c r="G282" t="s">
        <v>280</v>
      </c>
      <c r="H282" t="s">
        <v>751</v>
      </c>
      <c r="I282" t="s">
        <v>35</v>
      </c>
      <c r="J282"/>
      <c r="K282">
        <v>1</v>
      </c>
      <c r="L282">
        <v>1</v>
      </c>
      <c r="M282" t="s">
        <v>33</v>
      </c>
      <c r="N282">
        <v>1</v>
      </c>
      <c r="O282">
        <v>1</v>
      </c>
      <c r="P282">
        <v>1</v>
      </c>
      <c r="Q282" t="s">
        <v>38</v>
      </c>
      <c r="R282">
        <v>1</v>
      </c>
      <c r="S282">
        <v>1</v>
      </c>
      <c r="T282">
        <v>1</v>
      </c>
      <c r="U282"/>
      <c r="V282"/>
      <c r="W282"/>
      <c r="X282">
        <v>1</v>
      </c>
      <c r="Y282"/>
      <c r="Z282">
        <v>0</v>
      </c>
      <c r="AA282"/>
      <c r="AB282"/>
      <c r="AC282"/>
      <c r="AD282"/>
      <c r="AE282">
        <v>0</v>
      </c>
      <c r="AF282"/>
      <c r="AG282" t="s">
        <v>3466</v>
      </c>
      <c r="AH282"/>
    </row>
    <row r="283" spans="1:34" x14ac:dyDescent="0.25">
      <c r="A283" t="s">
        <v>687</v>
      </c>
      <c r="B283" t="s">
        <v>688</v>
      </c>
      <c r="C283"/>
      <c r="D283" t="s">
        <v>383</v>
      </c>
      <c r="E283" t="s">
        <v>689</v>
      </c>
      <c r="F283" t="s">
        <v>752</v>
      </c>
      <c r="G283" t="s">
        <v>280</v>
      </c>
      <c r="H283" t="s">
        <v>753</v>
      </c>
      <c r="I283" t="s">
        <v>35</v>
      </c>
      <c r="J283"/>
      <c r="K283">
        <v>1</v>
      </c>
      <c r="L283">
        <v>1</v>
      </c>
      <c r="M283" t="s">
        <v>33</v>
      </c>
      <c r="N283">
        <v>1</v>
      </c>
      <c r="O283">
        <v>1</v>
      </c>
      <c r="P283">
        <v>1</v>
      </c>
      <c r="Q283" t="s">
        <v>38</v>
      </c>
      <c r="R283">
        <v>1</v>
      </c>
      <c r="S283">
        <v>1</v>
      </c>
      <c r="T283">
        <v>1</v>
      </c>
      <c r="U283"/>
      <c r="V283"/>
      <c r="W283"/>
      <c r="X283">
        <v>1</v>
      </c>
      <c r="Y283"/>
      <c r="Z283">
        <v>0</v>
      </c>
      <c r="AA283"/>
      <c r="AB283"/>
      <c r="AC283"/>
      <c r="AD283"/>
      <c r="AE283">
        <v>0</v>
      </c>
      <c r="AF283"/>
      <c r="AG283" t="s">
        <v>3466</v>
      </c>
      <c r="AH283"/>
    </row>
    <row r="284" spans="1:34" x14ac:dyDescent="0.25">
      <c r="A284" t="s">
        <v>687</v>
      </c>
      <c r="B284" t="s">
        <v>688</v>
      </c>
      <c r="C284"/>
      <c r="D284" t="s">
        <v>383</v>
      </c>
      <c r="E284" t="s">
        <v>689</v>
      </c>
      <c r="F284" t="s">
        <v>754</v>
      </c>
      <c r="G284" t="s">
        <v>280</v>
      </c>
      <c r="H284" t="s">
        <v>755</v>
      </c>
      <c r="I284" t="s">
        <v>35</v>
      </c>
      <c r="J284"/>
      <c r="K284">
        <v>1</v>
      </c>
      <c r="L284">
        <v>1</v>
      </c>
      <c r="M284" t="s">
        <v>33</v>
      </c>
      <c r="N284">
        <v>1</v>
      </c>
      <c r="O284">
        <v>1</v>
      </c>
      <c r="P284">
        <v>1</v>
      </c>
      <c r="Q284" t="s">
        <v>38</v>
      </c>
      <c r="R284">
        <v>1</v>
      </c>
      <c r="S284">
        <v>1</v>
      </c>
      <c r="T284">
        <v>1</v>
      </c>
      <c r="U284"/>
      <c r="V284"/>
      <c r="W284"/>
      <c r="X284">
        <v>1</v>
      </c>
      <c r="Y284"/>
      <c r="Z284">
        <v>0</v>
      </c>
      <c r="AA284"/>
      <c r="AB284"/>
      <c r="AC284"/>
      <c r="AD284"/>
      <c r="AE284">
        <v>0</v>
      </c>
      <c r="AF284"/>
      <c r="AG284" t="s">
        <v>3466</v>
      </c>
      <c r="AH284"/>
    </row>
    <row r="285" spans="1:34" x14ac:dyDescent="0.25">
      <c r="A285" t="s">
        <v>687</v>
      </c>
      <c r="B285" t="s">
        <v>688</v>
      </c>
      <c r="C285"/>
      <c r="D285" t="s">
        <v>383</v>
      </c>
      <c r="E285" t="s">
        <v>689</v>
      </c>
      <c r="F285" t="s">
        <v>756</v>
      </c>
      <c r="G285" t="s">
        <v>280</v>
      </c>
      <c r="H285" t="s">
        <v>757</v>
      </c>
      <c r="I285" t="s">
        <v>35</v>
      </c>
      <c r="J285"/>
      <c r="K285">
        <v>1</v>
      </c>
      <c r="L285">
        <v>1</v>
      </c>
      <c r="M285" t="s">
        <v>33</v>
      </c>
      <c r="N285">
        <v>1</v>
      </c>
      <c r="O285">
        <v>1</v>
      </c>
      <c r="P285">
        <v>1</v>
      </c>
      <c r="Q285" t="s">
        <v>38</v>
      </c>
      <c r="R285">
        <v>1</v>
      </c>
      <c r="S285">
        <v>0</v>
      </c>
      <c r="T285"/>
      <c r="U285"/>
      <c r="V285"/>
      <c r="W285"/>
      <c r="X285">
        <v>0</v>
      </c>
      <c r="Y285"/>
      <c r="Z285">
        <v>0</v>
      </c>
      <c r="AA285"/>
      <c r="AB285"/>
      <c r="AC285"/>
      <c r="AD285"/>
      <c r="AE285">
        <v>0</v>
      </c>
      <c r="AF285"/>
      <c r="AG285" t="s">
        <v>3466</v>
      </c>
      <c r="AH285"/>
    </row>
    <row r="286" spans="1:34" x14ac:dyDescent="0.25">
      <c r="A286" t="s">
        <v>687</v>
      </c>
      <c r="B286" t="s">
        <v>688</v>
      </c>
      <c r="C286"/>
      <c r="D286" t="s">
        <v>383</v>
      </c>
      <c r="E286" t="s">
        <v>689</v>
      </c>
      <c r="F286" t="s">
        <v>758</v>
      </c>
      <c r="G286" t="s">
        <v>280</v>
      </c>
      <c r="H286" t="s">
        <v>759</v>
      </c>
      <c r="I286" t="s">
        <v>35</v>
      </c>
      <c r="J286"/>
      <c r="K286">
        <v>1</v>
      </c>
      <c r="L286">
        <v>1</v>
      </c>
      <c r="M286" t="s">
        <v>33</v>
      </c>
      <c r="N286">
        <v>1</v>
      </c>
      <c r="O286">
        <v>1</v>
      </c>
      <c r="P286">
        <v>1</v>
      </c>
      <c r="Q286" t="s">
        <v>38</v>
      </c>
      <c r="R286">
        <v>1</v>
      </c>
      <c r="S286">
        <v>1</v>
      </c>
      <c r="T286">
        <v>1</v>
      </c>
      <c r="U286"/>
      <c r="V286"/>
      <c r="W286"/>
      <c r="X286">
        <v>1</v>
      </c>
      <c r="Y286"/>
      <c r="Z286">
        <v>0</v>
      </c>
      <c r="AA286"/>
      <c r="AB286"/>
      <c r="AC286"/>
      <c r="AD286"/>
      <c r="AE286">
        <v>0</v>
      </c>
      <c r="AF286"/>
      <c r="AG286" t="s">
        <v>3466</v>
      </c>
      <c r="AH286"/>
    </row>
    <row r="287" spans="1:34" x14ac:dyDescent="0.25">
      <c r="A287" t="s">
        <v>687</v>
      </c>
      <c r="B287" t="s">
        <v>688</v>
      </c>
      <c r="C287"/>
      <c r="D287" t="s">
        <v>383</v>
      </c>
      <c r="E287" t="s">
        <v>689</v>
      </c>
      <c r="F287" t="s">
        <v>760</v>
      </c>
      <c r="G287" t="s">
        <v>280</v>
      </c>
      <c r="H287" t="s">
        <v>761</v>
      </c>
      <c r="I287" t="s">
        <v>35</v>
      </c>
      <c r="J287"/>
      <c r="K287">
        <v>1</v>
      </c>
      <c r="L287">
        <v>1</v>
      </c>
      <c r="M287" t="s">
        <v>33</v>
      </c>
      <c r="N287">
        <v>1</v>
      </c>
      <c r="O287">
        <v>1</v>
      </c>
      <c r="P287">
        <v>1</v>
      </c>
      <c r="Q287" t="s">
        <v>38</v>
      </c>
      <c r="R287">
        <v>1</v>
      </c>
      <c r="S287">
        <v>1</v>
      </c>
      <c r="T287">
        <v>1</v>
      </c>
      <c r="U287"/>
      <c r="V287"/>
      <c r="W287"/>
      <c r="X287">
        <v>1</v>
      </c>
      <c r="Y287"/>
      <c r="Z287">
        <v>0</v>
      </c>
      <c r="AA287"/>
      <c r="AB287"/>
      <c r="AC287"/>
      <c r="AD287"/>
      <c r="AE287">
        <v>0</v>
      </c>
      <c r="AF287"/>
      <c r="AG287" t="s">
        <v>3466</v>
      </c>
      <c r="AH287"/>
    </row>
    <row r="288" spans="1:34" x14ac:dyDescent="0.25">
      <c r="A288" t="s">
        <v>687</v>
      </c>
      <c r="B288" t="s">
        <v>688</v>
      </c>
      <c r="C288"/>
      <c r="D288" t="s">
        <v>383</v>
      </c>
      <c r="E288" t="s">
        <v>689</v>
      </c>
      <c r="F288" t="s">
        <v>762</v>
      </c>
      <c r="G288" t="s">
        <v>280</v>
      </c>
      <c r="H288" t="s">
        <v>763</v>
      </c>
      <c r="I288" t="s">
        <v>35</v>
      </c>
      <c r="J288"/>
      <c r="K288">
        <v>1</v>
      </c>
      <c r="L288">
        <v>1</v>
      </c>
      <c r="M288" t="s">
        <v>33</v>
      </c>
      <c r="N288">
        <v>1</v>
      </c>
      <c r="O288">
        <v>1</v>
      </c>
      <c r="P288">
        <v>1</v>
      </c>
      <c r="Q288" t="s">
        <v>38</v>
      </c>
      <c r="R288">
        <v>1</v>
      </c>
      <c r="S288">
        <v>1</v>
      </c>
      <c r="T288">
        <v>1</v>
      </c>
      <c r="U288"/>
      <c r="V288"/>
      <c r="W288"/>
      <c r="X288">
        <v>1</v>
      </c>
      <c r="Y288"/>
      <c r="Z288">
        <v>0</v>
      </c>
      <c r="AA288"/>
      <c r="AB288"/>
      <c r="AC288"/>
      <c r="AD288"/>
      <c r="AE288">
        <v>0</v>
      </c>
      <c r="AF288"/>
      <c r="AG288" t="s">
        <v>3466</v>
      </c>
      <c r="AH288"/>
    </row>
    <row r="289" spans="1:34" x14ac:dyDescent="0.25">
      <c r="A289" t="s">
        <v>687</v>
      </c>
      <c r="B289" t="s">
        <v>688</v>
      </c>
      <c r="C289"/>
      <c r="D289" t="s">
        <v>383</v>
      </c>
      <c r="E289" t="s">
        <v>689</v>
      </c>
      <c r="F289" t="s">
        <v>764</v>
      </c>
      <c r="G289" t="s">
        <v>280</v>
      </c>
      <c r="H289" t="s">
        <v>765</v>
      </c>
      <c r="I289" t="s">
        <v>35</v>
      </c>
      <c r="J289"/>
      <c r="K289">
        <v>1</v>
      </c>
      <c r="L289">
        <v>1</v>
      </c>
      <c r="M289" t="s">
        <v>33</v>
      </c>
      <c r="N289">
        <v>1</v>
      </c>
      <c r="O289">
        <v>1</v>
      </c>
      <c r="P289">
        <v>1</v>
      </c>
      <c r="Q289" t="s">
        <v>38</v>
      </c>
      <c r="R289">
        <v>1</v>
      </c>
      <c r="S289">
        <v>1</v>
      </c>
      <c r="T289">
        <v>1</v>
      </c>
      <c r="U289"/>
      <c r="V289"/>
      <c r="W289"/>
      <c r="X289">
        <v>1</v>
      </c>
      <c r="Y289"/>
      <c r="Z289">
        <v>0</v>
      </c>
      <c r="AA289"/>
      <c r="AB289"/>
      <c r="AC289"/>
      <c r="AD289"/>
      <c r="AE289">
        <v>0</v>
      </c>
      <c r="AF289"/>
      <c r="AG289" t="s">
        <v>3466</v>
      </c>
      <c r="AH289"/>
    </row>
    <row r="290" spans="1:34" x14ac:dyDescent="0.25">
      <c r="A290" t="s">
        <v>687</v>
      </c>
      <c r="B290" t="s">
        <v>688</v>
      </c>
      <c r="C290"/>
      <c r="D290" t="s">
        <v>383</v>
      </c>
      <c r="E290" t="s">
        <v>689</v>
      </c>
      <c r="F290" t="s">
        <v>766</v>
      </c>
      <c r="G290" t="s">
        <v>280</v>
      </c>
      <c r="H290" t="s">
        <v>767</v>
      </c>
      <c r="I290" t="s">
        <v>35</v>
      </c>
      <c r="J290"/>
      <c r="K290">
        <v>1</v>
      </c>
      <c r="L290">
        <v>1</v>
      </c>
      <c r="M290" t="s">
        <v>33</v>
      </c>
      <c r="N290">
        <v>1</v>
      </c>
      <c r="O290">
        <v>1</v>
      </c>
      <c r="P290">
        <v>1</v>
      </c>
      <c r="Q290" t="s">
        <v>38</v>
      </c>
      <c r="R290">
        <v>1</v>
      </c>
      <c r="S290">
        <v>0</v>
      </c>
      <c r="T290"/>
      <c r="U290"/>
      <c r="V290"/>
      <c r="W290"/>
      <c r="X290">
        <v>0</v>
      </c>
      <c r="Y290"/>
      <c r="Z290">
        <v>0</v>
      </c>
      <c r="AA290"/>
      <c r="AB290"/>
      <c r="AC290"/>
      <c r="AD290"/>
      <c r="AE290">
        <v>0</v>
      </c>
      <c r="AF290"/>
      <c r="AG290" t="s">
        <v>3466</v>
      </c>
      <c r="AH290"/>
    </row>
    <row r="291" spans="1:34" x14ac:dyDescent="0.25">
      <c r="A291" t="s">
        <v>687</v>
      </c>
      <c r="B291" t="s">
        <v>688</v>
      </c>
      <c r="C291"/>
      <c r="D291" t="s">
        <v>383</v>
      </c>
      <c r="E291" t="s">
        <v>689</v>
      </c>
      <c r="F291" t="s">
        <v>768</v>
      </c>
      <c r="G291" t="s">
        <v>280</v>
      </c>
      <c r="H291" t="s">
        <v>769</v>
      </c>
      <c r="I291" t="s">
        <v>35</v>
      </c>
      <c r="J291"/>
      <c r="K291">
        <v>1</v>
      </c>
      <c r="L291">
        <v>1</v>
      </c>
      <c r="M291" t="s">
        <v>33</v>
      </c>
      <c r="N291">
        <v>1</v>
      </c>
      <c r="O291">
        <v>1</v>
      </c>
      <c r="P291">
        <v>1</v>
      </c>
      <c r="Q291" t="s">
        <v>38</v>
      </c>
      <c r="R291">
        <v>1</v>
      </c>
      <c r="S291">
        <v>1</v>
      </c>
      <c r="T291">
        <v>1</v>
      </c>
      <c r="U291"/>
      <c r="V291"/>
      <c r="W291"/>
      <c r="X291">
        <v>1</v>
      </c>
      <c r="Y291"/>
      <c r="Z291">
        <v>0</v>
      </c>
      <c r="AA291"/>
      <c r="AB291"/>
      <c r="AC291"/>
      <c r="AD291"/>
      <c r="AE291">
        <v>0</v>
      </c>
      <c r="AF291"/>
      <c r="AG291"/>
      <c r="AH291"/>
    </row>
    <row r="292" spans="1:34" x14ac:dyDescent="0.25">
      <c r="A292" t="s">
        <v>3392</v>
      </c>
      <c r="B292" t="s">
        <v>3393</v>
      </c>
      <c r="C292"/>
      <c r="D292" t="s">
        <v>383</v>
      </c>
      <c r="E292" t="s">
        <v>689</v>
      </c>
      <c r="F292" t="s">
        <v>768</v>
      </c>
      <c r="G292" t="s">
        <v>280</v>
      </c>
      <c r="H292" t="s">
        <v>769</v>
      </c>
      <c r="I292" t="s">
        <v>35</v>
      </c>
      <c r="J292"/>
      <c r="K292">
        <v>1</v>
      </c>
      <c r="L292">
        <v>1</v>
      </c>
      <c r="M292" t="s">
        <v>33</v>
      </c>
      <c r="N292">
        <v>1</v>
      </c>
      <c r="O292">
        <v>1</v>
      </c>
      <c r="P292">
        <v>1</v>
      </c>
      <c r="Q292" t="s">
        <v>38</v>
      </c>
      <c r="R292">
        <v>1</v>
      </c>
      <c r="S292">
        <v>1</v>
      </c>
      <c r="T292">
        <v>1</v>
      </c>
      <c r="U292"/>
      <c r="V292"/>
      <c r="W292"/>
      <c r="X292">
        <v>1</v>
      </c>
      <c r="Y292"/>
      <c r="Z292">
        <v>0</v>
      </c>
      <c r="AA292"/>
      <c r="AB292"/>
      <c r="AC292"/>
      <c r="AD292"/>
      <c r="AE292">
        <v>0</v>
      </c>
      <c r="AF292"/>
      <c r="AG292"/>
      <c r="AH292"/>
    </row>
    <row r="293" spans="1:34" x14ac:dyDescent="0.25">
      <c r="A293" t="s">
        <v>3394</v>
      </c>
      <c r="B293" t="s">
        <v>3395</v>
      </c>
      <c r="C293"/>
      <c r="D293" t="s">
        <v>383</v>
      </c>
      <c r="E293" t="s">
        <v>689</v>
      </c>
      <c r="F293" t="s">
        <v>768</v>
      </c>
      <c r="G293" t="s">
        <v>280</v>
      </c>
      <c r="H293" t="s">
        <v>769</v>
      </c>
      <c r="I293" t="s">
        <v>35</v>
      </c>
      <c r="J293"/>
      <c r="K293">
        <v>1</v>
      </c>
      <c r="L293">
        <v>1</v>
      </c>
      <c r="M293" t="s">
        <v>33</v>
      </c>
      <c r="N293">
        <v>1</v>
      </c>
      <c r="O293">
        <v>1</v>
      </c>
      <c r="P293">
        <v>1</v>
      </c>
      <c r="Q293" t="s">
        <v>38</v>
      </c>
      <c r="R293">
        <v>1</v>
      </c>
      <c r="S293">
        <v>1</v>
      </c>
      <c r="T293">
        <v>1</v>
      </c>
      <c r="U293"/>
      <c r="V293"/>
      <c r="W293"/>
      <c r="X293">
        <v>1</v>
      </c>
      <c r="Y293"/>
      <c r="Z293">
        <v>0</v>
      </c>
      <c r="AA293"/>
      <c r="AB293"/>
      <c r="AC293"/>
      <c r="AD293"/>
      <c r="AE293">
        <v>0</v>
      </c>
      <c r="AF293"/>
      <c r="AG293"/>
      <c r="AH293"/>
    </row>
    <row r="294" spans="1:34" x14ac:dyDescent="0.25">
      <c r="A294" t="s">
        <v>3397</v>
      </c>
      <c r="B294" t="s">
        <v>3398</v>
      </c>
      <c r="C294"/>
      <c r="D294" t="s">
        <v>383</v>
      </c>
      <c r="E294" t="s">
        <v>689</v>
      </c>
      <c r="F294" t="s">
        <v>768</v>
      </c>
      <c r="G294" t="s">
        <v>280</v>
      </c>
      <c r="H294" t="s">
        <v>769</v>
      </c>
      <c r="I294" t="s">
        <v>35</v>
      </c>
      <c r="J294"/>
      <c r="K294">
        <v>1</v>
      </c>
      <c r="L294">
        <v>1</v>
      </c>
      <c r="M294" t="s">
        <v>33</v>
      </c>
      <c r="N294">
        <v>1</v>
      </c>
      <c r="O294">
        <v>1</v>
      </c>
      <c r="P294">
        <v>1</v>
      </c>
      <c r="Q294" t="s">
        <v>38</v>
      </c>
      <c r="R294">
        <v>1</v>
      </c>
      <c r="S294">
        <v>1</v>
      </c>
      <c r="T294">
        <v>1</v>
      </c>
      <c r="U294"/>
      <c r="V294"/>
      <c r="W294"/>
      <c r="X294">
        <v>1</v>
      </c>
      <c r="Y294"/>
      <c r="Z294">
        <v>0</v>
      </c>
      <c r="AA294"/>
      <c r="AB294"/>
      <c r="AC294"/>
      <c r="AD294"/>
      <c r="AE294">
        <v>0</v>
      </c>
      <c r="AF294"/>
      <c r="AG294"/>
      <c r="AH294"/>
    </row>
    <row r="295" spans="1:34" x14ac:dyDescent="0.25">
      <c r="A295" t="s">
        <v>3444</v>
      </c>
      <c r="B295" t="s">
        <v>3445</v>
      </c>
      <c r="C295"/>
      <c r="D295" t="s">
        <v>383</v>
      </c>
      <c r="E295" t="s">
        <v>689</v>
      </c>
      <c r="F295" t="s">
        <v>768</v>
      </c>
      <c r="G295" t="s">
        <v>259</v>
      </c>
      <c r="H295" t="s">
        <v>769</v>
      </c>
      <c r="I295" t="s">
        <v>35</v>
      </c>
      <c r="J295"/>
      <c r="K295">
        <v>1</v>
      </c>
      <c r="L295">
        <v>1</v>
      </c>
      <c r="M295" t="s">
        <v>33</v>
      </c>
      <c r="N295">
        <v>1</v>
      </c>
      <c r="O295">
        <v>1</v>
      </c>
      <c r="P295">
        <v>1</v>
      </c>
      <c r="Q295" t="s">
        <v>38</v>
      </c>
      <c r="R295">
        <v>1</v>
      </c>
      <c r="S295">
        <v>1</v>
      </c>
      <c r="T295">
        <v>1</v>
      </c>
      <c r="U295"/>
      <c r="V295"/>
      <c r="W295"/>
      <c r="X295">
        <v>1</v>
      </c>
      <c r="Y295"/>
      <c r="Z295">
        <v>0</v>
      </c>
      <c r="AA295"/>
      <c r="AB295"/>
      <c r="AC295"/>
      <c r="AD295"/>
      <c r="AE295">
        <v>0</v>
      </c>
      <c r="AF295"/>
      <c r="AG295"/>
      <c r="AH295"/>
    </row>
    <row r="296" spans="1:34" x14ac:dyDescent="0.25">
      <c r="A296" t="s">
        <v>3446</v>
      </c>
      <c r="B296" t="s">
        <v>3447</v>
      </c>
      <c r="C296"/>
      <c r="D296" t="s">
        <v>383</v>
      </c>
      <c r="E296" t="s">
        <v>689</v>
      </c>
      <c r="F296" t="s">
        <v>768</v>
      </c>
      <c r="G296" t="s">
        <v>259</v>
      </c>
      <c r="H296" t="s">
        <v>769</v>
      </c>
      <c r="I296" t="s">
        <v>35</v>
      </c>
      <c r="J296"/>
      <c r="K296">
        <v>1</v>
      </c>
      <c r="L296">
        <v>1</v>
      </c>
      <c r="M296" t="s">
        <v>33</v>
      </c>
      <c r="N296">
        <v>1</v>
      </c>
      <c r="O296">
        <v>1</v>
      </c>
      <c r="P296">
        <v>1</v>
      </c>
      <c r="Q296" t="s">
        <v>38</v>
      </c>
      <c r="R296">
        <v>1</v>
      </c>
      <c r="S296">
        <v>1</v>
      </c>
      <c r="T296">
        <v>1</v>
      </c>
      <c r="U296"/>
      <c r="V296"/>
      <c r="W296"/>
      <c r="X296">
        <v>1</v>
      </c>
      <c r="Y296"/>
      <c r="Z296">
        <v>0</v>
      </c>
      <c r="AA296"/>
      <c r="AB296"/>
      <c r="AC296"/>
      <c r="AD296"/>
      <c r="AE296">
        <v>0</v>
      </c>
      <c r="AF296"/>
      <c r="AG296"/>
      <c r="AH296"/>
    </row>
    <row r="297" spans="1:34" x14ac:dyDescent="0.25">
      <c r="A297" t="s">
        <v>3454</v>
      </c>
      <c r="B297" t="s">
        <v>3455</v>
      </c>
      <c r="C297"/>
      <c r="D297" t="s">
        <v>383</v>
      </c>
      <c r="E297" t="s">
        <v>689</v>
      </c>
      <c r="F297" t="s">
        <v>768</v>
      </c>
      <c r="G297" t="s">
        <v>259</v>
      </c>
      <c r="H297" t="s">
        <v>769</v>
      </c>
      <c r="I297" t="s">
        <v>35</v>
      </c>
      <c r="J297"/>
      <c r="K297">
        <v>1</v>
      </c>
      <c r="L297">
        <v>1</v>
      </c>
      <c r="M297" t="s">
        <v>33</v>
      </c>
      <c r="N297">
        <v>1</v>
      </c>
      <c r="O297">
        <v>1</v>
      </c>
      <c r="P297">
        <v>1</v>
      </c>
      <c r="Q297" t="s">
        <v>38</v>
      </c>
      <c r="R297">
        <v>1</v>
      </c>
      <c r="S297">
        <v>1</v>
      </c>
      <c r="T297">
        <v>1</v>
      </c>
      <c r="U297"/>
      <c r="V297"/>
      <c r="W297"/>
      <c r="X297">
        <v>1</v>
      </c>
      <c r="Y297"/>
      <c r="Z297">
        <v>0</v>
      </c>
      <c r="AA297"/>
      <c r="AB297"/>
      <c r="AC297"/>
      <c r="AD297"/>
      <c r="AE297">
        <v>0</v>
      </c>
      <c r="AF297"/>
      <c r="AG297"/>
      <c r="AH297"/>
    </row>
    <row r="298" spans="1:34" x14ac:dyDescent="0.25">
      <c r="A298" t="s">
        <v>687</v>
      </c>
      <c r="B298" t="s">
        <v>688</v>
      </c>
      <c r="C298"/>
      <c r="D298" t="s">
        <v>383</v>
      </c>
      <c r="E298" t="s">
        <v>689</v>
      </c>
      <c r="F298" t="s">
        <v>770</v>
      </c>
      <c r="G298" t="s">
        <v>280</v>
      </c>
      <c r="H298" t="s">
        <v>771</v>
      </c>
      <c r="I298" t="s">
        <v>35</v>
      </c>
      <c r="J298"/>
      <c r="K298">
        <v>1</v>
      </c>
      <c r="L298">
        <v>1</v>
      </c>
      <c r="M298" t="s">
        <v>33</v>
      </c>
      <c r="N298">
        <v>1</v>
      </c>
      <c r="O298">
        <v>1</v>
      </c>
      <c r="P298">
        <v>1</v>
      </c>
      <c r="Q298" t="s">
        <v>38</v>
      </c>
      <c r="R298">
        <v>1</v>
      </c>
      <c r="S298">
        <v>0</v>
      </c>
      <c r="T298"/>
      <c r="U298"/>
      <c r="V298"/>
      <c r="W298"/>
      <c r="X298">
        <v>0</v>
      </c>
      <c r="Y298"/>
      <c r="Z298">
        <v>0</v>
      </c>
      <c r="AA298"/>
      <c r="AB298"/>
      <c r="AC298"/>
      <c r="AD298"/>
      <c r="AE298">
        <v>0</v>
      </c>
      <c r="AF298"/>
      <c r="AG298"/>
      <c r="AH298"/>
    </row>
    <row r="299" spans="1:34" x14ac:dyDescent="0.25">
      <c r="A299" t="s">
        <v>3392</v>
      </c>
      <c r="B299" t="s">
        <v>3393</v>
      </c>
      <c r="C299"/>
      <c r="D299" t="s">
        <v>383</v>
      </c>
      <c r="E299" t="s">
        <v>689</v>
      </c>
      <c r="F299" t="s">
        <v>770</v>
      </c>
      <c r="G299" t="s">
        <v>280</v>
      </c>
      <c r="H299" t="s">
        <v>771</v>
      </c>
      <c r="I299" t="s">
        <v>35</v>
      </c>
      <c r="J299"/>
      <c r="K299">
        <v>1</v>
      </c>
      <c r="L299">
        <v>1</v>
      </c>
      <c r="M299" t="s">
        <v>33</v>
      </c>
      <c r="N299">
        <v>1</v>
      </c>
      <c r="O299">
        <v>1</v>
      </c>
      <c r="P299">
        <v>1</v>
      </c>
      <c r="Q299" t="s">
        <v>38</v>
      </c>
      <c r="R299">
        <v>1</v>
      </c>
      <c r="S299">
        <v>0</v>
      </c>
      <c r="T299"/>
      <c r="U299"/>
      <c r="V299"/>
      <c r="W299"/>
      <c r="X299">
        <v>0</v>
      </c>
      <c r="Y299"/>
      <c r="Z299">
        <v>0</v>
      </c>
      <c r="AA299"/>
      <c r="AB299"/>
      <c r="AC299"/>
      <c r="AD299"/>
      <c r="AE299">
        <v>0</v>
      </c>
      <c r="AF299"/>
      <c r="AG299"/>
      <c r="AH299"/>
    </row>
    <row r="300" spans="1:34" x14ac:dyDescent="0.25">
      <c r="A300" t="s">
        <v>687</v>
      </c>
      <c r="B300" t="s">
        <v>688</v>
      </c>
      <c r="C300"/>
      <c r="D300" t="s">
        <v>383</v>
      </c>
      <c r="E300" t="s">
        <v>689</v>
      </c>
      <c r="F300" t="s">
        <v>772</v>
      </c>
      <c r="G300" t="s">
        <v>280</v>
      </c>
      <c r="H300" t="s">
        <v>773</v>
      </c>
      <c r="I300" t="s">
        <v>35</v>
      </c>
      <c r="J300"/>
      <c r="K300">
        <v>1</v>
      </c>
      <c r="L300">
        <v>1</v>
      </c>
      <c r="M300" t="s">
        <v>33</v>
      </c>
      <c r="N300">
        <v>1</v>
      </c>
      <c r="O300">
        <v>1</v>
      </c>
      <c r="P300">
        <v>1</v>
      </c>
      <c r="Q300" t="s">
        <v>38</v>
      </c>
      <c r="R300">
        <v>1</v>
      </c>
      <c r="S300">
        <v>1</v>
      </c>
      <c r="T300">
        <v>1</v>
      </c>
      <c r="U300"/>
      <c r="V300"/>
      <c r="W300"/>
      <c r="X300">
        <v>1</v>
      </c>
      <c r="Y300"/>
      <c r="Z300">
        <v>0</v>
      </c>
      <c r="AA300"/>
      <c r="AB300"/>
      <c r="AC300"/>
      <c r="AD300"/>
      <c r="AE300">
        <v>0</v>
      </c>
      <c r="AF300"/>
      <c r="AG300"/>
      <c r="AH300"/>
    </row>
    <row r="301" spans="1:34" x14ac:dyDescent="0.25">
      <c r="A301" t="s">
        <v>3392</v>
      </c>
      <c r="B301" t="s">
        <v>3393</v>
      </c>
      <c r="C301"/>
      <c r="D301" t="s">
        <v>383</v>
      </c>
      <c r="E301" t="s">
        <v>689</v>
      </c>
      <c r="F301" t="s">
        <v>772</v>
      </c>
      <c r="G301" t="s">
        <v>280</v>
      </c>
      <c r="H301" t="s">
        <v>773</v>
      </c>
      <c r="I301" t="s">
        <v>35</v>
      </c>
      <c r="J301"/>
      <c r="K301">
        <v>1</v>
      </c>
      <c r="L301">
        <v>1</v>
      </c>
      <c r="M301" t="s">
        <v>33</v>
      </c>
      <c r="N301">
        <v>1</v>
      </c>
      <c r="O301">
        <v>1</v>
      </c>
      <c r="P301">
        <v>1</v>
      </c>
      <c r="Q301" t="s">
        <v>38</v>
      </c>
      <c r="R301">
        <v>1</v>
      </c>
      <c r="S301">
        <v>1</v>
      </c>
      <c r="T301">
        <v>1</v>
      </c>
      <c r="U301"/>
      <c r="V301"/>
      <c r="W301"/>
      <c r="X301">
        <v>1</v>
      </c>
      <c r="Y301"/>
      <c r="Z301">
        <v>0</v>
      </c>
      <c r="AA301"/>
      <c r="AB301"/>
      <c r="AC301"/>
      <c r="AD301"/>
      <c r="AE301">
        <v>0</v>
      </c>
      <c r="AF301"/>
      <c r="AG301"/>
      <c r="AH301"/>
    </row>
    <row r="302" spans="1:34" x14ac:dyDescent="0.25">
      <c r="A302" t="s">
        <v>3448</v>
      </c>
      <c r="B302" t="s">
        <v>3449</v>
      </c>
      <c r="C302"/>
      <c r="D302" t="s">
        <v>383</v>
      </c>
      <c r="E302" t="s">
        <v>689</v>
      </c>
      <c r="F302" t="s">
        <v>772</v>
      </c>
      <c r="G302" t="s">
        <v>280</v>
      </c>
      <c r="H302" t="s">
        <v>773</v>
      </c>
      <c r="I302" t="s">
        <v>35</v>
      </c>
      <c r="J302"/>
      <c r="K302">
        <v>1</v>
      </c>
      <c r="L302">
        <v>1</v>
      </c>
      <c r="M302" t="s">
        <v>33</v>
      </c>
      <c r="N302">
        <v>1</v>
      </c>
      <c r="O302">
        <v>1</v>
      </c>
      <c r="P302">
        <v>1</v>
      </c>
      <c r="Q302" t="s">
        <v>38</v>
      </c>
      <c r="R302">
        <v>1</v>
      </c>
      <c r="S302">
        <v>1</v>
      </c>
      <c r="T302">
        <v>1</v>
      </c>
      <c r="U302"/>
      <c r="V302"/>
      <c r="W302"/>
      <c r="X302">
        <v>1</v>
      </c>
      <c r="Y302"/>
      <c r="Z302">
        <v>0</v>
      </c>
      <c r="AA302"/>
      <c r="AB302"/>
      <c r="AC302"/>
      <c r="AD302"/>
      <c r="AE302">
        <v>0</v>
      </c>
      <c r="AF302"/>
      <c r="AG302"/>
      <c r="AH302"/>
    </row>
    <row r="303" spans="1:34" x14ac:dyDescent="0.25">
      <c r="A303" t="s">
        <v>774</v>
      </c>
      <c r="B303" t="s">
        <v>775</v>
      </c>
      <c r="C303"/>
      <c r="D303" t="s">
        <v>383</v>
      </c>
      <c r="E303" t="s">
        <v>689</v>
      </c>
      <c r="F303" t="s">
        <v>776</v>
      </c>
      <c r="G303" t="s">
        <v>280</v>
      </c>
      <c r="H303" t="s">
        <v>777</v>
      </c>
      <c r="I303" t="s">
        <v>35</v>
      </c>
      <c r="J303"/>
      <c r="K303">
        <v>1</v>
      </c>
      <c r="L303">
        <v>1</v>
      </c>
      <c r="M303" t="s">
        <v>33</v>
      </c>
      <c r="N303">
        <v>1</v>
      </c>
      <c r="O303">
        <v>1</v>
      </c>
      <c r="P303">
        <v>1</v>
      </c>
      <c r="Q303" t="s">
        <v>38</v>
      </c>
      <c r="R303">
        <v>1</v>
      </c>
      <c r="S303">
        <v>1</v>
      </c>
      <c r="T303">
        <v>1</v>
      </c>
      <c r="U303"/>
      <c r="V303"/>
      <c r="W303"/>
      <c r="X303">
        <v>1</v>
      </c>
      <c r="Y303"/>
      <c r="Z303">
        <v>0</v>
      </c>
      <c r="AA303"/>
      <c r="AB303"/>
      <c r="AC303"/>
      <c r="AD303"/>
      <c r="AE303">
        <v>0</v>
      </c>
      <c r="AF303"/>
      <c r="AG303"/>
      <c r="AH303"/>
    </row>
    <row r="304" spans="1:34" x14ac:dyDescent="0.25">
      <c r="A304" t="s">
        <v>774</v>
      </c>
      <c r="B304" t="s">
        <v>775</v>
      </c>
      <c r="C304"/>
      <c r="D304" t="s">
        <v>383</v>
      </c>
      <c r="E304" t="s">
        <v>689</v>
      </c>
      <c r="F304" t="s">
        <v>778</v>
      </c>
      <c r="G304" t="s">
        <v>280</v>
      </c>
      <c r="H304" t="s">
        <v>779</v>
      </c>
      <c r="I304" t="s">
        <v>35</v>
      </c>
      <c r="J304"/>
      <c r="K304">
        <v>1</v>
      </c>
      <c r="L304">
        <v>1</v>
      </c>
      <c r="M304" t="s">
        <v>33</v>
      </c>
      <c r="N304">
        <v>1</v>
      </c>
      <c r="O304">
        <v>1</v>
      </c>
      <c r="P304">
        <v>1</v>
      </c>
      <c r="Q304" t="s">
        <v>38</v>
      </c>
      <c r="R304">
        <v>1</v>
      </c>
      <c r="S304">
        <v>1</v>
      </c>
      <c r="T304">
        <v>1</v>
      </c>
      <c r="U304"/>
      <c r="V304"/>
      <c r="W304"/>
      <c r="X304">
        <v>1</v>
      </c>
      <c r="Y304"/>
      <c r="Z304">
        <v>0</v>
      </c>
      <c r="AA304"/>
      <c r="AB304"/>
      <c r="AC304"/>
      <c r="AD304"/>
      <c r="AE304">
        <v>0</v>
      </c>
      <c r="AF304"/>
      <c r="AG304"/>
      <c r="AH304"/>
    </row>
    <row r="305" spans="1:34" x14ac:dyDescent="0.25">
      <c r="A305" t="s">
        <v>774</v>
      </c>
      <c r="B305" t="s">
        <v>775</v>
      </c>
      <c r="C305"/>
      <c r="D305" t="s">
        <v>383</v>
      </c>
      <c r="E305" t="s">
        <v>689</v>
      </c>
      <c r="F305" t="s">
        <v>780</v>
      </c>
      <c r="G305" t="s">
        <v>280</v>
      </c>
      <c r="H305" t="s">
        <v>781</v>
      </c>
      <c r="I305" t="s">
        <v>35</v>
      </c>
      <c r="J305"/>
      <c r="K305">
        <v>1</v>
      </c>
      <c r="L305">
        <v>1</v>
      </c>
      <c r="M305" t="s">
        <v>33</v>
      </c>
      <c r="N305">
        <v>1</v>
      </c>
      <c r="O305">
        <v>1</v>
      </c>
      <c r="P305">
        <v>1</v>
      </c>
      <c r="Q305" t="s">
        <v>38</v>
      </c>
      <c r="R305">
        <v>1</v>
      </c>
      <c r="S305">
        <v>1</v>
      </c>
      <c r="T305">
        <v>1</v>
      </c>
      <c r="U305"/>
      <c r="V305"/>
      <c r="W305"/>
      <c r="X305">
        <v>1</v>
      </c>
      <c r="Y305"/>
      <c r="Z305">
        <v>0</v>
      </c>
      <c r="AA305"/>
      <c r="AB305"/>
      <c r="AC305"/>
      <c r="AD305"/>
      <c r="AE305">
        <v>0</v>
      </c>
      <c r="AF305"/>
      <c r="AG305"/>
      <c r="AH305"/>
    </row>
    <row r="306" spans="1:34" x14ac:dyDescent="0.25">
      <c r="A306" t="s">
        <v>774</v>
      </c>
      <c r="B306" t="s">
        <v>775</v>
      </c>
      <c r="C306"/>
      <c r="D306" t="s">
        <v>383</v>
      </c>
      <c r="E306" t="s">
        <v>689</v>
      </c>
      <c r="F306" t="s">
        <v>782</v>
      </c>
      <c r="G306" t="s">
        <v>280</v>
      </c>
      <c r="H306" t="s">
        <v>783</v>
      </c>
      <c r="I306" t="s">
        <v>35</v>
      </c>
      <c r="J306"/>
      <c r="K306">
        <v>1</v>
      </c>
      <c r="L306">
        <v>1</v>
      </c>
      <c r="M306" t="s">
        <v>33</v>
      </c>
      <c r="N306">
        <v>1</v>
      </c>
      <c r="O306">
        <v>1</v>
      </c>
      <c r="P306">
        <v>1</v>
      </c>
      <c r="Q306" t="s">
        <v>38</v>
      </c>
      <c r="R306">
        <v>1</v>
      </c>
      <c r="S306">
        <v>1</v>
      </c>
      <c r="T306">
        <v>1</v>
      </c>
      <c r="U306"/>
      <c r="V306"/>
      <c r="W306"/>
      <c r="X306">
        <v>1</v>
      </c>
      <c r="Y306"/>
      <c r="Z306">
        <v>0</v>
      </c>
      <c r="AA306"/>
      <c r="AB306"/>
      <c r="AC306"/>
      <c r="AD306"/>
      <c r="AE306">
        <v>0</v>
      </c>
      <c r="AF306"/>
      <c r="AG306"/>
      <c r="AH306"/>
    </row>
    <row r="307" spans="1:34" x14ac:dyDescent="0.25">
      <c r="A307" t="s">
        <v>774</v>
      </c>
      <c r="B307" t="s">
        <v>775</v>
      </c>
      <c r="C307"/>
      <c r="D307" t="s">
        <v>383</v>
      </c>
      <c r="E307" t="s">
        <v>689</v>
      </c>
      <c r="F307" t="s">
        <v>784</v>
      </c>
      <c r="G307" t="s">
        <v>280</v>
      </c>
      <c r="H307" t="s">
        <v>785</v>
      </c>
      <c r="I307" t="s">
        <v>35</v>
      </c>
      <c r="J307"/>
      <c r="K307">
        <v>1</v>
      </c>
      <c r="L307">
        <v>1</v>
      </c>
      <c r="M307" t="s">
        <v>33</v>
      </c>
      <c r="N307">
        <v>1</v>
      </c>
      <c r="O307">
        <v>1</v>
      </c>
      <c r="P307">
        <v>1</v>
      </c>
      <c r="Q307" t="s">
        <v>38</v>
      </c>
      <c r="R307">
        <v>1</v>
      </c>
      <c r="S307">
        <v>1</v>
      </c>
      <c r="T307">
        <v>1</v>
      </c>
      <c r="U307"/>
      <c r="V307"/>
      <c r="W307"/>
      <c r="X307">
        <v>1</v>
      </c>
      <c r="Y307"/>
      <c r="Z307">
        <v>0</v>
      </c>
      <c r="AA307"/>
      <c r="AB307"/>
      <c r="AC307"/>
      <c r="AD307"/>
      <c r="AE307">
        <v>0</v>
      </c>
      <c r="AF307"/>
      <c r="AG307"/>
      <c r="AH307"/>
    </row>
    <row r="308" spans="1:34" x14ac:dyDescent="0.25">
      <c r="A308" t="s">
        <v>774</v>
      </c>
      <c r="B308" t="s">
        <v>775</v>
      </c>
      <c r="C308"/>
      <c r="D308" t="s">
        <v>383</v>
      </c>
      <c r="E308" t="s">
        <v>689</v>
      </c>
      <c r="F308" t="s">
        <v>786</v>
      </c>
      <c r="G308" t="s">
        <v>280</v>
      </c>
      <c r="H308" t="s">
        <v>787</v>
      </c>
      <c r="I308" t="s">
        <v>35</v>
      </c>
      <c r="J308"/>
      <c r="K308">
        <v>1</v>
      </c>
      <c r="L308">
        <v>1</v>
      </c>
      <c r="M308" t="s">
        <v>33</v>
      </c>
      <c r="N308">
        <v>1</v>
      </c>
      <c r="O308">
        <v>1</v>
      </c>
      <c r="P308">
        <v>1</v>
      </c>
      <c r="Q308" t="s">
        <v>38</v>
      </c>
      <c r="R308">
        <v>1</v>
      </c>
      <c r="S308">
        <v>1</v>
      </c>
      <c r="T308">
        <v>1</v>
      </c>
      <c r="U308"/>
      <c r="V308"/>
      <c r="W308"/>
      <c r="X308">
        <v>1</v>
      </c>
      <c r="Y308"/>
      <c r="Z308">
        <v>0</v>
      </c>
      <c r="AA308"/>
      <c r="AB308"/>
      <c r="AC308"/>
      <c r="AD308"/>
      <c r="AE308">
        <v>0</v>
      </c>
      <c r="AF308"/>
      <c r="AG308"/>
      <c r="AH308"/>
    </row>
    <row r="309" spans="1:34" x14ac:dyDescent="0.25">
      <c r="A309" t="s">
        <v>774</v>
      </c>
      <c r="B309" t="s">
        <v>775</v>
      </c>
      <c r="C309"/>
      <c r="D309" t="s">
        <v>383</v>
      </c>
      <c r="E309" t="s">
        <v>689</v>
      </c>
      <c r="F309" t="s">
        <v>788</v>
      </c>
      <c r="G309" t="s">
        <v>280</v>
      </c>
      <c r="H309" t="s">
        <v>789</v>
      </c>
      <c r="I309" t="s">
        <v>35</v>
      </c>
      <c r="J309"/>
      <c r="K309">
        <v>1</v>
      </c>
      <c r="L309">
        <v>1</v>
      </c>
      <c r="M309" t="s">
        <v>33</v>
      </c>
      <c r="N309">
        <v>1</v>
      </c>
      <c r="O309">
        <v>1</v>
      </c>
      <c r="P309">
        <v>1</v>
      </c>
      <c r="Q309" t="s">
        <v>38</v>
      </c>
      <c r="R309">
        <v>1</v>
      </c>
      <c r="S309">
        <v>1</v>
      </c>
      <c r="T309">
        <v>1</v>
      </c>
      <c r="U309"/>
      <c r="V309"/>
      <c r="W309"/>
      <c r="X309">
        <v>1</v>
      </c>
      <c r="Y309"/>
      <c r="Z309">
        <v>0</v>
      </c>
      <c r="AA309"/>
      <c r="AB309"/>
      <c r="AC309"/>
      <c r="AD309"/>
      <c r="AE309">
        <v>0</v>
      </c>
      <c r="AF309"/>
      <c r="AG309"/>
      <c r="AH309"/>
    </row>
    <row r="310" spans="1:34" x14ac:dyDescent="0.25">
      <c r="A310" t="s">
        <v>774</v>
      </c>
      <c r="B310" t="s">
        <v>775</v>
      </c>
      <c r="C310"/>
      <c r="D310" t="s">
        <v>383</v>
      </c>
      <c r="E310" t="s">
        <v>689</v>
      </c>
      <c r="F310" t="s">
        <v>790</v>
      </c>
      <c r="G310" t="s">
        <v>280</v>
      </c>
      <c r="H310" t="s">
        <v>791</v>
      </c>
      <c r="I310" t="s">
        <v>35</v>
      </c>
      <c r="J310"/>
      <c r="K310">
        <v>1</v>
      </c>
      <c r="L310">
        <v>1</v>
      </c>
      <c r="M310" t="s">
        <v>33</v>
      </c>
      <c r="N310">
        <v>1</v>
      </c>
      <c r="O310">
        <v>1</v>
      </c>
      <c r="P310">
        <v>1</v>
      </c>
      <c r="Q310" t="s">
        <v>38</v>
      </c>
      <c r="R310">
        <v>1</v>
      </c>
      <c r="S310">
        <v>1</v>
      </c>
      <c r="T310">
        <v>1</v>
      </c>
      <c r="U310"/>
      <c r="V310"/>
      <c r="W310"/>
      <c r="X310">
        <v>1</v>
      </c>
      <c r="Y310"/>
      <c r="Z310">
        <v>0</v>
      </c>
      <c r="AA310"/>
      <c r="AB310"/>
      <c r="AC310"/>
      <c r="AD310"/>
      <c r="AE310">
        <v>0</v>
      </c>
      <c r="AF310"/>
      <c r="AG310"/>
      <c r="AH310"/>
    </row>
    <row r="311" spans="1:34" x14ac:dyDescent="0.25">
      <c r="A311" t="s">
        <v>774</v>
      </c>
      <c r="B311" t="s">
        <v>775</v>
      </c>
      <c r="C311"/>
      <c r="D311" t="s">
        <v>383</v>
      </c>
      <c r="E311" t="s">
        <v>689</v>
      </c>
      <c r="F311" t="s">
        <v>792</v>
      </c>
      <c r="G311" t="s">
        <v>280</v>
      </c>
      <c r="H311" t="s">
        <v>793</v>
      </c>
      <c r="I311" t="s">
        <v>35</v>
      </c>
      <c r="J311"/>
      <c r="K311">
        <v>1</v>
      </c>
      <c r="L311">
        <v>1</v>
      </c>
      <c r="M311" t="s">
        <v>33</v>
      </c>
      <c r="N311">
        <v>1</v>
      </c>
      <c r="O311">
        <v>1</v>
      </c>
      <c r="P311">
        <v>1</v>
      </c>
      <c r="Q311" t="s">
        <v>38</v>
      </c>
      <c r="R311">
        <v>1</v>
      </c>
      <c r="S311">
        <v>1</v>
      </c>
      <c r="T311">
        <v>1</v>
      </c>
      <c r="U311"/>
      <c r="V311"/>
      <c r="W311"/>
      <c r="X311">
        <v>1</v>
      </c>
      <c r="Y311"/>
      <c r="Z311">
        <v>0</v>
      </c>
      <c r="AA311"/>
      <c r="AB311"/>
      <c r="AC311"/>
      <c r="AD311"/>
      <c r="AE311">
        <v>0</v>
      </c>
      <c r="AF311"/>
      <c r="AG311"/>
      <c r="AH311"/>
    </row>
    <row r="312" spans="1:34" x14ac:dyDescent="0.25">
      <c r="A312" t="s">
        <v>774</v>
      </c>
      <c r="B312" t="s">
        <v>775</v>
      </c>
      <c r="C312"/>
      <c r="D312" t="s">
        <v>383</v>
      </c>
      <c r="E312" t="s">
        <v>689</v>
      </c>
      <c r="F312" t="s">
        <v>794</v>
      </c>
      <c r="G312" t="s">
        <v>280</v>
      </c>
      <c r="H312" t="s">
        <v>795</v>
      </c>
      <c r="I312" t="s">
        <v>35</v>
      </c>
      <c r="J312"/>
      <c r="K312">
        <v>1</v>
      </c>
      <c r="L312">
        <v>1</v>
      </c>
      <c r="M312" t="s">
        <v>33</v>
      </c>
      <c r="N312">
        <v>1</v>
      </c>
      <c r="O312">
        <v>1</v>
      </c>
      <c r="P312">
        <v>1</v>
      </c>
      <c r="Q312" t="s">
        <v>38</v>
      </c>
      <c r="R312">
        <v>1</v>
      </c>
      <c r="S312">
        <v>1</v>
      </c>
      <c r="T312">
        <v>1</v>
      </c>
      <c r="U312"/>
      <c r="V312"/>
      <c r="W312"/>
      <c r="X312">
        <v>1</v>
      </c>
      <c r="Y312"/>
      <c r="Z312">
        <v>0</v>
      </c>
      <c r="AA312"/>
      <c r="AB312"/>
      <c r="AC312"/>
      <c r="AD312"/>
      <c r="AE312">
        <v>0</v>
      </c>
      <c r="AF312"/>
      <c r="AG312"/>
      <c r="AH312"/>
    </row>
    <row r="313" spans="1:34" x14ac:dyDescent="0.25">
      <c r="A313" t="s">
        <v>774</v>
      </c>
      <c r="B313" t="s">
        <v>775</v>
      </c>
      <c r="C313"/>
      <c r="D313" t="s">
        <v>383</v>
      </c>
      <c r="E313" t="s">
        <v>689</v>
      </c>
      <c r="F313" t="s">
        <v>796</v>
      </c>
      <c r="G313" t="s">
        <v>280</v>
      </c>
      <c r="H313" t="s">
        <v>797</v>
      </c>
      <c r="I313" t="s">
        <v>35</v>
      </c>
      <c r="J313"/>
      <c r="K313">
        <v>1</v>
      </c>
      <c r="L313">
        <v>1</v>
      </c>
      <c r="M313" t="s">
        <v>33</v>
      </c>
      <c r="N313">
        <v>1</v>
      </c>
      <c r="O313">
        <v>1</v>
      </c>
      <c r="P313">
        <v>1</v>
      </c>
      <c r="Q313" t="s">
        <v>38</v>
      </c>
      <c r="R313">
        <v>1</v>
      </c>
      <c r="S313">
        <v>1</v>
      </c>
      <c r="T313">
        <v>1</v>
      </c>
      <c r="U313"/>
      <c r="V313"/>
      <c r="W313"/>
      <c r="X313">
        <v>1</v>
      </c>
      <c r="Y313"/>
      <c r="Z313">
        <v>0</v>
      </c>
      <c r="AA313"/>
      <c r="AB313"/>
      <c r="AC313"/>
      <c r="AD313"/>
      <c r="AE313">
        <v>0</v>
      </c>
      <c r="AF313"/>
      <c r="AG313"/>
      <c r="AH313"/>
    </row>
    <row r="314" spans="1:34" x14ac:dyDescent="0.25">
      <c r="A314" t="s">
        <v>774</v>
      </c>
      <c r="B314" t="s">
        <v>775</v>
      </c>
      <c r="C314"/>
      <c r="D314" t="s">
        <v>383</v>
      </c>
      <c r="E314" t="s">
        <v>689</v>
      </c>
      <c r="F314" t="s">
        <v>798</v>
      </c>
      <c r="G314" t="s">
        <v>280</v>
      </c>
      <c r="H314" t="s">
        <v>799</v>
      </c>
      <c r="I314" t="s">
        <v>35</v>
      </c>
      <c r="J314"/>
      <c r="K314">
        <v>1</v>
      </c>
      <c r="L314">
        <v>1</v>
      </c>
      <c r="M314" t="s">
        <v>33</v>
      </c>
      <c r="N314">
        <v>1</v>
      </c>
      <c r="O314">
        <v>1</v>
      </c>
      <c r="P314">
        <v>1</v>
      </c>
      <c r="Q314" t="s">
        <v>38</v>
      </c>
      <c r="R314">
        <v>1</v>
      </c>
      <c r="S314">
        <v>1</v>
      </c>
      <c r="T314">
        <v>1</v>
      </c>
      <c r="U314"/>
      <c r="V314"/>
      <c r="W314"/>
      <c r="X314">
        <v>1</v>
      </c>
      <c r="Y314"/>
      <c r="Z314">
        <v>0</v>
      </c>
      <c r="AA314"/>
      <c r="AB314"/>
      <c r="AC314"/>
      <c r="AD314"/>
      <c r="AE314">
        <v>0</v>
      </c>
      <c r="AF314"/>
      <c r="AG314"/>
      <c r="AH314"/>
    </row>
    <row r="315" spans="1:34" x14ac:dyDescent="0.25">
      <c r="A315" t="s">
        <v>774</v>
      </c>
      <c r="B315" t="s">
        <v>775</v>
      </c>
      <c r="C315"/>
      <c r="D315" t="s">
        <v>383</v>
      </c>
      <c r="E315" t="s">
        <v>689</v>
      </c>
      <c r="F315" t="s">
        <v>800</v>
      </c>
      <c r="G315" t="s">
        <v>280</v>
      </c>
      <c r="H315" t="s">
        <v>801</v>
      </c>
      <c r="I315" t="s">
        <v>35</v>
      </c>
      <c r="J315"/>
      <c r="K315">
        <v>1</v>
      </c>
      <c r="L315">
        <v>1</v>
      </c>
      <c r="M315" t="s">
        <v>33</v>
      </c>
      <c r="N315">
        <v>1</v>
      </c>
      <c r="O315">
        <v>1</v>
      </c>
      <c r="P315">
        <v>1</v>
      </c>
      <c r="Q315" t="s">
        <v>38</v>
      </c>
      <c r="R315">
        <v>1</v>
      </c>
      <c r="S315">
        <v>0</v>
      </c>
      <c r="T315"/>
      <c r="U315"/>
      <c r="V315"/>
      <c r="W315"/>
      <c r="X315">
        <v>0</v>
      </c>
      <c r="Y315"/>
      <c r="Z315">
        <v>0</v>
      </c>
      <c r="AA315"/>
      <c r="AB315"/>
      <c r="AC315"/>
      <c r="AD315"/>
      <c r="AE315">
        <v>0</v>
      </c>
      <c r="AF315"/>
      <c r="AG315"/>
      <c r="AH315"/>
    </row>
    <row r="316" spans="1:34" x14ac:dyDescent="0.25">
      <c r="A316" t="s">
        <v>774</v>
      </c>
      <c r="B316" t="s">
        <v>775</v>
      </c>
      <c r="C316"/>
      <c r="D316" t="s">
        <v>383</v>
      </c>
      <c r="E316" t="s">
        <v>689</v>
      </c>
      <c r="F316" t="s">
        <v>802</v>
      </c>
      <c r="G316" t="s">
        <v>280</v>
      </c>
      <c r="H316" t="s">
        <v>803</v>
      </c>
      <c r="I316" t="s">
        <v>35</v>
      </c>
      <c r="J316"/>
      <c r="K316">
        <v>1</v>
      </c>
      <c r="L316">
        <v>1</v>
      </c>
      <c r="M316" t="s">
        <v>33</v>
      </c>
      <c r="N316">
        <v>1</v>
      </c>
      <c r="O316">
        <v>1</v>
      </c>
      <c r="P316">
        <v>1</v>
      </c>
      <c r="Q316" t="s">
        <v>38</v>
      </c>
      <c r="R316">
        <v>1</v>
      </c>
      <c r="S316">
        <v>1</v>
      </c>
      <c r="T316">
        <v>1</v>
      </c>
      <c r="U316"/>
      <c r="V316"/>
      <c r="W316"/>
      <c r="X316">
        <v>1</v>
      </c>
      <c r="Y316"/>
      <c r="Z316">
        <v>0</v>
      </c>
      <c r="AA316"/>
      <c r="AB316"/>
      <c r="AC316"/>
      <c r="AD316"/>
      <c r="AE316">
        <v>0</v>
      </c>
      <c r="AF316"/>
      <c r="AG316"/>
      <c r="AH316"/>
    </row>
    <row r="317" spans="1:34" x14ac:dyDescent="0.25">
      <c r="A317" t="s">
        <v>774</v>
      </c>
      <c r="B317" t="s">
        <v>775</v>
      </c>
      <c r="C317"/>
      <c r="D317" t="s">
        <v>383</v>
      </c>
      <c r="E317" t="s">
        <v>689</v>
      </c>
      <c r="F317" t="s">
        <v>804</v>
      </c>
      <c r="G317" t="s">
        <v>280</v>
      </c>
      <c r="H317" t="s">
        <v>805</v>
      </c>
      <c r="I317" t="s">
        <v>35</v>
      </c>
      <c r="J317"/>
      <c r="K317">
        <v>1</v>
      </c>
      <c r="L317">
        <v>1</v>
      </c>
      <c r="M317" t="s">
        <v>33</v>
      </c>
      <c r="N317">
        <v>1</v>
      </c>
      <c r="O317">
        <v>1</v>
      </c>
      <c r="P317">
        <v>1</v>
      </c>
      <c r="Q317" t="s">
        <v>38</v>
      </c>
      <c r="R317">
        <v>1</v>
      </c>
      <c r="S317">
        <v>1</v>
      </c>
      <c r="T317">
        <v>1</v>
      </c>
      <c r="U317"/>
      <c r="V317"/>
      <c r="W317"/>
      <c r="X317">
        <v>1</v>
      </c>
      <c r="Y317"/>
      <c r="Z317">
        <v>0</v>
      </c>
      <c r="AA317"/>
      <c r="AB317"/>
      <c r="AC317"/>
      <c r="AD317"/>
      <c r="AE317">
        <v>0</v>
      </c>
      <c r="AF317"/>
      <c r="AG317"/>
      <c r="AH317"/>
    </row>
    <row r="318" spans="1:34" x14ac:dyDescent="0.25">
      <c r="A318" t="s">
        <v>774</v>
      </c>
      <c r="B318" t="s">
        <v>775</v>
      </c>
      <c r="C318"/>
      <c r="D318" t="s">
        <v>383</v>
      </c>
      <c r="E318" t="s">
        <v>689</v>
      </c>
      <c r="F318" t="s">
        <v>806</v>
      </c>
      <c r="G318" t="s">
        <v>280</v>
      </c>
      <c r="H318" t="s">
        <v>807</v>
      </c>
      <c r="I318" t="s">
        <v>35</v>
      </c>
      <c r="J318"/>
      <c r="K318">
        <v>1</v>
      </c>
      <c r="L318">
        <v>1</v>
      </c>
      <c r="M318" t="s">
        <v>33</v>
      </c>
      <c r="N318">
        <v>1</v>
      </c>
      <c r="O318">
        <v>1</v>
      </c>
      <c r="P318">
        <v>1</v>
      </c>
      <c r="Q318" t="s">
        <v>38</v>
      </c>
      <c r="R318">
        <v>1</v>
      </c>
      <c r="S318">
        <v>1</v>
      </c>
      <c r="T318">
        <v>1</v>
      </c>
      <c r="U318"/>
      <c r="V318"/>
      <c r="W318"/>
      <c r="X318">
        <v>1</v>
      </c>
      <c r="Y318"/>
      <c r="Z318">
        <v>0</v>
      </c>
      <c r="AA318"/>
      <c r="AB318"/>
      <c r="AC318"/>
      <c r="AD318"/>
      <c r="AE318">
        <v>0</v>
      </c>
      <c r="AF318"/>
      <c r="AG318"/>
      <c r="AH318"/>
    </row>
    <row r="319" spans="1:34" x14ac:dyDescent="0.25">
      <c r="A319" t="s">
        <v>774</v>
      </c>
      <c r="B319" t="s">
        <v>775</v>
      </c>
      <c r="C319"/>
      <c r="D319" t="s">
        <v>383</v>
      </c>
      <c r="E319" t="s">
        <v>689</v>
      </c>
      <c r="F319" t="s">
        <v>808</v>
      </c>
      <c r="G319" t="s">
        <v>280</v>
      </c>
      <c r="H319" t="s">
        <v>809</v>
      </c>
      <c r="I319" t="s">
        <v>35</v>
      </c>
      <c r="J319"/>
      <c r="K319">
        <v>1</v>
      </c>
      <c r="L319">
        <v>1</v>
      </c>
      <c r="M319" t="s">
        <v>33</v>
      </c>
      <c r="N319">
        <v>1</v>
      </c>
      <c r="O319">
        <v>1</v>
      </c>
      <c r="P319">
        <v>1</v>
      </c>
      <c r="Q319" t="s">
        <v>38</v>
      </c>
      <c r="R319">
        <v>1</v>
      </c>
      <c r="S319">
        <v>1</v>
      </c>
      <c r="T319">
        <v>1</v>
      </c>
      <c r="U319"/>
      <c r="V319"/>
      <c r="W319"/>
      <c r="X319">
        <v>1</v>
      </c>
      <c r="Y319"/>
      <c r="Z319">
        <v>0</v>
      </c>
      <c r="AA319"/>
      <c r="AB319"/>
      <c r="AC319"/>
      <c r="AD319"/>
      <c r="AE319">
        <v>0</v>
      </c>
      <c r="AF319"/>
      <c r="AG319"/>
      <c r="AH319"/>
    </row>
    <row r="320" spans="1:34" x14ac:dyDescent="0.25">
      <c r="A320" t="s">
        <v>774</v>
      </c>
      <c r="B320" t="s">
        <v>775</v>
      </c>
      <c r="C320"/>
      <c r="D320" t="s">
        <v>383</v>
      </c>
      <c r="E320" t="s">
        <v>689</v>
      </c>
      <c r="F320" t="s">
        <v>810</v>
      </c>
      <c r="G320" t="s">
        <v>280</v>
      </c>
      <c r="H320" t="s">
        <v>811</v>
      </c>
      <c r="I320" t="s">
        <v>35</v>
      </c>
      <c r="J320"/>
      <c r="K320">
        <v>1</v>
      </c>
      <c r="L320">
        <v>1</v>
      </c>
      <c r="M320" t="s">
        <v>33</v>
      </c>
      <c r="N320">
        <v>1</v>
      </c>
      <c r="O320">
        <v>1</v>
      </c>
      <c r="P320">
        <v>1</v>
      </c>
      <c r="Q320" t="s">
        <v>38</v>
      </c>
      <c r="R320">
        <v>1</v>
      </c>
      <c r="S320">
        <v>0</v>
      </c>
      <c r="T320"/>
      <c r="U320"/>
      <c r="V320"/>
      <c r="W320"/>
      <c r="X320">
        <v>0</v>
      </c>
      <c r="Y320"/>
      <c r="Z320">
        <v>0</v>
      </c>
      <c r="AA320"/>
      <c r="AB320"/>
      <c r="AC320"/>
      <c r="AD320"/>
      <c r="AE320">
        <v>0</v>
      </c>
      <c r="AF320"/>
      <c r="AG320"/>
      <c r="AH320"/>
    </row>
    <row r="321" spans="1:34" x14ac:dyDescent="0.25">
      <c r="A321" t="s">
        <v>774</v>
      </c>
      <c r="B321" t="s">
        <v>775</v>
      </c>
      <c r="C321"/>
      <c r="D321" t="s">
        <v>383</v>
      </c>
      <c r="E321" t="s">
        <v>689</v>
      </c>
      <c r="F321" t="s">
        <v>812</v>
      </c>
      <c r="G321" t="s">
        <v>280</v>
      </c>
      <c r="H321" t="s">
        <v>813</v>
      </c>
      <c r="I321" t="s">
        <v>35</v>
      </c>
      <c r="J321"/>
      <c r="K321">
        <v>1</v>
      </c>
      <c r="L321">
        <v>1</v>
      </c>
      <c r="M321" t="s">
        <v>33</v>
      </c>
      <c r="N321">
        <v>1</v>
      </c>
      <c r="O321">
        <v>1</v>
      </c>
      <c r="P321">
        <v>1</v>
      </c>
      <c r="Q321" t="s">
        <v>38</v>
      </c>
      <c r="R321">
        <v>1</v>
      </c>
      <c r="S321">
        <v>1</v>
      </c>
      <c r="T321">
        <v>1</v>
      </c>
      <c r="U321"/>
      <c r="V321"/>
      <c r="W321"/>
      <c r="X321">
        <v>1</v>
      </c>
      <c r="Y321"/>
      <c r="Z321">
        <v>0</v>
      </c>
      <c r="AA321"/>
      <c r="AB321"/>
      <c r="AC321"/>
      <c r="AD321"/>
      <c r="AE321">
        <v>0</v>
      </c>
      <c r="AF321"/>
      <c r="AG321"/>
      <c r="AH321"/>
    </row>
    <row r="322" spans="1:34" x14ac:dyDescent="0.25">
      <c r="A322" t="s">
        <v>3392</v>
      </c>
      <c r="B322" t="s">
        <v>3393</v>
      </c>
      <c r="C322"/>
      <c r="D322" t="s">
        <v>383</v>
      </c>
      <c r="E322" t="s">
        <v>689</v>
      </c>
      <c r="F322" t="s">
        <v>812</v>
      </c>
      <c r="G322" t="s">
        <v>280</v>
      </c>
      <c r="H322" t="s">
        <v>813</v>
      </c>
      <c r="I322" t="s">
        <v>35</v>
      </c>
      <c r="J322"/>
      <c r="K322">
        <v>1</v>
      </c>
      <c r="L322">
        <v>1</v>
      </c>
      <c r="M322" t="s">
        <v>33</v>
      </c>
      <c r="N322">
        <v>1</v>
      </c>
      <c r="O322">
        <v>1</v>
      </c>
      <c r="P322">
        <v>1</v>
      </c>
      <c r="Q322" t="s">
        <v>38</v>
      </c>
      <c r="R322">
        <v>1</v>
      </c>
      <c r="S322">
        <v>1</v>
      </c>
      <c r="T322">
        <v>1</v>
      </c>
      <c r="U322"/>
      <c r="V322"/>
      <c r="W322"/>
      <c r="X322">
        <v>1</v>
      </c>
      <c r="Y322"/>
      <c r="Z322">
        <v>0</v>
      </c>
      <c r="AA322"/>
      <c r="AB322"/>
      <c r="AC322"/>
      <c r="AD322"/>
      <c r="AE322">
        <v>0</v>
      </c>
      <c r="AF322"/>
      <c r="AG322"/>
      <c r="AH322"/>
    </row>
    <row r="323" spans="1:34" x14ac:dyDescent="0.25">
      <c r="A323" t="s">
        <v>774</v>
      </c>
      <c r="B323" t="s">
        <v>775</v>
      </c>
      <c r="C323"/>
      <c r="D323" t="s">
        <v>383</v>
      </c>
      <c r="E323" t="s">
        <v>689</v>
      </c>
      <c r="F323" t="s">
        <v>814</v>
      </c>
      <c r="G323" t="s">
        <v>280</v>
      </c>
      <c r="H323" t="s">
        <v>815</v>
      </c>
      <c r="I323" t="s">
        <v>35</v>
      </c>
      <c r="J323"/>
      <c r="K323">
        <v>1</v>
      </c>
      <c r="L323">
        <v>1</v>
      </c>
      <c r="M323" t="s">
        <v>33</v>
      </c>
      <c r="N323">
        <v>1</v>
      </c>
      <c r="O323">
        <v>1</v>
      </c>
      <c r="P323">
        <v>1</v>
      </c>
      <c r="Q323" t="s">
        <v>38</v>
      </c>
      <c r="R323">
        <v>1</v>
      </c>
      <c r="S323">
        <v>0</v>
      </c>
      <c r="T323"/>
      <c r="U323"/>
      <c r="V323"/>
      <c r="W323"/>
      <c r="X323">
        <v>0</v>
      </c>
      <c r="Y323"/>
      <c r="Z323">
        <v>0</v>
      </c>
      <c r="AA323"/>
      <c r="AB323"/>
      <c r="AC323"/>
      <c r="AD323"/>
      <c r="AE323">
        <v>0</v>
      </c>
      <c r="AF323"/>
      <c r="AG323"/>
      <c r="AH323"/>
    </row>
    <row r="324" spans="1:34" x14ac:dyDescent="0.25">
      <c r="A324" t="s">
        <v>3392</v>
      </c>
      <c r="B324" t="s">
        <v>3393</v>
      </c>
      <c r="C324"/>
      <c r="D324" t="s">
        <v>383</v>
      </c>
      <c r="E324" t="s">
        <v>689</v>
      </c>
      <c r="F324" t="s">
        <v>814</v>
      </c>
      <c r="G324" t="s">
        <v>280</v>
      </c>
      <c r="H324" t="s">
        <v>815</v>
      </c>
      <c r="I324" t="s">
        <v>35</v>
      </c>
      <c r="J324"/>
      <c r="K324">
        <v>1</v>
      </c>
      <c r="L324">
        <v>1</v>
      </c>
      <c r="M324" t="s">
        <v>33</v>
      </c>
      <c r="N324">
        <v>1</v>
      </c>
      <c r="O324">
        <v>1</v>
      </c>
      <c r="P324">
        <v>1</v>
      </c>
      <c r="Q324" t="s">
        <v>38</v>
      </c>
      <c r="R324">
        <v>1</v>
      </c>
      <c r="S324">
        <v>0</v>
      </c>
      <c r="T324"/>
      <c r="U324"/>
      <c r="V324"/>
      <c r="W324"/>
      <c r="X324">
        <v>0</v>
      </c>
      <c r="Y324"/>
      <c r="Z324">
        <v>0</v>
      </c>
      <c r="AA324"/>
      <c r="AB324"/>
      <c r="AC324"/>
      <c r="AD324"/>
      <c r="AE324">
        <v>0</v>
      </c>
      <c r="AF324"/>
      <c r="AG324"/>
      <c r="AH324"/>
    </row>
    <row r="325" spans="1:34" x14ac:dyDescent="0.25">
      <c r="A325" t="s">
        <v>774</v>
      </c>
      <c r="B325" t="s">
        <v>775</v>
      </c>
      <c r="C325"/>
      <c r="D325" t="s">
        <v>383</v>
      </c>
      <c r="E325" t="s">
        <v>689</v>
      </c>
      <c r="F325" t="s">
        <v>816</v>
      </c>
      <c r="G325" t="s">
        <v>280</v>
      </c>
      <c r="H325" t="s">
        <v>817</v>
      </c>
      <c r="I325" t="s">
        <v>35</v>
      </c>
      <c r="J325"/>
      <c r="K325">
        <v>1</v>
      </c>
      <c r="L325">
        <v>1</v>
      </c>
      <c r="M325" t="s">
        <v>33</v>
      </c>
      <c r="N325">
        <v>1</v>
      </c>
      <c r="O325">
        <v>1</v>
      </c>
      <c r="P325">
        <v>1</v>
      </c>
      <c r="Q325" t="s">
        <v>38</v>
      </c>
      <c r="R325">
        <v>1</v>
      </c>
      <c r="S325">
        <v>1</v>
      </c>
      <c r="T325">
        <v>1</v>
      </c>
      <c r="U325"/>
      <c r="V325"/>
      <c r="W325"/>
      <c r="X325">
        <v>1</v>
      </c>
      <c r="Y325"/>
      <c r="Z325">
        <v>0</v>
      </c>
      <c r="AA325"/>
      <c r="AB325"/>
      <c r="AC325"/>
      <c r="AD325"/>
      <c r="AE325">
        <v>0</v>
      </c>
      <c r="AF325"/>
      <c r="AG325"/>
      <c r="AH325"/>
    </row>
    <row r="326" spans="1:34" x14ac:dyDescent="0.25">
      <c r="A326" t="s">
        <v>3392</v>
      </c>
      <c r="B326" t="s">
        <v>3393</v>
      </c>
      <c r="C326"/>
      <c r="D326" t="s">
        <v>383</v>
      </c>
      <c r="E326" t="s">
        <v>689</v>
      </c>
      <c r="F326" t="s">
        <v>816</v>
      </c>
      <c r="G326" t="s">
        <v>280</v>
      </c>
      <c r="H326" t="s">
        <v>817</v>
      </c>
      <c r="I326" t="s">
        <v>35</v>
      </c>
      <c r="J326"/>
      <c r="K326">
        <v>1</v>
      </c>
      <c r="L326">
        <v>1</v>
      </c>
      <c r="M326" t="s">
        <v>33</v>
      </c>
      <c r="N326">
        <v>1</v>
      </c>
      <c r="O326">
        <v>1</v>
      </c>
      <c r="P326">
        <v>1</v>
      </c>
      <c r="Q326" t="s">
        <v>38</v>
      </c>
      <c r="R326">
        <v>1</v>
      </c>
      <c r="S326">
        <v>1</v>
      </c>
      <c r="T326">
        <v>1</v>
      </c>
      <c r="U326"/>
      <c r="V326"/>
      <c r="W326"/>
      <c r="X326">
        <v>1</v>
      </c>
      <c r="Y326"/>
      <c r="Z326">
        <v>0</v>
      </c>
      <c r="AA326"/>
      <c r="AB326"/>
      <c r="AC326"/>
      <c r="AD326"/>
      <c r="AE326">
        <v>0</v>
      </c>
      <c r="AF326"/>
      <c r="AG326"/>
      <c r="AH326"/>
    </row>
    <row r="327" spans="1:34" x14ac:dyDescent="0.25">
      <c r="A327" t="s">
        <v>3394</v>
      </c>
      <c r="B327" t="s">
        <v>3395</v>
      </c>
      <c r="C327"/>
      <c r="D327" t="s">
        <v>383</v>
      </c>
      <c r="E327" t="s">
        <v>689</v>
      </c>
      <c r="F327" t="s">
        <v>816</v>
      </c>
      <c r="G327" t="s">
        <v>280</v>
      </c>
      <c r="H327" t="s">
        <v>817</v>
      </c>
      <c r="I327" t="s">
        <v>35</v>
      </c>
      <c r="J327"/>
      <c r="K327">
        <v>1</v>
      </c>
      <c r="L327">
        <v>1</v>
      </c>
      <c r="M327" t="s">
        <v>33</v>
      </c>
      <c r="N327">
        <v>1</v>
      </c>
      <c r="O327">
        <v>1</v>
      </c>
      <c r="P327">
        <v>1</v>
      </c>
      <c r="Q327" t="s">
        <v>38</v>
      </c>
      <c r="R327">
        <v>1</v>
      </c>
      <c r="S327">
        <v>1</v>
      </c>
      <c r="T327">
        <v>1</v>
      </c>
      <c r="U327"/>
      <c r="V327"/>
      <c r="W327"/>
      <c r="X327">
        <v>1</v>
      </c>
      <c r="Y327"/>
      <c r="Z327">
        <v>0</v>
      </c>
      <c r="AA327"/>
      <c r="AB327"/>
      <c r="AC327"/>
      <c r="AD327"/>
      <c r="AE327">
        <v>0</v>
      </c>
      <c r="AF327"/>
      <c r="AG327"/>
      <c r="AH327"/>
    </row>
    <row r="328" spans="1:34" x14ac:dyDescent="0.25">
      <c r="A328" t="s">
        <v>3397</v>
      </c>
      <c r="B328" t="s">
        <v>3398</v>
      </c>
      <c r="C328"/>
      <c r="D328" t="s">
        <v>383</v>
      </c>
      <c r="E328" t="s">
        <v>689</v>
      </c>
      <c r="F328" t="s">
        <v>816</v>
      </c>
      <c r="G328" t="s">
        <v>280</v>
      </c>
      <c r="H328" t="s">
        <v>817</v>
      </c>
      <c r="I328" t="s">
        <v>35</v>
      </c>
      <c r="J328"/>
      <c r="K328">
        <v>1</v>
      </c>
      <c r="L328">
        <v>1</v>
      </c>
      <c r="M328" t="s">
        <v>33</v>
      </c>
      <c r="N328">
        <v>1</v>
      </c>
      <c r="O328">
        <v>1</v>
      </c>
      <c r="P328">
        <v>1</v>
      </c>
      <c r="Q328" t="s">
        <v>38</v>
      </c>
      <c r="R328">
        <v>1</v>
      </c>
      <c r="S328">
        <v>1</v>
      </c>
      <c r="T328">
        <v>1</v>
      </c>
      <c r="U328"/>
      <c r="V328"/>
      <c r="W328"/>
      <c r="X328">
        <v>1</v>
      </c>
      <c r="Y328"/>
      <c r="Z328">
        <v>0</v>
      </c>
      <c r="AA328"/>
      <c r="AB328"/>
      <c r="AC328"/>
      <c r="AD328"/>
      <c r="AE328">
        <v>0</v>
      </c>
      <c r="AF328"/>
      <c r="AG328"/>
      <c r="AH328"/>
    </row>
    <row r="329" spans="1:34" x14ac:dyDescent="0.25">
      <c r="A329" t="s">
        <v>3444</v>
      </c>
      <c r="B329" t="s">
        <v>3445</v>
      </c>
      <c r="C329"/>
      <c r="D329" t="s">
        <v>383</v>
      </c>
      <c r="E329" t="s">
        <v>689</v>
      </c>
      <c r="F329" t="s">
        <v>816</v>
      </c>
      <c r="G329" t="s">
        <v>259</v>
      </c>
      <c r="H329" t="s">
        <v>817</v>
      </c>
      <c r="I329" t="s">
        <v>35</v>
      </c>
      <c r="J329"/>
      <c r="K329">
        <v>1</v>
      </c>
      <c r="L329">
        <v>1</v>
      </c>
      <c r="M329" t="s">
        <v>33</v>
      </c>
      <c r="N329">
        <v>1</v>
      </c>
      <c r="O329">
        <v>1</v>
      </c>
      <c r="P329">
        <v>1</v>
      </c>
      <c r="Q329" t="s">
        <v>38</v>
      </c>
      <c r="R329">
        <v>1</v>
      </c>
      <c r="S329">
        <v>1</v>
      </c>
      <c r="T329">
        <v>1</v>
      </c>
      <c r="U329"/>
      <c r="V329"/>
      <c r="W329"/>
      <c r="X329">
        <v>1</v>
      </c>
      <c r="Y329"/>
      <c r="Z329">
        <v>0</v>
      </c>
      <c r="AA329"/>
      <c r="AB329"/>
      <c r="AC329"/>
      <c r="AD329"/>
      <c r="AE329">
        <v>0</v>
      </c>
      <c r="AF329"/>
      <c r="AG329"/>
      <c r="AH329"/>
    </row>
    <row r="330" spans="1:34" x14ac:dyDescent="0.25">
      <c r="A330" t="s">
        <v>3446</v>
      </c>
      <c r="B330" t="s">
        <v>3447</v>
      </c>
      <c r="C330"/>
      <c r="D330" t="s">
        <v>383</v>
      </c>
      <c r="E330" t="s">
        <v>689</v>
      </c>
      <c r="F330" t="s">
        <v>816</v>
      </c>
      <c r="G330" t="s">
        <v>259</v>
      </c>
      <c r="H330" t="s">
        <v>817</v>
      </c>
      <c r="I330" t="s">
        <v>35</v>
      </c>
      <c r="J330"/>
      <c r="K330">
        <v>1</v>
      </c>
      <c r="L330">
        <v>1</v>
      </c>
      <c r="M330" t="s">
        <v>33</v>
      </c>
      <c r="N330">
        <v>1</v>
      </c>
      <c r="O330">
        <v>1</v>
      </c>
      <c r="P330">
        <v>1</v>
      </c>
      <c r="Q330" t="s">
        <v>38</v>
      </c>
      <c r="R330">
        <v>1</v>
      </c>
      <c r="S330">
        <v>1</v>
      </c>
      <c r="T330">
        <v>1</v>
      </c>
      <c r="U330"/>
      <c r="V330"/>
      <c r="W330"/>
      <c r="X330">
        <v>1</v>
      </c>
      <c r="Y330"/>
      <c r="Z330">
        <v>0</v>
      </c>
      <c r="AA330"/>
      <c r="AB330"/>
      <c r="AC330"/>
      <c r="AD330"/>
      <c r="AE330">
        <v>0</v>
      </c>
      <c r="AF330"/>
      <c r="AG330"/>
      <c r="AH330"/>
    </row>
    <row r="331" spans="1:34" x14ac:dyDescent="0.25">
      <c r="A331" t="s">
        <v>3448</v>
      </c>
      <c r="B331" t="s">
        <v>3449</v>
      </c>
      <c r="C331"/>
      <c r="D331" t="s">
        <v>383</v>
      </c>
      <c r="E331" t="s">
        <v>689</v>
      </c>
      <c r="F331" t="s">
        <v>816</v>
      </c>
      <c r="G331" t="s">
        <v>280</v>
      </c>
      <c r="H331" t="s">
        <v>817</v>
      </c>
      <c r="I331" t="s">
        <v>35</v>
      </c>
      <c r="J331"/>
      <c r="K331">
        <v>1</v>
      </c>
      <c r="L331">
        <v>1</v>
      </c>
      <c r="M331" t="s">
        <v>33</v>
      </c>
      <c r="N331">
        <v>1</v>
      </c>
      <c r="O331">
        <v>1</v>
      </c>
      <c r="P331">
        <v>1</v>
      </c>
      <c r="Q331" t="s">
        <v>38</v>
      </c>
      <c r="R331">
        <v>1</v>
      </c>
      <c r="S331">
        <v>1</v>
      </c>
      <c r="T331">
        <v>1</v>
      </c>
      <c r="U331"/>
      <c r="V331"/>
      <c r="W331"/>
      <c r="X331">
        <v>1</v>
      </c>
      <c r="Y331"/>
      <c r="Z331">
        <v>0</v>
      </c>
      <c r="AA331"/>
      <c r="AB331"/>
      <c r="AC331"/>
      <c r="AD331"/>
      <c r="AE331">
        <v>0</v>
      </c>
      <c r="AF331"/>
      <c r="AG331"/>
      <c r="AH331"/>
    </row>
    <row r="332" spans="1:34" x14ac:dyDescent="0.25">
      <c r="A332" t="s">
        <v>3454</v>
      </c>
      <c r="B332" t="s">
        <v>3455</v>
      </c>
      <c r="C332"/>
      <c r="D332" t="s">
        <v>383</v>
      </c>
      <c r="E332" t="s">
        <v>689</v>
      </c>
      <c r="F332" t="s">
        <v>816</v>
      </c>
      <c r="G332" t="s">
        <v>259</v>
      </c>
      <c r="H332" t="s">
        <v>817</v>
      </c>
      <c r="I332" t="s">
        <v>35</v>
      </c>
      <c r="J332"/>
      <c r="K332">
        <v>1</v>
      </c>
      <c r="L332">
        <v>1</v>
      </c>
      <c r="M332" t="s">
        <v>33</v>
      </c>
      <c r="N332">
        <v>1</v>
      </c>
      <c r="O332">
        <v>1</v>
      </c>
      <c r="P332">
        <v>1</v>
      </c>
      <c r="Q332" t="s">
        <v>38</v>
      </c>
      <c r="R332">
        <v>1</v>
      </c>
      <c r="S332">
        <v>1</v>
      </c>
      <c r="T332">
        <v>1</v>
      </c>
      <c r="U332"/>
      <c r="V332"/>
      <c r="W332"/>
      <c r="X332">
        <v>1</v>
      </c>
      <c r="Y332"/>
      <c r="Z332">
        <v>0</v>
      </c>
      <c r="AA332"/>
      <c r="AB332"/>
      <c r="AC332"/>
      <c r="AD332"/>
      <c r="AE332">
        <v>0</v>
      </c>
      <c r="AF332"/>
      <c r="AG332"/>
      <c r="AH332"/>
    </row>
    <row r="333" spans="1:34" x14ac:dyDescent="0.25">
      <c r="A333" t="s">
        <v>3440</v>
      </c>
      <c r="B333" t="s">
        <v>3441</v>
      </c>
      <c r="C333"/>
      <c r="D333" t="s">
        <v>383</v>
      </c>
      <c r="E333" t="s">
        <v>818</v>
      </c>
      <c r="F333" t="s">
        <v>819</v>
      </c>
      <c r="G333" t="s">
        <v>280</v>
      </c>
      <c r="H333" t="s">
        <v>820</v>
      </c>
      <c r="I333" t="s">
        <v>35</v>
      </c>
      <c r="J333"/>
      <c r="K333">
        <v>1</v>
      </c>
      <c r="L333">
        <v>1</v>
      </c>
      <c r="M333" t="s">
        <v>33</v>
      </c>
      <c r="N333">
        <v>1</v>
      </c>
      <c r="O333">
        <v>0.5</v>
      </c>
      <c r="P333">
        <v>0.5</v>
      </c>
      <c r="Q333" t="s">
        <v>38</v>
      </c>
      <c r="R333">
        <v>1</v>
      </c>
      <c r="S333">
        <v>0</v>
      </c>
      <c r="T333"/>
      <c r="U333"/>
      <c r="V333"/>
      <c r="W333"/>
      <c r="X333">
        <v>0</v>
      </c>
      <c r="Y333"/>
      <c r="Z333">
        <v>0</v>
      </c>
      <c r="AA333"/>
      <c r="AB333"/>
      <c r="AC333"/>
      <c r="AD333"/>
      <c r="AE333">
        <v>0</v>
      </c>
      <c r="AF333"/>
      <c r="AG333"/>
      <c r="AH333"/>
    </row>
    <row r="334" spans="1:34" x14ac:dyDescent="0.25">
      <c r="A334" t="s">
        <v>3442</v>
      </c>
      <c r="B334" t="s">
        <v>3443</v>
      </c>
      <c r="C334"/>
      <c r="D334" t="s">
        <v>383</v>
      </c>
      <c r="E334" t="s">
        <v>818</v>
      </c>
      <c r="F334" t="s">
        <v>819</v>
      </c>
      <c r="G334" t="s">
        <v>280</v>
      </c>
      <c r="H334" t="s">
        <v>820</v>
      </c>
      <c r="I334" t="s">
        <v>35</v>
      </c>
      <c r="J334"/>
      <c r="K334">
        <v>1</v>
      </c>
      <c r="L334">
        <v>1</v>
      </c>
      <c r="M334" t="s">
        <v>33</v>
      </c>
      <c r="N334">
        <v>1</v>
      </c>
      <c r="O334">
        <v>0.5</v>
      </c>
      <c r="P334">
        <v>0.5</v>
      </c>
      <c r="Q334" t="s">
        <v>38</v>
      </c>
      <c r="R334">
        <v>1</v>
      </c>
      <c r="S334">
        <v>0</v>
      </c>
      <c r="T334"/>
      <c r="U334"/>
      <c r="V334"/>
      <c r="W334"/>
      <c r="X334">
        <v>0</v>
      </c>
      <c r="Y334"/>
      <c r="Z334">
        <v>0</v>
      </c>
      <c r="AA334"/>
      <c r="AB334"/>
      <c r="AC334"/>
      <c r="AD334"/>
      <c r="AE334">
        <v>0</v>
      </c>
      <c r="AF334"/>
      <c r="AG334"/>
      <c r="AH334"/>
    </row>
    <row r="335" spans="1:34" x14ac:dyDescent="0.25">
      <c r="A335" t="s">
        <v>3440</v>
      </c>
      <c r="B335" t="s">
        <v>3441</v>
      </c>
      <c r="C335"/>
      <c r="D335" t="s">
        <v>383</v>
      </c>
      <c r="E335" t="s">
        <v>818</v>
      </c>
      <c r="F335" t="s">
        <v>821</v>
      </c>
      <c r="G335" t="s">
        <v>280</v>
      </c>
      <c r="H335" t="s">
        <v>822</v>
      </c>
      <c r="I335" t="s">
        <v>35</v>
      </c>
      <c r="J335"/>
      <c r="K335">
        <v>1</v>
      </c>
      <c r="L335">
        <v>1</v>
      </c>
      <c r="M335" t="s">
        <v>33</v>
      </c>
      <c r="N335">
        <v>1</v>
      </c>
      <c r="O335">
        <v>0.5</v>
      </c>
      <c r="P335">
        <v>0.5</v>
      </c>
      <c r="Q335" t="s">
        <v>38</v>
      </c>
      <c r="R335">
        <v>1</v>
      </c>
      <c r="S335">
        <v>0</v>
      </c>
      <c r="T335"/>
      <c r="U335"/>
      <c r="V335"/>
      <c r="W335"/>
      <c r="X335">
        <v>0</v>
      </c>
      <c r="Y335"/>
      <c r="Z335">
        <v>0</v>
      </c>
      <c r="AA335"/>
      <c r="AB335"/>
      <c r="AC335"/>
      <c r="AD335"/>
      <c r="AE335">
        <v>0</v>
      </c>
      <c r="AF335"/>
      <c r="AG335"/>
      <c r="AH335"/>
    </row>
    <row r="336" spans="1:34" x14ac:dyDescent="0.25">
      <c r="A336" t="s">
        <v>3442</v>
      </c>
      <c r="B336" t="s">
        <v>3443</v>
      </c>
      <c r="C336"/>
      <c r="D336" t="s">
        <v>383</v>
      </c>
      <c r="E336" t="s">
        <v>818</v>
      </c>
      <c r="F336" t="s">
        <v>821</v>
      </c>
      <c r="G336" t="s">
        <v>280</v>
      </c>
      <c r="H336" t="s">
        <v>822</v>
      </c>
      <c r="I336" t="s">
        <v>35</v>
      </c>
      <c r="J336"/>
      <c r="K336">
        <v>1</v>
      </c>
      <c r="L336">
        <v>1</v>
      </c>
      <c r="M336" t="s">
        <v>33</v>
      </c>
      <c r="N336">
        <v>1</v>
      </c>
      <c r="O336">
        <v>0.5</v>
      </c>
      <c r="P336">
        <v>0.5</v>
      </c>
      <c r="Q336" t="s">
        <v>38</v>
      </c>
      <c r="R336">
        <v>1</v>
      </c>
      <c r="S336">
        <v>0</v>
      </c>
      <c r="T336"/>
      <c r="U336"/>
      <c r="V336"/>
      <c r="W336"/>
      <c r="X336">
        <v>0</v>
      </c>
      <c r="Y336"/>
      <c r="Z336">
        <v>0</v>
      </c>
      <c r="AA336"/>
      <c r="AB336"/>
      <c r="AC336"/>
      <c r="AD336"/>
      <c r="AE336">
        <v>0</v>
      </c>
      <c r="AF336"/>
      <c r="AG336"/>
      <c r="AH336"/>
    </row>
    <row r="337" spans="1:34" x14ac:dyDescent="0.25">
      <c r="A337" t="s">
        <v>3440</v>
      </c>
      <c r="B337" t="s">
        <v>3441</v>
      </c>
      <c r="C337"/>
      <c r="D337" t="s">
        <v>383</v>
      </c>
      <c r="E337" t="s">
        <v>818</v>
      </c>
      <c r="F337" t="s">
        <v>823</v>
      </c>
      <c r="G337" t="s">
        <v>280</v>
      </c>
      <c r="H337" t="s">
        <v>824</v>
      </c>
      <c r="I337" t="s">
        <v>35</v>
      </c>
      <c r="J337"/>
      <c r="K337">
        <v>1</v>
      </c>
      <c r="L337">
        <v>1</v>
      </c>
      <c r="M337" t="s">
        <v>33</v>
      </c>
      <c r="N337">
        <v>1</v>
      </c>
      <c r="O337">
        <v>0.5</v>
      </c>
      <c r="P337">
        <v>0.5</v>
      </c>
      <c r="Q337" t="s">
        <v>38</v>
      </c>
      <c r="R337">
        <v>1</v>
      </c>
      <c r="S337">
        <v>0</v>
      </c>
      <c r="T337"/>
      <c r="U337"/>
      <c r="V337"/>
      <c r="W337"/>
      <c r="X337">
        <v>0</v>
      </c>
      <c r="Y337"/>
      <c r="Z337">
        <v>0</v>
      </c>
      <c r="AA337"/>
      <c r="AB337"/>
      <c r="AC337"/>
      <c r="AD337"/>
      <c r="AE337">
        <v>0</v>
      </c>
      <c r="AF337"/>
      <c r="AG337"/>
      <c r="AH337"/>
    </row>
    <row r="338" spans="1:34" x14ac:dyDescent="0.25">
      <c r="A338" t="s">
        <v>3442</v>
      </c>
      <c r="B338" t="s">
        <v>3443</v>
      </c>
      <c r="C338"/>
      <c r="D338" t="s">
        <v>383</v>
      </c>
      <c r="E338" t="s">
        <v>818</v>
      </c>
      <c r="F338" t="s">
        <v>823</v>
      </c>
      <c r="G338" t="s">
        <v>280</v>
      </c>
      <c r="H338" t="s">
        <v>824</v>
      </c>
      <c r="I338" t="s">
        <v>35</v>
      </c>
      <c r="J338"/>
      <c r="K338">
        <v>1</v>
      </c>
      <c r="L338">
        <v>1</v>
      </c>
      <c r="M338" t="s">
        <v>33</v>
      </c>
      <c r="N338">
        <v>1</v>
      </c>
      <c r="O338">
        <v>0.5</v>
      </c>
      <c r="P338">
        <v>0.5</v>
      </c>
      <c r="Q338" t="s">
        <v>38</v>
      </c>
      <c r="R338">
        <v>1</v>
      </c>
      <c r="S338">
        <v>0</v>
      </c>
      <c r="T338"/>
      <c r="U338"/>
      <c r="V338"/>
      <c r="W338"/>
      <c r="X338">
        <v>0</v>
      </c>
      <c r="Y338"/>
      <c r="Z338">
        <v>0</v>
      </c>
      <c r="AA338"/>
      <c r="AB338"/>
      <c r="AC338"/>
      <c r="AD338"/>
      <c r="AE338">
        <v>0</v>
      </c>
      <c r="AF338"/>
      <c r="AG338"/>
      <c r="AH338"/>
    </row>
    <row r="339" spans="1:34" x14ac:dyDescent="0.25">
      <c r="A339" t="s">
        <v>3440</v>
      </c>
      <c r="B339" t="s">
        <v>3441</v>
      </c>
      <c r="C339"/>
      <c r="D339" t="s">
        <v>383</v>
      </c>
      <c r="E339" t="s">
        <v>818</v>
      </c>
      <c r="F339" t="s">
        <v>825</v>
      </c>
      <c r="G339" t="s">
        <v>280</v>
      </c>
      <c r="H339" t="s">
        <v>826</v>
      </c>
      <c r="I339" t="s">
        <v>35</v>
      </c>
      <c r="J339"/>
      <c r="K339">
        <v>1</v>
      </c>
      <c r="L339">
        <v>1</v>
      </c>
      <c r="M339" t="s">
        <v>33</v>
      </c>
      <c r="N339">
        <v>1</v>
      </c>
      <c r="O339">
        <v>0.5</v>
      </c>
      <c r="P339">
        <v>0.5</v>
      </c>
      <c r="Q339" t="s">
        <v>38</v>
      </c>
      <c r="R339">
        <v>1</v>
      </c>
      <c r="S339">
        <v>0</v>
      </c>
      <c r="T339"/>
      <c r="U339"/>
      <c r="V339"/>
      <c r="W339"/>
      <c r="X339">
        <v>0</v>
      </c>
      <c r="Y339"/>
      <c r="Z339">
        <v>0</v>
      </c>
      <c r="AA339"/>
      <c r="AB339"/>
      <c r="AC339"/>
      <c r="AD339"/>
      <c r="AE339">
        <v>0</v>
      </c>
      <c r="AF339"/>
      <c r="AG339"/>
      <c r="AH339"/>
    </row>
    <row r="340" spans="1:34" x14ac:dyDescent="0.25">
      <c r="A340" t="s">
        <v>3442</v>
      </c>
      <c r="B340" t="s">
        <v>3443</v>
      </c>
      <c r="C340"/>
      <c r="D340" t="s">
        <v>383</v>
      </c>
      <c r="E340" t="s">
        <v>818</v>
      </c>
      <c r="F340" t="s">
        <v>825</v>
      </c>
      <c r="G340" t="s">
        <v>280</v>
      </c>
      <c r="H340" t="s">
        <v>826</v>
      </c>
      <c r="I340" t="s">
        <v>35</v>
      </c>
      <c r="J340"/>
      <c r="K340">
        <v>1</v>
      </c>
      <c r="L340">
        <v>1</v>
      </c>
      <c r="M340" t="s">
        <v>33</v>
      </c>
      <c r="N340">
        <v>1</v>
      </c>
      <c r="O340">
        <v>0.5</v>
      </c>
      <c r="P340">
        <v>0.5</v>
      </c>
      <c r="Q340" t="s">
        <v>38</v>
      </c>
      <c r="R340">
        <v>1</v>
      </c>
      <c r="S340">
        <v>0</v>
      </c>
      <c r="T340"/>
      <c r="U340"/>
      <c r="V340"/>
      <c r="W340"/>
      <c r="X340">
        <v>0</v>
      </c>
      <c r="Y340"/>
      <c r="Z340">
        <v>0</v>
      </c>
      <c r="AA340"/>
      <c r="AB340"/>
      <c r="AC340"/>
      <c r="AD340"/>
      <c r="AE340">
        <v>0</v>
      </c>
      <c r="AF340"/>
      <c r="AG340"/>
      <c r="AH340"/>
    </row>
    <row r="341" spans="1:34" x14ac:dyDescent="0.25">
      <c r="A341" t="s">
        <v>3440</v>
      </c>
      <c r="B341" t="s">
        <v>3441</v>
      </c>
      <c r="C341"/>
      <c r="D341" t="s">
        <v>383</v>
      </c>
      <c r="E341" t="s">
        <v>818</v>
      </c>
      <c r="F341" t="s">
        <v>827</v>
      </c>
      <c r="G341" t="s">
        <v>280</v>
      </c>
      <c r="H341" t="s">
        <v>826</v>
      </c>
      <c r="I341" t="s">
        <v>35</v>
      </c>
      <c r="J341"/>
      <c r="K341">
        <v>1</v>
      </c>
      <c r="L341">
        <v>1</v>
      </c>
      <c r="M341" t="s">
        <v>33</v>
      </c>
      <c r="N341">
        <v>1</v>
      </c>
      <c r="O341">
        <v>0.5</v>
      </c>
      <c r="P341">
        <v>0.5</v>
      </c>
      <c r="Q341" t="s">
        <v>38</v>
      </c>
      <c r="R341">
        <v>1</v>
      </c>
      <c r="S341">
        <v>0</v>
      </c>
      <c r="T341"/>
      <c r="U341"/>
      <c r="V341"/>
      <c r="W341"/>
      <c r="X341">
        <v>0</v>
      </c>
      <c r="Y341"/>
      <c r="Z341">
        <v>0</v>
      </c>
      <c r="AA341"/>
      <c r="AB341"/>
      <c r="AC341"/>
      <c r="AD341"/>
      <c r="AE341">
        <v>0</v>
      </c>
      <c r="AF341"/>
      <c r="AG341"/>
      <c r="AH341"/>
    </row>
    <row r="342" spans="1:34" x14ac:dyDescent="0.25">
      <c r="A342" t="s">
        <v>3442</v>
      </c>
      <c r="B342" t="s">
        <v>3443</v>
      </c>
      <c r="C342"/>
      <c r="D342" t="s">
        <v>383</v>
      </c>
      <c r="E342" t="s">
        <v>818</v>
      </c>
      <c r="F342" t="s">
        <v>827</v>
      </c>
      <c r="G342" t="s">
        <v>280</v>
      </c>
      <c r="H342" t="s">
        <v>826</v>
      </c>
      <c r="I342" t="s">
        <v>35</v>
      </c>
      <c r="J342"/>
      <c r="K342">
        <v>1</v>
      </c>
      <c r="L342">
        <v>1</v>
      </c>
      <c r="M342" t="s">
        <v>33</v>
      </c>
      <c r="N342">
        <v>1</v>
      </c>
      <c r="O342">
        <v>0.5</v>
      </c>
      <c r="P342">
        <v>0.5</v>
      </c>
      <c r="Q342" t="s">
        <v>38</v>
      </c>
      <c r="R342">
        <v>1</v>
      </c>
      <c r="S342">
        <v>0</v>
      </c>
      <c r="T342"/>
      <c r="U342"/>
      <c r="V342"/>
      <c r="W342"/>
      <c r="X342">
        <v>0</v>
      </c>
      <c r="Y342"/>
      <c r="Z342">
        <v>0</v>
      </c>
      <c r="AA342"/>
      <c r="AB342"/>
      <c r="AC342"/>
      <c r="AD342"/>
      <c r="AE342">
        <v>0</v>
      </c>
      <c r="AF342"/>
      <c r="AG342"/>
      <c r="AH342"/>
    </row>
    <row r="343" spans="1:34" x14ac:dyDescent="0.25">
      <c r="A343" t="s">
        <v>3440</v>
      </c>
      <c r="B343" t="s">
        <v>3441</v>
      </c>
      <c r="C343"/>
      <c r="D343" t="s">
        <v>383</v>
      </c>
      <c r="E343" t="s">
        <v>818</v>
      </c>
      <c r="F343" t="s">
        <v>828</v>
      </c>
      <c r="G343" t="s">
        <v>280</v>
      </c>
      <c r="H343" t="s">
        <v>829</v>
      </c>
      <c r="I343" t="s">
        <v>35</v>
      </c>
      <c r="J343"/>
      <c r="K343">
        <v>1</v>
      </c>
      <c r="L343">
        <v>1</v>
      </c>
      <c r="M343" t="s">
        <v>33</v>
      </c>
      <c r="N343">
        <v>1</v>
      </c>
      <c r="O343">
        <v>0.5</v>
      </c>
      <c r="P343">
        <v>0.5</v>
      </c>
      <c r="Q343" t="s">
        <v>38</v>
      </c>
      <c r="R343">
        <v>1</v>
      </c>
      <c r="S343">
        <v>0</v>
      </c>
      <c r="T343"/>
      <c r="U343"/>
      <c r="V343"/>
      <c r="W343"/>
      <c r="X343">
        <v>0</v>
      </c>
      <c r="Y343"/>
      <c r="Z343">
        <v>0</v>
      </c>
      <c r="AA343"/>
      <c r="AB343"/>
      <c r="AC343"/>
      <c r="AD343"/>
      <c r="AE343">
        <v>0</v>
      </c>
      <c r="AF343"/>
      <c r="AG343"/>
      <c r="AH343"/>
    </row>
    <row r="344" spans="1:34" x14ac:dyDescent="0.25">
      <c r="A344" t="s">
        <v>3442</v>
      </c>
      <c r="B344" t="s">
        <v>3443</v>
      </c>
      <c r="C344"/>
      <c r="D344" t="s">
        <v>383</v>
      </c>
      <c r="E344" t="s">
        <v>818</v>
      </c>
      <c r="F344" t="s">
        <v>828</v>
      </c>
      <c r="G344" t="s">
        <v>280</v>
      </c>
      <c r="H344" t="s">
        <v>829</v>
      </c>
      <c r="I344" t="s">
        <v>35</v>
      </c>
      <c r="J344"/>
      <c r="K344">
        <v>1</v>
      </c>
      <c r="L344">
        <v>1</v>
      </c>
      <c r="M344" t="s">
        <v>33</v>
      </c>
      <c r="N344">
        <v>1</v>
      </c>
      <c r="O344">
        <v>0.5</v>
      </c>
      <c r="P344">
        <v>0.5</v>
      </c>
      <c r="Q344" t="s">
        <v>38</v>
      </c>
      <c r="R344">
        <v>1</v>
      </c>
      <c r="S344">
        <v>0</v>
      </c>
      <c r="T344"/>
      <c r="U344"/>
      <c r="V344"/>
      <c r="W344"/>
      <c r="X344">
        <v>0</v>
      </c>
      <c r="Y344"/>
      <c r="Z344">
        <v>0</v>
      </c>
      <c r="AA344"/>
      <c r="AB344"/>
      <c r="AC344"/>
      <c r="AD344"/>
      <c r="AE344">
        <v>0</v>
      </c>
      <c r="AF344"/>
      <c r="AG344"/>
      <c r="AH344"/>
    </row>
    <row r="345" spans="1:34" x14ac:dyDescent="0.25">
      <c r="A345" t="s">
        <v>3440</v>
      </c>
      <c r="B345" t="s">
        <v>3441</v>
      </c>
      <c r="C345"/>
      <c r="D345" t="s">
        <v>383</v>
      </c>
      <c r="E345" t="s">
        <v>818</v>
      </c>
      <c r="F345" t="s">
        <v>830</v>
      </c>
      <c r="G345" t="s">
        <v>280</v>
      </c>
      <c r="H345" t="s">
        <v>831</v>
      </c>
      <c r="I345" t="s">
        <v>35</v>
      </c>
      <c r="J345"/>
      <c r="K345">
        <v>1</v>
      </c>
      <c r="L345">
        <v>1</v>
      </c>
      <c r="M345" t="s">
        <v>33</v>
      </c>
      <c r="N345">
        <v>1</v>
      </c>
      <c r="O345">
        <v>0.5</v>
      </c>
      <c r="P345">
        <v>0.5</v>
      </c>
      <c r="Q345" t="s">
        <v>38</v>
      </c>
      <c r="R345">
        <v>1</v>
      </c>
      <c r="S345">
        <v>0</v>
      </c>
      <c r="T345"/>
      <c r="U345"/>
      <c r="V345"/>
      <c r="W345"/>
      <c r="X345">
        <v>0</v>
      </c>
      <c r="Y345"/>
      <c r="Z345">
        <v>0</v>
      </c>
      <c r="AA345"/>
      <c r="AB345"/>
      <c r="AC345"/>
      <c r="AD345"/>
      <c r="AE345">
        <v>0</v>
      </c>
      <c r="AF345"/>
      <c r="AG345"/>
      <c r="AH345"/>
    </row>
    <row r="346" spans="1:34" x14ac:dyDescent="0.25">
      <c r="A346" t="s">
        <v>3442</v>
      </c>
      <c r="B346" t="s">
        <v>3443</v>
      </c>
      <c r="C346"/>
      <c r="D346" t="s">
        <v>383</v>
      </c>
      <c r="E346" t="s">
        <v>818</v>
      </c>
      <c r="F346" t="s">
        <v>830</v>
      </c>
      <c r="G346" t="s">
        <v>280</v>
      </c>
      <c r="H346" t="s">
        <v>831</v>
      </c>
      <c r="I346" t="s">
        <v>35</v>
      </c>
      <c r="J346"/>
      <c r="K346">
        <v>1</v>
      </c>
      <c r="L346">
        <v>1</v>
      </c>
      <c r="M346" t="s">
        <v>33</v>
      </c>
      <c r="N346">
        <v>1</v>
      </c>
      <c r="O346">
        <v>0.5</v>
      </c>
      <c r="P346">
        <v>0.5</v>
      </c>
      <c r="Q346" t="s">
        <v>38</v>
      </c>
      <c r="R346">
        <v>1</v>
      </c>
      <c r="S346">
        <v>0</v>
      </c>
      <c r="T346"/>
      <c r="U346"/>
      <c r="V346"/>
      <c r="W346"/>
      <c r="X346">
        <v>0</v>
      </c>
      <c r="Y346"/>
      <c r="Z346">
        <v>0</v>
      </c>
      <c r="AA346"/>
      <c r="AB346"/>
      <c r="AC346"/>
      <c r="AD346"/>
      <c r="AE346">
        <v>0</v>
      </c>
      <c r="AF346"/>
      <c r="AG346"/>
      <c r="AH346"/>
    </row>
    <row r="347" spans="1:34" x14ac:dyDescent="0.25">
      <c r="A347" t="s">
        <v>3440</v>
      </c>
      <c r="B347" t="s">
        <v>3441</v>
      </c>
      <c r="C347"/>
      <c r="D347" t="s">
        <v>383</v>
      </c>
      <c r="E347" t="s">
        <v>818</v>
      </c>
      <c r="F347" t="s">
        <v>832</v>
      </c>
      <c r="G347" t="s">
        <v>280</v>
      </c>
      <c r="H347" t="s">
        <v>833</v>
      </c>
      <c r="I347" t="s">
        <v>35</v>
      </c>
      <c r="J347"/>
      <c r="K347">
        <v>1</v>
      </c>
      <c r="L347">
        <v>1</v>
      </c>
      <c r="M347" t="s">
        <v>33</v>
      </c>
      <c r="N347">
        <v>1</v>
      </c>
      <c r="O347">
        <v>0.5</v>
      </c>
      <c r="P347">
        <v>0.5</v>
      </c>
      <c r="Q347" t="s">
        <v>38</v>
      </c>
      <c r="R347">
        <v>1</v>
      </c>
      <c r="S347">
        <v>0</v>
      </c>
      <c r="T347"/>
      <c r="U347"/>
      <c r="V347"/>
      <c r="W347"/>
      <c r="X347">
        <v>0</v>
      </c>
      <c r="Y347"/>
      <c r="Z347">
        <v>0</v>
      </c>
      <c r="AA347"/>
      <c r="AB347"/>
      <c r="AC347"/>
      <c r="AD347"/>
      <c r="AE347">
        <v>0</v>
      </c>
      <c r="AF347"/>
      <c r="AG347"/>
      <c r="AH347"/>
    </row>
    <row r="348" spans="1:34" x14ac:dyDescent="0.25">
      <c r="A348" t="s">
        <v>3442</v>
      </c>
      <c r="B348" t="s">
        <v>3443</v>
      </c>
      <c r="C348"/>
      <c r="D348" t="s">
        <v>383</v>
      </c>
      <c r="E348" t="s">
        <v>818</v>
      </c>
      <c r="F348" t="s">
        <v>832</v>
      </c>
      <c r="G348" t="s">
        <v>280</v>
      </c>
      <c r="H348" t="s">
        <v>833</v>
      </c>
      <c r="I348" t="s">
        <v>35</v>
      </c>
      <c r="J348"/>
      <c r="K348">
        <v>1</v>
      </c>
      <c r="L348">
        <v>1</v>
      </c>
      <c r="M348" t="s">
        <v>33</v>
      </c>
      <c r="N348">
        <v>1</v>
      </c>
      <c r="O348">
        <v>0.5</v>
      </c>
      <c r="P348">
        <v>0.5</v>
      </c>
      <c r="Q348" t="s">
        <v>38</v>
      </c>
      <c r="R348">
        <v>1</v>
      </c>
      <c r="S348">
        <v>0</v>
      </c>
      <c r="T348"/>
      <c r="U348"/>
      <c r="V348"/>
      <c r="W348"/>
      <c r="X348">
        <v>0</v>
      </c>
      <c r="Y348"/>
      <c r="Z348">
        <v>0</v>
      </c>
      <c r="AA348"/>
      <c r="AB348"/>
      <c r="AC348"/>
      <c r="AD348"/>
      <c r="AE348">
        <v>0</v>
      </c>
      <c r="AF348"/>
      <c r="AG348"/>
      <c r="AH348"/>
    </row>
    <row r="349" spans="1:34" x14ac:dyDescent="0.25">
      <c r="A349" t="s">
        <v>3440</v>
      </c>
      <c r="B349" t="s">
        <v>3441</v>
      </c>
      <c r="C349"/>
      <c r="D349" t="s">
        <v>383</v>
      </c>
      <c r="E349" t="s">
        <v>818</v>
      </c>
      <c r="F349" t="s">
        <v>834</v>
      </c>
      <c r="G349" t="s">
        <v>280</v>
      </c>
      <c r="H349" t="s">
        <v>835</v>
      </c>
      <c r="I349" t="s">
        <v>35</v>
      </c>
      <c r="J349"/>
      <c r="K349">
        <v>1</v>
      </c>
      <c r="L349">
        <v>1</v>
      </c>
      <c r="M349" t="s">
        <v>33</v>
      </c>
      <c r="N349">
        <v>1</v>
      </c>
      <c r="O349">
        <v>0.5</v>
      </c>
      <c r="P349">
        <v>0.5</v>
      </c>
      <c r="Q349" t="s">
        <v>38</v>
      </c>
      <c r="R349">
        <v>1</v>
      </c>
      <c r="S349">
        <v>0</v>
      </c>
      <c r="T349"/>
      <c r="U349"/>
      <c r="V349"/>
      <c r="W349"/>
      <c r="X349">
        <v>0</v>
      </c>
      <c r="Y349"/>
      <c r="Z349">
        <v>0</v>
      </c>
      <c r="AA349"/>
      <c r="AB349"/>
      <c r="AC349"/>
      <c r="AD349"/>
      <c r="AE349">
        <v>0</v>
      </c>
      <c r="AF349"/>
      <c r="AG349"/>
      <c r="AH349"/>
    </row>
    <row r="350" spans="1:34" x14ac:dyDescent="0.25">
      <c r="A350" t="s">
        <v>3442</v>
      </c>
      <c r="B350" t="s">
        <v>3443</v>
      </c>
      <c r="C350"/>
      <c r="D350" t="s">
        <v>383</v>
      </c>
      <c r="E350" t="s">
        <v>818</v>
      </c>
      <c r="F350" t="s">
        <v>834</v>
      </c>
      <c r="G350" t="s">
        <v>280</v>
      </c>
      <c r="H350" t="s">
        <v>835</v>
      </c>
      <c r="I350" t="s">
        <v>35</v>
      </c>
      <c r="J350"/>
      <c r="K350">
        <v>1</v>
      </c>
      <c r="L350">
        <v>1</v>
      </c>
      <c r="M350" t="s">
        <v>33</v>
      </c>
      <c r="N350">
        <v>1</v>
      </c>
      <c r="O350">
        <v>0.5</v>
      </c>
      <c r="P350">
        <v>0.5</v>
      </c>
      <c r="Q350" t="s">
        <v>38</v>
      </c>
      <c r="R350">
        <v>1</v>
      </c>
      <c r="S350">
        <v>0</v>
      </c>
      <c r="T350"/>
      <c r="U350"/>
      <c r="V350"/>
      <c r="W350"/>
      <c r="X350">
        <v>0</v>
      </c>
      <c r="Y350"/>
      <c r="Z350">
        <v>0</v>
      </c>
      <c r="AA350"/>
      <c r="AB350"/>
      <c r="AC350"/>
      <c r="AD350"/>
      <c r="AE350">
        <v>0</v>
      </c>
      <c r="AF350"/>
      <c r="AG350"/>
      <c r="AH350"/>
    </row>
    <row r="351" spans="1:34" x14ac:dyDescent="0.25">
      <c r="A351" t="s">
        <v>3440</v>
      </c>
      <c r="B351" t="s">
        <v>3441</v>
      </c>
      <c r="C351"/>
      <c r="D351" t="s">
        <v>383</v>
      </c>
      <c r="E351" t="s">
        <v>818</v>
      </c>
      <c r="F351" t="s">
        <v>836</v>
      </c>
      <c r="G351" t="s">
        <v>280</v>
      </c>
      <c r="H351" t="s">
        <v>835</v>
      </c>
      <c r="I351" t="s">
        <v>35</v>
      </c>
      <c r="J351"/>
      <c r="K351">
        <v>1</v>
      </c>
      <c r="L351">
        <v>1</v>
      </c>
      <c r="M351" t="s">
        <v>33</v>
      </c>
      <c r="N351">
        <v>1</v>
      </c>
      <c r="O351">
        <v>0.5</v>
      </c>
      <c r="P351">
        <v>0.5</v>
      </c>
      <c r="Q351" t="s">
        <v>38</v>
      </c>
      <c r="R351">
        <v>1</v>
      </c>
      <c r="S351">
        <v>0</v>
      </c>
      <c r="T351"/>
      <c r="U351"/>
      <c r="V351"/>
      <c r="W351"/>
      <c r="X351">
        <v>0</v>
      </c>
      <c r="Y351"/>
      <c r="Z351">
        <v>0</v>
      </c>
      <c r="AA351"/>
      <c r="AB351"/>
      <c r="AC351"/>
      <c r="AD351"/>
      <c r="AE351">
        <v>0</v>
      </c>
      <c r="AF351"/>
      <c r="AG351"/>
      <c r="AH351"/>
    </row>
    <row r="352" spans="1:34" x14ac:dyDescent="0.25">
      <c r="A352" t="s">
        <v>3442</v>
      </c>
      <c r="B352" t="s">
        <v>3443</v>
      </c>
      <c r="C352"/>
      <c r="D352" t="s">
        <v>383</v>
      </c>
      <c r="E352" t="s">
        <v>818</v>
      </c>
      <c r="F352" t="s">
        <v>836</v>
      </c>
      <c r="G352" t="s">
        <v>280</v>
      </c>
      <c r="H352" t="s">
        <v>835</v>
      </c>
      <c r="I352" t="s">
        <v>35</v>
      </c>
      <c r="J352"/>
      <c r="K352">
        <v>1</v>
      </c>
      <c r="L352">
        <v>1</v>
      </c>
      <c r="M352" t="s">
        <v>33</v>
      </c>
      <c r="N352">
        <v>1</v>
      </c>
      <c r="O352">
        <v>0.5</v>
      </c>
      <c r="P352">
        <v>0.5</v>
      </c>
      <c r="Q352" t="s">
        <v>38</v>
      </c>
      <c r="R352">
        <v>1</v>
      </c>
      <c r="S352">
        <v>0</v>
      </c>
      <c r="T352"/>
      <c r="U352"/>
      <c r="V352"/>
      <c r="W352"/>
      <c r="X352">
        <v>0</v>
      </c>
      <c r="Y352"/>
      <c r="Z352">
        <v>0</v>
      </c>
      <c r="AA352"/>
      <c r="AB352"/>
      <c r="AC352"/>
      <c r="AD352"/>
      <c r="AE352">
        <v>0</v>
      </c>
      <c r="AF352"/>
      <c r="AG352"/>
      <c r="AH352"/>
    </row>
    <row r="353" spans="1:34" x14ac:dyDescent="0.25">
      <c r="A353" t="s">
        <v>3440</v>
      </c>
      <c r="B353" t="s">
        <v>3441</v>
      </c>
      <c r="C353"/>
      <c r="D353" t="s">
        <v>383</v>
      </c>
      <c r="E353" t="s">
        <v>818</v>
      </c>
      <c r="F353" t="s">
        <v>837</v>
      </c>
      <c r="G353" t="s">
        <v>280</v>
      </c>
      <c r="H353" t="s">
        <v>838</v>
      </c>
      <c r="I353" t="s">
        <v>35</v>
      </c>
      <c r="J353"/>
      <c r="K353">
        <v>1</v>
      </c>
      <c r="L353">
        <v>1</v>
      </c>
      <c r="M353" t="s">
        <v>33</v>
      </c>
      <c r="N353">
        <v>1</v>
      </c>
      <c r="O353">
        <v>0.5</v>
      </c>
      <c r="P353">
        <v>0.5</v>
      </c>
      <c r="Q353" t="s">
        <v>38</v>
      </c>
      <c r="R353">
        <v>1</v>
      </c>
      <c r="S353">
        <v>0</v>
      </c>
      <c r="T353"/>
      <c r="U353"/>
      <c r="V353"/>
      <c r="W353"/>
      <c r="X353">
        <v>0</v>
      </c>
      <c r="Y353"/>
      <c r="Z353">
        <v>0</v>
      </c>
      <c r="AA353"/>
      <c r="AB353"/>
      <c r="AC353"/>
      <c r="AD353"/>
      <c r="AE353">
        <v>0</v>
      </c>
      <c r="AF353"/>
      <c r="AG353"/>
      <c r="AH353"/>
    </row>
    <row r="354" spans="1:34" x14ac:dyDescent="0.25">
      <c r="A354" t="s">
        <v>3442</v>
      </c>
      <c r="B354" t="s">
        <v>3443</v>
      </c>
      <c r="C354"/>
      <c r="D354" t="s">
        <v>383</v>
      </c>
      <c r="E354" t="s">
        <v>818</v>
      </c>
      <c r="F354" t="s">
        <v>837</v>
      </c>
      <c r="G354" t="s">
        <v>280</v>
      </c>
      <c r="H354" t="s">
        <v>838</v>
      </c>
      <c r="I354" t="s">
        <v>35</v>
      </c>
      <c r="J354"/>
      <c r="K354">
        <v>1</v>
      </c>
      <c r="L354">
        <v>1</v>
      </c>
      <c r="M354" t="s">
        <v>33</v>
      </c>
      <c r="N354">
        <v>1</v>
      </c>
      <c r="O354">
        <v>0.5</v>
      </c>
      <c r="P354">
        <v>0.5</v>
      </c>
      <c r="Q354" t="s">
        <v>38</v>
      </c>
      <c r="R354">
        <v>1</v>
      </c>
      <c r="S354">
        <v>0</v>
      </c>
      <c r="T354"/>
      <c r="U354"/>
      <c r="V354"/>
      <c r="W354"/>
      <c r="X354">
        <v>0</v>
      </c>
      <c r="Y354"/>
      <c r="Z354">
        <v>0</v>
      </c>
      <c r="AA354"/>
      <c r="AB354"/>
      <c r="AC354"/>
      <c r="AD354"/>
      <c r="AE354">
        <v>0</v>
      </c>
      <c r="AF354"/>
      <c r="AG354"/>
      <c r="AH354"/>
    </row>
    <row r="355" spans="1:34" x14ac:dyDescent="0.25">
      <c r="A355" t="s">
        <v>3440</v>
      </c>
      <c r="B355" t="s">
        <v>3441</v>
      </c>
      <c r="C355"/>
      <c r="D355" t="s">
        <v>383</v>
      </c>
      <c r="E355" t="s">
        <v>818</v>
      </c>
      <c r="F355" t="s">
        <v>839</v>
      </c>
      <c r="G355" t="s">
        <v>280</v>
      </c>
      <c r="H355" t="s">
        <v>840</v>
      </c>
      <c r="I355" t="s">
        <v>35</v>
      </c>
      <c r="J355"/>
      <c r="K355">
        <v>1</v>
      </c>
      <c r="L355">
        <v>1</v>
      </c>
      <c r="M355" t="s">
        <v>33</v>
      </c>
      <c r="N355">
        <v>1</v>
      </c>
      <c r="O355">
        <v>0.5</v>
      </c>
      <c r="P355">
        <v>0.5</v>
      </c>
      <c r="Q355" t="s">
        <v>38</v>
      </c>
      <c r="R355">
        <v>1</v>
      </c>
      <c r="S355">
        <v>0</v>
      </c>
      <c r="T355"/>
      <c r="U355"/>
      <c r="V355"/>
      <c r="W355"/>
      <c r="X355">
        <v>0</v>
      </c>
      <c r="Y355"/>
      <c r="Z355">
        <v>0</v>
      </c>
      <c r="AA355"/>
      <c r="AB355"/>
      <c r="AC355"/>
      <c r="AD355"/>
      <c r="AE355">
        <v>0</v>
      </c>
      <c r="AF355"/>
      <c r="AG355"/>
      <c r="AH355"/>
    </row>
    <row r="356" spans="1:34" x14ac:dyDescent="0.25">
      <c r="A356" t="s">
        <v>3442</v>
      </c>
      <c r="B356" t="s">
        <v>3443</v>
      </c>
      <c r="C356"/>
      <c r="D356" t="s">
        <v>383</v>
      </c>
      <c r="E356" t="s">
        <v>818</v>
      </c>
      <c r="F356" t="s">
        <v>839</v>
      </c>
      <c r="G356" t="s">
        <v>280</v>
      </c>
      <c r="H356" t="s">
        <v>840</v>
      </c>
      <c r="I356" t="s">
        <v>35</v>
      </c>
      <c r="J356"/>
      <c r="K356">
        <v>1</v>
      </c>
      <c r="L356">
        <v>1</v>
      </c>
      <c r="M356" t="s">
        <v>33</v>
      </c>
      <c r="N356">
        <v>1</v>
      </c>
      <c r="O356">
        <v>0.5</v>
      </c>
      <c r="P356">
        <v>0.5</v>
      </c>
      <c r="Q356" t="s">
        <v>38</v>
      </c>
      <c r="R356">
        <v>1</v>
      </c>
      <c r="S356">
        <v>0</v>
      </c>
      <c r="T356"/>
      <c r="U356"/>
      <c r="V356"/>
      <c r="W356"/>
      <c r="X356">
        <v>0</v>
      </c>
      <c r="Y356"/>
      <c r="Z356">
        <v>0</v>
      </c>
      <c r="AA356"/>
      <c r="AB356"/>
      <c r="AC356"/>
      <c r="AD356"/>
      <c r="AE356">
        <v>0</v>
      </c>
      <c r="AF356"/>
      <c r="AG356"/>
      <c r="AH356"/>
    </row>
    <row r="357" spans="1:34" x14ac:dyDescent="0.25">
      <c r="A357" t="s">
        <v>3440</v>
      </c>
      <c r="B357" t="s">
        <v>3441</v>
      </c>
      <c r="C357"/>
      <c r="D357" t="s">
        <v>383</v>
      </c>
      <c r="E357" t="s">
        <v>818</v>
      </c>
      <c r="F357" t="s">
        <v>841</v>
      </c>
      <c r="G357" t="s">
        <v>280</v>
      </c>
      <c r="H357" t="s">
        <v>842</v>
      </c>
      <c r="I357" t="s">
        <v>35</v>
      </c>
      <c r="J357"/>
      <c r="K357">
        <v>1</v>
      </c>
      <c r="L357">
        <v>1</v>
      </c>
      <c r="M357" t="s">
        <v>33</v>
      </c>
      <c r="N357">
        <v>1</v>
      </c>
      <c r="O357">
        <v>0.5</v>
      </c>
      <c r="P357">
        <v>0.5</v>
      </c>
      <c r="Q357" t="s">
        <v>38</v>
      </c>
      <c r="R357">
        <v>1</v>
      </c>
      <c r="S357">
        <v>0</v>
      </c>
      <c r="T357"/>
      <c r="U357"/>
      <c r="V357"/>
      <c r="W357"/>
      <c r="X357">
        <v>0</v>
      </c>
      <c r="Y357"/>
      <c r="Z357">
        <v>0</v>
      </c>
      <c r="AA357"/>
      <c r="AB357"/>
      <c r="AC357"/>
      <c r="AD357"/>
      <c r="AE357">
        <v>0</v>
      </c>
      <c r="AF357"/>
      <c r="AG357"/>
      <c r="AH357"/>
    </row>
    <row r="358" spans="1:34" x14ac:dyDescent="0.25">
      <c r="A358" t="s">
        <v>3442</v>
      </c>
      <c r="B358" t="s">
        <v>3443</v>
      </c>
      <c r="C358"/>
      <c r="D358" t="s">
        <v>383</v>
      </c>
      <c r="E358" t="s">
        <v>818</v>
      </c>
      <c r="F358" t="s">
        <v>841</v>
      </c>
      <c r="G358" t="s">
        <v>280</v>
      </c>
      <c r="H358" t="s">
        <v>842</v>
      </c>
      <c r="I358" t="s">
        <v>35</v>
      </c>
      <c r="J358"/>
      <c r="K358">
        <v>1</v>
      </c>
      <c r="L358">
        <v>1</v>
      </c>
      <c r="M358" t="s">
        <v>33</v>
      </c>
      <c r="N358">
        <v>1</v>
      </c>
      <c r="O358">
        <v>0.5</v>
      </c>
      <c r="P358">
        <v>0.5</v>
      </c>
      <c r="Q358" t="s">
        <v>38</v>
      </c>
      <c r="R358">
        <v>1</v>
      </c>
      <c r="S358">
        <v>0</v>
      </c>
      <c r="T358"/>
      <c r="U358"/>
      <c r="V358"/>
      <c r="W358"/>
      <c r="X358">
        <v>0</v>
      </c>
      <c r="Y358"/>
      <c r="Z358">
        <v>0</v>
      </c>
      <c r="AA358"/>
      <c r="AB358"/>
      <c r="AC358"/>
      <c r="AD358"/>
      <c r="AE358">
        <v>0</v>
      </c>
      <c r="AF358"/>
      <c r="AG358"/>
      <c r="AH358"/>
    </row>
    <row r="359" spans="1:34" x14ac:dyDescent="0.25">
      <c r="A359" t="s">
        <v>3440</v>
      </c>
      <c r="B359" t="s">
        <v>3441</v>
      </c>
      <c r="C359"/>
      <c r="D359" t="s">
        <v>383</v>
      </c>
      <c r="E359" t="s">
        <v>818</v>
      </c>
      <c r="F359" t="s">
        <v>843</v>
      </c>
      <c r="G359" t="s">
        <v>280</v>
      </c>
      <c r="H359" t="s">
        <v>844</v>
      </c>
      <c r="I359" t="s">
        <v>35</v>
      </c>
      <c r="J359"/>
      <c r="K359">
        <v>1</v>
      </c>
      <c r="L359">
        <v>1</v>
      </c>
      <c r="M359" t="s">
        <v>33</v>
      </c>
      <c r="N359">
        <v>1</v>
      </c>
      <c r="O359">
        <v>0.5</v>
      </c>
      <c r="P359">
        <v>0.5</v>
      </c>
      <c r="Q359" t="s">
        <v>38</v>
      </c>
      <c r="R359">
        <v>1</v>
      </c>
      <c r="S359">
        <v>0</v>
      </c>
      <c r="T359"/>
      <c r="U359"/>
      <c r="V359"/>
      <c r="W359"/>
      <c r="X359">
        <v>0</v>
      </c>
      <c r="Y359"/>
      <c r="Z359">
        <v>0</v>
      </c>
      <c r="AA359"/>
      <c r="AB359"/>
      <c r="AC359"/>
      <c r="AD359"/>
      <c r="AE359">
        <v>0</v>
      </c>
      <c r="AF359"/>
      <c r="AG359"/>
      <c r="AH359"/>
    </row>
    <row r="360" spans="1:34" x14ac:dyDescent="0.25">
      <c r="A360" t="s">
        <v>3442</v>
      </c>
      <c r="B360" t="s">
        <v>3443</v>
      </c>
      <c r="C360"/>
      <c r="D360" t="s">
        <v>383</v>
      </c>
      <c r="E360" t="s">
        <v>818</v>
      </c>
      <c r="F360" t="s">
        <v>843</v>
      </c>
      <c r="G360" t="s">
        <v>280</v>
      </c>
      <c r="H360" t="s">
        <v>844</v>
      </c>
      <c r="I360" t="s">
        <v>35</v>
      </c>
      <c r="J360"/>
      <c r="K360">
        <v>1</v>
      </c>
      <c r="L360">
        <v>1</v>
      </c>
      <c r="M360" t="s">
        <v>33</v>
      </c>
      <c r="N360">
        <v>1</v>
      </c>
      <c r="O360">
        <v>0.5</v>
      </c>
      <c r="P360">
        <v>0.5</v>
      </c>
      <c r="Q360" t="s">
        <v>38</v>
      </c>
      <c r="R360">
        <v>1</v>
      </c>
      <c r="S360">
        <v>0</v>
      </c>
      <c r="T360"/>
      <c r="U360"/>
      <c r="V360"/>
      <c r="W360"/>
      <c r="X360">
        <v>0</v>
      </c>
      <c r="Y360"/>
      <c r="Z360">
        <v>0</v>
      </c>
      <c r="AA360"/>
      <c r="AB360"/>
      <c r="AC360"/>
      <c r="AD360"/>
      <c r="AE360">
        <v>0</v>
      </c>
      <c r="AF360"/>
      <c r="AG360"/>
      <c r="AH360"/>
    </row>
    <row r="361" spans="1:34" x14ac:dyDescent="0.25">
      <c r="A361" t="s">
        <v>3440</v>
      </c>
      <c r="B361" t="s">
        <v>3441</v>
      </c>
      <c r="C361"/>
      <c r="D361" t="s">
        <v>383</v>
      </c>
      <c r="E361" t="s">
        <v>818</v>
      </c>
      <c r="F361" t="s">
        <v>845</v>
      </c>
      <c r="G361" t="s">
        <v>280</v>
      </c>
      <c r="H361" t="s">
        <v>844</v>
      </c>
      <c r="I361" t="s">
        <v>35</v>
      </c>
      <c r="J361"/>
      <c r="K361">
        <v>1</v>
      </c>
      <c r="L361">
        <v>1</v>
      </c>
      <c r="M361" t="s">
        <v>33</v>
      </c>
      <c r="N361">
        <v>1</v>
      </c>
      <c r="O361">
        <v>0.5</v>
      </c>
      <c r="P361">
        <v>0.5</v>
      </c>
      <c r="Q361" t="s">
        <v>38</v>
      </c>
      <c r="R361">
        <v>1</v>
      </c>
      <c r="S361">
        <v>0</v>
      </c>
      <c r="T361"/>
      <c r="U361"/>
      <c r="V361"/>
      <c r="W361"/>
      <c r="X361">
        <v>0</v>
      </c>
      <c r="Y361"/>
      <c r="Z361">
        <v>0</v>
      </c>
      <c r="AA361"/>
      <c r="AB361"/>
      <c r="AC361"/>
      <c r="AD361"/>
      <c r="AE361">
        <v>0</v>
      </c>
      <c r="AF361"/>
      <c r="AG361"/>
      <c r="AH361"/>
    </row>
    <row r="362" spans="1:34" x14ac:dyDescent="0.25">
      <c r="A362" t="s">
        <v>3442</v>
      </c>
      <c r="B362" t="s">
        <v>3443</v>
      </c>
      <c r="C362"/>
      <c r="D362" t="s">
        <v>383</v>
      </c>
      <c r="E362" t="s">
        <v>818</v>
      </c>
      <c r="F362" t="s">
        <v>845</v>
      </c>
      <c r="G362" t="s">
        <v>280</v>
      </c>
      <c r="H362" t="s">
        <v>844</v>
      </c>
      <c r="I362" t="s">
        <v>35</v>
      </c>
      <c r="J362"/>
      <c r="K362">
        <v>1</v>
      </c>
      <c r="L362">
        <v>1</v>
      </c>
      <c r="M362" t="s">
        <v>33</v>
      </c>
      <c r="N362">
        <v>1</v>
      </c>
      <c r="O362">
        <v>0.5</v>
      </c>
      <c r="P362">
        <v>0.5</v>
      </c>
      <c r="Q362" t="s">
        <v>38</v>
      </c>
      <c r="R362">
        <v>1</v>
      </c>
      <c r="S362">
        <v>0</v>
      </c>
      <c r="T362"/>
      <c r="U362"/>
      <c r="V362"/>
      <c r="W362"/>
      <c r="X362">
        <v>0</v>
      </c>
      <c r="Y362"/>
      <c r="Z362">
        <v>0</v>
      </c>
      <c r="AA362"/>
      <c r="AB362"/>
      <c r="AC362"/>
      <c r="AD362"/>
      <c r="AE362">
        <v>0</v>
      </c>
      <c r="AF362"/>
      <c r="AG362"/>
      <c r="AH362"/>
    </row>
    <row r="363" spans="1:34" x14ac:dyDescent="0.25">
      <c r="A363" t="s">
        <v>3440</v>
      </c>
      <c r="B363" t="s">
        <v>3441</v>
      </c>
      <c r="C363"/>
      <c r="D363" t="s">
        <v>383</v>
      </c>
      <c r="E363" t="s">
        <v>818</v>
      </c>
      <c r="F363" t="s">
        <v>846</v>
      </c>
      <c r="G363" t="s">
        <v>280</v>
      </c>
      <c r="H363" t="s">
        <v>847</v>
      </c>
      <c r="I363" t="s">
        <v>35</v>
      </c>
      <c r="J363"/>
      <c r="K363">
        <v>1</v>
      </c>
      <c r="L363">
        <v>1</v>
      </c>
      <c r="M363" t="s">
        <v>33</v>
      </c>
      <c r="N363">
        <v>1</v>
      </c>
      <c r="O363">
        <v>0.5</v>
      </c>
      <c r="P363">
        <v>0.5</v>
      </c>
      <c r="Q363" t="s">
        <v>38</v>
      </c>
      <c r="R363">
        <v>1</v>
      </c>
      <c r="S363">
        <v>0</v>
      </c>
      <c r="T363"/>
      <c r="U363"/>
      <c r="V363"/>
      <c r="W363"/>
      <c r="X363">
        <v>0</v>
      </c>
      <c r="Y363"/>
      <c r="Z363">
        <v>0</v>
      </c>
      <c r="AA363"/>
      <c r="AB363"/>
      <c r="AC363"/>
      <c r="AD363"/>
      <c r="AE363">
        <v>0</v>
      </c>
      <c r="AF363"/>
      <c r="AG363"/>
      <c r="AH363"/>
    </row>
    <row r="364" spans="1:34" x14ac:dyDescent="0.25">
      <c r="A364" t="s">
        <v>3442</v>
      </c>
      <c r="B364" t="s">
        <v>3443</v>
      </c>
      <c r="C364"/>
      <c r="D364" t="s">
        <v>383</v>
      </c>
      <c r="E364" t="s">
        <v>818</v>
      </c>
      <c r="F364" t="s">
        <v>846</v>
      </c>
      <c r="G364" t="s">
        <v>280</v>
      </c>
      <c r="H364" t="s">
        <v>847</v>
      </c>
      <c r="I364" t="s">
        <v>35</v>
      </c>
      <c r="J364"/>
      <c r="K364">
        <v>1</v>
      </c>
      <c r="L364">
        <v>1</v>
      </c>
      <c r="M364" t="s">
        <v>33</v>
      </c>
      <c r="N364">
        <v>1</v>
      </c>
      <c r="O364">
        <v>0.5</v>
      </c>
      <c r="P364">
        <v>0.5</v>
      </c>
      <c r="Q364" t="s">
        <v>38</v>
      </c>
      <c r="R364">
        <v>1</v>
      </c>
      <c r="S364">
        <v>0</v>
      </c>
      <c r="T364"/>
      <c r="U364"/>
      <c r="V364"/>
      <c r="W364"/>
      <c r="X364">
        <v>0</v>
      </c>
      <c r="Y364"/>
      <c r="Z364">
        <v>0</v>
      </c>
      <c r="AA364"/>
      <c r="AB364"/>
      <c r="AC364"/>
      <c r="AD364"/>
      <c r="AE364">
        <v>0</v>
      </c>
      <c r="AF364"/>
      <c r="AG364"/>
      <c r="AH364"/>
    </row>
    <row r="365" spans="1:34" x14ac:dyDescent="0.25">
      <c r="A365" t="s">
        <v>3440</v>
      </c>
      <c r="B365" t="s">
        <v>3441</v>
      </c>
      <c r="C365"/>
      <c r="D365" t="s">
        <v>383</v>
      </c>
      <c r="E365" t="s">
        <v>818</v>
      </c>
      <c r="F365" t="s">
        <v>848</v>
      </c>
      <c r="G365" t="s">
        <v>280</v>
      </c>
      <c r="H365" t="s">
        <v>849</v>
      </c>
      <c r="I365" t="s">
        <v>35</v>
      </c>
      <c r="J365"/>
      <c r="K365">
        <v>1</v>
      </c>
      <c r="L365">
        <v>1</v>
      </c>
      <c r="M365" t="s">
        <v>33</v>
      </c>
      <c r="N365">
        <v>1</v>
      </c>
      <c r="O365">
        <v>0.5</v>
      </c>
      <c r="P365">
        <v>0.5</v>
      </c>
      <c r="Q365" t="s">
        <v>38</v>
      </c>
      <c r="R365">
        <v>1</v>
      </c>
      <c r="S365">
        <v>0</v>
      </c>
      <c r="T365"/>
      <c r="U365"/>
      <c r="V365"/>
      <c r="W365"/>
      <c r="X365">
        <v>0</v>
      </c>
      <c r="Y365"/>
      <c r="Z365">
        <v>0</v>
      </c>
      <c r="AA365"/>
      <c r="AB365"/>
      <c r="AC365"/>
      <c r="AD365"/>
      <c r="AE365">
        <v>0</v>
      </c>
      <c r="AF365"/>
      <c r="AG365"/>
      <c r="AH365"/>
    </row>
    <row r="366" spans="1:34" x14ac:dyDescent="0.25">
      <c r="A366" t="s">
        <v>3442</v>
      </c>
      <c r="B366" t="s">
        <v>3443</v>
      </c>
      <c r="C366"/>
      <c r="D366" t="s">
        <v>383</v>
      </c>
      <c r="E366" t="s">
        <v>818</v>
      </c>
      <c r="F366" t="s">
        <v>848</v>
      </c>
      <c r="G366" t="s">
        <v>280</v>
      </c>
      <c r="H366" t="s">
        <v>849</v>
      </c>
      <c r="I366" t="s">
        <v>35</v>
      </c>
      <c r="J366"/>
      <c r="K366">
        <v>1</v>
      </c>
      <c r="L366">
        <v>1</v>
      </c>
      <c r="M366" t="s">
        <v>33</v>
      </c>
      <c r="N366">
        <v>1</v>
      </c>
      <c r="O366">
        <v>0.5</v>
      </c>
      <c r="P366">
        <v>0.5</v>
      </c>
      <c r="Q366" t="s">
        <v>38</v>
      </c>
      <c r="R366">
        <v>1</v>
      </c>
      <c r="S366">
        <v>0</v>
      </c>
      <c r="T366"/>
      <c r="U366"/>
      <c r="V366"/>
      <c r="W366"/>
      <c r="X366">
        <v>0</v>
      </c>
      <c r="Y366"/>
      <c r="Z366">
        <v>0</v>
      </c>
      <c r="AA366"/>
      <c r="AB366"/>
      <c r="AC366"/>
      <c r="AD366"/>
      <c r="AE366">
        <v>0</v>
      </c>
      <c r="AF366"/>
      <c r="AG366"/>
      <c r="AH366"/>
    </row>
    <row r="367" spans="1:34" x14ac:dyDescent="0.25">
      <c r="A367" t="s">
        <v>3440</v>
      </c>
      <c r="B367" t="s">
        <v>3441</v>
      </c>
      <c r="C367"/>
      <c r="D367" t="s">
        <v>383</v>
      </c>
      <c r="E367" t="s">
        <v>818</v>
      </c>
      <c r="F367" t="s">
        <v>850</v>
      </c>
      <c r="G367" t="s">
        <v>280</v>
      </c>
      <c r="H367" t="s">
        <v>851</v>
      </c>
      <c r="I367" t="s">
        <v>35</v>
      </c>
      <c r="J367"/>
      <c r="K367">
        <v>1</v>
      </c>
      <c r="L367">
        <v>1</v>
      </c>
      <c r="M367" t="s">
        <v>33</v>
      </c>
      <c r="N367">
        <v>1</v>
      </c>
      <c r="O367">
        <v>0.5</v>
      </c>
      <c r="P367">
        <v>0.5</v>
      </c>
      <c r="Q367" t="s">
        <v>38</v>
      </c>
      <c r="R367">
        <v>1</v>
      </c>
      <c r="S367">
        <v>0</v>
      </c>
      <c r="T367"/>
      <c r="U367"/>
      <c r="V367"/>
      <c r="W367"/>
      <c r="X367">
        <v>0</v>
      </c>
      <c r="Y367"/>
      <c r="Z367">
        <v>0</v>
      </c>
      <c r="AA367"/>
      <c r="AB367"/>
      <c r="AC367"/>
      <c r="AD367"/>
      <c r="AE367">
        <v>0</v>
      </c>
      <c r="AF367"/>
      <c r="AG367"/>
      <c r="AH367"/>
    </row>
    <row r="368" spans="1:34" x14ac:dyDescent="0.25">
      <c r="A368" t="s">
        <v>3442</v>
      </c>
      <c r="B368" t="s">
        <v>3443</v>
      </c>
      <c r="C368"/>
      <c r="D368" t="s">
        <v>383</v>
      </c>
      <c r="E368" t="s">
        <v>818</v>
      </c>
      <c r="F368" t="s">
        <v>850</v>
      </c>
      <c r="G368" t="s">
        <v>280</v>
      </c>
      <c r="H368" t="s">
        <v>851</v>
      </c>
      <c r="I368" t="s">
        <v>35</v>
      </c>
      <c r="J368"/>
      <c r="K368">
        <v>1</v>
      </c>
      <c r="L368">
        <v>1</v>
      </c>
      <c r="M368" t="s">
        <v>33</v>
      </c>
      <c r="N368">
        <v>1</v>
      </c>
      <c r="O368">
        <v>0.5</v>
      </c>
      <c r="P368">
        <v>0.5</v>
      </c>
      <c r="Q368" t="s">
        <v>38</v>
      </c>
      <c r="R368">
        <v>1</v>
      </c>
      <c r="S368">
        <v>0</v>
      </c>
      <c r="T368"/>
      <c r="U368"/>
      <c r="V368"/>
      <c r="W368"/>
      <c r="X368">
        <v>0</v>
      </c>
      <c r="Y368"/>
      <c r="Z368">
        <v>0</v>
      </c>
      <c r="AA368"/>
      <c r="AB368"/>
      <c r="AC368"/>
      <c r="AD368"/>
      <c r="AE368">
        <v>0</v>
      </c>
      <c r="AF368"/>
      <c r="AG368"/>
      <c r="AH368"/>
    </row>
    <row r="369" spans="1:34" x14ac:dyDescent="0.25">
      <c r="A369" t="s">
        <v>3440</v>
      </c>
      <c r="B369" t="s">
        <v>3441</v>
      </c>
      <c r="C369"/>
      <c r="D369" t="s">
        <v>383</v>
      </c>
      <c r="E369" t="s">
        <v>818</v>
      </c>
      <c r="F369" t="s">
        <v>852</v>
      </c>
      <c r="G369" t="s">
        <v>280</v>
      </c>
      <c r="H369" t="s">
        <v>853</v>
      </c>
      <c r="I369" t="s">
        <v>35</v>
      </c>
      <c r="J369"/>
      <c r="K369">
        <v>1</v>
      </c>
      <c r="L369">
        <v>1</v>
      </c>
      <c r="M369" t="s">
        <v>33</v>
      </c>
      <c r="N369">
        <v>1</v>
      </c>
      <c r="O369">
        <v>0.5</v>
      </c>
      <c r="P369">
        <v>0.5</v>
      </c>
      <c r="Q369" t="s">
        <v>38</v>
      </c>
      <c r="R369">
        <v>1</v>
      </c>
      <c r="S369">
        <v>0</v>
      </c>
      <c r="T369"/>
      <c r="U369"/>
      <c r="V369"/>
      <c r="W369"/>
      <c r="X369">
        <v>0</v>
      </c>
      <c r="Y369"/>
      <c r="Z369">
        <v>0</v>
      </c>
      <c r="AA369"/>
      <c r="AB369"/>
      <c r="AC369"/>
      <c r="AD369"/>
      <c r="AE369">
        <v>0</v>
      </c>
      <c r="AF369"/>
      <c r="AG369"/>
      <c r="AH369"/>
    </row>
    <row r="370" spans="1:34" x14ac:dyDescent="0.25">
      <c r="A370" t="s">
        <v>3442</v>
      </c>
      <c r="B370" t="s">
        <v>3443</v>
      </c>
      <c r="C370"/>
      <c r="D370" t="s">
        <v>383</v>
      </c>
      <c r="E370" t="s">
        <v>818</v>
      </c>
      <c r="F370" t="s">
        <v>852</v>
      </c>
      <c r="G370" t="s">
        <v>280</v>
      </c>
      <c r="H370" t="s">
        <v>853</v>
      </c>
      <c r="I370" t="s">
        <v>35</v>
      </c>
      <c r="J370"/>
      <c r="K370">
        <v>1</v>
      </c>
      <c r="L370">
        <v>1</v>
      </c>
      <c r="M370" t="s">
        <v>33</v>
      </c>
      <c r="N370">
        <v>1</v>
      </c>
      <c r="O370">
        <v>0.5</v>
      </c>
      <c r="P370">
        <v>0.5</v>
      </c>
      <c r="Q370" t="s">
        <v>38</v>
      </c>
      <c r="R370">
        <v>1</v>
      </c>
      <c r="S370">
        <v>0</v>
      </c>
      <c r="T370"/>
      <c r="U370"/>
      <c r="V370"/>
      <c r="W370"/>
      <c r="X370">
        <v>0</v>
      </c>
      <c r="Y370"/>
      <c r="Z370">
        <v>0</v>
      </c>
      <c r="AA370"/>
      <c r="AB370"/>
      <c r="AC370"/>
      <c r="AD370"/>
      <c r="AE370">
        <v>0</v>
      </c>
      <c r="AF370"/>
      <c r="AG370"/>
      <c r="AH370"/>
    </row>
    <row r="371" spans="1:34" x14ac:dyDescent="0.25">
      <c r="A371" t="s">
        <v>3440</v>
      </c>
      <c r="B371" t="s">
        <v>3441</v>
      </c>
      <c r="C371"/>
      <c r="D371" t="s">
        <v>383</v>
      </c>
      <c r="E371" t="s">
        <v>818</v>
      </c>
      <c r="F371" t="s">
        <v>854</v>
      </c>
      <c r="G371" t="s">
        <v>280</v>
      </c>
      <c r="H371" t="s">
        <v>853</v>
      </c>
      <c r="I371" t="s">
        <v>35</v>
      </c>
      <c r="J371"/>
      <c r="K371">
        <v>1</v>
      </c>
      <c r="L371">
        <v>1</v>
      </c>
      <c r="M371" t="s">
        <v>33</v>
      </c>
      <c r="N371">
        <v>1</v>
      </c>
      <c r="O371">
        <v>0.5</v>
      </c>
      <c r="P371">
        <v>0.5</v>
      </c>
      <c r="Q371" t="s">
        <v>38</v>
      </c>
      <c r="R371">
        <v>1</v>
      </c>
      <c r="S371">
        <v>0</v>
      </c>
      <c r="T371"/>
      <c r="U371"/>
      <c r="V371"/>
      <c r="W371"/>
      <c r="X371">
        <v>0</v>
      </c>
      <c r="Y371"/>
      <c r="Z371">
        <v>0</v>
      </c>
      <c r="AA371"/>
      <c r="AB371"/>
      <c r="AC371"/>
      <c r="AD371"/>
      <c r="AE371">
        <v>0</v>
      </c>
      <c r="AF371"/>
      <c r="AG371"/>
      <c r="AH371"/>
    </row>
    <row r="372" spans="1:34" x14ac:dyDescent="0.25">
      <c r="A372" t="s">
        <v>3442</v>
      </c>
      <c r="B372" t="s">
        <v>3443</v>
      </c>
      <c r="C372"/>
      <c r="D372" t="s">
        <v>383</v>
      </c>
      <c r="E372" t="s">
        <v>818</v>
      </c>
      <c r="F372" t="s">
        <v>854</v>
      </c>
      <c r="G372" t="s">
        <v>280</v>
      </c>
      <c r="H372" t="s">
        <v>853</v>
      </c>
      <c r="I372" t="s">
        <v>35</v>
      </c>
      <c r="J372"/>
      <c r="K372">
        <v>1</v>
      </c>
      <c r="L372">
        <v>1</v>
      </c>
      <c r="M372" t="s">
        <v>33</v>
      </c>
      <c r="N372">
        <v>1</v>
      </c>
      <c r="O372">
        <v>0.5</v>
      </c>
      <c r="P372">
        <v>0.5</v>
      </c>
      <c r="Q372" t="s">
        <v>38</v>
      </c>
      <c r="R372">
        <v>1</v>
      </c>
      <c r="S372">
        <v>0</v>
      </c>
      <c r="T372"/>
      <c r="U372"/>
      <c r="V372"/>
      <c r="W372"/>
      <c r="X372">
        <v>0</v>
      </c>
      <c r="Y372"/>
      <c r="Z372">
        <v>0</v>
      </c>
      <c r="AA372"/>
      <c r="AB372"/>
      <c r="AC372"/>
      <c r="AD372"/>
      <c r="AE372">
        <v>0</v>
      </c>
      <c r="AF372"/>
      <c r="AG372"/>
      <c r="AH372"/>
    </row>
    <row r="373" spans="1:34" x14ac:dyDescent="0.25">
      <c r="A373" t="s">
        <v>3440</v>
      </c>
      <c r="B373" t="s">
        <v>3441</v>
      </c>
      <c r="C373"/>
      <c r="D373" t="s">
        <v>383</v>
      </c>
      <c r="E373" t="s">
        <v>818</v>
      </c>
      <c r="F373" t="s">
        <v>855</v>
      </c>
      <c r="G373" t="s">
        <v>280</v>
      </c>
      <c r="H373" t="s">
        <v>856</v>
      </c>
      <c r="I373" t="s">
        <v>35</v>
      </c>
      <c r="J373"/>
      <c r="K373">
        <v>1</v>
      </c>
      <c r="L373">
        <v>1</v>
      </c>
      <c r="M373" t="s">
        <v>33</v>
      </c>
      <c r="N373">
        <v>1</v>
      </c>
      <c r="O373">
        <v>0.5</v>
      </c>
      <c r="P373">
        <v>0.5</v>
      </c>
      <c r="Q373" t="s">
        <v>38</v>
      </c>
      <c r="R373">
        <v>1</v>
      </c>
      <c r="S373">
        <v>0</v>
      </c>
      <c r="T373"/>
      <c r="U373"/>
      <c r="V373"/>
      <c r="W373"/>
      <c r="X373">
        <v>0</v>
      </c>
      <c r="Y373"/>
      <c r="Z373">
        <v>0</v>
      </c>
      <c r="AA373"/>
      <c r="AB373"/>
      <c r="AC373"/>
      <c r="AD373"/>
      <c r="AE373">
        <v>0</v>
      </c>
      <c r="AF373"/>
      <c r="AG373"/>
      <c r="AH373"/>
    </row>
    <row r="374" spans="1:34" x14ac:dyDescent="0.25">
      <c r="A374" t="s">
        <v>3442</v>
      </c>
      <c r="B374" t="s">
        <v>3443</v>
      </c>
      <c r="C374"/>
      <c r="D374" t="s">
        <v>383</v>
      </c>
      <c r="E374" t="s">
        <v>818</v>
      </c>
      <c r="F374" t="s">
        <v>855</v>
      </c>
      <c r="G374" t="s">
        <v>280</v>
      </c>
      <c r="H374" t="s">
        <v>856</v>
      </c>
      <c r="I374" t="s">
        <v>35</v>
      </c>
      <c r="J374"/>
      <c r="K374">
        <v>1</v>
      </c>
      <c r="L374">
        <v>1</v>
      </c>
      <c r="M374" t="s">
        <v>33</v>
      </c>
      <c r="N374">
        <v>1</v>
      </c>
      <c r="O374">
        <v>0.5</v>
      </c>
      <c r="P374">
        <v>0.5</v>
      </c>
      <c r="Q374" t="s">
        <v>38</v>
      </c>
      <c r="R374">
        <v>1</v>
      </c>
      <c r="S374">
        <v>0</v>
      </c>
      <c r="T374"/>
      <c r="U374"/>
      <c r="V374"/>
      <c r="W374"/>
      <c r="X374">
        <v>0</v>
      </c>
      <c r="Y374"/>
      <c r="Z374">
        <v>0</v>
      </c>
      <c r="AA374"/>
      <c r="AB374"/>
      <c r="AC374"/>
      <c r="AD374"/>
      <c r="AE374">
        <v>0</v>
      </c>
      <c r="AF374"/>
      <c r="AG374"/>
      <c r="AH374"/>
    </row>
    <row r="375" spans="1:34" x14ac:dyDescent="0.25">
      <c r="A375" t="s">
        <v>3440</v>
      </c>
      <c r="B375" t="s">
        <v>3441</v>
      </c>
      <c r="C375"/>
      <c r="D375" t="s">
        <v>383</v>
      </c>
      <c r="E375" t="s">
        <v>818</v>
      </c>
      <c r="F375" t="s">
        <v>857</v>
      </c>
      <c r="G375" t="s">
        <v>280</v>
      </c>
      <c r="H375" t="s">
        <v>858</v>
      </c>
      <c r="I375" t="s">
        <v>35</v>
      </c>
      <c r="J375"/>
      <c r="K375">
        <v>1</v>
      </c>
      <c r="L375">
        <v>1</v>
      </c>
      <c r="M375" t="s">
        <v>33</v>
      </c>
      <c r="N375">
        <v>1</v>
      </c>
      <c r="O375">
        <v>0.5</v>
      </c>
      <c r="P375">
        <v>0.5</v>
      </c>
      <c r="Q375" t="s">
        <v>38</v>
      </c>
      <c r="R375">
        <v>1</v>
      </c>
      <c r="S375">
        <v>0</v>
      </c>
      <c r="T375"/>
      <c r="U375"/>
      <c r="V375"/>
      <c r="W375"/>
      <c r="X375">
        <v>0</v>
      </c>
      <c r="Y375"/>
      <c r="Z375">
        <v>0</v>
      </c>
      <c r="AA375"/>
      <c r="AB375"/>
      <c r="AC375"/>
      <c r="AD375"/>
      <c r="AE375">
        <v>0</v>
      </c>
      <c r="AF375"/>
      <c r="AG375"/>
      <c r="AH375"/>
    </row>
    <row r="376" spans="1:34" x14ac:dyDescent="0.25">
      <c r="A376" t="s">
        <v>3442</v>
      </c>
      <c r="B376" t="s">
        <v>3443</v>
      </c>
      <c r="C376"/>
      <c r="D376" t="s">
        <v>383</v>
      </c>
      <c r="E376" t="s">
        <v>818</v>
      </c>
      <c r="F376" t="s">
        <v>857</v>
      </c>
      <c r="G376" t="s">
        <v>280</v>
      </c>
      <c r="H376" t="s">
        <v>858</v>
      </c>
      <c r="I376" t="s">
        <v>35</v>
      </c>
      <c r="J376"/>
      <c r="K376">
        <v>1</v>
      </c>
      <c r="L376">
        <v>1</v>
      </c>
      <c r="M376" t="s">
        <v>33</v>
      </c>
      <c r="N376">
        <v>1</v>
      </c>
      <c r="O376">
        <v>0.5</v>
      </c>
      <c r="P376">
        <v>0.5</v>
      </c>
      <c r="Q376" t="s">
        <v>38</v>
      </c>
      <c r="R376">
        <v>1</v>
      </c>
      <c r="S376">
        <v>0</v>
      </c>
      <c r="T376"/>
      <c r="U376"/>
      <c r="V376"/>
      <c r="W376"/>
      <c r="X376">
        <v>0</v>
      </c>
      <c r="Y376"/>
      <c r="Z376">
        <v>0</v>
      </c>
      <c r="AA376"/>
      <c r="AB376"/>
      <c r="AC376"/>
      <c r="AD376"/>
      <c r="AE376">
        <v>0</v>
      </c>
      <c r="AF376"/>
      <c r="AG376"/>
      <c r="AH376"/>
    </row>
    <row r="377" spans="1:34" x14ac:dyDescent="0.25">
      <c r="A377" t="s">
        <v>3440</v>
      </c>
      <c r="B377" t="s">
        <v>3441</v>
      </c>
      <c r="C377"/>
      <c r="D377" t="s">
        <v>383</v>
      </c>
      <c r="E377" t="s">
        <v>818</v>
      </c>
      <c r="F377" t="s">
        <v>859</v>
      </c>
      <c r="G377" t="s">
        <v>280</v>
      </c>
      <c r="H377" t="s">
        <v>860</v>
      </c>
      <c r="I377" t="s">
        <v>35</v>
      </c>
      <c r="J377"/>
      <c r="K377">
        <v>1</v>
      </c>
      <c r="L377">
        <v>1</v>
      </c>
      <c r="M377" t="s">
        <v>33</v>
      </c>
      <c r="N377">
        <v>1</v>
      </c>
      <c r="O377">
        <v>0.5</v>
      </c>
      <c r="P377">
        <v>0.5</v>
      </c>
      <c r="Q377" t="s">
        <v>38</v>
      </c>
      <c r="R377">
        <v>1</v>
      </c>
      <c r="S377">
        <v>0</v>
      </c>
      <c r="T377"/>
      <c r="U377"/>
      <c r="V377"/>
      <c r="W377"/>
      <c r="X377">
        <v>0</v>
      </c>
      <c r="Y377"/>
      <c r="Z377">
        <v>0</v>
      </c>
      <c r="AA377"/>
      <c r="AB377"/>
      <c r="AC377"/>
      <c r="AD377"/>
      <c r="AE377">
        <v>0</v>
      </c>
      <c r="AF377"/>
      <c r="AG377"/>
      <c r="AH377"/>
    </row>
    <row r="378" spans="1:34" x14ac:dyDescent="0.25">
      <c r="A378" t="s">
        <v>3442</v>
      </c>
      <c r="B378" t="s">
        <v>3443</v>
      </c>
      <c r="C378"/>
      <c r="D378" t="s">
        <v>383</v>
      </c>
      <c r="E378" t="s">
        <v>818</v>
      </c>
      <c r="F378" t="s">
        <v>859</v>
      </c>
      <c r="G378" t="s">
        <v>280</v>
      </c>
      <c r="H378" t="s">
        <v>860</v>
      </c>
      <c r="I378" t="s">
        <v>35</v>
      </c>
      <c r="J378"/>
      <c r="K378">
        <v>1</v>
      </c>
      <c r="L378">
        <v>1</v>
      </c>
      <c r="M378" t="s">
        <v>33</v>
      </c>
      <c r="N378">
        <v>1</v>
      </c>
      <c r="O378">
        <v>0.5</v>
      </c>
      <c r="P378">
        <v>0.5</v>
      </c>
      <c r="Q378" t="s">
        <v>38</v>
      </c>
      <c r="R378">
        <v>1</v>
      </c>
      <c r="S378">
        <v>0</v>
      </c>
      <c r="T378"/>
      <c r="U378"/>
      <c r="V378"/>
      <c r="W378"/>
      <c r="X378">
        <v>0</v>
      </c>
      <c r="Y378"/>
      <c r="Z378">
        <v>0</v>
      </c>
      <c r="AA378"/>
      <c r="AB378"/>
      <c r="AC378"/>
      <c r="AD378"/>
      <c r="AE378">
        <v>0</v>
      </c>
      <c r="AF378"/>
      <c r="AG378"/>
      <c r="AH378"/>
    </row>
    <row r="379" spans="1:34" x14ac:dyDescent="0.25">
      <c r="A379" t="s">
        <v>3440</v>
      </c>
      <c r="B379" t="s">
        <v>3441</v>
      </c>
      <c r="C379"/>
      <c r="D379" t="s">
        <v>383</v>
      </c>
      <c r="E379" t="s">
        <v>818</v>
      </c>
      <c r="F379" t="s">
        <v>861</v>
      </c>
      <c r="G379" t="s">
        <v>280</v>
      </c>
      <c r="H379" t="s">
        <v>862</v>
      </c>
      <c r="I379" t="s">
        <v>35</v>
      </c>
      <c r="J379"/>
      <c r="K379">
        <v>1</v>
      </c>
      <c r="L379">
        <v>1</v>
      </c>
      <c r="M379" t="s">
        <v>33</v>
      </c>
      <c r="N379">
        <v>1</v>
      </c>
      <c r="O379">
        <v>0.5</v>
      </c>
      <c r="P379">
        <v>0.5</v>
      </c>
      <c r="Q379" t="s">
        <v>38</v>
      </c>
      <c r="R379">
        <v>1</v>
      </c>
      <c r="S379">
        <v>0</v>
      </c>
      <c r="T379"/>
      <c r="U379"/>
      <c r="V379"/>
      <c r="W379"/>
      <c r="X379">
        <v>0</v>
      </c>
      <c r="Y379"/>
      <c r="Z379">
        <v>0</v>
      </c>
      <c r="AA379"/>
      <c r="AB379"/>
      <c r="AC379"/>
      <c r="AD379"/>
      <c r="AE379">
        <v>0</v>
      </c>
      <c r="AF379"/>
      <c r="AG379"/>
      <c r="AH379"/>
    </row>
    <row r="380" spans="1:34" x14ac:dyDescent="0.25">
      <c r="A380" t="s">
        <v>3442</v>
      </c>
      <c r="B380" t="s">
        <v>3443</v>
      </c>
      <c r="C380"/>
      <c r="D380" t="s">
        <v>383</v>
      </c>
      <c r="E380" t="s">
        <v>818</v>
      </c>
      <c r="F380" t="s">
        <v>861</v>
      </c>
      <c r="G380" t="s">
        <v>280</v>
      </c>
      <c r="H380" t="s">
        <v>862</v>
      </c>
      <c r="I380" t="s">
        <v>35</v>
      </c>
      <c r="J380"/>
      <c r="K380">
        <v>1</v>
      </c>
      <c r="L380">
        <v>1</v>
      </c>
      <c r="M380" t="s">
        <v>33</v>
      </c>
      <c r="N380">
        <v>1</v>
      </c>
      <c r="O380">
        <v>0.5</v>
      </c>
      <c r="P380">
        <v>0.5</v>
      </c>
      <c r="Q380" t="s">
        <v>38</v>
      </c>
      <c r="R380">
        <v>1</v>
      </c>
      <c r="S380">
        <v>0</v>
      </c>
      <c r="T380"/>
      <c r="U380"/>
      <c r="V380"/>
      <c r="W380"/>
      <c r="X380">
        <v>0</v>
      </c>
      <c r="Y380"/>
      <c r="Z380">
        <v>0</v>
      </c>
      <c r="AA380"/>
      <c r="AB380"/>
      <c r="AC380"/>
      <c r="AD380"/>
      <c r="AE380">
        <v>0</v>
      </c>
      <c r="AF380"/>
      <c r="AG380"/>
      <c r="AH380"/>
    </row>
    <row r="381" spans="1:34" x14ac:dyDescent="0.25">
      <c r="A381" t="s">
        <v>3440</v>
      </c>
      <c r="B381" t="s">
        <v>3441</v>
      </c>
      <c r="C381"/>
      <c r="D381" t="s">
        <v>383</v>
      </c>
      <c r="E381" t="s">
        <v>818</v>
      </c>
      <c r="F381" t="s">
        <v>863</v>
      </c>
      <c r="G381" t="s">
        <v>280</v>
      </c>
      <c r="H381" t="s">
        <v>862</v>
      </c>
      <c r="I381" t="s">
        <v>35</v>
      </c>
      <c r="J381"/>
      <c r="K381">
        <v>1</v>
      </c>
      <c r="L381">
        <v>1</v>
      </c>
      <c r="M381" t="s">
        <v>33</v>
      </c>
      <c r="N381">
        <v>1</v>
      </c>
      <c r="O381">
        <v>0.5</v>
      </c>
      <c r="P381">
        <v>0.5</v>
      </c>
      <c r="Q381" t="s">
        <v>38</v>
      </c>
      <c r="R381">
        <v>1</v>
      </c>
      <c r="S381">
        <v>0</v>
      </c>
      <c r="T381"/>
      <c r="U381"/>
      <c r="V381"/>
      <c r="W381"/>
      <c r="X381">
        <v>0</v>
      </c>
      <c r="Y381"/>
      <c r="Z381">
        <v>0</v>
      </c>
      <c r="AA381"/>
      <c r="AB381"/>
      <c r="AC381"/>
      <c r="AD381"/>
      <c r="AE381">
        <v>0</v>
      </c>
      <c r="AF381"/>
      <c r="AG381"/>
      <c r="AH381"/>
    </row>
    <row r="382" spans="1:34" x14ac:dyDescent="0.25">
      <c r="A382" t="s">
        <v>3442</v>
      </c>
      <c r="B382" t="s">
        <v>3443</v>
      </c>
      <c r="C382"/>
      <c r="D382" t="s">
        <v>383</v>
      </c>
      <c r="E382" t="s">
        <v>818</v>
      </c>
      <c r="F382" t="s">
        <v>863</v>
      </c>
      <c r="G382" t="s">
        <v>280</v>
      </c>
      <c r="H382" t="s">
        <v>862</v>
      </c>
      <c r="I382" t="s">
        <v>35</v>
      </c>
      <c r="J382"/>
      <c r="K382">
        <v>1</v>
      </c>
      <c r="L382">
        <v>1</v>
      </c>
      <c r="M382" t="s">
        <v>33</v>
      </c>
      <c r="N382">
        <v>1</v>
      </c>
      <c r="O382">
        <v>0.5</v>
      </c>
      <c r="P382">
        <v>0.5</v>
      </c>
      <c r="Q382" t="s">
        <v>38</v>
      </c>
      <c r="R382">
        <v>1</v>
      </c>
      <c r="S382">
        <v>0</v>
      </c>
      <c r="T382"/>
      <c r="U382"/>
      <c r="V382"/>
      <c r="W382"/>
      <c r="X382">
        <v>0</v>
      </c>
      <c r="Y382"/>
      <c r="Z382">
        <v>0</v>
      </c>
      <c r="AA382"/>
      <c r="AB382"/>
      <c r="AC382"/>
      <c r="AD382"/>
      <c r="AE382">
        <v>0</v>
      </c>
      <c r="AF382"/>
      <c r="AG382"/>
      <c r="AH382"/>
    </row>
    <row r="383" spans="1:34" x14ac:dyDescent="0.25">
      <c r="A383" t="s">
        <v>3440</v>
      </c>
      <c r="B383" t="s">
        <v>3441</v>
      </c>
      <c r="C383"/>
      <c r="D383" t="s">
        <v>383</v>
      </c>
      <c r="E383" t="s">
        <v>818</v>
      </c>
      <c r="F383" t="s">
        <v>864</v>
      </c>
      <c r="G383" t="s">
        <v>280</v>
      </c>
      <c r="H383" t="s">
        <v>865</v>
      </c>
      <c r="I383" t="s">
        <v>35</v>
      </c>
      <c r="J383"/>
      <c r="K383">
        <v>1</v>
      </c>
      <c r="L383">
        <v>1</v>
      </c>
      <c r="M383" t="s">
        <v>33</v>
      </c>
      <c r="N383">
        <v>1</v>
      </c>
      <c r="O383">
        <v>0.5</v>
      </c>
      <c r="P383">
        <v>0.5</v>
      </c>
      <c r="Q383" t="s">
        <v>38</v>
      </c>
      <c r="R383">
        <v>1</v>
      </c>
      <c r="S383">
        <v>0</v>
      </c>
      <c r="T383"/>
      <c r="U383"/>
      <c r="V383"/>
      <c r="W383"/>
      <c r="X383">
        <v>0</v>
      </c>
      <c r="Y383"/>
      <c r="Z383">
        <v>0</v>
      </c>
      <c r="AA383"/>
      <c r="AB383"/>
      <c r="AC383"/>
      <c r="AD383"/>
      <c r="AE383">
        <v>0</v>
      </c>
      <c r="AF383"/>
      <c r="AG383"/>
      <c r="AH383"/>
    </row>
    <row r="384" spans="1:34" x14ac:dyDescent="0.25">
      <c r="A384" t="s">
        <v>3442</v>
      </c>
      <c r="B384" t="s">
        <v>3443</v>
      </c>
      <c r="C384"/>
      <c r="D384" t="s">
        <v>383</v>
      </c>
      <c r="E384" t="s">
        <v>818</v>
      </c>
      <c r="F384" t="s">
        <v>864</v>
      </c>
      <c r="G384" t="s">
        <v>280</v>
      </c>
      <c r="H384" t="s">
        <v>865</v>
      </c>
      <c r="I384" t="s">
        <v>35</v>
      </c>
      <c r="J384"/>
      <c r="K384">
        <v>1</v>
      </c>
      <c r="L384">
        <v>1</v>
      </c>
      <c r="M384" t="s">
        <v>33</v>
      </c>
      <c r="N384">
        <v>1</v>
      </c>
      <c r="O384">
        <v>0.5</v>
      </c>
      <c r="P384">
        <v>0.5</v>
      </c>
      <c r="Q384" t="s">
        <v>38</v>
      </c>
      <c r="R384">
        <v>1</v>
      </c>
      <c r="S384">
        <v>0</v>
      </c>
      <c r="T384"/>
      <c r="U384"/>
      <c r="V384"/>
      <c r="W384"/>
      <c r="X384">
        <v>0</v>
      </c>
      <c r="Y384"/>
      <c r="Z384">
        <v>0</v>
      </c>
      <c r="AA384"/>
      <c r="AB384"/>
      <c r="AC384"/>
      <c r="AD384"/>
      <c r="AE384">
        <v>0</v>
      </c>
      <c r="AF384"/>
      <c r="AG384"/>
      <c r="AH384"/>
    </row>
    <row r="385" spans="1:34" x14ac:dyDescent="0.25">
      <c r="A385" t="s">
        <v>3440</v>
      </c>
      <c r="B385" t="s">
        <v>3441</v>
      </c>
      <c r="C385"/>
      <c r="D385" t="s">
        <v>383</v>
      </c>
      <c r="E385" t="s">
        <v>818</v>
      </c>
      <c r="F385" t="s">
        <v>866</v>
      </c>
      <c r="G385" t="s">
        <v>280</v>
      </c>
      <c r="H385" t="s">
        <v>867</v>
      </c>
      <c r="I385" t="s">
        <v>35</v>
      </c>
      <c r="J385"/>
      <c r="K385">
        <v>1</v>
      </c>
      <c r="L385">
        <v>1</v>
      </c>
      <c r="M385" t="s">
        <v>33</v>
      </c>
      <c r="N385">
        <v>1</v>
      </c>
      <c r="O385">
        <v>0.5</v>
      </c>
      <c r="P385">
        <v>0.5</v>
      </c>
      <c r="Q385" t="s">
        <v>38</v>
      </c>
      <c r="R385">
        <v>1</v>
      </c>
      <c r="S385">
        <v>0</v>
      </c>
      <c r="T385"/>
      <c r="U385"/>
      <c r="V385"/>
      <c r="W385"/>
      <c r="X385">
        <v>0</v>
      </c>
      <c r="Y385"/>
      <c r="Z385">
        <v>0</v>
      </c>
      <c r="AA385"/>
      <c r="AB385"/>
      <c r="AC385"/>
      <c r="AD385"/>
      <c r="AE385">
        <v>0</v>
      </c>
      <c r="AF385"/>
      <c r="AG385"/>
      <c r="AH385"/>
    </row>
    <row r="386" spans="1:34" x14ac:dyDescent="0.25">
      <c r="A386" t="s">
        <v>3442</v>
      </c>
      <c r="B386" t="s">
        <v>3443</v>
      </c>
      <c r="C386"/>
      <c r="D386" t="s">
        <v>383</v>
      </c>
      <c r="E386" t="s">
        <v>818</v>
      </c>
      <c r="F386" t="s">
        <v>866</v>
      </c>
      <c r="G386" t="s">
        <v>280</v>
      </c>
      <c r="H386" t="s">
        <v>867</v>
      </c>
      <c r="I386" t="s">
        <v>35</v>
      </c>
      <c r="J386"/>
      <c r="K386">
        <v>1</v>
      </c>
      <c r="L386">
        <v>1</v>
      </c>
      <c r="M386" t="s">
        <v>33</v>
      </c>
      <c r="N386">
        <v>1</v>
      </c>
      <c r="O386">
        <v>0.5</v>
      </c>
      <c r="P386">
        <v>0.5</v>
      </c>
      <c r="Q386" t="s">
        <v>38</v>
      </c>
      <c r="R386">
        <v>1</v>
      </c>
      <c r="S386">
        <v>0</v>
      </c>
      <c r="T386"/>
      <c r="U386"/>
      <c r="V386"/>
      <c r="W386"/>
      <c r="X386">
        <v>0</v>
      </c>
      <c r="Y386"/>
      <c r="Z386">
        <v>0</v>
      </c>
      <c r="AA386"/>
      <c r="AB386"/>
      <c r="AC386"/>
      <c r="AD386"/>
      <c r="AE386">
        <v>0</v>
      </c>
      <c r="AF386"/>
      <c r="AG386"/>
      <c r="AH386"/>
    </row>
    <row r="387" spans="1:34" x14ac:dyDescent="0.25">
      <c r="A387" t="s">
        <v>3440</v>
      </c>
      <c r="B387" t="s">
        <v>3441</v>
      </c>
      <c r="C387"/>
      <c r="D387" t="s">
        <v>383</v>
      </c>
      <c r="E387" t="s">
        <v>818</v>
      </c>
      <c r="F387" t="s">
        <v>868</v>
      </c>
      <c r="G387" t="s">
        <v>280</v>
      </c>
      <c r="H387" t="s">
        <v>869</v>
      </c>
      <c r="I387" t="s">
        <v>35</v>
      </c>
      <c r="J387"/>
      <c r="K387">
        <v>1</v>
      </c>
      <c r="L387">
        <v>1</v>
      </c>
      <c r="M387" t="s">
        <v>33</v>
      </c>
      <c r="N387">
        <v>1</v>
      </c>
      <c r="O387">
        <v>0.5</v>
      </c>
      <c r="P387">
        <v>0.5</v>
      </c>
      <c r="Q387" t="s">
        <v>38</v>
      </c>
      <c r="R387">
        <v>1</v>
      </c>
      <c r="S387">
        <v>0</v>
      </c>
      <c r="T387"/>
      <c r="U387"/>
      <c r="V387"/>
      <c r="W387"/>
      <c r="X387">
        <v>0</v>
      </c>
      <c r="Y387"/>
      <c r="Z387">
        <v>0</v>
      </c>
      <c r="AA387"/>
      <c r="AB387"/>
      <c r="AC387"/>
      <c r="AD387"/>
      <c r="AE387">
        <v>0</v>
      </c>
      <c r="AF387"/>
      <c r="AG387"/>
      <c r="AH387"/>
    </row>
    <row r="388" spans="1:34" x14ac:dyDescent="0.25">
      <c r="A388" t="s">
        <v>3442</v>
      </c>
      <c r="B388" t="s">
        <v>3443</v>
      </c>
      <c r="C388"/>
      <c r="D388" t="s">
        <v>383</v>
      </c>
      <c r="E388" t="s">
        <v>818</v>
      </c>
      <c r="F388" t="s">
        <v>868</v>
      </c>
      <c r="G388" t="s">
        <v>280</v>
      </c>
      <c r="H388" t="s">
        <v>869</v>
      </c>
      <c r="I388" t="s">
        <v>35</v>
      </c>
      <c r="J388"/>
      <c r="K388">
        <v>1</v>
      </c>
      <c r="L388">
        <v>1</v>
      </c>
      <c r="M388" t="s">
        <v>33</v>
      </c>
      <c r="N388">
        <v>1</v>
      </c>
      <c r="O388">
        <v>0.5</v>
      </c>
      <c r="P388">
        <v>0.5</v>
      </c>
      <c r="Q388" t="s">
        <v>38</v>
      </c>
      <c r="R388">
        <v>1</v>
      </c>
      <c r="S388">
        <v>0</v>
      </c>
      <c r="T388"/>
      <c r="U388"/>
      <c r="V388"/>
      <c r="W388"/>
      <c r="X388">
        <v>0</v>
      </c>
      <c r="Y388"/>
      <c r="Z388">
        <v>0</v>
      </c>
      <c r="AA388"/>
      <c r="AB388"/>
      <c r="AC388"/>
      <c r="AD388"/>
      <c r="AE388">
        <v>0</v>
      </c>
      <c r="AF388"/>
      <c r="AG388"/>
      <c r="AH388"/>
    </row>
    <row r="389" spans="1:34" x14ac:dyDescent="0.25">
      <c r="A389" t="s">
        <v>3440</v>
      </c>
      <c r="B389" t="s">
        <v>3441</v>
      </c>
      <c r="C389"/>
      <c r="D389" t="s">
        <v>383</v>
      </c>
      <c r="E389" t="s">
        <v>818</v>
      </c>
      <c r="F389" t="s">
        <v>870</v>
      </c>
      <c r="G389" t="s">
        <v>280</v>
      </c>
      <c r="H389" t="s">
        <v>871</v>
      </c>
      <c r="I389" t="s">
        <v>35</v>
      </c>
      <c r="J389"/>
      <c r="K389">
        <v>1</v>
      </c>
      <c r="L389">
        <v>1</v>
      </c>
      <c r="M389" t="s">
        <v>33</v>
      </c>
      <c r="N389">
        <v>1</v>
      </c>
      <c r="O389">
        <v>0.5</v>
      </c>
      <c r="P389">
        <v>0.5</v>
      </c>
      <c r="Q389" t="s">
        <v>38</v>
      </c>
      <c r="R389">
        <v>1</v>
      </c>
      <c r="S389">
        <v>0</v>
      </c>
      <c r="T389"/>
      <c r="U389"/>
      <c r="V389"/>
      <c r="W389"/>
      <c r="X389">
        <v>0</v>
      </c>
      <c r="Y389"/>
      <c r="Z389">
        <v>0</v>
      </c>
      <c r="AA389"/>
      <c r="AB389"/>
      <c r="AC389"/>
      <c r="AD389"/>
      <c r="AE389">
        <v>0</v>
      </c>
      <c r="AF389"/>
      <c r="AG389"/>
      <c r="AH389"/>
    </row>
    <row r="390" spans="1:34" x14ac:dyDescent="0.25">
      <c r="A390" t="s">
        <v>3442</v>
      </c>
      <c r="B390" t="s">
        <v>3443</v>
      </c>
      <c r="C390"/>
      <c r="D390" t="s">
        <v>383</v>
      </c>
      <c r="E390" t="s">
        <v>818</v>
      </c>
      <c r="F390" t="s">
        <v>870</v>
      </c>
      <c r="G390" t="s">
        <v>280</v>
      </c>
      <c r="H390" t="s">
        <v>871</v>
      </c>
      <c r="I390" t="s">
        <v>35</v>
      </c>
      <c r="J390"/>
      <c r="K390">
        <v>1</v>
      </c>
      <c r="L390">
        <v>1</v>
      </c>
      <c r="M390" t="s">
        <v>33</v>
      </c>
      <c r="N390">
        <v>1</v>
      </c>
      <c r="O390">
        <v>0.5</v>
      </c>
      <c r="P390">
        <v>0.5</v>
      </c>
      <c r="Q390" t="s">
        <v>38</v>
      </c>
      <c r="R390">
        <v>1</v>
      </c>
      <c r="S390">
        <v>0</v>
      </c>
      <c r="T390"/>
      <c r="U390"/>
      <c r="V390"/>
      <c r="W390"/>
      <c r="X390">
        <v>0</v>
      </c>
      <c r="Y390"/>
      <c r="Z390">
        <v>0</v>
      </c>
      <c r="AA390"/>
      <c r="AB390"/>
      <c r="AC390"/>
      <c r="AD390"/>
      <c r="AE390">
        <v>0</v>
      </c>
      <c r="AF390"/>
      <c r="AG390"/>
      <c r="AH390"/>
    </row>
    <row r="391" spans="1:34" x14ac:dyDescent="0.25">
      <c r="A391" t="s">
        <v>3440</v>
      </c>
      <c r="B391" t="s">
        <v>3441</v>
      </c>
      <c r="C391"/>
      <c r="D391" t="s">
        <v>383</v>
      </c>
      <c r="E391" t="s">
        <v>818</v>
      </c>
      <c r="F391" t="s">
        <v>872</v>
      </c>
      <c r="G391" t="s">
        <v>280</v>
      </c>
      <c r="H391" t="s">
        <v>871</v>
      </c>
      <c r="I391" t="s">
        <v>35</v>
      </c>
      <c r="J391"/>
      <c r="K391">
        <v>1</v>
      </c>
      <c r="L391">
        <v>1</v>
      </c>
      <c r="M391" t="s">
        <v>33</v>
      </c>
      <c r="N391">
        <v>1</v>
      </c>
      <c r="O391">
        <v>0.5</v>
      </c>
      <c r="P391">
        <v>0.5</v>
      </c>
      <c r="Q391" t="s">
        <v>38</v>
      </c>
      <c r="R391">
        <v>1</v>
      </c>
      <c r="S391">
        <v>0</v>
      </c>
      <c r="T391"/>
      <c r="U391"/>
      <c r="V391"/>
      <c r="W391"/>
      <c r="X391">
        <v>0</v>
      </c>
      <c r="Y391"/>
      <c r="Z391">
        <v>0</v>
      </c>
      <c r="AA391"/>
      <c r="AB391"/>
      <c r="AC391"/>
      <c r="AD391"/>
      <c r="AE391">
        <v>0</v>
      </c>
      <c r="AF391"/>
      <c r="AG391"/>
      <c r="AH391"/>
    </row>
    <row r="392" spans="1:34" x14ac:dyDescent="0.25">
      <c r="A392" t="s">
        <v>3442</v>
      </c>
      <c r="B392" t="s">
        <v>3443</v>
      </c>
      <c r="C392"/>
      <c r="D392" t="s">
        <v>383</v>
      </c>
      <c r="E392" t="s">
        <v>818</v>
      </c>
      <c r="F392" t="s">
        <v>872</v>
      </c>
      <c r="G392" t="s">
        <v>280</v>
      </c>
      <c r="H392" t="s">
        <v>871</v>
      </c>
      <c r="I392" t="s">
        <v>35</v>
      </c>
      <c r="J392"/>
      <c r="K392">
        <v>1</v>
      </c>
      <c r="L392">
        <v>1</v>
      </c>
      <c r="M392" t="s">
        <v>33</v>
      </c>
      <c r="N392">
        <v>1</v>
      </c>
      <c r="O392">
        <v>0.5</v>
      </c>
      <c r="P392">
        <v>0.5</v>
      </c>
      <c r="Q392" t="s">
        <v>38</v>
      </c>
      <c r="R392">
        <v>1</v>
      </c>
      <c r="S392">
        <v>0</v>
      </c>
      <c r="T392"/>
      <c r="U392"/>
      <c r="V392"/>
      <c r="W392"/>
      <c r="X392">
        <v>0</v>
      </c>
      <c r="Y392"/>
      <c r="Z392">
        <v>0</v>
      </c>
      <c r="AA392"/>
      <c r="AB392"/>
      <c r="AC392"/>
      <c r="AD392"/>
      <c r="AE392">
        <v>0</v>
      </c>
      <c r="AF392"/>
      <c r="AG392"/>
      <c r="AH392"/>
    </row>
    <row r="393" spans="1:34" x14ac:dyDescent="0.25">
      <c r="A393" t="s">
        <v>3440</v>
      </c>
      <c r="B393" t="s">
        <v>3441</v>
      </c>
      <c r="C393"/>
      <c r="D393" t="s">
        <v>383</v>
      </c>
      <c r="E393" t="s">
        <v>818</v>
      </c>
      <c r="F393" t="s">
        <v>873</v>
      </c>
      <c r="G393" t="s">
        <v>280</v>
      </c>
      <c r="H393" t="s">
        <v>874</v>
      </c>
      <c r="I393" t="s">
        <v>35</v>
      </c>
      <c r="J393"/>
      <c r="K393">
        <v>1</v>
      </c>
      <c r="L393">
        <v>1</v>
      </c>
      <c r="M393" t="s">
        <v>33</v>
      </c>
      <c r="N393">
        <v>1</v>
      </c>
      <c r="O393">
        <v>0.5</v>
      </c>
      <c r="P393">
        <v>0.5</v>
      </c>
      <c r="Q393" t="s">
        <v>38</v>
      </c>
      <c r="R393">
        <v>1</v>
      </c>
      <c r="S393">
        <v>0</v>
      </c>
      <c r="T393"/>
      <c r="U393"/>
      <c r="V393"/>
      <c r="W393"/>
      <c r="X393">
        <v>0</v>
      </c>
      <c r="Y393"/>
      <c r="Z393">
        <v>0</v>
      </c>
      <c r="AA393"/>
      <c r="AB393"/>
      <c r="AC393"/>
      <c r="AD393"/>
      <c r="AE393">
        <v>0</v>
      </c>
      <c r="AF393"/>
      <c r="AG393"/>
      <c r="AH393"/>
    </row>
    <row r="394" spans="1:34" x14ac:dyDescent="0.25">
      <c r="A394" t="s">
        <v>3442</v>
      </c>
      <c r="B394" t="s">
        <v>3443</v>
      </c>
      <c r="C394"/>
      <c r="D394" t="s">
        <v>383</v>
      </c>
      <c r="E394" t="s">
        <v>818</v>
      </c>
      <c r="F394" t="s">
        <v>873</v>
      </c>
      <c r="G394" t="s">
        <v>280</v>
      </c>
      <c r="H394" t="s">
        <v>874</v>
      </c>
      <c r="I394" t="s">
        <v>35</v>
      </c>
      <c r="J394"/>
      <c r="K394">
        <v>1</v>
      </c>
      <c r="L394">
        <v>1</v>
      </c>
      <c r="M394" t="s">
        <v>33</v>
      </c>
      <c r="N394">
        <v>1</v>
      </c>
      <c r="O394">
        <v>0.5</v>
      </c>
      <c r="P394">
        <v>0.5</v>
      </c>
      <c r="Q394" t="s">
        <v>38</v>
      </c>
      <c r="R394">
        <v>1</v>
      </c>
      <c r="S394">
        <v>0</v>
      </c>
      <c r="T394"/>
      <c r="U394"/>
      <c r="V394"/>
      <c r="W394"/>
      <c r="X394">
        <v>0</v>
      </c>
      <c r="Y394"/>
      <c r="Z394">
        <v>0</v>
      </c>
      <c r="AA394"/>
      <c r="AB394"/>
      <c r="AC394"/>
      <c r="AD394"/>
      <c r="AE394">
        <v>0</v>
      </c>
      <c r="AF394"/>
      <c r="AG394"/>
      <c r="AH394"/>
    </row>
    <row r="395" spans="1:34" x14ac:dyDescent="0.25">
      <c r="A395" t="s">
        <v>3440</v>
      </c>
      <c r="B395" t="s">
        <v>3441</v>
      </c>
      <c r="C395"/>
      <c r="D395" t="s">
        <v>383</v>
      </c>
      <c r="E395" t="s">
        <v>818</v>
      </c>
      <c r="F395" t="s">
        <v>875</v>
      </c>
      <c r="G395" t="s">
        <v>280</v>
      </c>
      <c r="H395" t="s">
        <v>876</v>
      </c>
      <c r="I395" t="s">
        <v>35</v>
      </c>
      <c r="J395"/>
      <c r="K395">
        <v>1</v>
      </c>
      <c r="L395">
        <v>1</v>
      </c>
      <c r="M395" t="s">
        <v>33</v>
      </c>
      <c r="N395">
        <v>1</v>
      </c>
      <c r="O395">
        <v>0.5</v>
      </c>
      <c r="P395">
        <v>0.5</v>
      </c>
      <c r="Q395" t="s">
        <v>38</v>
      </c>
      <c r="R395">
        <v>1</v>
      </c>
      <c r="S395">
        <v>0</v>
      </c>
      <c r="T395"/>
      <c r="U395"/>
      <c r="V395"/>
      <c r="W395"/>
      <c r="X395">
        <v>0</v>
      </c>
      <c r="Y395"/>
      <c r="Z395">
        <v>0</v>
      </c>
      <c r="AA395"/>
      <c r="AB395"/>
      <c r="AC395"/>
      <c r="AD395"/>
      <c r="AE395">
        <v>0</v>
      </c>
      <c r="AF395"/>
      <c r="AG395"/>
      <c r="AH395"/>
    </row>
    <row r="396" spans="1:34" x14ac:dyDescent="0.25">
      <c r="A396" t="s">
        <v>3442</v>
      </c>
      <c r="B396" t="s">
        <v>3443</v>
      </c>
      <c r="C396"/>
      <c r="D396" t="s">
        <v>383</v>
      </c>
      <c r="E396" t="s">
        <v>818</v>
      </c>
      <c r="F396" t="s">
        <v>875</v>
      </c>
      <c r="G396" t="s">
        <v>280</v>
      </c>
      <c r="H396" t="s">
        <v>876</v>
      </c>
      <c r="I396" t="s">
        <v>35</v>
      </c>
      <c r="J396"/>
      <c r="K396">
        <v>1</v>
      </c>
      <c r="L396">
        <v>1</v>
      </c>
      <c r="M396" t="s">
        <v>33</v>
      </c>
      <c r="N396">
        <v>1</v>
      </c>
      <c r="O396">
        <v>0.5</v>
      </c>
      <c r="P396">
        <v>0.5</v>
      </c>
      <c r="Q396" t="s">
        <v>38</v>
      </c>
      <c r="R396">
        <v>1</v>
      </c>
      <c r="S396">
        <v>0</v>
      </c>
      <c r="T396"/>
      <c r="U396"/>
      <c r="V396"/>
      <c r="W396"/>
      <c r="X396">
        <v>0</v>
      </c>
      <c r="Y396"/>
      <c r="Z396">
        <v>0</v>
      </c>
      <c r="AA396"/>
      <c r="AB396"/>
      <c r="AC396"/>
      <c r="AD396"/>
      <c r="AE396">
        <v>0</v>
      </c>
      <c r="AF396"/>
      <c r="AG396"/>
      <c r="AH396"/>
    </row>
    <row r="397" spans="1:34" x14ac:dyDescent="0.25">
      <c r="A397" t="s">
        <v>3440</v>
      </c>
      <c r="B397" t="s">
        <v>3441</v>
      </c>
      <c r="C397"/>
      <c r="D397" t="s">
        <v>383</v>
      </c>
      <c r="E397" t="s">
        <v>818</v>
      </c>
      <c r="F397" t="s">
        <v>877</v>
      </c>
      <c r="G397" t="s">
        <v>280</v>
      </c>
      <c r="H397" t="s">
        <v>878</v>
      </c>
      <c r="I397" t="s">
        <v>35</v>
      </c>
      <c r="J397"/>
      <c r="K397">
        <v>1</v>
      </c>
      <c r="L397">
        <v>1</v>
      </c>
      <c r="M397" t="s">
        <v>33</v>
      </c>
      <c r="N397">
        <v>1</v>
      </c>
      <c r="O397">
        <v>0.5</v>
      </c>
      <c r="P397">
        <v>0.5</v>
      </c>
      <c r="Q397" t="s">
        <v>38</v>
      </c>
      <c r="R397">
        <v>1</v>
      </c>
      <c r="S397">
        <v>0</v>
      </c>
      <c r="T397"/>
      <c r="U397"/>
      <c r="V397"/>
      <c r="W397"/>
      <c r="X397">
        <v>0</v>
      </c>
      <c r="Y397"/>
      <c r="Z397">
        <v>0</v>
      </c>
      <c r="AA397"/>
      <c r="AB397"/>
      <c r="AC397"/>
      <c r="AD397"/>
      <c r="AE397">
        <v>0</v>
      </c>
      <c r="AF397"/>
      <c r="AG397"/>
      <c r="AH397"/>
    </row>
    <row r="398" spans="1:34" x14ac:dyDescent="0.25">
      <c r="A398" t="s">
        <v>3442</v>
      </c>
      <c r="B398" t="s">
        <v>3443</v>
      </c>
      <c r="C398"/>
      <c r="D398" t="s">
        <v>383</v>
      </c>
      <c r="E398" t="s">
        <v>818</v>
      </c>
      <c r="F398" t="s">
        <v>877</v>
      </c>
      <c r="G398" t="s">
        <v>280</v>
      </c>
      <c r="H398" t="s">
        <v>878</v>
      </c>
      <c r="I398" t="s">
        <v>35</v>
      </c>
      <c r="J398"/>
      <c r="K398">
        <v>1</v>
      </c>
      <c r="L398">
        <v>1</v>
      </c>
      <c r="M398" t="s">
        <v>33</v>
      </c>
      <c r="N398">
        <v>1</v>
      </c>
      <c r="O398">
        <v>0.5</v>
      </c>
      <c r="P398">
        <v>0.5</v>
      </c>
      <c r="Q398" t="s">
        <v>38</v>
      </c>
      <c r="R398">
        <v>1</v>
      </c>
      <c r="S398">
        <v>0</v>
      </c>
      <c r="T398"/>
      <c r="U398"/>
      <c r="V398"/>
      <c r="W398"/>
      <c r="X398">
        <v>0</v>
      </c>
      <c r="Y398"/>
      <c r="Z398">
        <v>0</v>
      </c>
      <c r="AA398"/>
      <c r="AB398"/>
      <c r="AC398"/>
      <c r="AD398"/>
      <c r="AE398">
        <v>0</v>
      </c>
      <c r="AF398"/>
      <c r="AG398"/>
      <c r="AH398"/>
    </row>
    <row r="399" spans="1:34" x14ac:dyDescent="0.25">
      <c r="A399" t="s">
        <v>3440</v>
      </c>
      <c r="B399" t="s">
        <v>3441</v>
      </c>
      <c r="C399"/>
      <c r="D399" t="s">
        <v>383</v>
      </c>
      <c r="E399" t="s">
        <v>818</v>
      </c>
      <c r="F399" t="s">
        <v>879</v>
      </c>
      <c r="G399" t="s">
        <v>280</v>
      </c>
      <c r="H399" t="s">
        <v>880</v>
      </c>
      <c r="I399" t="s">
        <v>35</v>
      </c>
      <c r="J399"/>
      <c r="K399">
        <v>1</v>
      </c>
      <c r="L399">
        <v>1</v>
      </c>
      <c r="M399" t="s">
        <v>33</v>
      </c>
      <c r="N399">
        <v>1</v>
      </c>
      <c r="O399">
        <v>0.5</v>
      </c>
      <c r="P399">
        <v>0.5</v>
      </c>
      <c r="Q399" t="s">
        <v>38</v>
      </c>
      <c r="R399">
        <v>1</v>
      </c>
      <c r="S399">
        <v>0</v>
      </c>
      <c r="T399"/>
      <c r="U399"/>
      <c r="V399"/>
      <c r="W399"/>
      <c r="X399">
        <v>0</v>
      </c>
      <c r="Y399"/>
      <c r="Z399">
        <v>0</v>
      </c>
      <c r="AA399"/>
      <c r="AB399"/>
      <c r="AC399"/>
      <c r="AD399"/>
      <c r="AE399">
        <v>0</v>
      </c>
      <c r="AF399"/>
      <c r="AG399"/>
      <c r="AH399"/>
    </row>
    <row r="400" spans="1:34" x14ac:dyDescent="0.25">
      <c r="A400" t="s">
        <v>3442</v>
      </c>
      <c r="B400" t="s">
        <v>3443</v>
      </c>
      <c r="C400"/>
      <c r="D400" t="s">
        <v>383</v>
      </c>
      <c r="E400" t="s">
        <v>818</v>
      </c>
      <c r="F400" t="s">
        <v>879</v>
      </c>
      <c r="G400" t="s">
        <v>280</v>
      </c>
      <c r="H400" t="s">
        <v>880</v>
      </c>
      <c r="I400" t="s">
        <v>35</v>
      </c>
      <c r="J400"/>
      <c r="K400">
        <v>1</v>
      </c>
      <c r="L400">
        <v>1</v>
      </c>
      <c r="M400" t="s">
        <v>33</v>
      </c>
      <c r="N400">
        <v>1</v>
      </c>
      <c r="O400">
        <v>0.5</v>
      </c>
      <c r="P400">
        <v>0.5</v>
      </c>
      <c r="Q400" t="s">
        <v>38</v>
      </c>
      <c r="R400">
        <v>1</v>
      </c>
      <c r="S400">
        <v>0</v>
      </c>
      <c r="T400"/>
      <c r="U400"/>
      <c r="V400"/>
      <c r="W400"/>
      <c r="X400">
        <v>0</v>
      </c>
      <c r="Y400"/>
      <c r="Z400">
        <v>0</v>
      </c>
      <c r="AA400"/>
      <c r="AB400"/>
      <c r="AC400"/>
      <c r="AD400"/>
      <c r="AE400">
        <v>0</v>
      </c>
      <c r="AF400"/>
      <c r="AG400"/>
      <c r="AH400"/>
    </row>
    <row r="401" spans="1:34" x14ac:dyDescent="0.25">
      <c r="A401" t="s">
        <v>3440</v>
      </c>
      <c r="B401" t="s">
        <v>3441</v>
      </c>
      <c r="C401"/>
      <c r="D401" t="s">
        <v>383</v>
      </c>
      <c r="E401" t="s">
        <v>818</v>
      </c>
      <c r="F401" t="s">
        <v>881</v>
      </c>
      <c r="G401" t="s">
        <v>280</v>
      </c>
      <c r="H401" t="s">
        <v>880</v>
      </c>
      <c r="I401" t="s">
        <v>35</v>
      </c>
      <c r="J401"/>
      <c r="K401">
        <v>1</v>
      </c>
      <c r="L401">
        <v>1</v>
      </c>
      <c r="M401" t="s">
        <v>33</v>
      </c>
      <c r="N401">
        <v>1</v>
      </c>
      <c r="O401">
        <v>0.5</v>
      </c>
      <c r="P401">
        <v>0.5</v>
      </c>
      <c r="Q401" t="s">
        <v>38</v>
      </c>
      <c r="R401">
        <v>1</v>
      </c>
      <c r="S401">
        <v>0</v>
      </c>
      <c r="T401"/>
      <c r="U401"/>
      <c r="V401"/>
      <c r="W401"/>
      <c r="X401">
        <v>0</v>
      </c>
      <c r="Y401"/>
      <c r="Z401">
        <v>0</v>
      </c>
      <c r="AA401"/>
      <c r="AB401"/>
      <c r="AC401"/>
      <c r="AD401"/>
      <c r="AE401">
        <v>0</v>
      </c>
      <c r="AF401"/>
      <c r="AG401"/>
      <c r="AH401"/>
    </row>
    <row r="402" spans="1:34" x14ac:dyDescent="0.25">
      <c r="A402" t="s">
        <v>3442</v>
      </c>
      <c r="B402" t="s">
        <v>3443</v>
      </c>
      <c r="C402"/>
      <c r="D402" t="s">
        <v>383</v>
      </c>
      <c r="E402" t="s">
        <v>818</v>
      </c>
      <c r="F402" t="s">
        <v>881</v>
      </c>
      <c r="G402" t="s">
        <v>280</v>
      </c>
      <c r="H402" t="s">
        <v>880</v>
      </c>
      <c r="I402" t="s">
        <v>35</v>
      </c>
      <c r="J402"/>
      <c r="K402">
        <v>1</v>
      </c>
      <c r="L402">
        <v>1</v>
      </c>
      <c r="M402" t="s">
        <v>33</v>
      </c>
      <c r="N402">
        <v>1</v>
      </c>
      <c r="O402">
        <v>0.5</v>
      </c>
      <c r="P402">
        <v>0.5</v>
      </c>
      <c r="Q402" t="s">
        <v>38</v>
      </c>
      <c r="R402">
        <v>1</v>
      </c>
      <c r="S402">
        <v>0</v>
      </c>
      <c r="T402"/>
      <c r="U402"/>
      <c r="V402"/>
      <c r="W402"/>
      <c r="X402">
        <v>0</v>
      </c>
      <c r="Y402"/>
      <c r="Z402">
        <v>0</v>
      </c>
      <c r="AA402"/>
      <c r="AB402"/>
      <c r="AC402"/>
      <c r="AD402"/>
      <c r="AE402">
        <v>0</v>
      </c>
      <c r="AF402"/>
      <c r="AG402"/>
      <c r="AH402"/>
    </row>
    <row r="403" spans="1:34" x14ac:dyDescent="0.25">
      <c r="A403" t="s">
        <v>3440</v>
      </c>
      <c r="B403" t="s">
        <v>3441</v>
      </c>
      <c r="C403"/>
      <c r="D403" t="s">
        <v>383</v>
      </c>
      <c r="E403" t="s">
        <v>818</v>
      </c>
      <c r="F403" t="s">
        <v>882</v>
      </c>
      <c r="G403" t="s">
        <v>280</v>
      </c>
      <c r="H403" t="s">
        <v>883</v>
      </c>
      <c r="I403" t="s">
        <v>35</v>
      </c>
      <c r="J403"/>
      <c r="K403">
        <v>1</v>
      </c>
      <c r="L403">
        <v>1</v>
      </c>
      <c r="M403" t="s">
        <v>33</v>
      </c>
      <c r="N403">
        <v>1</v>
      </c>
      <c r="O403">
        <v>0.5</v>
      </c>
      <c r="P403">
        <v>0.5</v>
      </c>
      <c r="Q403" t="s">
        <v>38</v>
      </c>
      <c r="R403">
        <v>1</v>
      </c>
      <c r="S403">
        <v>0</v>
      </c>
      <c r="T403"/>
      <c r="U403"/>
      <c r="V403"/>
      <c r="W403"/>
      <c r="X403">
        <v>0</v>
      </c>
      <c r="Y403"/>
      <c r="Z403">
        <v>0</v>
      </c>
      <c r="AA403"/>
      <c r="AB403"/>
      <c r="AC403"/>
      <c r="AD403"/>
      <c r="AE403">
        <v>0</v>
      </c>
      <c r="AF403"/>
      <c r="AG403"/>
      <c r="AH403"/>
    </row>
    <row r="404" spans="1:34" x14ac:dyDescent="0.25">
      <c r="A404" t="s">
        <v>3442</v>
      </c>
      <c r="B404" t="s">
        <v>3443</v>
      </c>
      <c r="C404"/>
      <c r="D404" t="s">
        <v>383</v>
      </c>
      <c r="E404" t="s">
        <v>818</v>
      </c>
      <c r="F404" t="s">
        <v>882</v>
      </c>
      <c r="G404" t="s">
        <v>280</v>
      </c>
      <c r="H404" t="s">
        <v>883</v>
      </c>
      <c r="I404" t="s">
        <v>35</v>
      </c>
      <c r="J404"/>
      <c r="K404">
        <v>1</v>
      </c>
      <c r="L404">
        <v>1</v>
      </c>
      <c r="M404" t="s">
        <v>33</v>
      </c>
      <c r="N404">
        <v>1</v>
      </c>
      <c r="O404">
        <v>0.5</v>
      </c>
      <c r="P404">
        <v>0.5</v>
      </c>
      <c r="Q404" t="s">
        <v>38</v>
      </c>
      <c r="R404">
        <v>1</v>
      </c>
      <c r="S404">
        <v>0</v>
      </c>
      <c r="T404"/>
      <c r="U404"/>
      <c r="V404"/>
      <c r="W404"/>
      <c r="X404">
        <v>0</v>
      </c>
      <c r="Y404"/>
      <c r="Z404">
        <v>0</v>
      </c>
      <c r="AA404"/>
      <c r="AB404"/>
      <c r="AC404"/>
      <c r="AD404"/>
      <c r="AE404">
        <v>0</v>
      </c>
      <c r="AF404"/>
      <c r="AG404"/>
      <c r="AH404"/>
    </row>
    <row r="405" spans="1:34" x14ac:dyDescent="0.25">
      <c r="A405" t="s">
        <v>3440</v>
      </c>
      <c r="B405" t="s">
        <v>3441</v>
      </c>
      <c r="C405"/>
      <c r="D405" t="s">
        <v>383</v>
      </c>
      <c r="E405" t="s">
        <v>818</v>
      </c>
      <c r="F405" t="s">
        <v>884</v>
      </c>
      <c r="G405" t="s">
        <v>280</v>
      </c>
      <c r="H405" t="s">
        <v>885</v>
      </c>
      <c r="I405" t="s">
        <v>35</v>
      </c>
      <c r="J405"/>
      <c r="K405">
        <v>1</v>
      </c>
      <c r="L405">
        <v>1</v>
      </c>
      <c r="M405" t="s">
        <v>33</v>
      </c>
      <c r="N405">
        <v>1</v>
      </c>
      <c r="O405">
        <v>0.5</v>
      </c>
      <c r="P405">
        <v>0.5</v>
      </c>
      <c r="Q405" t="s">
        <v>38</v>
      </c>
      <c r="R405">
        <v>1</v>
      </c>
      <c r="S405">
        <v>0</v>
      </c>
      <c r="T405"/>
      <c r="U405"/>
      <c r="V405"/>
      <c r="W405"/>
      <c r="X405">
        <v>0</v>
      </c>
      <c r="Y405"/>
      <c r="Z405">
        <v>0</v>
      </c>
      <c r="AA405"/>
      <c r="AB405"/>
      <c r="AC405"/>
      <c r="AD405"/>
      <c r="AE405">
        <v>0</v>
      </c>
      <c r="AF405"/>
      <c r="AG405"/>
      <c r="AH405"/>
    </row>
    <row r="406" spans="1:34" x14ac:dyDescent="0.25">
      <c r="A406" t="s">
        <v>3442</v>
      </c>
      <c r="B406" t="s">
        <v>3443</v>
      </c>
      <c r="C406"/>
      <c r="D406" t="s">
        <v>383</v>
      </c>
      <c r="E406" t="s">
        <v>818</v>
      </c>
      <c r="F406" t="s">
        <v>884</v>
      </c>
      <c r="G406" t="s">
        <v>280</v>
      </c>
      <c r="H406" t="s">
        <v>885</v>
      </c>
      <c r="I406" t="s">
        <v>35</v>
      </c>
      <c r="J406"/>
      <c r="K406">
        <v>1</v>
      </c>
      <c r="L406">
        <v>1</v>
      </c>
      <c r="M406" t="s">
        <v>33</v>
      </c>
      <c r="N406">
        <v>1</v>
      </c>
      <c r="O406">
        <v>0.5</v>
      </c>
      <c r="P406">
        <v>0.5</v>
      </c>
      <c r="Q406" t="s">
        <v>38</v>
      </c>
      <c r="R406">
        <v>1</v>
      </c>
      <c r="S406">
        <v>0</v>
      </c>
      <c r="T406"/>
      <c r="U406"/>
      <c r="V406"/>
      <c r="W406"/>
      <c r="X406">
        <v>0</v>
      </c>
      <c r="Y406"/>
      <c r="Z406">
        <v>0</v>
      </c>
      <c r="AA406"/>
      <c r="AB406"/>
      <c r="AC406"/>
      <c r="AD406"/>
      <c r="AE406">
        <v>0</v>
      </c>
      <c r="AF406"/>
      <c r="AG406"/>
      <c r="AH406"/>
    </row>
    <row r="407" spans="1:34" x14ac:dyDescent="0.25">
      <c r="A407" t="s">
        <v>3440</v>
      </c>
      <c r="B407" t="s">
        <v>3441</v>
      </c>
      <c r="C407"/>
      <c r="D407" t="s">
        <v>383</v>
      </c>
      <c r="E407" t="s">
        <v>818</v>
      </c>
      <c r="F407" t="s">
        <v>886</v>
      </c>
      <c r="G407" t="s">
        <v>280</v>
      </c>
      <c r="H407" t="s">
        <v>887</v>
      </c>
      <c r="I407" t="s">
        <v>35</v>
      </c>
      <c r="J407"/>
      <c r="K407">
        <v>1</v>
      </c>
      <c r="L407">
        <v>1</v>
      </c>
      <c r="M407" t="s">
        <v>33</v>
      </c>
      <c r="N407">
        <v>1</v>
      </c>
      <c r="O407">
        <v>0.5</v>
      </c>
      <c r="P407">
        <v>0.5</v>
      </c>
      <c r="Q407" t="s">
        <v>38</v>
      </c>
      <c r="R407">
        <v>1</v>
      </c>
      <c r="S407">
        <v>0</v>
      </c>
      <c r="T407"/>
      <c r="U407"/>
      <c r="V407"/>
      <c r="W407"/>
      <c r="X407">
        <v>0</v>
      </c>
      <c r="Y407"/>
      <c r="Z407">
        <v>0</v>
      </c>
      <c r="AA407"/>
      <c r="AB407"/>
      <c r="AC407"/>
      <c r="AD407"/>
      <c r="AE407">
        <v>0</v>
      </c>
      <c r="AF407"/>
      <c r="AG407"/>
      <c r="AH407"/>
    </row>
    <row r="408" spans="1:34" x14ac:dyDescent="0.25">
      <c r="A408" t="s">
        <v>3442</v>
      </c>
      <c r="B408" t="s">
        <v>3443</v>
      </c>
      <c r="C408"/>
      <c r="D408" t="s">
        <v>383</v>
      </c>
      <c r="E408" t="s">
        <v>818</v>
      </c>
      <c r="F408" t="s">
        <v>886</v>
      </c>
      <c r="G408" t="s">
        <v>280</v>
      </c>
      <c r="H408" t="s">
        <v>887</v>
      </c>
      <c r="I408" t="s">
        <v>35</v>
      </c>
      <c r="J408"/>
      <c r="K408">
        <v>1</v>
      </c>
      <c r="L408">
        <v>1</v>
      </c>
      <c r="M408" t="s">
        <v>33</v>
      </c>
      <c r="N408">
        <v>1</v>
      </c>
      <c r="O408">
        <v>0.5</v>
      </c>
      <c r="P408">
        <v>0.5</v>
      </c>
      <c r="Q408" t="s">
        <v>38</v>
      </c>
      <c r="R408">
        <v>1</v>
      </c>
      <c r="S408">
        <v>0</v>
      </c>
      <c r="T408"/>
      <c r="U408"/>
      <c r="V408"/>
      <c r="W408"/>
      <c r="X408">
        <v>0</v>
      </c>
      <c r="Y408"/>
      <c r="Z408">
        <v>0</v>
      </c>
      <c r="AA408"/>
      <c r="AB408"/>
      <c r="AC408"/>
      <c r="AD408"/>
      <c r="AE408">
        <v>0</v>
      </c>
      <c r="AF408"/>
      <c r="AG408"/>
      <c r="AH408"/>
    </row>
    <row r="409" spans="1:34" x14ac:dyDescent="0.25">
      <c r="A409" t="s">
        <v>3440</v>
      </c>
      <c r="B409" t="s">
        <v>3441</v>
      </c>
      <c r="C409"/>
      <c r="D409" t="s">
        <v>383</v>
      </c>
      <c r="E409" t="s">
        <v>818</v>
      </c>
      <c r="F409" t="s">
        <v>888</v>
      </c>
      <c r="G409" t="s">
        <v>280</v>
      </c>
      <c r="H409" t="s">
        <v>889</v>
      </c>
      <c r="I409" t="s">
        <v>35</v>
      </c>
      <c r="J409"/>
      <c r="K409">
        <v>1</v>
      </c>
      <c r="L409">
        <v>1</v>
      </c>
      <c r="M409" t="s">
        <v>33</v>
      </c>
      <c r="N409">
        <v>1</v>
      </c>
      <c r="O409">
        <v>0.5</v>
      </c>
      <c r="P409">
        <v>0.5</v>
      </c>
      <c r="Q409" t="s">
        <v>38</v>
      </c>
      <c r="R409">
        <v>1</v>
      </c>
      <c r="S409">
        <v>0</v>
      </c>
      <c r="T409"/>
      <c r="U409"/>
      <c r="V409"/>
      <c r="W409"/>
      <c r="X409">
        <v>0</v>
      </c>
      <c r="Y409"/>
      <c r="Z409">
        <v>0</v>
      </c>
      <c r="AA409"/>
      <c r="AB409"/>
      <c r="AC409"/>
      <c r="AD409"/>
      <c r="AE409">
        <v>0</v>
      </c>
      <c r="AF409"/>
      <c r="AG409"/>
      <c r="AH409"/>
    </row>
    <row r="410" spans="1:34" x14ac:dyDescent="0.25">
      <c r="A410" t="s">
        <v>3442</v>
      </c>
      <c r="B410" t="s">
        <v>3443</v>
      </c>
      <c r="C410"/>
      <c r="D410" t="s">
        <v>383</v>
      </c>
      <c r="E410" t="s">
        <v>818</v>
      </c>
      <c r="F410" t="s">
        <v>888</v>
      </c>
      <c r="G410" t="s">
        <v>280</v>
      </c>
      <c r="H410" t="s">
        <v>889</v>
      </c>
      <c r="I410" t="s">
        <v>35</v>
      </c>
      <c r="J410"/>
      <c r="K410">
        <v>1</v>
      </c>
      <c r="L410">
        <v>1</v>
      </c>
      <c r="M410" t="s">
        <v>33</v>
      </c>
      <c r="N410">
        <v>1</v>
      </c>
      <c r="O410">
        <v>0.5</v>
      </c>
      <c r="P410">
        <v>0.5</v>
      </c>
      <c r="Q410" t="s">
        <v>38</v>
      </c>
      <c r="R410">
        <v>1</v>
      </c>
      <c r="S410">
        <v>0</v>
      </c>
      <c r="T410"/>
      <c r="U410"/>
      <c r="V410"/>
      <c r="W410"/>
      <c r="X410">
        <v>0</v>
      </c>
      <c r="Y410"/>
      <c r="Z410">
        <v>0</v>
      </c>
      <c r="AA410"/>
      <c r="AB410"/>
      <c r="AC410"/>
      <c r="AD410"/>
      <c r="AE410">
        <v>0</v>
      </c>
      <c r="AF410"/>
      <c r="AG410"/>
      <c r="AH410"/>
    </row>
    <row r="411" spans="1:34" x14ac:dyDescent="0.25">
      <c r="A411" t="s">
        <v>3440</v>
      </c>
      <c r="B411" t="s">
        <v>3441</v>
      </c>
      <c r="C411"/>
      <c r="D411" t="s">
        <v>383</v>
      </c>
      <c r="E411" t="s">
        <v>818</v>
      </c>
      <c r="F411" t="s">
        <v>890</v>
      </c>
      <c r="G411" t="s">
        <v>280</v>
      </c>
      <c r="H411" t="s">
        <v>889</v>
      </c>
      <c r="I411" t="s">
        <v>35</v>
      </c>
      <c r="J411"/>
      <c r="K411">
        <v>1</v>
      </c>
      <c r="L411">
        <v>1</v>
      </c>
      <c r="M411" t="s">
        <v>33</v>
      </c>
      <c r="N411">
        <v>1</v>
      </c>
      <c r="O411">
        <v>0.5</v>
      </c>
      <c r="P411">
        <v>0.5</v>
      </c>
      <c r="Q411" t="s">
        <v>38</v>
      </c>
      <c r="R411">
        <v>1</v>
      </c>
      <c r="S411">
        <v>0</v>
      </c>
      <c r="T411"/>
      <c r="U411"/>
      <c r="V411"/>
      <c r="W411"/>
      <c r="X411">
        <v>0</v>
      </c>
      <c r="Y411"/>
      <c r="Z411">
        <v>0</v>
      </c>
      <c r="AA411"/>
      <c r="AB411"/>
      <c r="AC411"/>
      <c r="AD411"/>
      <c r="AE411">
        <v>0</v>
      </c>
      <c r="AF411"/>
      <c r="AG411"/>
      <c r="AH411"/>
    </row>
    <row r="412" spans="1:34" x14ac:dyDescent="0.25">
      <c r="A412" t="s">
        <v>3442</v>
      </c>
      <c r="B412" t="s">
        <v>3443</v>
      </c>
      <c r="C412"/>
      <c r="D412" t="s">
        <v>383</v>
      </c>
      <c r="E412" t="s">
        <v>818</v>
      </c>
      <c r="F412" t="s">
        <v>890</v>
      </c>
      <c r="G412" t="s">
        <v>280</v>
      </c>
      <c r="H412" t="s">
        <v>889</v>
      </c>
      <c r="I412" t="s">
        <v>35</v>
      </c>
      <c r="J412"/>
      <c r="K412">
        <v>1</v>
      </c>
      <c r="L412">
        <v>1</v>
      </c>
      <c r="M412" t="s">
        <v>33</v>
      </c>
      <c r="N412">
        <v>1</v>
      </c>
      <c r="O412">
        <v>0.5</v>
      </c>
      <c r="P412">
        <v>0.5</v>
      </c>
      <c r="Q412" t="s">
        <v>38</v>
      </c>
      <c r="R412">
        <v>1</v>
      </c>
      <c r="S412">
        <v>0</v>
      </c>
      <c r="T412"/>
      <c r="U412"/>
      <c r="V412"/>
      <c r="W412"/>
      <c r="X412">
        <v>0</v>
      </c>
      <c r="Y412"/>
      <c r="Z412">
        <v>0</v>
      </c>
      <c r="AA412"/>
      <c r="AB412"/>
      <c r="AC412"/>
      <c r="AD412"/>
      <c r="AE412">
        <v>0</v>
      </c>
      <c r="AF412"/>
      <c r="AG412"/>
      <c r="AH412"/>
    </row>
    <row r="413" spans="1:34" x14ac:dyDescent="0.25">
      <c r="A413" t="s">
        <v>426</v>
      </c>
      <c r="B413" t="s">
        <v>427</v>
      </c>
      <c r="C413"/>
      <c r="D413" t="s">
        <v>383</v>
      </c>
      <c r="E413" t="s">
        <v>891</v>
      </c>
      <c r="F413" t="s">
        <v>892</v>
      </c>
      <c r="G413" t="s">
        <v>280</v>
      </c>
      <c r="H413" t="s">
        <v>893</v>
      </c>
      <c r="I413" t="s">
        <v>35</v>
      </c>
      <c r="J413"/>
      <c r="K413">
        <v>1</v>
      </c>
      <c r="L413">
        <v>1</v>
      </c>
      <c r="M413" t="s">
        <v>33</v>
      </c>
      <c r="N413">
        <v>1</v>
      </c>
      <c r="O413"/>
      <c r="P413">
        <v>0</v>
      </c>
      <c r="Q413" t="s">
        <v>38</v>
      </c>
      <c r="R413">
        <v>1</v>
      </c>
      <c r="S413">
        <v>0</v>
      </c>
      <c r="T413"/>
      <c r="U413"/>
      <c r="V413"/>
      <c r="W413"/>
      <c r="X413">
        <v>0</v>
      </c>
      <c r="Y413"/>
      <c r="Z413">
        <v>0</v>
      </c>
      <c r="AA413"/>
      <c r="AB413"/>
      <c r="AC413"/>
      <c r="AD413"/>
      <c r="AE413">
        <v>0</v>
      </c>
      <c r="AF413"/>
      <c r="AG413" t="s">
        <v>3468</v>
      </c>
      <c r="AH413"/>
    </row>
    <row r="414" spans="1:34" x14ac:dyDescent="0.25">
      <c r="A414" t="s">
        <v>3426</v>
      </c>
      <c r="B414" t="s">
        <v>3427</v>
      </c>
      <c r="C414"/>
      <c r="D414" t="s">
        <v>370</v>
      </c>
      <c r="E414" t="s">
        <v>894</v>
      </c>
      <c r="F414" t="s">
        <v>895</v>
      </c>
      <c r="G414" t="s">
        <v>280</v>
      </c>
      <c r="H414" t="s">
        <v>896</v>
      </c>
      <c r="I414" t="s">
        <v>35</v>
      </c>
      <c r="J414"/>
      <c r="K414">
        <v>1</v>
      </c>
      <c r="L414">
        <v>1</v>
      </c>
      <c r="M414" t="s">
        <v>33</v>
      </c>
      <c r="N414">
        <v>1</v>
      </c>
      <c r="O414">
        <v>1</v>
      </c>
      <c r="P414">
        <v>1</v>
      </c>
      <c r="Q414" t="s">
        <v>38</v>
      </c>
      <c r="R414">
        <v>1</v>
      </c>
      <c r="S414">
        <v>1</v>
      </c>
      <c r="T414">
        <v>1</v>
      </c>
      <c r="U414"/>
      <c r="V414"/>
      <c r="W414"/>
      <c r="X414">
        <v>1</v>
      </c>
      <c r="Y414"/>
      <c r="Z414">
        <v>0</v>
      </c>
      <c r="AA414"/>
      <c r="AB414"/>
      <c r="AC414"/>
      <c r="AD414"/>
      <c r="AE414">
        <v>0</v>
      </c>
      <c r="AF414"/>
      <c r="AG414"/>
      <c r="AH414"/>
    </row>
    <row r="415" spans="1:34" x14ac:dyDescent="0.25">
      <c r="A415" t="s">
        <v>3438</v>
      </c>
      <c r="B415" t="s">
        <v>3439</v>
      </c>
      <c r="C415"/>
      <c r="D415" t="s">
        <v>370</v>
      </c>
      <c r="E415" t="s">
        <v>894</v>
      </c>
      <c r="F415" t="s">
        <v>895</v>
      </c>
      <c r="G415" t="s">
        <v>280</v>
      </c>
      <c r="H415" t="s">
        <v>896</v>
      </c>
      <c r="I415" t="s">
        <v>35</v>
      </c>
      <c r="J415"/>
      <c r="K415">
        <v>1</v>
      </c>
      <c r="L415">
        <v>1</v>
      </c>
      <c r="M415" t="s">
        <v>33</v>
      </c>
      <c r="N415">
        <v>1</v>
      </c>
      <c r="O415">
        <v>1</v>
      </c>
      <c r="P415">
        <v>1</v>
      </c>
      <c r="Q415" t="s">
        <v>38</v>
      </c>
      <c r="R415">
        <v>1</v>
      </c>
      <c r="S415">
        <v>1</v>
      </c>
      <c r="T415">
        <v>1</v>
      </c>
      <c r="U415"/>
      <c r="V415"/>
      <c r="W415"/>
      <c r="X415">
        <v>1</v>
      </c>
      <c r="Y415"/>
      <c r="Z415">
        <v>0</v>
      </c>
      <c r="AA415"/>
      <c r="AB415"/>
      <c r="AC415"/>
      <c r="AD415"/>
      <c r="AE415">
        <v>0</v>
      </c>
      <c r="AF415"/>
      <c r="AG415"/>
      <c r="AH415"/>
    </row>
    <row r="416" spans="1:34" x14ac:dyDescent="0.25">
      <c r="A416" t="s">
        <v>3426</v>
      </c>
      <c r="B416" t="s">
        <v>3427</v>
      </c>
      <c r="C416"/>
      <c r="D416" t="s">
        <v>370</v>
      </c>
      <c r="E416" t="s">
        <v>894</v>
      </c>
      <c r="F416" t="s">
        <v>897</v>
      </c>
      <c r="G416" t="s">
        <v>280</v>
      </c>
      <c r="H416" t="s">
        <v>898</v>
      </c>
      <c r="I416" t="s">
        <v>35</v>
      </c>
      <c r="J416"/>
      <c r="K416">
        <v>1</v>
      </c>
      <c r="L416">
        <v>1</v>
      </c>
      <c r="M416" t="s">
        <v>33</v>
      </c>
      <c r="N416">
        <v>1</v>
      </c>
      <c r="O416">
        <v>1</v>
      </c>
      <c r="P416">
        <v>1</v>
      </c>
      <c r="Q416" t="s">
        <v>38</v>
      </c>
      <c r="R416">
        <v>1</v>
      </c>
      <c r="S416">
        <v>1</v>
      </c>
      <c r="T416">
        <v>1</v>
      </c>
      <c r="U416"/>
      <c r="V416"/>
      <c r="W416"/>
      <c r="X416">
        <v>1</v>
      </c>
      <c r="Y416"/>
      <c r="Z416">
        <v>0</v>
      </c>
      <c r="AA416"/>
      <c r="AB416"/>
      <c r="AC416"/>
      <c r="AD416"/>
      <c r="AE416">
        <v>0</v>
      </c>
      <c r="AF416"/>
      <c r="AG416"/>
      <c r="AH416"/>
    </row>
    <row r="417" spans="1:34" x14ac:dyDescent="0.25">
      <c r="A417" t="s">
        <v>3438</v>
      </c>
      <c r="B417" t="s">
        <v>3439</v>
      </c>
      <c r="C417"/>
      <c r="D417" t="s">
        <v>370</v>
      </c>
      <c r="E417" t="s">
        <v>894</v>
      </c>
      <c r="F417" t="s">
        <v>897</v>
      </c>
      <c r="G417" t="s">
        <v>280</v>
      </c>
      <c r="H417" t="s">
        <v>898</v>
      </c>
      <c r="I417" t="s">
        <v>35</v>
      </c>
      <c r="J417"/>
      <c r="K417">
        <v>1</v>
      </c>
      <c r="L417">
        <v>1</v>
      </c>
      <c r="M417" t="s">
        <v>33</v>
      </c>
      <c r="N417">
        <v>1</v>
      </c>
      <c r="O417">
        <v>1</v>
      </c>
      <c r="P417">
        <v>1</v>
      </c>
      <c r="Q417" t="s">
        <v>38</v>
      </c>
      <c r="R417">
        <v>1</v>
      </c>
      <c r="S417">
        <v>1</v>
      </c>
      <c r="T417">
        <v>1</v>
      </c>
      <c r="U417"/>
      <c r="V417"/>
      <c r="W417"/>
      <c r="X417">
        <v>1</v>
      </c>
      <c r="Y417"/>
      <c r="Z417">
        <v>0</v>
      </c>
      <c r="AA417"/>
      <c r="AB417"/>
      <c r="AC417"/>
      <c r="AD417"/>
      <c r="AE417">
        <v>0</v>
      </c>
      <c r="AF417"/>
      <c r="AG417"/>
      <c r="AH417"/>
    </row>
    <row r="418" spans="1:34" x14ac:dyDescent="0.25">
      <c r="A418" t="s">
        <v>3426</v>
      </c>
      <c r="B418" t="s">
        <v>3427</v>
      </c>
      <c r="C418"/>
      <c r="D418" t="s">
        <v>370</v>
      </c>
      <c r="E418" t="s">
        <v>894</v>
      </c>
      <c r="F418" t="s">
        <v>899</v>
      </c>
      <c r="G418" t="s">
        <v>280</v>
      </c>
      <c r="H418" t="s">
        <v>900</v>
      </c>
      <c r="I418" t="s">
        <v>35</v>
      </c>
      <c r="J418"/>
      <c r="K418">
        <v>1</v>
      </c>
      <c r="L418">
        <v>1</v>
      </c>
      <c r="M418" t="s">
        <v>33</v>
      </c>
      <c r="N418">
        <v>1</v>
      </c>
      <c r="O418">
        <v>1</v>
      </c>
      <c r="P418">
        <v>1</v>
      </c>
      <c r="Q418" t="s">
        <v>38</v>
      </c>
      <c r="R418">
        <v>1</v>
      </c>
      <c r="S418">
        <v>1</v>
      </c>
      <c r="T418">
        <v>1</v>
      </c>
      <c r="U418"/>
      <c r="V418"/>
      <c r="W418"/>
      <c r="X418">
        <v>1</v>
      </c>
      <c r="Y418"/>
      <c r="Z418">
        <v>0</v>
      </c>
      <c r="AA418"/>
      <c r="AB418"/>
      <c r="AC418"/>
      <c r="AD418"/>
      <c r="AE418">
        <v>0</v>
      </c>
      <c r="AF418"/>
      <c r="AG418"/>
      <c r="AH418"/>
    </row>
    <row r="419" spans="1:34" x14ac:dyDescent="0.25">
      <c r="A419" t="s">
        <v>3438</v>
      </c>
      <c r="B419" t="s">
        <v>3439</v>
      </c>
      <c r="C419"/>
      <c r="D419" t="s">
        <v>370</v>
      </c>
      <c r="E419" t="s">
        <v>894</v>
      </c>
      <c r="F419" t="s">
        <v>899</v>
      </c>
      <c r="G419" t="s">
        <v>280</v>
      </c>
      <c r="H419" t="s">
        <v>900</v>
      </c>
      <c r="I419" t="s">
        <v>35</v>
      </c>
      <c r="J419"/>
      <c r="K419">
        <v>1</v>
      </c>
      <c r="L419">
        <v>1</v>
      </c>
      <c r="M419" t="s">
        <v>33</v>
      </c>
      <c r="N419">
        <v>1</v>
      </c>
      <c r="O419">
        <v>1</v>
      </c>
      <c r="P419">
        <v>1</v>
      </c>
      <c r="Q419" t="s">
        <v>38</v>
      </c>
      <c r="R419">
        <v>1</v>
      </c>
      <c r="S419">
        <v>1</v>
      </c>
      <c r="T419">
        <v>1</v>
      </c>
      <c r="U419"/>
      <c r="V419"/>
      <c r="W419"/>
      <c r="X419">
        <v>1</v>
      </c>
      <c r="Y419"/>
      <c r="Z419">
        <v>0</v>
      </c>
      <c r="AA419"/>
      <c r="AB419"/>
      <c r="AC419"/>
      <c r="AD419"/>
      <c r="AE419">
        <v>0</v>
      </c>
      <c r="AF419"/>
      <c r="AG419"/>
      <c r="AH419"/>
    </row>
    <row r="420" spans="1:34" x14ac:dyDescent="0.25">
      <c r="A420" t="s">
        <v>3426</v>
      </c>
      <c r="B420" t="s">
        <v>3427</v>
      </c>
      <c r="C420"/>
      <c r="D420" t="s">
        <v>370</v>
      </c>
      <c r="E420" t="s">
        <v>894</v>
      </c>
      <c r="F420" t="s">
        <v>901</v>
      </c>
      <c r="G420" t="s">
        <v>280</v>
      </c>
      <c r="H420" t="s">
        <v>902</v>
      </c>
      <c r="I420" t="s">
        <v>35</v>
      </c>
      <c r="J420"/>
      <c r="K420">
        <v>1</v>
      </c>
      <c r="L420">
        <v>1</v>
      </c>
      <c r="M420" t="s">
        <v>33</v>
      </c>
      <c r="N420">
        <v>1</v>
      </c>
      <c r="O420">
        <v>1</v>
      </c>
      <c r="P420">
        <v>1</v>
      </c>
      <c r="Q420" t="s">
        <v>38</v>
      </c>
      <c r="R420">
        <v>1</v>
      </c>
      <c r="S420">
        <v>1</v>
      </c>
      <c r="T420">
        <v>1</v>
      </c>
      <c r="U420"/>
      <c r="V420"/>
      <c r="W420"/>
      <c r="X420">
        <v>1</v>
      </c>
      <c r="Y420"/>
      <c r="Z420">
        <v>0</v>
      </c>
      <c r="AA420"/>
      <c r="AB420"/>
      <c r="AC420"/>
      <c r="AD420"/>
      <c r="AE420">
        <v>0</v>
      </c>
      <c r="AF420"/>
      <c r="AG420"/>
      <c r="AH420"/>
    </row>
    <row r="421" spans="1:34" x14ac:dyDescent="0.25">
      <c r="A421" t="s">
        <v>3438</v>
      </c>
      <c r="B421" t="s">
        <v>3439</v>
      </c>
      <c r="C421"/>
      <c r="D421" t="s">
        <v>370</v>
      </c>
      <c r="E421" t="s">
        <v>894</v>
      </c>
      <c r="F421" t="s">
        <v>901</v>
      </c>
      <c r="G421" t="s">
        <v>280</v>
      </c>
      <c r="H421" t="s">
        <v>902</v>
      </c>
      <c r="I421" t="s">
        <v>35</v>
      </c>
      <c r="J421"/>
      <c r="K421">
        <v>1</v>
      </c>
      <c r="L421">
        <v>1</v>
      </c>
      <c r="M421" t="s">
        <v>33</v>
      </c>
      <c r="N421">
        <v>1</v>
      </c>
      <c r="O421">
        <v>1</v>
      </c>
      <c r="P421">
        <v>1</v>
      </c>
      <c r="Q421" t="s">
        <v>38</v>
      </c>
      <c r="R421">
        <v>1</v>
      </c>
      <c r="S421">
        <v>1</v>
      </c>
      <c r="T421">
        <v>1</v>
      </c>
      <c r="U421"/>
      <c r="V421"/>
      <c r="W421"/>
      <c r="X421">
        <v>1</v>
      </c>
      <c r="Y421"/>
      <c r="Z421">
        <v>0</v>
      </c>
      <c r="AA421"/>
      <c r="AB421"/>
      <c r="AC421"/>
      <c r="AD421"/>
      <c r="AE421">
        <v>0</v>
      </c>
      <c r="AF421"/>
      <c r="AG421"/>
      <c r="AH421"/>
    </row>
    <row r="422" spans="1:34" x14ac:dyDescent="0.25">
      <c r="A422" t="s">
        <v>3426</v>
      </c>
      <c r="B422" t="s">
        <v>3427</v>
      </c>
      <c r="C422"/>
      <c r="D422" t="s">
        <v>370</v>
      </c>
      <c r="E422" t="s">
        <v>894</v>
      </c>
      <c r="F422" t="s">
        <v>903</v>
      </c>
      <c r="G422" t="s">
        <v>280</v>
      </c>
      <c r="H422" t="s">
        <v>904</v>
      </c>
      <c r="I422" t="s">
        <v>35</v>
      </c>
      <c r="J422"/>
      <c r="K422">
        <v>1</v>
      </c>
      <c r="L422">
        <v>1</v>
      </c>
      <c r="M422" t="s">
        <v>33</v>
      </c>
      <c r="N422">
        <v>1</v>
      </c>
      <c r="O422">
        <v>1</v>
      </c>
      <c r="P422">
        <v>1</v>
      </c>
      <c r="Q422" t="s">
        <v>38</v>
      </c>
      <c r="R422">
        <v>1</v>
      </c>
      <c r="S422">
        <v>1</v>
      </c>
      <c r="T422">
        <v>1</v>
      </c>
      <c r="U422"/>
      <c r="V422"/>
      <c r="W422"/>
      <c r="X422">
        <v>1</v>
      </c>
      <c r="Y422"/>
      <c r="Z422">
        <v>0</v>
      </c>
      <c r="AA422"/>
      <c r="AB422"/>
      <c r="AC422"/>
      <c r="AD422"/>
      <c r="AE422">
        <v>0</v>
      </c>
      <c r="AF422"/>
      <c r="AG422"/>
      <c r="AH422"/>
    </row>
    <row r="423" spans="1:34" x14ac:dyDescent="0.25">
      <c r="A423" t="s">
        <v>3438</v>
      </c>
      <c r="B423" t="s">
        <v>3439</v>
      </c>
      <c r="C423"/>
      <c r="D423" t="s">
        <v>370</v>
      </c>
      <c r="E423" t="s">
        <v>894</v>
      </c>
      <c r="F423" t="s">
        <v>903</v>
      </c>
      <c r="G423" t="s">
        <v>280</v>
      </c>
      <c r="H423" t="s">
        <v>904</v>
      </c>
      <c r="I423" t="s">
        <v>35</v>
      </c>
      <c r="J423"/>
      <c r="K423">
        <v>1</v>
      </c>
      <c r="L423">
        <v>1</v>
      </c>
      <c r="M423" t="s">
        <v>33</v>
      </c>
      <c r="N423">
        <v>1</v>
      </c>
      <c r="O423">
        <v>1</v>
      </c>
      <c r="P423">
        <v>1</v>
      </c>
      <c r="Q423" t="s">
        <v>38</v>
      </c>
      <c r="R423">
        <v>1</v>
      </c>
      <c r="S423">
        <v>1</v>
      </c>
      <c r="T423">
        <v>1</v>
      </c>
      <c r="U423"/>
      <c r="V423"/>
      <c r="W423"/>
      <c r="X423">
        <v>1</v>
      </c>
      <c r="Y423"/>
      <c r="Z423">
        <v>0</v>
      </c>
      <c r="AA423"/>
      <c r="AB423"/>
      <c r="AC423"/>
      <c r="AD423"/>
      <c r="AE423">
        <v>0</v>
      </c>
      <c r="AF423"/>
      <c r="AG423"/>
      <c r="AH423"/>
    </row>
    <row r="424" spans="1:34" x14ac:dyDescent="0.25">
      <c r="A424" t="s">
        <v>3426</v>
      </c>
      <c r="B424" t="s">
        <v>3427</v>
      </c>
      <c r="C424"/>
      <c r="D424" t="s">
        <v>370</v>
      </c>
      <c r="E424" t="s">
        <v>894</v>
      </c>
      <c r="F424" t="s">
        <v>905</v>
      </c>
      <c r="G424" t="s">
        <v>280</v>
      </c>
      <c r="H424" t="s">
        <v>906</v>
      </c>
      <c r="I424" t="s">
        <v>35</v>
      </c>
      <c r="J424"/>
      <c r="K424">
        <v>1</v>
      </c>
      <c r="L424">
        <v>1</v>
      </c>
      <c r="M424" t="s">
        <v>33</v>
      </c>
      <c r="N424">
        <v>1</v>
      </c>
      <c r="O424">
        <v>1</v>
      </c>
      <c r="P424">
        <v>1</v>
      </c>
      <c r="Q424" t="s">
        <v>38</v>
      </c>
      <c r="R424">
        <v>1</v>
      </c>
      <c r="S424">
        <v>1</v>
      </c>
      <c r="T424">
        <v>1</v>
      </c>
      <c r="U424"/>
      <c r="V424"/>
      <c r="W424"/>
      <c r="X424">
        <v>1</v>
      </c>
      <c r="Y424"/>
      <c r="Z424">
        <v>0</v>
      </c>
      <c r="AA424"/>
      <c r="AB424"/>
      <c r="AC424"/>
      <c r="AD424"/>
      <c r="AE424">
        <v>0</v>
      </c>
      <c r="AF424"/>
      <c r="AG424"/>
      <c r="AH424"/>
    </row>
    <row r="425" spans="1:34" x14ac:dyDescent="0.25">
      <c r="A425" t="s">
        <v>3438</v>
      </c>
      <c r="B425" t="s">
        <v>3439</v>
      </c>
      <c r="C425"/>
      <c r="D425" t="s">
        <v>370</v>
      </c>
      <c r="E425" t="s">
        <v>894</v>
      </c>
      <c r="F425" t="s">
        <v>905</v>
      </c>
      <c r="G425" t="s">
        <v>280</v>
      </c>
      <c r="H425" t="s">
        <v>906</v>
      </c>
      <c r="I425" t="s">
        <v>35</v>
      </c>
      <c r="J425"/>
      <c r="K425">
        <v>1</v>
      </c>
      <c r="L425">
        <v>1</v>
      </c>
      <c r="M425" t="s">
        <v>33</v>
      </c>
      <c r="N425">
        <v>1</v>
      </c>
      <c r="O425">
        <v>1</v>
      </c>
      <c r="P425">
        <v>1</v>
      </c>
      <c r="Q425" t="s">
        <v>38</v>
      </c>
      <c r="R425">
        <v>1</v>
      </c>
      <c r="S425">
        <v>1</v>
      </c>
      <c r="T425">
        <v>1</v>
      </c>
      <c r="U425"/>
      <c r="V425"/>
      <c r="W425"/>
      <c r="X425">
        <v>1</v>
      </c>
      <c r="Y425"/>
      <c r="Z425">
        <v>0</v>
      </c>
      <c r="AA425"/>
      <c r="AB425"/>
      <c r="AC425"/>
      <c r="AD425"/>
      <c r="AE425">
        <v>0</v>
      </c>
      <c r="AF425"/>
      <c r="AG425"/>
      <c r="AH425"/>
    </row>
    <row r="426" spans="1:34" x14ac:dyDescent="0.25">
      <c r="A426" t="s">
        <v>3426</v>
      </c>
      <c r="B426" t="s">
        <v>3427</v>
      </c>
      <c r="C426"/>
      <c r="D426" t="s">
        <v>370</v>
      </c>
      <c r="E426" t="s">
        <v>894</v>
      </c>
      <c r="F426" t="s">
        <v>907</v>
      </c>
      <c r="G426" t="s">
        <v>280</v>
      </c>
      <c r="H426" t="s">
        <v>908</v>
      </c>
      <c r="I426" t="s">
        <v>35</v>
      </c>
      <c r="J426"/>
      <c r="K426">
        <v>1</v>
      </c>
      <c r="L426">
        <v>1</v>
      </c>
      <c r="M426" t="s">
        <v>33</v>
      </c>
      <c r="N426">
        <v>1</v>
      </c>
      <c r="O426">
        <v>1</v>
      </c>
      <c r="P426">
        <v>1</v>
      </c>
      <c r="Q426" t="s">
        <v>38</v>
      </c>
      <c r="R426">
        <v>1</v>
      </c>
      <c r="S426">
        <v>1</v>
      </c>
      <c r="T426">
        <v>1</v>
      </c>
      <c r="U426"/>
      <c r="V426"/>
      <c r="W426"/>
      <c r="X426">
        <v>1</v>
      </c>
      <c r="Y426"/>
      <c r="Z426">
        <v>0</v>
      </c>
      <c r="AA426"/>
      <c r="AB426"/>
      <c r="AC426"/>
      <c r="AD426"/>
      <c r="AE426">
        <v>0</v>
      </c>
      <c r="AF426"/>
      <c r="AG426"/>
      <c r="AH426"/>
    </row>
    <row r="427" spans="1:34" x14ac:dyDescent="0.25">
      <c r="A427" t="s">
        <v>3438</v>
      </c>
      <c r="B427" t="s">
        <v>3439</v>
      </c>
      <c r="C427"/>
      <c r="D427" t="s">
        <v>370</v>
      </c>
      <c r="E427" t="s">
        <v>894</v>
      </c>
      <c r="F427" t="s">
        <v>907</v>
      </c>
      <c r="G427" t="s">
        <v>280</v>
      </c>
      <c r="H427" t="s">
        <v>908</v>
      </c>
      <c r="I427" t="s">
        <v>35</v>
      </c>
      <c r="J427"/>
      <c r="K427">
        <v>1</v>
      </c>
      <c r="L427">
        <v>1</v>
      </c>
      <c r="M427" t="s">
        <v>33</v>
      </c>
      <c r="N427">
        <v>1</v>
      </c>
      <c r="O427">
        <v>1</v>
      </c>
      <c r="P427">
        <v>1</v>
      </c>
      <c r="Q427" t="s">
        <v>38</v>
      </c>
      <c r="R427">
        <v>1</v>
      </c>
      <c r="S427">
        <v>1</v>
      </c>
      <c r="T427">
        <v>1</v>
      </c>
      <c r="U427"/>
      <c r="V427"/>
      <c r="W427"/>
      <c r="X427">
        <v>1</v>
      </c>
      <c r="Y427"/>
      <c r="Z427">
        <v>0</v>
      </c>
      <c r="AA427"/>
      <c r="AB427"/>
      <c r="AC427"/>
      <c r="AD427"/>
      <c r="AE427">
        <v>0</v>
      </c>
      <c r="AF427"/>
      <c r="AG427"/>
      <c r="AH427"/>
    </row>
    <row r="428" spans="1:34" x14ac:dyDescent="0.25">
      <c r="A428" t="s">
        <v>3426</v>
      </c>
      <c r="B428" t="s">
        <v>3427</v>
      </c>
      <c r="C428"/>
      <c r="D428" t="s">
        <v>370</v>
      </c>
      <c r="E428" t="s">
        <v>894</v>
      </c>
      <c r="F428" t="s">
        <v>909</v>
      </c>
      <c r="G428" t="s">
        <v>280</v>
      </c>
      <c r="H428" t="s">
        <v>910</v>
      </c>
      <c r="I428" t="s">
        <v>35</v>
      </c>
      <c r="J428"/>
      <c r="K428">
        <v>1</v>
      </c>
      <c r="L428">
        <v>1</v>
      </c>
      <c r="M428" t="s">
        <v>33</v>
      </c>
      <c r="N428">
        <v>1</v>
      </c>
      <c r="O428">
        <v>1</v>
      </c>
      <c r="P428">
        <v>1</v>
      </c>
      <c r="Q428" t="s">
        <v>38</v>
      </c>
      <c r="R428">
        <v>1</v>
      </c>
      <c r="S428">
        <v>1</v>
      </c>
      <c r="T428">
        <v>1</v>
      </c>
      <c r="U428"/>
      <c r="V428"/>
      <c r="W428"/>
      <c r="X428">
        <v>1</v>
      </c>
      <c r="Y428"/>
      <c r="Z428">
        <v>0</v>
      </c>
      <c r="AA428"/>
      <c r="AB428"/>
      <c r="AC428"/>
      <c r="AD428"/>
      <c r="AE428">
        <v>0</v>
      </c>
      <c r="AF428"/>
      <c r="AG428"/>
      <c r="AH428"/>
    </row>
    <row r="429" spans="1:34" x14ac:dyDescent="0.25">
      <c r="A429" t="s">
        <v>3438</v>
      </c>
      <c r="B429" t="s">
        <v>3439</v>
      </c>
      <c r="C429"/>
      <c r="D429" t="s">
        <v>370</v>
      </c>
      <c r="E429" t="s">
        <v>894</v>
      </c>
      <c r="F429" t="s">
        <v>909</v>
      </c>
      <c r="G429" t="s">
        <v>280</v>
      </c>
      <c r="H429" t="s">
        <v>910</v>
      </c>
      <c r="I429" t="s">
        <v>35</v>
      </c>
      <c r="J429"/>
      <c r="K429">
        <v>1</v>
      </c>
      <c r="L429">
        <v>1</v>
      </c>
      <c r="M429" t="s">
        <v>33</v>
      </c>
      <c r="N429">
        <v>1</v>
      </c>
      <c r="O429">
        <v>1</v>
      </c>
      <c r="P429">
        <v>1</v>
      </c>
      <c r="Q429" t="s">
        <v>38</v>
      </c>
      <c r="R429">
        <v>1</v>
      </c>
      <c r="S429">
        <v>1</v>
      </c>
      <c r="T429">
        <v>1</v>
      </c>
      <c r="U429"/>
      <c r="V429"/>
      <c r="W429"/>
      <c r="X429">
        <v>1</v>
      </c>
      <c r="Y429"/>
      <c r="Z429">
        <v>0</v>
      </c>
      <c r="AA429"/>
      <c r="AB429"/>
      <c r="AC429"/>
      <c r="AD429"/>
      <c r="AE429">
        <v>0</v>
      </c>
      <c r="AF429"/>
      <c r="AG429"/>
      <c r="AH429"/>
    </row>
    <row r="430" spans="1:34" x14ac:dyDescent="0.25">
      <c r="A430" t="s">
        <v>3426</v>
      </c>
      <c r="B430" t="s">
        <v>3427</v>
      </c>
      <c r="C430"/>
      <c r="D430" t="s">
        <v>370</v>
      </c>
      <c r="E430" t="s">
        <v>894</v>
      </c>
      <c r="F430" t="s">
        <v>911</v>
      </c>
      <c r="G430" t="s">
        <v>280</v>
      </c>
      <c r="H430" t="s">
        <v>912</v>
      </c>
      <c r="I430" t="s">
        <v>35</v>
      </c>
      <c r="J430"/>
      <c r="K430">
        <v>1</v>
      </c>
      <c r="L430">
        <v>1</v>
      </c>
      <c r="M430" t="s">
        <v>33</v>
      </c>
      <c r="N430">
        <v>1</v>
      </c>
      <c r="O430">
        <v>1</v>
      </c>
      <c r="P430">
        <v>1</v>
      </c>
      <c r="Q430" t="s">
        <v>38</v>
      </c>
      <c r="R430">
        <v>1</v>
      </c>
      <c r="S430">
        <v>1</v>
      </c>
      <c r="T430">
        <v>1</v>
      </c>
      <c r="U430"/>
      <c r="V430"/>
      <c r="W430"/>
      <c r="X430">
        <v>1</v>
      </c>
      <c r="Y430"/>
      <c r="Z430">
        <v>0</v>
      </c>
      <c r="AA430"/>
      <c r="AB430"/>
      <c r="AC430"/>
      <c r="AD430"/>
      <c r="AE430">
        <v>0</v>
      </c>
      <c r="AF430"/>
      <c r="AG430"/>
      <c r="AH430"/>
    </row>
    <row r="431" spans="1:34" x14ac:dyDescent="0.25">
      <c r="A431" t="s">
        <v>3438</v>
      </c>
      <c r="B431" t="s">
        <v>3439</v>
      </c>
      <c r="C431"/>
      <c r="D431" t="s">
        <v>370</v>
      </c>
      <c r="E431" t="s">
        <v>894</v>
      </c>
      <c r="F431" t="s">
        <v>911</v>
      </c>
      <c r="G431" t="s">
        <v>280</v>
      </c>
      <c r="H431" t="s">
        <v>912</v>
      </c>
      <c r="I431" t="s">
        <v>35</v>
      </c>
      <c r="J431"/>
      <c r="K431">
        <v>1</v>
      </c>
      <c r="L431">
        <v>1</v>
      </c>
      <c r="M431" t="s">
        <v>33</v>
      </c>
      <c r="N431">
        <v>1</v>
      </c>
      <c r="O431">
        <v>1</v>
      </c>
      <c r="P431">
        <v>1</v>
      </c>
      <c r="Q431" t="s">
        <v>38</v>
      </c>
      <c r="R431">
        <v>1</v>
      </c>
      <c r="S431">
        <v>1</v>
      </c>
      <c r="T431">
        <v>1</v>
      </c>
      <c r="U431"/>
      <c r="V431"/>
      <c r="W431"/>
      <c r="X431">
        <v>1</v>
      </c>
      <c r="Y431"/>
      <c r="Z431">
        <v>0</v>
      </c>
      <c r="AA431"/>
      <c r="AB431"/>
      <c r="AC431"/>
      <c r="AD431"/>
      <c r="AE431">
        <v>0</v>
      </c>
      <c r="AF431"/>
      <c r="AG431"/>
      <c r="AH431"/>
    </row>
    <row r="432" spans="1:34" x14ac:dyDescent="0.25">
      <c r="A432" t="s">
        <v>3426</v>
      </c>
      <c r="B432" t="s">
        <v>3427</v>
      </c>
      <c r="C432"/>
      <c r="D432" t="s">
        <v>370</v>
      </c>
      <c r="E432" t="s">
        <v>894</v>
      </c>
      <c r="F432" t="s">
        <v>913</v>
      </c>
      <c r="G432" t="s">
        <v>280</v>
      </c>
      <c r="H432" t="s">
        <v>914</v>
      </c>
      <c r="I432" t="s">
        <v>35</v>
      </c>
      <c r="J432"/>
      <c r="K432">
        <v>1</v>
      </c>
      <c r="L432">
        <v>1</v>
      </c>
      <c r="M432" t="s">
        <v>33</v>
      </c>
      <c r="N432">
        <v>1</v>
      </c>
      <c r="O432">
        <v>1</v>
      </c>
      <c r="P432">
        <v>1</v>
      </c>
      <c r="Q432" t="s">
        <v>38</v>
      </c>
      <c r="R432">
        <v>1</v>
      </c>
      <c r="S432">
        <v>1</v>
      </c>
      <c r="T432">
        <v>1</v>
      </c>
      <c r="U432"/>
      <c r="V432"/>
      <c r="W432"/>
      <c r="X432">
        <v>1</v>
      </c>
      <c r="Y432"/>
      <c r="Z432">
        <v>0</v>
      </c>
      <c r="AA432"/>
      <c r="AB432"/>
      <c r="AC432"/>
      <c r="AD432"/>
      <c r="AE432">
        <v>0</v>
      </c>
      <c r="AF432"/>
      <c r="AG432"/>
      <c r="AH432"/>
    </row>
    <row r="433" spans="1:34" x14ac:dyDescent="0.25">
      <c r="A433" t="s">
        <v>3438</v>
      </c>
      <c r="B433" t="s">
        <v>3439</v>
      </c>
      <c r="C433"/>
      <c r="D433" t="s">
        <v>370</v>
      </c>
      <c r="E433" t="s">
        <v>894</v>
      </c>
      <c r="F433" t="s">
        <v>913</v>
      </c>
      <c r="G433" t="s">
        <v>280</v>
      </c>
      <c r="H433" t="s">
        <v>914</v>
      </c>
      <c r="I433" t="s">
        <v>35</v>
      </c>
      <c r="J433"/>
      <c r="K433">
        <v>1</v>
      </c>
      <c r="L433">
        <v>1</v>
      </c>
      <c r="M433" t="s">
        <v>33</v>
      </c>
      <c r="N433">
        <v>1</v>
      </c>
      <c r="O433">
        <v>1</v>
      </c>
      <c r="P433">
        <v>1</v>
      </c>
      <c r="Q433" t="s">
        <v>38</v>
      </c>
      <c r="R433">
        <v>1</v>
      </c>
      <c r="S433">
        <v>1</v>
      </c>
      <c r="T433">
        <v>1</v>
      </c>
      <c r="U433"/>
      <c r="V433"/>
      <c r="W433"/>
      <c r="X433">
        <v>1</v>
      </c>
      <c r="Y433"/>
      <c r="Z433">
        <v>0</v>
      </c>
      <c r="AA433"/>
      <c r="AB433"/>
      <c r="AC433"/>
      <c r="AD433"/>
      <c r="AE433">
        <v>0</v>
      </c>
      <c r="AF433"/>
      <c r="AG433"/>
      <c r="AH433"/>
    </row>
    <row r="434" spans="1:34" x14ac:dyDescent="0.25">
      <c r="A434" t="s">
        <v>3426</v>
      </c>
      <c r="B434" t="s">
        <v>3427</v>
      </c>
      <c r="C434"/>
      <c r="D434" t="s">
        <v>370</v>
      </c>
      <c r="E434" t="s">
        <v>894</v>
      </c>
      <c r="F434" t="s">
        <v>915</v>
      </c>
      <c r="G434" t="s">
        <v>280</v>
      </c>
      <c r="H434" t="s">
        <v>916</v>
      </c>
      <c r="I434" t="s">
        <v>35</v>
      </c>
      <c r="J434"/>
      <c r="K434">
        <v>1</v>
      </c>
      <c r="L434">
        <v>1</v>
      </c>
      <c r="M434" t="s">
        <v>33</v>
      </c>
      <c r="N434">
        <v>1</v>
      </c>
      <c r="O434">
        <v>1</v>
      </c>
      <c r="P434">
        <v>1</v>
      </c>
      <c r="Q434" t="s">
        <v>38</v>
      </c>
      <c r="R434">
        <v>1</v>
      </c>
      <c r="S434">
        <v>1</v>
      </c>
      <c r="T434">
        <v>1</v>
      </c>
      <c r="U434"/>
      <c r="V434"/>
      <c r="W434"/>
      <c r="X434">
        <v>1</v>
      </c>
      <c r="Y434"/>
      <c r="Z434">
        <v>0</v>
      </c>
      <c r="AA434"/>
      <c r="AB434"/>
      <c r="AC434"/>
      <c r="AD434"/>
      <c r="AE434">
        <v>0</v>
      </c>
      <c r="AF434"/>
      <c r="AG434"/>
      <c r="AH434"/>
    </row>
    <row r="435" spans="1:34" x14ac:dyDescent="0.25">
      <c r="A435" t="s">
        <v>3438</v>
      </c>
      <c r="B435" t="s">
        <v>3439</v>
      </c>
      <c r="C435"/>
      <c r="D435" t="s">
        <v>370</v>
      </c>
      <c r="E435" t="s">
        <v>894</v>
      </c>
      <c r="F435" t="s">
        <v>915</v>
      </c>
      <c r="G435" t="s">
        <v>280</v>
      </c>
      <c r="H435" t="s">
        <v>916</v>
      </c>
      <c r="I435" t="s">
        <v>35</v>
      </c>
      <c r="J435"/>
      <c r="K435">
        <v>1</v>
      </c>
      <c r="L435">
        <v>1</v>
      </c>
      <c r="M435" t="s">
        <v>33</v>
      </c>
      <c r="N435">
        <v>1</v>
      </c>
      <c r="O435">
        <v>1</v>
      </c>
      <c r="P435">
        <v>1</v>
      </c>
      <c r="Q435" t="s">
        <v>38</v>
      </c>
      <c r="R435">
        <v>1</v>
      </c>
      <c r="S435">
        <v>1</v>
      </c>
      <c r="T435">
        <v>1</v>
      </c>
      <c r="U435"/>
      <c r="V435"/>
      <c r="W435"/>
      <c r="X435">
        <v>1</v>
      </c>
      <c r="Y435"/>
      <c r="Z435">
        <v>0</v>
      </c>
      <c r="AA435"/>
      <c r="AB435"/>
      <c r="AC435"/>
      <c r="AD435"/>
      <c r="AE435">
        <v>0</v>
      </c>
      <c r="AF435"/>
      <c r="AG435"/>
      <c r="AH435"/>
    </row>
    <row r="436" spans="1:34" x14ac:dyDescent="0.25">
      <c r="A436" t="s">
        <v>3426</v>
      </c>
      <c r="B436" t="s">
        <v>3427</v>
      </c>
      <c r="C436"/>
      <c r="D436" t="s">
        <v>370</v>
      </c>
      <c r="E436" t="s">
        <v>894</v>
      </c>
      <c r="F436" t="s">
        <v>917</v>
      </c>
      <c r="G436" t="s">
        <v>280</v>
      </c>
      <c r="H436" t="s">
        <v>918</v>
      </c>
      <c r="I436" t="s">
        <v>35</v>
      </c>
      <c r="J436"/>
      <c r="K436">
        <v>1</v>
      </c>
      <c r="L436">
        <v>1</v>
      </c>
      <c r="M436" t="s">
        <v>33</v>
      </c>
      <c r="N436">
        <v>1</v>
      </c>
      <c r="O436">
        <v>1</v>
      </c>
      <c r="P436">
        <v>1</v>
      </c>
      <c r="Q436" t="s">
        <v>38</v>
      </c>
      <c r="R436">
        <v>1</v>
      </c>
      <c r="S436">
        <v>1</v>
      </c>
      <c r="T436">
        <v>1</v>
      </c>
      <c r="U436"/>
      <c r="V436"/>
      <c r="W436"/>
      <c r="X436">
        <v>1</v>
      </c>
      <c r="Y436"/>
      <c r="Z436">
        <v>0</v>
      </c>
      <c r="AA436"/>
      <c r="AB436"/>
      <c r="AC436"/>
      <c r="AD436"/>
      <c r="AE436">
        <v>0</v>
      </c>
      <c r="AF436"/>
      <c r="AG436"/>
      <c r="AH436"/>
    </row>
    <row r="437" spans="1:34" x14ac:dyDescent="0.25">
      <c r="A437" t="s">
        <v>3438</v>
      </c>
      <c r="B437" t="s">
        <v>3439</v>
      </c>
      <c r="C437"/>
      <c r="D437" t="s">
        <v>370</v>
      </c>
      <c r="E437" t="s">
        <v>894</v>
      </c>
      <c r="F437" t="s">
        <v>917</v>
      </c>
      <c r="G437" t="s">
        <v>280</v>
      </c>
      <c r="H437" t="s">
        <v>918</v>
      </c>
      <c r="I437" t="s">
        <v>35</v>
      </c>
      <c r="J437"/>
      <c r="K437">
        <v>1</v>
      </c>
      <c r="L437">
        <v>1</v>
      </c>
      <c r="M437" t="s">
        <v>33</v>
      </c>
      <c r="N437">
        <v>1</v>
      </c>
      <c r="O437">
        <v>1</v>
      </c>
      <c r="P437">
        <v>1</v>
      </c>
      <c r="Q437" t="s">
        <v>38</v>
      </c>
      <c r="R437">
        <v>1</v>
      </c>
      <c r="S437">
        <v>1</v>
      </c>
      <c r="T437">
        <v>1</v>
      </c>
      <c r="U437"/>
      <c r="V437"/>
      <c r="W437"/>
      <c r="X437">
        <v>1</v>
      </c>
      <c r="Y437"/>
      <c r="Z437">
        <v>0</v>
      </c>
      <c r="AA437"/>
      <c r="AB437"/>
      <c r="AC437"/>
      <c r="AD437"/>
      <c r="AE437">
        <v>0</v>
      </c>
      <c r="AF437"/>
      <c r="AG437"/>
      <c r="AH437"/>
    </row>
    <row r="438" spans="1:34" x14ac:dyDescent="0.25">
      <c r="A438" t="s">
        <v>3426</v>
      </c>
      <c r="B438" t="s">
        <v>3427</v>
      </c>
      <c r="C438"/>
      <c r="D438" t="s">
        <v>370</v>
      </c>
      <c r="E438" t="s">
        <v>894</v>
      </c>
      <c r="F438" t="s">
        <v>919</v>
      </c>
      <c r="G438" t="s">
        <v>280</v>
      </c>
      <c r="H438" t="s">
        <v>920</v>
      </c>
      <c r="I438" t="s">
        <v>35</v>
      </c>
      <c r="J438"/>
      <c r="K438">
        <v>1</v>
      </c>
      <c r="L438">
        <v>1</v>
      </c>
      <c r="M438" t="s">
        <v>33</v>
      </c>
      <c r="N438">
        <v>1</v>
      </c>
      <c r="O438">
        <v>1</v>
      </c>
      <c r="P438">
        <v>1</v>
      </c>
      <c r="Q438" t="s">
        <v>38</v>
      </c>
      <c r="R438">
        <v>1</v>
      </c>
      <c r="S438">
        <v>1</v>
      </c>
      <c r="T438">
        <v>1</v>
      </c>
      <c r="U438"/>
      <c r="V438"/>
      <c r="W438"/>
      <c r="X438">
        <v>1</v>
      </c>
      <c r="Y438"/>
      <c r="Z438">
        <v>0</v>
      </c>
      <c r="AA438"/>
      <c r="AB438"/>
      <c r="AC438"/>
      <c r="AD438"/>
      <c r="AE438">
        <v>0</v>
      </c>
      <c r="AF438"/>
      <c r="AG438"/>
      <c r="AH438"/>
    </row>
    <row r="439" spans="1:34" x14ac:dyDescent="0.25">
      <c r="A439" t="s">
        <v>3438</v>
      </c>
      <c r="B439" t="s">
        <v>3439</v>
      </c>
      <c r="C439"/>
      <c r="D439" t="s">
        <v>370</v>
      </c>
      <c r="E439" t="s">
        <v>894</v>
      </c>
      <c r="F439" t="s">
        <v>919</v>
      </c>
      <c r="G439" t="s">
        <v>280</v>
      </c>
      <c r="H439" t="s">
        <v>920</v>
      </c>
      <c r="I439" t="s">
        <v>35</v>
      </c>
      <c r="J439"/>
      <c r="K439">
        <v>1</v>
      </c>
      <c r="L439">
        <v>1</v>
      </c>
      <c r="M439" t="s">
        <v>33</v>
      </c>
      <c r="N439">
        <v>1</v>
      </c>
      <c r="O439">
        <v>1</v>
      </c>
      <c r="P439">
        <v>1</v>
      </c>
      <c r="Q439" t="s">
        <v>38</v>
      </c>
      <c r="R439">
        <v>1</v>
      </c>
      <c r="S439">
        <v>1</v>
      </c>
      <c r="T439">
        <v>1</v>
      </c>
      <c r="U439"/>
      <c r="V439"/>
      <c r="W439"/>
      <c r="X439">
        <v>1</v>
      </c>
      <c r="Y439"/>
      <c r="Z439">
        <v>0</v>
      </c>
      <c r="AA439"/>
      <c r="AB439"/>
      <c r="AC439"/>
      <c r="AD439"/>
      <c r="AE439">
        <v>0</v>
      </c>
      <c r="AF439"/>
      <c r="AG439"/>
      <c r="AH439"/>
    </row>
    <row r="440" spans="1:34" x14ac:dyDescent="0.25">
      <c r="A440" t="s">
        <v>3426</v>
      </c>
      <c r="B440" t="s">
        <v>3427</v>
      </c>
      <c r="C440"/>
      <c r="D440" t="s">
        <v>370</v>
      </c>
      <c r="E440" t="s">
        <v>894</v>
      </c>
      <c r="F440" t="s">
        <v>921</v>
      </c>
      <c r="G440" t="s">
        <v>280</v>
      </c>
      <c r="H440" t="s">
        <v>922</v>
      </c>
      <c r="I440" t="s">
        <v>35</v>
      </c>
      <c r="J440"/>
      <c r="K440">
        <v>1</v>
      </c>
      <c r="L440">
        <v>1</v>
      </c>
      <c r="M440" t="s">
        <v>33</v>
      </c>
      <c r="N440">
        <v>1</v>
      </c>
      <c r="O440">
        <v>1</v>
      </c>
      <c r="P440">
        <v>1</v>
      </c>
      <c r="Q440" t="s">
        <v>38</v>
      </c>
      <c r="R440">
        <v>1</v>
      </c>
      <c r="S440">
        <v>1</v>
      </c>
      <c r="T440">
        <v>1</v>
      </c>
      <c r="U440"/>
      <c r="V440"/>
      <c r="W440"/>
      <c r="X440">
        <v>1</v>
      </c>
      <c r="Y440"/>
      <c r="Z440">
        <v>0</v>
      </c>
      <c r="AA440"/>
      <c r="AB440"/>
      <c r="AC440"/>
      <c r="AD440"/>
      <c r="AE440">
        <v>0</v>
      </c>
      <c r="AF440"/>
      <c r="AG440"/>
      <c r="AH440"/>
    </row>
    <row r="441" spans="1:34" x14ac:dyDescent="0.25">
      <c r="A441" t="s">
        <v>3438</v>
      </c>
      <c r="B441" t="s">
        <v>3439</v>
      </c>
      <c r="C441"/>
      <c r="D441" t="s">
        <v>370</v>
      </c>
      <c r="E441" t="s">
        <v>894</v>
      </c>
      <c r="F441" t="s">
        <v>921</v>
      </c>
      <c r="G441" t="s">
        <v>280</v>
      </c>
      <c r="H441" t="s">
        <v>922</v>
      </c>
      <c r="I441" t="s">
        <v>35</v>
      </c>
      <c r="J441"/>
      <c r="K441">
        <v>1</v>
      </c>
      <c r="L441">
        <v>1</v>
      </c>
      <c r="M441" t="s">
        <v>33</v>
      </c>
      <c r="N441">
        <v>1</v>
      </c>
      <c r="O441">
        <v>1</v>
      </c>
      <c r="P441">
        <v>1</v>
      </c>
      <c r="Q441" t="s">
        <v>38</v>
      </c>
      <c r="R441">
        <v>1</v>
      </c>
      <c r="S441">
        <v>1</v>
      </c>
      <c r="T441">
        <v>1</v>
      </c>
      <c r="U441"/>
      <c r="V441"/>
      <c r="W441"/>
      <c r="X441">
        <v>1</v>
      </c>
      <c r="Y441"/>
      <c r="Z441">
        <v>0</v>
      </c>
      <c r="AA441"/>
      <c r="AB441"/>
      <c r="AC441"/>
      <c r="AD441"/>
      <c r="AE441">
        <v>0</v>
      </c>
      <c r="AF441"/>
      <c r="AG441"/>
      <c r="AH441"/>
    </row>
    <row r="442" spans="1:34" x14ac:dyDescent="0.25">
      <c r="A442" t="s">
        <v>3426</v>
      </c>
      <c r="B442" t="s">
        <v>3427</v>
      </c>
      <c r="C442"/>
      <c r="D442" t="s">
        <v>370</v>
      </c>
      <c r="E442" t="s">
        <v>894</v>
      </c>
      <c r="F442" t="s">
        <v>923</v>
      </c>
      <c r="G442" t="s">
        <v>280</v>
      </c>
      <c r="H442" t="s">
        <v>924</v>
      </c>
      <c r="I442" t="s">
        <v>35</v>
      </c>
      <c r="J442"/>
      <c r="K442">
        <v>1</v>
      </c>
      <c r="L442">
        <v>1</v>
      </c>
      <c r="M442" t="s">
        <v>33</v>
      </c>
      <c r="N442">
        <v>1</v>
      </c>
      <c r="O442">
        <v>1</v>
      </c>
      <c r="P442">
        <v>1</v>
      </c>
      <c r="Q442" t="s">
        <v>38</v>
      </c>
      <c r="R442">
        <v>1</v>
      </c>
      <c r="S442">
        <v>1</v>
      </c>
      <c r="T442">
        <v>1</v>
      </c>
      <c r="U442"/>
      <c r="V442"/>
      <c r="W442"/>
      <c r="X442">
        <v>1</v>
      </c>
      <c r="Y442"/>
      <c r="Z442">
        <v>0</v>
      </c>
      <c r="AA442"/>
      <c r="AB442"/>
      <c r="AC442"/>
      <c r="AD442"/>
      <c r="AE442">
        <v>0</v>
      </c>
      <c r="AF442"/>
      <c r="AG442"/>
      <c r="AH442"/>
    </row>
    <row r="443" spans="1:34" x14ac:dyDescent="0.25">
      <c r="A443" t="s">
        <v>3438</v>
      </c>
      <c r="B443" t="s">
        <v>3439</v>
      </c>
      <c r="C443"/>
      <c r="D443" t="s">
        <v>370</v>
      </c>
      <c r="E443" t="s">
        <v>894</v>
      </c>
      <c r="F443" t="s">
        <v>923</v>
      </c>
      <c r="G443" t="s">
        <v>280</v>
      </c>
      <c r="H443" t="s">
        <v>924</v>
      </c>
      <c r="I443" t="s">
        <v>35</v>
      </c>
      <c r="J443"/>
      <c r="K443">
        <v>1</v>
      </c>
      <c r="L443">
        <v>1</v>
      </c>
      <c r="M443" t="s">
        <v>33</v>
      </c>
      <c r="N443">
        <v>1</v>
      </c>
      <c r="O443">
        <v>1</v>
      </c>
      <c r="P443">
        <v>1</v>
      </c>
      <c r="Q443" t="s">
        <v>38</v>
      </c>
      <c r="R443">
        <v>1</v>
      </c>
      <c r="S443">
        <v>1</v>
      </c>
      <c r="T443">
        <v>1</v>
      </c>
      <c r="U443"/>
      <c r="V443"/>
      <c r="W443"/>
      <c r="X443">
        <v>1</v>
      </c>
      <c r="Y443"/>
      <c r="Z443">
        <v>0</v>
      </c>
      <c r="AA443"/>
      <c r="AB443"/>
      <c r="AC443"/>
      <c r="AD443"/>
      <c r="AE443">
        <v>0</v>
      </c>
      <c r="AF443"/>
      <c r="AG443"/>
      <c r="AH443"/>
    </row>
    <row r="444" spans="1:34" x14ac:dyDescent="0.25">
      <c r="A444" t="s">
        <v>3426</v>
      </c>
      <c r="B444" t="s">
        <v>3427</v>
      </c>
      <c r="C444"/>
      <c r="D444" t="s">
        <v>370</v>
      </c>
      <c r="E444" t="s">
        <v>894</v>
      </c>
      <c r="F444" t="s">
        <v>925</v>
      </c>
      <c r="G444" t="s">
        <v>280</v>
      </c>
      <c r="H444" t="s">
        <v>926</v>
      </c>
      <c r="I444" t="s">
        <v>35</v>
      </c>
      <c r="J444"/>
      <c r="K444">
        <v>1</v>
      </c>
      <c r="L444">
        <v>1</v>
      </c>
      <c r="M444" t="s">
        <v>33</v>
      </c>
      <c r="N444">
        <v>1</v>
      </c>
      <c r="O444">
        <v>1</v>
      </c>
      <c r="P444">
        <v>1</v>
      </c>
      <c r="Q444" t="s">
        <v>38</v>
      </c>
      <c r="R444">
        <v>1</v>
      </c>
      <c r="S444">
        <v>1</v>
      </c>
      <c r="T444">
        <v>1</v>
      </c>
      <c r="U444"/>
      <c r="V444"/>
      <c r="W444"/>
      <c r="X444">
        <v>1</v>
      </c>
      <c r="Y444"/>
      <c r="Z444">
        <v>0</v>
      </c>
      <c r="AA444"/>
      <c r="AB444"/>
      <c r="AC444"/>
      <c r="AD444"/>
      <c r="AE444">
        <v>0</v>
      </c>
      <c r="AF444"/>
      <c r="AG444"/>
      <c r="AH444"/>
    </row>
    <row r="445" spans="1:34" x14ac:dyDescent="0.25">
      <c r="A445" t="s">
        <v>3438</v>
      </c>
      <c r="B445" t="s">
        <v>3439</v>
      </c>
      <c r="C445"/>
      <c r="D445" t="s">
        <v>370</v>
      </c>
      <c r="E445" t="s">
        <v>894</v>
      </c>
      <c r="F445" t="s">
        <v>925</v>
      </c>
      <c r="G445" t="s">
        <v>280</v>
      </c>
      <c r="H445" t="s">
        <v>926</v>
      </c>
      <c r="I445" t="s">
        <v>35</v>
      </c>
      <c r="J445"/>
      <c r="K445">
        <v>1</v>
      </c>
      <c r="L445">
        <v>1</v>
      </c>
      <c r="M445" t="s">
        <v>33</v>
      </c>
      <c r="N445">
        <v>1</v>
      </c>
      <c r="O445">
        <v>1</v>
      </c>
      <c r="P445">
        <v>1</v>
      </c>
      <c r="Q445" t="s">
        <v>38</v>
      </c>
      <c r="R445">
        <v>1</v>
      </c>
      <c r="S445">
        <v>1</v>
      </c>
      <c r="T445">
        <v>1</v>
      </c>
      <c r="U445"/>
      <c r="V445"/>
      <c r="W445"/>
      <c r="X445">
        <v>1</v>
      </c>
      <c r="Y445"/>
      <c r="Z445">
        <v>0</v>
      </c>
      <c r="AA445"/>
      <c r="AB445"/>
      <c r="AC445"/>
      <c r="AD445"/>
      <c r="AE445">
        <v>0</v>
      </c>
      <c r="AF445"/>
      <c r="AG445"/>
      <c r="AH445"/>
    </row>
    <row r="446" spans="1:34" x14ac:dyDescent="0.25">
      <c r="A446" t="s">
        <v>3426</v>
      </c>
      <c r="B446" t="s">
        <v>3427</v>
      </c>
      <c r="C446"/>
      <c r="D446" t="s">
        <v>370</v>
      </c>
      <c r="E446" t="s">
        <v>894</v>
      </c>
      <c r="F446" t="s">
        <v>927</v>
      </c>
      <c r="G446" t="s">
        <v>280</v>
      </c>
      <c r="H446" t="s">
        <v>928</v>
      </c>
      <c r="I446" t="s">
        <v>35</v>
      </c>
      <c r="J446"/>
      <c r="K446">
        <v>1</v>
      </c>
      <c r="L446">
        <v>1</v>
      </c>
      <c r="M446" t="s">
        <v>33</v>
      </c>
      <c r="N446">
        <v>1</v>
      </c>
      <c r="O446">
        <v>1</v>
      </c>
      <c r="P446">
        <v>1</v>
      </c>
      <c r="Q446" t="s">
        <v>38</v>
      </c>
      <c r="R446">
        <v>1</v>
      </c>
      <c r="S446">
        <v>1</v>
      </c>
      <c r="T446">
        <v>1</v>
      </c>
      <c r="U446"/>
      <c r="V446"/>
      <c r="W446"/>
      <c r="X446">
        <v>1</v>
      </c>
      <c r="Y446"/>
      <c r="Z446">
        <v>0</v>
      </c>
      <c r="AA446"/>
      <c r="AB446"/>
      <c r="AC446"/>
      <c r="AD446"/>
      <c r="AE446">
        <v>0</v>
      </c>
      <c r="AF446"/>
      <c r="AG446"/>
      <c r="AH446"/>
    </row>
    <row r="447" spans="1:34" x14ac:dyDescent="0.25">
      <c r="A447" t="s">
        <v>3438</v>
      </c>
      <c r="B447" t="s">
        <v>3439</v>
      </c>
      <c r="C447"/>
      <c r="D447" t="s">
        <v>370</v>
      </c>
      <c r="E447" t="s">
        <v>894</v>
      </c>
      <c r="F447" t="s">
        <v>927</v>
      </c>
      <c r="G447" t="s">
        <v>280</v>
      </c>
      <c r="H447" t="s">
        <v>928</v>
      </c>
      <c r="I447" t="s">
        <v>35</v>
      </c>
      <c r="J447"/>
      <c r="K447">
        <v>1</v>
      </c>
      <c r="L447">
        <v>1</v>
      </c>
      <c r="M447" t="s">
        <v>33</v>
      </c>
      <c r="N447">
        <v>1</v>
      </c>
      <c r="O447">
        <v>1</v>
      </c>
      <c r="P447">
        <v>1</v>
      </c>
      <c r="Q447" t="s">
        <v>38</v>
      </c>
      <c r="R447">
        <v>1</v>
      </c>
      <c r="S447">
        <v>1</v>
      </c>
      <c r="T447">
        <v>1</v>
      </c>
      <c r="U447"/>
      <c r="V447"/>
      <c r="W447"/>
      <c r="X447">
        <v>1</v>
      </c>
      <c r="Y447"/>
      <c r="Z447">
        <v>0</v>
      </c>
      <c r="AA447"/>
      <c r="AB447"/>
      <c r="AC447"/>
      <c r="AD447"/>
      <c r="AE447">
        <v>0</v>
      </c>
      <c r="AF447"/>
      <c r="AG447"/>
      <c r="AH447"/>
    </row>
    <row r="448" spans="1:34" x14ac:dyDescent="0.25">
      <c r="A448" t="s">
        <v>3426</v>
      </c>
      <c r="B448" t="s">
        <v>3427</v>
      </c>
      <c r="C448"/>
      <c r="D448" t="s">
        <v>370</v>
      </c>
      <c r="E448" t="s">
        <v>894</v>
      </c>
      <c r="F448" t="s">
        <v>929</v>
      </c>
      <c r="G448" t="s">
        <v>280</v>
      </c>
      <c r="H448" t="s">
        <v>930</v>
      </c>
      <c r="I448" t="s">
        <v>35</v>
      </c>
      <c r="J448"/>
      <c r="K448">
        <v>1</v>
      </c>
      <c r="L448">
        <v>1</v>
      </c>
      <c r="M448" t="s">
        <v>33</v>
      </c>
      <c r="N448">
        <v>1</v>
      </c>
      <c r="O448">
        <v>1</v>
      </c>
      <c r="P448">
        <v>1</v>
      </c>
      <c r="Q448" t="s">
        <v>38</v>
      </c>
      <c r="R448">
        <v>1</v>
      </c>
      <c r="S448">
        <v>1</v>
      </c>
      <c r="T448">
        <v>1</v>
      </c>
      <c r="U448"/>
      <c r="V448"/>
      <c r="W448"/>
      <c r="X448">
        <v>1</v>
      </c>
      <c r="Y448"/>
      <c r="Z448">
        <v>0</v>
      </c>
      <c r="AA448"/>
      <c r="AB448"/>
      <c r="AC448"/>
      <c r="AD448"/>
      <c r="AE448">
        <v>0</v>
      </c>
      <c r="AF448"/>
      <c r="AG448"/>
      <c r="AH448"/>
    </row>
    <row r="449" spans="1:34" x14ac:dyDescent="0.25">
      <c r="A449" t="s">
        <v>3438</v>
      </c>
      <c r="B449" t="s">
        <v>3439</v>
      </c>
      <c r="C449"/>
      <c r="D449" t="s">
        <v>370</v>
      </c>
      <c r="E449" t="s">
        <v>894</v>
      </c>
      <c r="F449" t="s">
        <v>929</v>
      </c>
      <c r="G449" t="s">
        <v>280</v>
      </c>
      <c r="H449" t="s">
        <v>930</v>
      </c>
      <c r="I449" t="s">
        <v>35</v>
      </c>
      <c r="J449"/>
      <c r="K449">
        <v>1</v>
      </c>
      <c r="L449">
        <v>1</v>
      </c>
      <c r="M449" t="s">
        <v>33</v>
      </c>
      <c r="N449">
        <v>1</v>
      </c>
      <c r="O449">
        <v>1</v>
      </c>
      <c r="P449">
        <v>1</v>
      </c>
      <c r="Q449" t="s">
        <v>38</v>
      </c>
      <c r="R449">
        <v>1</v>
      </c>
      <c r="S449">
        <v>1</v>
      </c>
      <c r="T449">
        <v>1</v>
      </c>
      <c r="U449"/>
      <c r="V449"/>
      <c r="W449"/>
      <c r="X449">
        <v>1</v>
      </c>
      <c r="Y449"/>
      <c r="Z449">
        <v>0</v>
      </c>
      <c r="AA449"/>
      <c r="AB449"/>
      <c r="AC449"/>
      <c r="AD449"/>
      <c r="AE449">
        <v>0</v>
      </c>
      <c r="AF449"/>
      <c r="AG449"/>
      <c r="AH449"/>
    </row>
    <row r="450" spans="1:34" x14ac:dyDescent="0.25">
      <c r="A450" t="s">
        <v>3426</v>
      </c>
      <c r="B450" t="s">
        <v>3427</v>
      </c>
      <c r="C450"/>
      <c r="D450" t="s">
        <v>370</v>
      </c>
      <c r="E450" t="s">
        <v>894</v>
      </c>
      <c r="F450" t="s">
        <v>931</v>
      </c>
      <c r="G450" t="s">
        <v>280</v>
      </c>
      <c r="H450" t="s">
        <v>932</v>
      </c>
      <c r="I450" t="s">
        <v>35</v>
      </c>
      <c r="J450"/>
      <c r="K450">
        <v>1</v>
      </c>
      <c r="L450">
        <v>1</v>
      </c>
      <c r="M450" t="s">
        <v>33</v>
      </c>
      <c r="N450">
        <v>1</v>
      </c>
      <c r="O450">
        <v>1</v>
      </c>
      <c r="P450">
        <v>1</v>
      </c>
      <c r="Q450" t="s">
        <v>38</v>
      </c>
      <c r="R450">
        <v>1</v>
      </c>
      <c r="S450">
        <v>1</v>
      </c>
      <c r="T450">
        <v>1</v>
      </c>
      <c r="U450"/>
      <c r="V450"/>
      <c r="W450"/>
      <c r="X450">
        <v>1</v>
      </c>
      <c r="Y450"/>
      <c r="Z450">
        <v>0</v>
      </c>
      <c r="AA450"/>
      <c r="AB450"/>
      <c r="AC450"/>
      <c r="AD450"/>
      <c r="AE450">
        <v>0</v>
      </c>
      <c r="AF450"/>
      <c r="AG450"/>
      <c r="AH450"/>
    </row>
    <row r="451" spans="1:34" x14ac:dyDescent="0.25">
      <c r="A451" t="s">
        <v>3438</v>
      </c>
      <c r="B451" t="s">
        <v>3439</v>
      </c>
      <c r="C451"/>
      <c r="D451" t="s">
        <v>370</v>
      </c>
      <c r="E451" t="s">
        <v>894</v>
      </c>
      <c r="F451" t="s">
        <v>931</v>
      </c>
      <c r="G451" t="s">
        <v>280</v>
      </c>
      <c r="H451" t="s">
        <v>932</v>
      </c>
      <c r="I451" t="s">
        <v>35</v>
      </c>
      <c r="J451"/>
      <c r="K451">
        <v>1</v>
      </c>
      <c r="L451">
        <v>1</v>
      </c>
      <c r="M451" t="s">
        <v>33</v>
      </c>
      <c r="N451">
        <v>1</v>
      </c>
      <c r="O451">
        <v>1</v>
      </c>
      <c r="P451">
        <v>1</v>
      </c>
      <c r="Q451" t="s">
        <v>38</v>
      </c>
      <c r="R451">
        <v>1</v>
      </c>
      <c r="S451">
        <v>1</v>
      </c>
      <c r="T451">
        <v>1</v>
      </c>
      <c r="U451"/>
      <c r="V451"/>
      <c r="W451"/>
      <c r="X451">
        <v>1</v>
      </c>
      <c r="Y451"/>
      <c r="Z451">
        <v>0</v>
      </c>
      <c r="AA451"/>
      <c r="AB451"/>
      <c r="AC451"/>
      <c r="AD451"/>
      <c r="AE451">
        <v>0</v>
      </c>
      <c r="AF451"/>
      <c r="AG451"/>
      <c r="AH451"/>
    </row>
    <row r="452" spans="1:34" x14ac:dyDescent="0.25">
      <c r="A452" t="s">
        <v>3426</v>
      </c>
      <c r="B452" t="s">
        <v>3427</v>
      </c>
      <c r="C452"/>
      <c r="D452" t="s">
        <v>370</v>
      </c>
      <c r="E452" t="s">
        <v>894</v>
      </c>
      <c r="F452" t="s">
        <v>933</v>
      </c>
      <c r="G452" t="s">
        <v>280</v>
      </c>
      <c r="H452" t="s">
        <v>934</v>
      </c>
      <c r="I452" t="s">
        <v>35</v>
      </c>
      <c r="J452"/>
      <c r="K452">
        <v>1</v>
      </c>
      <c r="L452">
        <v>1</v>
      </c>
      <c r="M452" t="s">
        <v>33</v>
      </c>
      <c r="N452">
        <v>1</v>
      </c>
      <c r="O452">
        <v>1</v>
      </c>
      <c r="P452">
        <v>1</v>
      </c>
      <c r="Q452" t="s">
        <v>38</v>
      </c>
      <c r="R452">
        <v>1</v>
      </c>
      <c r="S452">
        <v>1</v>
      </c>
      <c r="T452">
        <v>1</v>
      </c>
      <c r="U452"/>
      <c r="V452"/>
      <c r="W452"/>
      <c r="X452">
        <v>1</v>
      </c>
      <c r="Y452"/>
      <c r="Z452">
        <v>0</v>
      </c>
      <c r="AA452"/>
      <c r="AB452"/>
      <c r="AC452"/>
      <c r="AD452"/>
      <c r="AE452">
        <v>0</v>
      </c>
      <c r="AF452"/>
      <c r="AG452"/>
      <c r="AH452"/>
    </row>
    <row r="453" spans="1:34" x14ac:dyDescent="0.25">
      <c r="A453" t="s">
        <v>3438</v>
      </c>
      <c r="B453" t="s">
        <v>3439</v>
      </c>
      <c r="C453"/>
      <c r="D453" t="s">
        <v>370</v>
      </c>
      <c r="E453" t="s">
        <v>894</v>
      </c>
      <c r="F453" t="s">
        <v>933</v>
      </c>
      <c r="G453" t="s">
        <v>280</v>
      </c>
      <c r="H453" t="s">
        <v>934</v>
      </c>
      <c r="I453" t="s">
        <v>35</v>
      </c>
      <c r="J453"/>
      <c r="K453">
        <v>1</v>
      </c>
      <c r="L453">
        <v>1</v>
      </c>
      <c r="M453" t="s">
        <v>33</v>
      </c>
      <c r="N453">
        <v>1</v>
      </c>
      <c r="O453">
        <v>1</v>
      </c>
      <c r="P453">
        <v>1</v>
      </c>
      <c r="Q453" t="s">
        <v>38</v>
      </c>
      <c r="R453">
        <v>1</v>
      </c>
      <c r="S453">
        <v>1</v>
      </c>
      <c r="T453">
        <v>1</v>
      </c>
      <c r="U453"/>
      <c r="V453"/>
      <c r="W453"/>
      <c r="X453">
        <v>1</v>
      </c>
      <c r="Y453"/>
      <c r="Z453">
        <v>0</v>
      </c>
      <c r="AA453"/>
      <c r="AB453"/>
      <c r="AC453"/>
      <c r="AD453"/>
      <c r="AE453">
        <v>0</v>
      </c>
      <c r="AF453"/>
      <c r="AG453"/>
      <c r="AH453"/>
    </row>
    <row r="454" spans="1:34" x14ac:dyDescent="0.25">
      <c r="A454" t="s">
        <v>3426</v>
      </c>
      <c r="B454" t="s">
        <v>3427</v>
      </c>
      <c r="C454"/>
      <c r="D454" t="s">
        <v>370</v>
      </c>
      <c r="E454" t="s">
        <v>894</v>
      </c>
      <c r="F454" t="s">
        <v>935</v>
      </c>
      <c r="G454" t="s">
        <v>280</v>
      </c>
      <c r="H454" t="s">
        <v>936</v>
      </c>
      <c r="I454" t="s">
        <v>35</v>
      </c>
      <c r="J454"/>
      <c r="K454">
        <v>1</v>
      </c>
      <c r="L454">
        <v>1</v>
      </c>
      <c r="M454" t="s">
        <v>33</v>
      </c>
      <c r="N454">
        <v>1</v>
      </c>
      <c r="O454">
        <v>1</v>
      </c>
      <c r="P454">
        <v>1</v>
      </c>
      <c r="Q454" t="s">
        <v>38</v>
      </c>
      <c r="R454">
        <v>1</v>
      </c>
      <c r="S454">
        <v>1</v>
      </c>
      <c r="T454">
        <v>1</v>
      </c>
      <c r="U454"/>
      <c r="V454"/>
      <c r="W454"/>
      <c r="X454">
        <v>1</v>
      </c>
      <c r="Y454"/>
      <c r="Z454">
        <v>0</v>
      </c>
      <c r="AA454"/>
      <c r="AB454"/>
      <c r="AC454"/>
      <c r="AD454"/>
      <c r="AE454">
        <v>0</v>
      </c>
      <c r="AF454"/>
      <c r="AG454"/>
      <c r="AH454"/>
    </row>
    <row r="455" spans="1:34" x14ac:dyDescent="0.25">
      <c r="A455" t="s">
        <v>3438</v>
      </c>
      <c r="B455" t="s">
        <v>3439</v>
      </c>
      <c r="C455"/>
      <c r="D455" t="s">
        <v>370</v>
      </c>
      <c r="E455" t="s">
        <v>894</v>
      </c>
      <c r="F455" t="s">
        <v>935</v>
      </c>
      <c r="G455" t="s">
        <v>280</v>
      </c>
      <c r="H455" t="s">
        <v>936</v>
      </c>
      <c r="I455" t="s">
        <v>35</v>
      </c>
      <c r="J455"/>
      <c r="K455">
        <v>1</v>
      </c>
      <c r="L455">
        <v>1</v>
      </c>
      <c r="M455" t="s">
        <v>33</v>
      </c>
      <c r="N455">
        <v>1</v>
      </c>
      <c r="O455">
        <v>1</v>
      </c>
      <c r="P455">
        <v>1</v>
      </c>
      <c r="Q455" t="s">
        <v>38</v>
      </c>
      <c r="R455">
        <v>1</v>
      </c>
      <c r="S455">
        <v>1</v>
      </c>
      <c r="T455">
        <v>1</v>
      </c>
      <c r="U455"/>
      <c r="V455"/>
      <c r="W455"/>
      <c r="X455">
        <v>1</v>
      </c>
      <c r="Y455"/>
      <c r="Z455">
        <v>0</v>
      </c>
      <c r="AA455"/>
      <c r="AB455"/>
      <c r="AC455"/>
      <c r="AD455"/>
      <c r="AE455">
        <v>0</v>
      </c>
      <c r="AF455"/>
      <c r="AG455"/>
      <c r="AH455"/>
    </row>
    <row r="456" spans="1:34" x14ac:dyDescent="0.25">
      <c r="A456" t="s">
        <v>3426</v>
      </c>
      <c r="B456" t="s">
        <v>3427</v>
      </c>
      <c r="C456"/>
      <c r="D456" t="s">
        <v>370</v>
      </c>
      <c r="E456" t="s">
        <v>894</v>
      </c>
      <c r="F456" t="s">
        <v>937</v>
      </c>
      <c r="G456" t="s">
        <v>280</v>
      </c>
      <c r="H456" t="s">
        <v>938</v>
      </c>
      <c r="I456" t="s">
        <v>35</v>
      </c>
      <c r="J456"/>
      <c r="K456">
        <v>1</v>
      </c>
      <c r="L456">
        <v>1</v>
      </c>
      <c r="M456" t="s">
        <v>33</v>
      </c>
      <c r="N456">
        <v>1</v>
      </c>
      <c r="O456">
        <v>1</v>
      </c>
      <c r="P456">
        <v>1</v>
      </c>
      <c r="Q456" t="s">
        <v>38</v>
      </c>
      <c r="R456">
        <v>1</v>
      </c>
      <c r="S456">
        <v>1</v>
      </c>
      <c r="T456">
        <v>1</v>
      </c>
      <c r="U456"/>
      <c r="V456"/>
      <c r="W456"/>
      <c r="X456">
        <v>1</v>
      </c>
      <c r="Y456"/>
      <c r="Z456">
        <v>0</v>
      </c>
      <c r="AA456"/>
      <c r="AB456"/>
      <c r="AC456"/>
      <c r="AD456"/>
      <c r="AE456">
        <v>0</v>
      </c>
      <c r="AF456"/>
      <c r="AG456"/>
      <c r="AH456"/>
    </row>
    <row r="457" spans="1:34" x14ac:dyDescent="0.25">
      <c r="A457" t="s">
        <v>3438</v>
      </c>
      <c r="B457" t="s">
        <v>3439</v>
      </c>
      <c r="C457"/>
      <c r="D457" t="s">
        <v>370</v>
      </c>
      <c r="E457" t="s">
        <v>894</v>
      </c>
      <c r="F457" t="s">
        <v>937</v>
      </c>
      <c r="G457" t="s">
        <v>280</v>
      </c>
      <c r="H457" t="s">
        <v>938</v>
      </c>
      <c r="I457" t="s">
        <v>35</v>
      </c>
      <c r="J457"/>
      <c r="K457">
        <v>1</v>
      </c>
      <c r="L457">
        <v>1</v>
      </c>
      <c r="M457" t="s">
        <v>33</v>
      </c>
      <c r="N457">
        <v>1</v>
      </c>
      <c r="O457">
        <v>1</v>
      </c>
      <c r="P457">
        <v>1</v>
      </c>
      <c r="Q457" t="s">
        <v>38</v>
      </c>
      <c r="R457">
        <v>1</v>
      </c>
      <c r="S457">
        <v>1</v>
      </c>
      <c r="T457">
        <v>1</v>
      </c>
      <c r="U457"/>
      <c r="V457"/>
      <c r="W457"/>
      <c r="X457">
        <v>1</v>
      </c>
      <c r="Y457"/>
      <c r="Z457">
        <v>0</v>
      </c>
      <c r="AA457"/>
      <c r="AB457"/>
      <c r="AC457"/>
      <c r="AD457"/>
      <c r="AE457">
        <v>0</v>
      </c>
      <c r="AF457"/>
      <c r="AG457"/>
      <c r="AH457"/>
    </row>
    <row r="458" spans="1:34" x14ac:dyDescent="0.25">
      <c r="A458" t="s">
        <v>3426</v>
      </c>
      <c r="B458" t="s">
        <v>3427</v>
      </c>
      <c r="C458"/>
      <c r="D458" t="s">
        <v>370</v>
      </c>
      <c r="E458" t="s">
        <v>894</v>
      </c>
      <c r="F458" t="s">
        <v>939</v>
      </c>
      <c r="G458" t="s">
        <v>280</v>
      </c>
      <c r="H458" t="s">
        <v>940</v>
      </c>
      <c r="I458" t="s">
        <v>35</v>
      </c>
      <c r="J458"/>
      <c r="K458">
        <v>1</v>
      </c>
      <c r="L458">
        <v>1</v>
      </c>
      <c r="M458" t="s">
        <v>33</v>
      </c>
      <c r="N458">
        <v>1</v>
      </c>
      <c r="O458">
        <v>1</v>
      </c>
      <c r="P458">
        <v>1</v>
      </c>
      <c r="Q458" t="s">
        <v>38</v>
      </c>
      <c r="R458">
        <v>1</v>
      </c>
      <c r="S458">
        <v>1</v>
      </c>
      <c r="T458">
        <v>1</v>
      </c>
      <c r="U458"/>
      <c r="V458"/>
      <c r="W458"/>
      <c r="X458">
        <v>1</v>
      </c>
      <c r="Y458"/>
      <c r="Z458">
        <v>0</v>
      </c>
      <c r="AA458"/>
      <c r="AB458"/>
      <c r="AC458"/>
      <c r="AD458"/>
      <c r="AE458">
        <v>0</v>
      </c>
      <c r="AF458"/>
      <c r="AG458"/>
      <c r="AH458"/>
    </row>
    <row r="459" spans="1:34" x14ac:dyDescent="0.25">
      <c r="A459" t="s">
        <v>3438</v>
      </c>
      <c r="B459" t="s">
        <v>3439</v>
      </c>
      <c r="C459"/>
      <c r="D459" t="s">
        <v>370</v>
      </c>
      <c r="E459" t="s">
        <v>894</v>
      </c>
      <c r="F459" t="s">
        <v>939</v>
      </c>
      <c r="G459" t="s">
        <v>280</v>
      </c>
      <c r="H459" t="s">
        <v>940</v>
      </c>
      <c r="I459" t="s">
        <v>35</v>
      </c>
      <c r="J459"/>
      <c r="K459">
        <v>1</v>
      </c>
      <c r="L459">
        <v>1</v>
      </c>
      <c r="M459" t="s">
        <v>33</v>
      </c>
      <c r="N459">
        <v>1</v>
      </c>
      <c r="O459">
        <v>1</v>
      </c>
      <c r="P459">
        <v>1</v>
      </c>
      <c r="Q459" t="s">
        <v>38</v>
      </c>
      <c r="R459">
        <v>1</v>
      </c>
      <c r="S459">
        <v>1</v>
      </c>
      <c r="T459">
        <v>1</v>
      </c>
      <c r="U459"/>
      <c r="V459"/>
      <c r="W459"/>
      <c r="X459">
        <v>1</v>
      </c>
      <c r="Y459"/>
      <c r="Z459">
        <v>0</v>
      </c>
      <c r="AA459"/>
      <c r="AB459"/>
      <c r="AC459"/>
      <c r="AD459"/>
      <c r="AE459">
        <v>0</v>
      </c>
      <c r="AF459"/>
      <c r="AG459"/>
      <c r="AH459"/>
    </row>
    <row r="460" spans="1:34" x14ac:dyDescent="0.25">
      <c r="A460" t="s">
        <v>3426</v>
      </c>
      <c r="B460" t="s">
        <v>3427</v>
      </c>
      <c r="C460"/>
      <c r="D460" t="s">
        <v>370</v>
      </c>
      <c r="E460" t="s">
        <v>894</v>
      </c>
      <c r="F460" t="s">
        <v>941</v>
      </c>
      <c r="G460" t="s">
        <v>280</v>
      </c>
      <c r="H460" t="s">
        <v>942</v>
      </c>
      <c r="I460" t="s">
        <v>35</v>
      </c>
      <c r="J460"/>
      <c r="K460">
        <v>1</v>
      </c>
      <c r="L460">
        <v>1</v>
      </c>
      <c r="M460" t="s">
        <v>33</v>
      </c>
      <c r="N460">
        <v>1</v>
      </c>
      <c r="O460">
        <v>1</v>
      </c>
      <c r="P460">
        <v>1</v>
      </c>
      <c r="Q460" t="s">
        <v>38</v>
      </c>
      <c r="R460">
        <v>1</v>
      </c>
      <c r="S460">
        <v>1</v>
      </c>
      <c r="T460">
        <v>1</v>
      </c>
      <c r="U460"/>
      <c r="V460"/>
      <c r="W460"/>
      <c r="X460">
        <v>1</v>
      </c>
      <c r="Y460"/>
      <c r="Z460">
        <v>0</v>
      </c>
      <c r="AA460"/>
      <c r="AB460"/>
      <c r="AC460"/>
      <c r="AD460"/>
      <c r="AE460">
        <v>0</v>
      </c>
      <c r="AF460"/>
      <c r="AG460"/>
      <c r="AH460"/>
    </row>
    <row r="461" spans="1:34" x14ac:dyDescent="0.25">
      <c r="A461" t="s">
        <v>3438</v>
      </c>
      <c r="B461" t="s">
        <v>3439</v>
      </c>
      <c r="C461"/>
      <c r="D461" t="s">
        <v>370</v>
      </c>
      <c r="E461" t="s">
        <v>894</v>
      </c>
      <c r="F461" t="s">
        <v>941</v>
      </c>
      <c r="G461" t="s">
        <v>280</v>
      </c>
      <c r="H461" t="s">
        <v>942</v>
      </c>
      <c r="I461" t="s">
        <v>35</v>
      </c>
      <c r="J461"/>
      <c r="K461">
        <v>1</v>
      </c>
      <c r="L461">
        <v>1</v>
      </c>
      <c r="M461" t="s">
        <v>33</v>
      </c>
      <c r="N461">
        <v>1</v>
      </c>
      <c r="O461">
        <v>1</v>
      </c>
      <c r="P461">
        <v>1</v>
      </c>
      <c r="Q461" t="s">
        <v>38</v>
      </c>
      <c r="R461">
        <v>1</v>
      </c>
      <c r="S461">
        <v>1</v>
      </c>
      <c r="T461">
        <v>1</v>
      </c>
      <c r="U461"/>
      <c r="V461"/>
      <c r="W461"/>
      <c r="X461">
        <v>1</v>
      </c>
      <c r="Y461"/>
      <c r="Z461">
        <v>0</v>
      </c>
      <c r="AA461"/>
      <c r="AB461"/>
      <c r="AC461"/>
      <c r="AD461"/>
      <c r="AE461">
        <v>0</v>
      </c>
      <c r="AF461"/>
      <c r="AG461"/>
      <c r="AH461"/>
    </row>
    <row r="462" spans="1:34" x14ac:dyDescent="0.25">
      <c r="A462" t="s">
        <v>3426</v>
      </c>
      <c r="B462" t="s">
        <v>3427</v>
      </c>
      <c r="C462"/>
      <c r="D462" t="s">
        <v>370</v>
      </c>
      <c r="E462" t="s">
        <v>894</v>
      </c>
      <c r="F462" t="s">
        <v>943</v>
      </c>
      <c r="G462" t="s">
        <v>280</v>
      </c>
      <c r="H462" t="s">
        <v>944</v>
      </c>
      <c r="I462" t="s">
        <v>35</v>
      </c>
      <c r="J462"/>
      <c r="K462">
        <v>1</v>
      </c>
      <c r="L462">
        <v>1</v>
      </c>
      <c r="M462" t="s">
        <v>33</v>
      </c>
      <c r="N462">
        <v>1</v>
      </c>
      <c r="O462">
        <v>1</v>
      </c>
      <c r="P462">
        <v>1</v>
      </c>
      <c r="Q462" t="s">
        <v>38</v>
      </c>
      <c r="R462">
        <v>1</v>
      </c>
      <c r="S462">
        <v>1</v>
      </c>
      <c r="T462">
        <v>1</v>
      </c>
      <c r="U462"/>
      <c r="V462"/>
      <c r="W462"/>
      <c r="X462">
        <v>1</v>
      </c>
      <c r="Y462"/>
      <c r="Z462">
        <v>0</v>
      </c>
      <c r="AA462"/>
      <c r="AB462"/>
      <c r="AC462"/>
      <c r="AD462"/>
      <c r="AE462">
        <v>0</v>
      </c>
      <c r="AF462"/>
      <c r="AG462"/>
      <c r="AH462"/>
    </row>
    <row r="463" spans="1:34" x14ac:dyDescent="0.25">
      <c r="A463" t="s">
        <v>3438</v>
      </c>
      <c r="B463" t="s">
        <v>3439</v>
      </c>
      <c r="C463"/>
      <c r="D463" t="s">
        <v>370</v>
      </c>
      <c r="E463" t="s">
        <v>894</v>
      </c>
      <c r="F463" t="s">
        <v>943</v>
      </c>
      <c r="G463" t="s">
        <v>280</v>
      </c>
      <c r="H463" t="s">
        <v>944</v>
      </c>
      <c r="I463" t="s">
        <v>35</v>
      </c>
      <c r="J463"/>
      <c r="K463">
        <v>1</v>
      </c>
      <c r="L463">
        <v>1</v>
      </c>
      <c r="M463" t="s">
        <v>33</v>
      </c>
      <c r="N463">
        <v>1</v>
      </c>
      <c r="O463">
        <v>1</v>
      </c>
      <c r="P463">
        <v>1</v>
      </c>
      <c r="Q463" t="s">
        <v>38</v>
      </c>
      <c r="R463">
        <v>1</v>
      </c>
      <c r="S463">
        <v>1</v>
      </c>
      <c r="T463">
        <v>1</v>
      </c>
      <c r="U463"/>
      <c r="V463"/>
      <c r="W463"/>
      <c r="X463">
        <v>1</v>
      </c>
      <c r="Y463"/>
      <c r="Z463">
        <v>0</v>
      </c>
      <c r="AA463"/>
      <c r="AB463"/>
      <c r="AC463"/>
      <c r="AD463"/>
      <c r="AE463">
        <v>0</v>
      </c>
      <c r="AF463"/>
      <c r="AG463"/>
      <c r="AH463"/>
    </row>
    <row r="464" spans="1:34" x14ac:dyDescent="0.25">
      <c r="A464" t="s">
        <v>3434</v>
      </c>
      <c r="B464" t="s">
        <v>3435</v>
      </c>
      <c r="C464"/>
      <c r="D464" t="s">
        <v>370</v>
      </c>
      <c r="E464" t="s">
        <v>945</v>
      </c>
      <c r="F464" t="s">
        <v>946</v>
      </c>
      <c r="G464" t="s">
        <v>280</v>
      </c>
      <c r="H464" t="s">
        <v>947</v>
      </c>
      <c r="I464" t="s">
        <v>35</v>
      </c>
      <c r="J464"/>
      <c r="K464">
        <v>1</v>
      </c>
      <c r="L464">
        <v>1</v>
      </c>
      <c r="M464" t="s">
        <v>33</v>
      </c>
      <c r="N464">
        <v>1</v>
      </c>
      <c r="O464">
        <v>1</v>
      </c>
      <c r="P464">
        <v>1</v>
      </c>
      <c r="Q464" t="s">
        <v>38</v>
      </c>
      <c r="R464">
        <v>1</v>
      </c>
      <c r="S464">
        <v>1</v>
      </c>
      <c r="T464">
        <v>1</v>
      </c>
      <c r="U464"/>
      <c r="V464"/>
      <c r="W464"/>
      <c r="X464">
        <v>1</v>
      </c>
      <c r="Y464"/>
      <c r="Z464">
        <v>0</v>
      </c>
      <c r="AA464"/>
      <c r="AB464"/>
      <c r="AC464"/>
      <c r="AD464"/>
      <c r="AE464">
        <v>0</v>
      </c>
      <c r="AF464"/>
      <c r="AG464"/>
      <c r="AH464"/>
    </row>
    <row r="465" spans="1:34" x14ac:dyDescent="0.25">
      <c r="A465" t="s">
        <v>3438</v>
      </c>
      <c r="B465" t="s">
        <v>3439</v>
      </c>
      <c r="C465"/>
      <c r="D465" t="s">
        <v>370</v>
      </c>
      <c r="E465" t="s">
        <v>945</v>
      </c>
      <c r="F465" t="s">
        <v>946</v>
      </c>
      <c r="G465" t="s">
        <v>280</v>
      </c>
      <c r="H465" t="s">
        <v>947</v>
      </c>
      <c r="I465" t="s">
        <v>35</v>
      </c>
      <c r="J465"/>
      <c r="K465">
        <v>1</v>
      </c>
      <c r="L465">
        <v>1</v>
      </c>
      <c r="M465" t="s">
        <v>33</v>
      </c>
      <c r="N465">
        <v>1</v>
      </c>
      <c r="O465">
        <v>1</v>
      </c>
      <c r="P465">
        <v>1</v>
      </c>
      <c r="Q465" t="s">
        <v>38</v>
      </c>
      <c r="R465">
        <v>1</v>
      </c>
      <c r="S465">
        <v>1</v>
      </c>
      <c r="T465">
        <v>1</v>
      </c>
      <c r="U465"/>
      <c r="V465"/>
      <c r="W465"/>
      <c r="X465">
        <v>1</v>
      </c>
      <c r="Y465"/>
      <c r="Z465">
        <v>0</v>
      </c>
      <c r="AA465"/>
      <c r="AB465"/>
      <c r="AC465"/>
      <c r="AD465"/>
      <c r="AE465">
        <v>0</v>
      </c>
      <c r="AF465"/>
      <c r="AG465"/>
      <c r="AH465"/>
    </row>
    <row r="466" spans="1:34" x14ac:dyDescent="0.25">
      <c r="A466" t="s">
        <v>3434</v>
      </c>
      <c r="B466" t="s">
        <v>3435</v>
      </c>
      <c r="C466"/>
      <c r="D466" t="s">
        <v>370</v>
      </c>
      <c r="E466" t="s">
        <v>945</v>
      </c>
      <c r="F466" t="s">
        <v>948</v>
      </c>
      <c r="G466" t="s">
        <v>280</v>
      </c>
      <c r="H466" t="s">
        <v>949</v>
      </c>
      <c r="I466" t="s">
        <v>35</v>
      </c>
      <c r="J466"/>
      <c r="K466">
        <v>1</v>
      </c>
      <c r="L466">
        <v>1</v>
      </c>
      <c r="M466" t="s">
        <v>33</v>
      </c>
      <c r="N466">
        <v>1</v>
      </c>
      <c r="O466">
        <v>1</v>
      </c>
      <c r="P466">
        <v>1</v>
      </c>
      <c r="Q466" t="s">
        <v>38</v>
      </c>
      <c r="R466">
        <v>1</v>
      </c>
      <c r="S466">
        <v>1</v>
      </c>
      <c r="T466">
        <v>1</v>
      </c>
      <c r="U466"/>
      <c r="V466"/>
      <c r="W466"/>
      <c r="X466">
        <v>1</v>
      </c>
      <c r="Y466"/>
      <c r="Z466">
        <v>0</v>
      </c>
      <c r="AA466"/>
      <c r="AB466"/>
      <c r="AC466"/>
      <c r="AD466"/>
      <c r="AE466">
        <v>0</v>
      </c>
      <c r="AF466"/>
      <c r="AG466"/>
      <c r="AH466"/>
    </row>
    <row r="467" spans="1:34" x14ac:dyDescent="0.25">
      <c r="A467" t="s">
        <v>3438</v>
      </c>
      <c r="B467" t="s">
        <v>3439</v>
      </c>
      <c r="C467"/>
      <c r="D467" t="s">
        <v>370</v>
      </c>
      <c r="E467" t="s">
        <v>945</v>
      </c>
      <c r="F467" t="s">
        <v>948</v>
      </c>
      <c r="G467" t="s">
        <v>280</v>
      </c>
      <c r="H467" t="s">
        <v>949</v>
      </c>
      <c r="I467" t="s">
        <v>35</v>
      </c>
      <c r="J467"/>
      <c r="K467">
        <v>1</v>
      </c>
      <c r="L467">
        <v>1</v>
      </c>
      <c r="M467" t="s">
        <v>33</v>
      </c>
      <c r="N467">
        <v>1</v>
      </c>
      <c r="O467">
        <v>1</v>
      </c>
      <c r="P467">
        <v>1</v>
      </c>
      <c r="Q467" t="s">
        <v>38</v>
      </c>
      <c r="R467">
        <v>1</v>
      </c>
      <c r="S467">
        <v>1</v>
      </c>
      <c r="T467">
        <v>1</v>
      </c>
      <c r="U467"/>
      <c r="V467"/>
      <c r="W467"/>
      <c r="X467">
        <v>1</v>
      </c>
      <c r="Y467"/>
      <c r="Z467">
        <v>0</v>
      </c>
      <c r="AA467"/>
      <c r="AB467"/>
      <c r="AC467"/>
      <c r="AD467"/>
      <c r="AE467">
        <v>0</v>
      </c>
      <c r="AF467"/>
      <c r="AG467"/>
      <c r="AH467"/>
    </row>
    <row r="468" spans="1:34" x14ac:dyDescent="0.25">
      <c r="A468" t="s">
        <v>3434</v>
      </c>
      <c r="B468" t="s">
        <v>3435</v>
      </c>
      <c r="C468"/>
      <c r="D468" t="s">
        <v>370</v>
      </c>
      <c r="E468" t="s">
        <v>945</v>
      </c>
      <c r="F468" t="s">
        <v>950</v>
      </c>
      <c r="G468" t="s">
        <v>280</v>
      </c>
      <c r="H468" t="s">
        <v>951</v>
      </c>
      <c r="I468" t="s">
        <v>35</v>
      </c>
      <c r="J468"/>
      <c r="K468">
        <v>1</v>
      </c>
      <c r="L468">
        <v>1</v>
      </c>
      <c r="M468" t="s">
        <v>33</v>
      </c>
      <c r="N468">
        <v>1</v>
      </c>
      <c r="O468">
        <v>1</v>
      </c>
      <c r="P468">
        <v>1</v>
      </c>
      <c r="Q468" t="s">
        <v>38</v>
      </c>
      <c r="R468">
        <v>1</v>
      </c>
      <c r="S468">
        <v>1</v>
      </c>
      <c r="T468">
        <v>1</v>
      </c>
      <c r="U468"/>
      <c r="V468"/>
      <c r="W468"/>
      <c r="X468">
        <v>1</v>
      </c>
      <c r="Y468"/>
      <c r="Z468">
        <v>0</v>
      </c>
      <c r="AA468"/>
      <c r="AB468"/>
      <c r="AC468"/>
      <c r="AD468"/>
      <c r="AE468">
        <v>0</v>
      </c>
      <c r="AF468"/>
      <c r="AG468"/>
      <c r="AH468"/>
    </row>
    <row r="469" spans="1:34" x14ac:dyDescent="0.25">
      <c r="A469" t="s">
        <v>3438</v>
      </c>
      <c r="B469" t="s">
        <v>3439</v>
      </c>
      <c r="C469"/>
      <c r="D469" t="s">
        <v>370</v>
      </c>
      <c r="E469" t="s">
        <v>945</v>
      </c>
      <c r="F469" t="s">
        <v>950</v>
      </c>
      <c r="G469" t="s">
        <v>280</v>
      </c>
      <c r="H469" t="s">
        <v>951</v>
      </c>
      <c r="I469" t="s">
        <v>35</v>
      </c>
      <c r="J469"/>
      <c r="K469">
        <v>1</v>
      </c>
      <c r="L469">
        <v>1</v>
      </c>
      <c r="M469" t="s">
        <v>33</v>
      </c>
      <c r="N469">
        <v>1</v>
      </c>
      <c r="O469">
        <v>1</v>
      </c>
      <c r="P469">
        <v>1</v>
      </c>
      <c r="Q469" t="s">
        <v>38</v>
      </c>
      <c r="R469">
        <v>1</v>
      </c>
      <c r="S469">
        <v>1</v>
      </c>
      <c r="T469">
        <v>1</v>
      </c>
      <c r="U469"/>
      <c r="V469"/>
      <c r="W469"/>
      <c r="X469">
        <v>1</v>
      </c>
      <c r="Y469"/>
      <c r="Z469">
        <v>0</v>
      </c>
      <c r="AA469"/>
      <c r="AB469"/>
      <c r="AC469"/>
      <c r="AD469"/>
      <c r="AE469">
        <v>0</v>
      </c>
      <c r="AF469"/>
      <c r="AG469"/>
      <c r="AH469"/>
    </row>
    <row r="470" spans="1:34" x14ac:dyDescent="0.25">
      <c r="A470" t="s">
        <v>3434</v>
      </c>
      <c r="B470" t="s">
        <v>3435</v>
      </c>
      <c r="C470"/>
      <c r="D470" t="s">
        <v>370</v>
      </c>
      <c r="E470" t="s">
        <v>945</v>
      </c>
      <c r="F470" t="s">
        <v>952</v>
      </c>
      <c r="G470" t="s">
        <v>280</v>
      </c>
      <c r="H470" t="s">
        <v>953</v>
      </c>
      <c r="I470" t="s">
        <v>35</v>
      </c>
      <c r="J470"/>
      <c r="K470">
        <v>1</v>
      </c>
      <c r="L470">
        <v>1</v>
      </c>
      <c r="M470" t="s">
        <v>33</v>
      </c>
      <c r="N470">
        <v>1</v>
      </c>
      <c r="O470">
        <v>1</v>
      </c>
      <c r="P470">
        <v>1</v>
      </c>
      <c r="Q470" t="s">
        <v>38</v>
      </c>
      <c r="R470">
        <v>1</v>
      </c>
      <c r="S470">
        <v>1</v>
      </c>
      <c r="T470">
        <v>1</v>
      </c>
      <c r="U470"/>
      <c r="V470"/>
      <c r="W470"/>
      <c r="X470">
        <v>1</v>
      </c>
      <c r="Y470"/>
      <c r="Z470">
        <v>0</v>
      </c>
      <c r="AA470"/>
      <c r="AB470"/>
      <c r="AC470"/>
      <c r="AD470"/>
      <c r="AE470">
        <v>0</v>
      </c>
      <c r="AF470"/>
      <c r="AG470"/>
      <c r="AH470"/>
    </row>
    <row r="471" spans="1:34" x14ac:dyDescent="0.25">
      <c r="A471" t="s">
        <v>3438</v>
      </c>
      <c r="B471" t="s">
        <v>3439</v>
      </c>
      <c r="C471"/>
      <c r="D471" t="s">
        <v>370</v>
      </c>
      <c r="E471" t="s">
        <v>945</v>
      </c>
      <c r="F471" t="s">
        <v>952</v>
      </c>
      <c r="G471" t="s">
        <v>280</v>
      </c>
      <c r="H471" t="s">
        <v>953</v>
      </c>
      <c r="I471" t="s">
        <v>35</v>
      </c>
      <c r="J471"/>
      <c r="K471">
        <v>1</v>
      </c>
      <c r="L471">
        <v>1</v>
      </c>
      <c r="M471" t="s">
        <v>33</v>
      </c>
      <c r="N471">
        <v>1</v>
      </c>
      <c r="O471">
        <v>1</v>
      </c>
      <c r="P471">
        <v>1</v>
      </c>
      <c r="Q471" t="s">
        <v>38</v>
      </c>
      <c r="R471">
        <v>1</v>
      </c>
      <c r="S471">
        <v>1</v>
      </c>
      <c r="T471">
        <v>1</v>
      </c>
      <c r="U471"/>
      <c r="V471"/>
      <c r="W471"/>
      <c r="X471">
        <v>1</v>
      </c>
      <c r="Y471"/>
      <c r="Z471">
        <v>0</v>
      </c>
      <c r="AA471"/>
      <c r="AB471"/>
      <c r="AC471"/>
      <c r="AD471"/>
      <c r="AE471">
        <v>0</v>
      </c>
      <c r="AF471"/>
      <c r="AG471"/>
      <c r="AH471"/>
    </row>
    <row r="472" spans="1:34" x14ac:dyDescent="0.25">
      <c r="A472" t="s">
        <v>3434</v>
      </c>
      <c r="B472" t="s">
        <v>3435</v>
      </c>
      <c r="C472"/>
      <c r="D472" t="s">
        <v>370</v>
      </c>
      <c r="E472" t="s">
        <v>945</v>
      </c>
      <c r="F472" t="s">
        <v>954</v>
      </c>
      <c r="G472" t="s">
        <v>280</v>
      </c>
      <c r="H472" t="s">
        <v>955</v>
      </c>
      <c r="I472" t="s">
        <v>35</v>
      </c>
      <c r="J472"/>
      <c r="K472">
        <v>1</v>
      </c>
      <c r="L472">
        <v>1</v>
      </c>
      <c r="M472" t="s">
        <v>33</v>
      </c>
      <c r="N472">
        <v>1</v>
      </c>
      <c r="O472">
        <v>1</v>
      </c>
      <c r="P472">
        <v>1</v>
      </c>
      <c r="Q472" t="s">
        <v>38</v>
      </c>
      <c r="R472">
        <v>1</v>
      </c>
      <c r="S472">
        <v>0</v>
      </c>
      <c r="T472"/>
      <c r="U472"/>
      <c r="V472"/>
      <c r="W472"/>
      <c r="X472">
        <v>0</v>
      </c>
      <c r="Y472"/>
      <c r="Z472">
        <v>0</v>
      </c>
      <c r="AA472"/>
      <c r="AB472"/>
      <c r="AC472"/>
      <c r="AD472"/>
      <c r="AE472">
        <v>0</v>
      </c>
      <c r="AF472"/>
      <c r="AG472"/>
      <c r="AH472"/>
    </row>
    <row r="473" spans="1:34" x14ac:dyDescent="0.25">
      <c r="A473" t="s">
        <v>3438</v>
      </c>
      <c r="B473" t="s">
        <v>3439</v>
      </c>
      <c r="C473"/>
      <c r="D473" t="s">
        <v>370</v>
      </c>
      <c r="E473" t="s">
        <v>945</v>
      </c>
      <c r="F473" t="s">
        <v>954</v>
      </c>
      <c r="G473" t="s">
        <v>280</v>
      </c>
      <c r="H473" t="s">
        <v>955</v>
      </c>
      <c r="I473" t="s">
        <v>35</v>
      </c>
      <c r="J473"/>
      <c r="K473">
        <v>1</v>
      </c>
      <c r="L473">
        <v>1</v>
      </c>
      <c r="M473" t="s">
        <v>33</v>
      </c>
      <c r="N473">
        <v>1</v>
      </c>
      <c r="O473">
        <v>1</v>
      </c>
      <c r="P473">
        <v>1</v>
      </c>
      <c r="Q473" t="s">
        <v>38</v>
      </c>
      <c r="R473">
        <v>1</v>
      </c>
      <c r="S473">
        <v>0</v>
      </c>
      <c r="T473"/>
      <c r="U473"/>
      <c r="V473"/>
      <c r="W473"/>
      <c r="X473">
        <v>0</v>
      </c>
      <c r="Y473"/>
      <c r="Z473">
        <v>0</v>
      </c>
      <c r="AA473"/>
      <c r="AB473"/>
      <c r="AC473"/>
      <c r="AD473"/>
      <c r="AE473">
        <v>0</v>
      </c>
      <c r="AF473"/>
      <c r="AG473"/>
      <c r="AH473"/>
    </row>
    <row r="474" spans="1:34" x14ac:dyDescent="0.25">
      <c r="A474" t="s">
        <v>3434</v>
      </c>
      <c r="B474" t="s">
        <v>3435</v>
      </c>
      <c r="C474"/>
      <c r="D474" t="s">
        <v>370</v>
      </c>
      <c r="E474" t="s">
        <v>945</v>
      </c>
      <c r="F474" t="s">
        <v>956</v>
      </c>
      <c r="G474" t="s">
        <v>280</v>
      </c>
      <c r="H474" t="s">
        <v>957</v>
      </c>
      <c r="I474" t="s">
        <v>35</v>
      </c>
      <c r="J474"/>
      <c r="K474">
        <v>1</v>
      </c>
      <c r="L474">
        <v>1</v>
      </c>
      <c r="M474" t="s">
        <v>33</v>
      </c>
      <c r="N474">
        <v>1</v>
      </c>
      <c r="O474">
        <v>1</v>
      </c>
      <c r="P474">
        <v>1</v>
      </c>
      <c r="Q474" t="s">
        <v>38</v>
      </c>
      <c r="R474">
        <v>1</v>
      </c>
      <c r="S474">
        <v>1</v>
      </c>
      <c r="T474">
        <v>1</v>
      </c>
      <c r="U474"/>
      <c r="V474"/>
      <c r="W474"/>
      <c r="X474">
        <v>1</v>
      </c>
      <c r="Y474"/>
      <c r="Z474">
        <v>0</v>
      </c>
      <c r="AA474"/>
      <c r="AB474"/>
      <c r="AC474"/>
      <c r="AD474"/>
      <c r="AE474">
        <v>0</v>
      </c>
      <c r="AF474"/>
      <c r="AG474"/>
      <c r="AH474"/>
    </row>
    <row r="475" spans="1:34" x14ac:dyDescent="0.25">
      <c r="A475" t="s">
        <v>3438</v>
      </c>
      <c r="B475" t="s">
        <v>3439</v>
      </c>
      <c r="C475"/>
      <c r="D475" t="s">
        <v>370</v>
      </c>
      <c r="E475" t="s">
        <v>945</v>
      </c>
      <c r="F475" t="s">
        <v>956</v>
      </c>
      <c r="G475" t="s">
        <v>280</v>
      </c>
      <c r="H475" t="s">
        <v>957</v>
      </c>
      <c r="I475" t="s">
        <v>35</v>
      </c>
      <c r="J475"/>
      <c r="K475">
        <v>1</v>
      </c>
      <c r="L475">
        <v>1</v>
      </c>
      <c r="M475" t="s">
        <v>33</v>
      </c>
      <c r="N475">
        <v>1</v>
      </c>
      <c r="O475">
        <v>1</v>
      </c>
      <c r="P475">
        <v>1</v>
      </c>
      <c r="Q475" t="s">
        <v>38</v>
      </c>
      <c r="R475">
        <v>1</v>
      </c>
      <c r="S475">
        <v>1</v>
      </c>
      <c r="T475">
        <v>1</v>
      </c>
      <c r="U475"/>
      <c r="V475"/>
      <c r="W475"/>
      <c r="X475">
        <v>1</v>
      </c>
      <c r="Y475"/>
      <c r="Z475">
        <v>0</v>
      </c>
      <c r="AA475"/>
      <c r="AB475"/>
      <c r="AC475"/>
      <c r="AD475"/>
      <c r="AE475">
        <v>0</v>
      </c>
      <c r="AF475"/>
      <c r="AG475"/>
      <c r="AH475"/>
    </row>
    <row r="476" spans="1:34" x14ac:dyDescent="0.25">
      <c r="A476" t="s">
        <v>3434</v>
      </c>
      <c r="B476" t="s">
        <v>3435</v>
      </c>
      <c r="C476"/>
      <c r="D476" t="s">
        <v>370</v>
      </c>
      <c r="E476" t="s">
        <v>945</v>
      </c>
      <c r="F476" t="s">
        <v>958</v>
      </c>
      <c r="G476" t="s">
        <v>280</v>
      </c>
      <c r="H476" t="s">
        <v>959</v>
      </c>
      <c r="I476" t="s">
        <v>35</v>
      </c>
      <c r="J476"/>
      <c r="K476">
        <v>1</v>
      </c>
      <c r="L476">
        <v>1</v>
      </c>
      <c r="M476" t="s">
        <v>33</v>
      </c>
      <c r="N476">
        <v>1</v>
      </c>
      <c r="O476">
        <v>1</v>
      </c>
      <c r="P476">
        <v>1</v>
      </c>
      <c r="Q476" t="s">
        <v>38</v>
      </c>
      <c r="R476">
        <v>1</v>
      </c>
      <c r="S476">
        <v>1</v>
      </c>
      <c r="T476">
        <v>1</v>
      </c>
      <c r="U476"/>
      <c r="V476"/>
      <c r="W476"/>
      <c r="X476">
        <v>1</v>
      </c>
      <c r="Y476"/>
      <c r="Z476">
        <v>0</v>
      </c>
      <c r="AA476"/>
      <c r="AB476"/>
      <c r="AC476"/>
      <c r="AD476"/>
      <c r="AE476">
        <v>0</v>
      </c>
      <c r="AF476"/>
      <c r="AG476"/>
      <c r="AH476"/>
    </row>
    <row r="477" spans="1:34" x14ac:dyDescent="0.25">
      <c r="A477" t="s">
        <v>3438</v>
      </c>
      <c r="B477" t="s">
        <v>3439</v>
      </c>
      <c r="C477"/>
      <c r="D477" t="s">
        <v>370</v>
      </c>
      <c r="E477" t="s">
        <v>945</v>
      </c>
      <c r="F477" t="s">
        <v>958</v>
      </c>
      <c r="G477" t="s">
        <v>280</v>
      </c>
      <c r="H477" t="s">
        <v>959</v>
      </c>
      <c r="I477" t="s">
        <v>35</v>
      </c>
      <c r="J477"/>
      <c r="K477">
        <v>1</v>
      </c>
      <c r="L477">
        <v>1</v>
      </c>
      <c r="M477" t="s">
        <v>33</v>
      </c>
      <c r="N477">
        <v>1</v>
      </c>
      <c r="O477">
        <v>1</v>
      </c>
      <c r="P477">
        <v>1</v>
      </c>
      <c r="Q477" t="s">
        <v>38</v>
      </c>
      <c r="R477">
        <v>1</v>
      </c>
      <c r="S477">
        <v>1</v>
      </c>
      <c r="T477">
        <v>1</v>
      </c>
      <c r="U477"/>
      <c r="V477"/>
      <c r="W477"/>
      <c r="X477">
        <v>1</v>
      </c>
      <c r="Y477"/>
      <c r="Z477">
        <v>0</v>
      </c>
      <c r="AA477"/>
      <c r="AB477"/>
      <c r="AC477"/>
      <c r="AD477"/>
      <c r="AE477">
        <v>0</v>
      </c>
      <c r="AF477"/>
      <c r="AG477"/>
      <c r="AH477"/>
    </row>
    <row r="478" spans="1:34" x14ac:dyDescent="0.25">
      <c r="A478" t="s">
        <v>3434</v>
      </c>
      <c r="B478" t="s">
        <v>3435</v>
      </c>
      <c r="C478"/>
      <c r="D478" t="s">
        <v>370</v>
      </c>
      <c r="E478" t="s">
        <v>945</v>
      </c>
      <c r="F478" t="s">
        <v>960</v>
      </c>
      <c r="G478" t="s">
        <v>280</v>
      </c>
      <c r="H478" t="s">
        <v>961</v>
      </c>
      <c r="I478" t="s">
        <v>35</v>
      </c>
      <c r="J478"/>
      <c r="K478">
        <v>1</v>
      </c>
      <c r="L478">
        <v>1</v>
      </c>
      <c r="M478" t="s">
        <v>33</v>
      </c>
      <c r="N478">
        <v>1</v>
      </c>
      <c r="O478">
        <v>1</v>
      </c>
      <c r="P478">
        <v>1</v>
      </c>
      <c r="Q478" t="s">
        <v>38</v>
      </c>
      <c r="R478">
        <v>1</v>
      </c>
      <c r="S478">
        <v>1</v>
      </c>
      <c r="T478">
        <v>1</v>
      </c>
      <c r="U478"/>
      <c r="V478"/>
      <c r="W478"/>
      <c r="X478">
        <v>1</v>
      </c>
      <c r="Y478"/>
      <c r="Z478">
        <v>0</v>
      </c>
      <c r="AA478"/>
      <c r="AB478"/>
      <c r="AC478"/>
      <c r="AD478"/>
      <c r="AE478">
        <v>0</v>
      </c>
      <c r="AF478"/>
      <c r="AG478"/>
      <c r="AH478"/>
    </row>
    <row r="479" spans="1:34" x14ac:dyDescent="0.25">
      <c r="A479" t="s">
        <v>3438</v>
      </c>
      <c r="B479" t="s">
        <v>3439</v>
      </c>
      <c r="C479"/>
      <c r="D479" t="s">
        <v>370</v>
      </c>
      <c r="E479" t="s">
        <v>945</v>
      </c>
      <c r="F479" t="s">
        <v>960</v>
      </c>
      <c r="G479" t="s">
        <v>280</v>
      </c>
      <c r="H479" t="s">
        <v>961</v>
      </c>
      <c r="I479" t="s">
        <v>35</v>
      </c>
      <c r="J479"/>
      <c r="K479">
        <v>1</v>
      </c>
      <c r="L479">
        <v>1</v>
      </c>
      <c r="M479" t="s">
        <v>33</v>
      </c>
      <c r="N479">
        <v>1</v>
      </c>
      <c r="O479">
        <v>1</v>
      </c>
      <c r="P479">
        <v>1</v>
      </c>
      <c r="Q479" t="s">
        <v>38</v>
      </c>
      <c r="R479">
        <v>1</v>
      </c>
      <c r="S479">
        <v>1</v>
      </c>
      <c r="T479">
        <v>1</v>
      </c>
      <c r="U479"/>
      <c r="V479"/>
      <c r="W479"/>
      <c r="X479">
        <v>1</v>
      </c>
      <c r="Y479"/>
      <c r="Z479">
        <v>0</v>
      </c>
      <c r="AA479"/>
      <c r="AB479"/>
      <c r="AC479"/>
      <c r="AD479"/>
      <c r="AE479">
        <v>0</v>
      </c>
      <c r="AF479"/>
      <c r="AG479"/>
      <c r="AH479"/>
    </row>
    <row r="480" spans="1:34" x14ac:dyDescent="0.25">
      <c r="A480" t="s">
        <v>3434</v>
      </c>
      <c r="B480" t="s">
        <v>3435</v>
      </c>
      <c r="C480"/>
      <c r="D480" t="s">
        <v>370</v>
      </c>
      <c r="E480" t="s">
        <v>945</v>
      </c>
      <c r="F480" t="s">
        <v>962</v>
      </c>
      <c r="G480" t="s">
        <v>280</v>
      </c>
      <c r="H480" t="s">
        <v>963</v>
      </c>
      <c r="I480" t="s">
        <v>35</v>
      </c>
      <c r="J480"/>
      <c r="K480">
        <v>1</v>
      </c>
      <c r="L480">
        <v>1</v>
      </c>
      <c r="M480" t="s">
        <v>33</v>
      </c>
      <c r="N480">
        <v>1</v>
      </c>
      <c r="O480">
        <v>1</v>
      </c>
      <c r="P480">
        <v>1</v>
      </c>
      <c r="Q480" t="s">
        <v>38</v>
      </c>
      <c r="R480">
        <v>1</v>
      </c>
      <c r="S480">
        <v>1</v>
      </c>
      <c r="T480">
        <v>1</v>
      </c>
      <c r="U480"/>
      <c r="V480"/>
      <c r="W480"/>
      <c r="X480">
        <v>1</v>
      </c>
      <c r="Y480"/>
      <c r="Z480">
        <v>0</v>
      </c>
      <c r="AA480"/>
      <c r="AB480"/>
      <c r="AC480"/>
      <c r="AD480"/>
      <c r="AE480">
        <v>0</v>
      </c>
      <c r="AF480"/>
      <c r="AG480"/>
      <c r="AH480"/>
    </row>
    <row r="481" spans="1:34" x14ac:dyDescent="0.25">
      <c r="A481" t="s">
        <v>3438</v>
      </c>
      <c r="B481" t="s">
        <v>3439</v>
      </c>
      <c r="C481"/>
      <c r="D481" t="s">
        <v>370</v>
      </c>
      <c r="E481" t="s">
        <v>945</v>
      </c>
      <c r="F481" t="s">
        <v>962</v>
      </c>
      <c r="G481" t="s">
        <v>280</v>
      </c>
      <c r="H481" t="s">
        <v>963</v>
      </c>
      <c r="I481" t="s">
        <v>35</v>
      </c>
      <c r="J481"/>
      <c r="K481">
        <v>1</v>
      </c>
      <c r="L481">
        <v>1</v>
      </c>
      <c r="M481" t="s">
        <v>33</v>
      </c>
      <c r="N481">
        <v>1</v>
      </c>
      <c r="O481">
        <v>1</v>
      </c>
      <c r="P481">
        <v>1</v>
      </c>
      <c r="Q481" t="s">
        <v>38</v>
      </c>
      <c r="R481">
        <v>1</v>
      </c>
      <c r="S481">
        <v>1</v>
      </c>
      <c r="T481">
        <v>1</v>
      </c>
      <c r="U481"/>
      <c r="V481"/>
      <c r="W481"/>
      <c r="X481">
        <v>1</v>
      </c>
      <c r="Y481"/>
      <c r="Z481">
        <v>0</v>
      </c>
      <c r="AA481"/>
      <c r="AB481"/>
      <c r="AC481"/>
      <c r="AD481"/>
      <c r="AE481">
        <v>0</v>
      </c>
      <c r="AF481"/>
      <c r="AG481"/>
      <c r="AH481"/>
    </row>
    <row r="482" spans="1:34" x14ac:dyDescent="0.25">
      <c r="A482" t="s">
        <v>3434</v>
      </c>
      <c r="B482" t="s">
        <v>3435</v>
      </c>
      <c r="C482"/>
      <c r="D482" t="s">
        <v>370</v>
      </c>
      <c r="E482" t="s">
        <v>945</v>
      </c>
      <c r="F482" t="s">
        <v>964</v>
      </c>
      <c r="G482" t="s">
        <v>280</v>
      </c>
      <c r="H482" t="s">
        <v>965</v>
      </c>
      <c r="I482" t="s">
        <v>35</v>
      </c>
      <c r="J482"/>
      <c r="K482">
        <v>1</v>
      </c>
      <c r="L482">
        <v>1</v>
      </c>
      <c r="M482" t="s">
        <v>33</v>
      </c>
      <c r="N482">
        <v>1</v>
      </c>
      <c r="O482">
        <v>1</v>
      </c>
      <c r="P482">
        <v>1</v>
      </c>
      <c r="Q482" t="s">
        <v>38</v>
      </c>
      <c r="R482">
        <v>1</v>
      </c>
      <c r="S482">
        <v>1</v>
      </c>
      <c r="T482">
        <v>1</v>
      </c>
      <c r="U482"/>
      <c r="V482"/>
      <c r="W482"/>
      <c r="X482">
        <v>1</v>
      </c>
      <c r="Y482"/>
      <c r="Z482">
        <v>0</v>
      </c>
      <c r="AA482"/>
      <c r="AB482"/>
      <c r="AC482"/>
      <c r="AD482"/>
      <c r="AE482">
        <v>0</v>
      </c>
      <c r="AF482"/>
      <c r="AG482"/>
      <c r="AH482"/>
    </row>
    <row r="483" spans="1:34" x14ac:dyDescent="0.25">
      <c r="A483" t="s">
        <v>3438</v>
      </c>
      <c r="B483" t="s">
        <v>3439</v>
      </c>
      <c r="C483"/>
      <c r="D483" t="s">
        <v>370</v>
      </c>
      <c r="E483" t="s">
        <v>945</v>
      </c>
      <c r="F483" t="s">
        <v>964</v>
      </c>
      <c r="G483" t="s">
        <v>280</v>
      </c>
      <c r="H483" t="s">
        <v>965</v>
      </c>
      <c r="I483" t="s">
        <v>35</v>
      </c>
      <c r="J483"/>
      <c r="K483">
        <v>1</v>
      </c>
      <c r="L483">
        <v>1</v>
      </c>
      <c r="M483" t="s">
        <v>33</v>
      </c>
      <c r="N483">
        <v>1</v>
      </c>
      <c r="O483">
        <v>1</v>
      </c>
      <c r="P483">
        <v>1</v>
      </c>
      <c r="Q483" t="s">
        <v>38</v>
      </c>
      <c r="R483">
        <v>1</v>
      </c>
      <c r="S483">
        <v>1</v>
      </c>
      <c r="T483">
        <v>1</v>
      </c>
      <c r="U483"/>
      <c r="V483"/>
      <c r="W483"/>
      <c r="X483">
        <v>1</v>
      </c>
      <c r="Y483"/>
      <c r="Z483">
        <v>0</v>
      </c>
      <c r="AA483"/>
      <c r="AB483"/>
      <c r="AC483"/>
      <c r="AD483"/>
      <c r="AE483">
        <v>0</v>
      </c>
      <c r="AF483"/>
      <c r="AG483"/>
      <c r="AH483"/>
    </row>
    <row r="484" spans="1:34" x14ac:dyDescent="0.25">
      <c r="A484" t="s">
        <v>3434</v>
      </c>
      <c r="B484" t="s">
        <v>3435</v>
      </c>
      <c r="C484"/>
      <c r="D484" t="s">
        <v>370</v>
      </c>
      <c r="E484" t="s">
        <v>945</v>
      </c>
      <c r="F484" t="s">
        <v>966</v>
      </c>
      <c r="G484" t="s">
        <v>280</v>
      </c>
      <c r="H484" t="s">
        <v>967</v>
      </c>
      <c r="I484" t="s">
        <v>35</v>
      </c>
      <c r="J484"/>
      <c r="K484">
        <v>1</v>
      </c>
      <c r="L484">
        <v>1</v>
      </c>
      <c r="M484" t="s">
        <v>33</v>
      </c>
      <c r="N484">
        <v>1</v>
      </c>
      <c r="O484">
        <v>1</v>
      </c>
      <c r="P484">
        <v>1</v>
      </c>
      <c r="Q484" t="s">
        <v>38</v>
      </c>
      <c r="R484">
        <v>1</v>
      </c>
      <c r="S484">
        <v>1</v>
      </c>
      <c r="T484">
        <v>1</v>
      </c>
      <c r="U484"/>
      <c r="V484"/>
      <c r="W484"/>
      <c r="X484">
        <v>1</v>
      </c>
      <c r="Y484"/>
      <c r="Z484">
        <v>0</v>
      </c>
      <c r="AA484"/>
      <c r="AB484"/>
      <c r="AC484"/>
      <c r="AD484"/>
      <c r="AE484">
        <v>0</v>
      </c>
      <c r="AF484"/>
      <c r="AG484"/>
      <c r="AH484"/>
    </row>
    <row r="485" spans="1:34" x14ac:dyDescent="0.25">
      <c r="A485" t="s">
        <v>3438</v>
      </c>
      <c r="B485" t="s">
        <v>3439</v>
      </c>
      <c r="C485"/>
      <c r="D485" t="s">
        <v>370</v>
      </c>
      <c r="E485" t="s">
        <v>945</v>
      </c>
      <c r="F485" t="s">
        <v>966</v>
      </c>
      <c r="G485" t="s">
        <v>280</v>
      </c>
      <c r="H485" t="s">
        <v>967</v>
      </c>
      <c r="I485" t="s">
        <v>35</v>
      </c>
      <c r="J485"/>
      <c r="K485">
        <v>1</v>
      </c>
      <c r="L485">
        <v>1</v>
      </c>
      <c r="M485" t="s">
        <v>33</v>
      </c>
      <c r="N485">
        <v>1</v>
      </c>
      <c r="O485">
        <v>1</v>
      </c>
      <c r="P485">
        <v>1</v>
      </c>
      <c r="Q485" t="s">
        <v>38</v>
      </c>
      <c r="R485">
        <v>1</v>
      </c>
      <c r="S485">
        <v>1</v>
      </c>
      <c r="T485">
        <v>1</v>
      </c>
      <c r="U485"/>
      <c r="V485"/>
      <c r="W485"/>
      <c r="X485">
        <v>1</v>
      </c>
      <c r="Y485"/>
      <c r="Z485">
        <v>0</v>
      </c>
      <c r="AA485"/>
      <c r="AB485"/>
      <c r="AC485"/>
      <c r="AD485"/>
      <c r="AE485">
        <v>0</v>
      </c>
      <c r="AF485"/>
      <c r="AG485"/>
      <c r="AH485"/>
    </row>
    <row r="486" spans="1:34" x14ac:dyDescent="0.25">
      <c r="A486" t="s">
        <v>3428</v>
      </c>
      <c r="B486" t="s">
        <v>3429</v>
      </c>
      <c r="C486"/>
      <c r="D486" t="s">
        <v>370</v>
      </c>
      <c r="E486" t="s">
        <v>968</v>
      </c>
      <c r="F486" t="s">
        <v>969</v>
      </c>
      <c r="G486" t="s">
        <v>280</v>
      </c>
      <c r="H486" t="s">
        <v>970</v>
      </c>
      <c r="I486" t="s">
        <v>35</v>
      </c>
      <c r="J486"/>
      <c r="K486">
        <v>1</v>
      </c>
      <c r="L486">
        <v>1</v>
      </c>
      <c r="M486" t="s">
        <v>33</v>
      </c>
      <c r="N486">
        <v>1</v>
      </c>
      <c r="O486">
        <v>1</v>
      </c>
      <c r="P486">
        <v>1</v>
      </c>
      <c r="Q486" t="s">
        <v>38</v>
      </c>
      <c r="R486">
        <v>1</v>
      </c>
      <c r="S486">
        <v>1</v>
      </c>
      <c r="T486">
        <v>1</v>
      </c>
      <c r="U486"/>
      <c r="V486"/>
      <c r="W486"/>
      <c r="X486">
        <v>1</v>
      </c>
      <c r="Y486"/>
      <c r="Z486">
        <v>0</v>
      </c>
      <c r="AA486"/>
      <c r="AB486"/>
      <c r="AC486"/>
      <c r="AD486"/>
      <c r="AE486">
        <v>0</v>
      </c>
      <c r="AF486"/>
      <c r="AG486"/>
      <c r="AH486"/>
    </row>
    <row r="487" spans="1:34" x14ac:dyDescent="0.25">
      <c r="A487" t="s">
        <v>3438</v>
      </c>
      <c r="B487" t="s">
        <v>3439</v>
      </c>
      <c r="C487"/>
      <c r="D487" t="s">
        <v>370</v>
      </c>
      <c r="E487" t="s">
        <v>968</v>
      </c>
      <c r="F487" t="s">
        <v>969</v>
      </c>
      <c r="G487" t="s">
        <v>280</v>
      </c>
      <c r="H487" t="s">
        <v>970</v>
      </c>
      <c r="I487" t="s">
        <v>35</v>
      </c>
      <c r="J487"/>
      <c r="K487">
        <v>1</v>
      </c>
      <c r="L487">
        <v>1</v>
      </c>
      <c r="M487" t="s">
        <v>33</v>
      </c>
      <c r="N487">
        <v>1</v>
      </c>
      <c r="O487">
        <v>1</v>
      </c>
      <c r="P487">
        <v>1</v>
      </c>
      <c r="Q487" t="s">
        <v>38</v>
      </c>
      <c r="R487">
        <v>1</v>
      </c>
      <c r="S487">
        <v>1</v>
      </c>
      <c r="T487">
        <v>1</v>
      </c>
      <c r="U487"/>
      <c r="V487"/>
      <c r="W487"/>
      <c r="X487">
        <v>1</v>
      </c>
      <c r="Y487"/>
      <c r="Z487">
        <v>0</v>
      </c>
      <c r="AA487"/>
      <c r="AB487"/>
      <c r="AC487"/>
      <c r="AD487"/>
      <c r="AE487">
        <v>0</v>
      </c>
      <c r="AF487"/>
      <c r="AG487"/>
      <c r="AH487"/>
    </row>
    <row r="488" spans="1:34" x14ac:dyDescent="0.25">
      <c r="A488" t="s">
        <v>3428</v>
      </c>
      <c r="B488" t="s">
        <v>3429</v>
      </c>
      <c r="C488"/>
      <c r="D488" t="s">
        <v>370</v>
      </c>
      <c r="E488" t="s">
        <v>968</v>
      </c>
      <c r="F488" t="s">
        <v>971</v>
      </c>
      <c r="G488" t="s">
        <v>280</v>
      </c>
      <c r="H488" t="s">
        <v>972</v>
      </c>
      <c r="I488" t="s">
        <v>35</v>
      </c>
      <c r="J488"/>
      <c r="K488">
        <v>1</v>
      </c>
      <c r="L488">
        <v>1</v>
      </c>
      <c r="M488" t="s">
        <v>33</v>
      </c>
      <c r="N488">
        <v>1</v>
      </c>
      <c r="O488">
        <v>1</v>
      </c>
      <c r="P488">
        <v>1</v>
      </c>
      <c r="Q488" t="s">
        <v>38</v>
      </c>
      <c r="R488">
        <v>1</v>
      </c>
      <c r="S488">
        <v>1</v>
      </c>
      <c r="T488">
        <v>1</v>
      </c>
      <c r="U488"/>
      <c r="V488"/>
      <c r="W488"/>
      <c r="X488">
        <v>1</v>
      </c>
      <c r="Y488"/>
      <c r="Z488">
        <v>0</v>
      </c>
      <c r="AA488"/>
      <c r="AB488"/>
      <c r="AC488"/>
      <c r="AD488"/>
      <c r="AE488">
        <v>0</v>
      </c>
      <c r="AF488"/>
      <c r="AG488"/>
      <c r="AH488"/>
    </row>
    <row r="489" spans="1:34" x14ac:dyDescent="0.25">
      <c r="A489" t="s">
        <v>3438</v>
      </c>
      <c r="B489" t="s">
        <v>3439</v>
      </c>
      <c r="C489"/>
      <c r="D489" t="s">
        <v>370</v>
      </c>
      <c r="E489" t="s">
        <v>968</v>
      </c>
      <c r="F489" t="s">
        <v>971</v>
      </c>
      <c r="G489" t="s">
        <v>280</v>
      </c>
      <c r="H489" t="s">
        <v>972</v>
      </c>
      <c r="I489" t="s">
        <v>35</v>
      </c>
      <c r="J489"/>
      <c r="K489">
        <v>1</v>
      </c>
      <c r="L489">
        <v>1</v>
      </c>
      <c r="M489" t="s">
        <v>33</v>
      </c>
      <c r="N489">
        <v>1</v>
      </c>
      <c r="O489">
        <v>1</v>
      </c>
      <c r="P489">
        <v>1</v>
      </c>
      <c r="Q489" t="s">
        <v>38</v>
      </c>
      <c r="R489">
        <v>1</v>
      </c>
      <c r="S489">
        <v>1</v>
      </c>
      <c r="T489">
        <v>1</v>
      </c>
      <c r="U489"/>
      <c r="V489"/>
      <c r="W489"/>
      <c r="X489">
        <v>1</v>
      </c>
      <c r="Y489"/>
      <c r="Z489">
        <v>0</v>
      </c>
      <c r="AA489"/>
      <c r="AB489"/>
      <c r="AC489"/>
      <c r="AD489"/>
      <c r="AE489">
        <v>0</v>
      </c>
      <c r="AF489"/>
      <c r="AG489"/>
      <c r="AH489"/>
    </row>
    <row r="490" spans="1:34" x14ac:dyDescent="0.25">
      <c r="A490" t="s">
        <v>3428</v>
      </c>
      <c r="B490" t="s">
        <v>3429</v>
      </c>
      <c r="C490"/>
      <c r="D490" t="s">
        <v>370</v>
      </c>
      <c r="E490" t="s">
        <v>968</v>
      </c>
      <c r="F490" t="s">
        <v>973</v>
      </c>
      <c r="G490" t="s">
        <v>280</v>
      </c>
      <c r="H490" t="s">
        <v>974</v>
      </c>
      <c r="I490" t="s">
        <v>35</v>
      </c>
      <c r="J490"/>
      <c r="K490">
        <v>1</v>
      </c>
      <c r="L490">
        <v>1</v>
      </c>
      <c r="M490" t="s">
        <v>33</v>
      </c>
      <c r="N490">
        <v>1</v>
      </c>
      <c r="O490">
        <v>1</v>
      </c>
      <c r="P490">
        <v>1</v>
      </c>
      <c r="Q490" t="s">
        <v>38</v>
      </c>
      <c r="R490">
        <v>1</v>
      </c>
      <c r="S490">
        <v>1</v>
      </c>
      <c r="T490">
        <v>1</v>
      </c>
      <c r="U490"/>
      <c r="V490"/>
      <c r="W490"/>
      <c r="X490">
        <v>1</v>
      </c>
      <c r="Y490"/>
      <c r="Z490">
        <v>0</v>
      </c>
      <c r="AA490"/>
      <c r="AB490"/>
      <c r="AC490"/>
      <c r="AD490"/>
      <c r="AE490">
        <v>0</v>
      </c>
      <c r="AF490"/>
      <c r="AG490"/>
      <c r="AH490"/>
    </row>
    <row r="491" spans="1:34" x14ac:dyDescent="0.25">
      <c r="A491" t="s">
        <v>3438</v>
      </c>
      <c r="B491" t="s">
        <v>3439</v>
      </c>
      <c r="C491"/>
      <c r="D491" t="s">
        <v>370</v>
      </c>
      <c r="E491" t="s">
        <v>968</v>
      </c>
      <c r="F491" t="s">
        <v>973</v>
      </c>
      <c r="G491" t="s">
        <v>280</v>
      </c>
      <c r="H491" t="s">
        <v>974</v>
      </c>
      <c r="I491" t="s">
        <v>35</v>
      </c>
      <c r="J491"/>
      <c r="K491">
        <v>1</v>
      </c>
      <c r="L491">
        <v>1</v>
      </c>
      <c r="M491" t="s">
        <v>33</v>
      </c>
      <c r="N491">
        <v>1</v>
      </c>
      <c r="O491">
        <v>1</v>
      </c>
      <c r="P491">
        <v>1</v>
      </c>
      <c r="Q491" t="s">
        <v>38</v>
      </c>
      <c r="R491">
        <v>1</v>
      </c>
      <c r="S491">
        <v>1</v>
      </c>
      <c r="T491">
        <v>1</v>
      </c>
      <c r="U491"/>
      <c r="V491"/>
      <c r="W491"/>
      <c r="X491">
        <v>1</v>
      </c>
      <c r="Y491"/>
      <c r="Z491">
        <v>0</v>
      </c>
      <c r="AA491"/>
      <c r="AB491"/>
      <c r="AC491"/>
      <c r="AD491"/>
      <c r="AE491">
        <v>0</v>
      </c>
      <c r="AF491"/>
      <c r="AG491"/>
      <c r="AH491"/>
    </row>
    <row r="492" spans="1:34" x14ac:dyDescent="0.25">
      <c r="A492" t="s">
        <v>3428</v>
      </c>
      <c r="B492" t="s">
        <v>3429</v>
      </c>
      <c r="C492"/>
      <c r="D492" t="s">
        <v>370</v>
      </c>
      <c r="E492" t="s">
        <v>968</v>
      </c>
      <c r="F492" t="s">
        <v>975</v>
      </c>
      <c r="G492" t="s">
        <v>280</v>
      </c>
      <c r="H492" t="s">
        <v>976</v>
      </c>
      <c r="I492" t="s">
        <v>35</v>
      </c>
      <c r="J492"/>
      <c r="K492">
        <v>1</v>
      </c>
      <c r="L492">
        <v>1</v>
      </c>
      <c r="M492" t="s">
        <v>33</v>
      </c>
      <c r="N492">
        <v>1</v>
      </c>
      <c r="O492">
        <v>1</v>
      </c>
      <c r="P492">
        <v>1</v>
      </c>
      <c r="Q492" t="s">
        <v>38</v>
      </c>
      <c r="R492">
        <v>1</v>
      </c>
      <c r="S492">
        <v>1</v>
      </c>
      <c r="T492">
        <v>1</v>
      </c>
      <c r="U492"/>
      <c r="V492"/>
      <c r="W492"/>
      <c r="X492">
        <v>1</v>
      </c>
      <c r="Y492"/>
      <c r="Z492">
        <v>0</v>
      </c>
      <c r="AA492"/>
      <c r="AB492"/>
      <c r="AC492"/>
      <c r="AD492"/>
      <c r="AE492">
        <v>0</v>
      </c>
      <c r="AF492"/>
      <c r="AG492"/>
      <c r="AH492"/>
    </row>
    <row r="493" spans="1:34" x14ac:dyDescent="0.25">
      <c r="A493" t="s">
        <v>3438</v>
      </c>
      <c r="B493" t="s">
        <v>3439</v>
      </c>
      <c r="C493"/>
      <c r="D493" t="s">
        <v>370</v>
      </c>
      <c r="E493" t="s">
        <v>968</v>
      </c>
      <c r="F493" t="s">
        <v>975</v>
      </c>
      <c r="G493" t="s">
        <v>280</v>
      </c>
      <c r="H493" t="s">
        <v>976</v>
      </c>
      <c r="I493" t="s">
        <v>35</v>
      </c>
      <c r="J493"/>
      <c r="K493">
        <v>1</v>
      </c>
      <c r="L493">
        <v>1</v>
      </c>
      <c r="M493" t="s">
        <v>33</v>
      </c>
      <c r="N493">
        <v>1</v>
      </c>
      <c r="O493">
        <v>1</v>
      </c>
      <c r="P493">
        <v>1</v>
      </c>
      <c r="Q493" t="s">
        <v>38</v>
      </c>
      <c r="R493">
        <v>1</v>
      </c>
      <c r="S493">
        <v>1</v>
      </c>
      <c r="T493">
        <v>1</v>
      </c>
      <c r="U493"/>
      <c r="V493"/>
      <c r="W493"/>
      <c r="X493">
        <v>1</v>
      </c>
      <c r="Y493"/>
      <c r="Z493">
        <v>0</v>
      </c>
      <c r="AA493"/>
      <c r="AB493"/>
      <c r="AC493"/>
      <c r="AD493"/>
      <c r="AE493">
        <v>0</v>
      </c>
      <c r="AF493"/>
      <c r="AG493"/>
      <c r="AH493"/>
    </row>
    <row r="494" spans="1:34" x14ac:dyDescent="0.25">
      <c r="A494" t="s">
        <v>3428</v>
      </c>
      <c r="B494" t="s">
        <v>3429</v>
      </c>
      <c r="C494"/>
      <c r="D494" t="s">
        <v>370</v>
      </c>
      <c r="E494" t="s">
        <v>968</v>
      </c>
      <c r="F494" t="s">
        <v>977</v>
      </c>
      <c r="G494" t="s">
        <v>280</v>
      </c>
      <c r="H494" t="s">
        <v>978</v>
      </c>
      <c r="I494" t="s">
        <v>35</v>
      </c>
      <c r="J494"/>
      <c r="K494">
        <v>1</v>
      </c>
      <c r="L494">
        <v>1</v>
      </c>
      <c r="M494" t="s">
        <v>33</v>
      </c>
      <c r="N494">
        <v>1</v>
      </c>
      <c r="O494">
        <v>1</v>
      </c>
      <c r="P494">
        <v>1</v>
      </c>
      <c r="Q494" t="s">
        <v>38</v>
      </c>
      <c r="R494">
        <v>1</v>
      </c>
      <c r="S494">
        <v>1</v>
      </c>
      <c r="T494">
        <v>1</v>
      </c>
      <c r="U494"/>
      <c r="V494"/>
      <c r="W494"/>
      <c r="X494">
        <v>1</v>
      </c>
      <c r="Y494"/>
      <c r="Z494">
        <v>0</v>
      </c>
      <c r="AA494"/>
      <c r="AB494"/>
      <c r="AC494"/>
      <c r="AD494"/>
      <c r="AE494">
        <v>0</v>
      </c>
      <c r="AF494"/>
      <c r="AG494"/>
      <c r="AH494"/>
    </row>
    <row r="495" spans="1:34" x14ac:dyDescent="0.25">
      <c r="A495" t="s">
        <v>3438</v>
      </c>
      <c r="B495" t="s">
        <v>3439</v>
      </c>
      <c r="C495"/>
      <c r="D495" t="s">
        <v>370</v>
      </c>
      <c r="E495" t="s">
        <v>968</v>
      </c>
      <c r="F495" t="s">
        <v>977</v>
      </c>
      <c r="G495" t="s">
        <v>280</v>
      </c>
      <c r="H495" t="s">
        <v>978</v>
      </c>
      <c r="I495" t="s">
        <v>35</v>
      </c>
      <c r="J495"/>
      <c r="K495">
        <v>1</v>
      </c>
      <c r="L495">
        <v>1</v>
      </c>
      <c r="M495" t="s">
        <v>33</v>
      </c>
      <c r="N495">
        <v>1</v>
      </c>
      <c r="O495">
        <v>1</v>
      </c>
      <c r="P495">
        <v>1</v>
      </c>
      <c r="Q495" t="s">
        <v>38</v>
      </c>
      <c r="R495">
        <v>1</v>
      </c>
      <c r="S495">
        <v>1</v>
      </c>
      <c r="T495">
        <v>1</v>
      </c>
      <c r="U495"/>
      <c r="V495"/>
      <c r="W495"/>
      <c r="X495">
        <v>1</v>
      </c>
      <c r="Y495"/>
      <c r="Z495">
        <v>0</v>
      </c>
      <c r="AA495"/>
      <c r="AB495"/>
      <c r="AC495"/>
      <c r="AD495"/>
      <c r="AE495">
        <v>0</v>
      </c>
      <c r="AF495"/>
      <c r="AG495"/>
      <c r="AH495"/>
    </row>
    <row r="496" spans="1:34" x14ac:dyDescent="0.25">
      <c r="A496" t="s">
        <v>3428</v>
      </c>
      <c r="B496" t="s">
        <v>3429</v>
      </c>
      <c r="C496"/>
      <c r="D496" t="s">
        <v>370</v>
      </c>
      <c r="E496" t="s">
        <v>968</v>
      </c>
      <c r="F496" t="s">
        <v>979</v>
      </c>
      <c r="G496" t="s">
        <v>280</v>
      </c>
      <c r="H496" t="s">
        <v>980</v>
      </c>
      <c r="I496" t="s">
        <v>35</v>
      </c>
      <c r="J496"/>
      <c r="K496">
        <v>1</v>
      </c>
      <c r="L496">
        <v>1</v>
      </c>
      <c r="M496" t="s">
        <v>33</v>
      </c>
      <c r="N496">
        <v>1</v>
      </c>
      <c r="O496">
        <v>1</v>
      </c>
      <c r="P496">
        <v>1</v>
      </c>
      <c r="Q496" t="s">
        <v>38</v>
      </c>
      <c r="R496">
        <v>1</v>
      </c>
      <c r="S496">
        <v>1</v>
      </c>
      <c r="T496">
        <v>1</v>
      </c>
      <c r="U496"/>
      <c r="V496"/>
      <c r="W496"/>
      <c r="X496">
        <v>1</v>
      </c>
      <c r="Y496"/>
      <c r="Z496">
        <v>0</v>
      </c>
      <c r="AA496"/>
      <c r="AB496"/>
      <c r="AC496"/>
      <c r="AD496"/>
      <c r="AE496">
        <v>0</v>
      </c>
      <c r="AF496"/>
      <c r="AG496"/>
      <c r="AH496"/>
    </row>
    <row r="497" spans="1:34" x14ac:dyDescent="0.25">
      <c r="A497" t="s">
        <v>3438</v>
      </c>
      <c r="B497" t="s">
        <v>3439</v>
      </c>
      <c r="C497"/>
      <c r="D497" t="s">
        <v>370</v>
      </c>
      <c r="E497" t="s">
        <v>968</v>
      </c>
      <c r="F497" t="s">
        <v>979</v>
      </c>
      <c r="G497" t="s">
        <v>280</v>
      </c>
      <c r="H497" t="s">
        <v>980</v>
      </c>
      <c r="I497" t="s">
        <v>35</v>
      </c>
      <c r="J497"/>
      <c r="K497">
        <v>1</v>
      </c>
      <c r="L497">
        <v>1</v>
      </c>
      <c r="M497" t="s">
        <v>33</v>
      </c>
      <c r="N497">
        <v>1</v>
      </c>
      <c r="O497">
        <v>1</v>
      </c>
      <c r="P497">
        <v>1</v>
      </c>
      <c r="Q497" t="s">
        <v>38</v>
      </c>
      <c r="R497">
        <v>1</v>
      </c>
      <c r="S497">
        <v>1</v>
      </c>
      <c r="T497">
        <v>1</v>
      </c>
      <c r="U497"/>
      <c r="V497"/>
      <c r="W497"/>
      <c r="X497">
        <v>1</v>
      </c>
      <c r="Y497"/>
      <c r="Z497">
        <v>0</v>
      </c>
      <c r="AA497"/>
      <c r="AB497"/>
      <c r="AC497"/>
      <c r="AD497"/>
      <c r="AE497">
        <v>0</v>
      </c>
      <c r="AF497"/>
      <c r="AG497"/>
      <c r="AH497"/>
    </row>
    <row r="498" spans="1:34" x14ac:dyDescent="0.25">
      <c r="A498" t="s">
        <v>3428</v>
      </c>
      <c r="B498" t="s">
        <v>3429</v>
      </c>
      <c r="C498"/>
      <c r="D498" t="s">
        <v>370</v>
      </c>
      <c r="E498" t="s">
        <v>968</v>
      </c>
      <c r="F498" t="s">
        <v>981</v>
      </c>
      <c r="G498" t="s">
        <v>280</v>
      </c>
      <c r="H498" t="s">
        <v>982</v>
      </c>
      <c r="I498" t="s">
        <v>35</v>
      </c>
      <c r="J498"/>
      <c r="K498">
        <v>1</v>
      </c>
      <c r="L498">
        <v>1</v>
      </c>
      <c r="M498" t="s">
        <v>33</v>
      </c>
      <c r="N498">
        <v>1</v>
      </c>
      <c r="O498">
        <v>1</v>
      </c>
      <c r="P498">
        <v>1</v>
      </c>
      <c r="Q498" t="s">
        <v>38</v>
      </c>
      <c r="R498">
        <v>1</v>
      </c>
      <c r="S498">
        <v>1</v>
      </c>
      <c r="T498">
        <v>1</v>
      </c>
      <c r="U498"/>
      <c r="V498"/>
      <c r="W498"/>
      <c r="X498">
        <v>1</v>
      </c>
      <c r="Y498"/>
      <c r="Z498">
        <v>0</v>
      </c>
      <c r="AA498"/>
      <c r="AB498"/>
      <c r="AC498"/>
      <c r="AD498"/>
      <c r="AE498">
        <v>0</v>
      </c>
      <c r="AF498"/>
      <c r="AG498"/>
      <c r="AH498"/>
    </row>
    <row r="499" spans="1:34" x14ac:dyDescent="0.25">
      <c r="A499" t="s">
        <v>3438</v>
      </c>
      <c r="B499" t="s">
        <v>3439</v>
      </c>
      <c r="C499"/>
      <c r="D499" t="s">
        <v>370</v>
      </c>
      <c r="E499" t="s">
        <v>968</v>
      </c>
      <c r="F499" t="s">
        <v>981</v>
      </c>
      <c r="G499" t="s">
        <v>280</v>
      </c>
      <c r="H499" t="s">
        <v>982</v>
      </c>
      <c r="I499" t="s">
        <v>35</v>
      </c>
      <c r="J499"/>
      <c r="K499">
        <v>1</v>
      </c>
      <c r="L499">
        <v>1</v>
      </c>
      <c r="M499" t="s">
        <v>33</v>
      </c>
      <c r="N499">
        <v>1</v>
      </c>
      <c r="O499">
        <v>1</v>
      </c>
      <c r="P499">
        <v>1</v>
      </c>
      <c r="Q499" t="s">
        <v>38</v>
      </c>
      <c r="R499">
        <v>1</v>
      </c>
      <c r="S499">
        <v>1</v>
      </c>
      <c r="T499">
        <v>1</v>
      </c>
      <c r="U499"/>
      <c r="V499"/>
      <c r="W499"/>
      <c r="X499">
        <v>1</v>
      </c>
      <c r="Y499"/>
      <c r="Z499">
        <v>0</v>
      </c>
      <c r="AA499"/>
      <c r="AB499"/>
      <c r="AC499"/>
      <c r="AD499"/>
      <c r="AE499">
        <v>0</v>
      </c>
      <c r="AF499"/>
      <c r="AG499"/>
      <c r="AH499"/>
    </row>
    <row r="500" spans="1:34" x14ac:dyDescent="0.25">
      <c r="A500" t="s">
        <v>3428</v>
      </c>
      <c r="B500" t="s">
        <v>3429</v>
      </c>
      <c r="C500"/>
      <c r="D500" t="s">
        <v>370</v>
      </c>
      <c r="E500" t="s">
        <v>968</v>
      </c>
      <c r="F500" t="s">
        <v>983</v>
      </c>
      <c r="G500" t="s">
        <v>280</v>
      </c>
      <c r="H500" t="s">
        <v>984</v>
      </c>
      <c r="I500" t="s">
        <v>35</v>
      </c>
      <c r="J500"/>
      <c r="K500">
        <v>1</v>
      </c>
      <c r="L500">
        <v>1</v>
      </c>
      <c r="M500" t="s">
        <v>33</v>
      </c>
      <c r="N500">
        <v>1</v>
      </c>
      <c r="O500">
        <v>1</v>
      </c>
      <c r="P500">
        <v>1</v>
      </c>
      <c r="Q500" t="s">
        <v>38</v>
      </c>
      <c r="R500">
        <v>1</v>
      </c>
      <c r="S500">
        <v>1</v>
      </c>
      <c r="T500">
        <v>1</v>
      </c>
      <c r="U500"/>
      <c r="V500"/>
      <c r="W500"/>
      <c r="X500">
        <v>1</v>
      </c>
      <c r="Y500"/>
      <c r="Z500">
        <v>0</v>
      </c>
      <c r="AA500"/>
      <c r="AB500"/>
      <c r="AC500"/>
      <c r="AD500"/>
      <c r="AE500">
        <v>0</v>
      </c>
      <c r="AF500"/>
      <c r="AG500"/>
      <c r="AH500"/>
    </row>
    <row r="501" spans="1:34" x14ac:dyDescent="0.25">
      <c r="A501" t="s">
        <v>3438</v>
      </c>
      <c r="B501" t="s">
        <v>3439</v>
      </c>
      <c r="C501"/>
      <c r="D501" t="s">
        <v>370</v>
      </c>
      <c r="E501" t="s">
        <v>968</v>
      </c>
      <c r="F501" t="s">
        <v>983</v>
      </c>
      <c r="G501" t="s">
        <v>280</v>
      </c>
      <c r="H501" t="s">
        <v>984</v>
      </c>
      <c r="I501" t="s">
        <v>35</v>
      </c>
      <c r="J501"/>
      <c r="K501">
        <v>1</v>
      </c>
      <c r="L501">
        <v>1</v>
      </c>
      <c r="M501" t="s">
        <v>33</v>
      </c>
      <c r="N501">
        <v>1</v>
      </c>
      <c r="O501">
        <v>1</v>
      </c>
      <c r="P501">
        <v>1</v>
      </c>
      <c r="Q501" t="s">
        <v>38</v>
      </c>
      <c r="R501">
        <v>1</v>
      </c>
      <c r="S501">
        <v>1</v>
      </c>
      <c r="T501">
        <v>1</v>
      </c>
      <c r="U501"/>
      <c r="V501"/>
      <c r="W501"/>
      <c r="X501">
        <v>1</v>
      </c>
      <c r="Y501"/>
      <c r="Z501">
        <v>0</v>
      </c>
      <c r="AA501"/>
      <c r="AB501"/>
      <c r="AC501"/>
      <c r="AD501"/>
      <c r="AE501">
        <v>0</v>
      </c>
      <c r="AF501"/>
      <c r="AG501"/>
      <c r="AH501"/>
    </row>
    <row r="502" spans="1:34" x14ac:dyDescent="0.25">
      <c r="A502" t="s">
        <v>3428</v>
      </c>
      <c r="B502" t="s">
        <v>3429</v>
      </c>
      <c r="C502"/>
      <c r="D502" t="s">
        <v>370</v>
      </c>
      <c r="E502" t="s">
        <v>968</v>
      </c>
      <c r="F502" t="s">
        <v>985</v>
      </c>
      <c r="G502" t="s">
        <v>280</v>
      </c>
      <c r="H502" t="s">
        <v>986</v>
      </c>
      <c r="I502" t="s">
        <v>35</v>
      </c>
      <c r="J502"/>
      <c r="K502">
        <v>1</v>
      </c>
      <c r="L502">
        <v>1</v>
      </c>
      <c r="M502" t="s">
        <v>33</v>
      </c>
      <c r="N502">
        <v>1</v>
      </c>
      <c r="O502">
        <v>1</v>
      </c>
      <c r="P502">
        <v>1</v>
      </c>
      <c r="Q502" t="s">
        <v>38</v>
      </c>
      <c r="R502">
        <v>1</v>
      </c>
      <c r="S502">
        <v>1</v>
      </c>
      <c r="T502">
        <v>1</v>
      </c>
      <c r="U502"/>
      <c r="V502"/>
      <c r="W502"/>
      <c r="X502">
        <v>1</v>
      </c>
      <c r="Y502"/>
      <c r="Z502">
        <v>0</v>
      </c>
      <c r="AA502"/>
      <c r="AB502"/>
      <c r="AC502"/>
      <c r="AD502"/>
      <c r="AE502">
        <v>0</v>
      </c>
      <c r="AF502"/>
      <c r="AG502"/>
      <c r="AH502"/>
    </row>
    <row r="503" spans="1:34" x14ac:dyDescent="0.25">
      <c r="A503" t="s">
        <v>3438</v>
      </c>
      <c r="B503" t="s">
        <v>3439</v>
      </c>
      <c r="C503"/>
      <c r="D503" t="s">
        <v>370</v>
      </c>
      <c r="E503" t="s">
        <v>968</v>
      </c>
      <c r="F503" t="s">
        <v>985</v>
      </c>
      <c r="G503" t="s">
        <v>280</v>
      </c>
      <c r="H503" t="s">
        <v>986</v>
      </c>
      <c r="I503" t="s">
        <v>35</v>
      </c>
      <c r="J503"/>
      <c r="K503">
        <v>1</v>
      </c>
      <c r="L503">
        <v>1</v>
      </c>
      <c r="M503" t="s">
        <v>33</v>
      </c>
      <c r="N503">
        <v>1</v>
      </c>
      <c r="O503">
        <v>1</v>
      </c>
      <c r="P503">
        <v>1</v>
      </c>
      <c r="Q503" t="s">
        <v>38</v>
      </c>
      <c r="R503">
        <v>1</v>
      </c>
      <c r="S503">
        <v>1</v>
      </c>
      <c r="T503">
        <v>1</v>
      </c>
      <c r="U503"/>
      <c r="V503"/>
      <c r="W503"/>
      <c r="X503">
        <v>1</v>
      </c>
      <c r="Y503"/>
      <c r="Z503">
        <v>0</v>
      </c>
      <c r="AA503"/>
      <c r="AB503"/>
      <c r="AC503"/>
      <c r="AD503"/>
      <c r="AE503">
        <v>0</v>
      </c>
      <c r="AF503"/>
      <c r="AG503"/>
      <c r="AH503"/>
    </row>
    <row r="504" spans="1:34" x14ac:dyDescent="0.25">
      <c r="A504" t="s">
        <v>3428</v>
      </c>
      <c r="B504" t="s">
        <v>3429</v>
      </c>
      <c r="C504"/>
      <c r="D504" t="s">
        <v>370</v>
      </c>
      <c r="E504" t="s">
        <v>968</v>
      </c>
      <c r="F504" t="s">
        <v>987</v>
      </c>
      <c r="G504" t="s">
        <v>280</v>
      </c>
      <c r="H504" t="s">
        <v>988</v>
      </c>
      <c r="I504" t="s">
        <v>35</v>
      </c>
      <c r="J504"/>
      <c r="K504">
        <v>1</v>
      </c>
      <c r="L504">
        <v>1</v>
      </c>
      <c r="M504" t="s">
        <v>33</v>
      </c>
      <c r="N504">
        <v>1</v>
      </c>
      <c r="O504">
        <v>1</v>
      </c>
      <c r="P504">
        <v>1</v>
      </c>
      <c r="Q504" t="s">
        <v>38</v>
      </c>
      <c r="R504">
        <v>1</v>
      </c>
      <c r="S504">
        <v>1</v>
      </c>
      <c r="T504">
        <v>1</v>
      </c>
      <c r="U504"/>
      <c r="V504"/>
      <c r="W504"/>
      <c r="X504">
        <v>1</v>
      </c>
      <c r="Y504"/>
      <c r="Z504">
        <v>0</v>
      </c>
      <c r="AA504"/>
      <c r="AB504"/>
      <c r="AC504"/>
      <c r="AD504"/>
      <c r="AE504">
        <v>0</v>
      </c>
      <c r="AF504"/>
      <c r="AG504"/>
      <c r="AH504"/>
    </row>
    <row r="505" spans="1:34" x14ac:dyDescent="0.25">
      <c r="A505" t="s">
        <v>3438</v>
      </c>
      <c r="B505" t="s">
        <v>3439</v>
      </c>
      <c r="C505"/>
      <c r="D505" t="s">
        <v>370</v>
      </c>
      <c r="E505" t="s">
        <v>968</v>
      </c>
      <c r="F505" t="s">
        <v>987</v>
      </c>
      <c r="G505" t="s">
        <v>280</v>
      </c>
      <c r="H505" t="s">
        <v>988</v>
      </c>
      <c r="I505" t="s">
        <v>35</v>
      </c>
      <c r="J505"/>
      <c r="K505">
        <v>1</v>
      </c>
      <c r="L505">
        <v>1</v>
      </c>
      <c r="M505" t="s">
        <v>33</v>
      </c>
      <c r="N505">
        <v>1</v>
      </c>
      <c r="O505">
        <v>1</v>
      </c>
      <c r="P505">
        <v>1</v>
      </c>
      <c r="Q505" t="s">
        <v>38</v>
      </c>
      <c r="R505">
        <v>1</v>
      </c>
      <c r="S505">
        <v>1</v>
      </c>
      <c r="T505">
        <v>1</v>
      </c>
      <c r="U505"/>
      <c r="V505"/>
      <c r="W505"/>
      <c r="X505">
        <v>1</v>
      </c>
      <c r="Y505"/>
      <c r="Z505">
        <v>0</v>
      </c>
      <c r="AA505"/>
      <c r="AB505"/>
      <c r="AC505"/>
      <c r="AD505"/>
      <c r="AE505">
        <v>0</v>
      </c>
      <c r="AF505"/>
      <c r="AG505"/>
      <c r="AH505"/>
    </row>
    <row r="506" spans="1:34" x14ac:dyDescent="0.25">
      <c r="A506" t="s">
        <v>3428</v>
      </c>
      <c r="B506" t="s">
        <v>3429</v>
      </c>
      <c r="C506"/>
      <c r="D506" t="s">
        <v>370</v>
      </c>
      <c r="E506" t="s">
        <v>968</v>
      </c>
      <c r="F506" t="s">
        <v>989</v>
      </c>
      <c r="G506" t="s">
        <v>280</v>
      </c>
      <c r="H506" t="s">
        <v>990</v>
      </c>
      <c r="I506" t="s">
        <v>35</v>
      </c>
      <c r="J506"/>
      <c r="K506">
        <v>1</v>
      </c>
      <c r="L506">
        <v>1</v>
      </c>
      <c r="M506" t="s">
        <v>33</v>
      </c>
      <c r="N506">
        <v>1</v>
      </c>
      <c r="O506">
        <v>1</v>
      </c>
      <c r="P506">
        <v>1</v>
      </c>
      <c r="Q506" t="s">
        <v>38</v>
      </c>
      <c r="R506">
        <v>1</v>
      </c>
      <c r="S506">
        <v>1</v>
      </c>
      <c r="T506">
        <v>1</v>
      </c>
      <c r="U506"/>
      <c r="V506"/>
      <c r="W506"/>
      <c r="X506">
        <v>1</v>
      </c>
      <c r="Y506"/>
      <c r="Z506">
        <v>0</v>
      </c>
      <c r="AA506"/>
      <c r="AB506"/>
      <c r="AC506"/>
      <c r="AD506"/>
      <c r="AE506">
        <v>0</v>
      </c>
      <c r="AF506"/>
      <c r="AG506"/>
      <c r="AH506"/>
    </row>
    <row r="507" spans="1:34" x14ac:dyDescent="0.25">
      <c r="A507" t="s">
        <v>3438</v>
      </c>
      <c r="B507" t="s">
        <v>3439</v>
      </c>
      <c r="C507"/>
      <c r="D507" t="s">
        <v>370</v>
      </c>
      <c r="E507" t="s">
        <v>968</v>
      </c>
      <c r="F507" t="s">
        <v>989</v>
      </c>
      <c r="G507" t="s">
        <v>280</v>
      </c>
      <c r="H507" t="s">
        <v>990</v>
      </c>
      <c r="I507" t="s">
        <v>35</v>
      </c>
      <c r="J507"/>
      <c r="K507">
        <v>1</v>
      </c>
      <c r="L507">
        <v>1</v>
      </c>
      <c r="M507" t="s">
        <v>33</v>
      </c>
      <c r="N507">
        <v>1</v>
      </c>
      <c r="O507">
        <v>1</v>
      </c>
      <c r="P507">
        <v>1</v>
      </c>
      <c r="Q507" t="s">
        <v>38</v>
      </c>
      <c r="R507">
        <v>1</v>
      </c>
      <c r="S507">
        <v>1</v>
      </c>
      <c r="T507">
        <v>1</v>
      </c>
      <c r="U507"/>
      <c r="V507"/>
      <c r="W507"/>
      <c r="X507">
        <v>1</v>
      </c>
      <c r="Y507"/>
      <c r="Z507">
        <v>0</v>
      </c>
      <c r="AA507"/>
      <c r="AB507"/>
      <c r="AC507"/>
      <c r="AD507"/>
      <c r="AE507">
        <v>0</v>
      </c>
      <c r="AF507"/>
      <c r="AG507"/>
      <c r="AH507"/>
    </row>
    <row r="508" spans="1:34" x14ac:dyDescent="0.25">
      <c r="A508" t="s">
        <v>3432</v>
      </c>
      <c r="B508" t="s">
        <v>3433</v>
      </c>
      <c r="C508"/>
      <c r="D508" t="s">
        <v>370</v>
      </c>
      <c r="E508" t="s">
        <v>991</v>
      </c>
      <c r="F508" t="s">
        <v>992</v>
      </c>
      <c r="G508" t="s">
        <v>280</v>
      </c>
      <c r="H508" t="s">
        <v>993</v>
      </c>
      <c r="I508" t="s">
        <v>35</v>
      </c>
      <c r="J508"/>
      <c r="K508">
        <v>1</v>
      </c>
      <c r="L508">
        <v>1</v>
      </c>
      <c r="M508" t="s">
        <v>33</v>
      </c>
      <c r="N508">
        <v>1</v>
      </c>
      <c r="O508">
        <v>1</v>
      </c>
      <c r="P508">
        <v>1</v>
      </c>
      <c r="Q508" t="s">
        <v>38</v>
      </c>
      <c r="R508">
        <v>1</v>
      </c>
      <c r="S508">
        <v>0</v>
      </c>
      <c r="T508"/>
      <c r="U508"/>
      <c r="V508"/>
      <c r="W508"/>
      <c r="X508">
        <v>0</v>
      </c>
      <c r="Y508"/>
      <c r="Z508">
        <v>0</v>
      </c>
      <c r="AA508"/>
      <c r="AB508"/>
      <c r="AC508"/>
      <c r="AD508"/>
      <c r="AE508">
        <v>0</v>
      </c>
      <c r="AF508"/>
      <c r="AG508"/>
      <c r="AH508"/>
    </row>
    <row r="509" spans="1:34" x14ac:dyDescent="0.25">
      <c r="A509" t="s">
        <v>3438</v>
      </c>
      <c r="B509" t="s">
        <v>3439</v>
      </c>
      <c r="C509"/>
      <c r="D509" t="s">
        <v>370</v>
      </c>
      <c r="E509" t="s">
        <v>991</v>
      </c>
      <c r="F509" t="s">
        <v>992</v>
      </c>
      <c r="G509" t="s">
        <v>280</v>
      </c>
      <c r="H509" t="s">
        <v>993</v>
      </c>
      <c r="I509" t="s">
        <v>35</v>
      </c>
      <c r="J509"/>
      <c r="K509">
        <v>1</v>
      </c>
      <c r="L509">
        <v>1</v>
      </c>
      <c r="M509" t="s">
        <v>33</v>
      </c>
      <c r="N509">
        <v>1</v>
      </c>
      <c r="O509">
        <v>1</v>
      </c>
      <c r="P509">
        <v>1</v>
      </c>
      <c r="Q509" t="s">
        <v>38</v>
      </c>
      <c r="R509">
        <v>1</v>
      </c>
      <c r="S509">
        <v>0</v>
      </c>
      <c r="T509"/>
      <c r="U509"/>
      <c r="V509"/>
      <c r="W509"/>
      <c r="X509">
        <v>0</v>
      </c>
      <c r="Y509"/>
      <c r="Z509">
        <v>0</v>
      </c>
      <c r="AA509"/>
      <c r="AB509"/>
      <c r="AC509"/>
      <c r="AD509"/>
      <c r="AE509">
        <v>0</v>
      </c>
      <c r="AF509"/>
      <c r="AG509"/>
      <c r="AH509"/>
    </row>
    <row r="510" spans="1:34" x14ac:dyDescent="0.25">
      <c r="A510" t="s">
        <v>3432</v>
      </c>
      <c r="B510" t="s">
        <v>3433</v>
      </c>
      <c r="C510"/>
      <c r="D510" t="s">
        <v>370</v>
      </c>
      <c r="E510" t="s">
        <v>991</v>
      </c>
      <c r="F510" t="s">
        <v>994</v>
      </c>
      <c r="G510" t="s">
        <v>280</v>
      </c>
      <c r="H510" t="s">
        <v>995</v>
      </c>
      <c r="I510" t="s">
        <v>35</v>
      </c>
      <c r="J510"/>
      <c r="K510">
        <v>1</v>
      </c>
      <c r="L510">
        <v>1</v>
      </c>
      <c r="M510" t="s">
        <v>33</v>
      </c>
      <c r="N510">
        <v>1</v>
      </c>
      <c r="O510">
        <v>1</v>
      </c>
      <c r="P510">
        <v>1</v>
      </c>
      <c r="Q510" t="s">
        <v>38</v>
      </c>
      <c r="R510">
        <v>1</v>
      </c>
      <c r="S510">
        <v>0</v>
      </c>
      <c r="T510"/>
      <c r="U510"/>
      <c r="V510"/>
      <c r="W510"/>
      <c r="X510">
        <v>0</v>
      </c>
      <c r="Y510"/>
      <c r="Z510">
        <v>0</v>
      </c>
      <c r="AA510"/>
      <c r="AB510"/>
      <c r="AC510"/>
      <c r="AD510"/>
      <c r="AE510">
        <v>0</v>
      </c>
      <c r="AF510"/>
      <c r="AG510"/>
      <c r="AH510"/>
    </row>
    <row r="511" spans="1:34" x14ac:dyDescent="0.25">
      <c r="A511" t="s">
        <v>3438</v>
      </c>
      <c r="B511" t="s">
        <v>3439</v>
      </c>
      <c r="C511"/>
      <c r="D511" t="s">
        <v>370</v>
      </c>
      <c r="E511" t="s">
        <v>991</v>
      </c>
      <c r="F511" t="s">
        <v>994</v>
      </c>
      <c r="G511" t="s">
        <v>280</v>
      </c>
      <c r="H511" t="s">
        <v>995</v>
      </c>
      <c r="I511" t="s">
        <v>35</v>
      </c>
      <c r="J511"/>
      <c r="K511">
        <v>1</v>
      </c>
      <c r="L511">
        <v>1</v>
      </c>
      <c r="M511" t="s">
        <v>33</v>
      </c>
      <c r="N511">
        <v>1</v>
      </c>
      <c r="O511">
        <v>1</v>
      </c>
      <c r="P511">
        <v>1</v>
      </c>
      <c r="Q511" t="s">
        <v>38</v>
      </c>
      <c r="R511">
        <v>1</v>
      </c>
      <c r="S511">
        <v>0</v>
      </c>
      <c r="T511"/>
      <c r="U511"/>
      <c r="V511"/>
      <c r="W511"/>
      <c r="X511">
        <v>0</v>
      </c>
      <c r="Y511"/>
      <c r="Z511">
        <v>0</v>
      </c>
      <c r="AA511"/>
      <c r="AB511"/>
      <c r="AC511"/>
      <c r="AD511"/>
      <c r="AE511">
        <v>0</v>
      </c>
      <c r="AF511"/>
      <c r="AG511"/>
      <c r="AH511"/>
    </row>
    <row r="512" spans="1:34" x14ac:dyDescent="0.25">
      <c r="A512" t="s">
        <v>3432</v>
      </c>
      <c r="B512" t="s">
        <v>3433</v>
      </c>
      <c r="C512"/>
      <c r="D512" t="s">
        <v>370</v>
      </c>
      <c r="E512" t="s">
        <v>991</v>
      </c>
      <c r="F512" t="s">
        <v>996</v>
      </c>
      <c r="G512" t="s">
        <v>280</v>
      </c>
      <c r="H512" t="s">
        <v>997</v>
      </c>
      <c r="I512" t="s">
        <v>35</v>
      </c>
      <c r="J512"/>
      <c r="K512">
        <v>1</v>
      </c>
      <c r="L512">
        <v>1</v>
      </c>
      <c r="M512" t="s">
        <v>33</v>
      </c>
      <c r="N512">
        <v>1</v>
      </c>
      <c r="O512">
        <v>1</v>
      </c>
      <c r="P512">
        <v>1</v>
      </c>
      <c r="Q512" t="s">
        <v>38</v>
      </c>
      <c r="R512">
        <v>1</v>
      </c>
      <c r="S512">
        <v>0</v>
      </c>
      <c r="T512"/>
      <c r="U512"/>
      <c r="V512"/>
      <c r="W512"/>
      <c r="X512">
        <v>0</v>
      </c>
      <c r="Y512"/>
      <c r="Z512">
        <v>0</v>
      </c>
      <c r="AA512"/>
      <c r="AB512"/>
      <c r="AC512"/>
      <c r="AD512"/>
      <c r="AE512">
        <v>0</v>
      </c>
      <c r="AF512"/>
      <c r="AG512"/>
      <c r="AH512"/>
    </row>
    <row r="513" spans="1:34" x14ac:dyDescent="0.25">
      <c r="A513" t="s">
        <v>3438</v>
      </c>
      <c r="B513" t="s">
        <v>3439</v>
      </c>
      <c r="C513"/>
      <c r="D513" t="s">
        <v>370</v>
      </c>
      <c r="E513" t="s">
        <v>991</v>
      </c>
      <c r="F513" t="s">
        <v>996</v>
      </c>
      <c r="G513" t="s">
        <v>280</v>
      </c>
      <c r="H513" t="s">
        <v>997</v>
      </c>
      <c r="I513" t="s">
        <v>35</v>
      </c>
      <c r="J513"/>
      <c r="K513">
        <v>1</v>
      </c>
      <c r="L513">
        <v>1</v>
      </c>
      <c r="M513" t="s">
        <v>33</v>
      </c>
      <c r="N513">
        <v>1</v>
      </c>
      <c r="O513">
        <v>1</v>
      </c>
      <c r="P513">
        <v>1</v>
      </c>
      <c r="Q513" t="s">
        <v>38</v>
      </c>
      <c r="R513">
        <v>1</v>
      </c>
      <c r="S513">
        <v>0</v>
      </c>
      <c r="T513"/>
      <c r="U513"/>
      <c r="V513"/>
      <c r="W513"/>
      <c r="X513">
        <v>0</v>
      </c>
      <c r="Y513"/>
      <c r="Z513">
        <v>0</v>
      </c>
      <c r="AA513"/>
      <c r="AB513"/>
      <c r="AC513"/>
      <c r="AD513"/>
      <c r="AE513">
        <v>0</v>
      </c>
      <c r="AF513"/>
      <c r="AG513"/>
      <c r="AH513"/>
    </row>
    <row r="514" spans="1:34" x14ac:dyDescent="0.25">
      <c r="A514" t="s">
        <v>3432</v>
      </c>
      <c r="B514" t="s">
        <v>3433</v>
      </c>
      <c r="C514"/>
      <c r="D514" t="s">
        <v>370</v>
      </c>
      <c r="E514" t="s">
        <v>991</v>
      </c>
      <c r="F514" t="s">
        <v>998</v>
      </c>
      <c r="G514" t="s">
        <v>280</v>
      </c>
      <c r="H514" t="s">
        <v>999</v>
      </c>
      <c r="I514" t="s">
        <v>35</v>
      </c>
      <c r="J514"/>
      <c r="K514">
        <v>1</v>
      </c>
      <c r="L514">
        <v>1</v>
      </c>
      <c r="M514" t="s">
        <v>33</v>
      </c>
      <c r="N514">
        <v>1</v>
      </c>
      <c r="O514">
        <v>1</v>
      </c>
      <c r="P514">
        <v>1</v>
      </c>
      <c r="Q514" t="s">
        <v>38</v>
      </c>
      <c r="R514">
        <v>1</v>
      </c>
      <c r="S514">
        <v>0</v>
      </c>
      <c r="T514"/>
      <c r="U514"/>
      <c r="V514"/>
      <c r="W514"/>
      <c r="X514">
        <v>0</v>
      </c>
      <c r="Y514"/>
      <c r="Z514">
        <v>0</v>
      </c>
      <c r="AA514"/>
      <c r="AB514"/>
      <c r="AC514"/>
      <c r="AD514"/>
      <c r="AE514">
        <v>0</v>
      </c>
      <c r="AF514"/>
      <c r="AG514"/>
      <c r="AH514"/>
    </row>
    <row r="515" spans="1:34" x14ac:dyDescent="0.25">
      <c r="A515" t="s">
        <v>3438</v>
      </c>
      <c r="B515" t="s">
        <v>3439</v>
      </c>
      <c r="C515"/>
      <c r="D515" t="s">
        <v>370</v>
      </c>
      <c r="E515" t="s">
        <v>991</v>
      </c>
      <c r="F515" t="s">
        <v>998</v>
      </c>
      <c r="G515" t="s">
        <v>280</v>
      </c>
      <c r="H515" t="s">
        <v>999</v>
      </c>
      <c r="I515" t="s">
        <v>35</v>
      </c>
      <c r="J515"/>
      <c r="K515">
        <v>1</v>
      </c>
      <c r="L515">
        <v>1</v>
      </c>
      <c r="M515" t="s">
        <v>33</v>
      </c>
      <c r="N515">
        <v>1</v>
      </c>
      <c r="O515">
        <v>1</v>
      </c>
      <c r="P515">
        <v>1</v>
      </c>
      <c r="Q515" t="s">
        <v>38</v>
      </c>
      <c r="R515">
        <v>1</v>
      </c>
      <c r="S515">
        <v>0</v>
      </c>
      <c r="T515"/>
      <c r="U515"/>
      <c r="V515"/>
      <c r="W515"/>
      <c r="X515">
        <v>0</v>
      </c>
      <c r="Y515"/>
      <c r="Z515">
        <v>0</v>
      </c>
      <c r="AA515"/>
      <c r="AB515"/>
      <c r="AC515"/>
      <c r="AD515"/>
      <c r="AE515">
        <v>0</v>
      </c>
      <c r="AF515"/>
      <c r="AG515"/>
      <c r="AH515"/>
    </row>
    <row r="516" spans="1:34" x14ac:dyDescent="0.25">
      <c r="A516" t="s">
        <v>3432</v>
      </c>
      <c r="B516" t="s">
        <v>3433</v>
      </c>
      <c r="C516"/>
      <c r="D516" t="s">
        <v>370</v>
      </c>
      <c r="E516" t="s">
        <v>991</v>
      </c>
      <c r="F516" t="s">
        <v>1000</v>
      </c>
      <c r="G516" t="s">
        <v>280</v>
      </c>
      <c r="H516" t="s">
        <v>1001</v>
      </c>
      <c r="I516" t="s">
        <v>35</v>
      </c>
      <c r="J516"/>
      <c r="K516">
        <v>1</v>
      </c>
      <c r="L516">
        <v>1</v>
      </c>
      <c r="M516" t="s">
        <v>33</v>
      </c>
      <c r="N516">
        <v>1</v>
      </c>
      <c r="O516">
        <v>1</v>
      </c>
      <c r="P516">
        <v>1</v>
      </c>
      <c r="Q516" t="s">
        <v>38</v>
      </c>
      <c r="R516">
        <v>1</v>
      </c>
      <c r="S516">
        <v>0</v>
      </c>
      <c r="T516"/>
      <c r="U516"/>
      <c r="V516"/>
      <c r="W516"/>
      <c r="X516">
        <v>0</v>
      </c>
      <c r="Y516"/>
      <c r="Z516">
        <v>0</v>
      </c>
      <c r="AA516"/>
      <c r="AB516"/>
      <c r="AC516"/>
      <c r="AD516"/>
      <c r="AE516">
        <v>0</v>
      </c>
      <c r="AF516"/>
      <c r="AG516"/>
      <c r="AH516"/>
    </row>
    <row r="517" spans="1:34" x14ac:dyDescent="0.25">
      <c r="A517" t="s">
        <v>3438</v>
      </c>
      <c r="B517" t="s">
        <v>3439</v>
      </c>
      <c r="C517"/>
      <c r="D517" t="s">
        <v>370</v>
      </c>
      <c r="E517" t="s">
        <v>991</v>
      </c>
      <c r="F517" t="s">
        <v>1000</v>
      </c>
      <c r="G517" t="s">
        <v>280</v>
      </c>
      <c r="H517" t="s">
        <v>1001</v>
      </c>
      <c r="I517" t="s">
        <v>35</v>
      </c>
      <c r="J517"/>
      <c r="K517">
        <v>1</v>
      </c>
      <c r="L517">
        <v>1</v>
      </c>
      <c r="M517" t="s">
        <v>33</v>
      </c>
      <c r="N517">
        <v>1</v>
      </c>
      <c r="O517">
        <v>1</v>
      </c>
      <c r="P517">
        <v>1</v>
      </c>
      <c r="Q517" t="s">
        <v>38</v>
      </c>
      <c r="R517">
        <v>1</v>
      </c>
      <c r="S517">
        <v>0</v>
      </c>
      <c r="T517"/>
      <c r="U517"/>
      <c r="V517"/>
      <c r="W517"/>
      <c r="X517">
        <v>0</v>
      </c>
      <c r="Y517"/>
      <c r="Z517">
        <v>0</v>
      </c>
      <c r="AA517"/>
      <c r="AB517"/>
      <c r="AC517"/>
      <c r="AD517"/>
      <c r="AE517">
        <v>0</v>
      </c>
      <c r="AF517"/>
      <c r="AG517"/>
      <c r="AH517"/>
    </row>
    <row r="518" spans="1:34" x14ac:dyDescent="0.25">
      <c r="A518" t="s">
        <v>3432</v>
      </c>
      <c r="B518" t="s">
        <v>3433</v>
      </c>
      <c r="C518"/>
      <c r="D518" t="s">
        <v>370</v>
      </c>
      <c r="E518" t="s">
        <v>991</v>
      </c>
      <c r="F518" t="s">
        <v>1002</v>
      </c>
      <c r="G518" t="s">
        <v>280</v>
      </c>
      <c r="H518" t="s">
        <v>1003</v>
      </c>
      <c r="I518" t="s">
        <v>35</v>
      </c>
      <c r="J518"/>
      <c r="K518">
        <v>1</v>
      </c>
      <c r="L518">
        <v>1</v>
      </c>
      <c r="M518" t="s">
        <v>33</v>
      </c>
      <c r="N518">
        <v>1</v>
      </c>
      <c r="O518">
        <v>1</v>
      </c>
      <c r="P518">
        <v>1</v>
      </c>
      <c r="Q518" t="s">
        <v>38</v>
      </c>
      <c r="R518">
        <v>1</v>
      </c>
      <c r="S518">
        <v>0</v>
      </c>
      <c r="T518"/>
      <c r="U518"/>
      <c r="V518"/>
      <c r="W518"/>
      <c r="X518">
        <v>0</v>
      </c>
      <c r="Y518"/>
      <c r="Z518">
        <v>0</v>
      </c>
      <c r="AA518"/>
      <c r="AB518"/>
      <c r="AC518"/>
      <c r="AD518"/>
      <c r="AE518">
        <v>0</v>
      </c>
      <c r="AF518"/>
      <c r="AG518"/>
      <c r="AH518"/>
    </row>
    <row r="519" spans="1:34" x14ac:dyDescent="0.25">
      <c r="A519" t="s">
        <v>3438</v>
      </c>
      <c r="B519" t="s">
        <v>3439</v>
      </c>
      <c r="C519"/>
      <c r="D519" t="s">
        <v>370</v>
      </c>
      <c r="E519" t="s">
        <v>991</v>
      </c>
      <c r="F519" t="s">
        <v>1002</v>
      </c>
      <c r="G519" t="s">
        <v>280</v>
      </c>
      <c r="H519" t="s">
        <v>1003</v>
      </c>
      <c r="I519" t="s">
        <v>35</v>
      </c>
      <c r="J519"/>
      <c r="K519">
        <v>1</v>
      </c>
      <c r="L519">
        <v>1</v>
      </c>
      <c r="M519" t="s">
        <v>33</v>
      </c>
      <c r="N519">
        <v>1</v>
      </c>
      <c r="O519">
        <v>1</v>
      </c>
      <c r="P519">
        <v>1</v>
      </c>
      <c r="Q519" t="s">
        <v>38</v>
      </c>
      <c r="R519">
        <v>1</v>
      </c>
      <c r="S519">
        <v>0</v>
      </c>
      <c r="T519"/>
      <c r="U519"/>
      <c r="V519"/>
      <c r="W519"/>
      <c r="X519">
        <v>0</v>
      </c>
      <c r="Y519"/>
      <c r="Z519">
        <v>0</v>
      </c>
      <c r="AA519"/>
      <c r="AB519"/>
      <c r="AC519"/>
      <c r="AD519"/>
      <c r="AE519">
        <v>0</v>
      </c>
      <c r="AF519"/>
      <c r="AG519"/>
      <c r="AH519"/>
    </row>
    <row r="520" spans="1:34" x14ac:dyDescent="0.25">
      <c r="A520" t="s">
        <v>3432</v>
      </c>
      <c r="B520" t="s">
        <v>3433</v>
      </c>
      <c r="C520"/>
      <c r="D520" t="s">
        <v>370</v>
      </c>
      <c r="E520" t="s">
        <v>991</v>
      </c>
      <c r="F520" t="s">
        <v>1004</v>
      </c>
      <c r="G520" t="s">
        <v>280</v>
      </c>
      <c r="H520" t="s">
        <v>1005</v>
      </c>
      <c r="I520" t="s">
        <v>35</v>
      </c>
      <c r="J520"/>
      <c r="K520">
        <v>1</v>
      </c>
      <c r="L520">
        <v>1</v>
      </c>
      <c r="M520" t="s">
        <v>33</v>
      </c>
      <c r="N520">
        <v>1</v>
      </c>
      <c r="O520">
        <v>1</v>
      </c>
      <c r="P520">
        <v>1</v>
      </c>
      <c r="Q520" t="s">
        <v>38</v>
      </c>
      <c r="R520">
        <v>1</v>
      </c>
      <c r="S520">
        <v>0</v>
      </c>
      <c r="T520"/>
      <c r="U520"/>
      <c r="V520"/>
      <c r="W520"/>
      <c r="X520">
        <v>0</v>
      </c>
      <c r="Y520"/>
      <c r="Z520">
        <v>0</v>
      </c>
      <c r="AA520"/>
      <c r="AB520"/>
      <c r="AC520"/>
      <c r="AD520"/>
      <c r="AE520">
        <v>0</v>
      </c>
      <c r="AF520"/>
      <c r="AG520"/>
      <c r="AH520"/>
    </row>
    <row r="521" spans="1:34" x14ac:dyDescent="0.25">
      <c r="A521" t="s">
        <v>3438</v>
      </c>
      <c r="B521" t="s">
        <v>3439</v>
      </c>
      <c r="C521"/>
      <c r="D521" t="s">
        <v>370</v>
      </c>
      <c r="E521" t="s">
        <v>991</v>
      </c>
      <c r="F521" t="s">
        <v>1004</v>
      </c>
      <c r="G521" t="s">
        <v>280</v>
      </c>
      <c r="H521" t="s">
        <v>1005</v>
      </c>
      <c r="I521" t="s">
        <v>35</v>
      </c>
      <c r="J521"/>
      <c r="K521">
        <v>1</v>
      </c>
      <c r="L521">
        <v>1</v>
      </c>
      <c r="M521" t="s">
        <v>33</v>
      </c>
      <c r="N521">
        <v>1</v>
      </c>
      <c r="O521">
        <v>1</v>
      </c>
      <c r="P521">
        <v>1</v>
      </c>
      <c r="Q521" t="s">
        <v>38</v>
      </c>
      <c r="R521">
        <v>1</v>
      </c>
      <c r="S521">
        <v>0</v>
      </c>
      <c r="T521"/>
      <c r="U521"/>
      <c r="V521"/>
      <c r="W521"/>
      <c r="X521">
        <v>0</v>
      </c>
      <c r="Y521"/>
      <c r="Z521">
        <v>0</v>
      </c>
      <c r="AA521"/>
      <c r="AB521"/>
      <c r="AC521"/>
      <c r="AD521"/>
      <c r="AE521">
        <v>0</v>
      </c>
      <c r="AF521"/>
      <c r="AG521"/>
      <c r="AH521"/>
    </row>
    <row r="522" spans="1:34" x14ac:dyDescent="0.25">
      <c r="A522" t="s">
        <v>3432</v>
      </c>
      <c r="B522" t="s">
        <v>3433</v>
      </c>
      <c r="C522"/>
      <c r="D522" t="s">
        <v>370</v>
      </c>
      <c r="E522" t="s">
        <v>991</v>
      </c>
      <c r="F522" t="s">
        <v>1006</v>
      </c>
      <c r="G522" t="s">
        <v>280</v>
      </c>
      <c r="H522" t="s">
        <v>1007</v>
      </c>
      <c r="I522" t="s">
        <v>35</v>
      </c>
      <c r="J522"/>
      <c r="K522">
        <v>1</v>
      </c>
      <c r="L522">
        <v>1</v>
      </c>
      <c r="M522" t="s">
        <v>33</v>
      </c>
      <c r="N522">
        <v>1</v>
      </c>
      <c r="O522">
        <v>1</v>
      </c>
      <c r="P522">
        <v>1</v>
      </c>
      <c r="Q522" t="s">
        <v>38</v>
      </c>
      <c r="R522">
        <v>1</v>
      </c>
      <c r="S522">
        <v>0</v>
      </c>
      <c r="T522"/>
      <c r="U522"/>
      <c r="V522"/>
      <c r="W522"/>
      <c r="X522">
        <v>0</v>
      </c>
      <c r="Y522"/>
      <c r="Z522">
        <v>0</v>
      </c>
      <c r="AA522"/>
      <c r="AB522"/>
      <c r="AC522"/>
      <c r="AD522"/>
      <c r="AE522">
        <v>0</v>
      </c>
      <c r="AF522"/>
      <c r="AG522"/>
      <c r="AH522"/>
    </row>
    <row r="523" spans="1:34" x14ac:dyDescent="0.25">
      <c r="A523" t="s">
        <v>3438</v>
      </c>
      <c r="B523" t="s">
        <v>3439</v>
      </c>
      <c r="C523"/>
      <c r="D523" t="s">
        <v>370</v>
      </c>
      <c r="E523" t="s">
        <v>991</v>
      </c>
      <c r="F523" t="s">
        <v>1006</v>
      </c>
      <c r="G523" t="s">
        <v>280</v>
      </c>
      <c r="H523" t="s">
        <v>1007</v>
      </c>
      <c r="I523" t="s">
        <v>35</v>
      </c>
      <c r="J523"/>
      <c r="K523">
        <v>1</v>
      </c>
      <c r="L523">
        <v>1</v>
      </c>
      <c r="M523" t="s">
        <v>33</v>
      </c>
      <c r="N523">
        <v>1</v>
      </c>
      <c r="O523">
        <v>1</v>
      </c>
      <c r="P523">
        <v>1</v>
      </c>
      <c r="Q523" t="s">
        <v>38</v>
      </c>
      <c r="R523">
        <v>1</v>
      </c>
      <c r="S523">
        <v>0</v>
      </c>
      <c r="T523"/>
      <c r="U523"/>
      <c r="V523"/>
      <c r="W523"/>
      <c r="X523">
        <v>0</v>
      </c>
      <c r="Y523"/>
      <c r="Z523">
        <v>0</v>
      </c>
      <c r="AA523"/>
      <c r="AB523"/>
      <c r="AC523"/>
      <c r="AD523"/>
      <c r="AE523">
        <v>0</v>
      </c>
      <c r="AF523"/>
      <c r="AG523"/>
      <c r="AH523"/>
    </row>
    <row r="524" spans="1:34" x14ac:dyDescent="0.25">
      <c r="A524" t="s">
        <v>3432</v>
      </c>
      <c r="B524" t="s">
        <v>3433</v>
      </c>
      <c r="C524"/>
      <c r="D524" t="s">
        <v>370</v>
      </c>
      <c r="E524" t="s">
        <v>991</v>
      </c>
      <c r="F524" t="s">
        <v>1008</v>
      </c>
      <c r="G524" t="s">
        <v>280</v>
      </c>
      <c r="H524" t="s">
        <v>1009</v>
      </c>
      <c r="I524" t="s">
        <v>35</v>
      </c>
      <c r="J524"/>
      <c r="K524">
        <v>1</v>
      </c>
      <c r="L524">
        <v>1</v>
      </c>
      <c r="M524" t="s">
        <v>33</v>
      </c>
      <c r="N524">
        <v>1</v>
      </c>
      <c r="O524">
        <v>1</v>
      </c>
      <c r="P524">
        <v>1</v>
      </c>
      <c r="Q524" t="s">
        <v>38</v>
      </c>
      <c r="R524">
        <v>1</v>
      </c>
      <c r="S524">
        <v>0</v>
      </c>
      <c r="T524"/>
      <c r="U524"/>
      <c r="V524"/>
      <c r="W524"/>
      <c r="X524">
        <v>0</v>
      </c>
      <c r="Y524"/>
      <c r="Z524">
        <v>0</v>
      </c>
      <c r="AA524"/>
      <c r="AB524"/>
      <c r="AC524"/>
      <c r="AD524"/>
      <c r="AE524">
        <v>0</v>
      </c>
      <c r="AF524"/>
      <c r="AG524"/>
      <c r="AH524"/>
    </row>
    <row r="525" spans="1:34" x14ac:dyDescent="0.25">
      <c r="A525" t="s">
        <v>3438</v>
      </c>
      <c r="B525" t="s">
        <v>3439</v>
      </c>
      <c r="C525"/>
      <c r="D525" t="s">
        <v>370</v>
      </c>
      <c r="E525" t="s">
        <v>991</v>
      </c>
      <c r="F525" t="s">
        <v>1008</v>
      </c>
      <c r="G525" t="s">
        <v>280</v>
      </c>
      <c r="H525" t="s">
        <v>1009</v>
      </c>
      <c r="I525" t="s">
        <v>35</v>
      </c>
      <c r="J525"/>
      <c r="K525">
        <v>1</v>
      </c>
      <c r="L525">
        <v>1</v>
      </c>
      <c r="M525" t="s">
        <v>33</v>
      </c>
      <c r="N525">
        <v>1</v>
      </c>
      <c r="O525">
        <v>1</v>
      </c>
      <c r="P525">
        <v>1</v>
      </c>
      <c r="Q525" t="s">
        <v>38</v>
      </c>
      <c r="R525">
        <v>1</v>
      </c>
      <c r="S525">
        <v>0</v>
      </c>
      <c r="T525"/>
      <c r="U525"/>
      <c r="V525"/>
      <c r="W525"/>
      <c r="X525">
        <v>0</v>
      </c>
      <c r="Y525"/>
      <c r="Z525">
        <v>0</v>
      </c>
      <c r="AA525"/>
      <c r="AB525"/>
      <c r="AC525"/>
      <c r="AD525"/>
      <c r="AE525">
        <v>0</v>
      </c>
      <c r="AF525"/>
      <c r="AG525"/>
      <c r="AH525"/>
    </row>
    <row r="526" spans="1:34" x14ac:dyDescent="0.25">
      <c r="A526" t="s">
        <v>3432</v>
      </c>
      <c r="B526" t="s">
        <v>3433</v>
      </c>
      <c r="C526"/>
      <c r="D526" t="s">
        <v>370</v>
      </c>
      <c r="E526" t="s">
        <v>991</v>
      </c>
      <c r="F526" t="s">
        <v>1010</v>
      </c>
      <c r="G526" t="s">
        <v>280</v>
      </c>
      <c r="H526" t="s">
        <v>1011</v>
      </c>
      <c r="I526" t="s">
        <v>35</v>
      </c>
      <c r="J526"/>
      <c r="K526">
        <v>1</v>
      </c>
      <c r="L526">
        <v>1</v>
      </c>
      <c r="M526" t="s">
        <v>33</v>
      </c>
      <c r="N526">
        <v>1</v>
      </c>
      <c r="O526">
        <v>1</v>
      </c>
      <c r="P526">
        <v>1</v>
      </c>
      <c r="Q526" t="s">
        <v>38</v>
      </c>
      <c r="R526">
        <v>1</v>
      </c>
      <c r="S526">
        <v>0</v>
      </c>
      <c r="T526"/>
      <c r="U526"/>
      <c r="V526"/>
      <c r="W526"/>
      <c r="X526">
        <v>0</v>
      </c>
      <c r="Y526"/>
      <c r="Z526">
        <v>0</v>
      </c>
      <c r="AA526"/>
      <c r="AB526"/>
      <c r="AC526"/>
      <c r="AD526"/>
      <c r="AE526">
        <v>0</v>
      </c>
      <c r="AF526"/>
      <c r="AG526"/>
      <c r="AH526"/>
    </row>
    <row r="527" spans="1:34" x14ac:dyDescent="0.25">
      <c r="A527" t="s">
        <v>3438</v>
      </c>
      <c r="B527" t="s">
        <v>3439</v>
      </c>
      <c r="C527"/>
      <c r="D527" t="s">
        <v>370</v>
      </c>
      <c r="E527" t="s">
        <v>991</v>
      </c>
      <c r="F527" t="s">
        <v>1010</v>
      </c>
      <c r="G527" t="s">
        <v>280</v>
      </c>
      <c r="H527" t="s">
        <v>1011</v>
      </c>
      <c r="I527" t="s">
        <v>35</v>
      </c>
      <c r="J527"/>
      <c r="K527">
        <v>1</v>
      </c>
      <c r="L527">
        <v>1</v>
      </c>
      <c r="M527" t="s">
        <v>33</v>
      </c>
      <c r="N527">
        <v>1</v>
      </c>
      <c r="O527">
        <v>1</v>
      </c>
      <c r="P527">
        <v>1</v>
      </c>
      <c r="Q527" t="s">
        <v>38</v>
      </c>
      <c r="R527">
        <v>1</v>
      </c>
      <c r="S527">
        <v>0</v>
      </c>
      <c r="T527"/>
      <c r="U527"/>
      <c r="V527"/>
      <c r="W527"/>
      <c r="X527">
        <v>0</v>
      </c>
      <c r="Y527"/>
      <c r="Z527">
        <v>0</v>
      </c>
      <c r="AA527"/>
      <c r="AB527"/>
      <c r="AC527"/>
      <c r="AD527"/>
      <c r="AE527">
        <v>0</v>
      </c>
      <c r="AF527"/>
      <c r="AG527"/>
      <c r="AH527"/>
    </row>
    <row r="528" spans="1:34" x14ac:dyDescent="0.25">
      <c r="A528" t="s">
        <v>3432</v>
      </c>
      <c r="B528" t="s">
        <v>3433</v>
      </c>
      <c r="C528"/>
      <c r="D528" t="s">
        <v>370</v>
      </c>
      <c r="E528" t="s">
        <v>991</v>
      </c>
      <c r="F528" t="s">
        <v>1012</v>
      </c>
      <c r="G528" t="s">
        <v>280</v>
      </c>
      <c r="H528" t="s">
        <v>1013</v>
      </c>
      <c r="I528" t="s">
        <v>35</v>
      </c>
      <c r="J528"/>
      <c r="K528">
        <v>1</v>
      </c>
      <c r="L528">
        <v>1</v>
      </c>
      <c r="M528" t="s">
        <v>33</v>
      </c>
      <c r="N528">
        <v>1</v>
      </c>
      <c r="O528">
        <v>1</v>
      </c>
      <c r="P528">
        <v>1</v>
      </c>
      <c r="Q528" t="s">
        <v>38</v>
      </c>
      <c r="R528">
        <v>1</v>
      </c>
      <c r="S528">
        <v>0</v>
      </c>
      <c r="T528"/>
      <c r="U528"/>
      <c r="V528"/>
      <c r="W528"/>
      <c r="X528">
        <v>0</v>
      </c>
      <c r="Y528"/>
      <c r="Z528">
        <v>0</v>
      </c>
      <c r="AA528"/>
      <c r="AB528"/>
      <c r="AC528"/>
      <c r="AD528"/>
      <c r="AE528">
        <v>0</v>
      </c>
      <c r="AF528"/>
      <c r="AG528"/>
      <c r="AH528"/>
    </row>
    <row r="529" spans="1:34" x14ac:dyDescent="0.25">
      <c r="A529" t="s">
        <v>3438</v>
      </c>
      <c r="B529" t="s">
        <v>3439</v>
      </c>
      <c r="C529"/>
      <c r="D529" t="s">
        <v>370</v>
      </c>
      <c r="E529" t="s">
        <v>991</v>
      </c>
      <c r="F529" t="s">
        <v>1012</v>
      </c>
      <c r="G529" t="s">
        <v>280</v>
      </c>
      <c r="H529" t="s">
        <v>1013</v>
      </c>
      <c r="I529" t="s">
        <v>35</v>
      </c>
      <c r="J529"/>
      <c r="K529">
        <v>1</v>
      </c>
      <c r="L529">
        <v>1</v>
      </c>
      <c r="M529" t="s">
        <v>33</v>
      </c>
      <c r="N529">
        <v>1</v>
      </c>
      <c r="O529">
        <v>1</v>
      </c>
      <c r="P529">
        <v>1</v>
      </c>
      <c r="Q529" t="s">
        <v>38</v>
      </c>
      <c r="R529">
        <v>1</v>
      </c>
      <c r="S529">
        <v>0</v>
      </c>
      <c r="T529"/>
      <c r="U529"/>
      <c r="V529"/>
      <c r="W529"/>
      <c r="X529">
        <v>0</v>
      </c>
      <c r="Y529"/>
      <c r="Z529">
        <v>0</v>
      </c>
      <c r="AA529"/>
      <c r="AB529"/>
      <c r="AC529"/>
      <c r="AD529"/>
      <c r="AE529">
        <v>0</v>
      </c>
      <c r="AF529"/>
      <c r="AG529"/>
      <c r="AH529"/>
    </row>
    <row r="530" spans="1:34" x14ac:dyDescent="0.25">
      <c r="A530" t="s">
        <v>3436</v>
      </c>
      <c r="B530" t="s">
        <v>3437</v>
      </c>
      <c r="C530"/>
      <c r="D530" t="s">
        <v>370</v>
      </c>
      <c r="E530" t="s">
        <v>1014</v>
      </c>
      <c r="F530" t="s">
        <v>1015</v>
      </c>
      <c r="G530" t="s">
        <v>280</v>
      </c>
      <c r="H530" t="s">
        <v>1016</v>
      </c>
      <c r="I530" t="s">
        <v>35</v>
      </c>
      <c r="J530"/>
      <c r="K530">
        <v>1</v>
      </c>
      <c r="L530">
        <v>1</v>
      </c>
      <c r="M530" t="s">
        <v>33</v>
      </c>
      <c r="N530">
        <v>1</v>
      </c>
      <c r="O530">
        <v>1</v>
      </c>
      <c r="P530">
        <v>1</v>
      </c>
      <c r="Q530" t="s">
        <v>38</v>
      </c>
      <c r="R530">
        <v>1</v>
      </c>
      <c r="S530">
        <v>1</v>
      </c>
      <c r="T530">
        <v>1</v>
      </c>
      <c r="U530"/>
      <c r="V530"/>
      <c r="W530"/>
      <c r="X530">
        <v>1</v>
      </c>
      <c r="Y530"/>
      <c r="Z530">
        <v>0</v>
      </c>
      <c r="AA530"/>
      <c r="AB530"/>
      <c r="AC530"/>
      <c r="AD530"/>
      <c r="AE530">
        <v>0</v>
      </c>
      <c r="AF530"/>
      <c r="AG530"/>
      <c r="AH530"/>
    </row>
    <row r="531" spans="1:34" x14ac:dyDescent="0.25">
      <c r="A531" t="s">
        <v>3438</v>
      </c>
      <c r="B531" t="s">
        <v>3439</v>
      </c>
      <c r="C531"/>
      <c r="D531" t="s">
        <v>370</v>
      </c>
      <c r="E531" t="s">
        <v>1014</v>
      </c>
      <c r="F531" t="s">
        <v>1015</v>
      </c>
      <c r="G531" t="s">
        <v>280</v>
      </c>
      <c r="H531" t="s">
        <v>1016</v>
      </c>
      <c r="I531" t="s">
        <v>35</v>
      </c>
      <c r="J531"/>
      <c r="K531">
        <v>1</v>
      </c>
      <c r="L531">
        <v>1</v>
      </c>
      <c r="M531" t="s">
        <v>33</v>
      </c>
      <c r="N531">
        <v>1</v>
      </c>
      <c r="O531">
        <v>1</v>
      </c>
      <c r="P531">
        <v>1</v>
      </c>
      <c r="Q531" t="s">
        <v>38</v>
      </c>
      <c r="R531">
        <v>1</v>
      </c>
      <c r="S531">
        <v>1</v>
      </c>
      <c r="T531">
        <v>1</v>
      </c>
      <c r="U531"/>
      <c r="V531"/>
      <c r="W531"/>
      <c r="X531">
        <v>1</v>
      </c>
      <c r="Y531"/>
      <c r="Z531">
        <v>0</v>
      </c>
      <c r="AA531"/>
      <c r="AB531"/>
      <c r="AC531"/>
      <c r="AD531"/>
      <c r="AE531">
        <v>0</v>
      </c>
      <c r="AF531"/>
      <c r="AG531"/>
      <c r="AH531"/>
    </row>
    <row r="532" spans="1:34" s="172" customFormat="1" x14ac:dyDescent="0.25">
      <c r="A532" t="s">
        <v>3436</v>
      </c>
      <c r="B532" t="s">
        <v>3437</v>
      </c>
      <c r="C532"/>
      <c r="D532" t="s">
        <v>370</v>
      </c>
      <c r="E532" t="s">
        <v>1014</v>
      </c>
      <c r="F532" t="s">
        <v>1017</v>
      </c>
      <c r="G532" t="s">
        <v>280</v>
      </c>
      <c r="H532" t="s">
        <v>1018</v>
      </c>
      <c r="I532" t="s">
        <v>35</v>
      </c>
      <c r="J532"/>
      <c r="K532">
        <v>1</v>
      </c>
      <c r="L532">
        <v>1</v>
      </c>
      <c r="M532" t="s">
        <v>33</v>
      </c>
      <c r="N532">
        <v>1</v>
      </c>
      <c r="O532">
        <v>1</v>
      </c>
      <c r="P532">
        <v>1</v>
      </c>
      <c r="Q532" t="s">
        <v>38</v>
      </c>
      <c r="R532">
        <v>1</v>
      </c>
      <c r="S532">
        <v>1</v>
      </c>
      <c r="T532">
        <v>1</v>
      </c>
      <c r="U532"/>
      <c r="V532"/>
      <c r="W532"/>
      <c r="X532">
        <v>1</v>
      </c>
      <c r="Y532"/>
      <c r="Z532">
        <v>0</v>
      </c>
      <c r="AA532"/>
      <c r="AB532"/>
      <c r="AC532"/>
      <c r="AD532"/>
      <c r="AE532">
        <v>0</v>
      </c>
      <c r="AF532"/>
      <c r="AG532"/>
      <c r="AH532"/>
    </row>
    <row r="533" spans="1:34" x14ac:dyDescent="0.25">
      <c r="A533" t="s">
        <v>3438</v>
      </c>
      <c r="B533" t="s">
        <v>3439</v>
      </c>
      <c r="C533"/>
      <c r="D533" t="s">
        <v>370</v>
      </c>
      <c r="E533" t="s">
        <v>1014</v>
      </c>
      <c r="F533" t="s">
        <v>1017</v>
      </c>
      <c r="G533" t="s">
        <v>280</v>
      </c>
      <c r="H533" t="s">
        <v>1018</v>
      </c>
      <c r="I533" t="s">
        <v>35</v>
      </c>
      <c r="J533"/>
      <c r="K533">
        <v>1</v>
      </c>
      <c r="L533">
        <v>1</v>
      </c>
      <c r="M533" t="s">
        <v>33</v>
      </c>
      <c r="N533">
        <v>1</v>
      </c>
      <c r="O533">
        <v>1</v>
      </c>
      <c r="P533">
        <v>1</v>
      </c>
      <c r="Q533" t="s">
        <v>38</v>
      </c>
      <c r="R533">
        <v>1</v>
      </c>
      <c r="S533">
        <v>1</v>
      </c>
      <c r="T533">
        <v>1</v>
      </c>
      <c r="U533"/>
      <c r="V533"/>
      <c r="W533"/>
      <c r="X533">
        <v>1</v>
      </c>
      <c r="Y533"/>
      <c r="Z533">
        <v>0</v>
      </c>
      <c r="AA533"/>
      <c r="AB533"/>
      <c r="AC533"/>
      <c r="AD533"/>
      <c r="AE533">
        <v>0</v>
      </c>
      <c r="AF533"/>
      <c r="AG533"/>
      <c r="AH533"/>
    </row>
    <row r="534" spans="1:34" x14ac:dyDescent="0.25">
      <c r="A534" t="s">
        <v>3436</v>
      </c>
      <c r="B534" t="s">
        <v>3437</v>
      </c>
      <c r="C534"/>
      <c r="D534" t="s">
        <v>370</v>
      </c>
      <c r="E534" t="s">
        <v>1014</v>
      </c>
      <c r="F534" t="s">
        <v>1019</v>
      </c>
      <c r="G534" t="s">
        <v>280</v>
      </c>
      <c r="H534" t="s">
        <v>1020</v>
      </c>
      <c r="I534" t="s">
        <v>35</v>
      </c>
      <c r="J534"/>
      <c r="K534">
        <v>1</v>
      </c>
      <c r="L534">
        <v>1</v>
      </c>
      <c r="M534" t="s">
        <v>33</v>
      </c>
      <c r="N534">
        <v>1</v>
      </c>
      <c r="O534">
        <v>1</v>
      </c>
      <c r="P534">
        <v>1</v>
      </c>
      <c r="Q534" t="s">
        <v>38</v>
      </c>
      <c r="R534">
        <v>1</v>
      </c>
      <c r="S534">
        <v>1</v>
      </c>
      <c r="T534">
        <v>1</v>
      </c>
      <c r="U534"/>
      <c r="V534"/>
      <c r="W534"/>
      <c r="X534">
        <v>1</v>
      </c>
      <c r="Y534"/>
      <c r="Z534">
        <v>0</v>
      </c>
      <c r="AA534"/>
      <c r="AB534"/>
      <c r="AC534"/>
      <c r="AD534"/>
      <c r="AE534">
        <v>0</v>
      </c>
      <c r="AF534"/>
      <c r="AG534"/>
      <c r="AH534"/>
    </row>
    <row r="535" spans="1:34" x14ac:dyDescent="0.25">
      <c r="A535" t="s">
        <v>3438</v>
      </c>
      <c r="B535" t="s">
        <v>3439</v>
      </c>
      <c r="C535"/>
      <c r="D535" t="s">
        <v>370</v>
      </c>
      <c r="E535" t="s">
        <v>1014</v>
      </c>
      <c r="F535" t="s">
        <v>1019</v>
      </c>
      <c r="G535" t="s">
        <v>280</v>
      </c>
      <c r="H535" t="s">
        <v>1020</v>
      </c>
      <c r="I535" t="s">
        <v>35</v>
      </c>
      <c r="J535"/>
      <c r="K535">
        <v>1</v>
      </c>
      <c r="L535">
        <v>1</v>
      </c>
      <c r="M535" t="s">
        <v>33</v>
      </c>
      <c r="N535">
        <v>1</v>
      </c>
      <c r="O535">
        <v>1</v>
      </c>
      <c r="P535">
        <v>1</v>
      </c>
      <c r="Q535" t="s">
        <v>38</v>
      </c>
      <c r="R535">
        <v>1</v>
      </c>
      <c r="S535">
        <v>1</v>
      </c>
      <c r="T535">
        <v>1</v>
      </c>
      <c r="U535"/>
      <c r="V535"/>
      <c r="W535"/>
      <c r="X535">
        <v>1</v>
      </c>
      <c r="Y535"/>
      <c r="Z535">
        <v>0</v>
      </c>
      <c r="AA535"/>
      <c r="AB535"/>
      <c r="AC535"/>
      <c r="AD535"/>
      <c r="AE535">
        <v>0</v>
      </c>
      <c r="AF535"/>
      <c r="AG535"/>
      <c r="AH535"/>
    </row>
    <row r="536" spans="1:34" x14ac:dyDescent="0.25">
      <c r="A536" t="s">
        <v>3436</v>
      </c>
      <c r="B536" t="s">
        <v>3437</v>
      </c>
      <c r="C536"/>
      <c r="D536" t="s">
        <v>370</v>
      </c>
      <c r="E536" t="s">
        <v>1014</v>
      </c>
      <c r="F536" t="s">
        <v>1021</v>
      </c>
      <c r="G536" t="s">
        <v>280</v>
      </c>
      <c r="H536" t="s">
        <v>1022</v>
      </c>
      <c r="I536" t="s">
        <v>35</v>
      </c>
      <c r="J536"/>
      <c r="K536">
        <v>1</v>
      </c>
      <c r="L536">
        <v>1</v>
      </c>
      <c r="M536" t="s">
        <v>33</v>
      </c>
      <c r="N536">
        <v>1</v>
      </c>
      <c r="O536">
        <v>1</v>
      </c>
      <c r="P536">
        <v>1</v>
      </c>
      <c r="Q536" t="s">
        <v>38</v>
      </c>
      <c r="R536">
        <v>1</v>
      </c>
      <c r="S536">
        <v>1</v>
      </c>
      <c r="T536">
        <v>1</v>
      </c>
      <c r="U536"/>
      <c r="V536"/>
      <c r="W536"/>
      <c r="X536">
        <v>1</v>
      </c>
      <c r="Y536"/>
      <c r="Z536">
        <v>0</v>
      </c>
      <c r="AA536"/>
      <c r="AB536"/>
      <c r="AC536"/>
      <c r="AD536"/>
      <c r="AE536">
        <v>0</v>
      </c>
      <c r="AF536"/>
      <c r="AG536"/>
      <c r="AH536"/>
    </row>
    <row r="537" spans="1:34" x14ac:dyDescent="0.25">
      <c r="A537" t="s">
        <v>3438</v>
      </c>
      <c r="B537" t="s">
        <v>3439</v>
      </c>
      <c r="C537"/>
      <c r="D537" t="s">
        <v>370</v>
      </c>
      <c r="E537" t="s">
        <v>1014</v>
      </c>
      <c r="F537" t="s">
        <v>1021</v>
      </c>
      <c r="G537" t="s">
        <v>280</v>
      </c>
      <c r="H537" t="s">
        <v>1022</v>
      </c>
      <c r="I537" t="s">
        <v>35</v>
      </c>
      <c r="J537"/>
      <c r="K537">
        <v>1</v>
      </c>
      <c r="L537">
        <v>1</v>
      </c>
      <c r="M537" t="s">
        <v>33</v>
      </c>
      <c r="N537">
        <v>1</v>
      </c>
      <c r="O537">
        <v>1</v>
      </c>
      <c r="P537">
        <v>1</v>
      </c>
      <c r="Q537" t="s">
        <v>38</v>
      </c>
      <c r="R537">
        <v>1</v>
      </c>
      <c r="S537">
        <v>1</v>
      </c>
      <c r="T537">
        <v>1</v>
      </c>
      <c r="U537"/>
      <c r="V537"/>
      <c r="W537"/>
      <c r="X537">
        <v>1</v>
      </c>
      <c r="Y537"/>
      <c r="Z537">
        <v>0</v>
      </c>
      <c r="AA537"/>
      <c r="AB537"/>
      <c r="AC537"/>
      <c r="AD537"/>
      <c r="AE537">
        <v>0</v>
      </c>
      <c r="AF537"/>
      <c r="AG537"/>
      <c r="AH537"/>
    </row>
    <row r="538" spans="1:34" x14ac:dyDescent="0.25">
      <c r="A538" t="s">
        <v>3436</v>
      </c>
      <c r="B538" t="s">
        <v>3437</v>
      </c>
      <c r="C538"/>
      <c r="D538" t="s">
        <v>370</v>
      </c>
      <c r="E538" t="s">
        <v>1014</v>
      </c>
      <c r="F538" t="s">
        <v>1023</v>
      </c>
      <c r="G538" t="s">
        <v>280</v>
      </c>
      <c r="H538" t="s">
        <v>1024</v>
      </c>
      <c r="I538" t="s">
        <v>35</v>
      </c>
      <c r="J538"/>
      <c r="K538">
        <v>1</v>
      </c>
      <c r="L538">
        <v>1</v>
      </c>
      <c r="M538" t="s">
        <v>33</v>
      </c>
      <c r="N538">
        <v>1</v>
      </c>
      <c r="O538">
        <v>1</v>
      </c>
      <c r="P538">
        <v>1</v>
      </c>
      <c r="Q538" t="s">
        <v>38</v>
      </c>
      <c r="R538">
        <v>1</v>
      </c>
      <c r="S538">
        <v>1</v>
      </c>
      <c r="T538">
        <v>1</v>
      </c>
      <c r="U538"/>
      <c r="V538"/>
      <c r="W538"/>
      <c r="X538">
        <v>1</v>
      </c>
      <c r="Y538"/>
      <c r="Z538">
        <v>0</v>
      </c>
      <c r="AA538"/>
      <c r="AB538"/>
      <c r="AC538"/>
      <c r="AD538"/>
      <c r="AE538">
        <v>0</v>
      </c>
      <c r="AF538"/>
      <c r="AG538"/>
      <c r="AH538"/>
    </row>
    <row r="539" spans="1:34" x14ac:dyDescent="0.25">
      <c r="A539" t="s">
        <v>3438</v>
      </c>
      <c r="B539" t="s">
        <v>3439</v>
      </c>
      <c r="C539"/>
      <c r="D539" t="s">
        <v>370</v>
      </c>
      <c r="E539" t="s">
        <v>1014</v>
      </c>
      <c r="F539" t="s">
        <v>1023</v>
      </c>
      <c r="G539" t="s">
        <v>280</v>
      </c>
      <c r="H539" t="s">
        <v>1024</v>
      </c>
      <c r="I539" t="s">
        <v>35</v>
      </c>
      <c r="J539"/>
      <c r="K539">
        <v>1</v>
      </c>
      <c r="L539">
        <v>1</v>
      </c>
      <c r="M539" t="s">
        <v>33</v>
      </c>
      <c r="N539">
        <v>1</v>
      </c>
      <c r="O539">
        <v>1</v>
      </c>
      <c r="P539">
        <v>1</v>
      </c>
      <c r="Q539" t="s">
        <v>38</v>
      </c>
      <c r="R539">
        <v>1</v>
      </c>
      <c r="S539">
        <v>1</v>
      </c>
      <c r="T539">
        <v>1</v>
      </c>
      <c r="U539"/>
      <c r="V539"/>
      <c r="W539"/>
      <c r="X539">
        <v>1</v>
      </c>
      <c r="Y539"/>
      <c r="Z539">
        <v>0</v>
      </c>
      <c r="AA539"/>
      <c r="AB539"/>
      <c r="AC539"/>
      <c r="AD539"/>
      <c r="AE539">
        <v>0</v>
      </c>
      <c r="AF539"/>
      <c r="AG539"/>
      <c r="AH539"/>
    </row>
    <row r="540" spans="1:34" x14ac:dyDescent="0.25">
      <c r="A540" t="s">
        <v>3436</v>
      </c>
      <c r="B540" t="s">
        <v>3437</v>
      </c>
      <c r="C540"/>
      <c r="D540" t="s">
        <v>370</v>
      </c>
      <c r="E540" t="s">
        <v>1014</v>
      </c>
      <c r="F540" t="s">
        <v>1025</v>
      </c>
      <c r="G540" t="s">
        <v>280</v>
      </c>
      <c r="H540" t="s">
        <v>1026</v>
      </c>
      <c r="I540" t="s">
        <v>35</v>
      </c>
      <c r="J540"/>
      <c r="K540">
        <v>1</v>
      </c>
      <c r="L540">
        <v>1</v>
      </c>
      <c r="M540" t="s">
        <v>33</v>
      </c>
      <c r="N540">
        <v>1</v>
      </c>
      <c r="O540">
        <v>1</v>
      </c>
      <c r="P540">
        <v>1</v>
      </c>
      <c r="Q540" t="s">
        <v>38</v>
      </c>
      <c r="R540">
        <v>1</v>
      </c>
      <c r="S540">
        <v>1</v>
      </c>
      <c r="T540">
        <v>1</v>
      </c>
      <c r="U540"/>
      <c r="V540"/>
      <c r="W540"/>
      <c r="X540">
        <v>1</v>
      </c>
      <c r="Y540"/>
      <c r="Z540">
        <v>0</v>
      </c>
      <c r="AA540"/>
      <c r="AB540"/>
      <c r="AC540"/>
      <c r="AD540"/>
      <c r="AE540">
        <v>0</v>
      </c>
      <c r="AF540"/>
      <c r="AG540"/>
      <c r="AH540"/>
    </row>
    <row r="541" spans="1:34" x14ac:dyDescent="0.25">
      <c r="A541" t="s">
        <v>3438</v>
      </c>
      <c r="B541" t="s">
        <v>3439</v>
      </c>
      <c r="C541"/>
      <c r="D541" t="s">
        <v>370</v>
      </c>
      <c r="E541" t="s">
        <v>1014</v>
      </c>
      <c r="F541" t="s">
        <v>1025</v>
      </c>
      <c r="G541" t="s">
        <v>280</v>
      </c>
      <c r="H541" t="s">
        <v>1026</v>
      </c>
      <c r="I541" t="s">
        <v>35</v>
      </c>
      <c r="J541"/>
      <c r="K541">
        <v>1</v>
      </c>
      <c r="L541">
        <v>1</v>
      </c>
      <c r="M541" t="s">
        <v>33</v>
      </c>
      <c r="N541">
        <v>1</v>
      </c>
      <c r="O541">
        <v>1</v>
      </c>
      <c r="P541">
        <v>1</v>
      </c>
      <c r="Q541" t="s">
        <v>38</v>
      </c>
      <c r="R541">
        <v>1</v>
      </c>
      <c r="S541">
        <v>1</v>
      </c>
      <c r="T541">
        <v>1</v>
      </c>
      <c r="U541"/>
      <c r="V541"/>
      <c r="W541"/>
      <c r="X541">
        <v>1</v>
      </c>
      <c r="Y541"/>
      <c r="Z541">
        <v>0</v>
      </c>
      <c r="AA541"/>
      <c r="AB541"/>
      <c r="AC541"/>
      <c r="AD541"/>
      <c r="AE541">
        <v>0</v>
      </c>
      <c r="AF541"/>
      <c r="AG541"/>
      <c r="AH541"/>
    </row>
    <row r="542" spans="1:34" x14ac:dyDescent="0.25">
      <c r="A542" t="s">
        <v>3436</v>
      </c>
      <c r="B542" t="s">
        <v>3437</v>
      </c>
      <c r="C542"/>
      <c r="D542" t="s">
        <v>370</v>
      </c>
      <c r="E542" t="s">
        <v>1014</v>
      </c>
      <c r="F542" t="s">
        <v>1027</v>
      </c>
      <c r="G542" t="s">
        <v>280</v>
      </c>
      <c r="H542" t="s">
        <v>1028</v>
      </c>
      <c r="I542" t="s">
        <v>35</v>
      </c>
      <c r="J542"/>
      <c r="K542">
        <v>1</v>
      </c>
      <c r="L542">
        <v>1</v>
      </c>
      <c r="M542" t="s">
        <v>33</v>
      </c>
      <c r="N542">
        <v>1</v>
      </c>
      <c r="O542">
        <v>1</v>
      </c>
      <c r="P542">
        <v>1</v>
      </c>
      <c r="Q542" t="s">
        <v>38</v>
      </c>
      <c r="R542">
        <v>1</v>
      </c>
      <c r="S542">
        <v>1</v>
      </c>
      <c r="T542">
        <v>1</v>
      </c>
      <c r="U542"/>
      <c r="V542"/>
      <c r="W542"/>
      <c r="X542">
        <v>1</v>
      </c>
      <c r="Y542"/>
      <c r="Z542">
        <v>0</v>
      </c>
      <c r="AA542"/>
      <c r="AB542"/>
      <c r="AC542"/>
      <c r="AD542"/>
      <c r="AE542">
        <v>0</v>
      </c>
      <c r="AF542"/>
      <c r="AG542"/>
      <c r="AH542"/>
    </row>
    <row r="543" spans="1:34" x14ac:dyDescent="0.25">
      <c r="A543" t="s">
        <v>3438</v>
      </c>
      <c r="B543" t="s">
        <v>3439</v>
      </c>
      <c r="C543"/>
      <c r="D543" t="s">
        <v>370</v>
      </c>
      <c r="E543" t="s">
        <v>1014</v>
      </c>
      <c r="F543" t="s">
        <v>1027</v>
      </c>
      <c r="G543" t="s">
        <v>280</v>
      </c>
      <c r="H543" t="s">
        <v>1028</v>
      </c>
      <c r="I543" t="s">
        <v>35</v>
      </c>
      <c r="J543"/>
      <c r="K543">
        <v>1</v>
      </c>
      <c r="L543">
        <v>1</v>
      </c>
      <c r="M543" t="s">
        <v>33</v>
      </c>
      <c r="N543">
        <v>1</v>
      </c>
      <c r="O543">
        <v>1</v>
      </c>
      <c r="P543">
        <v>1</v>
      </c>
      <c r="Q543" t="s">
        <v>38</v>
      </c>
      <c r="R543">
        <v>1</v>
      </c>
      <c r="S543">
        <v>1</v>
      </c>
      <c r="T543">
        <v>1</v>
      </c>
      <c r="U543"/>
      <c r="V543"/>
      <c r="W543"/>
      <c r="X543">
        <v>1</v>
      </c>
      <c r="Y543"/>
      <c r="Z543">
        <v>0</v>
      </c>
      <c r="AA543"/>
      <c r="AB543"/>
      <c r="AC543"/>
      <c r="AD543"/>
      <c r="AE543">
        <v>0</v>
      </c>
      <c r="AF543"/>
      <c r="AG543"/>
      <c r="AH543"/>
    </row>
    <row r="544" spans="1:34" x14ac:dyDescent="0.25">
      <c r="A544" t="s">
        <v>3436</v>
      </c>
      <c r="B544" t="s">
        <v>3437</v>
      </c>
      <c r="C544"/>
      <c r="D544" t="s">
        <v>370</v>
      </c>
      <c r="E544" t="s">
        <v>1014</v>
      </c>
      <c r="F544" t="s">
        <v>1029</v>
      </c>
      <c r="G544" t="s">
        <v>280</v>
      </c>
      <c r="H544" t="s">
        <v>1030</v>
      </c>
      <c r="I544" t="s">
        <v>35</v>
      </c>
      <c r="J544"/>
      <c r="K544">
        <v>1</v>
      </c>
      <c r="L544">
        <v>1</v>
      </c>
      <c r="M544" t="s">
        <v>33</v>
      </c>
      <c r="N544">
        <v>1</v>
      </c>
      <c r="O544">
        <v>1</v>
      </c>
      <c r="P544">
        <v>1</v>
      </c>
      <c r="Q544" t="s">
        <v>38</v>
      </c>
      <c r="R544">
        <v>1</v>
      </c>
      <c r="S544">
        <v>1</v>
      </c>
      <c r="T544">
        <v>1</v>
      </c>
      <c r="U544"/>
      <c r="V544"/>
      <c r="W544"/>
      <c r="X544">
        <v>1</v>
      </c>
      <c r="Y544"/>
      <c r="Z544">
        <v>0</v>
      </c>
      <c r="AA544"/>
      <c r="AB544"/>
      <c r="AC544"/>
      <c r="AD544"/>
      <c r="AE544">
        <v>0</v>
      </c>
      <c r="AF544"/>
      <c r="AG544"/>
      <c r="AH544"/>
    </row>
    <row r="545" spans="1:34" x14ac:dyDescent="0.25">
      <c r="A545" t="s">
        <v>3438</v>
      </c>
      <c r="B545" t="s">
        <v>3439</v>
      </c>
      <c r="C545"/>
      <c r="D545" t="s">
        <v>370</v>
      </c>
      <c r="E545" t="s">
        <v>1014</v>
      </c>
      <c r="F545" t="s">
        <v>1029</v>
      </c>
      <c r="G545" t="s">
        <v>280</v>
      </c>
      <c r="H545" t="s">
        <v>1030</v>
      </c>
      <c r="I545" t="s">
        <v>35</v>
      </c>
      <c r="J545"/>
      <c r="K545">
        <v>1</v>
      </c>
      <c r="L545">
        <v>1</v>
      </c>
      <c r="M545" t="s">
        <v>33</v>
      </c>
      <c r="N545">
        <v>1</v>
      </c>
      <c r="O545">
        <v>1</v>
      </c>
      <c r="P545">
        <v>1</v>
      </c>
      <c r="Q545" t="s">
        <v>38</v>
      </c>
      <c r="R545">
        <v>1</v>
      </c>
      <c r="S545">
        <v>1</v>
      </c>
      <c r="T545">
        <v>1</v>
      </c>
      <c r="U545"/>
      <c r="V545"/>
      <c r="W545"/>
      <c r="X545">
        <v>1</v>
      </c>
      <c r="Y545"/>
      <c r="Z545">
        <v>0</v>
      </c>
      <c r="AA545"/>
      <c r="AB545"/>
      <c r="AC545"/>
      <c r="AD545"/>
      <c r="AE545">
        <v>0</v>
      </c>
      <c r="AF545"/>
      <c r="AG545"/>
      <c r="AH545"/>
    </row>
    <row r="546" spans="1:34" x14ac:dyDescent="0.25">
      <c r="A546" t="s">
        <v>3436</v>
      </c>
      <c r="B546" t="s">
        <v>3437</v>
      </c>
      <c r="C546"/>
      <c r="D546" t="s">
        <v>370</v>
      </c>
      <c r="E546" t="s">
        <v>1014</v>
      </c>
      <c r="F546" t="s">
        <v>1031</v>
      </c>
      <c r="G546" t="s">
        <v>280</v>
      </c>
      <c r="H546" t="s">
        <v>1032</v>
      </c>
      <c r="I546" t="s">
        <v>35</v>
      </c>
      <c r="J546"/>
      <c r="K546">
        <v>1</v>
      </c>
      <c r="L546">
        <v>1</v>
      </c>
      <c r="M546" t="s">
        <v>33</v>
      </c>
      <c r="N546">
        <v>1</v>
      </c>
      <c r="O546">
        <v>1</v>
      </c>
      <c r="P546">
        <v>1</v>
      </c>
      <c r="Q546" t="s">
        <v>38</v>
      </c>
      <c r="R546">
        <v>1</v>
      </c>
      <c r="S546">
        <v>1</v>
      </c>
      <c r="T546">
        <v>1</v>
      </c>
      <c r="U546"/>
      <c r="V546"/>
      <c r="W546"/>
      <c r="X546">
        <v>1</v>
      </c>
      <c r="Y546"/>
      <c r="Z546">
        <v>0</v>
      </c>
      <c r="AA546"/>
      <c r="AB546"/>
      <c r="AC546"/>
      <c r="AD546"/>
      <c r="AE546">
        <v>0</v>
      </c>
      <c r="AF546"/>
      <c r="AG546"/>
      <c r="AH546"/>
    </row>
    <row r="547" spans="1:34" x14ac:dyDescent="0.25">
      <c r="A547" t="s">
        <v>3438</v>
      </c>
      <c r="B547" t="s">
        <v>3439</v>
      </c>
      <c r="C547"/>
      <c r="D547" t="s">
        <v>370</v>
      </c>
      <c r="E547" t="s">
        <v>1014</v>
      </c>
      <c r="F547" t="s">
        <v>1031</v>
      </c>
      <c r="G547" t="s">
        <v>280</v>
      </c>
      <c r="H547" t="s">
        <v>1032</v>
      </c>
      <c r="I547" t="s">
        <v>35</v>
      </c>
      <c r="J547"/>
      <c r="K547">
        <v>1</v>
      </c>
      <c r="L547">
        <v>1</v>
      </c>
      <c r="M547" t="s">
        <v>33</v>
      </c>
      <c r="N547">
        <v>1</v>
      </c>
      <c r="O547">
        <v>1</v>
      </c>
      <c r="P547">
        <v>1</v>
      </c>
      <c r="Q547" t="s">
        <v>38</v>
      </c>
      <c r="R547">
        <v>1</v>
      </c>
      <c r="S547">
        <v>1</v>
      </c>
      <c r="T547">
        <v>1</v>
      </c>
      <c r="U547"/>
      <c r="V547"/>
      <c r="W547"/>
      <c r="X547">
        <v>1</v>
      </c>
      <c r="Y547"/>
      <c r="Z547">
        <v>0</v>
      </c>
      <c r="AA547"/>
      <c r="AB547"/>
      <c r="AC547"/>
      <c r="AD547"/>
      <c r="AE547">
        <v>0</v>
      </c>
      <c r="AF547"/>
      <c r="AG547"/>
      <c r="AH547"/>
    </row>
    <row r="548" spans="1:34" x14ac:dyDescent="0.25">
      <c r="A548" t="s">
        <v>3436</v>
      </c>
      <c r="B548" t="s">
        <v>3437</v>
      </c>
      <c r="C548"/>
      <c r="D548" t="s">
        <v>370</v>
      </c>
      <c r="E548" t="s">
        <v>1014</v>
      </c>
      <c r="F548" t="s">
        <v>1033</v>
      </c>
      <c r="G548" t="s">
        <v>280</v>
      </c>
      <c r="H548" t="s">
        <v>1034</v>
      </c>
      <c r="I548" t="s">
        <v>35</v>
      </c>
      <c r="J548"/>
      <c r="K548">
        <v>1</v>
      </c>
      <c r="L548">
        <v>1</v>
      </c>
      <c r="M548" t="s">
        <v>33</v>
      </c>
      <c r="N548">
        <v>1</v>
      </c>
      <c r="O548">
        <v>1</v>
      </c>
      <c r="P548">
        <v>1</v>
      </c>
      <c r="Q548" t="s">
        <v>38</v>
      </c>
      <c r="R548">
        <v>1</v>
      </c>
      <c r="S548">
        <v>1</v>
      </c>
      <c r="T548">
        <v>1</v>
      </c>
      <c r="U548"/>
      <c r="V548"/>
      <c r="W548"/>
      <c r="X548">
        <v>1</v>
      </c>
      <c r="Y548"/>
      <c r="Z548">
        <v>0</v>
      </c>
      <c r="AA548"/>
      <c r="AB548"/>
      <c r="AC548"/>
      <c r="AD548"/>
      <c r="AE548">
        <v>0</v>
      </c>
      <c r="AF548"/>
      <c r="AG548"/>
      <c r="AH548"/>
    </row>
    <row r="549" spans="1:34" x14ac:dyDescent="0.25">
      <c r="A549" t="s">
        <v>3438</v>
      </c>
      <c r="B549" t="s">
        <v>3439</v>
      </c>
      <c r="C549"/>
      <c r="D549" t="s">
        <v>370</v>
      </c>
      <c r="E549" t="s">
        <v>1014</v>
      </c>
      <c r="F549" t="s">
        <v>1033</v>
      </c>
      <c r="G549" t="s">
        <v>280</v>
      </c>
      <c r="H549" t="s">
        <v>1034</v>
      </c>
      <c r="I549" t="s">
        <v>35</v>
      </c>
      <c r="J549"/>
      <c r="K549">
        <v>1</v>
      </c>
      <c r="L549">
        <v>1</v>
      </c>
      <c r="M549" t="s">
        <v>33</v>
      </c>
      <c r="N549">
        <v>1</v>
      </c>
      <c r="O549">
        <v>1</v>
      </c>
      <c r="P549">
        <v>1</v>
      </c>
      <c r="Q549" t="s">
        <v>38</v>
      </c>
      <c r="R549">
        <v>1</v>
      </c>
      <c r="S549">
        <v>1</v>
      </c>
      <c r="T549">
        <v>1</v>
      </c>
      <c r="U549"/>
      <c r="V549"/>
      <c r="W549"/>
      <c r="X549">
        <v>1</v>
      </c>
      <c r="Y549"/>
      <c r="Z549">
        <v>0</v>
      </c>
      <c r="AA549"/>
      <c r="AB549"/>
      <c r="AC549"/>
      <c r="AD549"/>
      <c r="AE549">
        <v>0</v>
      </c>
      <c r="AF549"/>
      <c r="AG549"/>
      <c r="AH549"/>
    </row>
    <row r="550" spans="1:34" x14ac:dyDescent="0.25">
      <c r="A550" t="s">
        <v>3436</v>
      </c>
      <c r="B550" t="s">
        <v>3437</v>
      </c>
      <c r="C550"/>
      <c r="D550" t="s">
        <v>370</v>
      </c>
      <c r="E550" t="s">
        <v>1014</v>
      </c>
      <c r="F550" t="s">
        <v>1035</v>
      </c>
      <c r="G550" t="s">
        <v>280</v>
      </c>
      <c r="H550" t="s">
        <v>1036</v>
      </c>
      <c r="I550" t="s">
        <v>35</v>
      </c>
      <c r="J550"/>
      <c r="K550">
        <v>1</v>
      </c>
      <c r="L550">
        <v>1</v>
      </c>
      <c r="M550" t="s">
        <v>33</v>
      </c>
      <c r="N550">
        <v>1</v>
      </c>
      <c r="O550">
        <v>1</v>
      </c>
      <c r="P550">
        <v>1</v>
      </c>
      <c r="Q550" t="s">
        <v>38</v>
      </c>
      <c r="R550">
        <v>1</v>
      </c>
      <c r="S550">
        <v>1</v>
      </c>
      <c r="T550">
        <v>1</v>
      </c>
      <c r="U550"/>
      <c r="V550"/>
      <c r="W550"/>
      <c r="X550">
        <v>1</v>
      </c>
      <c r="Y550"/>
      <c r="Z550">
        <v>0</v>
      </c>
      <c r="AA550"/>
      <c r="AB550"/>
      <c r="AC550"/>
      <c r="AD550"/>
      <c r="AE550">
        <v>0</v>
      </c>
      <c r="AF550"/>
      <c r="AG550"/>
      <c r="AH550"/>
    </row>
    <row r="551" spans="1:34" x14ac:dyDescent="0.25">
      <c r="A551" t="s">
        <v>3438</v>
      </c>
      <c r="B551" t="s">
        <v>3439</v>
      </c>
      <c r="C551"/>
      <c r="D551" t="s">
        <v>370</v>
      </c>
      <c r="E551" t="s">
        <v>1014</v>
      </c>
      <c r="F551" t="s">
        <v>1035</v>
      </c>
      <c r="G551" t="s">
        <v>280</v>
      </c>
      <c r="H551" t="s">
        <v>1036</v>
      </c>
      <c r="I551" t="s">
        <v>35</v>
      </c>
      <c r="J551"/>
      <c r="K551">
        <v>1</v>
      </c>
      <c r="L551">
        <v>1</v>
      </c>
      <c r="M551" t="s">
        <v>33</v>
      </c>
      <c r="N551">
        <v>1</v>
      </c>
      <c r="O551">
        <v>1</v>
      </c>
      <c r="P551">
        <v>1</v>
      </c>
      <c r="Q551" t="s">
        <v>38</v>
      </c>
      <c r="R551">
        <v>1</v>
      </c>
      <c r="S551">
        <v>1</v>
      </c>
      <c r="T551">
        <v>1</v>
      </c>
      <c r="U551"/>
      <c r="V551"/>
      <c r="W551"/>
      <c r="X551">
        <v>1</v>
      </c>
      <c r="Y551"/>
      <c r="Z551">
        <v>0</v>
      </c>
      <c r="AA551"/>
      <c r="AB551"/>
      <c r="AC551"/>
      <c r="AD551"/>
      <c r="AE551">
        <v>0</v>
      </c>
      <c r="AF551"/>
      <c r="AG551"/>
      <c r="AH551"/>
    </row>
    <row r="552" spans="1:34" x14ac:dyDescent="0.25">
      <c r="A552" t="s">
        <v>1945</v>
      </c>
      <c r="B552" t="s">
        <v>1946</v>
      </c>
      <c r="C552"/>
      <c r="D552" t="s">
        <v>370</v>
      </c>
      <c r="E552" t="s">
        <v>1037</v>
      </c>
      <c r="F552" t="s">
        <v>895</v>
      </c>
      <c r="G552" t="s">
        <v>280</v>
      </c>
      <c r="H552" t="s">
        <v>1038</v>
      </c>
      <c r="I552" t="s">
        <v>373</v>
      </c>
      <c r="J552"/>
      <c r="K552">
        <v>1</v>
      </c>
      <c r="L552">
        <v>1</v>
      </c>
      <c r="M552" t="s">
        <v>33</v>
      </c>
      <c r="N552">
        <v>1</v>
      </c>
      <c r="O552">
        <v>0.5</v>
      </c>
      <c r="P552">
        <v>0.5</v>
      </c>
      <c r="Q552"/>
      <c r="R552">
        <v>0</v>
      </c>
      <c r="S552">
        <v>0</v>
      </c>
      <c r="T552"/>
      <c r="U552"/>
      <c r="V552"/>
      <c r="W552"/>
      <c r="X552">
        <v>0</v>
      </c>
      <c r="Y552"/>
      <c r="Z552">
        <v>0</v>
      </c>
      <c r="AA552"/>
      <c r="AB552"/>
      <c r="AC552"/>
      <c r="AD552"/>
      <c r="AE552">
        <v>0</v>
      </c>
      <c r="AF552"/>
      <c r="AG552"/>
      <c r="AH552"/>
    </row>
    <row r="553" spans="1:34" x14ac:dyDescent="0.25">
      <c r="A553" t="s">
        <v>3438</v>
      </c>
      <c r="B553" t="s">
        <v>3439</v>
      </c>
      <c r="C553"/>
      <c r="D553" t="s">
        <v>370</v>
      </c>
      <c r="E553" t="s">
        <v>1037</v>
      </c>
      <c r="F553" t="s">
        <v>895</v>
      </c>
      <c r="G553" t="s">
        <v>280</v>
      </c>
      <c r="H553" t="s">
        <v>1038</v>
      </c>
      <c r="I553" t="s">
        <v>373</v>
      </c>
      <c r="J553"/>
      <c r="K553">
        <v>1</v>
      </c>
      <c r="L553">
        <v>1</v>
      </c>
      <c r="M553" t="s">
        <v>33</v>
      </c>
      <c r="N553">
        <v>1</v>
      </c>
      <c r="O553">
        <v>0.5</v>
      </c>
      <c r="P553">
        <v>0.5</v>
      </c>
      <c r="Q553"/>
      <c r="R553">
        <v>0</v>
      </c>
      <c r="S553">
        <v>0</v>
      </c>
      <c r="T553"/>
      <c r="U553"/>
      <c r="V553"/>
      <c r="W553"/>
      <c r="X553">
        <v>0</v>
      </c>
      <c r="Y553"/>
      <c r="Z553">
        <v>0</v>
      </c>
      <c r="AA553"/>
      <c r="AB553"/>
      <c r="AC553"/>
      <c r="AD553"/>
      <c r="AE553">
        <v>0</v>
      </c>
      <c r="AF553"/>
      <c r="AG553"/>
      <c r="AH553"/>
    </row>
    <row r="554" spans="1:34" x14ac:dyDescent="0.25">
      <c r="A554" t="s">
        <v>1945</v>
      </c>
      <c r="B554" t="s">
        <v>1946</v>
      </c>
      <c r="C554"/>
      <c r="D554" t="s">
        <v>370</v>
      </c>
      <c r="E554" t="s">
        <v>1037</v>
      </c>
      <c r="F554" t="s">
        <v>897</v>
      </c>
      <c r="G554" t="s">
        <v>280</v>
      </c>
      <c r="H554" t="s">
        <v>1039</v>
      </c>
      <c r="I554" t="s">
        <v>373</v>
      </c>
      <c r="J554"/>
      <c r="K554">
        <v>1</v>
      </c>
      <c r="L554">
        <v>1</v>
      </c>
      <c r="M554" t="s">
        <v>33</v>
      </c>
      <c r="N554">
        <v>1</v>
      </c>
      <c r="O554">
        <v>0.5</v>
      </c>
      <c r="P554">
        <v>0.5</v>
      </c>
      <c r="Q554"/>
      <c r="R554">
        <v>0</v>
      </c>
      <c r="S554">
        <v>0</v>
      </c>
      <c r="T554"/>
      <c r="U554"/>
      <c r="V554"/>
      <c r="W554"/>
      <c r="X554">
        <v>0</v>
      </c>
      <c r="Y554"/>
      <c r="Z554">
        <v>0</v>
      </c>
      <c r="AA554"/>
      <c r="AB554"/>
      <c r="AC554"/>
      <c r="AD554"/>
      <c r="AE554">
        <v>0</v>
      </c>
      <c r="AF554"/>
      <c r="AG554"/>
      <c r="AH554"/>
    </row>
    <row r="555" spans="1:34" x14ac:dyDescent="0.25">
      <c r="A555" t="s">
        <v>3438</v>
      </c>
      <c r="B555" t="s">
        <v>3439</v>
      </c>
      <c r="C555"/>
      <c r="D555" t="s">
        <v>370</v>
      </c>
      <c r="E555" t="s">
        <v>1037</v>
      </c>
      <c r="F555" t="s">
        <v>897</v>
      </c>
      <c r="G555" t="s">
        <v>280</v>
      </c>
      <c r="H555" t="s">
        <v>1039</v>
      </c>
      <c r="I555" t="s">
        <v>373</v>
      </c>
      <c r="J555"/>
      <c r="K555">
        <v>1</v>
      </c>
      <c r="L555">
        <v>1</v>
      </c>
      <c r="M555" t="s">
        <v>33</v>
      </c>
      <c r="N555">
        <v>1</v>
      </c>
      <c r="O555">
        <v>0.5</v>
      </c>
      <c r="P555">
        <v>0.5</v>
      </c>
      <c r="Q555"/>
      <c r="R555">
        <v>0</v>
      </c>
      <c r="S555">
        <v>0</v>
      </c>
      <c r="T555"/>
      <c r="U555"/>
      <c r="V555"/>
      <c r="W555"/>
      <c r="X555">
        <v>0</v>
      </c>
      <c r="Y555"/>
      <c r="Z555">
        <v>0</v>
      </c>
      <c r="AA555"/>
      <c r="AB555"/>
      <c r="AC555"/>
      <c r="AD555"/>
      <c r="AE555">
        <v>0</v>
      </c>
      <c r="AF555"/>
      <c r="AG555"/>
      <c r="AH555"/>
    </row>
    <row r="556" spans="1:34" x14ac:dyDescent="0.25">
      <c r="A556" t="s">
        <v>1945</v>
      </c>
      <c r="B556" t="s">
        <v>1946</v>
      </c>
      <c r="C556"/>
      <c r="D556" t="s">
        <v>370</v>
      </c>
      <c r="E556" t="s">
        <v>1037</v>
      </c>
      <c r="F556" t="s">
        <v>899</v>
      </c>
      <c r="G556" t="s">
        <v>280</v>
      </c>
      <c r="H556" t="s">
        <v>1040</v>
      </c>
      <c r="I556" t="s">
        <v>373</v>
      </c>
      <c r="J556"/>
      <c r="K556">
        <v>1</v>
      </c>
      <c r="L556">
        <v>1</v>
      </c>
      <c r="M556" t="s">
        <v>33</v>
      </c>
      <c r="N556">
        <v>1</v>
      </c>
      <c r="O556">
        <v>0.5</v>
      </c>
      <c r="P556">
        <v>0.5</v>
      </c>
      <c r="Q556"/>
      <c r="R556">
        <v>0</v>
      </c>
      <c r="S556">
        <v>0</v>
      </c>
      <c r="T556"/>
      <c r="U556"/>
      <c r="V556"/>
      <c r="W556"/>
      <c r="X556">
        <v>0</v>
      </c>
      <c r="Y556"/>
      <c r="Z556">
        <v>0</v>
      </c>
      <c r="AA556"/>
      <c r="AB556"/>
      <c r="AC556"/>
      <c r="AD556"/>
      <c r="AE556">
        <v>0</v>
      </c>
      <c r="AF556"/>
      <c r="AG556"/>
      <c r="AH556"/>
    </row>
    <row r="557" spans="1:34" x14ac:dyDescent="0.25">
      <c r="A557" t="s">
        <v>3438</v>
      </c>
      <c r="B557" t="s">
        <v>3439</v>
      </c>
      <c r="C557"/>
      <c r="D557" t="s">
        <v>370</v>
      </c>
      <c r="E557" t="s">
        <v>1037</v>
      </c>
      <c r="F557" t="s">
        <v>899</v>
      </c>
      <c r="G557" t="s">
        <v>280</v>
      </c>
      <c r="H557" t="s">
        <v>1040</v>
      </c>
      <c r="I557" t="s">
        <v>373</v>
      </c>
      <c r="J557"/>
      <c r="K557">
        <v>1</v>
      </c>
      <c r="L557">
        <v>1</v>
      </c>
      <c r="M557" t="s">
        <v>33</v>
      </c>
      <c r="N557">
        <v>1</v>
      </c>
      <c r="O557">
        <v>0.5</v>
      </c>
      <c r="P557">
        <v>0.5</v>
      </c>
      <c r="Q557"/>
      <c r="R557">
        <v>0</v>
      </c>
      <c r="S557">
        <v>0</v>
      </c>
      <c r="T557"/>
      <c r="U557"/>
      <c r="V557"/>
      <c r="W557"/>
      <c r="X557">
        <v>0</v>
      </c>
      <c r="Y557"/>
      <c r="Z557">
        <v>0</v>
      </c>
      <c r="AA557"/>
      <c r="AB557"/>
      <c r="AC557"/>
      <c r="AD557"/>
      <c r="AE557">
        <v>0</v>
      </c>
      <c r="AF557"/>
      <c r="AG557"/>
      <c r="AH557"/>
    </row>
    <row r="558" spans="1:34" x14ac:dyDescent="0.25">
      <c r="A558" t="s">
        <v>1945</v>
      </c>
      <c r="B558" t="s">
        <v>1946</v>
      </c>
      <c r="C558"/>
      <c r="D558" t="s">
        <v>370</v>
      </c>
      <c r="E558" t="s">
        <v>1037</v>
      </c>
      <c r="F558" t="s">
        <v>901</v>
      </c>
      <c r="G558" t="s">
        <v>280</v>
      </c>
      <c r="H558" t="s">
        <v>1041</v>
      </c>
      <c r="I558" t="s">
        <v>373</v>
      </c>
      <c r="J558"/>
      <c r="K558">
        <v>1</v>
      </c>
      <c r="L558">
        <v>1</v>
      </c>
      <c r="M558" t="s">
        <v>33</v>
      </c>
      <c r="N558">
        <v>1</v>
      </c>
      <c r="O558">
        <v>0.5</v>
      </c>
      <c r="P558">
        <v>0.5</v>
      </c>
      <c r="Q558"/>
      <c r="R558">
        <v>0</v>
      </c>
      <c r="S558">
        <v>0</v>
      </c>
      <c r="T558"/>
      <c r="U558"/>
      <c r="V558"/>
      <c r="W558"/>
      <c r="X558">
        <v>0</v>
      </c>
      <c r="Y558"/>
      <c r="Z558">
        <v>0</v>
      </c>
      <c r="AA558"/>
      <c r="AB558"/>
      <c r="AC558"/>
      <c r="AD558"/>
      <c r="AE558">
        <v>0</v>
      </c>
      <c r="AF558"/>
      <c r="AG558"/>
      <c r="AH558"/>
    </row>
    <row r="559" spans="1:34" x14ac:dyDescent="0.25">
      <c r="A559" t="s">
        <v>3438</v>
      </c>
      <c r="B559" t="s">
        <v>3439</v>
      </c>
      <c r="C559"/>
      <c r="D559" t="s">
        <v>370</v>
      </c>
      <c r="E559" t="s">
        <v>1037</v>
      </c>
      <c r="F559" t="s">
        <v>901</v>
      </c>
      <c r="G559" t="s">
        <v>280</v>
      </c>
      <c r="H559" t="s">
        <v>1041</v>
      </c>
      <c r="I559" t="s">
        <v>373</v>
      </c>
      <c r="J559"/>
      <c r="K559">
        <v>1</v>
      </c>
      <c r="L559">
        <v>1</v>
      </c>
      <c r="M559" t="s">
        <v>33</v>
      </c>
      <c r="N559">
        <v>1</v>
      </c>
      <c r="O559">
        <v>0.5</v>
      </c>
      <c r="P559">
        <v>0.5</v>
      </c>
      <c r="Q559"/>
      <c r="R559">
        <v>0</v>
      </c>
      <c r="S559">
        <v>0</v>
      </c>
      <c r="T559"/>
      <c r="U559"/>
      <c r="V559"/>
      <c r="W559"/>
      <c r="X559">
        <v>0</v>
      </c>
      <c r="Y559"/>
      <c r="Z559">
        <v>0</v>
      </c>
      <c r="AA559"/>
      <c r="AB559"/>
      <c r="AC559"/>
      <c r="AD559"/>
      <c r="AE559">
        <v>0</v>
      </c>
      <c r="AF559"/>
      <c r="AG559"/>
      <c r="AH559"/>
    </row>
    <row r="560" spans="1:34" x14ac:dyDescent="0.25">
      <c r="A560" t="s">
        <v>1945</v>
      </c>
      <c r="B560" t="s">
        <v>1946</v>
      </c>
      <c r="C560"/>
      <c r="D560" t="s">
        <v>370</v>
      </c>
      <c r="E560" t="s">
        <v>1037</v>
      </c>
      <c r="F560" t="s">
        <v>903</v>
      </c>
      <c r="G560" t="s">
        <v>280</v>
      </c>
      <c r="H560" t="s">
        <v>1042</v>
      </c>
      <c r="I560" t="s">
        <v>373</v>
      </c>
      <c r="J560"/>
      <c r="K560">
        <v>1</v>
      </c>
      <c r="L560">
        <v>1</v>
      </c>
      <c r="M560" t="s">
        <v>33</v>
      </c>
      <c r="N560">
        <v>1</v>
      </c>
      <c r="O560">
        <v>0.5</v>
      </c>
      <c r="P560">
        <v>0.5</v>
      </c>
      <c r="Q560"/>
      <c r="R560">
        <v>0</v>
      </c>
      <c r="S560">
        <v>0</v>
      </c>
      <c r="T560"/>
      <c r="U560"/>
      <c r="V560"/>
      <c r="W560"/>
      <c r="X560">
        <v>0</v>
      </c>
      <c r="Y560"/>
      <c r="Z560">
        <v>0</v>
      </c>
      <c r="AA560"/>
      <c r="AB560"/>
      <c r="AC560"/>
      <c r="AD560"/>
      <c r="AE560">
        <v>0</v>
      </c>
      <c r="AF560"/>
      <c r="AG560"/>
      <c r="AH560"/>
    </row>
    <row r="561" spans="1:34" x14ac:dyDescent="0.25">
      <c r="A561" t="s">
        <v>3438</v>
      </c>
      <c r="B561" t="s">
        <v>3439</v>
      </c>
      <c r="C561"/>
      <c r="D561" t="s">
        <v>370</v>
      </c>
      <c r="E561" t="s">
        <v>1037</v>
      </c>
      <c r="F561" t="s">
        <v>903</v>
      </c>
      <c r="G561" t="s">
        <v>280</v>
      </c>
      <c r="H561" t="s">
        <v>1042</v>
      </c>
      <c r="I561" t="s">
        <v>373</v>
      </c>
      <c r="J561"/>
      <c r="K561">
        <v>1</v>
      </c>
      <c r="L561">
        <v>1</v>
      </c>
      <c r="M561" t="s">
        <v>33</v>
      </c>
      <c r="N561">
        <v>1</v>
      </c>
      <c r="O561">
        <v>0.5</v>
      </c>
      <c r="P561">
        <v>0.5</v>
      </c>
      <c r="Q561"/>
      <c r="R561">
        <v>0</v>
      </c>
      <c r="S561">
        <v>0</v>
      </c>
      <c r="T561"/>
      <c r="U561"/>
      <c r="V561"/>
      <c r="W561"/>
      <c r="X561">
        <v>0</v>
      </c>
      <c r="Y561"/>
      <c r="Z561">
        <v>0</v>
      </c>
      <c r="AA561"/>
      <c r="AB561"/>
      <c r="AC561"/>
      <c r="AD561"/>
      <c r="AE561">
        <v>0</v>
      </c>
      <c r="AF561"/>
      <c r="AG561"/>
      <c r="AH561"/>
    </row>
    <row r="562" spans="1:34" x14ac:dyDescent="0.25">
      <c r="A562" t="s">
        <v>1945</v>
      </c>
      <c r="B562" t="s">
        <v>1946</v>
      </c>
      <c r="C562"/>
      <c r="D562" t="s">
        <v>370</v>
      </c>
      <c r="E562" t="s">
        <v>1037</v>
      </c>
      <c r="F562" t="s">
        <v>905</v>
      </c>
      <c r="G562" t="s">
        <v>280</v>
      </c>
      <c r="H562" t="s">
        <v>1043</v>
      </c>
      <c r="I562" t="s">
        <v>373</v>
      </c>
      <c r="J562"/>
      <c r="K562">
        <v>1</v>
      </c>
      <c r="L562">
        <v>1</v>
      </c>
      <c r="M562" t="s">
        <v>33</v>
      </c>
      <c r="N562">
        <v>1</v>
      </c>
      <c r="O562">
        <v>0.5</v>
      </c>
      <c r="P562">
        <v>0.5</v>
      </c>
      <c r="Q562"/>
      <c r="R562">
        <v>0</v>
      </c>
      <c r="S562">
        <v>0</v>
      </c>
      <c r="T562"/>
      <c r="U562"/>
      <c r="V562"/>
      <c r="W562"/>
      <c r="X562">
        <v>0</v>
      </c>
      <c r="Y562"/>
      <c r="Z562">
        <v>0</v>
      </c>
      <c r="AA562"/>
      <c r="AB562"/>
      <c r="AC562"/>
      <c r="AD562"/>
      <c r="AE562">
        <v>0</v>
      </c>
      <c r="AF562"/>
      <c r="AG562"/>
      <c r="AH562"/>
    </row>
    <row r="563" spans="1:34" x14ac:dyDescent="0.25">
      <c r="A563" t="s">
        <v>3438</v>
      </c>
      <c r="B563" t="s">
        <v>3439</v>
      </c>
      <c r="C563"/>
      <c r="D563" t="s">
        <v>370</v>
      </c>
      <c r="E563" t="s">
        <v>1037</v>
      </c>
      <c r="F563" t="s">
        <v>905</v>
      </c>
      <c r="G563" t="s">
        <v>280</v>
      </c>
      <c r="H563" t="s">
        <v>1043</v>
      </c>
      <c r="I563" t="s">
        <v>373</v>
      </c>
      <c r="J563"/>
      <c r="K563">
        <v>1</v>
      </c>
      <c r="L563">
        <v>1</v>
      </c>
      <c r="M563" t="s">
        <v>33</v>
      </c>
      <c r="N563">
        <v>1</v>
      </c>
      <c r="O563">
        <v>0.5</v>
      </c>
      <c r="P563">
        <v>0.5</v>
      </c>
      <c r="Q563"/>
      <c r="R563">
        <v>0</v>
      </c>
      <c r="S563">
        <v>0</v>
      </c>
      <c r="T563"/>
      <c r="U563"/>
      <c r="V563"/>
      <c r="W563"/>
      <c r="X563">
        <v>0</v>
      </c>
      <c r="Y563"/>
      <c r="Z563">
        <v>0</v>
      </c>
      <c r="AA563"/>
      <c r="AB563"/>
      <c r="AC563"/>
      <c r="AD563"/>
      <c r="AE563">
        <v>0</v>
      </c>
      <c r="AF563"/>
      <c r="AG563"/>
      <c r="AH563"/>
    </row>
    <row r="564" spans="1:34" x14ac:dyDescent="0.25">
      <c r="A564" t="s">
        <v>1945</v>
      </c>
      <c r="B564" t="s">
        <v>1946</v>
      </c>
      <c r="C564"/>
      <c r="D564" t="s">
        <v>370</v>
      </c>
      <c r="E564" t="s">
        <v>1037</v>
      </c>
      <c r="F564" t="s">
        <v>907</v>
      </c>
      <c r="G564" t="s">
        <v>280</v>
      </c>
      <c r="H564" t="s">
        <v>1044</v>
      </c>
      <c r="I564" t="s">
        <v>373</v>
      </c>
      <c r="J564"/>
      <c r="K564">
        <v>1</v>
      </c>
      <c r="L564">
        <v>1</v>
      </c>
      <c r="M564" t="s">
        <v>33</v>
      </c>
      <c r="N564">
        <v>1</v>
      </c>
      <c r="O564">
        <v>0.5</v>
      </c>
      <c r="P564">
        <v>0.5</v>
      </c>
      <c r="Q564"/>
      <c r="R564">
        <v>0</v>
      </c>
      <c r="S564">
        <v>0</v>
      </c>
      <c r="T564"/>
      <c r="U564"/>
      <c r="V564"/>
      <c r="W564"/>
      <c r="X564">
        <v>0</v>
      </c>
      <c r="Y564"/>
      <c r="Z564">
        <v>0</v>
      </c>
      <c r="AA564"/>
      <c r="AB564"/>
      <c r="AC564"/>
      <c r="AD564"/>
      <c r="AE564">
        <v>0</v>
      </c>
      <c r="AF564"/>
      <c r="AG564"/>
      <c r="AH564"/>
    </row>
    <row r="565" spans="1:34" s="172" customFormat="1" x14ac:dyDescent="0.25">
      <c r="A565" t="s">
        <v>3438</v>
      </c>
      <c r="B565" t="s">
        <v>3439</v>
      </c>
      <c r="C565"/>
      <c r="D565" t="s">
        <v>370</v>
      </c>
      <c r="E565" t="s">
        <v>1037</v>
      </c>
      <c r="F565" t="s">
        <v>907</v>
      </c>
      <c r="G565" t="s">
        <v>280</v>
      </c>
      <c r="H565" t="s">
        <v>1044</v>
      </c>
      <c r="I565" t="s">
        <v>373</v>
      </c>
      <c r="J565"/>
      <c r="K565">
        <v>1</v>
      </c>
      <c r="L565">
        <v>1</v>
      </c>
      <c r="M565" t="s">
        <v>33</v>
      </c>
      <c r="N565">
        <v>1</v>
      </c>
      <c r="O565">
        <v>0.5</v>
      </c>
      <c r="P565">
        <v>0.5</v>
      </c>
      <c r="Q565"/>
      <c r="R565">
        <v>0</v>
      </c>
      <c r="S565">
        <v>0</v>
      </c>
      <c r="T565"/>
      <c r="U565"/>
      <c r="V565"/>
      <c r="W565"/>
      <c r="X565">
        <v>0</v>
      </c>
      <c r="Y565"/>
      <c r="Z565">
        <v>0</v>
      </c>
      <c r="AA565"/>
      <c r="AB565"/>
      <c r="AC565"/>
      <c r="AD565"/>
      <c r="AE565">
        <v>0</v>
      </c>
      <c r="AF565"/>
      <c r="AG565"/>
      <c r="AH565"/>
    </row>
    <row r="566" spans="1:34" x14ac:dyDescent="0.25">
      <c r="A566" t="s">
        <v>1945</v>
      </c>
      <c r="B566" t="s">
        <v>1946</v>
      </c>
      <c r="C566"/>
      <c r="D566" t="s">
        <v>370</v>
      </c>
      <c r="E566" t="s">
        <v>1037</v>
      </c>
      <c r="F566" t="s">
        <v>909</v>
      </c>
      <c r="G566" t="s">
        <v>280</v>
      </c>
      <c r="H566" t="s">
        <v>1045</v>
      </c>
      <c r="I566" t="s">
        <v>373</v>
      </c>
      <c r="J566"/>
      <c r="K566">
        <v>1</v>
      </c>
      <c r="L566">
        <v>1</v>
      </c>
      <c r="M566" t="s">
        <v>33</v>
      </c>
      <c r="N566">
        <v>1</v>
      </c>
      <c r="O566">
        <v>0.5</v>
      </c>
      <c r="P566">
        <v>0.5</v>
      </c>
      <c r="Q566"/>
      <c r="R566">
        <v>0</v>
      </c>
      <c r="S566">
        <v>0</v>
      </c>
      <c r="T566"/>
      <c r="U566"/>
      <c r="V566"/>
      <c r="W566"/>
      <c r="X566">
        <v>0</v>
      </c>
      <c r="Y566"/>
      <c r="Z566">
        <v>0</v>
      </c>
      <c r="AA566"/>
      <c r="AB566"/>
      <c r="AC566"/>
      <c r="AD566"/>
      <c r="AE566">
        <v>0</v>
      </c>
      <c r="AF566"/>
      <c r="AG566"/>
      <c r="AH566"/>
    </row>
    <row r="567" spans="1:34" x14ac:dyDescent="0.25">
      <c r="A567" t="s">
        <v>3438</v>
      </c>
      <c r="B567" t="s">
        <v>3439</v>
      </c>
      <c r="C567"/>
      <c r="D567" t="s">
        <v>370</v>
      </c>
      <c r="E567" t="s">
        <v>1037</v>
      </c>
      <c r="F567" t="s">
        <v>909</v>
      </c>
      <c r="G567" t="s">
        <v>280</v>
      </c>
      <c r="H567" t="s">
        <v>1045</v>
      </c>
      <c r="I567" t="s">
        <v>373</v>
      </c>
      <c r="J567"/>
      <c r="K567">
        <v>1</v>
      </c>
      <c r="L567">
        <v>1</v>
      </c>
      <c r="M567" t="s">
        <v>33</v>
      </c>
      <c r="N567">
        <v>1</v>
      </c>
      <c r="O567">
        <v>0.5</v>
      </c>
      <c r="P567">
        <v>0.5</v>
      </c>
      <c r="Q567"/>
      <c r="R567">
        <v>0</v>
      </c>
      <c r="S567">
        <v>0</v>
      </c>
      <c r="T567"/>
      <c r="U567"/>
      <c r="V567"/>
      <c r="W567"/>
      <c r="X567">
        <v>0</v>
      </c>
      <c r="Y567"/>
      <c r="Z567">
        <v>0</v>
      </c>
      <c r="AA567"/>
      <c r="AB567"/>
      <c r="AC567"/>
      <c r="AD567"/>
      <c r="AE567">
        <v>0</v>
      </c>
      <c r="AF567"/>
      <c r="AG567"/>
      <c r="AH567"/>
    </row>
    <row r="568" spans="1:34" x14ac:dyDescent="0.25">
      <c r="A568" t="s">
        <v>1945</v>
      </c>
      <c r="B568" t="s">
        <v>1946</v>
      </c>
      <c r="C568"/>
      <c r="D568" t="s">
        <v>370</v>
      </c>
      <c r="E568" t="s">
        <v>1037</v>
      </c>
      <c r="F568" t="s">
        <v>911</v>
      </c>
      <c r="G568" t="s">
        <v>280</v>
      </c>
      <c r="H568" t="s">
        <v>1046</v>
      </c>
      <c r="I568" t="s">
        <v>373</v>
      </c>
      <c r="J568"/>
      <c r="K568">
        <v>1</v>
      </c>
      <c r="L568">
        <v>1</v>
      </c>
      <c r="M568" t="s">
        <v>33</v>
      </c>
      <c r="N568">
        <v>1</v>
      </c>
      <c r="O568">
        <v>0.5</v>
      </c>
      <c r="P568">
        <v>0.5</v>
      </c>
      <c r="Q568"/>
      <c r="R568">
        <v>0</v>
      </c>
      <c r="S568">
        <v>0</v>
      </c>
      <c r="T568"/>
      <c r="U568"/>
      <c r="V568"/>
      <c r="W568"/>
      <c r="X568">
        <v>0</v>
      </c>
      <c r="Y568"/>
      <c r="Z568">
        <v>0</v>
      </c>
      <c r="AA568"/>
      <c r="AB568"/>
      <c r="AC568"/>
      <c r="AD568"/>
      <c r="AE568">
        <v>0</v>
      </c>
      <c r="AF568"/>
      <c r="AG568"/>
      <c r="AH568"/>
    </row>
    <row r="569" spans="1:34" x14ac:dyDescent="0.25">
      <c r="A569" t="s">
        <v>3438</v>
      </c>
      <c r="B569" t="s">
        <v>3439</v>
      </c>
      <c r="C569"/>
      <c r="D569" t="s">
        <v>370</v>
      </c>
      <c r="E569" t="s">
        <v>1037</v>
      </c>
      <c r="F569" t="s">
        <v>911</v>
      </c>
      <c r="G569" t="s">
        <v>280</v>
      </c>
      <c r="H569" t="s">
        <v>1046</v>
      </c>
      <c r="I569" t="s">
        <v>373</v>
      </c>
      <c r="J569"/>
      <c r="K569">
        <v>1</v>
      </c>
      <c r="L569">
        <v>1</v>
      </c>
      <c r="M569" t="s">
        <v>33</v>
      </c>
      <c r="N569">
        <v>1</v>
      </c>
      <c r="O569">
        <v>0.5</v>
      </c>
      <c r="P569">
        <v>0.5</v>
      </c>
      <c r="Q569"/>
      <c r="R569">
        <v>0</v>
      </c>
      <c r="S569">
        <v>0</v>
      </c>
      <c r="T569"/>
      <c r="U569"/>
      <c r="V569"/>
      <c r="W569"/>
      <c r="X569">
        <v>0</v>
      </c>
      <c r="Y569"/>
      <c r="Z569">
        <v>0</v>
      </c>
      <c r="AA569"/>
      <c r="AB569"/>
      <c r="AC569"/>
      <c r="AD569"/>
      <c r="AE569">
        <v>0</v>
      </c>
      <c r="AF569"/>
      <c r="AG569"/>
      <c r="AH569"/>
    </row>
    <row r="570" spans="1:34" x14ac:dyDescent="0.25">
      <c r="A570" t="s">
        <v>1945</v>
      </c>
      <c r="B570" t="s">
        <v>1946</v>
      </c>
      <c r="C570"/>
      <c r="D570" t="s">
        <v>370</v>
      </c>
      <c r="E570" t="s">
        <v>1037</v>
      </c>
      <c r="F570" t="s">
        <v>913</v>
      </c>
      <c r="G570" t="s">
        <v>280</v>
      </c>
      <c r="H570" t="s">
        <v>1047</v>
      </c>
      <c r="I570" t="s">
        <v>373</v>
      </c>
      <c r="J570"/>
      <c r="K570">
        <v>1</v>
      </c>
      <c r="L570">
        <v>1</v>
      </c>
      <c r="M570" t="s">
        <v>33</v>
      </c>
      <c r="N570">
        <v>1</v>
      </c>
      <c r="O570">
        <v>0.5</v>
      </c>
      <c r="P570">
        <v>0.5</v>
      </c>
      <c r="Q570"/>
      <c r="R570">
        <v>0</v>
      </c>
      <c r="S570">
        <v>0</v>
      </c>
      <c r="T570"/>
      <c r="U570"/>
      <c r="V570"/>
      <c r="W570"/>
      <c r="X570">
        <v>0</v>
      </c>
      <c r="Y570"/>
      <c r="Z570">
        <v>0</v>
      </c>
      <c r="AA570"/>
      <c r="AB570"/>
      <c r="AC570"/>
      <c r="AD570"/>
      <c r="AE570">
        <v>0</v>
      </c>
      <c r="AF570"/>
      <c r="AG570"/>
      <c r="AH570"/>
    </row>
    <row r="571" spans="1:34" x14ac:dyDescent="0.25">
      <c r="A571" t="s">
        <v>3438</v>
      </c>
      <c r="B571" t="s">
        <v>3439</v>
      </c>
      <c r="C571"/>
      <c r="D571" t="s">
        <v>370</v>
      </c>
      <c r="E571" t="s">
        <v>1037</v>
      </c>
      <c r="F571" t="s">
        <v>913</v>
      </c>
      <c r="G571" t="s">
        <v>280</v>
      </c>
      <c r="H571" t="s">
        <v>1047</v>
      </c>
      <c r="I571" t="s">
        <v>373</v>
      </c>
      <c r="J571"/>
      <c r="K571">
        <v>1</v>
      </c>
      <c r="L571">
        <v>1</v>
      </c>
      <c r="M571" t="s">
        <v>33</v>
      </c>
      <c r="N571">
        <v>1</v>
      </c>
      <c r="O571">
        <v>0.5</v>
      </c>
      <c r="P571">
        <v>0.5</v>
      </c>
      <c r="Q571"/>
      <c r="R571">
        <v>0</v>
      </c>
      <c r="S571">
        <v>0</v>
      </c>
      <c r="T571"/>
      <c r="U571"/>
      <c r="V571"/>
      <c r="W571"/>
      <c r="X571">
        <v>0</v>
      </c>
      <c r="Y571"/>
      <c r="Z571">
        <v>0</v>
      </c>
      <c r="AA571"/>
      <c r="AB571"/>
      <c r="AC571"/>
      <c r="AD571"/>
      <c r="AE571">
        <v>0</v>
      </c>
      <c r="AF571"/>
      <c r="AG571"/>
      <c r="AH571"/>
    </row>
    <row r="572" spans="1:34" x14ac:dyDescent="0.25">
      <c r="A572" t="s">
        <v>1945</v>
      </c>
      <c r="B572" t="s">
        <v>1946</v>
      </c>
      <c r="C572"/>
      <c r="D572" t="s">
        <v>370</v>
      </c>
      <c r="E572" t="s">
        <v>1037</v>
      </c>
      <c r="F572" t="s">
        <v>915</v>
      </c>
      <c r="G572" t="s">
        <v>280</v>
      </c>
      <c r="H572" t="s">
        <v>1048</v>
      </c>
      <c r="I572" t="s">
        <v>373</v>
      </c>
      <c r="J572"/>
      <c r="K572">
        <v>1</v>
      </c>
      <c r="L572">
        <v>1</v>
      </c>
      <c r="M572" t="s">
        <v>33</v>
      </c>
      <c r="N572">
        <v>1</v>
      </c>
      <c r="O572">
        <v>0.5</v>
      </c>
      <c r="P572">
        <v>0.5</v>
      </c>
      <c r="Q572"/>
      <c r="R572">
        <v>0</v>
      </c>
      <c r="S572">
        <v>0</v>
      </c>
      <c r="T572"/>
      <c r="U572"/>
      <c r="V572"/>
      <c r="W572"/>
      <c r="X572">
        <v>0</v>
      </c>
      <c r="Y572"/>
      <c r="Z572">
        <v>0</v>
      </c>
      <c r="AA572"/>
      <c r="AB572"/>
      <c r="AC572"/>
      <c r="AD572"/>
      <c r="AE572">
        <v>0</v>
      </c>
      <c r="AF572"/>
      <c r="AG572"/>
      <c r="AH572"/>
    </row>
    <row r="573" spans="1:34" x14ac:dyDescent="0.25">
      <c r="A573" t="s">
        <v>3438</v>
      </c>
      <c r="B573" t="s">
        <v>3439</v>
      </c>
      <c r="C573"/>
      <c r="D573" t="s">
        <v>370</v>
      </c>
      <c r="E573" t="s">
        <v>1037</v>
      </c>
      <c r="F573" t="s">
        <v>915</v>
      </c>
      <c r="G573" t="s">
        <v>280</v>
      </c>
      <c r="H573" t="s">
        <v>1048</v>
      </c>
      <c r="I573" t="s">
        <v>373</v>
      </c>
      <c r="J573"/>
      <c r="K573">
        <v>1</v>
      </c>
      <c r="L573">
        <v>1</v>
      </c>
      <c r="M573" t="s">
        <v>33</v>
      </c>
      <c r="N573">
        <v>1</v>
      </c>
      <c r="O573">
        <v>0.5</v>
      </c>
      <c r="P573">
        <v>0.5</v>
      </c>
      <c r="Q573"/>
      <c r="R573">
        <v>0</v>
      </c>
      <c r="S573">
        <v>0</v>
      </c>
      <c r="T573"/>
      <c r="U573"/>
      <c r="V573"/>
      <c r="W573"/>
      <c r="X573">
        <v>0</v>
      </c>
      <c r="Y573"/>
      <c r="Z573">
        <v>0</v>
      </c>
      <c r="AA573"/>
      <c r="AB573"/>
      <c r="AC573"/>
      <c r="AD573"/>
      <c r="AE573">
        <v>0</v>
      </c>
      <c r="AF573"/>
      <c r="AG573"/>
      <c r="AH573"/>
    </row>
    <row r="574" spans="1:34" x14ac:dyDescent="0.25">
      <c r="A574" t="s">
        <v>1945</v>
      </c>
      <c r="B574" t="s">
        <v>1946</v>
      </c>
      <c r="C574"/>
      <c r="D574" t="s">
        <v>370</v>
      </c>
      <c r="E574" t="s">
        <v>1037</v>
      </c>
      <c r="F574" t="s">
        <v>917</v>
      </c>
      <c r="G574" t="s">
        <v>280</v>
      </c>
      <c r="H574" t="s">
        <v>1049</v>
      </c>
      <c r="I574" t="s">
        <v>373</v>
      </c>
      <c r="J574"/>
      <c r="K574">
        <v>1</v>
      </c>
      <c r="L574">
        <v>1</v>
      </c>
      <c r="M574" t="s">
        <v>33</v>
      </c>
      <c r="N574">
        <v>1</v>
      </c>
      <c r="O574">
        <v>0.5</v>
      </c>
      <c r="P574">
        <v>0.5</v>
      </c>
      <c r="Q574"/>
      <c r="R574">
        <v>0</v>
      </c>
      <c r="S574">
        <v>0</v>
      </c>
      <c r="T574"/>
      <c r="U574"/>
      <c r="V574"/>
      <c r="W574"/>
      <c r="X574">
        <v>0</v>
      </c>
      <c r="Y574"/>
      <c r="Z574">
        <v>0</v>
      </c>
      <c r="AA574"/>
      <c r="AB574"/>
      <c r="AC574"/>
      <c r="AD574"/>
      <c r="AE574">
        <v>0</v>
      </c>
      <c r="AF574"/>
      <c r="AG574"/>
      <c r="AH574"/>
    </row>
    <row r="575" spans="1:34" x14ac:dyDescent="0.25">
      <c r="A575" t="s">
        <v>3438</v>
      </c>
      <c r="B575" t="s">
        <v>3439</v>
      </c>
      <c r="C575"/>
      <c r="D575" t="s">
        <v>370</v>
      </c>
      <c r="E575" t="s">
        <v>1037</v>
      </c>
      <c r="F575" t="s">
        <v>917</v>
      </c>
      <c r="G575" t="s">
        <v>280</v>
      </c>
      <c r="H575" t="s">
        <v>1049</v>
      </c>
      <c r="I575" t="s">
        <v>373</v>
      </c>
      <c r="J575"/>
      <c r="K575">
        <v>1</v>
      </c>
      <c r="L575">
        <v>1</v>
      </c>
      <c r="M575" t="s">
        <v>33</v>
      </c>
      <c r="N575">
        <v>1</v>
      </c>
      <c r="O575">
        <v>0.5</v>
      </c>
      <c r="P575">
        <v>0.5</v>
      </c>
      <c r="Q575"/>
      <c r="R575">
        <v>0</v>
      </c>
      <c r="S575">
        <v>0</v>
      </c>
      <c r="T575"/>
      <c r="U575"/>
      <c r="V575"/>
      <c r="W575"/>
      <c r="X575">
        <v>0</v>
      </c>
      <c r="Y575"/>
      <c r="Z575">
        <v>0</v>
      </c>
      <c r="AA575"/>
      <c r="AB575"/>
      <c r="AC575"/>
      <c r="AD575"/>
      <c r="AE575">
        <v>0</v>
      </c>
      <c r="AF575"/>
      <c r="AG575"/>
      <c r="AH575"/>
    </row>
    <row r="576" spans="1:34" x14ac:dyDescent="0.25">
      <c r="A576" t="s">
        <v>1945</v>
      </c>
      <c r="B576" t="s">
        <v>1946</v>
      </c>
      <c r="C576"/>
      <c r="D576" t="s">
        <v>370</v>
      </c>
      <c r="E576" t="s">
        <v>1037</v>
      </c>
      <c r="F576" t="s">
        <v>919</v>
      </c>
      <c r="G576" t="s">
        <v>280</v>
      </c>
      <c r="H576" t="s">
        <v>1050</v>
      </c>
      <c r="I576" t="s">
        <v>373</v>
      </c>
      <c r="J576"/>
      <c r="K576">
        <v>1</v>
      </c>
      <c r="L576">
        <v>1</v>
      </c>
      <c r="M576" t="s">
        <v>33</v>
      </c>
      <c r="N576">
        <v>1</v>
      </c>
      <c r="O576">
        <v>0.5</v>
      </c>
      <c r="P576">
        <v>0.5</v>
      </c>
      <c r="Q576"/>
      <c r="R576">
        <v>0</v>
      </c>
      <c r="S576">
        <v>0</v>
      </c>
      <c r="T576"/>
      <c r="U576"/>
      <c r="V576"/>
      <c r="W576"/>
      <c r="X576">
        <v>0</v>
      </c>
      <c r="Y576"/>
      <c r="Z576">
        <v>0</v>
      </c>
      <c r="AA576"/>
      <c r="AB576"/>
      <c r="AC576"/>
      <c r="AD576"/>
      <c r="AE576">
        <v>0</v>
      </c>
      <c r="AF576"/>
      <c r="AG576"/>
      <c r="AH576"/>
    </row>
    <row r="577" spans="1:34" x14ac:dyDescent="0.25">
      <c r="A577" t="s">
        <v>3438</v>
      </c>
      <c r="B577" t="s">
        <v>3439</v>
      </c>
      <c r="C577"/>
      <c r="D577" t="s">
        <v>370</v>
      </c>
      <c r="E577" t="s">
        <v>1037</v>
      </c>
      <c r="F577" t="s">
        <v>919</v>
      </c>
      <c r="G577" t="s">
        <v>280</v>
      </c>
      <c r="H577" t="s">
        <v>1050</v>
      </c>
      <c r="I577" t="s">
        <v>373</v>
      </c>
      <c r="J577"/>
      <c r="K577">
        <v>1</v>
      </c>
      <c r="L577">
        <v>1</v>
      </c>
      <c r="M577" t="s">
        <v>33</v>
      </c>
      <c r="N577">
        <v>1</v>
      </c>
      <c r="O577">
        <v>0.5</v>
      </c>
      <c r="P577">
        <v>0.5</v>
      </c>
      <c r="Q577"/>
      <c r="R577">
        <v>0</v>
      </c>
      <c r="S577">
        <v>0</v>
      </c>
      <c r="T577"/>
      <c r="U577"/>
      <c r="V577"/>
      <c r="W577"/>
      <c r="X577">
        <v>0</v>
      </c>
      <c r="Y577"/>
      <c r="Z577">
        <v>0</v>
      </c>
      <c r="AA577"/>
      <c r="AB577"/>
      <c r="AC577"/>
      <c r="AD577"/>
      <c r="AE577">
        <v>0</v>
      </c>
      <c r="AF577"/>
      <c r="AG577"/>
      <c r="AH577"/>
    </row>
    <row r="578" spans="1:34" x14ac:dyDescent="0.25">
      <c r="A578" t="s">
        <v>1945</v>
      </c>
      <c r="B578" t="s">
        <v>1946</v>
      </c>
      <c r="C578"/>
      <c r="D578" t="s">
        <v>370</v>
      </c>
      <c r="E578" t="s">
        <v>1037</v>
      </c>
      <c r="F578" t="s">
        <v>921</v>
      </c>
      <c r="G578" t="s">
        <v>280</v>
      </c>
      <c r="H578" t="s">
        <v>1051</v>
      </c>
      <c r="I578" t="s">
        <v>373</v>
      </c>
      <c r="J578"/>
      <c r="K578">
        <v>1</v>
      </c>
      <c r="L578">
        <v>1</v>
      </c>
      <c r="M578" t="s">
        <v>33</v>
      </c>
      <c r="N578">
        <v>1</v>
      </c>
      <c r="O578">
        <v>0.5</v>
      </c>
      <c r="P578">
        <v>0.5</v>
      </c>
      <c r="Q578"/>
      <c r="R578">
        <v>0</v>
      </c>
      <c r="S578">
        <v>0</v>
      </c>
      <c r="T578"/>
      <c r="U578"/>
      <c r="V578"/>
      <c r="W578"/>
      <c r="X578">
        <v>0</v>
      </c>
      <c r="Y578"/>
      <c r="Z578">
        <v>0</v>
      </c>
      <c r="AA578"/>
      <c r="AB578"/>
      <c r="AC578"/>
      <c r="AD578"/>
      <c r="AE578">
        <v>0</v>
      </c>
      <c r="AF578"/>
      <c r="AG578"/>
      <c r="AH578"/>
    </row>
    <row r="579" spans="1:34" x14ac:dyDescent="0.25">
      <c r="A579" t="s">
        <v>3438</v>
      </c>
      <c r="B579" t="s">
        <v>3439</v>
      </c>
      <c r="C579"/>
      <c r="D579" t="s">
        <v>370</v>
      </c>
      <c r="E579" t="s">
        <v>1037</v>
      </c>
      <c r="F579" t="s">
        <v>921</v>
      </c>
      <c r="G579" t="s">
        <v>280</v>
      </c>
      <c r="H579" t="s">
        <v>1051</v>
      </c>
      <c r="I579" t="s">
        <v>373</v>
      </c>
      <c r="J579"/>
      <c r="K579">
        <v>1</v>
      </c>
      <c r="L579">
        <v>1</v>
      </c>
      <c r="M579" t="s">
        <v>33</v>
      </c>
      <c r="N579">
        <v>1</v>
      </c>
      <c r="O579">
        <v>0.5</v>
      </c>
      <c r="P579">
        <v>0.5</v>
      </c>
      <c r="Q579"/>
      <c r="R579">
        <v>0</v>
      </c>
      <c r="S579">
        <v>0</v>
      </c>
      <c r="T579"/>
      <c r="U579"/>
      <c r="V579"/>
      <c r="W579"/>
      <c r="X579">
        <v>0</v>
      </c>
      <c r="Y579"/>
      <c r="Z579">
        <v>0</v>
      </c>
      <c r="AA579"/>
      <c r="AB579"/>
      <c r="AC579"/>
      <c r="AD579"/>
      <c r="AE579">
        <v>0</v>
      </c>
      <c r="AF579"/>
      <c r="AG579"/>
      <c r="AH579"/>
    </row>
    <row r="580" spans="1:34" x14ac:dyDescent="0.25">
      <c r="A580" t="s">
        <v>1945</v>
      </c>
      <c r="B580" t="s">
        <v>1946</v>
      </c>
      <c r="C580"/>
      <c r="D580" t="s">
        <v>370</v>
      </c>
      <c r="E580" t="s">
        <v>1037</v>
      </c>
      <c r="F580" t="s">
        <v>923</v>
      </c>
      <c r="G580" t="s">
        <v>280</v>
      </c>
      <c r="H580" t="s">
        <v>1052</v>
      </c>
      <c r="I580" t="s">
        <v>373</v>
      </c>
      <c r="J580"/>
      <c r="K580">
        <v>1</v>
      </c>
      <c r="L580">
        <v>1</v>
      </c>
      <c r="M580" t="s">
        <v>33</v>
      </c>
      <c r="N580">
        <v>1</v>
      </c>
      <c r="O580">
        <v>0.5</v>
      </c>
      <c r="P580">
        <v>0.5</v>
      </c>
      <c r="Q580"/>
      <c r="R580">
        <v>0</v>
      </c>
      <c r="S580">
        <v>0</v>
      </c>
      <c r="T580"/>
      <c r="U580"/>
      <c r="V580"/>
      <c r="W580"/>
      <c r="X580">
        <v>0</v>
      </c>
      <c r="Y580"/>
      <c r="Z580">
        <v>0</v>
      </c>
      <c r="AA580"/>
      <c r="AB580"/>
      <c r="AC580"/>
      <c r="AD580"/>
      <c r="AE580">
        <v>0</v>
      </c>
      <c r="AF580"/>
      <c r="AG580"/>
      <c r="AH580"/>
    </row>
    <row r="581" spans="1:34" x14ac:dyDescent="0.25">
      <c r="A581" t="s">
        <v>3438</v>
      </c>
      <c r="B581" t="s">
        <v>3439</v>
      </c>
      <c r="C581"/>
      <c r="D581" t="s">
        <v>370</v>
      </c>
      <c r="E581" t="s">
        <v>1037</v>
      </c>
      <c r="F581" t="s">
        <v>923</v>
      </c>
      <c r="G581" t="s">
        <v>280</v>
      </c>
      <c r="H581" t="s">
        <v>1052</v>
      </c>
      <c r="I581" t="s">
        <v>373</v>
      </c>
      <c r="J581"/>
      <c r="K581">
        <v>1</v>
      </c>
      <c r="L581">
        <v>1</v>
      </c>
      <c r="M581" t="s">
        <v>33</v>
      </c>
      <c r="N581">
        <v>1</v>
      </c>
      <c r="O581">
        <v>0.5</v>
      </c>
      <c r="P581">
        <v>0.5</v>
      </c>
      <c r="Q581"/>
      <c r="R581">
        <v>0</v>
      </c>
      <c r="S581">
        <v>0</v>
      </c>
      <c r="T581"/>
      <c r="U581"/>
      <c r="V581"/>
      <c r="W581"/>
      <c r="X581">
        <v>0</v>
      </c>
      <c r="Y581"/>
      <c r="Z581">
        <v>0</v>
      </c>
      <c r="AA581"/>
      <c r="AB581"/>
      <c r="AC581"/>
      <c r="AD581"/>
      <c r="AE581">
        <v>0</v>
      </c>
      <c r="AF581"/>
      <c r="AG581"/>
      <c r="AH581"/>
    </row>
    <row r="582" spans="1:34" x14ac:dyDescent="0.25">
      <c r="A582" t="s">
        <v>1945</v>
      </c>
      <c r="B582" t="s">
        <v>1946</v>
      </c>
      <c r="C582"/>
      <c r="D582" t="s">
        <v>370</v>
      </c>
      <c r="E582" t="s">
        <v>1037</v>
      </c>
      <c r="F582" t="s">
        <v>925</v>
      </c>
      <c r="G582" t="s">
        <v>280</v>
      </c>
      <c r="H582" t="s">
        <v>1053</v>
      </c>
      <c r="I582" t="s">
        <v>373</v>
      </c>
      <c r="J582"/>
      <c r="K582">
        <v>1</v>
      </c>
      <c r="L582">
        <v>1</v>
      </c>
      <c r="M582" t="s">
        <v>33</v>
      </c>
      <c r="N582">
        <v>1</v>
      </c>
      <c r="O582">
        <v>0.5</v>
      </c>
      <c r="P582">
        <v>0.5</v>
      </c>
      <c r="Q582"/>
      <c r="R582">
        <v>0</v>
      </c>
      <c r="S582">
        <v>0</v>
      </c>
      <c r="T582"/>
      <c r="U582"/>
      <c r="V582"/>
      <c r="W582"/>
      <c r="X582">
        <v>0</v>
      </c>
      <c r="Y582"/>
      <c r="Z582">
        <v>0</v>
      </c>
      <c r="AA582"/>
      <c r="AB582"/>
      <c r="AC582"/>
      <c r="AD582"/>
      <c r="AE582">
        <v>0</v>
      </c>
      <c r="AF582"/>
      <c r="AG582"/>
      <c r="AH582"/>
    </row>
    <row r="583" spans="1:34" x14ac:dyDescent="0.25">
      <c r="A583" t="s">
        <v>3438</v>
      </c>
      <c r="B583" t="s">
        <v>3439</v>
      </c>
      <c r="C583"/>
      <c r="D583" t="s">
        <v>370</v>
      </c>
      <c r="E583" t="s">
        <v>1037</v>
      </c>
      <c r="F583" t="s">
        <v>925</v>
      </c>
      <c r="G583" t="s">
        <v>280</v>
      </c>
      <c r="H583" t="s">
        <v>1053</v>
      </c>
      <c r="I583" t="s">
        <v>373</v>
      </c>
      <c r="J583"/>
      <c r="K583">
        <v>1</v>
      </c>
      <c r="L583">
        <v>1</v>
      </c>
      <c r="M583" t="s">
        <v>33</v>
      </c>
      <c r="N583">
        <v>1</v>
      </c>
      <c r="O583">
        <v>0.5</v>
      </c>
      <c r="P583">
        <v>0.5</v>
      </c>
      <c r="Q583"/>
      <c r="R583">
        <v>0</v>
      </c>
      <c r="S583">
        <v>0</v>
      </c>
      <c r="T583"/>
      <c r="U583"/>
      <c r="V583"/>
      <c r="W583"/>
      <c r="X583">
        <v>0</v>
      </c>
      <c r="Y583"/>
      <c r="Z583">
        <v>0</v>
      </c>
      <c r="AA583"/>
      <c r="AB583"/>
      <c r="AC583"/>
      <c r="AD583"/>
      <c r="AE583">
        <v>0</v>
      </c>
      <c r="AF583"/>
      <c r="AG583"/>
      <c r="AH583"/>
    </row>
    <row r="584" spans="1:34" x14ac:dyDescent="0.25">
      <c r="A584" t="s">
        <v>1945</v>
      </c>
      <c r="B584" t="s">
        <v>1946</v>
      </c>
      <c r="C584"/>
      <c r="D584" t="s">
        <v>370</v>
      </c>
      <c r="E584" t="s">
        <v>1037</v>
      </c>
      <c r="F584" t="s">
        <v>927</v>
      </c>
      <c r="G584" t="s">
        <v>280</v>
      </c>
      <c r="H584" t="s">
        <v>1054</v>
      </c>
      <c r="I584" t="s">
        <v>373</v>
      </c>
      <c r="J584"/>
      <c r="K584">
        <v>1</v>
      </c>
      <c r="L584">
        <v>1</v>
      </c>
      <c r="M584" t="s">
        <v>33</v>
      </c>
      <c r="N584">
        <v>1</v>
      </c>
      <c r="O584">
        <v>0.5</v>
      </c>
      <c r="P584">
        <v>0.5</v>
      </c>
      <c r="Q584"/>
      <c r="R584">
        <v>0</v>
      </c>
      <c r="S584">
        <v>0</v>
      </c>
      <c r="T584"/>
      <c r="U584"/>
      <c r="V584"/>
      <c r="W584"/>
      <c r="X584">
        <v>0</v>
      </c>
      <c r="Y584"/>
      <c r="Z584">
        <v>0</v>
      </c>
      <c r="AA584"/>
      <c r="AB584"/>
      <c r="AC584"/>
      <c r="AD584"/>
      <c r="AE584">
        <v>0</v>
      </c>
      <c r="AF584"/>
      <c r="AG584"/>
      <c r="AH584"/>
    </row>
    <row r="585" spans="1:34" x14ac:dyDescent="0.25">
      <c r="A585" t="s">
        <v>3438</v>
      </c>
      <c r="B585" t="s">
        <v>3439</v>
      </c>
      <c r="C585"/>
      <c r="D585" t="s">
        <v>370</v>
      </c>
      <c r="E585" t="s">
        <v>1037</v>
      </c>
      <c r="F585" t="s">
        <v>927</v>
      </c>
      <c r="G585" t="s">
        <v>280</v>
      </c>
      <c r="H585" t="s">
        <v>1054</v>
      </c>
      <c r="I585" t="s">
        <v>373</v>
      </c>
      <c r="J585"/>
      <c r="K585">
        <v>1</v>
      </c>
      <c r="L585">
        <v>1</v>
      </c>
      <c r="M585" t="s">
        <v>33</v>
      </c>
      <c r="N585">
        <v>1</v>
      </c>
      <c r="O585">
        <v>0.5</v>
      </c>
      <c r="P585">
        <v>0.5</v>
      </c>
      <c r="Q585"/>
      <c r="R585">
        <v>0</v>
      </c>
      <c r="S585">
        <v>0</v>
      </c>
      <c r="T585"/>
      <c r="U585"/>
      <c r="V585"/>
      <c r="W585"/>
      <c r="X585">
        <v>0</v>
      </c>
      <c r="Y585"/>
      <c r="Z585">
        <v>0</v>
      </c>
      <c r="AA585"/>
      <c r="AB585"/>
      <c r="AC585"/>
      <c r="AD585"/>
      <c r="AE585">
        <v>0</v>
      </c>
      <c r="AF585"/>
      <c r="AG585"/>
      <c r="AH585"/>
    </row>
    <row r="586" spans="1:34" x14ac:dyDescent="0.25">
      <c r="A586" t="s">
        <v>1945</v>
      </c>
      <c r="B586" t="s">
        <v>1946</v>
      </c>
      <c r="C586"/>
      <c r="D586" t="s">
        <v>370</v>
      </c>
      <c r="E586" t="s">
        <v>1037</v>
      </c>
      <c r="F586" t="s">
        <v>929</v>
      </c>
      <c r="G586" t="s">
        <v>280</v>
      </c>
      <c r="H586" t="s">
        <v>1055</v>
      </c>
      <c r="I586" t="s">
        <v>373</v>
      </c>
      <c r="J586"/>
      <c r="K586">
        <v>1</v>
      </c>
      <c r="L586">
        <v>1</v>
      </c>
      <c r="M586" t="s">
        <v>33</v>
      </c>
      <c r="N586">
        <v>1</v>
      </c>
      <c r="O586">
        <v>0.5</v>
      </c>
      <c r="P586">
        <v>0.5</v>
      </c>
      <c r="Q586"/>
      <c r="R586">
        <v>0</v>
      </c>
      <c r="S586">
        <v>0</v>
      </c>
      <c r="T586"/>
      <c r="U586"/>
      <c r="V586"/>
      <c r="W586"/>
      <c r="X586">
        <v>0</v>
      </c>
      <c r="Y586"/>
      <c r="Z586">
        <v>0</v>
      </c>
      <c r="AA586"/>
      <c r="AB586"/>
      <c r="AC586"/>
      <c r="AD586"/>
      <c r="AE586">
        <v>0</v>
      </c>
      <c r="AF586"/>
      <c r="AG586"/>
      <c r="AH586"/>
    </row>
    <row r="587" spans="1:34" hidden="1" x14ac:dyDescent="0.25">
      <c r="A587" t="s">
        <v>3438</v>
      </c>
      <c r="B587" t="s">
        <v>3439</v>
      </c>
      <c r="C587"/>
      <c r="D587" t="s">
        <v>370</v>
      </c>
      <c r="E587" t="s">
        <v>1037</v>
      </c>
      <c r="F587" t="s">
        <v>929</v>
      </c>
      <c r="G587" t="s">
        <v>280</v>
      </c>
      <c r="H587" t="s">
        <v>1055</v>
      </c>
      <c r="I587" t="s">
        <v>373</v>
      </c>
      <c r="J587"/>
      <c r="K587">
        <v>1</v>
      </c>
      <c r="L587">
        <v>1</v>
      </c>
      <c r="M587" t="s">
        <v>33</v>
      </c>
      <c r="N587">
        <v>1</v>
      </c>
      <c r="O587">
        <v>0.5</v>
      </c>
      <c r="P587">
        <v>0.5</v>
      </c>
      <c r="Q587"/>
      <c r="R587">
        <v>0</v>
      </c>
      <c r="S587">
        <v>0</v>
      </c>
      <c r="T587"/>
      <c r="U587"/>
      <c r="V587"/>
      <c r="W587"/>
      <c r="X587">
        <v>0</v>
      </c>
      <c r="Y587"/>
      <c r="Z587">
        <v>0</v>
      </c>
      <c r="AA587"/>
      <c r="AB587"/>
      <c r="AC587"/>
      <c r="AD587"/>
      <c r="AE587">
        <v>0</v>
      </c>
      <c r="AF587"/>
      <c r="AG587"/>
      <c r="AH587"/>
    </row>
    <row r="588" spans="1:34" x14ac:dyDescent="0.25">
      <c r="A588" t="s">
        <v>1945</v>
      </c>
      <c r="B588" t="s">
        <v>1946</v>
      </c>
      <c r="C588"/>
      <c r="D588" t="s">
        <v>370</v>
      </c>
      <c r="E588" t="s">
        <v>1037</v>
      </c>
      <c r="F588" t="s">
        <v>931</v>
      </c>
      <c r="G588" t="s">
        <v>280</v>
      </c>
      <c r="H588" t="s">
        <v>1056</v>
      </c>
      <c r="I588" t="s">
        <v>373</v>
      </c>
      <c r="J588"/>
      <c r="K588">
        <v>1</v>
      </c>
      <c r="L588">
        <v>1</v>
      </c>
      <c r="M588" t="s">
        <v>33</v>
      </c>
      <c r="N588">
        <v>1</v>
      </c>
      <c r="O588">
        <v>0.5</v>
      </c>
      <c r="P588">
        <v>0.5</v>
      </c>
      <c r="Q588"/>
      <c r="R588">
        <v>0</v>
      </c>
      <c r="S588">
        <v>0</v>
      </c>
      <c r="T588"/>
      <c r="U588"/>
      <c r="V588"/>
      <c r="W588"/>
      <c r="X588">
        <v>0</v>
      </c>
      <c r="Y588"/>
      <c r="Z588">
        <v>0</v>
      </c>
      <c r="AA588"/>
      <c r="AB588"/>
      <c r="AC588"/>
      <c r="AD588"/>
      <c r="AE588">
        <v>0</v>
      </c>
      <c r="AF588"/>
      <c r="AG588"/>
      <c r="AH588"/>
    </row>
    <row r="589" spans="1:34" x14ac:dyDescent="0.25">
      <c r="A589" t="s">
        <v>3438</v>
      </c>
      <c r="B589" t="s">
        <v>3439</v>
      </c>
      <c r="C589"/>
      <c r="D589" t="s">
        <v>370</v>
      </c>
      <c r="E589" t="s">
        <v>1037</v>
      </c>
      <c r="F589" t="s">
        <v>931</v>
      </c>
      <c r="G589" t="s">
        <v>280</v>
      </c>
      <c r="H589" t="s">
        <v>1056</v>
      </c>
      <c r="I589" t="s">
        <v>373</v>
      </c>
      <c r="J589"/>
      <c r="K589">
        <v>1</v>
      </c>
      <c r="L589">
        <v>1</v>
      </c>
      <c r="M589" t="s">
        <v>33</v>
      </c>
      <c r="N589">
        <v>1</v>
      </c>
      <c r="O589">
        <v>0.5</v>
      </c>
      <c r="P589">
        <v>0.5</v>
      </c>
      <c r="Q589"/>
      <c r="R589">
        <v>0</v>
      </c>
      <c r="S589">
        <v>0</v>
      </c>
      <c r="T589"/>
      <c r="U589"/>
      <c r="V589"/>
      <c r="W589"/>
      <c r="X589">
        <v>0</v>
      </c>
      <c r="Y589"/>
      <c r="Z589">
        <v>0</v>
      </c>
      <c r="AA589"/>
      <c r="AB589"/>
      <c r="AC589"/>
      <c r="AD589"/>
      <c r="AE589">
        <v>0</v>
      </c>
      <c r="AF589"/>
      <c r="AG589"/>
      <c r="AH589"/>
    </row>
    <row r="590" spans="1:34" x14ac:dyDescent="0.25">
      <c r="A590" t="s">
        <v>1945</v>
      </c>
      <c r="B590" t="s">
        <v>1946</v>
      </c>
      <c r="C590"/>
      <c r="D590" t="s">
        <v>370</v>
      </c>
      <c r="E590" t="s">
        <v>1037</v>
      </c>
      <c r="F590" t="s">
        <v>933</v>
      </c>
      <c r="G590" t="s">
        <v>280</v>
      </c>
      <c r="H590" t="s">
        <v>1057</v>
      </c>
      <c r="I590" t="s">
        <v>373</v>
      </c>
      <c r="J590"/>
      <c r="K590">
        <v>1</v>
      </c>
      <c r="L590">
        <v>1</v>
      </c>
      <c r="M590" t="s">
        <v>33</v>
      </c>
      <c r="N590">
        <v>1</v>
      </c>
      <c r="O590">
        <v>0.5</v>
      </c>
      <c r="P590">
        <v>0.5</v>
      </c>
      <c r="Q590"/>
      <c r="R590">
        <v>0</v>
      </c>
      <c r="S590">
        <v>0</v>
      </c>
      <c r="T590"/>
      <c r="U590"/>
      <c r="V590"/>
      <c r="W590"/>
      <c r="X590">
        <v>0</v>
      </c>
      <c r="Y590"/>
      <c r="Z590">
        <v>0</v>
      </c>
      <c r="AA590"/>
      <c r="AB590"/>
      <c r="AC590"/>
      <c r="AD590"/>
      <c r="AE590">
        <v>0</v>
      </c>
      <c r="AF590"/>
      <c r="AG590"/>
      <c r="AH590"/>
    </row>
    <row r="591" spans="1:34" x14ac:dyDescent="0.25">
      <c r="A591" t="s">
        <v>3438</v>
      </c>
      <c r="B591" t="s">
        <v>3439</v>
      </c>
      <c r="C591"/>
      <c r="D591" t="s">
        <v>370</v>
      </c>
      <c r="E591" t="s">
        <v>1037</v>
      </c>
      <c r="F591" t="s">
        <v>933</v>
      </c>
      <c r="G591" t="s">
        <v>280</v>
      </c>
      <c r="H591" t="s">
        <v>1057</v>
      </c>
      <c r="I591" t="s">
        <v>373</v>
      </c>
      <c r="J591"/>
      <c r="K591">
        <v>1</v>
      </c>
      <c r="L591">
        <v>1</v>
      </c>
      <c r="M591" t="s">
        <v>33</v>
      </c>
      <c r="N591">
        <v>1</v>
      </c>
      <c r="O591">
        <v>0.5</v>
      </c>
      <c r="P591">
        <v>0.5</v>
      </c>
      <c r="Q591"/>
      <c r="R591">
        <v>0</v>
      </c>
      <c r="S591">
        <v>0</v>
      </c>
      <c r="T591"/>
      <c r="U591"/>
      <c r="V591"/>
      <c r="W591"/>
      <c r="X591">
        <v>0</v>
      </c>
      <c r="Y591"/>
      <c r="Z591">
        <v>0</v>
      </c>
      <c r="AA591"/>
      <c r="AB591"/>
      <c r="AC591"/>
      <c r="AD591"/>
      <c r="AE591">
        <v>0</v>
      </c>
      <c r="AF591"/>
      <c r="AG591"/>
      <c r="AH591"/>
    </row>
    <row r="592" spans="1:34" x14ac:dyDescent="0.25">
      <c r="A592" t="s">
        <v>1945</v>
      </c>
      <c r="B592" t="s">
        <v>1946</v>
      </c>
      <c r="C592"/>
      <c r="D592" t="s">
        <v>370</v>
      </c>
      <c r="E592" t="s">
        <v>1037</v>
      </c>
      <c r="F592" t="s">
        <v>935</v>
      </c>
      <c r="G592" t="s">
        <v>280</v>
      </c>
      <c r="H592" t="s">
        <v>1058</v>
      </c>
      <c r="I592" t="s">
        <v>373</v>
      </c>
      <c r="J592"/>
      <c r="K592">
        <v>1</v>
      </c>
      <c r="L592">
        <v>1</v>
      </c>
      <c r="M592" t="s">
        <v>33</v>
      </c>
      <c r="N592">
        <v>1</v>
      </c>
      <c r="O592">
        <v>0.5</v>
      </c>
      <c r="P592">
        <v>0.5</v>
      </c>
      <c r="Q592"/>
      <c r="R592">
        <v>0</v>
      </c>
      <c r="S592">
        <v>0</v>
      </c>
      <c r="T592"/>
      <c r="U592"/>
      <c r="V592"/>
      <c r="W592"/>
      <c r="X592">
        <v>0</v>
      </c>
      <c r="Y592"/>
      <c r="Z592">
        <v>0</v>
      </c>
      <c r="AA592"/>
      <c r="AB592"/>
      <c r="AC592"/>
      <c r="AD592"/>
      <c r="AE592">
        <v>0</v>
      </c>
      <c r="AF592"/>
      <c r="AG592"/>
      <c r="AH592"/>
    </row>
    <row r="593" spans="1:34" x14ac:dyDescent="0.25">
      <c r="A593" t="s">
        <v>3438</v>
      </c>
      <c r="B593" t="s">
        <v>3439</v>
      </c>
      <c r="C593"/>
      <c r="D593" t="s">
        <v>370</v>
      </c>
      <c r="E593" t="s">
        <v>1037</v>
      </c>
      <c r="F593" t="s">
        <v>935</v>
      </c>
      <c r="G593" t="s">
        <v>280</v>
      </c>
      <c r="H593" t="s">
        <v>1058</v>
      </c>
      <c r="I593" t="s">
        <v>373</v>
      </c>
      <c r="J593"/>
      <c r="K593">
        <v>1</v>
      </c>
      <c r="L593">
        <v>1</v>
      </c>
      <c r="M593" t="s">
        <v>33</v>
      </c>
      <c r="N593">
        <v>1</v>
      </c>
      <c r="O593">
        <v>0.5</v>
      </c>
      <c r="P593">
        <v>0.5</v>
      </c>
      <c r="Q593"/>
      <c r="R593">
        <v>0</v>
      </c>
      <c r="S593">
        <v>0</v>
      </c>
      <c r="T593"/>
      <c r="U593"/>
      <c r="V593"/>
      <c r="W593"/>
      <c r="X593">
        <v>0</v>
      </c>
      <c r="Y593"/>
      <c r="Z593">
        <v>0</v>
      </c>
      <c r="AA593"/>
      <c r="AB593"/>
      <c r="AC593"/>
      <c r="AD593"/>
      <c r="AE593">
        <v>0</v>
      </c>
      <c r="AF593"/>
      <c r="AG593"/>
      <c r="AH593"/>
    </row>
    <row r="594" spans="1:34" x14ac:dyDescent="0.25">
      <c r="A594" t="s">
        <v>1945</v>
      </c>
      <c r="B594" t="s">
        <v>1946</v>
      </c>
      <c r="C594"/>
      <c r="D594" t="s">
        <v>370</v>
      </c>
      <c r="E594" t="s">
        <v>1037</v>
      </c>
      <c r="F594" t="s">
        <v>937</v>
      </c>
      <c r="G594" t="s">
        <v>280</v>
      </c>
      <c r="H594" t="s">
        <v>1059</v>
      </c>
      <c r="I594" t="s">
        <v>373</v>
      </c>
      <c r="J594"/>
      <c r="K594">
        <v>1</v>
      </c>
      <c r="L594">
        <v>1</v>
      </c>
      <c r="M594" t="s">
        <v>33</v>
      </c>
      <c r="N594">
        <v>1</v>
      </c>
      <c r="O594">
        <v>0.5</v>
      </c>
      <c r="P594">
        <v>0.5</v>
      </c>
      <c r="Q594"/>
      <c r="R594">
        <v>0</v>
      </c>
      <c r="S594">
        <v>0</v>
      </c>
      <c r="T594"/>
      <c r="U594"/>
      <c r="V594"/>
      <c r="W594"/>
      <c r="X594">
        <v>0</v>
      </c>
      <c r="Y594"/>
      <c r="Z594">
        <v>0</v>
      </c>
      <c r="AA594"/>
      <c r="AB594"/>
      <c r="AC594"/>
      <c r="AD594"/>
      <c r="AE594">
        <v>0</v>
      </c>
      <c r="AF594"/>
      <c r="AG594"/>
      <c r="AH594"/>
    </row>
    <row r="595" spans="1:34" x14ac:dyDescent="0.25">
      <c r="A595" t="s">
        <v>3438</v>
      </c>
      <c r="B595" t="s">
        <v>3439</v>
      </c>
      <c r="C595"/>
      <c r="D595" t="s">
        <v>370</v>
      </c>
      <c r="E595" t="s">
        <v>1037</v>
      </c>
      <c r="F595" t="s">
        <v>937</v>
      </c>
      <c r="G595" t="s">
        <v>280</v>
      </c>
      <c r="H595" t="s">
        <v>1059</v>
      </c>
      <c r="I595" t="s">
        <v>373</v>
      </c>
      <c r="J595"/>
      <c r="K595">
        <v>1</v>
      </c>
      <c r="L595">
        <v>1</v>
      </c>
      <c r="M595" t="s">
        <v>33</v>
      </c>
      <c r="N595">
        <v>1</v>
      </c>
      <c r="O595">
        <v>0.5</v>
      </c>
      <c r="P595">
        <v>0.5</v>
      </c>
      <c r="Q595"/>
      <c r="R595">
        <v>0</v>
      </c>
      <c r="S595">
        <v>0</v>
      </c>
      <c r="T595"/>
      <c r="U595"/>
      <c r="V595"/>
      <c r="W595"/>
      <c r="X595">
        <v>0</v>
      </c>
      <c r="Y595"/>
      <c r="Z595">
        <v>0</v>
      </c>
      <c r="AA595"/>
      <c r="AB595"/>
      <c r="AC595"/>
      <c r="AD595"/>
      <c r="AE595">
        <v>0</v>
      </c>
      <c r="AF595"/>
      <c r="AG595"/>
      <c r="AH595"/>
    </row>
    <row r="596" spans="1:34" x14ac:dyDescent="0.25">
      <c r="A596" t="s">
        <v>1945</v>
      </c>
      <c r="B596" t="s">
        <v>1946</v>
      </c>
      <c r="C596"/>
      <c r="D596" t="s">
        <v>370</v>
      </c>
      <c r="E596" t="s">
        <v>1037</v>
      </c>
      <c r="F596" t="s">
        <v>939</v>
      </c>
      <c r="G596" t="s">
        <v>280</v>
      </c>
      <c r="H596" t="s">
        <v>1060</v>
      </c>
      <c r="I596" t="s">
        <v>373</v>
      </c>
      <c r="J596"/>
      <c r="K596">
        <v>1</v>
      </c>
      <c r="L596">
        <v>1</v>
      </c>
      <c r="M596" t="s">
        <v>33</v>
      </c>
      <c r="N596">
        <v>1</v>
      </c>
      <c r="O596">
        <v>0.5</v>
      </c>
      <c r="P596">
        <v>0.5</v>
      </c>
      <c r="Q596"/>
      <c r="R596">
        <v>0</v>
      </c>
      <c r="S596">
        <v>0</v>
      </c>
      <c r="T596"/>
      <c r="U596"/>
      <c r="V596"/>
      <c r="W596"/>
      <c r="X596">
        <v>0</v>
      </c>
      <c r="Y596"/>
      <c r="Z596">
        <v>0</v>
      </c>
      <c r="AA596"/>
      <c r="AB596"/>
      <c r="AC596"/>
      <c r="AD596"/>
      <c r="AE596">
        <v>0</v>
      </c>
      <c r="AF596"/>
      <c r="AG596"/>
      <c r="AH596"/>
    </row>
    <row r="597" spans="1:34" x14ac:dyDescent="0.25">
      <c r="A597" t="s">
        <v>3438</v>
      </c>
      <c r="B597" t="s">
        <v>3439</v>
      </c>
      <c r="C597"/>
      <c r="D597" t="s">
        <v>370</v>
      </c>
      <c r="E597" t="s">
        <v>1037</v>
      </c>
      <c r="F597" t="s">
        <v>939</v>
      </c>
      <c r="G597" t="s">
        <v>280</v>
      </c>
      <c r="H597" t="s">
        <v>1060</v>
      </c>
      <c r="I597" t="s">
        <v>373</v>
      </c>
      <c r="J597"/>
      <c r="K597">
        <v>1</v>
      </c>
      <c r="L597">
        <v>1</v>
      </c>
      <c r="M597" t="s">
        <v>33</v>
      </c>
      <c r="N597">
        <v>1</v>
      </c>
      <c r="O597">
        <v>0.5</v>
      </c>
      <c r="P597">
        <v>0.5</v>
      </c>
      <c r="Q597"/>
      <c r="R597">
        <v>0</v>
      </c>
      <c r="S597">
        <v>0</v>
      </c>
      <c r="T597"/>
      <c r="U597"/>
      <c r="V597"/>
      <c r="W597"/>
      <c r="X597">
        <v>0</v>
      </c>
      <c r="Y597"/>
      <c r="Z597">
        <v>0</v>
      </c>
      <c r="AA597"/>
      <c r="AB597"/>
      <c r="AC597"/>
      <c r="AD597"/>
      <c r="AE597">
        <v>0</v>
      </c>
      <c r="AF597"/>
      <c r="AG597"/>
      <c r="AH597"/>
    </row>
    <row r="598" spans="1:34" x14ac:dyDescent="0.25">
      <c r="A598" t="s">
        <v>1945</v>
      </c>
      <c r="B598" t="s">
        <v>1946</v>
      </c>
      <c r="C598"/>
      <c r="D598" t="s">
        <v>370</v>
      </c>
      <c r="E598" t="s">
        <v>1037</v>
      </c>
      <c r="F598" t="s">
        <v>941</v>
      </c>
      <c r="G598" t="s">
        <v>280</v>
      </c>
      <c r="H598" t="s">
        <v>1061</v>
      </c>
      <c r="I598" t="s">
        <v>373</v>
      </c>
      <c r="J598"/>
      <c r="K598">
        <v>1</v>
      </c>
      <c r="L598">
        <v>1</v>
      </c>
      <c r="M598" t="s">
        <v>33</v>
      </c>
      <c r="N598">
        <v>1</v>
      </c>
      <c r="O598">
        <v>0.5</v>
      </c>
      <c r="P598">
        <v>0.5</v>
      </c>
      <c r="Q598"/>
      <c r="R598">
        <v>0</v>
      </c>
      <c r="S598">
        <v>0</v>
      </c>
      <c r="T598"/>
      <c r="U598"/>
      <c r="V598"/>
      <c r="W598"/>
      <c r="X598">
        <v>0</v>
      </c>
      <c r="Y598"/>
      <c r="Z598">
        <v>0</v>
      </c>
      <c r="AA598"/>
      <c r="AB598"/>
      <c r="AC598"/>
      <c r="AD598"/>
      <c r="AE598">
        <v>0</v>
      </c>
      <c r="AF598"/>
      <c r="AG598"/>
      <c r="AH598"/>
    </row>
    <row r="599" spans="1:34" x14ac:dyDescent="0.25">
      <c r="A599" t="s">
        <v>3438</v>
      </c>
      <c r="B599" t="s">
        <v>3439</v>
      </c>
      <c r="C599"/>
      <c r="D599" t="s">
        <v>370</v>
      </c>
      <c r="E599" t="s">
        <v>1037</v>
      </c>
      <c r="F599" t="s">
        <v>941</v>
      </c>
      <c r="G599" t="s">
        <v>280</v>
      </c>
      <c r="H599" t="s">
        <v>1061</v>
      </c>
      <c r="I599" t="s">
        <v>373</v>
      </c>
      <c r="J599"/>
      <c r="K599">
        <v>1</v>
      </c>
      <c r="L599">
        <v>1</v>
      </c>
      <c r="M599" t="s">
        <v>33</v>
      </c>
      <c r="N599">
        <v>1</v>
      </c>
      <c r="O599">
        <v>0.5</v>
      </c>
      <c r="P599">
        <v>0.5</v>
      </c>
      <c r="Q599"/>
      <c r="R599">
        <v>0</v>
      </c>
      <c r="S599">
        <v>0</v>
      </c>
      <c r="T599"/>
      <c r="U599"/>
      <c r="V599"/>
      <c r="W599"/>
      <c r="X599">
        <v>0</v>
      </c>
      <c r="Y599"/>
      <c r="Z599">
        <v>0</v>
      </c>
      <c r="AA599"/>
      <c r="AB599"/>
      <c r="AC599"/>
      <c r="AD599"/>
      <c r="AE599">
        <v>0</v>
      </c>
      <c r="AF599"/>
      <c r="AG599"/>
      <c r="AH599"/>
    </row>
    <row r="600" spans="1:34" x14ac:dyDescent="0.25">
      <c r="A600" t="s">
        <v>1945</v>
      </c>
      <c r="B600" t="s">
        <v>1946</v>
      </c>
      <c r="C600"/>
      <c r="D600" t="s">
        <v>370</v>
      </c>
      <c r="E600" t="s">
        <v>1037</v>
      </c>
      <c r="F600" t="s">
        <v>943</v>
      </c>
      <c r="G600" t="s">
        <v>280</v>
      </c>
      <c r="H600" t="s">
        <v>1062</v>
      </c>
      <c r="I600" t="s">
        <v>373</v>
      </c>
      <c r="J600"/>
      <c r="K600">
        <v>1</v>
      </c>
      <c r="L600">
        <v>1</v>
      </c>
      <c r="M600" t="s">
        <v>33</v>
      </c>
      <c r="N600">
        <v>1</v>
      </c>
      <c r="O600">
        <v>0.5</v>
      </c>
      <c r="P600">
        <v>0.5</v>
      </c>
      <c r="Q600"/>
      <c r="R600">
        <v>0</v>
      </c>
      <c r="S600">
        <v>0</v>
      </c>
      <c r="T600"/>
      <c r="U600"/>
      <c r="V600"/>
      <c r="W600"/>
      <c r="X600">
        <v>0</v>
      </c>
      <c r="Y600"/>
      <c r="Z600">
        <v>0</v>
      </c>
      <c r="AA600"/>
      <c r="AB600"/>
      <c r="AC600"/>
      <c r="AD600"/>
      <c r="AE600">
        <v>0</v>
      </c>
      <c r="AF600"/>
      <c r="AG600"/>
      <c r="AH600"/>
    </row>
    <row r="601" spans="1:34" x14ac:dyDescent="0.25">
      <c r="A601" t="s">
        <v>3438</v>
      </c>
      <c r="B601" t="s">
        <v>3439</v>
      </c>
      <c r="C601"/>
      <c r="D601" t="s">
        <v>370</v>
      </c>
      <c r="E601" t="s">
        <v>1037</v>
      </c>
      <c r="F601" t="s">
        <v>943</v>
      </c>
      <c r="G601" t="s">
        <v>280</v>
      </c>
      <c r="H601" t="s">
        <v>1062</v>
      </c>
      <c r="I601" t="s">
        <v>373</v>
      </c>
      <c r="J601"/>
      <c r="K601">
        <v>1</v>
      </c>
      <c r="L601">
        <v>1</v>
      </c>
      <c r="M601" t="s">
        <v>33</v>
      </c>
      <c r="N601">
        <v>1</v>
      </c>
      <c r="O601">
        <v>0.5</v>
      </c>
      <c r="P601">
        <v>0.5</v>
      </c>
      <c r="Q601"/>
      <c r="R601">
        <v>0</v>
      </c>
      <c r="S601">
        <v>0</v>
      </c>
      <c r="T601"/>
      <c r="U601"/>
      <c r="V601"/>
      <c r="W601"/>
      <c r="X601">
        <v>0</v>
      </c>
      <c r="Y601"/>
      <c r="Z601">
        <v>0</v>
      </c>
      <c r="AA601"/>
      <c r="AB601"/>
      <c r="AC601"/>
      <c r="AD601"/>
      <c r="AE601">
        <v>0</v>
      </c>
      <c r="AF601"/>
      <c r="AG601"/>
      <c r="AH601"/>
    </row>
    <row r="602" spans="1:34" x14ac:dyDescent="0.25">
      <c r="A602" t="s">
        <v>1945</v>
      </c>
      <c r="B602" t="s">
        <v>1946</v>
      </c>
      <c r="C602"/>
      <c r="D602" t="s">
        <v>370</v>
      </c>
      <c r="E602" t="s">
        <v>1037</v>
      </c>
      <c r="F602" t="s">
        <v>1063</v>
      </c>
      <c r="G602" t="s">
        <v>280</v>
      </c>
      <c r="H602" t="s">
        <v>1064</v>
      </c>
      <c r="I602" t="s">
        <v>373</v>
      </c>
      <c r="J602"/>
      <c r="K602">
        <v>1</v>
      </c>
      <c r="L602">
        <v>1</v>
      </c>
      <c r="M602" t="s">
        <v>33</v>
      </c>
      <c r="N602">
        <v>1</v>
      </c>
      <c r="O602">
        <v>0.5</v>
      </c>
      <c r="P602">
        <v>0.5</v>
      </c>
      <c r="Q602"/>
      <c r="R602">
        <v>0</v>
      </c>
      <c r="S602">
        <v>0</v>
      </c>
      <c r="T602"/>
      <c r="U602"/>
      <c r="V602"/>
      <c r="W602"/>
      <c r="X602">
        <v>0</v>
      </c>
      <c r="Y602"/>
      <c r="Z602">
        <v>0</v>
      </c>
      <c r="AA602"/>
      <c r="AB602"/>
      <c r="AC602"/>
      <c r="AD602"/>
      <c r="AE602">
        <v>0</v>
      </c>
      <c r="AF602"/>
      <c r="AG602"/>
      <c r="AH602"/>
    </row>
    <row r="603" spans="1:34" x14ac:dyDescent="0.25">
      <c r="A603" t="s">
        <v>3438</v>
      </c>
      <c r="B603" t="s">
        <v>3439</v>
      </c>
      <c r="C603"/>
      <c r="D603" t="s">
        <v>370</v>
      </c>
      <c r="E603" t="s">
        <v>1037</v>
      </c>
      <c r="F603" t="s">
        <v>1063</v>
      </c>
      <c r="G603" t="s">
        <v>280</v>
      </c>
      <c r="H603" t="s">
        <v>1064</v>
      </c>
      <c r="I603" t="s">
        <v>373</v>
      </c>
      <c r="J603"/>
      <c r="K603">
        <v>1</v>
      </c>
      <c r="L603">
        <v>1</v>
      </c>
      <c r="M603" t="s">
        <v>33</v>
      </c>
      <c r="N603">
        <v>1</v>
      </c>
      <c r="O603">
        <v>0.5</v>
      </c>
      <c r="P603">
        <v>0.5</v>
      </c>
      <c r="Q603"/>
      <c r="R603">
        <v>0</v>
      </c>
      <c r="S603">
        <v>0</v>
      </c>
      <c r="T603"/>
      <c r="U603"/>
      <c r="V603"/>
      <c r="W603"/>
      <c r="X603">
        <v>0</v>
      </c>
      <c r="Y603"/>
      <c r="Z603">
        <v>0</v>
      </c>
      <c r="AA603"/>
      <c r="AB603"/>
      <c r="AC603"/>
      <c r="AD603"/>
      <c r="AE603">
        <v>0</v>
      </c>
      <c r="AF603"/>
      <c r="AG603"/>
      <c r="AH603"/>
    </row>
    <row r="604" spans="1:34" x14ac:dyDescent="0.25">
      <c r="A604" t="s">
        <v>1945</v>
      </c>
      <c r="B604" t="s">
        <v>1946</v>
      </c>
      <c r="C604"/>
      <c r="D604" t="s">
        <v>370</v>
      </c>
      <c r="E604" t="s">
        <v>1037</v>
      </c>
      <c r="F604" t="s">
        <v>1065</v>
      </c>
      <c r="G604" t="s">
        <v>280</v>
      </c>
      <c r="H604" t="s">
        <v>1066</v>
      </c>
      <c r="I604" t="s">
        <v>373</v>
      </c>
      <c r="J604"/>
      <c r="K604">
        <v>1</v>
      </c>
      <c r="L604">
        <v>1</v>
      </c>
      <c r="M604" t="s">
        <v>33</v>
      </c>
      <c r="N604">
        <v>1</v>
      </c>
      <c r="O604">
        <v>0.5</v>
      </c>
      <c r="P604">
        <v>0.5</v>
      </c>
      <c r="Q604"/>
      <c r="R604">
        <v>0</v>
      </c>
      <c r="S604">
        <v>0</v>
      </c>
      <c r="T604"/>
      <c r="U604"/>
      <c r="V604"/>
      <c r="W604"/>
      <c r="X604">
        <v>0</v>
      </c>
      <c r="Y604"/>
      <c r="Z604">
        <v>0</v>
      </c>
      <c r="AA604"/>
      <c r="AB604"/>
      <c r="AC604"/>
      <c r="AD604"/>
      <c r="AE604">
        <v>0</v>
      </c>
      <c r="AF604"/>
      <c r="AG604"/>
      <c r="AH604"/>
    </row>
    <row r="605" spans="1:34" x14ac:dyDescent="0.25">
      <c r="A605" t="s">
        <v>3438</v>
      </c>
      <c r="B605" t="s">
        <v>3439</v>
      </c>
      <c r="C605"/>
      <c r="D605" t="s">
        <v>370</v>
      </c>
      <c r="E605" t="s">
        <v>1037</v>
      </c>
      <c r="F605" t="s">
        <v>1065</v>
      </c>
      <c r="G605" t="s">
        <v>280</v>
      </c>
      <c r="H605" t="s">
        <v>1066</v>
      </c>
      <c r="I605" t="s">
        <v>373</v>
      </c>
      <c r="J605"/>
      <c r="K605">
        <v>1</v>
      </c>
      <c r="L605">
        <v>1</v>
      </c>
      <c r="M605" t="s">
        <v>33</v>
      </c>
      <c r="N605">
        <v>1</v>
      </c>
      <c r="O605">
        <v>0.5</v>
      </c>
      <c r="P605">
        <v>0.5</v>
      </c>
      <c r="Q605"/>
      <c r="R605">
        <v>0</v>
      </c>
      <c r="S605">
        <v>0</v>
      </c>
      <c r="T605"/>
      <c r="U605"/>
      <c r="V605"/>
      <c r="W605"/>
      <c r="X605">
        <v>0</v>
      </c>
      <c r="Y605"/>
      <c r="Z605">
        <v>0</v>
      </c>
      <c r="AA605"/>
      <c r="AB605"/>
      <c r="AC605"/>
      <c r="AD605"/>
      <c r="AE605">
        <v>0</v>
      </c>
      <c r="AF605"/>
      <c r="AG605"/>
      <c r="AH605"/>
    </row>
    <row r="606" spans="1:34" x14ac:dyDescent="0.25">
      <c r="A606" t="s">
        <v>1945</v>
      </c>
      <c r="B606" t="s">
        <v>1946</v>
      </c>
      <c r="C606"/>
      <c r="D606" t="s">
        <v>370</v>
      </c>
      <c r="E606" t="s">
        <v>1037</v>
      </c>
      <c r="F606" t="s">
        <v>1067</v>
      </c>
      <c r="G606" t="s">
        <v>280</v>
      </c>
      <c r="H606" t="s">
        <v>1068</v>
      </c>
      <c r="I606" t="s">
        <v>373</v>
      </c>
      <c r="J606"/>
      <c r="K606">
        <v>1</v>
      </c>
      <c r="L606">
        <v>1</v>
      </c>
      <c r="M606" t="s">
        <v>33</v>
      </c>
      <c r="N606">
        <v>1</v>
      </c>
      <c r="O606">
        <v>0.5</v>
      </c>
      <c r="P606">
        <v>0.5</v>
      </c>
      <c r="Q606"/>
      <c r="R606">
        <v>0</v>
      </c>
      <c r="S606">
        <v>0</v>
      </c>
      <c r="T606"/>
      <c r="U606"/>
      <c r="V606"/>
      <c r="W606"/>
      <c r="X606">
        <v>0</v>
      </c>
      <c r="Y606"/>
      <c r="Z606">
        <v>0</v>
      </c>
      <c r="AA606"/>
      <c r="AB606"/>
      <c r="AC606"/>
      <c r="AD606"/>
      <c r="AE606">
        <v>0</v>
      </c>
      <c r="AF606"/>
      <c r="AG606"/>
      <c r="AH606"/>
    </row>
    <row r="607" spans="1:34" x14ac:dyDescent="0.25">
      <c r="A607" t="s">
        <v>3438</v>
      </c>
      <c r="B607" t="s">
        <v>3439</v>
      </c>
      <c r="C607"/>
      <c r="D607" t="s">
        <v>370</v>
      </c>
      <c r="E607" t="s">
        <v>1037</v>
      </c>
      <c r="F607" t="s">
        <v>1067</v>
      </c>
      <c r="G607" t="s">
        <v>280</v>
      </c>
      <c r="H607" t="s">
        <v>1068</v>
      </c>
      <c r="I607" t="s">
        <v>373</v>
      </c>
      <c r="J607"/>
      <c r="K607">
        <v>1</v>
      </c>
      <c r="L607">
        <v>1</v>
      </c>
      <c r="M607" t="s">
        <v>33</v>
      </c>
      <c r="N607">
        <v>1</v>
      </c>
      <c r="O607">
        <v>0.5</v>
      </c>
      <c r="P607">
        <v>0.5</v>
      </c>
      <c r="Q607"/>
      <c r="R607">
        <v>0</v>
      </c>
      <c r="S607">
        <v>0</v>
      </c>
      <c r="T607"/>
      <c r="U607"/>
      <c r="V607"/>
      <c r="W607"/>
      <c r="X607">
        <v>0</v>
      </c>
      <c r="Y607"/>
      <c r="Z607">
        <v>0</v>
      </c>
      <c r="AA607"/>
      <c r="AB607"/>
      <c r="AC607"/>
      <c r="AD607"/>
      <c r="AE607">
        <v>0</v>
      </c>
      <c r="AF607"/>
      <c r="AG607"/>
      <c r="AH607"/>
    </row>
    <row r="608" spans="1:34" x14ac:dyDescent="0.25">
      <c r="A608" t="s">
        <v>1945</v>
      </c>
      <c r="B608" t="s">
        <v>1946</v>
      </c>
      <c r="C608"/>
      <c r="D608" t="s">
        <v>370</v>
      </c>
      <c r="E608" t="s">
        <v>1037</v>
      </c>
      <c r="F608" t="s">
        <v>1069</v>
      </c>
      <c r="G608" t="s">
        <v>280</v>
      </c>
      <c r="H608" t="s">
        <v>1070</v>
      </c>
      <c r="I608" t="s">
        <v>373</v>
      </c>
      <c r="J608"/>
      <c r="K608">
        <v>1</v>
      </c>
      <c r="L608">
        <v>1</v>
      </c>
      <c r="M608" t="s">
        <v>33</v>
      </c>
      <c r="N608">
        <v>1</v>
      </c>
      <c r="O608">
        <v>0.5</v>
      </c>
      <c r="P608">
        <v>0.5</v>
      </c>
      <c r="Q608"/>
      <c r="R608">
        <v>0</v>
      </c>
      <c r="S608">
        <v>0</v>
      </c>
      <c r="T608"/>
      <c r="U608"/>
      <c r="V608"/>
      <c r="W608"/>
      <c r="X608">
        <v>0</v>
      </c>
      <c r="Y608"/>
      <c r="Z608">
        <v>0</v>
      </c>
      <c r="AA608"/>
      <c r="AB608"/>
      <c r="AC608"/>
      <c r="AD608"/>
      <c r="AE608">
        <v>0</v>
      </c>
      <c r="AF608"/>
      <c r="AG608"/>
      <c r="AH608"/>
    </row>
    <row r="609" spans="1:34" x14ac:dyDescent="0.25">
      <c r="A609" t="s">
        <v>3438</v>
      </c>
      <c r="B609" t="s">
        <v>3439</v>
      </c>
      <c r="C609"/>
      <c r="D609" t="s">
        <v>370</v>
      </c>
      <c r="E609" t="s">
        <v>1037</v>
      </c>
      <c r="F609" t="s">
        <v>1069</v>
      </c>
      <c r="G609" t="s">
        <v>280</v>
      </c>
      <c r="H609" t="s">
        <v>1070</v>
      </c>
      <c r="I609" t="s">
        <v>373</v>
      </c>
      <c r="J609"/>
      <c r="K609">
        <v>1</v>
      </c>
      <c r="L609">
        <v>1</v>
      </c>
      <c r="M609" t="s">
        <v>33</v>
      </c>
      <c r="N609">
        <v>1</v>
      </c>
      <c r="O609">
        <v>0.5</v>
      </c>
      <c r="P609">
        <v>0.5</v>
      </c>
      <c r="Q609"/>
      <c r="R609">
        <v>0</v>
      </c>
      <c r="S609">
        <v>0</v>
      </c>
      <c r="T609"/>
      <c r="U609"/>
      <c r="V609"/>
      <c r="W609"/>
      <c r="X609">
        <v>0</v>
      </c>
      <c r="Y609"/>
      <c r="Z609">
        <v>0</v>
      </c>
      <c r="AA609"/>
      <c r="AB609"/>
      <c r="AC609"/>
      <c r="AD609"/>
      <c r="AE609">
        <v>0</v>
      </c>
      <c r="AF609"/>
      <c r="AG609"/>
      <c r="AH609"/>
    </row>
    <row r="610" spans="1:34" x14ac:dyDescent="0.25">
      <c r="A610" t="s">
        <v>1945</v>
      </c>
      <c r="B610" t="s">
        <v>1946</v>
      </c>
      <c r="C610"/>
      <c r="D610" t="s">
        <v>370</v>
      </c>
      <c r="E610" t="s">
        <v>1037</v>
      </c>
      <c r="F610" t="s">
        <v>1071</v>
      </c>
      <c r="G610" t="s">
        <v>280</v>
      </c>
      <c r="H610" t="s">
        <v>1072</v>
      </c>
      <c r="I610" t="s">
        <v>373</v>
      </c>
      <c r="J610"/>
      <c r="K610">
        <v>1</v>
      </c>
      <c r="L610">
        <v>1</v>
      </c>
      <c r="M610" t="s">
        <v>33</v>
      </c>
      <c r="N610">
        <v>1</v>
      </c>
      <c r="O610">
        <v>0.5</v>
      </c>
      <c r="P610">
        <v>0.5</v>
      </c>
      <c r="Q610"/>
      <c r="R610">
        <v>0</v>
      </c>
      <c r="S610">
        <v>0</v>
      </c>
      <c r="T610"/>
      <c r="U610"/>
      <c r="V610"/>
      <c r="W610"/>
      <c r="X610">
        <v>0</v>
      </c>
      <c r="Y610"/>
      <c r="Z610">
        <v>0</v>
      </c>
      <c r="AA610"/>
      <c r="AB610"/>
      <c r="AC610"/>
      <c r="AD610"/>
      <c r="AE610">
        <v>0</v>
      </c>
      <c r="AF610"/>
      <c r="AG610"/>
      <c r="AH610"/>
    </row>
    <row r="611" spans="1:34" x14ac:dyDescent="0.25">
      <c r="A611" t="s">
        <v>3438</v>
      </c>
      <c r="B611" t="s">
        <v>3439</v>
      </c>
      <c r="C611"/>
      <c r="D611" t="s">
        <v>370</v>
      </c>
      <c r="E611" t="s">
        <v>1037</v>
      </c>
      <c r="F611" t="s">
        <v>1071</v>
      </c>
      <c r="G611" t="s">
        <v>280</v>
      </c>
      <c r="H611" t="s">
        <v>1072</v>
      </c>
      <c r="I611" t="s">
        <v>373</v>
      </c>
      <c r="J611"/>
      <c r="K611">
        <v>1</v>
      </c>
      <c r="L611">
        <v>1</v>
      </c>
      <c r="M611" t="s">
        <v>33</v>
      </c>
      <c r="N611">
        <v>1</v>
      </c>
      <c r="O611">
        <v>0.5</v>
      </c>
      <c r="P611">
        <v>0.5</v>
      </c>
      <c r="Q611"/>
      <c r="R611">
        <v>0</v>
      </c>
      <c r="S611">
        <v>0</v>
      </c>
      <c r="T611"/>
      <c r="U611"/>
      <c r="V611"/>
      <c r="W611"/>
      <c r="X611">
        <v>0</v>
      </c>
      <c r="Y611"/>
      <c r="Z611">
        <v>0</v>
      </c>
      <c r="AA611"/>
      <c r="AB611"/>
      <c r="AC611"/>
      <c r="AD611"/>
      <c r="AE611">
        <v>0</v>
      </c>
      <c r="AF611"/>
      <c r="AG611"/>
      <c r="AH611"/>
    </row>
    <row r="612" spans="1:34" x14ac:dyDescent="0.25">
      <c r="A612" t="s">
        <v>1945</v>
      </c>
      <c r="B612" t="s">
        <v>1946</v>
      </c>
      <c r="C612"/>
      <c r="D612" t="s">
        <v>370</v>
      </c>
      <c r="E612" t="s">
        <v>1037</v>
      </c>
      <c r="F612" t="s">
        <v>1073</v>
      </c>
      <c r="G612" t="s">
        <v>280</v>
      </c>
      <c r="H612" t="s">
        <v>1074</v>
      </c>
      <c r="I612" t="s">
        <v>373</v>
      </c>
      <c r="J612"/>
      <c r="K612">
        <v>1</v>
      </c>
      <c r="L612">
        <v>1</v>
      </c>
      <c r="M612" t="s">
        <v>33</v>
      </c>
      <c r="N612">
        <v>1</v>
      </c>
      <c r="O612">
        <v>0.5</v>
      </c>
      <c r="P612">
        <v>0.5</v>
      </c>
      <c r="Q612"/>
      <c r="R612">
        <v>0</v>
      </c>
      <c r="S612">
        <v>0</v>
      </c>
      <c r="T612"/>
      <c r="U612"/>
      <c r="V612"/>
      <c r="W612"/>
      <c r="X612">
        <v>0</v>
      </c>
      <c r="Y612"/>
      <c r="Z612">
        <v>0</v>
      </c>
      <c r="AA612"/>
      <c r="AB612"/>
      <c r="AC612"/>
      <c r="AD612"/>
      <c r="AE612">
        <v>0</v>
      </c>
      <c r="AF612"/>
      <c r="AG612"/>
      <c r="AH612"/>
    </row>
    <row r="613" spans="1:34" x14ac:dyDescent="0.25">
      <c r="A613" t="s">
        <v>3438</v>
      </c>
      <c r="B613" t="s">
        <v>3439</v>
      </c>
      <c r="C613"/>
      <c r="D613" t="s">
        <v>370</v>
      </c>
      <c r="E613" t="s">
        <v>1037</v>
      </c>
      <c r="F613" t="s">
        <v>1073</v>
      </c>
      <c r="G613" t="s">
        <v>280</v>
      </c>
      <c r="H613" t="s">
        <v>1074</v>
      </c>
      <c r="I613" t="s">
        <v>373</v>
      </c>
      <c r="J613"/>
      <c r="K613">
        <v>1</v>
      </c>
      <c r="L613">
        <v>1</v>
      </c>
      <c r="M613" t="s">
        <v>33</v>
      </c>
      <c r="N613">
        <v>1</v>
      </c>
      <c r="O613">
        <v>0.5</v>
      </c>
      <c r="P613">
        <v>0.5</v>
      </c>
      <c r="Q613"/>
      <c r="R613">
        <v>0</v>
      </c>
      <c r="S613">
        <v>0</v>
      </c>
      <c r="T613"/>
      <c r="U613"/>
      <c r="V613"/>
      <c r="W613"/>
      <c r="X613">
        <v>0</v>
      </c>
      <c r="Y613"/>
      <c r="Z613">
        <v>0</v>
      </c>
      <c r="AA613"/>
      <c r="AB613"/>
      <c r="AC613"/>
      <c r="AD613"/>
      <c r="AE613">
        <v>0</v>
      </c>
      <c r="AF613"/>
      <c r="AG613"/>
      <c r="AH613"/>
    </row>
    <row r="614" spans="1:34" x14ac:dyDescent="0.25">
      <c r="A614" t="s">
        <v>1945</v>
      </c>
      <c r="B614" t="s">
        <v>1946</v>
      </c>
      <c r="C614"/>
      <c r="D614" t="s">
        <v>370</v>
      </c>
      <c r="E614" t="s">
        <v>1037</v>
      </c>
      <c r="F614" t="s">
        <v>1075</v>
      </c>
      <c r="G614" t="s">
        <v>280</v>
      </c>
      <c r="H614" t="s">
        <v>1076</v>
      </c>
      <c r="I614" t="s">
        <v>373</v>
      </c>
      <c r="J614"/>
      <c r="K614">
        <v>1</v>
      </c>
      <c r="L614">
        <v>1</v>
      </c>
      <c r="M614" t="s">
        <v>33</v>
      </c>
      <c r="N614">
        <v>1</v>
      </c>
      <c r="O614">
        <v>0.5</v>
      </c>
      <c r="P614">
        <v>0.5</v>
      </c>
      <c r="Q614"/>
      <c r="R614">
        <v>0</v>
      </c>
      <c r="S614">
        <v>0</v>
      </c>
      <c r="T614"/>
      <c r="U614"/>
      <c r="V614"/>
      <c r="W614"/>
      <c r="X614">
        <v>0</v>
      </c>
      <c r="Y614"/>
      <c r="Z614">
        <v>0</v>
      </c>
      <c r="AA614"/>
      <c r="AB614"/>
      <c r="AC614"/>
      <c r="AD614"/>
      <c r="AE614">
        <v>0</v>
      </c>
      <c r="AF614"/>
      <c r="AG614"/>
      <c r="AH614"/>
    </row>
    <row r="615" spans="1:34" x14ac:dyDescent="0.25">
      <c r="A615" t="s">
        <v>3438</v>
      </c>
      <c r="B615" t="s">
        <v>3439</v>
      </c>
      <c r="C615"/>
      <c r="D615" t="s">
        <v>370</v>
      </c>
      <c r="E615" t="s">
        <v>1037</v>
      </c>
      <c r="F615" t="s">
        <v>1075</v>
      </c>
      <c r="G615" t="s">
        <v>280</v>
      </c>
      <c r="H615" t="s">
        <v>1076</v>
      </c>
      <c r="I615" t="s">
        <v>373</v>
      </c>
      <c r="J615"/>
      <c r="K615">
        <v>1</v>
      </c>
      <c r="L615">
        <v>1</v>
      </c>
      <c r="M615" t="s">
        <v>33</v>
      </c>
      <c r="N615">
        <v>1</v>
      </c>
      <c r="O615">
        <v>0.5</v>
      </c>
      <c r="P615">
        <v>0.5</v>
      </c>
      <c r="Q615"/>
      <c r="R615">
        <v>0</v>
      </c>
      <c r="S615">
        <v>0</v>
      </c>
      <c r="T615"/>
      <c r="U615"/>
      <c r="V615"/>
      <c r="W615"/>
      <c r="X615">
        <v>0</v>
      </c>
      <c r="Y615"/>
      <c r="Z615">
        <v>0</v>
      </c>
      <c r="AA615"/>
      <c r="AB615"/>
      <c r="AC615"/>
      <c r="AD615"/>
      <c r="AE615">
        <v>0</v>
      </c>
      <c r="AF615"/>
      <c r="AG615"/>
      <c r="AH615"/>
    </row>
    <row r="616" spans="1:34" x14ac:dyDescent="0.25">
      <c r="A616" t="s">
        <v>1945</v>
      </c>
      <c r="B616" t="s">
        <v>1946</v>
      </c>
      <c r="C616"/>
      <c r="D616" t="s">
        <v>370</v>
      </c>
      <c r="E616" t="s">
        <v>1037</v>
      </c>
      <c r="F616" t="s">
        <v>1077</v>
      </c>
      <c r="G616" t="s">
        <v>280</v>
      </c>
      <c r="H616" t="s">
        <v>1078</v>
      </c>
      <c r="I616" t="s">
        <v>373</v>
      </c>
      <c r="J616"/>
      <c r="K616">
        <v>1</v>
      </c>
      <c r="L616">
        <v>1</v>
      </c>
      <c r="M616" t="s">
        <v>33</v>
      </c>
      <c r="N616">
        <v>1</v>
      </c>
      <c r="O616">
        <v>0.5</v>
      </c>
      <c r="P616">
        <v>0.5</v>
      </c>
      <c r="Q616"/>
      <c r="R616">
        <v>0</v>
      </c>
      <c r="S616">
        <v>0</v>
      </c>
      <c r="T616"/>
      <c r="U616"/>
      <c r="V616"/>
      <c r="W616"/>
      <c r="X616">
        <v>0</v>
      </c>
      <c r="Y616"/>
      <c r="Z616">
        <v>0</v>
      </c>
      <c r="AA616"/>
      <c r="AB616"/>
      <c r="AC616"/>
      <c r="AD616"/>
      <c r="AE616">
        <v>0</v>
      </c>
      <c r="AF616"/>
      <c r="AG616"/>
      <c r="AH616"/>
    </row>
    <row r="617" spans="1:34" x14ac:dyDescent="0.25">
      <c r="A617" t="s">
        <v>3438</v>
      </c>
      <c r="B617" t="s">
        <v>3439</v>
      </c>
      <c r="C617"/>
      <c r="D617" t="s">
        <v>370</v>
      </c>
      <c r="E617" t="s">
        <v>1037</v>
      </c>
      <c r="F617" t="s">
        <v>1077</v>
      </c>
      <c r="G617" t="s">
        <v>280</v>
      </c>
      <c r="H617" t="s">
        <v>1078</v>
      </c>
      <c r="I617" t="s">
        <v>373</v>
      </c>
      <c r="J617"/>
      <c r="K617">
        <v>1</v>
      </c>
      <c r="L617">
        <v>1</v>
      </c>
      <c r="M617" t="s">
        <v>33</v>
      </c>
      <c r="N617">
        <v>1</v>
      </c>
      <c r="O617">
        <v>0.5</v>
      </c>
      <c r="P617">
        <v>0.5</v>
      </c>
      <c r="Q617"/>
      <c r="R617">
        <v>0</v>
      </c>
      <c r="S617">
        <v>0</v>
      </c>
      <c r="T617"/>
      <c r="U617"/>
      <c r="V617"/>
      <c r="W617"/>
      <c r="X617">
        <v>0</v>
      </c>
      <c r="Y617"/>
      <c r="Z617">
        <v>0</v>
      </c>
      <c r="AA617"/>
      <c r="AB617"/>
      <c r="AC617"/>
      <c r="AD617"/>
      <c r="AE617">
        <v>0</v>
      </c>
      <c r="AF617"/>
      <c r="AG617"/>
      <c r="AH617"/>
    </row>
    <row r="618" spans="1:34" x14ac:dyDescent="0.25">
      <c r="A618" t="s">
        <v>1945</v>
      </c>
      <c r="B618" t="s">
        <v>1946</v>
      </c>
      <c r="C618"/>
      <c r="D618" t="s">
        <v>370</v>
      </c>
      <c r="E618" t="s">
        <v>1037</v>
      </c>
      <c r="F618" t="s">
        <v>1079</v>
      </c>
      <c r="G618" t="s">
        <v>280</v>
      </c>
      <c r="H618" t="s">
        <v>1080</v>
      </c>
      <c r="I618" t="s">
        <v>373</v>
      </c>
      <c r="J618"/>
      <c r="K618">
        <v>1</v>
      </c>
      <c r="L618">
        <v>1</v>
      </c>
      <c r="M618" t="s">
        <v>33</v>
      </c>
      <c r="N618">
        <v>1</v>
      </c>
      <c r="O618">
        <v>0.5</v>
      </c>
      <c r="P618">
        <v>0.5</v>
      </c>
      <c r="Q618"/>
      <c r="R618">
        <v>0</v>
      </c>
      <c r="S618">
        <v>0</v>
      </c>
      <c r="T618"/>
      <c r="U618"/>
      <c r="V618"/>
      <c r="W618"/>
      <c r="X618">
        <v>0</v>
      </c>
      <c r="Y618"/>
      <c r="Z618">
        <v>0</v>
      </c>
      <c r="AA618"/>
      <c r="AB618"/>
      <c r="AC618"/>
      <c r="AD618"/>
      <c r="AE618">
        <v>0</v>
      </c>
      <c r="AF618"/>
      <c r="AG618"/>
      <c r="AH618"/>
    </row>
    <row r="619" spans="1:34" x14ac:dyDescent="0.25">
      <c r="A619" t="s">
        <v>3438</v>
      </c>
      <c r="B619" t="s">
        <v>3439</v>
      </c>
      <c r="C619"/>
      <c r="D619" t="s">
        <v>370</v>
      </c>
      <c r="E619" t="s">
        <v>1037</v>
      </c>
      <c r="F619" t="s">
        <v>1079</v>
      </c>
      <c r="G619" t="s">
        <v>280</v>
      </c>
      <c r="H619" t="s">
        <v>1080</v>
      </c>
      <c r="I619" t="s">
        <v>373</v>
      </c>
      <c r="J619"/>
      <c r="K619">
        <v>1</v>
      </c>
      <c r="L619">
        <v>1</v>
      </c>
      <c r="M619" t="s">
        <v>33</v>
      </c>
      <c r="N619">
        <v>1</v>
      </c>
      <c r="O619">
        <v>0.5</v>
      </c>
      <c r="P619">
        <v>0.5</v>
      </c>
      <c r="Q619"/>
      <c r="R619">
        <v>0</v>
      </c>
      <c r="S619">
        <v>0</v>
      </c>
      <c r="T619"/>
      <c r="U619"/>
      <c r="V619"/>
      <c r="W619"/>
      <c r="X619">
        <v>0</v>
      </c>
      <c r="Y619"/>
      <c r="Z619">
        <v>0</v>
      </c>
      <c r="AA619"/>
      <c r="AB619"/>
      <c r="AC619"/>
      <c r="AD619"/>
      <c r="AE619">
        <v>0</v>
      </c>
      <c r="AF619"/>
      <c r="AG619"/>
      <c r="AH619"/>
    </row>
    <row r="620" spans="1:34" x14ac:dyDescent="0.25">
      <c r="A620" t="s">
        <v>1945</v>
      </c>
      <c r="B620" t="s">
        <v>1946</v>
      </c>
      <c r="C620"/>
      <c r="D620" t="s">
        <v>370</v>
      </c>
      <c r="E620" t="s">
        <v>1037</v>
      </c>
      <c r="F620" t="s">
        <v>1081</v>
      </c>
      <c r="G620" t="s">
        <v>280</v>
      </c>
      <c r="H620" t="s">
        <v>1082</v>
      </c>
      <c r="I620" t="s">
        <v>373</v>
      </c>
      <c r="J620"/>
      <c r="K620">
        <v>1</v>
      </c>
      <c r="L620">
        <v>1</v>
      </c>
      <c r="M620" t="s">
        <v>33</v>
      </c>
      <c r="N620">
        <v>1</v>
      </c>
      <c r="O620">
        <v>0.5</v>
      </c>
      <c r="P620">
        <v>0.5</v>
      </c>
      <c r="Q620"/>
      <c r="R620">
        <v>0</v>
      </c>
      <c r="S620">
        <v>0</v>
      </c>
      <c r="T620"/>
      <c r="U620"/>
      <c r="V620"/>
      <c r="W620"/>
      <c r="X620">
        <v>0</v>
      </c>
      <c r="Y620"/>
      <c r="Z620">
        <v>0</v>
      </c>
      <c r="AA620"/>
      <c r="AB620"/>
      <c r="AC620"/>
      <c r="AD620"/>
      <c r="AE620">
        <v>0</v>
      </c>
      <c r="AF620"/>
      <c r="AG620"/>
      <c r="AH620"/>
    </row>
    <row r="621" spans="1:34" x14ac:dyDescent="0.25">
      <c r="A621" t="s">
        <v>3438</v>
      </c>
      <c r="B621" t="s">
        <v>3439</v>
      </c>
      <c r="C621"/>
      <c r="D621" t="s">
        <v>370</v>
      </c>
      <c r="E621" t="s">
        <v>1037</v>
      </c>
      <c r="F621" t="s">
        <v>1081</v>
      </c>
      <c r="G621" t="s">
        <v>280</v>
      </c>
      <c r="H621" t="s">
        <v>1082</v>
      </c>
      <c r="I621" t="s">
        <v>373</v>
      </c>
      <c r="J621"/>
      <c r="K621">
        <v>1</v>
      </c>
      <c r="L621">
        <v>1</v>
      </c>
      <c r="M621" t="s">
        <v>33</v>
      </c>
      <c r="N621">
        <v>1</v>
      </c>
      <c r="O621">
        <v>0.5</v>
      </c>
      <c r="P621">
        <v>0.5</v>
      </c>
      <c r="Q621"/>
      <c r="R621">
        <v>0</v>
      </c>
      <c r="S621">
        <v>0</v>
      </c>
      <c r="T621"/>
      <c r="U621"/>
      <c r="V621"/>
      <c r="W621"/>
      <c r="X621">
        <v>0</v>
      </c>
      <c r="Y621"/>
      <c r="Z621">
        <v>0</v>
      </c>
      <c r="AA621"/>
      <c r="AB621"/>
      <c r="AC621"/>
      <c r="AD621"/>
      <c r="AE621">
        <v>0</v>
      </c>
      <c r="AF621"/>
      <c r="AG621"/>
      <c r="AH621"/>
    </row>
    <row r="622" spans="1:34" x14ac:dyDescent="0.25">
      <c r="A622" t="s">
        <v>1945</v>
      </c>
      <c r="B622" t="s">
        <v>1946</v>
      </c>
      <c r="C622"/>
      <c r="D622" t="s">
        <v>370</v>
      </c>
      <c r="E622" t="s">
        <v>1037</v>
      </c>
      <c r="F622" t="s">
        <v>1083</v>
      </c>
      <c r="G622" t="s">
        <v>280</v>
      </c>
      <c r="H622" t="s">
        <v>1084</v>
      </c>
      <c r="I622" t="s">
        <v>373</v>
      </c>
      <c r="J622"/>
      <c r="K622">
        <v>1</v>
      </c>
      <c r="L622">
        <v>1</v>
      </c>
      <c r="M622" t="s">
        <v>33</v>
      </c>
      <c r="N622">
        <v>1</v>
      </c>
      <c r="O622">
        <v>0.5</v>
      </c>
      <c r="P622">
        <v>0.5</v>
      </c>
      <c r="Q622"/>
      <c r="R622">
        <v>0</v>
      </c>
      <c r="S622">
        <v>0</v>
      </c>
      <c r="T622"/>
      <c r="U622"/>
      <c r="V622"/>
      <c r="W622"/>
      <c r="X622">
        <v>0</v>
      </c>
      <c r="Y622"/>
      <c r="Z622">
        <v>0</v>
      </c>
      <c r="AA622"/>
      <c r="AB622"/>
      <c r="AC622"/>
      <c r="AD622"/>
      <c r="AE622">
        <v>0</v>
      </c>
      <c r="AF622"/>
      <c r="AG622"/>
      <c r="AH622"/>
    </row>
    <row r="623" spans="1:34" x14ac:dyDescent="0.25">
      <c r="A623" t="s">
        <v>3438</v>
      </c>
      <c r="B623" t="s">
        <v>3439</v>
      </c>
      <c r="C623"/>
      <c r="D623" t="s">
        <v>370</v>
      </c>
      <c r="E623" t="s">
        <v>1037</v>
      </c>
      <c r="F623" t="s">
        <v>1083</v>
      </c>
      <c r="G623" t="s">
        <v>280</v>
      </c>
      <c r="H623" t="s">
        <v>1084</v>
      </c>
      <c r="I623" t="s">
        <v>373</v>
      </c>
      <c r="J623"/>
      <c r="K623">
        <v>1</v>
      </c>
      <c r="L623">
        <v>1</v>
      </c>
      <c r="M623" t="s">
        <v>33</v>
      </c>
      <c r="N623">
        <v>1</v>
      </c>
      <c r="O623">
        <v>0.5</v>
      </c>
      <c r="P623">
        <v>0.5</v>
      </c>
      <c r="Q623"/>
      <c r="R623">
        <v>0</v>
      </c>
      <c r="S623">
        <v>0</v>
      </c>
      <c r="T623"/>
      <c r="U623"/>
      <c r="V623"/>
      <c r="W623"/>
      <c r="X623">
        <v>0</v>
      </c>
      <c r="Y623"/>
      <c r="Z623">
        <v>0</v>
      </c>
      <c r="AA623"/>
      <c r="AB623"/>
      <c r="AC623"/>
      <c r="AD623"/>
      <c r="AE623">
        <v>0</v>
      </c>
      <c r="AF623"/>
      <c r="AG623"/>
      <c r="AH623"/>
    </row>
    <row r="624" spans="1:34" x14ac:dyDescent="0.25">
      <c r="A624" t="s">
        <v>1945</v>
      </c>
      <c r="B624" t="s">
        <v>1946</v>
      </c>
      <c r="C624"/>
      <c r="D624" t="s">
        <v>370</v>
      </c>
      <c r="E624" t="s">
        <v>1037</v>
      </c>
      <c r="F624" t="s">
        <v>1085</v>
      </c>
      <c r="G624" t="s">
        <v>280</v>
      </c>
      <c r="H624" t="s">
        <v>1086</v>
      </c>
      <c r="I624" t="s">
        <v>373</v>
      </c>
      <c r="J624"/>
      <c r="K624">
        <v>1</v>
      </c>
      <c r="L624">
        <v>1</v>
      </c>
      <c r="M624" t="s">
        <v>33</v>
      </c>
      <c r="N624">
        <v>1</v>
      </c>
      <c r="O624">
        <v>0.5</v>
      </c>
      <c r="P624">
        <v>0.5</v>
      </c>
      <c r="Q624"/>
      <c r="R624">
        <v>0</v>
      </c>
      <c r="S624">
        <v>0</v>
      </c>
      <c r="T624"/>
      <c r="U624"/>
      <c r="V624"/>
      <c r="W624"/>
      <c r="X624">
        <v>0</v>
      </c>
      <c r="Y624"/>
      <c r="Z624">
        <v>0</v>
      </c>
      <c r="AA624"/>
      <c r="AB624"/>
      <c r="AC624"/>
      <c r="AD624"/>
      <c r="AE624">
        <v>0</v>
      </c>
      <c r="AF624"/>
      <c r="AG624"/>
      <c r="AH624"/>
    </row>
    <row r="625" spans="1:34" x14ac:dyDescent="0.25">
      <c r="A625" t="s">
        <v>3438</v>
      </c>
      <c r="B625" t="s">
        <v>3439</v>
      </c>
      <c r="C625"/>
      <c r="D625" t="s">
        <v>370</v>
      </c>
      <c r="E625" t="s">
        <v>1037</v>
      </c>
      <c r="F625" t="s">
        <v>1085</v>
      </c>
      <c r="G625" t="s">
        <v>280</v>
      </c>
      <c r="H625" t="s">
        <v>1086</v>
      </c>
      <c r="I625" t="s">
        <v>373</v>
      </c>
      <c r="J625"/>
      <c r="K625">
        <v>1</v>
      </c>
      <c r="L625">
        <v>1</v>
      </c>
      <c r="M625" t="s">
        <v>33</v>
      </c>
      <c r="N625">
        <v>1</v>
      </c>
      <c r="O625">
        <v>0.5</v>
      </c>
      <c r="P625">
        <v>0.5</v>
      </c>
      <c r="Q625"/>
      <c r="R625">
        <v>0</v>
      </c>
      <c r="S625">
        <v>0</v>
      </c>
      <c r="T625"/>
      <c r="U625"/>
      <c r="V625"/>
      <c r="W625"/>
      <c r="X625">
        <v>0</v>
      </c>
      <c r="Y625"/>
      <c r="Z625">
        <v>0</v>
      </c>
      <c r="AA625"/>
      <c r="AB625"/>
      <c r="AC625"/>
      <c r="AD625"/>
      <c r="AE625">
        <v>0</v>
      </c>
      <c r="AF625"/>
      <c r="AG625"/>
      <c r="AH625"/>
    </row>
    <row r="626" spans="1:34" x14ac:dyDescent="0.25">
      <c r="A626" t="s">
        <v>1945</v>
      </c>
      <c r="B626" t="s">
        <v>1946</v>
      </c>
      <c r="C626"/>
      <c r="D626" t="s">
        <v>370</v>
      </c>
      <c r="E626" t="s">
        <v>1037</v>
      </c>
      <c r="F626" t="s">
        <v>1087</v>
      </c>
      <c r="G626" t="s">
        <v>280</v>
      </c>
      <c r="H626" t="s">
        <v>1088</v>
      </c>
      <c r="I626" t="s">
        <v>373</v>
      </c>
      <c r="J626"/>
      <c r="K626">
        <v>1</v>
      </c>
      <c r="L626">
        <v>1</v>
      </c>
      <c r="M626" t="s">
        <v>33</v>
      </c>
      <c r="N626">
        <v>1</v>
      </c>
      <c r="O626">
        <v>0.5</v>
      </c>
      <c r="P626">
        <v>0.5</v>
      </c>
      <c r="Q626"/>
      <c r="R626">
        <v>0</v>
      </c>
      <c r="S626">
        <v>0</v>
      </c>
      <c r="T626"/>
      <c r="U626"/>
      <c r="V626"/>
      <c r="W626"/>
      <c r="X626">
        <v>0</v>
      </c>
      <c r="Y626"/>
      <c r="Z626">
        <v>0</v>
      </c>
      <c r="AA626"/>
      <c r="AB626"/>
      <c r="AC626"/>
      <c r="AD626"/>
      <c r="AE626">
        <v>0</v>
      </c>
      <c r="AF626"/>
      <c r="AG626"/>
      <c r="AH626"/>
    </row>
    <row r="627" spans="1:34" x14ac:dyDescent="0.25">
      <c r="A627" t="s">
        <v>3438</v>
      </c>
      <c r="B627" t="s">
        <v>3439</v>
      </c>
      <c r="C627"/>
      <c r="D627" t="s">
        <v>370</v>
      </c>
      <c r="E627" t="s">
        <v>1037</v>
      </c>
      <c r="F627" t="s">
        <v>1087</v>
      </c>
      <c r="G627" t="s">
        <v>280</v>
      </c>
      <c r="H627" t="s">
        <v>1088</v>
      </c>
      <c r="I627" t="s">
        <v>373</v>
      </c>
      <c r="J627"/>
      <c r="K627">
        <v>1</v>
      </c>
      <c r="L627">
        <v>1</v>
      </c>
      <c r="M627" t="s">
        <v>33</v>
      </c>
      <c r="N627">
        <v>1</v>
      </c>
      <c r="O627">
        <v>0.5</v>
      </c>
      <c r="P627">
        <v>0.5</v>
      </c>
      <c r="Q627"/>
      <c r="R627">
        <v>0</v>
      </c>
      <c r="S627">
        <v>0</v>
      </c>
      <c r="T627"/>
      <c r="U627"/>
      <c r="V627"/>
      <c r="W627"/>
      <c r="X627">
        <v>0</v>
      </c>
      <c r="Y627"/>
      <c r="Z627">
        <v>0</v>
      </c>
      <c r="AA627"/>
      <c r="AB627"/>
      <c r="AC627"/>
      <c r="AD627"/>
      <c r="AE627">
        <v>0</v>
      </c>
      <c r="AF627"/>
      <c r="AG627"/>
      <c r="AH627"/>
    </row>
    <row r="628" spans="1:34" x14ac:dyDescent="0.25">
      <c r="A628" t="s">
        <v>1945</v>
      </c>
      <c r="B628" t="s">
        <v>1946</v>
      </c>
      <c r="C628"/>
      <c r="D628" t="s">
        <v>370</v>
      </c>
      <c r="E628" t="s">
        <v>1037</v>
      </c>
      <c r="F628" t="s">
        <v>1089</v>
      </c>
      <c r="G628" t="s">
        <v>280</v>
      </c>
      <c r="H628" t="s">
        <v>1090</v>
      </c>
      <c r="I628" t="s">
        <v>373</v>
      </c>
      <c r="J628"/>
      <c r="K628">
        <v>1</v>
      </c>
      <c r="L628">
        <v>1</v>
      </c>
      <c r="M628" t="s">
        <v>33</v>
      </c>
      <c r="N628">
        <v>1</v>
      </c>
      <c r="O628">
        <v>0.5</v>
      </c>
      <c r="P628">
        <v>0.5</v>
      </c>
      <c r="Q628"/>
      <c r="R628">
        <v>0</v>
      </c>
      <c r="S628">
        <v>0</v>
      </c>
      <c r="T628"/>
      <c r="U628"/>
      <c r="V628"/>
      <c r="W628"/>
      <c r="X628">
        <v>0</v>
      </c>
      <c r="Y628"/>
      <c r="Z628">
        <v>0</v>
      </c>
      <c r="AA628"/>
      <c r="AB628"/>
      <c r="AC628"/>
      <c r="AD628"/>
      <c r="AE628">
        <v>0</v>
      </c>
      <c r="AF628"/>
      <c r="AG628"/>
      <c r="AH628"/>
    </row>
    <row r="629" spans="1:34" x14ac:dyDescent="0.25">
      <c r="A629" t="s">
        <v>3438</v>
      </c>
      <c r="B629" t="s">
        <v>3439</v>
      </c>
      <c r="C629"/>
      <c r="D629" t="s">
        <v>370</v>
      </c>
      <c r="E629" t="s">
        <v>1037</v>
      </c>
      <c r="F629" t="s">
        <v>1089</v>
      </c>
      <c r="G629" t="s">
        <v>280</v>
      </c>
      <c r="H629" t="s">
        <v>1090</v>
      </c>
      <c r="I629" t="s">
        <v>373</v>
      </c>
      <c r="J629"/>
      <c r="K629">
        <v>1</v>
      </c>
      <c r="L629">
        <v>1</v>
      </c>
      <c r="M629" t="s">
        <v>33</v>
      </c>
      <c r="N629">
        <v>1</v>
      </c>
      <c r="O629">
        <v>0.5</v>
      </c>
      <c r="P629">
        <v>0.5</v>
      </c>
      <c r="Q629"/>
      <c r="R629">
        <v>0</v>
      </c>
      <c r="S629">
        <v>0</v>
      </c>
      <c r="T629"/>
      <c r="U629"/>
      <c r="V629"/>
      <c r="W629"/>
      <c r="X629">
        <v>0</v>
      </c>
      <c r="Y629"/>
      <c r="Z629">
        <v>0</v>
      </c>
      <c r="AA629"/>
      <c r="AB629"/>
      <c r="AC629"/>
      <c r="AD629"/>
      <c r="AE629">
        <v>0</v>
      </c>
      <c r="AF629"/>
      <c r="AG629"/>
      <c r="AH629"/>
    </row>
    <row r="630" spans="1:34" x14ac:dyDescent="0.25">
      <c r="A630" t="s">
        <v>1945</v>
      </c>
      <c r="B630" t="s">
        <v>1946</v>
      </c>
      <c r="C630"/>
      <c r="D630" t="s">
        <v>370</v>
      </c>
      <c r="E630" t="s">
        <v>1037</v>
      </c>
      <c r="F630" t="s">
        <v>1091</v>
      </c>
      <c r="G630" t="s">
        <v>280</v>
      </c>
      <c r="H630" t="s">
        <v>1092</v>
      </c>
      <c r="I630" t="s">
        <v>373</v>
      </c>
      <c r="J630"/>
      <c r="K630">
        <v>1</v>
      </c>
      <c r="L630">
        <v>1</v>
      </c>
      <c r="M630" t="s">
        <v>33</v>
      </c>
      <c r="N630">
        <v>1</v>
      </c>
      <c r="O630">
        <v>0.5</v>
      </c>
      <c r="P630">
        <v>0.5</v>
      </c>
      <c r="Q630"/>
      <c r="R630">
        <v>0</v>
      </c>
      <c r="S630">
        <v>0</v>
      </c>
      <c r="T630"/>
      <c r="U630"/>
      <c r="V630"/>
      <c r="W630"/>
      <c r="X630">
        <v>0</v>
      </c>
      <c r="Y630"/>
      <c r="Z630">
        <v>0</v>
      </c>
      <c r="AA630"/>
      <c r="AB630"/>
      <c r="AC630"/>
      <c r="AD630"/>
      <c r="AE630">
        <v>0</v>
      </c>
      <c r="AF630"/>
      <c r="AG630"/>
      <c r="AH630"/>
    </row>
    <row r="631" spans="1:34" x14ac:dyDescent="0.25">
      <c r="A631" t="s">
        <v>3438</v>
      </c>
      <c r="B631" t="s">
        <v>3439</v>
      </c>
      <c r="C631"/>
      <c r="D631" t="s">
        <v>370</v>
      </c>
      <c r="E631" t="s">
        <v>1037</v>
      </c>
      <c r="F631" t="s">
        <v>1091</v>
      </c>
      <c r="G631" t="s">
        <v>280</v>
      </c>
      <c r="H631" t="s">
        <v>1092</v>
      </c>
      <c r="I631" t="s">
        <v>373</v>
      </c>
      <c r="J631"/>
      <c r="K631">
        <v>1</v>
      </c>
      <c r="L631">
        <v>1</v>
      </c>
      <c r="M631" t="s">
        <v>33</v>
      </c>
      <c r="N631">
        <v>1</v>
      </c>
      <c r="O631">
        <v>0.5</v>
      </c>
      <c r="P631">
        <v>0.5</v>
      </c>
      <c r="Q631"/>
      <c r="R631">
        <v>0</v>
      </c>
      <c r="S631">
        <v>0</v>
      </c>
      <c r="T631"/>
      <c r="U631"/>
      <c r="V631"/>
      <c r="W631"/>
      <c r="X631">
        <v>0</v>
      </c>
      <c r="Y631"/>
      <c r="Z631">
        <v>0</v>
      </c>
      <c r="AA631"/>
      <c r="AB631"/>
      <c r="AC631"/>
      <c r="AD631"/>
      <c r="AE631">
        <v>0</v>
      </c>
      <c r="AF631"/>
      <c r="AG631"/>
      <c r="AH631"/>
    </row>
    <row r="632" spans="1:34" x14ac:dyDescent="0.25">
      <c r="A632" t="s">
        <v>1945</v>
      </c>
      <c r="B632" t="s">
        <v>1946</v>
      </c>
      <c r="C632"/>
      <c r="D632" t="s">
        <v>370</v>
      </c>
      <c r="E632" t="s">
        <v>1037</v>
      </c>
      <c r="F632" t="s">
        <v>1093</v>
      </c>
      <c r="G632" t="s">
        <v>280</v>
      </c>
      <c r="H632" t="s">
        <v>1094</v>
      </c>
      <c r="I632" t="s">
        <v>373</v>
      </c>
      <c r="J632"/>
      <c r="K632">
        <v>1</v>
      </c>
      <c r="L632">
        <v>1</v>
      </c>
      <c r="M632" t="s">
        <v>33</v>
      </c>
      <c r="N632">
        <v>1</v>
      </c>
      <c r="O632">
        <v>0.5</v>
      </c>
      <c r="P632">
        <v>0.5</v>
      </c>
      <c r="Q632"/>
      <c r="R632">
        <v>0</v>
      </c>
      <c r="S632">
        <v>0</v>
      </c>
      <c r="T632"/>
      <c r="U632"/>
      <c r="V632"/>
      <c r="W632"/>
      <c r="X632">
        <v>0</v>
      </c>
      <c r="Y632"/>
      <c r="Z632">
        <v>0</v>
      </c>
      <c r="AA632"/>
      <c r="AB632"/>
      <c r="AC632"/>
      <c r="AD632"/>
      <c r="AE632">
        <v>0</v>
      </c>
      <c r="AF632"/>
      <c r="AG632"/>
      <c r="AH632"/>
    </row>
    <row r="633" spans="1:34" x14ac:dyDescent="0.25">
      <c r="A633" t="s">
        <v>3438</v>
      </c>
      <c r="B633" t="s">
        <v>3439</v>
      </c>
      <c r="C633"/>
      <c r="D633" t="s">
        <v>370</v>
      </c>
      <c r="E633" t="s">
        <v>1037</v>
      </c>
      <c r="F633" t="s">
        <v>1093</v>
      </c>
      <c r="G633" t="s">
        <v>280</v>
      </c>
      <c r="H633" t="s">
        <v>1094</v>
      </c>
      <c r="I633" t="s">
        <v>373</v>
      </c>
      <c r="J633"/>
      <c r="K633">
        <v>1</v>
      </c>
      <c r="L633">
        <v>1</v>
      </c>
      <c r="M633" t="s">
        <v>33</v>
      </c>
      <c r="N633">
        <v>1</v>
      </c>
      <c r="O633">
        <v>0.5</v>
      </c>
      <c r="P633">
        <v>0.5</v>
      </c>
      <c r="Q633"/>
      <c r="R633">
        <v>0</v>
      </c>
      <c r="S633">
        <v>0</v>
      </c>
      <c r="T633"/>
      <c r="U633"/>
      <c r="V633"/>
      <c r="W633"/>
      <c r="X633">
        <v>0</v>
      </c>
      <c r="Y633"/>
      <c r="Z633">
        <v>0</v>
      </c>
      <c r="AA633"/>
      <c r="AB633"/>
      <c r="AC633"/>
      <c r="AD633"/>
      <c r="AE633">
        <v>0</v>
      </c>
      <c r="AF633"/>
      <c r="AG633"/>
      <c r="AH633"/>
    </row>
    <row r="634" spans="1:34" x14ac:dyDescent="0.25">
      <c r="A634" t="s">
        <v>1945</v>
      </c>
      <c r="B634" t="s">
        <v>1946</v>
      </c>
      <c r="C634"/>
      <c r="D634" t="s">
        <v>370</v>
      </c>
      <c r="E634" t="s">
        <v>1037</v>
      </c>
      <c r="F634" t="s">
        <v>1095</v>
      </c>
      <c r="G634" t="s">
        <v>280</v>
      </c>
      <c r="H634" t="s">
        <v>1096</v>
      </c>
      <c r="I634" t="s">
        <v>373</v>
      </c>
      <c r="J634"/>
      <c r="K634">
        <v>1</v>
      </c>
      <c r="L634">
        <v>1</v>
      </c>
      <c r="M634" t="s">
        <v>33</v>
      </c>
      <c r="N634">
        <v>1</v>
      </c>
      <c r="O634">
        <v>0.5</v>
      </c>
      <c r="P634">
        <v>0.5</v>
      </c>
      <c r="Q634"/>
      <c r="R634">
        <v>0</v>
      </c>
      <c r="S634">
        <v>0</v>
      </c>
      <c r="T634"/>
      <c r="U634"/>
      <c r="V634"/>
      <c r="W634"/>
      <c r="X634">
        <v>0</v>
      </c>
      <c r="Y634"/>
      <c r="Z634">
        <v>0</v>
      </c>
      <c r="AA634"/>
      <c r="AB634"/>
      <c r="AC634"/>
      <c r="AD634"/>
      <c r="AE634">
        <v>0</v>
      </c>
      <c r="AF634"/>
      <c r="AG634"/>
      <c r="AH634"/>
    </row>
    <row r="635" spans="1:34" x14ac:dyDescent="0.25">
      <c r="A635" t="s">
        <v>3438</v>
      </c>
      <c r="B635" t="s">
        <v>3439</v>
      </c>
      <c r="C635"/>
      <c r="D635" t="s">
        <v>370</v>
      </c>
      <c r="E635" t="s">
        <v>1037</v>
      </c>
      <c r="F635" t="s">
        <v>1095</v>
      </c>
      <c r="G635" t="s">
        <v>280</v>
      </c>
      <c r="H635" t="s">
        <v>1096</v>
      </c>
      <c r="I635" t="s">
        <v>373</v>
      </c>
      <c r="J635"/>
      <c r="K635">
        <v>1</v>
      </c>
      <c r="L635">
        <v>1</v>
      </c>
      <c r="M635" t="s">
        <v>33</v>
      </c>
      <c r="N635">
        <v>1</v>
      </c>
      <c r="O635">
        <v>0.5</v>
      </c>
      <c r="P635">
        <v>0.5</v>
      </c>
      <c r="Q635"/>
      <c r="R635">
        <v>0</v>
      </c>
      <c r="S635">
        <v>0</v>
      </c>
      <c r="T635"/>
      <c r="U635"/>
      <c r="V635"/>
      <c r="W635"/>
      <c r="X635">
        <v>0</v>
      </c>
      <c r="Y635"/>
      <c r="Z635">
        <v>0</v>
      </c>
      <c r="AA635"/>
      <c r="AB635"/>
      <c r="AC635"/>
      <c r="AD635"/>
      <c r="AE635">
        <v>0</v>
      </c>
      <c r="AF635"/>
      <c r="AG635"/>
      <c r="AH635"/>
    </row>
    <row r="636" spans="1:34" x14ac:dyDescent="0.25">
      <c r="A636" t="s">
        <v>1945</v>
      </c>
      <c r="B636" t="s">
        <v>1946</v>
      </c>
      <c r="C636"/>
      <c r="D636" t="s">
        <v>370</v>
      </c>
      <c r="E636" t="s">
        <v>1037</v>
      </c>
      <c r="F636" t="s">
        <v>1097</v>
      </c>
      <c r="G636" t="s">
        <v>280</v>
      </c>
      <c r="H636" t="s">
        <v>1098</v>
      </c>
      <c r="I636" t="s">
        <v>373</v>
      </c>
      <c r="J636"/>
      <c r="K636">
        <v>1</v>
      </c>
      <c r="L636">
        <v>1</v>
      </c>
      <c r="M636" t="s">
        <v>33</v>
      </c>
      <c r="N636">
        <v>1</v>
      </c>
      <c r="O636">
        <v>0.5</v>
      </c>
      <c r="P636">
        <v>0.5</v>
      </c>
      <c r="Q636"/>
      <c r="R636">
        <v>0</v>
      </c>
      <c r="S636">
        <v>0</v>
      </c>
      <c r="T636"/>
      <c r="U636"/>
      <c r="V636"/>
      <c r="W636"/>
      <c r="X636">
        <v>0</v>
      </c>
      <c r="Y636"/>
      <c r="Z636">
        <v>0</v>
      </c>
      <c r="AA636"/>
      <c r="AB636"/>
      <c r="AC636"/>
      <c r="AD636"/>
      <c r="AE636">
        <v>0</v>
      </c>
      <c r="AF636"/>
      <c r="AG636"/>
      <c r="AH636"/>
    </row>
    <row r="637" spans="1:34" x14ac:dyDescent="0.25">
      <c r="A637" t="s">
        <v>3438</v>
      </c>
      <c r="B637" t="s">
        <v>3439</v>
      </c>
      <c r="C637"/>
      <c r="D637" t="s">
        <v>370</v>
      </c>
      <c r="E637" t="s">
        <v>1037</v>
      </c>
      <c r="F637" t="s">
        <v>1097</v>
      </c>
      <c r="G637" t="s">
        <v>280</v>
      </c>
      <c r="H637" t="s">
        <v>1098</v>
      </c>
      <c r="I637" t="s">
        <v>373</v>
      </c>
      <c r="J637"/>
      <c r="K637">
        <v>1</v>
      </c>
      <c r="L637">
        <v>1</v>
      </c>
      <c r="M637" t="s">
        <v>33</v>
      </c>
      <c r="N637">
        <v>1</v>
      </c>
      <c r="O637">
        <v>0.5</v>
      </c>
      <c r="P637">
        <v>0.5</v>
      </c>
      <c r="Q637"/>
      <c r="R637">
        <v>0</v>
      </c>
      <c r="S637">
        <v>0</v>
      </c>
      <c r="T637"/>
      <c r="U637"/>
      <c r="V637"/>
      <c r="W637"/>
      <c r="X637">
        <v>0</v>
      </c>
      <c r="Y637"/>
      <c r="Z637">
        <v>0</v>
      </c>
      <c r="AA637"/>
      <c r="AB637"/>
      <c r="AC637"/>
      <c r="AD637"/>
      <c r="AE637">
        <v>0</v>
      </c>
      <c r="AF637"/>
      <c r="AG637"/>
      <c r="AH637"/>
    </row>
    <row r="638" spans="1:34" x14ac:dyDescent="0.25">
      <c r="A638" t="s">
        <v>1945</v>
      </c>
      <c r="B638" t="s">
        <v>1946</v>
      </c>
      <c r="C638"/>
      <c r="D638" t="s">
        <v>370</v>
      </c>
      <c r="E638" t="s">
        <v>1037</v>
      </c>
      <c r="F638" t="s">
        <v>1099</v>
      </c>
      <c r="G638" t="s">
        <v>280</v>
      </c>
      <c r="H638" t="s">
        <v>1100</v>
      </c>
      <c r="I638" t="s">
        <v>373</v>
      </c>
      <c r="J638"/>
      <c r="K638">
        <v>1</v>
      </c>
      <c r="L638">
        <v>1</v>
      </c>
      <c r="M638" t="s">
        <v>33</v>
      </c>
      <c r="N638">
        <v>1</v>
      </c>
      <c r="O638">
        <v>0.5</v>
      </c>
      <c r="P638">
        <v>0.5</v>
      </c>
      <c r="Q638"/>
      <c r="R638">
        <v>0</v>
      </c>
      <c r="S638">
        <v>0</v>
      </c>
      <c r="T638"/>
      <c r="U638"/>
      <c r="V638"/>
      <c r="W638"/>
      <c r="X638">
        <v>0</v>
      </c>
      <c r="Y638"/>
      <c r="Z638">
        <v>0</v>
      </c>
      <c r="AA638"/>
      <c r="AB638"/>
      <c r="AC638"/>
      <c r="AD638"/>
      <c r="AE638">
        <v>0</v>
      </c>
      <c r="AF638"/>
      <c r="AG638"/>
      <c r="AH638"/>
    </row>
    <row r="639" spans="1:34" x14ac:dyDescent="0.25">
      <c r="A639" t="s">
        <v>3438</v>
      </c>
      <c r="B639" t="s">
        <v>3439</v>
      </c>
      <c r="C639"/>
      <c r="D639" t="s">
        <v>370</v>
      </c>
      <c r="E639" t="s">
        <v>1037</v>
      </c>
      <c r="F639" t="s">
        <v>1099</v>
      </c>
      <c r="G639" t="s">
        <v>280</v>
      </c>
      <c r="H639" t="s">
        <v>1100</v>
      </c>
      <c r="I639" t="s">
        <v>373</v>
      </c>
      <c r="J639"/>
      <c r="K639">
        <v>1</v>
      </c>
      <c r="L639">
        <v>1</v>
      </c>
      <c r="M639" t="s">
        <v>33</v>
      </c>
      <c r="N639">
        <v>1</v>
      </c>
      <c r="O639">
        <v>0.5</v>
      </c>
      <c r="P639">
        <v>0.5</v>
      </c>
      <c r="Q639"/>
      <c r="R639">
        <v>0</v>
      </c>
      <c r="S639">
        <v>0</v>
      </c>
      <c r="T639"/>
      <c r="U639"/>
      <c r="V639"/>
      <c r="W639"/>
      <c r="X639">
        <v>0</v>
      </c>
      <c r="Y639"/>
      <c r="Z639">
        <v>0</v>
      </c>
      <c r="AA639"/>
      <c r="AB639"/>
      <c r="AC639"/>
      <c r="AD639"/>
      <c r="AE639">
        <v>0</v>
      </c>
      <c r="AF639"/>
      <c r="AG639"/>
      <c r="AH639"/>
    </row>
    <row r="640" spans="1:34" x14ac:dyDescent="0.25">
      <c r="A640" t="s">
        <v>1945</v>
      </c>
      <c r="B640" t="s">
        <v>1946</v>
      </c>
      <c r="C640"/>
      <c r="D640" t="s">
        <v>370</v>
      </c>
      <c r="E640" t="s">
        <v>1037</v>
      </c>
      <c r="F640" t="s">
        <v>1101</v>
      </c>
      <c r="G640" t="s">
        <v>280</v>
      </c>
      <c r="H640" t="s">
        <v>1102</v>
      </c>
      <c r="I640" t="s">
        <v>373</v>
      </c>
      <c r="J640"/>
      <c r="K640">
        <v>1</v>
      </c>
      <c r="L640">
        <v>1</v>
      </c>
      <c r="M640" t="s">
        <v>33</v>
      </c>
      <c r="N640">
        <v>1</v>
      </c>
      <c r="O640">
        <v>0.5</v>
      </c>
      <c r="P640">
        <v>0.5</v>
      </c>
      <c r="Q640"/>
      <c r="R640">
        <v>0</v>
      </c>
      <c r="S640">
        <v>0</v>
      </c>
      <c r="T640"/>
      <c r="U640"/>
      <c r="V640"/>
      <c r="W640"/>
      <c r="X640">
        <v>0</v>
      </c>
      <c r="Y640"/>
      <c r="Z640">
        <v>0</v>
      </c>
      <c r="AA640"/>
      <c r="AB640"/>
      <c r="AC640"/>
      <c r="AD640"/>
      <c r="AE640">
        <v>0</v>
      </c>
      <c r="AF640"/>
      <c r="AG640"/>
      <c r="AH640"/>
    </row>
    <row r="641" spans="1:34" x14ac:dyDescent="0.25">
      <c r="A641" t="s">
        <v>3438</v>
      </c>
      <c r="B641" t="s">
        <v>3439</v>
      </c>
      <c r="C641"/>
      <c r="D641" t="s">
        <v>370</v>
      </c>
      <c r="E641" t="s">
        <v>1037</v>
      </c>
      <c r="F641" t="s">
        <v>1101</v>
      </c>
      <c r="G641" t="s">
        <v>280</v>
      </c>
      <c r="H641" t="s">
        <v>1102</v>
      </c>
      <c r="I641" t="s">
        <v>373</v>
      </c>
      <c r="J641"/>
      <c r="K641">
        <v>1</v>
      </c>
      <c r="L641">
        <v>1</v>
      </c>
      <c r="M641" t="s">
        <v>33</v>
      </c>
      <c r="N641">
        <v>1</v>
      </c>
      <c r="O641">
        <v>0.5</v>
      </c>
      <c r="P641">
        <v>0.5</v>
      </c>
      <c r="Q641"/>
      <c r="R641">
        <v>0</v>
      </c>
      <c r="S641">
        <v>0</v>
      </c>
      <c r="T641"/>
      <c r="U641"/>
      <c r="V641"/>
      <c r="W641"/>
      <c r="X641">
        <v>0</v>
      </c>
      <c r="Y641"/>
      <c r="Z641">
        <v>0</v>
      </c>
      <c r="AA641"/>
      <c r="AB641"/>
      <c r="AC641"/>
      <c r="AD641"/>
      <c r="AE641">
        <v>0</v>
      </c>
      <c r="AF641"/>
      <c r="AG641"/>
      <c r="AH641"/>
    </row>
    <row r="642" spans="1:34" x14ac:dyDescent="0.25">
      <c r="A642" t="s">
        <v>1945</v>
      </c>
      <c r="B642" t="s">
        <v>1946</v>
      </c>
      <c r="C642"/>
      <c r="D642" t="s">
        <v>370</v>
      </c>
      <c r="E642" t="s">
        <v>1037</v>
      </c>
      <c r="F642" t="s">
        <v>1103</v>
      </c>
      <c r="G642" t="s">
        <v>280</v>
      </c>
      <c r="H642" t="s">
        <v>1104</v>
      </c>
      <c r="I642" t="s">
        <v>373</v>
      </c>
      <c r="J642"/>
      <c r="K642">
        <v>1</v>
      </c>
      <c r="L642">
        <v>1</v>
      </c>
      <c r="M642" t="s">
        <v>33</v>
      </c>
      <c r="N642">
        <v>1</v>
      </c>
      <c r="O642">
        <v>0.5</v>
      </c>
      <c r="P642">
        <v>0.5</v>
      </c>
      <c r="Q642"/>
      <c r="R642">
        <v>0</v>
      </c>
      <c r="S642">
        <v>0</v>
      </c>
      <c r="T642"/>
      <c r="U642"/>
      <c r="V642"/>
      <c r="W642"/>
      <c r="X642">
        <v>0</v>
      </c>
      <c r="Y642"/>
      <c r="Z642">
        <v>0</v>
      </c>
      <c r="AA642"/>
      <c r="AB642"/>
      <c r="AC642"/>
      <c r="AD642"/>
      <c r="AE642">
        <v>0</v>
      </c>
      <c r="AF642"/>
      <c r="AG642"/>
      <c r="AH642"/>
    </row>
    <row r="643" spans="1:34" x14ac:dyDescent="0.25">
      <c r="A643" t="s">
        <v>3438</v>
      </c>
      <c r="B643" t="s">
        <v>3439</v>
      </c>
      <c r="C643"/>
      <c r="D643" t="s">
        <v>370</v>
      </c>
      <c r="E643" t="s">
        <v>1037</v>
      </c>
      <c r="F643" t="s">
        <v>1103</v>
      </c>
      <c r="G643" t="s">
        <v>280</v>
      </c>
      <c r="H643" t="s">
        <v>1104</v>
      </c>
      <c r="I643" t="s">
        <v>373</v>
      </c>
      <c r="J643"/>
      <c r="K643">
        <v>1</v>
      </c>
      <c r="L643">
        <v>1</v>
      </c>
      <c r="M643" t="s">
        <v>33</v>
      </c>
      <c r="N643">
        <v>1</v>
      </c>
      <c r="O643">
        <v>0.5</v>
      </c>
      <c r="P643">
        <v>0.5</v>
      </c>
      <c r="Q643"/>
      <c r="R643">
        <v>0</v>
      </c>
      <c r="S643">
        <v>0</v>
      </c>
      <c r="T643"/>
      <c r="U643"/>
      <c r="V643"/>
      <c r="W643"/>
      <c r="X643">
        <v>0</v>
      </c>
      <c r="Y643"/>
      <c r="Z643">
        <v>0</v>
      </c>
      <c r="AA643"/>
      <c r="AB643"/>
      <c r="AC643"/>
      <c r="AD643"/>
      <c r="AE643">
        <v>0</v>
      </c>
      <c r="AF643"/>
      <c r="AG643"/>
      <c r="AH643"/>
    </row>
    <row r="644" spans="1:34" x14ac:dyDescent="0.25">
      <c r="A644" t="s">
        <v>1945</v>
      </c>
      <c r="B644" t="s">
        <v>1946</v>
      </c>
      <c r="C644"/>
      <c r="D644" t="s">
        <v>370</v>
      </c>
      <c r="E644" t="s">
        <v>1037</v>
      </c>
      <c r="F644" t="s">
        <v>1105</v>
      </c>
      <c r="G644" t="s">
        <v>280</v>
      </c>
      <c r="H644" t="s">
        <v>1106</v>
      </c>
      <c r="I644" t="s">
        <v>373</v>
      </c>
      <c r="J644"/>
      <c r="K644">
        <v>1</v>
      </c>
      <c r="L644">
        <v>1</v>
      </c>
      <c r="M644" t="s">
        <v>33</v>
      </c>
      <c r="N644">
        <v>1</v>
      </c>
      <c r="O644">
        <v>0.5</v>
      </c>
      <c r="P644">
        <v>0.5</v>
      </c>
      <c r="Q644"/>
      <c r="R644">
        <v>0</v>
      </c>
      <c r="S644">
        <v>0</v>
      </c>
      <c r="T644"/>
      <c r="U644"/>
      <c r="V644"/>
      <c r="W644"/>
      <c r="X644">
        <v>0</v>
      </c>
      <c r="Y644"/>
      <c r="Z644">
        <v>0</v>
      </c>
      <c r="AA644"/>
      <c r="AB644"/>
      <c r="AC644"/>
      <c r="AD644"/>
      <c r="AE644">
        <v>0</v>
      </c>
      <c r="AF644"/>
      <c r="AG644"/>
      <c r="AH644"/>
    </row>
    <row r="645" spans="1:34" x14ac:dyDescent="0.25">
      <c r="A645" t="s">
        <v>3438</v>
      </c>
      <c r="B645" t="s">
        <v>3439</v>
      </c>
      <c r="C645"/>
      <c r="D645" t="s">
        <v>370</v>
      </c>
      <c r="E645" t="s">
        <v>1037</v>
      </c>
      <c r="F645" t="s">
        <v>1105</v>
      </c>
      <c r="G645" t="s">
        <v>280</v>
      </c>
      <c r="H645" t="s">
        <v>1106</v>
      </c>
      <c r="I645" t="s">
        <v>373</v>
      </c>
      <c r="J645"/>
      <c r="K645">
        <v>1</v>
      </c>
      <c r="L645">
        <v>1</v>
      </c>
      <c r="M645" t="s">
        <v>33</v>
      </c>
      <c r="N645">
        <v>1</v>
      </c>
      <c r="O645">
        <v>0.5</v>
      </c>
      <c r="P645">
        <v>0.5</v>
      </c>
      <c r="Q645"/>
      <c r="R645">
        <v>0</v>
      </c>
      <c r="S645">
        <v>0</v>
      </c>
      <c r="T645"/>
      <c r="U645"/>
      <c r="V645"/>
      <c r="W645"/>
      <c r="X645">
        <v>0</v>
      </c>
      <c r="Y645"/>
      <c r="Z645">
        <v>0</v>
      </c>
      <c r="AA645"/>
      <c r="AB645"/>
      <c r="AC645"/>
      <c r="AD645"/>
      <c r="AE645">
        <v>0</v>
      </c>
      <c r="AF645"/>
      <c r="AG645"/>
      <c r="AH645"/>
    </row>
    <row r="646" spans="1:34" x14ac:dyDescent="0.25">
      <c r="A646" t="s">
        <v>1945</v>
      </c>
      <c r="B646" t="s">
        <v>1946</v>
      </c>
      <c r="C646"/>
      <c r="D646" t="s">
        <v>370</v>
      </c>
      <c r="E646" t="s">
        <v>1037</v>
      </c>
      <c r="F646" t="s">
        <v>1107</v>
      </c>
      <c r="G646" t="s">
        <v>280</v>
      </c>
      <c r="H646" t="s">
        <v>1108</v>
      </c>
      <c r="I646" t="s">
        <v>373</v>
      </c>
      <c r="J646"/>
      <c r="K646">
        <v>1</v>
      </c>
      <c r="L646">
        <v>1</v>
      </c>
      <c r="M646" t="s">
        <v>33</v>
      </c>
      <c r="N646">
        <v>1</v>
      </c>
      <c r="O646">
        <v>0.5</v>
      </c>
      <c r="P646">
        <v>0.5</v>
      </c>
      <c r="Q646"/>
      <c r="R646">
        <v>0</v>
      </c>
      <c r="S646">
        <v>0</v>
      </c>
      <c r="T646"/>
      <c r="U646"/>
      <c r="V646"/>
      <c r="W646"/>
      <c r="X646">
        <v>0</v>
      </c>
      <c r="Y646"/>
      <c r="Z646">
        <v>0</v>
      </c>
      <c r="AA646"/>
      <c r="AB646"/>
      <c r="AC646"/>
      <c r="AD646"/>
      <c r="AE646">
        <v>0</v>
      </c>
      <c r="AF646"/>
      <c r="AG646"/>
      <c r="AH646"/>
    </row>
    <row r="647" spans="1:34" x14ac:dyDescent="0.25">
      <c r="A647" t="s">
        <v>3438</v>
      </c>
      <c r="B647" t="s">
        <v>3439</v>
      </c>
      <c r="C647"/>
      <c r="D647" t="s">
        <v>370</v>
      </c>
      <c r="E647" t="s">
        <v>1037</v>
      </c>
      <c r="F647" t="s">
        <v>1107</v>
      </c>
      <c r="G647" t="s">
        <v>280</v>
      </c>
      <c r="H647" t="s">
        <v>1108</v>
      </c>
      <c r="I647" t="s">
        <v>373</v>
      </c>
      <c r="J647"/>
      <c r="K647">
        <v>1</v>
      </c>
      <c r="L647">
        <v>1</v>
      </c>
      <c r="M647" t="s">
        <v>33</v>
      </c>
      <c r="N647">
        <v>1</v>
      </c>
      <c r="O647">
        <v>0.5</v>
      </c>
      <c r="P647">
        <v>0.5</v>
      </c>
      <c r="Q647"/>
      <c r="R647">
        <v>0</v>
      </c>
      <c r="S647">
        <v>0</v>
      </c>
      <c r="T647"/>
      <c r="U647"/>
      <c r="V647"/>
      <c r="W647"/>
      <c r="X647">
        <v>0</v>
      </c>
      <c r="Y647"/>
      <c r="Z647">
        <v>0</v>
      </c>
      <c r="AA647"/>
      <c r="AB647"/>
      <c r="AC647"/>
      <c r="AD647"/>
      <c r="AE647">
        <v>0</v>
      </c>
      <c r="AF647"/>
      <c r="AG647"/>
      <c r="AH647"/>
    </row>
    <row r="648" spans="1:34" x14ac:dyDescent="0.25">
      <c r="A648" t="s">
        <v>1945</v>
      </c>
      <c r="B648" t="s">
        <v>1946</v>
      </c>
      <c r="C648"/>
      <c r="D648" t="s">
        <v>370</v>
      </c>
      <c r="E648" t="s">
        <v>1037</v>
      </c>
      <c r="F648" t="s">
        <v>1109</v>
      </c>
      <c r="G648" t="s">
        <v>280</v>
      </c>
      <c r="H648" t="s">
        <v>1110</v>
      </c>
      <c r="I648" t="s">
        <v>373</v>
      </c>
      <c r="J648"/>
      <c r="K648">
        <v>1</v>
      </c>
      <c r="L648">
        <v>1</v>
      </c>
      <c r="M648" t="s">
        <v>33</v>
      </c>
      <c r="N648">
        <v>1</v>
      </c>
      <c r="O648">
        <v>0.5</v>
      </c>
      <c r="P648">
        <v>0.5</v>
      </c>
      <c r="Q648"/>
      <c r="R648">
        <v>0</v>
      </c>
      <c r="S648">
        <v>0</v>
      </c>
      <c r="T648"/>
      <c r="U648"/>
      <c r="V648"/>
      <c r="W648"/>
      <c r="X648">
        <v>0</v>
      </c>
      <c r="Y648"/>
      <c r="Z648">
        <v>0</v>
      </c>
      <c r="AA648"/>
      <c r="AB648"/>
      <c r="AC648"/>
      <c r="AD648"/>
      <c r="AE648">
        <v>0</v>
      </c>
      <c r="AF648"/>
      <c r="AG648"/>
      <c r="AH648"/>
    </row>
    <row r="649" spans="1:34" x14ac:dyDescent="0.25">
      <c r="A649" t="s">
        <v>3438</v>
      </c>
      <c r="B649" t="s">
        <v>3439</v>
      </c>
      <c r="C649"/>
      <c r="D649" t="s">
        <v>370</v>
      </c>
      <c r="E649" t="s">
        <v>1037</v>
      </c>
      <c r="F649" t="s">
        <v>1109</v>
      </c>
      <c r="G649" t="s">
        <v>280</v>
      </c>
      <c r="H649" t="s">
        <v>1110</v>
      </c>
      <c r="I649" t="s">
        <v>373</v>
      </c>
      <c r="J649"/>
      <c r="K649">
        <v>1</v>
      </c>
      <c r="L649">
        <v>1</v>
      </c>
      <c r="M649" t="s">
        <v>33</v>
      </c>
      <c r="N649">
        <v>1</v>
      </c>
      <c r="O649">
        <v>0.5</v>
      </c>
      <c r="P649">
        <v>0.5</v>
      </c>
      <c r="Q649"/>
      <c r="R649">
        <v>0</v>
      </c>
      <c r="S649">
        <v>0</v>
      </c>
      <c r="T649"/>
      <c r="U649"/>
      <c r="V649"/>
      <c r="W649"/>
      <c r="X649">
        <v>0</v>
      </c>
      <c r="Y649"/>
      <c r="Z649">
        <v>0</v>
      </c>
      <c r="AA649"/>
      <c r="AB649"/>
      <c r="AC649"/>
      <c r="AD649"/>
      <c r="AE649">
        <v>0</v>
      </c>
      <c r="AF649"/>
      <c r="AG649"/>
      <c r="AH649"/>
    </row>
    <row r="650" spans="1:34" x14ac:dyDescent="0.25">
      <c r="A650" t="s">
        <v>1945</v>
      </c>
      <c r="B650" t="s">
        <v>1946</v>
      </c>
      <c r="C650"/>
      <c r="D650" t="s">
        <v>370</v>
      </c>
      <c r="E650" t="s">
        <v>1037</v>
      </c>
      <c r="F650" t="s">
        <v>1111</v>
      </c>
      <c r="G650" t="s">
        <v>280</v>
      </c>
      <c r="H650" t="s">
        <v>1112</v>
      </c>
      <c r="I650" t="s">
        <v>373</v>
      </c>
      <c r="J650"/>
      <c r="K650">
        <v>1</v>
      </c>
      <c r="L650">
        <v>1</v>
      </c>
      <c r="M650" t="s">
        <v>33</v>
      </c>
      <c r="N650">
        <v>1</v>
      </c>
      <c r="O650">
        <v>0.5</v>
      </c>
      <c r="P650">
        <v>0.5</v>
      </c>
      <c r="Q650"/>
      <c r="R650">
        <v>0</v>
      </c>
      <c r="S650">
        <v>0</v>
      </c>
      <c r="T650"/>
      <c r="U650"/>
      <c r="V650"/>
      <c r="W650"/>
      <c r="X650">
        <v>0</v>
      </c>
      <c r="Y650"/>
      <c r="Z650">
        <v>0</v>
      </c>
      <c r="AA650"/>
      <c r="AB650"/>
      <c r="AC650"/>
      <c r="AD650"/>
      <c r="AE650">
        <v>0</v>
      </c>
      <c r="AF650"/>
      <c r="AG650"/>
      <c r="AH650"/>
    </row>
    <row r="651" spans="1:34" x14ac:dyDescent="0.25">
      <c r="A651" t="s">
        <v>3438</v>
      </c>
      <c r="B651" t="s">
        <v>3439</v>
      </c>
      <c r="C651"/>
      <c r="D651" t="s">
        <v>370</v>
      </c>
      <c r="E651" t="s">
        <v>1037</v>
      </c>
      <c r="F651" t="s">
        <v>1111</v>
      </c>
      <c r="G651" t="s">
        <v>280</v>
      </c>
      <c r="H651" t="s">
        <v>1112</v>
      </c>
      <c r="I651" t="s">
        <v>373</v>
      </c>
      <c r="J651"/>
      <c r="K651">
        <v>1</v>
      </c>
      <c r="L651">
        <v>1</v>
      </c>
      <c r="M651" t="s">
        <v>33</v>
      </c>
      <c r="N651">
        <v>1</v>
      </c>
      <c r="O651">
        <v>0.5</v>
      </c>
      <c r="P651">
        <v>0.5</v>
      </c>
      <c r="Q651"/>
      <c r="R651">
        <v>0</v>
      </c>
      <c r="S651">
        <v>0</v>
      </c>
      <c r="T651"/>
      <c r="U651"/>
      <c r="V651"/>
      <c r="W651"/>
      <c r="X651">
        <v>0</v>
      </c>
      <c r="Y651"/>
      <c r="Z651">
        <v>0</v>
      </c>
      <c r="AA651"/>
      <c r="AB651"/>
      <c r="AC651"/>
      <c r="AD651"/>
      <c r="AE651">
        <v>0</v>
      </c>
      <c r="AF651"/>
      <c r="AG651"/>
      <c r="AH651"/>
    </row>
    <row r="652" spans="1:34" x14ac:dyDescent="0.25">
      <c r="A652" t="s">
        <v>1945</v>
      </c>
      <c r="B652" t="s">
        <v>1946</v>
      </c>
      <c r="C652"/>
      <c r="D652" t="s">
        <v>370</v>
      </c>
      <c r="E652" t="s">
        <v>1037</v>
      </c>
      <c r="F652" t="s">
        <v>1113</v>
      </c>
      <c r="G652" t="s">
        <v>280</v>
      </c>
      <c r="H652" t="s">
        <v>1114</v>
      </c>
      <c r="I652" t="s">
        <v>373</v>
      </c>
      <c r="J652"/>
      <c r="K652">
        <v>1</v>
      </c>
      <c r="L652">
        <v>1</v>
      </c>
      <c r="M652" t="s">
        <v>33</v>
      </c>
      <c r="N652">
        <v>1</v>
      </c>
      <c r="O652">
        <v>0.5</v>
      </c>
      <c r="P652">
        <v>0.5</v>
      </c>
      <c r="Q652"/>
      <c r="R652">
        <v>0</v>
      </c>
      <c r="S652">
        <v>0</v>
      </c>
      <c r="T652"/>
      <c r="U652"/>
      <c r="V652"/>
      <c r="W652"/>
      <c r="X652">
        <v>0</v>
      </c>
      <c r="Y652"/>
      <c r="Z652">
        <v>0</v>
      </c>
      <c r="AA652"/>
      <c r="AB652"/>
      <c r="AC652"/>
      <c r="AD652"/>
      <c r="AE652">
        <v>0</v>
      </c>
      <c r="AF652"/>
      <c r="AG652"/>
      <c r="AH652"/>
    </row>
    <row r="653" spans="1:34" x14ac:dyDescent="0.25">
      <c r="A653" t="s">
        <v>3438</v>
      </c>
      <c r="B653" t="s">
        <v>3439</v>
      </c>
      <c r="C653"/>
      <c r="D653" t="s">
        <v>370</v>
      </c>
      <c r="E653" t="s">
        <v>1037</v>
      </c>
      <c r="F653" t="s">
        <v>1113</v>
      </c>
      <c r="G653" t="s">
        <v>280</v>
      </c>
      <c r="H653" t="s">
        <v>1114</v>
      </c>
      <c r="I653" t="s">
        <v>373</v>
      </c>
      <c r="J653"/>
      <c r="K653">
        <v>1</v>
      </c>
      <c r="L653">
        <v>1</v>
      </c>
      <c r="M653" t="s">
        <v>33</v>
      </c>
      <c r="N653">
        <v>1</v>
      </c>
      <c r="O653">
        <v>0.5</v>
      </c>
      <c r="P653">
        <v>0.5</v>
      </c>
      <c r="Q653"/>
      <c r="R653">
        <v>0</v>
      </c>
      <c r="S653">
        <v>0</v>
      </c>
      <c r="T653"/>
      <c r="U653"/>
      <c r="V653"/>
      <c r="W653"/>
      <c r="X653">
        <v>0</v>
      </c>
      <c r="Y653"/>
      <c r="Z653">
        <v>0</v>
      </c>
      <c r="AA653"/>
      <c r="AB653"/>
      <c r="AC653"/>
      <c r="AD653"/>
      <c r="AE653">
        <v>0</v>
      </c>
      <c r="AF653"/>
      <c r="AG653"/>
      <c r="AH653"/>
    </row>
    <row r="654" spans="1:34" x14ac:dyDescent="0.25">
      <c r="A654" t="s">
        <v>1945</v>
      </c>
      <c r="B654" t="s">
        <v>1946</v>
      </c>
      <c r="C654"/>
      <c r="D654" t="s">
        <v>370</v>
      </c>
      <c r="E654" t="s">
        <v>1037</v>
      </c>
      <c r="F654" t="s">
        <v>1115</v>
      </c>
      <c r="G654" t="s">
        <v>280</v>
      </c>
      <c r="H654" t="s">
        <v>1116</v>
      </c>
      <c r="I654" t="s">
        <v>373</v>
      </c>
      <c r="J654"/>
      <c r="K654">
        <v>1</v>
      </c>
      <c r="L654">
        <v>1</v>
      </c>
      <c r="M654" t="s">
        <v>33</v>
      </c>
      <c r="N654">
        <v>1</v>
      </c>
      <c r="O654">
        <v>0.5</v>
      </c>
      <c r="P654">
        <v>0.5</v>
      </c>
      <c r="Q654"/>
      <c r="R654">
        <v>0</v>
      </c>
      <c r="S654">
        <v>0</v>
      </c>
      <c r="T654"/>
      <c r="U654"/>
      <c r="V654"/>
      <c r="W654"/>
      <c r="X654">
        <v>0</v>
      </c>
      <c r="Y654"/>
      <c r="Z654">
        <v>0</v>
      </c>
      <c r="AA654"/>
      <c r="AB654"/>
      <c r="AC654"/>
      <c r="AD654"/>
      <c r="AE654">
        <v>0</v>
      </c>
      <c r="AF654"/>
      <c r="AG654"/>
      <c r="AH654"/>
    </row>
    <row r="655" spans="1:34" x14ac:dyDescent="0.25">
      <c r="A655" t="s">
        <v>3438</v>
      </c>
      <c r="B655" t="s">
        <v>3439</v>
      </c>
      <c r="C655"/>
      <c r="D655" t="s">
        <v>370</v>
      </c>
      <c r="E655" t="s">
        <v>1037</v>
      </c>
      <c r="F655" t="s">
        <v>1115</v>
      </c>
      <c r="G655" t="s">
        <v>280</v>
      </c>
      <c r="H655" t="s">
        <v>1116</v>
      </c>
      <c r="I655" t="s">
        <v>373</v>
      </c>
      <c r="J655"/>
      <c r="K655">
        <v>1</v>
      </c>
      <c r="L655">
        <v>1</v>
      </c>
      <c r="M655" t="s">
        <v>33</v>
      </c>
      <c r="N655">
        <v>1</v>
      </c>
      <c r="O655">
        <v>0.5</v>
      </c>
      <c r="P655">
        <v>0.5</v>
      </c>
      <c r="Q655"/>
      <c r="R655">
        <v>0</v>
      </c>
      <c r="S655">
        <v>0</v>
      </c>
      <c r="T655"/>
      <c r="U655"/>
      <c r="V655"/>
      <c r="W655"/>
      <c r="X655">
        <v>0</v>
      </c>
      <c r="Y655"/>
      <c r="Z655">
        <v>0</v>
      </c>
      <c r="AA655"/>
      <c r="AB655"/>
      <c r="AC655"/>
      <c r="AD655"/>
      <c r="AE655">
        <v>0</v>
      </c>
      <c r="AF655"/>
      <c r="AG655"/>
      <c r="AH655"/>
    </row>
    <row r="656" spans="1:34" x14ac:dyDescent="0.25">
      <c r="A656" t="s">
        <v>1945</v>
      </c>
      <c r="B656" t="s">
        <v>1946</v>
      </c>
      <c r="C656"/>
      <c r="D656" t="s">
        <v>370</v>
      </c>
      <c r="E656" t="s">
        <v>1037</v>
      </c>
      <c r="F656" t="s">
        <v>1117</v>
      </c>
      <c r="G656" t="s">
        <v>280</v>
      </c>
      <c r="H656" t="s">
        <v>1118</v>
      </c>
      <c r="I656" t="s">
        <v>373</v>
      </c>
      <c r="J656"/>
      <c r="K656">
        <v>1</v>
      </c>
      <c r="L656">
        <v>1</v>
      </c>
      <c r="M656" t="s">
        <v>33</v>
      </c>
      <c r="N656">
        <v>1</v>
      </c>
      <c r="O656">
        <v>0.5</v>
      </c>
      <c r="P656">
        <v>0.5</v>
      </c>
      <c r="Q656"/>
      <c r="R656">
        <v>0</v>
      </c>
      <c r="S656">
        <v>0</v>
      </c>
      <c r="T656"/>
      <c r="U656"/>
      <c r="V656"/>
      <c r="W656"/>
      <c r="X656">
        <v>0</v>
      </c>
      <c r="Y656"/>
      <c r="Z656">
        <v>0</v>
      </c>
      <c r="AA656"/>
      <c r="AB656"/>
      <c r="AC656"/>
      <c r="AD656"/>
      <c r="AE656">
        <v>0</v>
      </c>
      <c r="AF656"/>
      <c r="AG656"/>
      <c r="AH656"/>
    </row>
    <row r="657" spans="1:34" x14ac:dyDescent="0.25">
      <c r="A657" t="s">
        <v>3438</v>
      </c>
      <c r="B657" t="s">
        <v>3439</v>
      </c>
      <c r="C657"/>
      <c r="D657" t="s">
        <v>370</v>
      </c>
      <c r="E657" t="s">
        <v>1037</v>
      </c>
      <c r="F657" t="s">
        <v>1117</v>
      </c>
      <c r="G657" t="s">
        <v>280</v>
      </c>
      <c r="H657" t="s">
        <v>1118</v>
      </c>
      <c r="I657" t="s">
        <v>373</v>
      </c>
      <c r="J657"/>
      <c r="K657">
        <v>1</v>
      </c>
      <c r="L657">
        <v>1</v>
      </c>
      <c r="M657" t="s">
        <v>33</v>
      </c>
      <c r="N657">
        <v>1</v>
      </c>
      <c r="O657">
        <v>0.5</v>
      </c>
      <c r="P657">
        <v>0.5</v>
      </c>
      <c r="Q657"/>
      <c r="R657">
        <v>0</v>
      </c>
      <c r="S657">
        <v>0</v>
      </c>
      <c r="T657"/>
      <c r="U657"/>
      <c r="V657"/>
      <c r="W657"/>
      <c r="X657">
        <v>0</v>
      </c>
      <c r="Y657"/>
      <c r="Z657">
        <v>0</v>
      </c>
      <c r="AA657"/>
      <c r="AB657"/>
      <c r="AC657"/>
      <c r="AD657"/>
      <c r="AE657">
        <v>0</v>
      </c>
      <c r="AF657"/>
      <c r="AG657"/>
      <c r="AH657"/>
    </row>
    <row r="658" spans="1:34" x14ac:dyDescent="0.25">
      <c r="A658" t="s">
        <v>1945</v>
      </c>
      <c r="B658" t="s">
        <v>1946</v>
      </c>
      <c r="C658"/>
      <c r="D658" t="s">
        <v>370</v>
      </c>
      <c r="E658" t="s">
        <v>1037</v>
      </c>
      <c r="F658" t="s">
        <v>1119</v>
      </c>
      <c r="G658" t="s">
        <v>280</v>
      </c>
      <c r="H658" t="s">
        <v>1120</v>
      </c>
      <c r="I658" t="s">
        <v>373</v>
      </c>
      <c r="J658"/>
      <c r="K658">
        <v>1</v>
      </c>
      <c r="L658">
        <v>1</v>
      </c>
      <c r="M658" t="s">
        <v>33</v>
      </c>
      <c r="N658">
        <v>1</v>
      </c>
      <c r="O658">
        <v>0.5</v>
      </c>
      <c r="P658">
        <v>0.5</v>
      </c>
      <c r="Q658"/>
      <c r="R658">
        <v>0</v>
      </c>
      <c r="S658">
        <v>0</v>
      </c>
      <c r="T658"/>
      <c r="U658"/>
      <c r="V658"/>
      <c r="W658"/>
      <c r="X658">
        <v>0</v>
      </c>
      <c r="Y658"/>
      <c r="Z658">
        <v>0</v>
      </c>
      <c r="AA658"/>
      <c r="AB658"/>
      <c r="AC658"/>
      <c r="AD658"/>
      <c r="AE658">
        <v>0</v>
      </c>
      <c r="AF658"/>
      <c r="AG658"/>
      <c r="AH658"/>
    </row>
    <row r="659" spans="1:34" x14ac:dyDescent="0.25">
      <c r="A659" t="s">
        <v>3438</v>
      </c>
      <c r="B659" t="s">
        <v>3439</v>
      </c>
      <c r="C659"/>
      <c r="D659" t="s">
        <v>370</v>
      </c>
      <c r="E659" t="s">
        <v>1037</v>
      </c>
      <c r="F659" t="s">
        <v>1119</v>
      </c>
      <c r="G659" t="s">
        <v>280</v>
      </c>
      <c r="H659" t="s">
        <v>1120</v>
      </c>
      <c r="I659" t="s">
        <v>373</v>
      </c>
      <c r="J659"/>
      <c r="K659">
        <v>1</v>
      </c>
      <c r="L659">
        <v>1</v>
      </c>
      <c r="M659" t="s">
        <v>33</v>
      </c>
      <c r="N659">
        <v>1</v>
      </c>
      <c r="O659">
        <v>0.5</v>
      </c>
      <c r="P659">
        <v>0.5</v>
      </c>
      <c r="Q659"/>
      <c r="R659">
        <v>0</v>
      </c>
      <c r="S659">
        <v>0</v>
      </c>
      <c r="T659"/>
      <c r="U659"/>
      <c r="V659"/>
      <c r="W659"/>
      <c r="X659">
        <v>0</v>
      </c>
      <c r="Y659"/>
      <c r="Z659">
        <v>0</v>
      </c>
      <c r="AA659"/>
      <c r="AB659"/>
      <c r="AC659"/>
      <c r="AD659"/>
      <c r="AE659">
        <v>0</v>
      </c>
      <c r="AF659"/>
      <c r="AG659"/>
      <c r="AH659"/>
    </row>
    <row r="660" spans="1:34" x14ac:dyDescent="0.25">
      <c r="A660" t="s">
        <v>1945</v>
      </c>
      <c r="B660" t="s">
        <v>1946</v>
      </c>
      <c r="C660"/>
      <c r="D660" t="s">
        <v>370</v>
      </c>
      <c r="E660" t="s">
        <v>1037</v>
      </c>
      <c r="F660" t="s">
        <v>1121</v>
      </c>
      <c r="G660" t="s">
        <v>280</v>
      </c>
      <c r="H660" t="s">
        <v>1122</v>
      </c>
      <c r="I660" t="s">
        <v>373</v>
      </c>
      <c r="J660"/>
      <c r="K660">
        <v>1</v>
      </c>
      <c r="L660">
        <v>1</v>
      </c>
      <c r="M660" t="s">
        <v>33</v>
      </c>
      <c r="N660">
        <v>1</v>
      </c>
      <c r="O660">
        <v>0.5</v>
      </c>
      <c r="P660">
        <v>0.5</v>
      </c>
      <c r="Q660"/>
      <c r="R660">
        <v>0</v>
      </c>
      <c r="S660">
        <v>0</v>
      </c>
      <c r="T660"/>
      <c r="U660"/>
      <c r="V660"/>
      <c r="W660"/>
      <c r="X660">
        <v>0</v>
      </c>
      <c r="Y660"/>
      <c r="Z660">
        <v>0</v>
      </c>
      <c r="AA660"/>
      <c r="AB660"/>
      <c r="AC660"/>
      <c r="AD660"/>
      <c r="AE660">
        <v>0</v>
      </c>
      <c r="AF660"/>
      <c r="AG660"/>
      <c r="AH660"/>
    </row>
    <row r="661" spans="1:34" x14ac:dyDescent="0.25">
      <c r="A661" t="s">
        <v>3438</v>
      </c>
      <c r="B661" t="s">
        <v>3439</v>
      </c>
      <c r="C661"/>
      <c r="D661" t="s">
        <v>370</v>
      </c>
      <c r="E661" t="s">
        <v>1037</v>
      </c>
      <c r="F661" t="s">
        <v>1121</v>
      </c>
      <c r="G661" t="s">
        <v>280</v>
      </c>
      <c r="H661" t="s">
        <v>1122</v>
      </c>
      <c r="I661" t="s">
        <v>373</v>
      </c>
      <c r="J661"/>
      <c r="K661">
        <v>1</v>
      </c>
      <c r="L661">
        <v>1</v>
      </c>
      <c r="M661" t="s">
        <v>33</v>
      </c>
      <c r="N661">
        <v>1</v>
      </c>
      <c r="O661">
        <v>0.5</v>
      </c>
      <c r="P661">
        <v>0.5</v>
      </c>
      <c r="Q661"/>
      <c r="R661">
        <v>0</v>
      </c>
      <c r="S661">
        <v>0</v>
      </c>
      <c r="T661"/>
      <c r="U661"/>
      <c r="V661"/>
      <c r="W661"/>
      <c r="X661">
        <v>0</v>
      </c>
      <c r="Y661"/>
      <c r="Z661">
        <v>0</v>
      </c>
      <c r="AA661"/>
      <c r="AB661"/>
      <c r="AC661"/>
      <c r="AD661"/>
      <c r="AE661">
        <v>0</v>
      </c>
      <c r="AF661"/>
      <c r="AG661"/>
      <c r="AH661"/>
    </row>
    <row r="662" spans="1:34" x14ac:dyDescent="0.25">
      <c r="A662" t="s">
        <v>1945</v>
      </c>
      <c r="B662" t="s">
        <v>1946</v>
      </c>
      <c r="C662"/>
      <c r="D662" t="s">
        <v>370</v>
      </c>
      <c r="E662" t="s">
        <v>1037</v>
      </c>
      <c r="F662" t="s">
        <v>1123</v>
      </c>
      <c r="G662" t="s">
        <v>280</v>
      </c>
      <c r="H662" t="s">
        <v>1124</v>
      </c>
      <c r="I662" t="s">
        <v>373</v>
      </c>
      <c r="J662"/>
      <c r="K662">
        <v>1</v>
      </c>
      <c r="L662">
        <v>1</v>
      </c>
      <c r="M662" t="s">
        <v>33</v>
      </c>
      <c r="N662">
        <v>1</v>
      </c>
      <c r="O662">
        <v>0.5</v>
      </c>
      <c r="P662">
        <v>0.5</v>
      </c>
      <c r="Q662"/>
      <c r="R662">
        <v>0</v>
      </c>
      <c r="S662">
        <v>0</v>
      </c>
      <c r="T662"/>
      <c r="U662"/>
      <c r="V662"/>
      <c r="W662"/>
      <c r="X662">
        <v>0</v>
      </c>
      <c r="Y662"/>
      <c r="Z662">
        <v>0</v>
      </c>
      <c r="AA662"/>
      <c r="AB662"/>
      <c r="AC662"/>
      <c r="AD662"/>
      <c r="AE662">
        <v>0</v>
      </c>
      <c r="AF662"/>
      <c r="AG662"/>
      <c r="AH662"/>
    </row>
    <row r="663" spans="1:34" x14ac:dyDescent="0.25">
      <c r="A663" t="s">
        <v>3438</v>
      </c>
      <c r="B663" t="s">
        <v>3439</v>
      </c>
      <c r="C663"/>
      <c r="D663" t="s">
        <v>370</v>
      </c>
      <c r="E663" t="s">
        <v>1037</v>
      </c>
      <c r="F663" t="s">
        <v>1123</v>
      </c>
      <c r="G663" t="s">
        <v>280</v>
      </c>
      <c r="H663" t="s">
        <v>1124</v>
      </c>
      <c r="I663" t="s">
        <v>373</v>
      </c>
      <c r="J663"/>
      <c r="K663">
        <v>1</v>
      </c>
      <c r="L663">
        <v>1</v>
      </c>
      <c r="M663" t="s">
        <v>33</v>
      </c>
      <c r="N663">
        <v>1</v>
      </c>
      <c r="O663">
        <v>0.5</v>
      </c>
      <c r="P663">
        <v>0.5</v>
      </c>
      <c r="Q663"/>
      <c r="R663">
        <v>0</v>
      </c>
      <c r="S663">
        <v>0</v>
      </c>
      <c r="T663"/>
      <c r="U663"/>
      <c r="V663"/>
      <c r="W663"/>
      <c r="X663">
        <v>0</v>
      </c>
      <c r="Y663"/>
      <c r="Z663">
        <v>0</v>
      </c>
      <c r="AA663"/>
      <c r="AB663"/>
      <c r="AC663"/>
      <c r="AD663"/>
      <c r="AE663">
        <v>0</v>
      </c>
      <c r="AF663"/>
      <c r="AG663"/>
      <c r="AH663"/>
    </row>
    <row r="664" spans="1:34" x14ac:dyDescent="0.25">
      <c r="A664" t="s">
        <v>1945</v>
      </c>
      <c r="B664" t="s">
        <v>1946</v>
      </c>
      <c r="C664"/>
      <c r="D664" t="s">
        <v>370</v>
      </c>
      <c r="E664" t="s">
        <v>1037</v>
      </c>
      <c r="F664" t="s">
        <v>1125</v>
      </c>
      <c r="G664" t="s">
        <v>280</v>
      </c>
      <c r="H664" t="s">
        <v>1126</v>
      </c>
      <c r="I664" t="s">
        <v>373</v>
      </c>
      <c r="J664"/>
      <c r="K664">
        <v>1</v>
      </c>
      <c r="L664">
        <v>1</v>
      </c>
      <c r="M664" t="s">
        <v>33</v>
      </c>
      <c r="N664">
        <v>1</v>
      </c>
      <c r="O664">
        <v>0.5</v>
      </c>
      <c r="P664">
        <v>0.5</v>
      </c>
      <c r="Q664"/>
      <c r="R664">
        <v>0</v>
      </c>
      <c r="S664">
        <v>0</v>
      </c>
      <c r="T664"/>
      <c r="U664"/>
      <c r="V664"/>
      <c r="W664"/>
      <c r="X664">
        <v>0</v>
      </c>
      <c r="Y664"/>
      <c r="Z664">
        <v>0</v>
      </c>
      <c r="AA664"/>
      <c r="AB664"/>
      <c r="AC664"/>
      <c r="AD664"/>
      <c r="AE664">
        <v>0</v>
      </c>
      <c r="AF664"/>
      <c r="AG664"/>
      <c r="AH664"/>
    </row>
    <row r="665" spans="1:34" x14ac:dyDescent="0.25">
      <c r="A665" t="s">
        <v>3438</v>
      </c>
      <c r="B665" t="s">
        <v>3439</v>
      </c>
      <c r="C665"/>
      <c r="D665" t="s">
        <v>370</v>
      </c>
      <c r="E665" t="s">
        <v>1037</v>
      </c>
      <c r="F665" t="s">
        <v>1125</v>
      </c>
      <c r="G665" t="s">
        <v>280</v>
      </c>
      <c r="H665" t="s">
        <v>1126</v>
      </c>
      <c r="I665" t="s">
        <v>373</v>
      </c>
      <c r="J665"/>
      <c r="K665">
        <v>1</v>
      </c>
      <c r="L665">
        <v>1</v>
      </c>
      <c r="M665" t="s">
        <v>33</v>
      </c>
      <c r="N665">
        <v>1</v>
      </c>
      <c r="O665">
        <v>0.5</v>
      </c>
      <c r="P665">
        <v>0.5</v>
      </c>
      <c r="Q665"/>
      <c r="R665">
        <v>0</v>
      </c>
      <c r="S665">
        <v>0</v>
      </c>
      <c r="T665"/>
      <c r="U665"/>
      <c r="V665"/>
      <c r="W665"/>
      <c r="X665">
        <v>0</v>
      </c>
      <c r="Y665"/>
      <c r="Z665">
        <v>0</v>
      </c>
      <c r="AA665"/>
      <c r="AB665"/>
      <c r="AC665"/>
      <c r="AD665"/>
      <c r="AE665">
        <v>0</v>
      </c>
      <c r="AF665"/>
      <c r="AG665"/>
      <c r="AH665"/>
    </row>
    <row r="666" spans="1:34" x14ac:dyDescent="0.25">
      <c r="A666" t="s">
        <v>1945</v>
      </c>
      <c r="B666" t="s">
        <v>1946</v>
      </c>
      <c r="C666"/>
      <c r="D666" t="s">
        <v>370</v>
      </c>
      <c r="E666" t="s">
        <v>1037</v>
      </c>
      <c r="F666" t="s">
        <v>1127</v>
      </c>
      <c r="G666" t="s">
        <v>280</v>
      </c>
      <c r="H666" t="s">
        <v>1128</v>
      </c>
      <c r="I666" t="s">
        <v>373</v>
      </c>
      <c r="J666"/>
      <c r="K666">
        <v>1</v>
      </c>
      <c r="L666">
        <v>1</v>
      </c>
      <c r="M666" t="s">
        <v>33</v>
      </c>
      <c r="N666">
        <v>1</v>
      </c>
      <c r="O666">
        <v>0.5</v>
      </c>
      <c r="P666">
        <v>0.5</v>
      </c>
      <c r="Q666"/>
      <c r="R666">
        <v>0</v>
      </c>
      <c r="S666">
        <v>0</v>
      </c>
      <c r="T666"/>
      <c r="U666"/>
      <c r="V666"/>
      <c r="W666"/>
      <c r="X666">
        <v>0</v>
      </c>
      <c r="Y666"/>
      <c r="Z666">
        <v>0</v>
      </c>
      <c r="AA666"/>
      <c r="AB666"/>
      <c r="AC666"/>
      <c r="AD666"/>
      <c r="AE666">
        <v>0</v>
      </c>
      <c r="AF666"/>
      <c r="AG666"/>
      <c r="AH666"/>
    </row>
    <row r="667" spans="1:34" x14ac:dyDescent="0.25">
      <c r="A667" t="s">
        <v>3438</v>
      </c>
      <c r="B667" t="s">
        <v>3439</v>
      </c>
      <c r="C667"/>
      <c r="D667" t="s">
        <v>370</v>
      </c>
      <c r="E667" t="s">
        <v>1037</v>
      </c>
      <c r="F667" t="s">
        <v>1127</v>
      </c>
      <c r="G667" t="s">
        <v>280</v>
      </c>
      <c r="H667" t="s">
        <v>1128</v>
      </c>
      <c r="I667" t="s">
        <v>373</v>
      </c>
      <c r="J667"/>
      <c r="K667">
        <v>1</v>
      </c>
      <c r="L667">
        <v>1</v>
      </c>
      <c r="M667" t="s">
        <v>33</v>
      </c>
      <c r="N667">
        <v>1</v>
      </c>
      <c r="O667">
        <v>0.5</v>
      </c>
      <c r="P667">
        <v>0.5</v>
      </c>
      <c r="Q667"/>
      <c r="R667">
        <v>0</v>
      </c>
      <c r="S667">
        <v>0</v>
      </c>
      <c r="T667"/>
      <c r="U667"/>
      <c r="V667"/>
      <c r="W667"/>
      <c r="X667">
        <v>0</v>
      </c>
      <c r="Y667"/>
      <c r="Z667">
        <v>0</v>
      </c>
      <c r="AA667"/>
      <c r="AB667"/>
      <c r="AC667"/>
      <c r="AD667"/>
      <c r="AE667">
        <v>0</v>
      </c>
      <c r="AF667"/>
      <c r="AG667"/>
      <c r="AH667"/>
    </row>
    <row r="668" spans="1:34" x14ac:dyDescent="0.25">
      <c r="A668" t="s">
        <v>1945</v>
      </c>
      <c r="B668" t="s">
        <v>1946</v>
      </c>
      <c r="C668"/>
      <c r="D668" t="s">
        <v>370</v>
      </c>
      <c r="E668" t="s">
        <v>1037</v>
      </c>
      <c r="F668" t="s">
        <v>1129</v>
      </c>
      <c r="G668" t="s">
        <v>280</v>
      </c>
      <c r="H668" t="s">
        <v>1130</v>
      </c>
      <c r="I668" t="s">
        <v>373</v>
      </c>
      <c r="J668"/>
      <c r="K668">
        <v>1</v>
      </c>
      <c r="L668">
        <v>1</v>
      </c>
      <c r="M668" t="s">
        <v>33</v>
      </c>
      <c r="N668">
        <v>1</v>
      </c>
      <c r="O668">
        <v>0.5</v>
      </c>
      <c r="P668">
        <v>0.5</v>
      </c>
      <c r="Q668"/>
      <c r="R668">
        <v>0</v>
      </c>
      <c r="S668">
        <v>0</v>
      </c>
      <c r="T668"/>
      <c r="U668"/>
      <c r="V668"/>
      <c r="W668"/>
      <c r="X668">
        <v>0</v>
      </c>
      <c r="Y668"/>
      <c r="Z668">
        <v>0</v>
      </c>
      <c r="AA668"/>
      <c r="AB668"/>
      <c r="AC668"/>
      <c r="AD668"/>
      <c r="AE668">
        <v>0</v>
      </c>
      <c r="AF668"/>
      <c r="AG668"/>
      <c r="AH668"/>
    </row>
    <row r="669" spans="1:34" x14ac:dyDescent="0.25">
      <c r="A669" t="s">
        <v>3438</v>
      </c>
      <c r="B669" t="s">
        <v>3439</v>
      </c>
      <c r="C669"/>
      <c r="D669" t="s">
        <v>370</v>
      </c>
      <c r="E669" t="s">
        <v>1037</v>
      </c>
      <c r="F669" t="s">
        <v>1129</v>
      </c>
      <c r="G669" t="s">
        <v>280</v>
      </c>
      <c r="H669" t="s">
        <v>1130</v>
      </c>
      <c r="I669" t="s">
        <v>373</v>
      </c>
      <c r="J669"/>
      <c r="K669">
        <v>1</v>
      </c>
      <c r="L669">
        <v>1</v>
      </c>
      <c r="M669" t="s">
        <v>33</v>
      </c>
      <c r="N669">
        <v>1</v>
      </c>
      <c r="O669">
        <v>0.5</v>
      </c>
      <c r="P669">
        <v>0.5</v>
      </c>
      <c r="Q669"/>
      <c r="R669">
        <v>0</v>
      </c>
      <c r="S669">
        <v>0</v>
      </c>
      <c r="T669"/>
      <c r="U669"/>
      <c r="V669"/>
      <c r="W669"/>
      <c r="X669">
        <v>0</v>
      </c>
      <c r="Y669"/>
      <c r="Z669">
        <v>0</v>
      </c>
      <c r="AA669"/>
      <c r="AB669"/>
      <c r="AC669"/>
      <c r="AD669"/>
      <c r="AE669">
        <v>0</v>
      </c>
      <c r="AF669"/>
      <c r="AG669"/>
      <c r="AH669"/>
    </row>
    <row r="670" spans="1:34" x14ac:dyDescent="0.25">
      <c r="A670" t="s">
        <v>1945</v>
      </c>
      <c r="B670" t="s">
        <v>1946</v>
      </c>
      <c r="C670"/>
      <c r="D670" t="s">
        <v>370</v>
      </c>
      <c r="E670" t="s">
        <v>1037</v>
      </c>
      <c r="F670" t="s">
        <v>1131</v>
      </c>
      <c r="G670" t="s">
        <v>280</v>
      </c>
      <c r="H670" t="s">
        <v>1132</v>
      </c>
      <c r="I670" t="s">
        <v>373</v>
      </c>
      <c r="J670"/>
      <c r="K670">
        <v>1</v>
      </c>
      <c r="L670">
        <v>1</v>
      </c>
      <c r="M670" t="s">
        <v>33</v>
      </c>
      <c r="N670">
        <v>1</v>
      </c>
      <c r="O670">
        <v>0.5</v>
      </c>
      <c r="P670">
        <v>0.5</v>
      </c>
      <c r="Q670"/>
      <c r="R670">
        <v>0</v>
      </c>
      <c r="S670">
        <v>0</v>
      </c>
      <c r="T670"/>
      <c r="U670"/>
      <c r="V670"/>
      <c r="W670"/>
      <c r="X670">
        <v>0</v>
      </c>
      <c r="Y670"/>
      <c r="Z670">
        <v>0</v>
      </c>
      <c r="AA670"/>
      <c r="AB670"/>
      <c r="AC670"/>
      <c r="AD670"/>
      <c r="AE670">
        <v>0</v>
      </c>
      <c r="AF670"/>
      <c r="AG670"/>
      <c r="AH670"/>
    </row>
    <row r="671" spans="1:34" x14ac:dyDescent="0.25">
      <c r="A671" t="s">
        <v>3438</v>
      </c>
      <c r="B671" t="s">
        <v>3439</v>
      </c>
      <c r="C671"/>
      <c r="D671" t="s">
        <v>370</v>
      </c>
      <c r="E671" t="s">
        <v>1037</v>
      </c>
      <c r="F671" t="s">
        <v>1131</v>
      </c>
      <c r="G671" t="s">
        <v>280</v>
      </c>
      <c r="H671" t="s">
        <v>1132</v>
      </c>
      <c r="I671" t="s">
        <v>373</v>
      </c>
      <c r="J671"/>
      <c r="K671">
        <v>1</v>
      </c>
      <c r="L671">
        <v>1</v>
      </c>
      <c r="M671" t="s">
        <v>33</v>
      </c>
      <c r="N671">
        <v>1</v>
      </c>
      <c r="O671">
        <v>0.5</v>
      </c>
      <c r="P671">
        <v>0.5</v>
      </c>
      <c r="Q671"/>
      <c r="R671">
        <v>0</v>
      </c>
      <c r="S671">
        <v>0</v>
      </c>
      <c r="T671"/>
      <c r="U671"/>
      <c r="V671"/>
      <c r="W671"/>
      <c r="X671">
        <v>0</v>
      </c>
      <c r="Y671"/>
      <c r="Z671">
        <v>0</v>
      </c>
      <c r="AA671"/>
      <c r="AB671"/>
      <c r="AC671"/>
      <c r="AD671"/>
      <c r="AE671">
        <v>0</v>
      </c>
      <c r="AF671"/>
      <c r="AG671"/>
      <c r="AH671"/>
    </row>
    <row r="672" spans="1:34" x14ac:dyDescent="0.25">
      <c r="A672" t="s">
        <v>1945</v>
      </c>
      <c r="B672" t="s">
        <v>1946</v>
      </c>
      <c r="C672"/>
      <c r="D672" t="s">
        <v>370</v>
      </c>
      <c r="E672" t="s">
        <v>1037</v>
      </c>
      <c r="F672" t="s">
        <v>1133</v>
      </c>
      <c r="G672" t="s">
        <v>280</v>
      </c>
      <c r="H672" t="s">
        <v>1134</v>
      </c>
      <c r="I672" t="s">
        <v>373</v>
      </c>
      <c r="J672"/>
      <c r="K672">
        <v>1</v>
      </c>
      <c r="L672">
        <v>1</v>
      </c>
      <c r="M672" t="s">
        <v>33</v>
      </c>
      <c r="N672">
        <v>1</v>
      </c>
      <c r="O672">
        <v>0.5</v>
      </c>
      <c r="P672">
        <v>0.5</v>
      </c>
      <c r="Q672"/>
      <c r="R672">
        <v>0</v>
      </c>
      <c r="S672">
        <v>0</v>
      </c>
      <c r="T672"/>
      <c r="U672"/>
      <c r="V672"/>
      <c r="W672"/>
      <c r="X672">
        <v>0</v>
      </c>
      <c r="Y672"/>
      <c r="Z672">
        <v>0</v>
      </c>
      <c r="AA672"/>
      <c r="AB672"/>
      <c r="AC672"/>
      <c r="AD672"/>
      <c r="AE672">
        <v>0</v>
      </c>
      <c r="AF672"/>
      <c r="AG672"/>
      <c r="AH672"/>
    </row>
    <row r="673" spans="1:34" x14ac:dyDescent="0.25">
      <c r="A673" t="s">
        <v>3438</v>
      </c>
      <c r="B673" t="s">
        <v>3439</v>
      </c>
      <c r="C673"/>
      <c r="D673" t="s">
        <v>370</v>
      </c>
      <c r="E673" t="s">
        <v>1037</v>
      </c>
      <c r="F673" t="s">
        <v>1133</v>
      </c>
      <c r="G673" t="s">
        <v>280</v>
      </c>
      <c r="H673" t="s">
        <v>1134</v>
      </c>
      <c r="I673" t="s">
        <v>373</v>
      </c>
      <c r="J673"/>
      <c r="K673">
        <v>1</v>
      </c>
      <c r="L673">
        <v>1</v>
      </c>
      <c r="M673" t="s">
        <v>33</v>
      </c>
      <c r="N673">
        <v>1</v>
      </c>
      <c r="O673">
        <v>0.5</v>
      </c>
      <c r="P673">
        <v>0.5</v>
      </c>
      <c r="Q673"/>
      <c r="R673">
        <v>0</v>
      </c>
      <c r="S673">
        <v>0</v>
      </c>
      <c r="T673"/>
      <c r="U673"/>
      <c r="V673"/>
      <c r="W673"/>
      <c r="X673">
        <v>0</v>
      </c>
      <c r="Y673"/>
      <c r="Z673">
        <v>0</v>
      </c>
      <c r="AA673"/>
      <c r="AB673"/>
      <c r="AC673"/>
      <c r="AD673"/>
      <c r="AE673">
        <v>0</v>
      </c>
      <c r="AF673"/>
      <c r="AG673"/>
      <c r="AH673"/>
    </row>
    <row r="674" spans="1:34" x14ac:dyDescent="0.25">
      <c r="A674" t="s">
        <v>1945</v>
      </c>
      <c r="B674" t="s">
        <v>1946</v>
      </c>
      <c r="C674"/>
      <c r="D674" t="s">
        <v>370</v>
      </c>
      <c r="E674" t="s">
        <v>1037</v>
      </c>
      <c r="F674" t="s">
        <v>1135</v>
      </c>
      <c r="G674" t="s">
        <v>280</v>
      </c>
      <c r="H674" t="s">
        <v>1136</v>
      </c>
      <c r="I674" t="s">
        <v>373</v>
      </c>
      <c r="J674"/>
      <c r="K674">
        <v>1</v>
      </c>
      <c r="L674">
        <v>1</v>
      </c>
      <c r="M674" t="s">
        <v>33</v>
      </c>
      <c r="N674">
        <v>1</v>
      </c>
      <c r="O674">
        <v>0.5</v>
      </c>
      <c r="P674">
        <v>0.5</v>
      </c>
      <c r="Q674"/>
      <c r="R674">
        <v>0</v>
      </c>
      <c r="S674">
        <v>0</v>
      </c>
      <c r="T674"/>
      <c r="U674"/>
      <c r="V674"/>
      <c r="W674"/>
      <c r="X674">
        <v>0</v>
      </c>
      <c r="Y674"/>
      <c r="Z674">
        <v>0</v>
      </c>
      <c r="AA674"/>
      <c r="AB674"/>
      <c r="AC674"/>
      <c r="AD674"/>
      <c r="AE674">
        <v>0</v>
      </c>
      <c r="AF674"/>
      <c r="AG674"/>
      <c r="AH674"/>
    </row>
    <row r="675" spans="1:34" x14ac:dyDescent="0.25">
      <c r="A675" t="s">
        <v>3438</v>
      </c>
      <c r="B675" t="s">
        <v>3439</v>
      </c>
      <c r="C675"/>
      <c r="D675" t="s">
        <v>370</v>
      </c>
      <c r="E675" t="s">
        <v>1037</v>
      </c>
      <c r="F675" t="s">
        <v>1135</v>
      </c>
      <c r="G675" t="s">
        <v>280</v>
      </c>
      <c r="H675" t="s">
        <v>1136</v>
      </c>
      <c r="I675" t="s">
        <v>373</v>
      </c>
      <c r="J675"/>
      <c r="K675">
        <v>1</v>
      </c>
      <c r="L675">
        <v>1</v>
      </c>
      <c r="M675" t="s">
        <v>33</v>
      </c>
      <c r="N675">
        <v>1</v>
      </c>
      <c r="O675">
        <v>0.5</v>
      </c>
      <c r="P675">
        <v>0.5</v>
      </c>
      <c r="Q675"/>
      <c r="R675">
        <v>0</v>
      </c>
      <c r="S675">
        <v>0</v>
      </c>
      <c r="T675"/>
      <c r="U675"/>
      <c r="V675"/>
      <c r="W675"/>
      <c r="X675">
        <v>0</v>
      </c>
      <c r="Y675"/>
      <c r="Z675">
        <v>0</v>
      </c>
      <c r="AA675"/>
      <c r="AB675"/>
      <c r="AC675"/>
      <c r="AD675"/>
      <c r="AE675">
        <v>0</v>
      </c>
      <c r="AF675"/>
      <c r="AG675"/>
      <c r="AH675"/>
    </row>
    <row r="676" spans="1:34" x14ac:dyDescent="0.25">
      <c r="A676" t="s">
        <v>1945</v>
      </c>
      <c r="B676" t="s">
        <v>1946</v>
      </c>
      <c r="C676"/>
      <c r="D676" t="s">
        <v>370</v>
      </c>
      <c r="E676" t="s">
        <v>1037</v>
      </c>
      <c r="F676" t="s">
        <v>1137</v>
      </c>
      <c r="G676" t="s">
        <v>280</v>
      </c>
      <c r="H676" t="s">
        <v>1138</v>
      </c>
      <c r="I676" t="s">
        <v>373</v>
      </c>
      <c r="J676"/>
      <c r="K676">
        <v>1</v>
      </c>
      <c r="L676">
        <v>1</v>
      </c>
      <c r="M676" t="s">
        <v>33</v>
      </c>
      <c r="N676">
        <v>1</v>
      </c>
      <c r="O676">
        <v>0.5</v>
      </c>
      <c r="P676">
        <v>0.5</v>
      </c>
      <c r="Q676"/>
      <c r="R676">
        <v>0</v>
      </c>
      <c r="S676">
        <v>0</v>
      </c>
      <c r="T676"/>
      <c r="U676"/>
      <c r="V676"/>
      <c r="W676"/>
      <c r="X676">
        <v>0</v>
      </c>
      <c r="Y676"/>
      <c r="Z676">
        <v>0</v>
      </c>
      <c r="AA676"/>
      <c r="AB676"/>
      <c r="AC676"/>
      <c r="AD676"/>
      <c r="AE676">
        <v>0</v>
      </c>
      <c r="AF676"/>
      <c r="AG676"/>
      <c r="AH676"/>
    </row>
    <row r="677" spans="1:34" x14ac:dyDescent="0.25">
      <c r="A677" t="s">
        <v>3438</v>
      </c>
      <c r="B677" t="s">
        <v>3439</v>
      </c>
      <c r="C677"/>
      <c r="D677" t="s">
        <v>370</v>
      </c>
      <c r="E677" t="s">
        <v>1037</v>
      </c>
      <c r="F677" t="s">
        <v>1137</v>
      </c>
      <c r="G677" t="s">
        <v>280</v>
      </c>
      <c r="H677" t="s">
        <v>1138</v>
      </c>
      <c r="I677" t="s">
        <v>373</v>
      </c>
      <c r="J677"/>
      <c r="K677">
        <v>1</v>
      </c>
      <c r="L677">
        <v>1</v>
      </c>
      <c r="M677" t="s">
        <v>33</v>
      </c>
      <c r="N677">
        <v>1</v>
      </c>
      <c r="O677">
        <v>0.5</v>
      </c>
      <c r="P677">
        <v>0.5</v>
      </c>
      <c r="Q677"/>
      <c r="R677">
        <v>0</v>
      </c>
      <c r="S677">
        <v>0</v>
      </c>
      <c r="T677"/>
      <c r="U677"/>
      <c r="V677"/>
      <c r="W677"/>
      <c r="X677">
        <v>0</v>
      </c>
      <c r="Y677"/>
      <c r="Z677">
        <v>0</v>
      </c>
      <c r="AA677"/>
      <c r="AB677"/>
      <c r="AC677"/>
      <c r="AD677"/>
      <c r="AE677">
        <v>0</v>
      </c>
      <c r="AF677"/>
      <c r="AG677"/>
      <c r="AH677"/>
    </row>
    <row r="678" spans="1:34" x14ac:dyDescent="0.25">
      <c r="A678" t="s">
        <v>1945</v>
      </c>
      <c r="B678" t="s">
        <v>1946</v>
      </c>
      <c r="C678"/>
      <c r="D678" t="s">
        <v>370</v>
      </c>
      <c r="E678" t="s">
        <v>1037</v>
      </c>
      <c r="F678" t="s">
        <v>1139</v>
      </c>
      <c r="G678" t="s">
        <v>280</v>
      </c>
      <c r="H678" t="s">
        <v>1140</v>
      </c>
      <c r="I678" t="s">
        <v>373</v>
      </c>
      <c r="J678"/>
      <c r="K678">
        <v>1</v>
      </c>
      <c r="L678">
        <v>1</v>
      </c>
      <c r="M678" t="s">
        <v>33</v>
      </c>
      <c r="N678">
        <v>1</v>
      </c>
      <c r="O678">
        <v>0.5</v>
      </c>
      <c r="P678">
        <v>0.5</v>
      </c>
      <c r="Q678"/>
      <c r="R678">
        <v>0</v>
      </c>
      <c r="S678">
        <v>0</v>
      </c>
      <c r="T678"/>
      <c r="U678"/>
      <c r="V678"/>
      <c r="W678"/>
      <c r="X678">
        <v>0</v>
      </c>
      <c r="Y678"/>
      <c r="Z678">
        <v>0</v>
      </c>
      <c r="AA678"/>
      <c r="AB678"/>
      <c r="AC678"/>
      <c r="AD678"/>
      <c r="AE678">
        <v>0</v>
      </c>
      <c r="AF678"/>
      <c r="AG678"/>
      <c r="AH678"/>
    </row>
    <row r="679" spans="1:34" x14ac:dyDescent="0.25">
      <c r="A679" t="s">
        <v>3438</v>
      </c>
      <c r="B679" t="s">
        <v>3439</v>
      </c>
      <c r="C679"/>
      <c r="D679" t="s">
        <v>370</v>
      </c>
      <c r="E679" t="s">
        <v>1037</v>
      </c>
      <c r="F679" t="s">
        <v>1139</v>
      </c>
      <c r="G679" t="s">
        <v>280</v>
      </c>
      <c r="H679" t="s">
        <v>1140</v>
      </c>
      <c r="I679" t="s">
        <v>373</v>
      </c>
      <c r="J679"/>
      <c r="K679">
        <v>1</v>
      </c>
      <c r="L679">
        <v>1</v>
      </c>
      <c r="M679" t="s">
        <v>33</v>
      </c>
      <c r="N679">
        <v>1</v>
      </c>
      <c r="O679">
        <v>0.5</v>
      </c>
      <c r="P679">
        <v>0.5</v>
      </c>
      <c r="Q679"/>
      <c r="R679">
        <v>0</v>
      </c>
      <c r="S679">
        <v>0</v>
      </c>
      <c r="T679"/>
      <c r="U679"/>
      <c r="V679"/>
      <c r="W679"/>
      <c r="X679">
        <v>0</v>
      </c>
      <c r="Y679"/>
      <c r="Z679">
        <v>0</v>
      </c>
      <c r="AA679"/>
      <c r="AB679"/>
      <c r="AC679"/>
      <c r="AD679"/>
      <c r="AE679">
        <v>0</v>
      </c>
      <c r="AF679"/>
      <c r="AG679"/>
      <c r="AH679"/>
    </row>
    <row r="680" spans="1:34" x14ac:dyDescent="0.25">
      <c r="A680" t="s">
        <v>1945</v>
      </c>
      <c r="B680" t="s">
        <v>1946</v>
      </c>
      <c r="C680"/>
      <c r="D680" t="s">
        <v>370</v>
      </c>
      <c r="E680" t="s">
        <v>1037</v>
      </c>
      <c r="F680" t="s">
        <v>1141</v>
      </c>
      <c r="G680" t="s">
        <v>280</v>
      </c>
      <c r="H680" t="s">
        <v>1142</v>
      </c>
      <c r="I680" t="s">
        <v>373</v>
      </c>
      <c r="J680"/>
      <c r="K680">
        <v>1</v>
      </c>
      <c r="L680">
        <v>1</v>
      </c>
      <c r="M680" t="s">
        <v>33</v>
      </c>
      <c r="N680">
        <v>1</v>
      </c>
      <c r="O680">
        <v>0.5</v>
      </c>
      <c r="P680">
        <v>0.5</v>
      </c>
      <c r="Q680"/>
      <c r="R680">
        <v>0</v>
      </c>
      <c r="S680">
        <v>0</v>
      </c>
      <c r="T680"/>
      <c r="U680"/>
      <c r="V680"/>
      <c r="W680"/>
      <c r="X680">
        <v>0</v>
      </c>
      <c r="Y680"/>
      <c r="Z680">
        <v>0</v>
      </c>
      <c r="AA680"/>
      <c r="AB680"/>
      <c r="AC680"/>
      <c r="AD680"/>
      <c r="AE680">
        <v>0</v>
      </c>
      <c r="AF680"/>
      <c r="AG680"/>
      <c r="AH680"/>
    </row>
    <row r="681" spans="1:34" x14ac:dyDescent="0.25">
      <c r="A681" t="s">
        <v>3438</v>
      </c>
      <c r="B681" t="s">
        <v>3439</v>
      </c>
      <c r="C681"/>
      <c r="D681" t="s">
        <v>370</v>
      </c>
      <c r="E681" t="s">
        <v>1037</v>
      </c>
      <c r="F681" t="s">
        <v>1141</v>
      </c>
      <c r="G681" t="s">
        <v>280</v>
      </c>
      <c r="H681" t="s">
        <v>1142</v>
      </c>
      <c r="I681" t="s">
        <v>373</v>
      </c>
      <c r="J681"/>
      <c r="K681">
        <v>1</v>
      </c>
      <c r="L681">
        <v>1</v>
      </c>
      <c r="M681" t="s">
        <v>33</v>
      </c>
      <c r="N681">
        <v>1</v>
      </c>
      <c r="O681">
        <v>0.5</v>
      </c>
      <c r="P681">
        <v>0.5</v>
      </c>
      <c r="Q681"/>
      <c r="R681">
        <v>0</v>
      </c>
      <c r="S681">
        <v>0</v>
      </c>
      <c r="T681"/>
      <c r="U681"/>
      <c r="V681"/>
      <c r="W681"/>
      <c r="X681">
        <v>0</v>
      </c>
      <c r="Y681"/>
      <c r="Z681">
        <v>0</v>
      </c>
      <c r="AA681"/>
      <c r="AB681"/>
      <c r="AC681"/>
      <c r="AD681"/>
      <c r="AE681">
        <v>0</v>
      </c>
      <c r="AF681"/>
      <c r="AG681"/>
      <c r="AH681"/>
    </row>
    <row r="682" spans="1:34" x14ac:dyDescent="0.25">
      <c r="A682" t="s">
        <v>1945</v>
      </c>
      <c r="B682" t="s">
        <v>1946</v>
      </c>
      <c r="C682"/>
      <c r="D682" t="s">
        <v>370</v>
      </c>
      <c r="E682" t="s">
        <v>1037</v>
      </c>
      <c r="F682" t="s">
        <v>1143</v>
      </c>
      <c r="G682" t="s">
        <v>280</v>
      </c>
      <c r="H682" t="s">
        <v>1144</v>
      </c>
      <c r="I682" t="s">
        <v>373</v>
      </c>
      <c r="J682"/>
      <c r="K682">
        <v>1</v>
      </c>
      <c r="L682">
        <v>1</v>
      </c>
      <c r="M682" t="s">
        <v>33</v>
      </c>
      <c r="N682">
        <v>1</v>
      </c>
      <c r="O682">
        <v>0.5</v>
      </c>
      <c r="P682">
        <v>0.5</v>
      </c>
      <c r="Q682"/>
      <c r="R682">
        <v>0</v>
      </c>
      <c r="S682">
        <v>0</v>
      </c>
      <c r="T682"/>
      <c r="U682"/>
      <c r="V682"/>
      <c r="W682"/>
      <c r="X682">
        <v>0</v>
      </c>
      <c r="Y682"/>
      <c r="Z682">
        <v>0</v>
      </c>
      <c r="AA682"/>
      <c r="AB682"/>
      <c r="AC682"/>
      <c r="AD682"/>
      <c r="AE682">
        <v>0</v>
      </c>
      <c r="AF682"/>
      <c r="AG682"/>
      <c r="AH682"/>
    </row>
    <row r="683" spans="1:34" x14ac:dyDescent="0.25">
      <c r="A683" t="s">
        <v>3438</v>
      </c>
      <c r="B683" t="s">
        <v>3439</v>
      </c>
      <c r="C683"/>
      <c r="D683" t="s">
        <v>370</v>
      </c>
      <c r="E683" t="s">
        <v>1037</v>
      </c>
      <c r="F683" t="s">
        <v>1143</v>
      </c>
      <c r="G683" t="s">
        <v>280</v>
      </c>
      <c r="H683" t="s">
        <v>1144</v>
      </c>
      <c r="I683" t="s">
        <v>373</v>
      </c>
      <c r="J683"/>
      <c r="K683">
        <v>1</v>
      </c>
      <c r="L683">
        <v>1</v>
      </c>
      <c r="M683" t="s">
        <v>33</v>
      </c>
      <c r="N683">
        <v>1</v>
      </c>
      <c r="O683">
        <v>0.5</v>
      </c>
      <c r="P683">
        <v>0.5</v>
      </c>
      <c r="Q683"/>
      <c r="R683">
        <v>0</v>
      </c>
      <c r="S683">
        <v>0</v>
      </c>
      <c r="T683"/>
      <c r="U683"/>
      <c r="V683"/>
      <c r="W683"/>
      <c r="X683">
        <v>0</v>
      </c>
      <c r="Y683"/>
      <c r="Z683">
        <v>0</v>
      </c>
      <c r="AA683"/>
      <c r="AB683"/>
      <c r="AC683"/>
      <c r="AD683"/>
      <c r="AE683">
        <v>0</v>
      </c>
      <c r="AF683"/>
      <c r="AG683"/>
      <c r="AH683"/>
    </row>
    <row r="684" spans="1:34" x14ac:dyDescent="0.25">
      <c r="A684" t="s">
        <v>1945</v>
      </c>
      <c r="B684" t="s">
        <v>1946</v>
      </c>
      <c r="C684"/>
      <c r="D684" t="s">
        <v>370</v>
      </c>
      <c r="E684" t="s">
        <v>1037</v>
      </c>
      <c r="F684" t="s">
        <v>1145</v>
      </c>
      <c r="G684" t="s">
        <v>280</v>
      </c>
      <c r="H684" t="s">
        <v>1146</v>
      </c>
      <c r="I684" t="s">
        <v>373</v>
      </c>
      <c r="J684"/>
      <c r="K684">
        <v>1</v>
      </c>
      <c r="L684">
        <v>1</v>
      </c>
      <c r="M684" t="s">
        <v>33</v>
      </c>
      <c r="N684">
        <v>1</v>
      </c>
      <c r="O684">
        <v>0.5</v>
      </c>
      <c r="P684">
        <v>0.5</v>
      </c>
      <c r="Q684"/>
      <c r="R684">
        <v>0</v>
      </c>
      <c r="S684">
        <v>0</v>
      </c>
      <c r="T684"/>
      <c r="U684"/>
      <c r="V684"/>
      <c r="W684"/>
      <c r="X684">
        <v>0</v>
      </c>
      <c r="Y684"/>
      <c r="Z684">
        <v>0</v>
      </c>
      <c r="AA684"/>
      <c r="AB684"/>
      <c r="AC684"/>
      <c r="AD684"/>
      <c r="AE684">
        <v>0</v>
      </c>
      <c r="AF684"/>
      <c r="AG684"/>
      <c r="AH684"/>
    </row>
    <row r="685" spans="1:34" x14ac:dyDescent="0.25">
      <c r="A685" t="s">
        <v>3438</v>
      </c>
      <c r="B685" t="s">
        <v>3439</v>
      </c>
      <c r="C685"/>
      <c r="D685" t="s">
        <v>370</v>
      </c>
      <c r="E685" t="s">
        <v>1037</v>
      </c>
      <c r="F685" t="s">
        <v>1145</v>
      </c>
      <c r="G685" t="s">
        <v>280</v>
      </c>
      <c r="H685" t="s">
        <v>1146</v>
      </c>
      <c r="I685" t="s">
        <v>373</v>
      </c>
      <c r="J685"/>
      <c r="K685">
        <v>1</v>
      </c>
      <c r="L685">
        <v>1</v>
      </c>
      <c r="M685" t="s">
        <v>33</v>
      </c>
      <c r="N685">
        <v>1</v>
      </c>
      <c r="O685">
        <v>0.5</v>
      </c>
      <c r="P685">
        <v>0.5</v>
      </c>
      <c r="Q685"/>
      <c r="R685">
        <v>0</v>
      </c>
      <c r="S685">
        <v>0</v>
      </c>
      <c r="T685"/>
      <c r="U685"/>
      <c r="V685"/>
      <c r="W685"/>
      <c r="X685">
        <v>0</v>
      </c>
      <c r="Y685"/>
      <c r="Z685">
        <v>0</v>
      </c>
      <c r="AA685"/>
      <c r="AB685"/>
      <c r="AC685"/>
      <c r="AD685"/>
      <c r="AE685">
        <v>0</v>
      </c>
      <c r="AF685"/>
      <c r="AG685"/>
      <c r="AH685"/>
    </row>
    <row r="686" spans="1:34" x14ac:dyDescent="0.25">
      <c r="A686" t="s">
        <v>1945</v>
      </c>
      <c r="B686" t="s">
        <v>1946</v>
      </c>
      <c r="C686"/>
      <c r="D686" t="s">
        <v>370</v>
      </c>
      <c r="E686" t="s">
        <v>1037</v>
      </c>
      <c r="F686" t="s">
        <v>1147</v>
      </c>
      <c r="G686" t="s">
        <v>280</v>
      </c>
      <c r="H686" t="s">
        <v>1148</v>
      </c>
      <c r="I686" t="s">
        <v>373</v>
      </c>
      <c r="J686"/>
      <c r="K686">
        <v>1</v>
      </c>
      <c r="L686">
        <v>1</v>
      </c>
      <c r="M686" t="s">
        <v>33</v>
      </c>
      <c r="N686">
        <v>1</v>
      </c>
      <c r="O686">
        <v>0.5</v>
      </c>
      <c r="P686">
        <v>0.5</v>
      </c>
      <c r="Q686"/>
      <c r="R686">
        <v>0</v>
      </c>
      <c r="S686">
        <v>0</v>
      </c>
      <c r="T686"/>
      <c r="U686"/>
      <c r="V686"/>
      <c r="W686"/>
      <c r="X686">
        <v>0</v>
      </c>
      <c r="Y686"/>
      <c r="Z686">
        <v>0</v>
      </c>
      <c r="AA686"/>
      <c r="AB686"/>
      <c r="AC686"/>
      <c r="AD686"/>
      <c r="AE686">
        <v>0</v>
      </c>
      <c r="AF686"/>
      <c r="AG686"/>
      <c r="AH686"/>
    </row>
    <row r="687" spans="1:34" x14ac:dyDescent="0.25">
      <c r="A687" t="s">
        <v>3438</v>
      </c>
      <c r="B687" t="s">
        <v>3439</v>
      </c>
      <c r="C687"/>
      <c r="D687" t="s">
        <v>370</v>
      </c>
      <c r="E687" t="s">
        <v>1037</v>
      </c>
      <c r="F687" t="s">
        <v>1147</v>
      </c>
      <c r="G687" t="s">
        <v>280</v>
      </c>
      <c r="H687" t="s">
        <v>1148</v>
      </c>
      <c r="I687" t="s">
        <v>373</v>
      </c>
      <c r="J687"/>
      <c r="K687">
        <v>1</v>
      </c>
      <c r="L687">
        <v>1</v>
      </c>
      <c r="M687" t="s">
        <v>33</v>
      </c>
      <c r="N687">
        <v>1</v>
      </c>
      <c r="O687">
        <v>0.5</v>
      </c>
      <c r="P687">
        <v>0.5</v>
      </c>
      <c r="Q687"/>
      <c r="R687">
        <v>0</v>
      </c>
      <c r="S687">
        <v>0</v>
      </c>
      <c r="T687"/>
      <c r="U687"/>
      <c r="V687"/>
      <c r="W687"/>
      <c r="X687">
        <v>0</v>
      </c>
      <c r="Y687"/>
      <c r="Z687">
        <v>0</v>
      </c>
      <c r="AA687"/>
      <c r="AB687"/>
      <c r="AC687"/>
      <c r="AD687"/>
      <c r="AE687">
        <v>0</v>
      </c>
      <c r="AF687"/>
      <c r="AG687"/>
      <c r="AH687"/>
    </row>
    <row r="688" spans="1:34" x14ac:dyDescent="0.25">
      <c r="A688" t="s">
        <v>1945</v>
      </c>
      <c r="B688" t="s">
        <v>1946</v>
      </c>
      <c r="C688"/>
      <c r="D688" t="s">
        <v>370</v>
      </c>
      <c r="E688" t="s">
        <v>1037</v>
      </c>
      <c r="F688" t="s">
        <v>1149</v>
      </c>
      <c r="G688" t="s">
        <v>280</v>
      </c>
      <c r="H688" t="s">
        <v>1150</v>
      </c>
      <c r="I688" t="s">
        <v>373</v>
      </c>
      <c r="J688"/>
      <c r="K688">
        <v>1</v>
      </c>
      <c r="L688">
        <v>1</v>
      </c>
      <c r="M688" t="s">
        <v>33</v>
      </c>
      <c r="N688">
        <v>1</v>
      </c>
      <c r="O688">
        <v>0.5</v>
      </c>
      <c r="P688">
        <v>0.5</v>
      </c>
      <c r="Q688"/>
      <c r="R688">
        <v>0</v>
      </c>
      <c r="S688">
        <v>0</v>
      </c>
      <c r="T688"/>
      <c r="U688"/>
      <c r="V688"/>
      <c r="W688"/>
      <c r="X688">
        <v>0</v>
      </c>
      <c r="Y688"/>
      <c r="Z688">
        <v>0</v>
      </c>
      <c r="AA688"/>
      <c r="AB688"/>
      <c r="AC688"/>
      <c r="AD688"/>
      <c r="AE688">
        <v>0</v>
      </c>
      <c r="AF688"/>
      <c r="AG688"/>
      <c r="AH688"/>
    </row>
    <row r="689" spans="1:34" x14ac:dyDescent="0.25">
      <c r="A689" t="s">
        <v>3438</v>
      </c>
      <c r="B689" t="s">
        <v>3439</v>
      </c>
      <c r="C689"/>
      <c r="D689" t="s">
        <v>370</v>
      </c>
      <c r="E689" t="s">
        <v>1037</v>
      </c>
      <c r="F689" t="s">
        <v>1149</v>
      </c>
      <c r="G689" t="s">
        <v>280</v>
      </c>
      <c r="H689" t="s">
        <v>1150</v>
      </c>
      <c r="I689" t="s">
        <v>373</v>
      </c>
      <c r="J689"/>
      <c r="K689">
        <v>1</v>
      </c>
      <c r="L689">
        <v>1</v>
      </c>
      <c r="M689" t="s">
        <v>33</v>
      </c>
      <c r="N689">
        <v>1</v>
      </c>
      <c r="O689">
        <v>0.5</v>
      </c>
      <c r="P689">
        <v>0.5</v>
      </c>
      <c r="Q689"/>
      <c r="R689">
        <v>0</v>
      </c>
      <c r="S689">
        <v>0</v>
      </c>
      <c r="T689"/>
      <c r="U689"/>
      <c r="V689"/>
      <c r="W689"/>
      <c r="X689">
        <v>0</v>
      </c>
      <c r="Y689"/>
      <c r="Z689">
        <v>0</v>
      </c>
      <c r="AA689"/>
      <c r="AB689"/>
      <c r="AC689"/>
      <c r="AD689"/>
      <c r="AE689">
        <v>0</v>
      </c>
      <c r="AF689"/>
      <c r="AG689"/>
      <c r="AH689"/>
    </row>
    <row r="690" spans="1:34" x14ac:dyDescent="0.25">
      <c r="A690" t="s">
        <v>1945</v>
      </c>
      <c r="B690" t="s">
        <v>1946</v>
      </c>
      <c r="C690"/>
      <c r="D690" t="s">
        <v>370</v>
      </c>
      <c r="E690" t="s">
        <v>1037</v>
      </c>
      <c r="F690" t="s">
        <v>1151</v>
      </c>
      <c r="G690" t="s">
        <v>280</v>
      </c>
      <c r="H690" t="s">
        <v>1152</v>
      </c>
      <c r="I690" t="s">
        <v>373</v>
      </c>
      <c r="J690"/>
      <c r="K690">
        <v>1</v>
      </c>
      <c r="L690">
        <v>1</v>
      </c>
      <c r="M690" t="s">
        <v>33</v>
      </c>
      <c r="N690">
        <v>1</v>
      </c>
      <c r="O690">
        <v>0.5</v>
      </c>
      <c r="P690">
        <v>0.5</v>
      </c>
      <c r="Q690"/>
      <c r="R690">
        <v>0</v>
      </c>
      <c r="S690">
        <v>0</v>
      </c>
      <c r="T690"/>
      <c r="U690"/>
      <c r="V690"/>
      <c r="W690"/>
      <c r="X690">
        <v>0</v>
      </c>
      <c r="Y690"/>
      <c r="Z690">
        <v>0</v>
      </c>
      <c r="AA690"/>
      <c r="AB690"/>
      <c r="AC690"/>
      <c r="AD690"/>
      <c r="AE690">
        <v>0</v>
      </c>
      <c r="AF690"/>
      <c r="AG690"/>
      <c r="AH690"/>
    </row>
    <row r="691" spans="1:34" x14ac:dyDescent="0.25">
      <c r="A691" t="s">
        <v>3438</v>
      </c>
      <c r="B691" t="s">
        <v>3439</v>
      </c>
      <c r="C691"/>
      <c r="D691" t="s">
        <v>370</v>
      </c>
      <c r="E691" t="s">
        <v>1037</v>
      </c>
      <c r="F691" t="s">
        <v>1151</v>
      </c>
      <c r="G691" t="s">
        <v>280</v>
      </c>
      <c r="H691" t="s">
        <v>1152</v>
      </c>
      <c r="I691" t="s">
        <v>373</v>
      </c>
      <c r="J691"/>
      <c r="K691">
        <v>1</v>
      </c>
      <c r="L691">
        <v>1</v>
      </c>
      <c r="M691" t="s">
        <v>33</v>
      </c>
      <c r="N691">
        <v>1</v>
      </c>
      <c r="O691">
        <v>0.5</v>
      </c>
      <c r="P691">
        <v>0.5</v>
      </c>
      <c r="Q691"/>
      <c r="R691">
        <v>0</v>
      </c>
      <c r="S691">
        <v>0</v>
      </c>
      <c r="T691"/>
      <c r="U691"/>
      <c r="V691"/>
      <c r="W691"/>
      <c r="X691">
        <v>0</v>
      </c>
      <c r="Y691"/>
      <c r="Z691">
        <v>0</v>
      </c>
      <c r="AA691"/>
      <c r="AB691"/>
      <c r="AC691"/>
      <c r="AD691"/>
      <c r="AE691">
        <v>0</v>
      </c>
      <c r="AF691"/>
      <c r="AG691"/>
      <c r="AH691"/>
    </row>
    <row r="692" spans="1:34" x14ac:dyDescent="0.25">
      <c r="A692" t="s">
        <v>1945</v>
      </c>
      <c r="B692" t="s">
        <v>1946</v>
      </c>
      <c r="C692"/>
      <c r="D692" t="s">
        <v>370</v>
      </c>
      <c r="E692" t="s">
        <v>1037</v>
      </c>
      <c r="F692" t="s">
        <v>1153</v>
      </c>
      <c r="G692" t="s">
        <v>280</v>
      </c>
      <c r="H692" t="s">
        <v>1154</v>
      </c>
      <c r="I692" t="s">
        <v>373</v>
      </c>
      <c r="J692"/>
      <c r="K692">
        <v>1</v>
      </c>
      <c r="L692">
        <v>1</v>
      </c>
      <c r="M692" t="s">
        <v>33</v>
      </c>
      <c r="N692">
        <v>1</v>
      </c>
      <c r="O692">
        <v>0.5</v>
      </c>
      <c r="P692">
        <v>0.5</v>
      </c>
      <c r="Q692"/>
      <c r="R692">
        <v>0</v>
      </c>
      <c r="S692">
        <v>0</v>
      </c>
      <c r="T692"/>
      <c r="U692"/>
      <c r="V692"/>
      <c r="W692"/>
      <c r="X692">
        <v>0</v>
      </c>
      <c r="Y692"/>
      <c r="Z692">
        <v>0</v>
      </c>
      <c r="AA692"/>
      <c r="AB692"/>
      <c r="AC692"/>
      <c r="AD692"/>
      <c r="AE692">
        <v>0</v>
      </c>
      <c r="AF692"/>
      <c r="AG692"/>
      <c r="AH692"/>
    </row>
    <row r="693" spans="1:34" x14ac:dyDescent="0.25">
      <c r="A693" t="s">
        <v>3438</v>
      </c>
      <c r="B693" t="s">
        <v>3439</v>
      </c>
      <c r="C693"/>
      <c r="D693" t="s">
        <v>370</v>
      </c>
      <c r="E693" t="s">
        <v>1037</v>
      </c>
      <c r="F693" t="s">
        <v>1153</v>
      </c>
      <c r="G693" t="s">
        <v>280</v>
      </c>
      <c r="H693" t="s">
        <v>1154</v>
      </c>
      <c r="I693" t="s">
        <v>373</v>
      </c>
      <c r="J693"/>
      <c r="K693">
        <v>1</v>
      </c>
      <c r="L693">
        <v>1</v>
      </c>
      <c r="M693" t="s">
        <v>33</v>
      </c>
      <c r="N693">
        <v>1</v>
      </c>
      <c r="O693">
        <v>0.5</v>
      </c>
      <c r="P693">
        <v>0.5</v>
      </c>
      <c r="Q693"/>
      <c r="R693">
        <v>0</v>
      </c>
      <c r="S693">
        <v>0</v>
      </c>
      <c r="T693"/>
      <c r="U693"/>
      <c r="V693"/>
      <c r="W693"/>
      <c r="X693">
        <v>0</v>
      </c>
      <c r="Y693"/>
      <c r="Z693">
        <v>0</v>
      </c>
      <c r="AA693"/>
      <c r="AB693"/>
      <c r="AC693"/>
      <c r="AD693"/>
      <c r="AE693">
        <v>0</v>
      </c>
      <c r="AF693"/>
      <c r="AG693"/>
      <c r="AH693"/>
    </row>
    <row r="694" spans="1:34" x14ac:dyDescent="0.25">
      <c r="A694" t="s">
        <v>1945</v>
      </c>
      <c r="B694" t="s">
        <v>1946</v>
      </c>
      <c r="C694"/>
      <c r="D694" t="s">
        <v>370</v>
      </c>
      <c r="E694" t="s">
        <v>1037</v>
      </c>
      <c r="F694" t="s">
        <v>1155</v>
      </c>
      <c r="G694" t="s">
        <v>280</v>
      </c>
      <c r="H694" t="s">
        <v>1156</v>
      </c>
      <c r="I694" t="s">
        <v>373</v>
      </c>
      <c r="J694"/>
      <c r="K694">
        <v>1</v>
      </c>
      <c r="L694">
        <v>1</v>
      </c>
      <c r="M694" t="s">
        <v>33</v>
      </c>
      <c r="N694">
        <v>1</v>
      </c>
      <c r="O694">
        <v>0.5</v>
      </c>
      <c r="P694">
        <v>0.5</v>
      </c>
      <c r="Q694"/>
      <c r="R694">
        <v>0</v>
      </c>
      <c r="S694">
        <v>0</v>
      </c>
      <c r="T694"/>
      <c r="U694"/>
      <c r="V694"/>
      <c r="W694"/>
      <c r="X694">
        <v>0</v>
      </c>
      <c r="Y694"/>
      <c r="Z694">
        <v>0</v>
      </c>
      <c r="AA694"/>
      <c r="AB694"/>
      <c r="AC694"/>
      <c r="AD694"/>
      <c r="AE694">
        <v>0</v>
      </c>
      <c r="AF694"/>
      <c r="AG694"/>
      <c r="AH694"/>
    </row>
    <row r="695" spans="1:34" x14ac:dyDescent="0.25">
      <c r="A695" t="s">
        <v>3438</v>
      </c>
      <c r="B695" t="s">
        <v>3439</v>
      </c>
      <c r="C695"/>
      <c r="D695" t="s">
        <v>370</v>
      </c>
      <c r="E695" t="s">
        <v>1037</v>
      </c>
      <c r="F695" t="s">
        <v>1155</v>
      </c>
      <c r="G695" t="s">
        <v>280</v>
      </c>
      <c r="H695" t="s">
        <v>1156</v>
      </c>
      <c r="I695" t="s">
        <v>373</v>
      </c>
      <c r="J695"/>
      <c r="K695">
        <v>1</v>
      </c>
      <c r="L695">
        <v>1</v>
      </c>
      <c r="M695" t="s">
        <v>33</v>
      </c>
      <c r="N695">
        <v>1</v>
      </c>
      <c r="O695">
        <v>0.5</v>
      </c>
      <c r="P695">
        <v>0.5</v>
      </c>
      <c r="Q695"/>
      <c r="R695">
        <v>0</v>
      </c>
      <c r="S695">
        <v>0</v>
      </c>
      <c r="T695"/>
      <c r="U695"/>
      <c r="V695"/>
      <c r="W695"/>
      <c r="X695">
        <v>0</v>
      </c>
      <c r="Y695"/>
      <c r="Z695">
        <v>0</v>
      </c>
      <c r="AA695"/>
      <c r="AB695"/>
      <c r="AC695"/>
      <c r="AD695"/>
      <c r="AE695">
        <v>0</v>
      </c>
      <c r="AF695"/>
      <c r="AG695"/>
      <c r="AH695"/>
    </row>
    <row r="696" spans="1:34" x14ac:dyDescent="0.25">
      <c r="A696" t="s">
        <v>1945</v>
      </c>
      <c r="B696" t="s">
        <v>1946</v>
      </c>
      <c r="C696"/>
      <c r="D696" t="s">
        <v>370</v>
      </c>
      <c r="E696" t="s">
        <v>1037</v>
      </c>
      <c r="F696" t="s">
        <v>1157</v>
      </c>
      <c r="G696" t="s">
        <v>280</v>
      </c>
      <c r="H696" t="s">
        <v>1158</v>
      </c>
      <c r="I696" t="s">
        <v>373</v>
      </c>
      <c r="J696"/>
      <c r="K696">
        <v>1</v>
      </c>
      <c r="L696">
        <v>1</v>
      </c>
      <c r="M696" t="s">
        <v>33</v>
      </c>
      <c r="N696">
        <v>1</v>
      </c>
      <c r="O696">
        <v>0.5</v>
      </c>
      <c r="P696">
        <v>0.5</v>
      </c>
      <c r="Q696"/>
      <c r="R696">
        <v>0</v>
      </c>
      <c r="S696">
        <v>0</v>
      </c>
      <c r="T696"/>
      <c r="U696"/>
      <c r="V696"/>
      <c r="W696"/>
      <c r="X696">
        <v>0</v>
      </c>
      <c r="Y696"/>
      <c r="Z696">
        <v>0</v>
      </c>
      <c r="AA696"/>
      <c r="AB696"/>
      <c r="AC696"/>
      <c r="AD696"/>
      <c r="AE696">
        <v>0</v>
      </c>
      <c r="AF696"/>
      <c r="AG696"/>
      <c r="AH696"/>
    </row>
    <row r="697" spans="1:34" x14ac:dyDescent="0.25">
      <c r="A697" t="s">
        <v>3438</v>
      </c>
      <c r="B697" t="s">
        <v>3439</v>
      </c>
      <c r="C697"/>
      <c r="D697" t="s">
        <v>370</v>
      </c>
      <c r="E697" t="s">
        <v>1037</v>
      </c>
      <c r="F697" t="s">
        <v>1157</v>
      </c>
      <c r="G697" t="s">
        <v>280</v>
      </c>
      <c r="H697" t="s">
        <v>1158</v>
      </c>
      <c r="I697" t="s">
        <v>373</v>
      </c>
      <c r="J697"/>
      <c r="K697">
        <v>1</v>
      </c>
      <c r="L697">
        <v>1</v>
      </c>
      <c r="M697" t="s">
        <v>33</v>
      </c>
      <c r="N697">
        <v>1</v>
      </c>
      <c r="O697">
        <v>0.5</v>
      </c>
      <c r="P697">
        <v>0.5</v>
      </c>
      <c r="Q697"/>
      <c r="R697">
        <v>0</v>
      </c>
      <c r="S697">
        <v>0</v>
      </c>
      <c r="T697"/>
      <c r="U697"/>
      <c r="V697"/>
      <c r="W697"/>
      <c r="X697">
        <v>0</v>
      </c>
      <c r="Y697"/>
      <c r="Z697">
        <v>0</v>
      </c>
      <c r="AA697"/>
      <c r="AB697"/>
      <c r="AC697"/>
      <c r="AD697"/>
      <c r="AE697">
        <v>0</v>
      </c>
      <c r="AF697"/>
      <c r="AG697"/>
      <c r="AH697"/>
    </row>
    <row r="698" spans="1:34" x14ac:dyDescent="0.25">
      <c r="A698" t="s">
        <v>1945</v>
      </c>
      <c r="B698" t="s">
        <v>1946</v>
      </c>
      <c r="C698"/>
      <c r="D698" t="s">
        <v>370</v>
      </c>
      <c r="E698" t="s">
        <v>1037</v>
      </c>
      <c r="F698" t="s">
        <v>1159</v>
      </c>
      <c r="G698" t="s">
        <v>280</v>
      </c>
      <c r="H698" t="s">
        <v>1160</v>
      </c>
      <c r="I698" t="s">
        <v>373</v>
      </c>
      <c r="J698"/>
      <c r="K698">
        <v>1</v>
      </c>
      <c r="L698">
        <v>1</v>
      </c>
      <c r="M698" t="s">
        <v>33</v>
      </c>
      <c r="N698">
        <v>1</v>
      </c>
      <c r="O698">
        <v>0.5</v>
      </c>
      <c r="P698">
        <v>0.5</v>
      </c>
      <c r="Q698"/>
      <c r="R698">
        <v>0</v>
      </c>
      <c r="S698">
        <v>0</v>
      </c>
      <c r="T698"/>
      <c r="U698"/>
      <c r="V698"/>
      <c r="W698"/>
      <c r="X698">
        <v>0</v>
      </c>
      <c r="Y698"/>
      <c r="Z698">
        <v>0</v>
      </c>
      <c r="AA698"/>
      <c r="AB698"/>
      <c r="AC698"/>
      <c r="AD698"/>
      <c r="AE698">
        <v>0</v>
      </c>
      <c r="AF698"/>
      <c r="AG698"/>
      <c r="AH698"/>
    </row>
    <row r="699" spans="1:34" x14ac:dyDescent="0.25">
      <c r="A699" t="s">
        <v>3438</v>
      </c>
      <c r="B699" t="s">
        <v>3439</v>
      </c>
      <c r="C699"/>
      <c r="D699" t="s">
        <v>370</v>
      </c>
      <c r="E699" t="s">
        <v>1037</v>
      </c>
      <c r="F699" t="s">
        <v>1159</v>
      </c>
      <c r="G699" t="s">
        <v>280</v>
      </c>
      <c r="H699" t="s">
        <v>1160</v>
      </c>
      <c r="I699" t="s">
        <v>373</v>
      </c>
      <c r="J699"/>
      <c r="K699">
        <v>1</v>
      </c>
      <c r="L699">
        <v>1</v>
      </c>
      <c r="M699" t="s">
        <v>33</v>
      </c>
      <c r="N699">
        <v>1</v>
      </c>
      <c r="O699">
        <v>0.5</v>
      </c>
      <c r="P699">
        <v>0.5</v>
      </c>
      <c r="Q699"/>
      <c r="R699">
        <v>0</v>
      </c>
      <c r="S699">
        <v>0</v>
      </c>
      <c r="T699"/>
      <c r="U699"/>
      <c r="V699"/>
      <c r="W699"/>
      <c r="X699">
        <v>0</v>
      </c>
      <c r="Y699"/>
      <c r="Z699">
        <v>0</v>
      </c>
      <c r="AA699"/>
      <c r="AB699"/>
      <c r="AC699"/>
      <c r="AD699"/>
      <c r="AE699">
        <v>0</v>
      </c>
      <c r="AF699"/>
      <c r="AG699"/>
      <c r="AH699"/>
    </row>
    <row r="700" spans="1:34" x14ac:dyDescent="0.25">
      <c r="A700" t="s">
        <v>1945</v>
      </c>
      <c r="B700" t="s">
        <v>1946</v>
      </c>
      <c r="C700"/>
      <c r="D700" t="s">
        <v>370</v>
      </c>
      <c r="E700" t="s">
        <v>1037</v>
      </c>
      <c r="F700" t="s">
        <v>1161</v>
      </c>
      <c r="G700" t="s">
        <v>280</v>
      </c>
      <c r="H700" t="s">
        <v>1162</v>
      </c>
      <c r="I700" t="s">
        <v>373</v>
      </c>
      <c r="J700"/>
      <c r="K700">
        <v>1</v>
      </c>
      <c r="L700">
        <v>1</v>
      </c>
      <c r="M700" t="s">
        <v>33</v>
      </c>
      <c r="N700">
        <v>1</v>
      </c>
      <c r="O700">
        <v>0.5</v>
      </c>
      <c r="P700">
        <v>0.5</v>
      </c>
      <c r="Q700"/>
      <c r="R700">
        <v>0</v>
      </c>
      <c r="S700">
        <v>0</v>
      </c>
      <c r="T700"/>
      <c r="U700"/>
      <c r="V700"/>
      <c r="W700"/>
      <c r="X700">
        <v>0</v>
      </c>
      <c r="Y700"/>
      <c r="Z700">
        <v>0</v>
      </c>
      <c r="AA700"/>
      <c r="AB700"/>
      <c r="AC700"/>
      <c r="AD700"/>
      <c r="AE700">
        <v>0</v>
      </c>
      <c r="AF700"/>
      <c r="AG700"/>
      <c r="AH700"/>
    </row>
    <row r="701" spans="1:34" x14ac:dyDescent="0.25">
      <c r="A701" t="s">
        <v>3438</v>
      </c>
      <c r="B701" t="s">
        <v>3439</v>
      </c>
      <c r="C701"/>
      <c r="D701" t="s">
        <v>370</v>
      </c>
      <c r="E701" t="s">
        <v>1037</v>
      </c>
      <c r="F701" t="s">
        <v>1161</v>
      </c>
      <c r="G701" t="s">
        <v>280</v>
      </c>
      <c r="H701" t="s">
        <v>1162</v>
      </c>
      <c r="I701" t="s">
        <v>373</v>
      </c>
      <c r="J701"/>
      <c r="K701">
        <v>1</v>
      </c>
      <c r="L701">
        <v>1</v>
      </c>
      <c r="M701" t="s">
        <v>33</v>
      </c>
      <c r="N701">
        <v>1</v>
      </c>
      <c r="O701">
        <v>0.5</v>
      </c>
      <c r="P701">
        <v>0.5</v>
      </c>
      <c r="Q701"/>
      <c r="R701">
        <v>0</v>
      </c>
      <c r="S701">
        <v>0</v>
      </c>
      <c r="T701"/>
      <c r="U701"/>
      <c r="V701"/>
      <c r="W701"/>
      <c r="X701">
        <v>0</v>
      </c>
      <c r="Y701"/>
      <c r="Z701">
        <v>0</v>
      </c>
      <c r="AA701"/>
      <c r="AB701"/>
      <c r="AC701"/>
      <c r="AD701"/>
      <c r="AE701">
        <v>0</v>
      </c>
      <c r="AF701"/>
      <c r="AG701"/>
      <c r="AH701"/>
    </row>
    <row r="702" spans="1:34" x14ac:dyDescent="0.25">
      <c r="A702" t="s">
        <v>1945</v>
      </c>
      <c r="B702" t="s">
        <v>1946</v>
      </c>
      <c r="C702"/>
      <c r="D702" t="s">
        <v>370</v>
      </c>
      <c r="E702" t="s">
        <v>1163</v>
      </c>
      <c r="F702" t="s">
        <v>946</v>
      </c>
      <c r="G702" t="s">
        <v>280</v>
      </c>
      <c r="H702" t="s">
        <v>1164</v>
      </c>
      <c r="I702" t="s">
        <v>373</v>
      </c>
      <c r="J702"/>
      <c r="K702">
        <v>1</v>
      </c>
      <c r="L702">
        <v>1</v>
      </c>
      <c r="M702" t="s">
        <v>33</v>
      </c>
      <c r="N702">
        <v>1</v>
      </c>
      <c r="O702">
        <v>0.5</v>
      </c>
      <c r="P702">
        <v>0.5</v>
      </c>
      <c r="Q702"/>
      <c r="R702">
        <v>0</v>
      </c>
      <c r="S702">
        <v>0</v>
      </c>
      <c r="T702"/>
      <c r="U702"/>
      <c r="V702"/>
      <c r="W702"/>
      <c r="X702">
        <v>0</v>
      </c>
      <c r="Y702"/>
      <c r="Z702">
        <v>0</v>
      </c>
      <c r="AA702"/>
      <c r="AB702"/>
      <c r="AC702"/>
      <c r="AD702"/>
      <c r="AE702">
        <v>0</v>
      </c>
      <c r="AF702"/>
      <c r="AG702"/>
      <c r="AH702"/>
    </row>
    <row r="703" spans="1:34" x14ac:dyDescent="0.25">
      <c r="A703" t="s">
        <v>3434</v>
      </c>
      <c r="B703" t="s">
        <v>3435</v>
      </c>
      <c r="C703"/>
      <c r="D703" t="s">
        <v>370</v>
      </c>
      <c r="E703" t="s">
        <v>1163</v>
      </c>
      <c r="F703" t="s">
        <v>946</v>
      </c>
      <c r="G703" t="s">
        <v>280</v>
      </c>
      <c r="H703" t="s">
        <v>1164</v>
      </c>
      <c r="I703" t="s">
        <v>373</v>
      </c>
      <c r="J703"/>
      <c r="K703">
        <v>1</v>
      </c>
      <c r="L703">
        <v>1</v>
      </c>
      <c r="M703" t="s">
        <v>33</v>
      </c>
      <c r="N703">
        <v>1</v>
      </c>
      <c r="O703">
        <v>0.5</v>
      </c>
      <c r="P703">
        <v>0.5</v>
      </c>
      <c r="Q703"/>
      <c r="R703">
        <v>0</v>
      </c>
      <c r="S703">
        <v>0</v>
      </c>
      <c r="T703"/>
      <c r="U703"/>
      <c r="V703"/>
      <c r="W703"/>
      <c r="X703">
        <v>0</v>
      </c>
      <c r="Y703"/>
      <c r="Z703">
        <v>0</v>
      </c>
      <c r="AA703"/>
      <c r="AB703"/>
      <c r="AC703"/>
      <c r="AD703"/>
      <c r="AE703">
        <v>0</v>
      </c>
      <c r="AF703"/>
      <c r="AG703"/>
      <c r="AH703"/>
    </row>
    <row r="704" spans="1:34" x14ac:dyDescent="0.25">
      <c r="A704" t="s">
        <v>1945</v>
      </c>
      <c r="B704" t="s">
        <v>1946</v>
      </c>
      <c r="C704"/>
      <c r="D704" t="s">
        <v>370</v>
      </c>
      <c r="E704" t="s">
        <v>1163</v>
      </c>
      <c r="F704" t="s">
        <v>948</v>
      </c>
      <c r="G704" t="s">
        <v>280</v>
      </c>
      <c r="H704" t="s">
        <v>1165</v>
      </c>
      <c r="I704" t="s">
        <v>373</v>
      </c>
      <c r="J704"/>
      <c r="K704">
        <v>1</v>
      </c>
      <c r="L704">
        <v>1</v>
      </c>
      <c r="M704" t="s">
        <v>33</v>
      </c>
      <c r="N704">
        <v>1</v>
      </c>
      <c r="O704">
        <v>0.5</v>
      </c>
      <c r="P704">
        <v>0.5</v>
      </c>
      <c r="Q704"/>
      <c r="R704">
        <v>0</v>
      </c>
      <c r="S704">
        <v>0</v>
      </c>
      <c r="T704"/>
      <c r="U704"/>
      <c r="V704"/>
      <c r="W704"/>
      <c r="X704">
        <v>0</v>
      </c>
      <c r="Y704"/>
      <c r="Z704">
        <v>0</v>
      </c>
      <c r="AA704"/>
      <c r="AB704"/>
      <c r="AC704"/>
      <c r="AD704"/>
      <c r="AE704">
        <v>0</v>
      </c>
      <c r="AF704"/>
      <c r="AG704"/>
      <c r="AH704"/>
    </row>
    <row r="705" spans="1:34" x14ac:dyDescent="0.25">
      <c r="A705" t="s">
        <v>3434</v>
      </c>
      <c r="B705" t="s">
        <v>3435</v>
      </c>
      <c r="C705"/>
      <c r="D705" t="s">
        <v>370</v>
      </c>
      <c r="E705" t="s">
        <v>1163</v>
      </c>
      <c r="F705" t="s">
        <v>948</v>
      </c>
      <c r="G705" t="s">
        <v>280</v>
      </c>
      <c r="H705" t="s">
        <v>1165</v>
      </c>
      <c r="I705" t="s">
        <v>373</v>
      </c>
      <c r="J705"/>
      <c r="K705">
        <v>1</v>
      </c>
      <c r="L705">
        <v>1</v>
      </c>
      <c r="M705" t="s">
        <v>33</v>
      </c>
      <c r="N705">
        <v>1</v>
      </c>
      <c r="O705">
        <v>0.5</v>
      </c>
      <c r="P705">
        <v>0.5</v>
      </c>
      <c r="Q705"/>
      <c r="R705">
        <v>0</v>
      </c>
      <c r="S705">
        <v>0</v>
      </c>
      <c r="T705"/>
      <c r="U705"/>
      <c r="V705"/>
      <c r="W705"/>
      <c r="X705">
        <v>0</v>
      </c>
      <c r="Y705"/>
      <c r="Z705">
        <v>0</v>
      </c>
      <c r="AA705"/>
      <c r="AB705"/>
      <c r="AC705"/>
      <c r="AD705"/>
      <c r="AE705">
        <v>0</v>
      </c>
      <c r="AF705"/>
      <c r="AG705"/>
      <c r="AH705"/>
    </row>
    <row r="706" spans="1:34" x14ac:dyDescent="0.25">
      <c r="A706" t="s">
        <v>1945</v>
      </c>
      <c r="B706" t="s">
        <v>1946</v>
      </c>
      <c r="C706"/>
      <c r="D706" t="s">
        <v>370</v>
      </c>
      <c r="E706" t="s">
        <v>1163</v>
      </c>
      <c r="F706" t="s">
        <v>950</v>
      </c>
      <c r="G706" t="s">
        <v>280</v>
      </c>
      <c r="H706" t="s">
        <v>1166</v>
      </c>
      <c r="I706" t="s">
        <v>373</v>
      </c>
      <c r="J706"/>
      <c r="K706">
        <v>1</v>
      </c>
      <c r="L706">
        <v>1</v>
      </c>
      <c r="M706" t="s">
        <v>33</v>
      </c>
      <c r="N706">
        <v>1</v>
      </c>
      <c r="O706">
        <v>0.5</v>
      </c>
      <c r="P706">
        <v>0.5</v>
      </c>
      <c r="Q706"/>
      <c r="R706">
        <v>0</v>
      </c>
      <c r="S706">
        <v>0</v>
      </c>
      <c r="T706"/>
      <c r="U706"/>
      <c r="V706"/>
      <c r="W706"/>
      <c r="X706">
        <v>0</v>
      </c>
      <c r="Y706"/>
      <c r="Z706">
        <v>0</v>
      </c>
      <c r="AA706"/>
      <c r="AB706"/>
      <c r="AC706"/>
      <c r="AD706"/>
      <c r="AE706">
        <v>0</v>
      </c>
      <c r="AF706"/>
      <c r="AG706"/>
      <c r="AH706"/>
    </row>
    <row r="707" spans="1:34" x14ac:dyDescent="0.25">
      <c r="A707" t="s">
        <v>3434</v>
      </c>
      <c r="B707" t="s">
        <v>3435</v>
      </c>
      <c r="C707"/>
      <c r="D707" t="s">
        <v>370</v>
      </c>
      <c r="E707" t="s">
        <v>1163</v>
      </c>
      <c r="F707" t="s">
        <v>950</v>
      </c>
      <c r="G707" t="s">
        <v>280</v>
      </c>
      <c r="H707" t="s">
        <v>1166</v>
      </c>
      <c r="I707" t="s">
        <v>373</v>
      </c>
      <c r="J707"/>
      <c r="K707">
        <v>1</v>
      </c>
      <c r="L707">
        <v>1</v>
      </c>
      <c r="M707" t="s">
        <v>33</v>
      </c>
      <c r="N707">
        <v>1</v>
      </c>
      <c r="O707">
        <v>0.5</v>
      </c>
      <c r="P707">
        <v>0.5</v>
      </c>
      <c r="Q707"/>
      <c r="R707">
        <v>0</v>
      </c>
      <c r="S707">
        <v>0</v>
      </c>
      <c r="T707"/>
      <c r="U707"/>
      <c r="V707"/>
      <c r="W707"/>
      <c r="X707">
        <v>0</v>
      </c>
      <c r="Y707"/>
      <c r="Z707">
        <v>0</v>
      </c>
      <c r="AA707"/>
      <c r="AB707"/>
      <c r="AC707"/>
      <c r="AD707"/>
      <c r="AE707">
        <v>0</v>
      </c>
      <c r="AF707"/>
      <c r="AG707"/>
      <c r="AH707"/>
    </row>
    <row r="708" spans="1:34" x14ac:dyDescent="0.25">
      <c r="A708" t="s">
        <v>1945</v>
      </c>
      <c r="B708" t="s">
        <v>1946</v>
      </c>
      <c r="C708"/>
      <c r="D708" t="s">
        <v>370</v>
      </c>
      <c r="E708" t="s">
        <v>1163</v>
      </c>
      <c r="F708" t="s">
        <v>952</v>
      </c>
      <c r="G708" t="s">
        <v>280</v>
      </c>
      <c r="H708" t="s">
        <v>1167</v>
      </c>
      <c r="I708" t="s">
        <v>373</v>
      </c>
      <c r="J708"/>
      <c r="K708">
        <v>1</v>
      </c>
      <c r="L708">
        <v>1</v>
      </c>
      <c r="M708" t="s">
        <v>33</v>
      </c>
      <c r="N708">
        <v>1</v>
      </c>
      <c r="O708">
        <v>0.5</v>
      </c>
      <c r="P708">
        <v>0.5</v>
      </c>
      <c r="Q708"/>
      <c r="R708">
        <v>0</v>
      </c>
      <c r="S708">
        <v>0</v>
      </c>
      <c r="T708"/>
      <c r="U708"/>
      <c r="V708"/>
      <c r="W708"/>
      <c r="X708">
        <v>0</v>
      </c>
      <c r="Y708"/>
      <c r="Z708">
        <v>0</v>
      </c>
      <c r="AA708"/>
      <c r="AB708"/>
      <c r="AC708"/>
      <c r="AD708"/>
      <c r="AE708">
        <v>0</v>
      </c>
      <c r="AF708"/>
      <c r="AG708"/>
      <c r="AH708"/>
    </row>
    <row r="709" spans="1:34" x14ac:dyDescent="0.25">
      <c r="A709" t="s">
        <v>3434</v>
      </c>
      <c r="B709" t="s">
        <v>3435</v>
      </c>
      <c r="C709"/>
      <c r="D709" t="s">
        <v>370</v>
      </c>
      <c r="E709" t="s">
        <v>1163</v>
      </c>
      <c r="F709" t="s">
        <v>952</v>
      </c>
      <c r="G709" t="s">
        <v>280</v>
      </c>
      <c r="H709" t="s">
        <v>1167</v>
      </c>
      <c r="I709" t="s">
        <v>373</v>
      </c>
      <c r="J709"/>
      <c r="K709">
        <v>1</v>
      </c>
      <c r="L709">
        <v>1</v>
      </c>
      <c r="M709" t="s">
        <v>33</v>
      </c>
      <c r="N709">
        <v>1</v>
      </c>
      <c r="O709">
        <v>0.5</v>
      </c>
      <c r="P709">
        <v>0.5</v>
      </c>
      <c r="Q709"/>
      <c r="R709">
        <v>0</v>
      </c>
      <c r="S709">
        <v>0</v>
      </c>
      <c r="T709"/>
      <c r="U709"/>
      <c r="V709"/>
      <c r="W709"/>
      <c r="X709">
        <v>0</v>
      </c>
      <c r="Y709"/>
      <c r="Z709">
        <v>0</v>
      </c>
      <c r="AA709"/>
      <c r="AB709"/>
      <c r="AC709"/>
      <c r="AD709"/>
      <c r="AE709">
        <v>0</v>
      </c>
      <c r="AF709"/>
      <c r="AG709"/>
      <c r="AH709"/>
    </row>
    <row r="710" spans="1:34" x14ac:dyDescent="0.25">
      <c r="A710" t="s">
        <v>1945</v>
      </c>
      <c r="B710" t="s">
        <v>1946</v>
      </c>
      <c r="C710"/>
      <c r="D710" t="s">
        <v>370</v>
      </c>
      <c r="E710" t="s">
        <v>1163</v>
      </c>
      <c r="F710" t="s">
        <v>954</v>
      </c>
      <c r="G710" t="s">
        <v>280</v>
      </c>
      <c r="H710" t="s">
        <v>1168</v>
      </c>
      <c r="I710" t="s">
        <v>373</v>
      </c>
      <c r="J710"/>
      <c r="K710">
        <v>1</v>
      </c>
      <c r="L710">
        <v>1</v>
      </c>
      <c r="M710" t="s">
        <v>33</v>
      </c>
      <c r="N710">
        <v>1</v>
      </c>
      <c r="O710">
        <v>0.5</v>
      </c>
      <c r="P710">
        <v>0.5</v>
      </c>
      <c r="Q710"/>
      <c r="R710">
        <v>0</v>
      </c>
      <c r="S710">
        <v>0</v>
      </c>
      <c r="T710"/>
      <c r="U710"/>
      <c r="V710"/>
      <c r="W710"/>
      <c r="X710">
        <v>0</v>
      </c>
      <c r="Y710"/>
      <c r="Z710">
        <v>0</v>
      </c>
      <c r="AA710"/>
      <c r="AB710"/>
      <c r="AC710"/>
      <c r="AD710"/>
      <c r="AE710">
        <v>0</v>
      </c>
      <c r="AF710"/>
      <c r="AG710"/>
      <c r="AH710"/>
    </row>
    <row r="711" spans="1:34" x14ac:dyDescent="0.25">
      <c r="A711" t="s">
        <v>3434</v>
      </c>
      <c r="B711" t="s">
        <v>3435</v>
      </c>
      <c r="C711"/>
      <c r="D711" t="s">
        <v>370</v>
      </c>
      <c r="E711" t="s">
        <v>1163</v>
      </c>
      <c r="F711" t="s">
        <v>954</v>
      </c>
      <c r="G711" t="s">
        <v>280</v>
      </c>
      <c r="H711" t="s">
        <v>1168</v>
      </c>
      <c r="I711" t="s">
        <v>373</v>
      </c>
      <c r="J711"/>
      <c r="K711">
        <v>1</v>
      </c>
      <c r="L711">
        <v>1</v>
      </c>
      <c r="M711" t="s">
        <v>33</v>
      </c>
      <c r="N711">
        <v>1</v>
      </c>
      <c r="O711">
        <v>0.5</v>
      </c>
      <c r="P711">
        <v>0.5</v>
      </c>
      <c r="Q711"/>
      <c r="R711">
        <v>0</v>
      </c>
      <c r="S711">
        <v>0</v>
      </c>
      <c r="T711"/>
      <c r="U711"/>
      <c r="V711"/>
      <c r="W711"/>
      <c r="X711">
        <v>0</v>
      </c>
      <c r="Y711"/>
      <c r="Z711">
        <v>0</v>
      </c>
      <c r="AA711"/>
      <c r="AB711"/>
      <c r="AC711"/>
      <c r="AD711"/>
      <c r="AE711">
        <v>0</v>
      </c>
      <c r="AF711"/>
      <c r="AG711"/>
      <c r="AH711"/>
    </row>
    <row r="712" spans="1:34" x14ac:dyDescent="0.25">
      <c r="A712" t="s">
        <v>1945</v>
      </c>
      <c r="B712" t="s">
        <v>1946</v>
      </c>
      <c r="C712"/>
      <c r="D712" t="s">
        <v>370</v>
      </c>
      <c r="E712" t="s">
        <v>1163</v>
      </c>
      <c r="F712" t="s">
        <v>956</v>
      </c>
      <c r="G712" t="s">
        <v>280</v>
      </c>
      <c r="H712" t="s">
        <v>1169</v>
      </c>
      <c r="I712" t="s">
        <v>373</v>
      </c>
      <c r="J712"/>
      <c r="K712">
        <v>1</v>
      </c>
      <c r="L712">
        <v>1</v>
      </c>
      <c r="M712" t="s">
        <v>33</v>
      </c>
      <c r="N712">
        <v>1</v>
      </c>
      <c r="O712">
        <v>0.5</v>
      </c>
      <c r="P712">
        <v>0.5</v>
      </c>
      <c r="Q712"/>
      <c r="R712">
        <v>0</v>
      </c>
      <c r="S712">
        <v>0</v>
      </c>
      <c r="T712"/>
      <c r="U712"/>
      <c r="V712"/>
      <c r="W712"/>
      <c r="X712">
        <v>0</v>
      </c>
      <c r="Y712"/>
      <c r="Z712">
        <v>0</v>
      </c>
      <c r="AA712"/>
      <c r="AB712"/>
      <c r="AC712"/>
      <c r="AD712"/>
      <c r="AE712">
        <v>0</v>
      </c>
      <c r="AF712"/>
      <c r="AG712"/>
      <c r="AH712"/>
    </row>
    <row r="713" spans="1:34" x14ac:dyDescent="0.25">
      <c r="A713" t="s">
        <v>3434</v>
      </c>
      <c r="B713" t="s">
        <v>3435</v>
      </c>
      <c r="C713"/>
      <c r="D713" t="s">
        <v>370</v>
      </c>
      <c r="E713" t="s">
        <v>1163</v>
      </c>
      <c r="F713" t="s">
        <v>956</v>
      </c>
      <c r="G713" t="s">
        <v>280</v>
      </c>
      <c r="H713" t="s">
        <v>1169</v>
      </c>
      <c r="I713" t="s">
        <v>373</v>
      </c>
      <c r="J713"/>
      <c r="K713">
        <v>1</v>
      </c>
      <c r="L713">
        <v>1</v>
      </c>
      <c r="M713" t="s">
        <v>33</v>
      </c>
      <c r="N713">
        <v>1</v>
      </c>
      <c r="O713">
        <v>0.5</v>
      </c>
      <c r="P713">
        <v>0.5</v>
      </c>
      <c r="Q713"/>
      <c r="R713">
        <v>0</v>
      </c>
      <c r="S713">
        <v>0</v>
      </c>
      <c r="T713"/>
      <c r="U713"/>
      <c r="V713"/>
      <c r="W713"/>
      <c r="X713">
        <v>0</v>
      </c>
      <c r="Y713"/>
      <c r="Z713">
        <v>0</v>
      </c>
      <c r="AA713"/>
      <c r="AB713"/>
      <c r="AC713"/>
      <c r="AD713"/>
      <c r="AE713">
        <v>0</v>
      </c>
      <c r="AF713"/>
      <c r="AG713"/>
      <c r="AH713"/>
    </row>
    <row r="714" spans="1:34" x14ac:dyDescent="0.25">
      <c r="A714" t="s">
        <v>1945</v>
      </c>
      <c r="B714" t="s">
        <v>1946</v>
      </c>
      <c r="C714"/>
      <c r="D714" t="s">
        <v>370</v>
      </c>
      <c r="E714" t="s">
        <v>1163</v>
      </c>
      <c r="F714" t="s">
        <v>958</v>
      </c>
      <c r="G714" t="s">
        <v>280</v>
      </c>
      <c r="H714" t="s">
        <v>1170</v>
      </c>
      <c r="I714" t="s">
        <v>373</v>
      </c>
      <c r="J714"/>
      <c r="K714">
        <v>1</v>
      </c>
      <c r="L714">
        <v>1</v>
      </c>
      <c r="M714" t="s">
        <v>33</v>
      </c>
      <c r="N714">
        <v>1</v>
      </c>
      <c r="O714">
        <v>0.5</v>
      </c>
      <c r="P714">
        <v>0.5</v>
      </c>
      <c r="Q714"/>
      <c r="R714">
        <v>0</v>
      </c>
      <c r="S714">
        <v>0</v>
      </c>
      <c r="T714"/>
      <c r="U714"/>
      <c r="V714"/>
      <c r="W714"/>
      <c r="X714">
        <v>0</v>
      </c>
      <c r="Y714"/>
      <c r="Z714">
        <v>0</v>
      </c>
      <c r="AA714"/>
      <c r="AB714"/>
      <c r="AC714"/>
      <c r="AD714"/>
      <c r="AE714">
        <v>0</v>
      </c>
      <c r="AF714"/>
      <c r="AG714"/>
      <c r="AH714"/>
    </row>
    <row r="715" spans="1:34" x14ac:dyDescent="0.25">
      <c r="A715" t="s">
        <v>3434</v>
      </c>
      <c r="B715" t="s">
        <v>3435</v>
      </c>
      <c r="C715"/>
      <c r="D715" t="s">
        <v>370</v>
      </c>
      <c r="E715" t="s">
        <v>1163</v>
      </c>
      <c r="F715" t="s">
        <v>958</v>
      </c>
      <c r="G715" t="s">
        <v>280</v>
      </c>
      <c r="H715" t="s">
        <v>1170</v>
      </c>
      <c r="I715" t="s">
        <v>373</v>
      </c>
      <c r="J715"/>
      <c r="K715">
        <v>1</v>
      </c>
      <c r="L715">
        <v>1</v>
      </c>
      <c r="M715" t="s">
        <v>33</v>
      </c>
      <c r="N715">
        <v>1</v>
      </c>
      <c r="O715">
        <v>0.5</v>
      </c>
      <c r="P715">
        <v>0.5</v>
      </c>
      <c r="Q715"/>
      <c r="R715">
        <v>0</v>
      </c>
      <c r="S715">
        <v>0</v>
      </c>
      <c r="T715"/>
      <c r="U715"/>
      <c r="V715"/>
      <c r="W715"/>
      <c r="X715">
        <v>0</v>
      </c>
      <c r="Y715"/>
      <c r="Z715">
        <v>0</v>
      </c>
      <c r="AA715"/>
      <c r="AB715"/>
      <c r="AC715"/>
      <c r="AD715"/>
      <c r="AE715">
        <v>0</v>
      </c>
      <c r="AF715"/>
      <c r="AG715"/>
      <c r="AH715"/>
    </row>
    <row r="716" spans="1:34" x14ac:dyDescent="0.25">
      <c r="A716" t="s">
        <v>1945</v>
      </c>
      <c r="B716" t="s">
        <v>1946</v>
      </c>
      <c r="C716"/>
      <c r="D716" t="s">
        <v>370</v>
      </c>
      <c r="E716" t="s">
        <v>1163</v>
      </c>
      <c r="F716" t="s">
        <v>960</v>
      </c>
      <c r="G716" t="s">
        <v>280</v>
      </c>
      <c r="H716" t="s">
        <v>1171</v>
      </c>
      <c r="I716" t="s">
        <v>373</v>
      </c>
      <c r="J716"/>
      <c r="K716">
        <v>1</v>
      </c>
      <c r="L716">
        <v>1</v>
      </c>
      <c r="M716" t="s">
        <v>33</v>
      </c>
      <c r="N716">
        <v>1</v>
      </c>
      <c r="O716">
        <v>0.5</v>
      </c>
      <c r="P716">
        <v>0.5</v>
      </c>
      <c r="Q716"/>
      <c r="R716">
        <v>0</v>
      </c>
      <c r="S716">
        <v>0</v>
      </c>
      <c r="T716"/>
      <c r="U716"/>
      <c r="V716"/>
      <c r="W716"/>
      <c r="X716">
        <v>0</v>
      </c>
      <c r="Y716"/>
      <c r="Z716">
        <v>0</v>
      </c>
      <c r="AA716"/>
      <c r="AB716"/>
      <c r="AC716"/>
      <c r="AD716"/>
      <c r="AE716">
        <v>0</v>
      </c>
      <c r="AF716"/>
      <c r="AG716"/>
      <c r="AH716"/>
    </row>
    <row r="717" spans="1:34" x14ac:dyDescent="0.25">
      <c r="A717" t="s">
        <v>3434</v>
      </c>
      <c r="B717" t="s">
        <v>3435</v>
      </c>
      <c r="C717"/>
      <c r="D717" t="s">
        <v>370</v>
      </c>
      <c r="E717" t="s">
        <v>1163</v>
      </c>
      <c r="F717" t="s">
        <v>960</v>
      </c>
      <c r="G717" t="s">
        <v>280</v>
      </c>
      <c r="H717" t="s">
        <v>1171</v>
      </c>
      <c r="I717" t="s">
        <v>373</v>
      </c>
      <c r="J717"/>
      <c r="K717">
        <v>1</v>
      </c>
      <c r="L717">
        <v>1</v>
      </c>
      <c r="M717" t="s">
        <v>33</v>
      </c>
      <c r="N717">
        <v>1</v>
      </c>
      <c r="O717">
        <v>0.5</v>
      </c>
      <c r="P717">
        <v>0.5</v>
      </c>
      <c r="Q717"/>
      <c r="R717">
        <v>0</v>
      </c>
      <c r="S717">
        <v>0</v>
      </c>
      <c r="T717"/>
      <c r="U717"/>
      <c r="V717"/>
      <c r="W717"/>
      <c r="X717">
        <v>0</v>
      </c>
      <c r="Y717"/>
      <c r="Z717">
        <v>0</v>
      </c>
      <c r="AA717"/>
      <c r="AB717"/>
      <c r="AC717"/>
      <c r="AD717"/>
      <c r="AE717">
        <v>0</v>
      </c>
      <c r="AF717"/>
      <c r="AG717"/>
      <c r="AH717"/>
    </row>
    <row r="718" spans="1:34" x14ac:dyDescent="0.25">
      <c r="A718" t="s">
        <v>1945</v>
      </c>
      <c r="B718" t="s">
        <v>1946</v>
      </c>
      <c r="C718"/>
      <c r="D718" t="s">
        <v>370</v>
      </c>
      <c r="E718" t="s">
        <v>1163</v>
      </c>
      <c r="F718" t="s">
        <v>962</v>
      </c>
      <c r="G718" t="s">
        <v>280</v>
      </c>
      <c r="H718" t="s">
        <v>1172</v>
      </c>
      <c r="I718" t="s">
        <v>373</v>
      </c>
      <c r="J718"/>
      <c r="K718">
        <v>1</v>
      </c>
      <c r="L718">
        <v>1</v>
      </c>
      <c r="M718" t="s">
        <v>33</v>
      </c>
      <c r="N718">
        <v>1</v>
      </c>
      <c r="O718">
        <v>0.5</v>
      </c>
      <c r="P718">
        <v>0.5</v>
      </c>
      <c r="Q718"/>
      <c r="R718">
        <v>0</v>
      </c>
      <c r="S718">
        <v>0</v>
      </c>
      <c r="T718"/>
      <c r="U718"/>
      <c r="V718"/>
      <c r="W718"/>
      <c r="X718">
        <v>0</v>
      </c>
      <c r="Y718"/>
      <c r="Z718">
        <v>0</v>
      </c>
      <c r="AA718"/>
      <c r="AB718"/>
      <c r="AC718"/>
      <c r="AD718"/>
      <c r="AE718">
        <v>0</v>
      </c>
      <c r="AF718"/>
      <c r="AG718"/>
      <c r="AH718"/>
    </row>
    <row r="719" spans="1:34" x14ac:dyDescent="0.25">
      <c r="A719" t="s">
        <v>3434</v>
      </c>
      <c r="B719" t="s">
        <v>3435</v>
      </c>
      <c r="C719"/>
      <c r="D719" t="s">
        <v>370</v>
      </c>
      <c r="E719" t="s">
        <v>1163</v>
      </c>
      <c r="F719" t="s">
        <v>962</v>
      </c>
      <c r="G719" t="s">
        <v>280</v>
      </c>
      <c r="H719" t="s">
        <v>1172</v>
      </c>
      <c r="I719" t="s">
        <v>373</v>
      </c>
      <c r="J719"/>
      <c r="K719">
        <v>1</v>
      </c>
      <c r="L719">
        <v>1</v>
      </c>
      <c r="M719" t="s">
        <v>33</v>
      </c>
      <c r="N719">
        <v>1</v>
      </c>
      <c r="O719">
        <v>0.5</v>
      </c>
      <c r="P719">
        <v>0.5</v>
      </c>
      <c r="Q719"/>
      <c r="R719">
        <v>0</v>
      </c>
      <c r="S719">
        <v>0</v>
      </c>
      <c r="T719"/>
      <c r="U719"/>
      <c r="V719"/>
      <c r="W719"/>
      <c r="X719">
        <v>0</v>
      </c>
      <c r="Y719"/>
      <c r="Z719">
        <v>0</v>
      </c>
      <c r="AA719"/>
      <c r="AB719"/>
      <c r="AC719"/>
      <c r="AD719"/>
      <c r="AE719">
        <v>0</v>
      </c>
      <c r="AF719"/>
      <c r="AG719"/>
      <c r="AH719"/>
    </row>
    <row r="720" spans="1:34" x14ac:dyDescent="0.25">
      <c r="A720" t="s">
        <v>1945</v>
      </c>
      <c r="B720" t="s">
        <v>1946</v>
      </c>
      <c r="C720"/>
      <c r="D720" t="s">
        <v>370</v>
      </c>
      <c r="E720" t="s">
        <v>1163</v>
      </c>
      <c r="F720" t="s">
        <v>964</v>
      </c>
      <c r="G720" t="s">
        <v>280</v>
      </c>
      <c r="H720" t="s">
        <v>1173</v>
      </c>
      <c r="I720" t="s">
        <v>373</v>
      </c>
      <c r="J720"/>
      <c r="K720">
        <v>1</v>
      </c>
      <c r="L720">
        <v>1</v>
      </c>
      <c r="M720" t="s">
        <v>33</v>
      </c>
      <c r="N720">
        <v>1</v>
      </c>
      <c r="O720">
        <v>0.5</v>
      </c>
      <c r="P720">
        <v>0.5</v>
      </c>
      <c r="Q720"/>
      <c r="R720">
        <v>0</v>
      </c>
      <c r="S720">
        <v>0</v>
      </c>
      <c r="T720"/>
      <c r="U720"/>
      <c r="V720"/>
      <c r="W720"/>
      <c r="X720">
        <v>0</v>
      </c>
      <c r="Y720"/>
      <c r="Z720">
        <v>0</v>
      </c>
      <c r="AA720"/>
      <c r="AB720"/>
      <c r="AC720"/>
      <c r="AD720"/>
      <c r="AE720">
        <v>0</v>
      </c>
      <c r="AF720"/>
      <c r="AG720"/>
      <c r="AH720"/>
    </row>
    <row r="721" spans="1:34" x14ac:dyDescent="0.25">
      <c r="A721" t="s">
        <v>3434</v>
      </c>
      <c r="B721" t="s">
        <v>3435</v>
      </c>
      <c r="C721"/>
      <c r="D721" t="s">
        <v>370</v>
      </c>
      <c r="E721" t="s">
        <v>1163</v>
      </c>
      <c r="F721" t="s">
        <v>964</v>
      </c>
      <c r="G721" t="s">
        <v>280</v>
      </c>
      <c r="H721" t="s">
        <v>1173</v>
      </c>
      <c r="I721" t="s">
        <v>373</v>
      </c>
      <c r="J721"/>
      <c r="K721">
        <v>1</v>
      </c>
      <c r="L721">
        <v>1</v>
      </c>
      <c r="M721" t="s">
        <v>33</v>
      </c>
      <c r="N721">
        <v>1</v>
      </c>
      <c r="O721">
        <v>0.5</v>
      </c>
      <c r="P721">
        <v>0.5</v>
      </c>
      <c r="Q721"/>
      <c r="R721">
        <v>0</v>
      </c>
      <c r="S721">
        <v>0</v>
      </c>
      <c r="T721"/>
      <c r="U721"/>
      <c r="V721"/>
      <c r="W721"/>
      <c r="X721">
        <v>0</v>
      </c>
      <c r="Y721"/>
      <c r="Z721">
        <v>0</v>
      </c>
      <c r="AA721"/>
      <c r="AB721"/>
      <c r="AC721"/>
      <c r="AD721"/>
      <c r="AE721">
        <v>0</v>
      </c>
      <c r="AF721"/>
      <c r="AG721"/>
      <c r="AH721"/>
    </row>
    <row r="722" spans="1:34" x14ac:dyDescent="0.25">
      <c r="A722" t="s">
        <v>1945</v>
      </c>
      <c r="B722" t="s">
        <v>1946</v>
      </c>
      <c r="C722"/>
      <c r="D722" t="s">
        <v>370</v>
      </c>
      <c r="E722" t="s">
        <v>1163</v>
      </c>
      <c r="F722" t="s">
        <v>966</v>
      </c>
      <c r="G722" t="s">
        <v>280</v>
      </c>
      <c r="H722" t="s">
        <v>1174</v>
      </c>
      <c r="I722" t="s">
        <v>373</v>
      </c>
      <c r="J722"/>
      <c r="K722">
        <v>1</v>
      </c>
      <c r="L722">
        <v>1</v>
      </c>
      <c r="M722" t="s">
        <v>33</v>
      </c>
      <c r="N722">
        <v>1</v>
      </c>
      <c r="O722">
        <v>0.5</v>
      </c>
      <c r="P722">
        <v>0.5</v>
      </c>
      <c r="Q722"/>
      <c r="R722">
        <v>0</v>
      </c>
      <c r="S722">
        <v>0</v>
      </c>
      <c r="T722"/>
      <c r="U722"/>
      <c r="V722"/>
      <c r="W722"/>
      <c r="X722">
        <v>0</v>
      </c>
      <c r="Y722"/>
      <c r="Z722">
        <v>0</v>
      </c>
      <c r="AA722"/>
      <c r="AB722"/>
      <c r="AC722"/>
      <c r="AD722"/>
      <c r="AE722">
        <v>0</v>
      </c>
      <c r="AF722"/>
      <c r="AG722"/>
      <c r="AH722"/>
    </row>
    <row r="723" spans="1:34" x14ac:dyDescent="0.25">
      <c r="A723" t="s">
        <v>3434</v>
      </c>
      <c r="B723" t="s">
        <v>3435</v>
      </c>
      <c r="C723"/>
      <c r="D723" t="s">
        <v>370</v>
      </c>
      <c r="E723" t="s">
        <v>1163</v>
      </c>
      <c r="F723" t="s">
        <v>966</v>
      </c>
      <c r="G723" t="s">
        <v>280</v>
      </c>
      <c r="H723" t="s">
        <v>1174</v>
      </c>
      <c r="I723" t="s">
        <v>373</v>
      </c>
      <c r="J723"/>
      <c r="K723">
        <v>1</v>
      </c>
      <c r="L723">
        <v>1</v>
      </c>
      <c r="M723" t="s">
        <v>33</v>
      </c>
      <c r="N723">
        <v>1</v>
      </c>
      <c r="O723">
        <v>0.5</v>
      </c>
      <c r="P723">
        <v>0.5</v>
      </c>
      <c r="Q723"/>
      <c r="R723">
        <v>0</v>
      </c>
      <c r="S723">
        <v>0</v>
      </c>
      <c r="T723"/>
      <c r="U723"/>
      <c r="V723"/>
      <c r="W723"/>
      <c r="X723">
        <v>0</v>
      </c>
      <c r="Y723"/>
      <c r="Z723">
        <v>0</v>
      </c>
      <c r="AA723"/>
      <c r="AB723"/>
      <c r="AC723"/>
      <c r="AD723"/>
      <c r="AE723">
        <v>0</v>
      </c>
      <c r="AF723"/>
      <c r="AG723"/>
      <c r="AH723"/>
    </row>
    <row r="724" spans="1:34" x14ac:dyDescent="0.25">
      <c r="A724" t="s">
        <v>1945</v>
      </c>
      <c r="B724" t="s">
        <v>1946</v>
      </c>
      <c r="C724"/>
      <c r="D724" t="s">
        <v>370</v>
      </c>
      <c r="E724" t="s">
        <v>1163</v>
      </c>
      <c r="F724" t="s">
        <v>1175</v>
      </c>
      <c r="G724" t="s">
        <v>280</v>
      </c>
      <c r="H724" t="s">
        <v>1176</v>
      </c>
      <c r="I724" t="s">
        <v>373</v>
      </c>
      <c r="J724"/>
      <c r="K724">
        <v>1</v>
      </c>
      <c r="L724">
        <v>1</v>
      </c>
      <c r="M724" t="s">
        <v>33</v>
      </c>
      <c r="N724">
        <v>1</v>
      </c>
      <c r="O724">
        <v>0.5</v>
      </c>
      <c r="P724">
        <v>0.5</v>
      </c>
      <c r="Q724"/>
      <c r="R724">
        <v>0</v>
      </c>
      <c r="S724">
        <v>0</v>
      </c>
      <c r="T724"/>
      <c r="U724"/>
      <c r="V724"/>
      <c r="W724"/>
      <c r="X724">
        <v>0</v>
      </c>
      <c r="Y724"/>
      <c r="Z724">
        <v>0</v>
      </c>
      <c r="AA724"/>
      <c r="AB724"/>
      <c r="AC724"/>
      <c r="AD724"/>
      <c r="AE724">
        <v>0</v>
      </c>
      <c r="AF724"/>
      <c r="AG724"/>
      <c r="AH724"/>
    </row>
    <row r="725" spans="1:34" x14ac:dyDescent="0.25">
      <c r="A725" t="s">
        <v>3434</v>
      </c>
      <c r="B725" t="s">
        <v>3435</v>
      </c>
      <c r="C725"/>
      <c r="D725" t="s">
        <v>370</v>
      </c>
      <c r="E725" t="s">
        <v>1163</v>
      </c>
      <c r="F725" t="s">
        <v>1175</v>
      </c>
      <c r="G725" t="s">
        <v>280</v>
      </c>
      <c r="H725" t="s">
        <v>1176</v>
      </c>
      <c r="I725" t="s">
        <v>373</v>
      </c>
      <c r="J725"/>
      <c r="K725">
        <v>1</v>
      </c>
      <c r="L725">
        <v>1</v>
      </c>
      <c r="M725" t="s">
        <v>33</v>
      </c>
      <c r="N725">
        <v>1</v>
      </c>
      <c r="O725">
        <v>0.5</v>
      </c>
      <c r="P725">
        <v>0.5</v>
      </c>
      <c r="Q725"/>
      <c r="R725">
        <v>0</v>
      </c>
      <c r="S725">
        <v>0</v>
      </c>
      <c r="T725"/>
      <c r="U725"/>
      <c r="V725"/>
      <c r="W725"/>
      <c r="X725">
        <v>0</v>
      </c>
      <c r="Y725"/>
      <c r="Z725">
        <v>0</v>
      </c>
      <c r="AA725"/>
      <c r="AB725"/>
      <c r="AC725"/>
      <c r="AD725"/>
      <c r="AE725">
        <v>0</v>
      </c>
      <c r="AF725"/>
      <c r="AG725"/>
      <c r="AH725"/>
    </row>
    <row r="726" spans="1:34" x14ac:dyDescent="0.25">
      <c r="A726" t="s">
        <v>1945</v>
      </c>
      <c r="B726" t="s">
        <v>1946</v>
      </c>
      <c r="C726"/>
      <c r="D726" t="s">
        <v>370</v>
      </c>
      <c r="E726" t="s">
        <v>1163</v>
      </c>
      <c r="F726" t="s">
        <v>1177</v>
      </c>
      <c r="G726" t="s">
        <v>280</v>
      </c>
      <c r="H726" t="s">
        <v>1178</v>
      </c>
      <c r="I726" t="s">
        <v>373</v>
      </c>
      <c r="J726"/>
      <c r="K726">
        <v>1</v>
      </c>
      <c r="L726">
        <v>1</v>
      </c>
      <c r="M726" t="s">
        <v>33</v>
      </c>
      <c r="N726">
        <v>1</v>
      </c>
      <c r="O726">
        <v>0.5</v>
      </c>
      <c r="P726">
        <v>0.5</v>
      </c>
      <c r="Q726"/>
      <c r="R726">
        <v>0</v>
      </c>
      <c r="S726">
        <v>0</v>
      </c>
      <c r="T726"/>
      <c r="U726"/>
      <c r="V726"/>
      <c r="W726"/>
      <c r="X726">
        <v>0</v>
      </c>
      <c r="Y726"/>
      <c r="Z726">
        <v>0</v>
      </c>
      <c r="AA726"/>
      <c r="AB726"/>
      <c r="AC726"/>
      <c r="AD726"/>
      <c r="AE726">
        <v>0</v>
      </c>
      <c r="AF726"/>
      <c r="AG726"/>
      <c r="AH726"/>
    </row>
    <row r="727" spans="1:34" x14ac:dyDescent="0.25">
      <c r="A727" t="s">
        <v>3434</v>
      </c>
      <c r="B727" t="s">
        <v>3435</v>
      </c>
      <c r="C727"/>
      <c r="D727" t="s">
        <v>370</v>
      </c>
      <c r="E727" t="s">
        <v>1163</v>
      </c>
      <c r="F727" t="s">
        <v>1177</v>
      </c>
      <c r="G727" t="s">
        <v>280</v>
      </c>
      <c r="H727" t="s">
        <v>1178</v>
      </c>
      <c r="I727" t="s">
        <v>373</v>
      </c>
      <c r="J727"/>
      <c r="K727">
        <v>1</v>
      </c>
      <c r="L727">
        <v>1</v>
      </c>
      <c r="M727" t="s">
        <v>33</v>
      </c>
      <c r="N727">
        <v>1</v>
      </c>
      <c r="O727">
        <v>0.5</v>
      </c>
      <c r="P727">
        <v>0.5</v>
      </c>
      <c r="Q727"/>
      <c r="R727">
        <v>0</v>
      </c>
      <c r="S727">
        <v>0</v>
      </c>
      <c r="T727"/>
      <c r="U727"/>
      <c r="V727"/>
      <c r="W727"/>
      <c r="X727">
        <v>0</v>
      </c>
      <c r="Y727"/>
      <c r="Z727">
        <v>0</v>
      </c>
      <c r="AA727"/>
      <c r="AB727"/>
      <c r="AC727"/>
      <c r="AD727"/>
      <c r="AE727">
        <v>0</v>
      </c>
      <c r="AF727"/>
      <c r="AG727"/>
      <c r="AH727"/>
    </row>
    <row r="728" spans="1:34" x14ac:dyDescent="0.25">
      <c r="A728" t="s">
        <v>1945</v>
      </c>
      <c r="B728" t="s">
        <v>1946</v>
      </c>
      <c r="C728"/>
      <c r="D728" t="s">
        <v>370</v>
      </c>
      <c r="E728" t="s">
        <v>1163</v>
      </c>
      <c r="F728" t="s">
        <v>1179</v>
      </c>
      <c r="G728" t="s">
        <v>280</v>
      </c>
      <c r="H728" t="s">
        <v>1180</v>
      </c>
      <c r="I728" t="s">
        <v>373</v>
      </c>
      <c r="J728"/>
      <c r="K728">
        <v>1</v>
      </c>
      <c r="L728">
        <v>1</v>
      </c>
      <c r="M728" t="s">
        <v>33</v>
      </c>
      <c r="N728">
        <v>1</v>
      </c>
      <c r="O728">
        <v>0.5</v>
      </c>
      <c r="P728">
        <v>0.5</v>
      </c>
      <c r="Q728"/>
      <c r="R728">
        <v>0</v>
      </c>
      <c r="S728">
        <v>0</v>
      </c>
      <c r="T728"/>
      <c r="U728"/>
      <c r="V728"/>
      <c r="W728"/>
      <c r="X728">
        <v>0</v>
      </c>
      <c r="Y728"/>
      <c r="Z728">
        <v>0</v>
      </c>
      <c r="AA728"/>
      <c r="AB728"/>
      <c r="AC728"/>
      <c r="AD728"/>
      <c r="AE728">
        <v>0</v>
      </c>
      <c r="AF728"/>
      <c r="AG728"/>
      <c r="AH728"/>
    </row>
    <row r="729" spans="1:34" x14ac:dyDescent="0.25">
      <c r="A729" t="s">
        <v>3434</v>
      </c>
      <c r="B729" t="s">
        <v>3435</v>
      </c>
      <c r="C729"/>
      <c r="D729" t="s">
        <v>370</v>
      </c>
      <c r="E729" t="s">
        <v>1163</v>
      </c>
      <c r="F729" t="s">
        <v>1179</v>
      </c>
      <c r="G729" t="s">
        <v>280</v>
      </c>
      <c r="H729" t="s">
        <v>1180</v>
      </c>
      <c r="I729" t="s">
        <v>373</v>
      </c>
      <c r="J729"/>
      <c r="K729">
        <v>1</v>
      </c>
      <c r="L729">
        <v>1</v>
      </c>
      <c r="M729" t="s">
        <v>33</v>
      </c>
      <c r="N729">
        <v>1</v>
      </c>
      <c r="O729">
        <v>0.5</v>
      </c>
      <c r="P729">
        <v>0.5</v>
      </c>
      <c r="Q729"/>
      <c r="R729">
        <v>0</v>
      </c>
      <c r="S729">
        <v>0</v>
      </c>
      <c r="T729"/>
      <c r="U729"/>
      <c r="V729"/>
      <c r="W729"/>
      <c r="X729">
        <v>0</v>
      </c>
      <c r="Y729"/>
      <c r="Z729">
        <v>0</v>
      </c>
      <c r="AA729"/>
      <c r="AB729"/>
      <c r="AC729"/>
      <c r="AD729"/>
      <c r="AE729">
        <v>0</v>
      </c>
      <c r="AF729"/>
      <c r="AG729"/>
      <c r="AH729"/>
    </row>
    <row r="730" spans="1:34" x14ac:dyDescent="0.25">
      <c r="A730" t="s">
        <v>1945</v>
      </c>
      <c r="B730" t="s">
        <v>1946</v>
      </c>
      <c r="C730"/>
      <c r="D730" t="s">
        <v>370</v>
      </c>
      <c r="E730" t="s">
        <v>1163</v>
      </c>
      <c r="F730" t="s">
        <v>1181</v>
      </c>
      <c r="G730" t="s">
        <v>280</v>
      </c>
      <c r="H730" t="s">
        <v>1182</v>
      </c>
      <c r="I730" t="s">
        <v>373</v>
      </c>
      <c r="J730"/>
      <c r="K730">
        <v>1</v>
      </c>
      <c r="L730">
        <v>1</v>
      </c>
      <c r="M730" t="s">
        <v>33</v>
      </c>
      <c r="N730">
        <v>1</v>
      </c>
      <c r="O730">
        <v>0.5</v>
      </c>
      <c r="P730">
        <v>0.5</v>
      </c>
      <c r="Q730"/>
      <c r="R730">
        <v>0</v>
      </c>
      <c r="S730">
        <v>0</v>
      </c>
      <c r="T730"/>
      <c r="U730"/>
      <c r="V730"/>
      <c r="W730"/>
      <c r="X730">
        <v>0</v>
      </c>
      <c r="Y730"/>
      <c r="Z730">
        <v>0</v>
      </c>
      <c r="AA730"/>
      <c r="AB730"/>
      <c r="AC730"/>
      <c r="AD730"/>
      <c r="AE730">
        <v>0</v>
      </c>
      <c r="AF730"/>
      <c r="AG730"/>
      <c r="AH730"/>
    </row>
    <row r="731" spans="1:34" x14ac:dyDescent="0.25">
      <c r="A731" t="s">
        <v>3434</v>
      </c>
      <c r="B731" t="s">
        <v>3435</v>
      </c>
      <c r="C731"/>
      <c r="D731" t="s">
        <v>370</v>
      </c>
      <c r="E731" t="s">
        <v>1163</v>
      </c>
      <c r="F731" t="s">
        <v>1181</v>
      </c>
      <c r="G731" t="s">
        <v>280</v>
      </c>
      <c r="H731" t="s">
        <v>1182</v>
      </c>
      <c r="I731" t="s">
        <v>373</v>
      </c>
      <c r="J731"/>
      <c r="K731">
        <v>1</v>
      </c>
      <c r="L731">
        <v>1</v>
      </c>
      <c r="M731" t="s">
        <v>33</v>
      </c>
      <c r="N731">
        <v>1</v>
      </c>
      <c r="O731">
        <v>0.5</v>
      </c>
      <c r="P731">
        <v>0.5</v>
      </c>
      <c r="Q731"/>
      <c r="R731">
        <v>0</v>
      </c>
      <c r="S731">
        <v>0</v>
      </c>
      <c r="T731"/>
      <c r="U731"/>
      <c r="V731"/>
      <c r="W731"/>
      <c r="X731">
        <v>0</v>
      </c>
      <c r="Y731"/>
      <c r="Z731">
        <v>0</v>
      </c>
      <c r="AA731"/>
      <c r="AB731"/>
      <c r="AC731"/>
      <c r="AD731"/>
      <c r="AE731">
        <v>0</v>
      </c>
      <c r="AF731"/>
      <c r="AG731"/>
      <c r="AH731"/>
    </row>
    <row r="732" spans="1:34" x14ac:dyDescent="0.25">
      <c r="A732" t="s">
        <v>1945</v>
      </c>
      <c r="B732" t="s">
        <v>1946</v>
      </c>
      <c r="C732"/>
      <c r="D732" t="s">
        <v>370</v>
      </c>
      <c r="E732" t="s">
        <v>1163</v>
      </c>
      <c r="F732" t="s">
        <v>1183</v>
      </c>
      <c r="G732" t="s">
        <v>280</v>
      </c>
      <c r="H732" t="s">
        <v>1184</v>
      </c>
      <c r="I732" t="s">
        <v>373</v>
      </c>
      <c r="J732"/>
      <c r="K732">
        <v>1</v>
      </c>
      <c r="L732">
        <v>1</v>
      </c>
      <c r="M732" t="s">
        <v>33</v>
      </c>
      <c r="N732">
        <v>1</v>
      </c>
      <c r="O732">
        <v>0.5</v>
      </c>
      <c r="P732">
        <v>0.5</v>
      </c>
      <c r="Q732"/>
      <c r="R732">
        <v>0</v>
      </c>
      <c r="S732">
        <v>0</v>
      </c>
      <c r="T732"/>
      <c r="U732"/>
      <c r="V732"/>
      <c r="W732"/>
      <c r="X732">
        <v>0</v>
      </c>
      <c r="Y732"/>
      <c r="Z732">
        <v>0</v>
      </c>
      <c r="AA732"/>
      <c r="AB732"/>
      <c r="AC732"/>
      <c r="AD732"/>
      <c r="AE732">
        <v>0</v>
      </c>
      <c r="AF732"/>
      <c r="AG732"/>
      <c r="AH732"/>
    </row>
    <row r="733" spans="1:34" x14ac:dyDescent="0.25">
      <c r="A733" t="s">
        <v>3434</v>
      </c>
      <c r="B733" t="s">
        <v>3435</v>
      </c>
      <c r="C733"/>
      <c r="D733" t="s">
        <v>370</v>
      </c>
      <c r="E733" t="s">
        <v>1163</v>
      </c>
      <c r="F733" t="s">
        <v>1183</v>
      </c>
      <c r="G733" t="s">
        <v>280</v>
      </c>
      <c r="H733" t="s">
        <v>1184</v>
      </c>
      <c r="I733" t="s">
        <v>373</v>
      </c>
      <c r="J733"/>
      <c r="K733">
        <v>1</v>
      </c>
      <c r="L733">
        <v>1</v>
      </c>
      <c r="M733" t="s">
        <v>33</v>
      </c>
      <c r="N733">
        <v>1</v>
      </c>
      <c r="O733">
        <v>0.5</v>
      </c>
      <c r="P733">
        <v>0.5</v>
      </c>
      <c r="Q733"/>
      <c r="R733">
        <v>0</v>
      </c>
      <c r="S733">
        <v>0</v>
      </c>
      <c r="T733"/>
      <c r="U733"/>
      <c r="V733"/>
      <c r="W733"/>
      <c r="X733">
        <v>0</v>
      </c>
      <c r="Y733"/>
      <c r="Z733">
        <v>0</v>
      </c>
      <c r="AA733"/>
      <c r="AB733"/>
      <c r="AC733"/>
      <c r="AD733"/>
      <c r="AE733">
        <v>0</v>
      </c>
      <c r="AF733"/>
      <c r="AG733"/>
      <c r="AH733"/>
    </row>
    <row r="734" spans="1:34" x14ac:dyDescent="0.25">
      <c r="A734" t="s">
        <v>1945</v>
      </c>
      <c r="B734" t="s">
        <v>1946</v>
      </c>
      <c r="C734"/>
      <c r="D734" t="s">
        <v>370</v>
      </c>
      <c r="E734" t="s">
        <v>1163</v>
      </c>
      <c r="F734" t="s">
        <v>1185</v>
      </c>
      <c r="G734" t="s">
        <v>280</v>
      </c>
      <c r="H734" t="s">
        <v>1186</v>
      </c>
      <c r="I734" t="s">
        <v>373</v>
      </c>
      <c r="J734"/>
      <c r="K734">
        <v>1</v>
      </c>
      <c r="L734">
        <v>1</v>
      </c>
      <c r="M734" t="s">
        <v>33</v>
      </c>
      <c r="N734">
        <v>1</v>
      </c>
      <c r="O734">
        <v>0.5</v>
      </c>
      <c r="P734">
        <v>0.5</v>
      </c>
      <c r="Q734"/>
      <c r="R734">
        <v>0</v>
      </c>
      <c r="S734">
        <v>0</v>
      </c>
      <c r="T734"/>
      <c r="U734"/>
      <c r="V734"/>
      <c r="W734"/>
      <c r="X734">
        <v>0</v>
      </c>
      <c r="Y734"/>
      <c r="Z734">
        <v>0</v>
      </c>
      <c r="AA734"/>
      <c r="AB734"/>
      <c r="AC734"/>
      <c r="AD734"/>
      <c r="AE734">
        <v>0</v>
      </c>
      <c r="AF734"/>
      <c r="AG734"/>
      <c r="AH734"/>
    </row>
    <row r="735" spans="1:34" x14ac:dyDescent="0.25">
      <c r="A735" t="s">
        <v>3434</v>
      </c>
      <c r="B735" t="s">
        <v>3435</v>
      </c>
      <c r="C735"/>
      <c r="D735" t="s">
        <v>370</v>
      </c>
      <c r="E735" t="s">
        <v>1163</v>
      </c>
      <c r="F735" t="s">
        <v>1185</v>
      </c>
      <c r="G735" t="s">
        <v>280</v>
      </c>
      <c r="H735" t="s">
        <v>1186</v>
      </c>
      <c r="I735" t="s">
        <v>373</v>
      </c>
      <c r="J735"/>
      <c r="K735">
        <v>1</v>
      </c>
      <c r="L735">
        <v>1</v>
      </c>
      <c r="M735" t="s">
        <v>33</v>
      </c>
      <c r="N735">
        <v>1</v>
      </c>
      <c r="O735">
        <v>0.5</v>
      </c>
      <c r="P735">
        <v>0.5</v>
      </c>
      <c r="Q735"/>
      <c r="R735">
        <v>0</v>
      </c>
      <c r="S735">
        <v>0</v>
      </c>
      <c r="T735"/>
      <c r="U735"/>
      <c r="V735"/>
      <c r="W735"/>
      <c r="X735">
        <v>0</v>
      </c>
      <c r="Y735"/>
      <c r="Z735">
        <v>0</v>
      </c>
      <c r="AA735"/>
      <c r="AB735"/>
      <c r="AC735"/>
      <c r="AD735"/>
      <c r="AE735">
        <v>0</v>
      </c>
      <c r="AF735"/>
      <c r="AG735"/>
      <c r="AH735"/>
    </row>
    <row r="736" spans="1:34" x14ac:dyDescent="0.25">
      <c r="A736" t="s">
        <v>1945</v>
      </c>
      <c r="B736" t="s">
        <v>1946</v>
      </c>
      <c r="C736"/>
      <c r="D736" t="s">
        <v>370</v>
      </c>
      <c r="E736" t="s">
        <v>1163</v>
      </c>
      <c r="F736" t="s">
        <v>1187</v>
      </c>
      <c r="G736" t="s">
        <v>280</v>
      </c>
      <c r="H736" t="s">
        <v>1188</v>
      </c>
      <c r="I736" t="s">
        <v>373</v>
      </c>
      <c r="J736"/>
      <c r="K736">
        <v>1</v>
      </c>
      <c r="L736">
        <v>1</v>
      </c>
      <c r="M736" t="s">
        <v>33</v>
      </c>
      <c r="N736">
        <v>1</v>
      </c>
      <c r="O736">
        <v>0.5</v>
      </c>
      <c r="P736">
        <v>0.5</v>
      </c>
      <c r="Q736"/>
      <c r="R736">
        <v>0</v>
      </c>
      <c r="S736">
        <v>0</v>
      </c>
      <c r="T736"/>
      <c r="U736"/>
      <c r="V736"/>
      <c r="W736"/>
      <c r="X736">
        <v>0</v>
      </c>
      <c r="Y736"/>
      <c r="Z736">
        <v>0</v>
      </c>
      <c r="AA736"/>
      <c r="AB736"/>
      <c r="AC736"/>
      <c r="AD736"/>
      <c r="AE736">
        <v>0</v>
      </c>
      <c r="AF736"/>
      <c r="AG736"/>
      <c r="AH736"/>
    </row>
    <row r="737" spans="1:34" x14ac:dyDescent="0.25">
      <c r="A737" t="s">
        <v>3434</v>
      </c>
      <c r="B737" t="s">
        <v>3435</v>
      </c>
      <c r="C737"/>
      <c r="D737" t="s">
        <v>370</v>
      </c>
      <c r="E737" t="s">
        <v>1163</v>
      </c>
      <c r="F737" t="s">
        <v>1187</v>
      </c>
      <c r="G737" t="s">
        <v>280</v>
      </c>
      <c r="H737" t="s">
        <v>1188</v>
      </c>
      <c r="I737" t="s">
        <v>373</v>
      </c>
      <c r="J737"/>
      <c r="K737">
        <v>1</v>
      </c>
      <c r="L737">
        <v>1</v>
      </c>
      <c r="M737" t="s">
        <v>33</v>
      </c>
      <c r="N737">
        <v>1</v>
      </c>
      <c r="O737">
        <v>0.5</v>
      </c>
      <c r="P737">
        <v>0.5</v>
      </c>
      <c r="Q737"/>
      <c r="R737">
        <v>0</v>
      </c>
      <c r="S737">
        <v>0</v>
      </c>
      <c r="T737"/>
      <c r="U737"/>
      <c r="V737"/>
      <c r="W737"/>
      <c r="X737">
        <v>0</v>
      </c>
      <c r="Y737"/>
      <c r="Z737">
        <v>0</v>
      </c>
      <c r="AA737"/>
      <c r="AB737"/>
      <c r="AC737"/>
      <c r="AD737"/>
      <c r="AE737">
        <v>0</v>
      </c>
      <c r="AF737"/>
      <c r="AG737"/>
      <c r="AH737"/>
    </row>
    <row r="738" spans="1:34" x14ac:dyDescent="0.25">
      <c r="A738" t="s">
        <v>1945</v>
      </c>
      <c r="B738" t="s">
        <v>1946</v>
      </c>
      <c r="C738"/>
      <c r="D738" t="s">
        <v>370</v>
      </c>
      <c r="E738" t="s">
        <v>1163</v>
      </c>
      <c r="F738" t="s">
        <v>1189</v>
      </c>
      <c r="G738" t="s">
        <v>280</v>
      </c>
      <c r="H738" t="s">
        <v>1190</v>
      </c>
      <c r="I738" t="s">
        <v>373</v>
      </c>
      <c r="J738"/>
      <c r="K738">
        <v>1</v>
      </c>
      <c r="L738">
        <v>1</v>
      </c>
      <c r="M738" t="s">
        <v>33</v>
      </c>
      <c r="N738">
        <v>1</v>
      </c>
      <c r="O738">
        <v>0.5</v>
      </c>
      <c r="P738">
        <v>0.5</v>
      </c>
      <c r="Q738"/>
      <c r="R738">
        <v>0</v>
      </c>
      <c r="S738">
        <v>0</v>
      </c>
      <c r="T738"/>
      <c r="U738"/>
      <c r="V738"/>
      <c r="W738"/>
      <c r="X738">
        <v>0</v>
      </c>
      <c r="Y738"/>
      <c r="Z738">
        <v>0</v>
      </c>
      <c r="AA738"/>
      <c r="AB738"/>
      <c r="AC738"/>
      <c r="AD738"/>
      <c r="AE738">
        <v>0</v>
      </c>
      <c r="AF738"/>
      <c r="AG738"/>
      <c r="AH738"/>
    </row>
    <row r="739" spans="1:34" x14ac:dyDescent="0.25">
      <c r="A739" t="s">
        <v>3434</v>
      </c>
      <c r="B739" t="s">
        <v>3435</v>
      </c>
      <c r="C739"/>
      <c r="D739" t="s">
        <v>370</v>
      </c>
      <c r="E739" t="s">
        <v>1163</v>
      </c>
      <c r="F739" t="s">
        <v>1189</v>
      </c>
      <c r="G739" t="s">
        <v>280</v>
      </c>
      <c r="H739" t="s">
        <v>1190</v>
      </c>
      <c r="I739" t="s">
        <v>373</v>
      </c>
      <c r="J739"/>
      <c r="K739">
        <v>1</v>
      </c>
      <c r="L739">
        <v>1</v>
      </c>
      <c r="M739" t="s">
        <v>33</v>
      </c>
      <c r="N739">
        <v>1</v>
      </c>
      <c r="O739">
        <v>0.5</v>
      </c>
      <c r="P739">
        <v>0.5</v>
      </c>
      <c r="Q739"/>
      <c r="R739">
        <v>0</v>
      </c>
      <c r="S739">
        <v>0</v>
      </c>
      <c r="T739"/>
      <c r="U739"/>
      <c r="V739"/>
      <c r="W739"/>
      <c r="X739">
        <v>0</v>
      </c>
      <c r="Y739"/>
      <c r="Z739">
        <v>0</v>
      </c>
      <c r="AA739"/>
      <c r="AB739"/>
      <c r="AC739"/>
      <c r="AD739"/>
      <c r="AE739">
        <v>0</v>
      </c>
      <c r="AF739"/>
      <c r="AG739"/>
      <c r="AH739"/>
    </row>
    <row r="740" spans="1:34" x14ac:dyDescent="0.25">
      <c r="A740" t="s">
        <v>1945</v>
      </c>
      <c r="B740" t="s">
        <v>1946</v>
      </c>
      <c r="C740"/>
      <c r="D740" t="s">
        <v>370</v>
      </c>
      <c r="E740" t="s">
        <v>1163</v>
      </c>
      <c r="F740" t="s">
        <v>1191</v>
      </c>
      <c r="G740" t="s">
        <v>280</v>
      </c>
      <c r="H740" t="s">
        <v>1192</v>
      </c>
      <c r="I740" t="s">
        <v>373</v>
      </c>
      <c r="J740"/>
      <c r="K740">
        <v>1</v>
      </c>
      <c r="L740">
        <v>1</v>
      </c>
      <c r="M740" t="s">
        <v>33</v>
      </c>
      <c r="N740">
        <v>1</v>
      </c>
      <c r="O740">
        <v>0.5</v>
      </c>
      <c r="P740">
        <v>0.5</v>
      </c>
      <c r="Q740"/>
      <c r="R740">
        <v>0</v>
      </c>
      <c r="S740">
        <v>0</v>
      </c>
      <c r="T740"/>
      <c r="U740"/>
      <c r="V740"/>
      <c r="W740"/>
      <c r="X740">
        <v>0</v>
      </c>
      <c r="Y740"/>
      <c r="Z740">
        <v>0</v>
      </c>
      <c r="AA740"/>
      <c r="AB740"/>
      <c r="AC740"/>
      <c r="AD740"/>
      <c r="AE740">
        <v>0</v>
      </c>
      <c r="AF740"/>
      <c r="AG740"/>
      <c r="AH740"/>
    </row>
    <row r="741" spans="1:34" x14ac:dyDescent="0.25">
      <c r="A741" t="s">
        <v>3434</v>
      </c>
      <c r="B741" t="s">
        <v>3435</v>
      </c>
      <c r="C741"/>
      <c r="D741" t="s">
        <v>370</v>
      </c>
      <c r="E741" t="s">
        <v>1163</v>
      </c>
      <c r="F741" t="s">
        <v>1191</v>
      </c>
      <c r="G741" t="s">
        <v>280</v>
      </c>
      <c r="H741" t="s">
        <v>1192</v>
      </c>
      <c r="I741" t="s">
        <v>373</v>
      </c>
      <c r="J741"/>
      <c r="K741">
        <v>1</v>
      </c>
      <c r="L741">
        <v>1</v>
      </c>
      <c r="M741" t="s">
        <v>33</v>
      </c>
      <c r="N741">
        <v>1</v>
      </c>
      <c r="O741">
        <v>0.5</v>
      </c>
      <c r="P741">
        <v>0.5</v>
      </c>
      <c r="Q741"/>
      <c r="R741">
        <v>0</v>
      </c>
      <c r="S741">
        <v>0</v>
      </c>
      <c r="T741"/>
      <c r="U741"/>
      <c r="V741"/>
      <c r="W741"/>
      <c r="X741">
        <v>0</v>
      </c>
      <c r="Y741"/>
      <c r="Z741">
        <v>0</v>
      </c>
      <c r="AA741"/>
      <c r="AB741"/>
      <c r="AC741"/>
      <c r="AD741"/>
      <c r="AE741">
        <v>0</v>
      </c>
      <c r="AF741"/>
      <c r="AG741"/>
      <c r="AH741"/>
    </row>
    <row r="742" spans="1:34" x14ac:dyDescent="0.25">
      <c r="A742" t="s">
        <v>1945</v>
      </c>
      <c r="B742" t="s">
        <v>1946</v>
      </c>
      <c r="C742"/>
      <c r="D742" t="s">
        <v>370</v>
      </c>
      <c r="E742" t="s">
        <v>1163</v>
      </c>
      <c r="F742" t="s">
        <v>1193</v>
      </c>
      <c r="G742" t="s">
        <v>280</v>
      </c>
      <c r="H742" t="s">
        <v>1194</v>
      </c>
      <c r="I742" t="s">
        <v>373</v>
      </c>
      <c r="J742"/>
      <c r="K742">
        <v>1</v>
      </c>
      <c r="L742">
        <v>1</v>
      </c>
      <c r="M742" t="s">
        <v>33</v>
      </c>
      <c r="N742">
        <v>1</v>
      </c>
      <c r="O742">
        <v>0.5</v>
      </c>
      <c r="P742">
        <v>0.5</v>
      </c>
      <c r="Q742"/>
      <c r="R742">
        <v>0</v>
      </c>
      <c r="S742">
        <v>0</v>
      </c>
      <c r="T742"/>
      <c r="U742"/>
      <c r="V742"/>
      <c r="W742"/>
      <c r="X742">
        <v>0</v>
      </c>
      <c r="Y742"/>
      <c r="Z742">
        <v>0</v>
      </c>
      <c r="AA742"/>
      <c r="AB742"/>
      <c r="AC742"/>
      <c r="AD742"/>
      <c r="AE742">
        <v>0</v>
      </c>
      <c r="AF742"/>
      <c r="AG742"/>
      <c r="AH742"/>
    </row>
    <row r="743" spans="1:34" x14ac:dyDescent="0.25">
      <c r="A743" t="s">
        <v>3434</v>
      </c>
      <c r="B743" t="s">
        <v>3435</v>
      </c>
      <c r="C743"/>
      <c r="D743" t="s">
        <v>370</v>
      </c>
      <c r="E743" t="s">
        <v>1163</v>
      </c>
      <c r="F743" t="s">
        <v>1193</v>
      </c>
      <c r="G743" t="s">
        <v>280</v>
      </c>
      <c r="H743" t="s">
        <v>1194</v>
      </c>
      <c r="I743" t="s">
        <v>373</v>
      </c>
      <c r="J743"/>
      <c r="K743">
        <v>1</v>
      </c>
      <c r="L743">
        <v>1</v>
      </c>
      <c r="M743" t="s">
        <v>33</v>
      </c>
      <c r="N743">
        <v>1</v>
      </c>
      <c r="O743">
        <v>0.5</v>
      </c>
      <c r="P743">
        <v>0.5</v>
      </c>
      <c r="Q743"/>
      <c r="R743">
        <v>0</v>
      </c>
      <c r="S743">
        <v>0</v>
      </c>
      <c r="T743"/>
      <c r="U743"/>
      <c r="V743"/>
      <c r="W743"/>
      <c r="X743">
        <v>0</v>
      </c>
      <c r="Y743"/>
      <c r="Z743">
        <v>0</v>
      </c>
      <c r="AA743"/>
      <c r="AB743"/>
      <c r="AC743"/>
      <c r="AD743"/>
      <c r="AE743">
        <v>0</v>
      </c>
      <c r="AF743"/>
      <c r="AG743"/>
      <c r="AH743"/>
    </row>
    <row r="744" spans="1:34" x14ac:dyDescent="0.25">
      <c r="A744" t="s">
        <v>1945</v>
      </c>
      <c r="B744" t="s">
        <v>1946</v>
      </c>
      <c r="C744"/>
      <c r="D744" t="s">
        <v>370</v>
      </c>
      <c r="E744" t="s">
        <v>1163</v>
      </c>
      <c r="F744" t="s">
        <v>1195</v>
      </c>
      <c r="G744" t="s">
        <v>280</v>
      </c>
      <c r="H744" t="s">
        <v>1196</v>
      </c>
      <c r="I744" t="s">
        <v>373</v>
      </c>
      <c r="J744"/>
      <c r="K744">
        <v>1</v>
      </c>
      <c r="L744">
        <v>1</v>
      </c>
      <c r="M744" t="s">
        <v>33</v>
      </c>
      <c r="N744">
        <v>1</v>
      </c>
      <c r="O744">
        <v>0.5</v>
      </c>
      <c r="P744">
        <v>0.5</v>
      </c>
      <c r="Q744"/>
      <c r="R744">
        <v>0</v>
      </c>
      <c r="S744">
        <v>0</v>
      </c>
      <c r="T744"/>
      <c r="U744"/>
      <c r="V744"/>
      <c r="W744"/>
      <c r="X744">
        <v>0</v>
      </c>
      <c r="Y744"/>
      <c r="Z744">
        <v>0</v>
      </c>
      <c r="AA744"/>
      <c r="AB744"/>
      <c r="AC744"/>
      <c r="AD744"/>
      <c r="AE744">
        <v>0</v>
      </c>
      <c r="AF744"/>
      <c r="AG744"/>
      <c r="AH744"/>
    </row>
    <row r="745" spans="1:34" x14ac:dyDescent="0.25">
      <c r="A745" t="s">
        <v>3434</v>
      </c>
      <c r="B745" t="s">
        <v>3435</v>
      </c>
      <c r="C745"/>
      <c r="D745" t="s">
        <v>370</v>
      </c>
      <c r="E745" t="s">
        <v>1163</v>
      </c>
      <c r="F745" t="s">
        <v>1195</v>
      </c>
      <c r="G745" t="s">
        <v>280</v>
      </c>
      <c r="H745" t="s">
        <v>1196</v>
      </c>
      <c r="I745" t="s">
        <v>373</v>
      </c>
      <c r="J745"/>
      <c r="K745">
        <v>1</v>
      </c>
      <c r="L745">
        <v>1</v>
      </c>
      <c r="M745" t="s">
        <v>33</v>
      </c>
      <c r="N745">
        <v>1</v>
      </c>
      <c r="O745">
        <v>0.5</v>
      </c>
      <c r="P745">
        <v>0.5</v>
      </c>
      <c r="Q745"/>
      <c r="R745">
        <v>0</v>
      </c>
      <c r="S745">
        <v>0</v>
      </c>
      <c r="T745"/>
      <c r="U745"/>
      <c r="V745"/>
      <c r="W745"/>
      <c r="X745">
        <v>0</v>
      </c>
      <c r="Y745"/>
      <c r="Z745">
        <v>0</v>
      </c>
      <c r="AA745"/>
      <c r="AB745"/>
      <c r="AC745"/>
      <c r="AD745"/>
      <c r="AE745">
        <v>0</v>
      </c>
      <c r="AF745"/>
      <c r="AG745"/>
      <c r="AH745"/>
    </row>
    <row r="746" spans="1:34" x14ac:dyDescent="0.25">
      <c r="A746" t="s">
        <v>1945</v>
      </c>
      <c r="B746" t="s">
        <v>1946</v>
      </c>
      <c r="C746"/>
      <c r="D746" t="s">
        <v>370</v>
      </c>
      <c r="E746" t="s">
        <v>1163</v>
      </c>
      <c r="F746" t="s">
        <v>1197</v>
      </c>
      <c r="G746" t="s">
        <v>280</v>
      </c>
      <c r="H746" t="s">
        <v>1198</v>
      </c>
      <c r="I746" t="s">
        <v>373</v>
      </c>
      <c r="J746"/>
      <c r="K746">
        <v>1</v>
      </c>
      <c r="L746">
        <v>1</v>
      </c>
      <c r="M746" t="s">
        <v>33</v>
      </c>
      <c r="N746">
        <v>1</v>
      </c>
      <c r="O746">
        <v>0.5</v>
      </c>
      <c r="P746">
        <v>0.5</v>
      </c>
      <c r="Q746"/>
      <c r="R746">
        <v>0</v>
      </c>
      <c r="S746">
        <v>0</v>
      </c>
      <c r="T746"/>
      <c r="U746"/>
      <c r="V746"/>
      <c r="W746"/>
      <c r="X746">
        <v>0</v>
      </c>
      <c r="Y746"/>
      <c r="Z746">
        <v>0</v>
      </c>
      <c r="AA746"/>
      <c r="AB746"/>
      <c r="AC746"/>
      <c r="AD746"/>
      <c r="AE746">
        <v>0</v>
      </c>
      <c r="AF746"/>
      <c r="AG746"/>
      <c r="AH746"/>
    </row>
    <row r="747" spans="1:34" x14ac:dyDescent="0.25">
      <c r="A747" t="s">
        <v>3434</v>
      </c>
      <c r="B747" t="s">
        <v>3435</v>
      </c>
      <c r="C747"/>
      <c r="D747" t="s">
        <v>370</v>
      </c>
      <c r="E747" t="s">
        <v>1163</v>
      </c>
      <c r="F747" t="s">
        <v>1197</v>
      </c>
      <c r="G747" t="s">
        <v>280</v>
      </c>
      <c r="H747" t="s">
        <v>1198</v>
      </c>
      <c r="I747" t="s">
        <v>373</v>
      </c>
      <c r="J747"/>
      <c r="K747">
        <v>1</v>
      </c>
      <c r="L747">
        <v>1</v>
      </c>
      <c r="M747" t="s">
        <v>33</v>
      </c>
      <c r="N747">
        <v>1</v>
      </c>
      <c r="O747">
        <v>0.5</v>
      </c>
      <c r="P747">
        <v>0.5</v>
      </c>
      <c r="Q747"/>
      <c r="R747">
        <v>0</v>
      </c>
      <c r="S747">
        <v>0</v>
      </c>
      <c r="T747"/>
      <c r="U747"/>
      <c r="V747"/>
      <c r="W747"/>
      <c r="X747">
        <v>0</v>
      </c>
      <c r="Y747"/>
      <c r="Z747">
        <v>0</v>
      </c>
      <c r="AA747"/>
      <c r="AB747"/>
      <c r="AC747"/>
      <c r="AD747"/>
      <c r="AE747">
        <v>0</v>
      </c>
      <c r="AF747"/>
      <c r="AG747"/>
      <c r="AH747"/>
    </row>
    <row r="748" spans="1:34" x14ac:dyDescent="0.25">
      <c r="A748" t="s">
        <v>1945</v>
      </c>
      <c r="B748" t="s">
        <v>1946</v>
      </c>
      <c r="C748"/>
      <c r="D748" t="s">
        <v>370</v>
      </c>
      <c r="E748" t="s">
        <v>1163</v>
      </c>
      <c r="F748" t="s">
        <v>1199</v>
      </c>
      <c r="G748" t="s">
        <v>280</v>
      </c>
      <c r="H748" t="s">
        <v>1200</v>
      </c>
      <c r="I748" t="s">
        <v>373</v>
      </c>
      <c r="J748"/>
      <c r="K748">
        <v>1</v>
      </c>
      <c r="L748">
        <v>1</v>
      </c>
      <c r="M748" t="s">
        <v>33</v>
      </c>
      <c r="N748">
        <v>1</v>
      </c>
      <c r="O748">
        <v>0.5</v>
      </c>
      <c r="P748">
        <v>0.5</v>
      </c>
      <c r="Q748"/>
      <c r="R748">
        <v>0</v>
      </c>
      <c r="S748">
        <v>0</v>
      </c>
      <c r="T748"/>
      <c r="U748"/>
      <c r="V748"/>
      <c r="W748"/>
      <c r="X748">
        <v>0</v>
      </c>
      <c r="Y748"/>
      <c r="Z748">
        <v>0</v>
      </c>
      <c r="AA748"/>
      <c r="AB748"/>
      <c r="AC748"/>
      <c r="AD748"/>
      <c r="AE748">
        <v>0</v>
      </c>
      <c r="AF748"/>
      <c r="AG748"/>
      <c r="AH748"/>
    </row>
    <row r="749" spans="1:34" x14ac:dyDescent="0.25">
      <c r="A749" t="s">
        <v>3434</v>
      </c>
      <c r="B749" t="s">
        <v>3435</v>
      </c>
      <c r="C749"/>
      <c r="D749" t="s">
        <v>370</v>
      </c>
      <c r="E749" t="s">
        <v>1163</v>
      </c>
      <c r="F749" t="s">
        <v>1199</v>
      </c>
      <c r="G749" t="s">
        <v>280</v>
      </c>
      <c r="H749" t="s">
        <v>1200</v>
      </c>
      <c r="I749" t="s">
        <v>373</v>
      </c>
      <c r="J749"/>
      <c r="K749">
        <v>1</v>
      </c>
      <c r="L749">
        <v>1</v>
      </c>
      <c r="M749" t="s">
        <v>33</v>
      </c>
      <c r="N749">
        <v>1</v>
      </c>
      <c r="O749">
        <v>0.5</v>
      </c>
      <c r="P749">
        <v>0.5</v>
      </c>
      <c r="Q749"/>
      <c r="R749">
        <v>0</v>
      </c>
      <c r="S749">
        <v>0</v>
      </c>
      <c r="T749"/>
      <c r="U749"/>
      <c r="V749"/>
      <c r="W749"/>
      <c r="X749">
        <v>0</v>
      </c>
      <c r="Y749"/>
      <c r="Z749">
        <v>0</v>
      </c>
      <c r="AA749"/>
      <c r="AB749"/>
      <c r="AC749"/>
      <c r="AD749"/>
      <c r="AE749">
        <v>0</v>
      </c>
      <c r="AF749"/>
      <c r="AG749"/>
      <c r="AH749"/>
    </row>
    <row r="750" spans="1:34" x14ac:dyDescent="0.25">
      <c r="A750" t="s">
        <v>1945</v>
      </c>
      <c r="B750" t="s">
        <v>1946</v>
      </c>
      <c r="C750"/>
      <c r="D750" t="s">
        <v>370</v>
      </c>
      <c r="E750" t="s">
        <v>1163</v>
      </c>
      <c r="F750" t="s">
        <v>1201</v>
      </c>
      <c r="G750" t="s">
        <v>280</v>
      </c>
      <c r="H750" t="s">
        <v>1202</v>
      </c>
      <c r="I750" t="s">
        <v>373</v>
      </c>
      <c r="J750"/>
      <c r="K750">
        <v>1</v>
      </c>
      <c r="L750">
        <v>1</v>
      </c>
      <c r="M750" t="s">
        <v>33</v>
      </c>
      <c r="N750">
        <v>1</v>
      </c>
      <c r="O750">
        <v>0.5</v>
      </c>
      <c r="P750">
        <v>0.5</v>
      </c>
      <c r="Q750"/>
      <c r="R750">
        <v>0</v>
      </c>
      <c r="S750">
        <v>0</v>
      </c>
      <c r="T750"/>
      <c r="U750"/>
      <c r="V750"/>
      <c r="W750"/>
      <c r="X750">
        <v>0</v>
      </c>
      <c r="Y750"/>
      <c r="Z750">
        <v>0</v>
      </c>
      <c r="AA750"/>
      <c r="AB750"/>
      <c r="AC750"/>
      <c r="AD750"/>
      <c r="AE750">
        <v>0</v>
      </c>
      <c r="AF750"/>
      <c r="AG750"/>
      <c r="AH750"/>
    </row>
    <row r="751" spans="1:34" x14ac:dyDescent="0.25">
      <c r="A751" t="s">
        <v>3434</v>
      </c>
      <c r="B751" t="s">
        <v>3435</v>
      </c>
      <c r="C751"/>
      <c r="D751" t="s">
        <v>370</v>
      </c>
      <c r="E751" t="s">
        <v>1163</v>
      </c>
      <c r="F751" t="s">
        <v>1201</v>
      </c>
      <c r="G751" t="s">
        <v>280</v>
      </c>
      <c r="H751" t="s">
        <v>1202</v>
      </c>
      <c r="I751" t="s">
        <v>373</v>
      </c>
      <c r="J751"/>
      <c r="K751">
        <v>1</v>
      </c>
      <c r="L751">
        <v>1</v>
      </c>
      <c r="M751" t="s">
        <v>33</v>
      </c>
      <c r="N751">
        <v>1</v>
      </c>
      <c r="O751">
        <v>0.5</v>
      </c>
      <c r="P751">
        <v>0.5</v>
      </c>
      <c r="Q751"/>
      <c r="R751">
        <v>0</v>
      </c>
      <c r="S751">
        <v>0</v>
      </c>
      <c r="T751"/>
      <c r="U751"/>
      <c r="V751"/>
      <c r="W751"/>
      <c r="X751">
        <v>0</v>
      </c>
      <c r="Y751"/>
      <c r="Z751">
        <v>0</v>
      </c>
      <c r="AA751"/>
      <c r="AB751"/>
      <c r="AC751"/>
      <c r="AD751"/>
      <c r="AE751">
        <v>0</v>
      </c>
      <c r="AF751"/>
      <c r="AG751"/>
      <c r="AH751"/>
    </row>
    <row r="752" spans="1:34" x14ac:dyDescent="0.25">
      <c r="A752" t="s">
        <v>1945</v>
      </c>
      <c r="B752" t="s">
        <v>1946</v>
      </c>
      <c r="C752"/>
      <c r="D752" t="s">
        <v>370</v>
      </c>
      <c r="E752" t="s">
        <v>1163</v>
      </c>
      <c r="F752" t="s">
        <v>1203</v>
      </c>
      <c r="G752" t="s">
        <v>280</v>
      </c>
      <c r="H752" t="s">
        <v>1204</v>
      </c>
      <c r="I752" t="s">
        <v>373</v>
      </c>
      <c r="J752"/>
      <c r="K752">
        <v>1</v>
      </c>
      <c r="L752">
        <v>1</v>
      </c>
      <c r="M752" t="s">
        <v>33</v>
      </c>
      <c r="N752">
        <v>1</v>
      </c>
      <c r="O752">
        <v>0.5</v>
      </c>
      <c r="P752">
        <v>0.5</v>
      </c>
      <c r="Q752"/>
      <c r="R752">
        <v>0</v>
      </c>
      <c r="S752">
        <v>0</v>
      </c>
      <c r="T752"/>
      <c r="U752"/>
      <c r="V752"/>
      <c r="W752"/>
      <c r="X752">
        <v>0</v>
      </c>
      <c r="Y752"/>
      <c r="Z752">
        <v>0</v>
      </c>
      <c r="AA752"/>
      <c r="AB752"/>
      <c r="AC752"/>
      <c r="AD752"/>
      <c r="AE752">
        <v>0</v>
      </c>
      <c r="AF752"/>
      <c r="AG752"/>
      <c r="AH752"/>
    </row>
    <row r="753" spans="1:34" x14ac:dyDescent="0.25">
      <c r="A753" t="s">
        <v>3434</v>
      </c>
      <c r="B753" t="s">
        <v>3435</v>
      </c>
      <c r="C753"/>
      <c r="D753" t="s">
        <v>370</v>
      </c>
      <c r="E753" t="s">
        <v>1163</v>
      </c>
      <c r="F753" t="s">
        <v>1203</v>
      </c>
      <c r="G753" t="s">
        <v>280</v>
      </c>
      <c r="H753" t="s">
        <v>1204</v>
      </c>
      <c r="I753" t="s">
        <v>373</v>
      </c>
      <c r="J753"/>
      <c r="K753">
        <v>1</v>
      </c>
      <c r="L753">
        <v>1</v>
      </c>
      <c r="M753" t="s">
        <v>33</v>
      </c>
      <c r="N753">
        <v>1</v>
      </c>
      <c r="O753">
        <v>0.5</v>
      </c>
      <c r="P753">
        <v>0.5</v>
      </c>
      <c r="Q753"/>
      <c r="R753">
        <v>0</v>
      </c>
      <c r="S753">
        <v>0</v>
      </c>
      <c r="T753"/>
      <c r="U753"/>
      <c r="V753"/>
      <c r="W753"/>
      <c r="X753">
        <v>0</v>
      </c>
      <c r="Y753"/>
      <c r="Z753">
        <v>0</v>
      </c>
      <c r="AA753"/>
      <c r="AB753"/>
      <c r="AC753"/>
      <c r="AD753"/>
      <c r="AE753">
        <v>0</v>
      </c>
      <c r="AF753"/>
      <c r="AG753"/>
      <c r="AH753"/>
    </row>
    <row r="754" spans="1:34" x14ac:dyDescent="0.25">
      <c r="A754" t="s">
        <v>1945</v>
      </c>
      <c r="B754" t="s">
        <v>1946</v>
      </c>
      <c r="C754"/>
      <c r="D754" t="s">
        <v>370</v>
      </c>
      <c r="E754" t="s">
        <v>1163</v>
      </c>
      <c r="F754" t="s">
        <v>1205</v>
      </c>
      <c r="G754" t="s">
        <v>280</v>
      </c>
      <c r="H754" t="s">
        <v>1206</v>
      </c>
      <c r="I754" t="s">
        <v>373</v>
      </c>
      <c r="J754"/>
      <c r="K754">
        <v>1</v>
      </c>
      <c r="L754">
        <v>1</v>
      </c>
      <c r="M754" t="s">
        <v>33</v>
      </c>
      <c r="N754">
        <v>1</v>
      </c>
      <c r="O754">
        <v>0.5</v>
      </c>
      <c r="P754">
        <v>0.5</v>
      </c>
      <c r="Q754"/>
      <c r="R754">
        <v>0</v>
      </c>
      <c r="S754">
        <v>0</v>
      </c>
      <c r="T754"/>
      <c r="U754"/>
      <c r="V754"/>
      <c r="W754"/>
      <c r="X754">
        <v>0</v>
      </c>
      <c r="Y754"/>
      <c r="Z754">
        <v>0</v>
      </c>
      <c r="AA754"/>
      <c r="AB754"/>
      <c r="AC754"/>
      <c r="AD754"/>
      <c r="AE754">
        <v>0</v>
      </c>
      <c r="AF754"/>
      <c r="AG754"/>
      <c r="AH754"/>
    </row>
    <row r="755" spans="1:34" x14ac:dyDescent="0.25">
      <c r="A755" t="s">
        <v>3434</v>
      </c>
      <c r="B755" t="s">
        <v>3435</v>
      </c>
      <c r="C755"/>
      <c r="D755" t="s">
        <v>370</v>
      </c>
      <c r="E755" t="s">
        <v>1163</v>
      </c>
      <c r="F755" t="s">
        <v>1205</v>
      </c>
      <c r="G755" t="s">
        <v>280</v>
      </c>
      <c r="H755" t="s">
        <v>1206</v>
      </c>
      <c r="I755" t="s">
        <v>373</v>
      </c>
      <c r="J755"/>
      <c r="K755">
        <v>1</v>
      </c>
      <c r="L755">
        <v>1</v>
      </c>
      <c r="M755" t="s">
        <v>33</v>
      </c>
      <c r="N755">
        <v>1</v>
      </c>
      <c r="O755">
        <v>0.5</v>
      </c>
      <c r="P755">
        <v>0.5</v>
      </c>
      <c r="Q755"/>
      <c r="R755">
        <v>0</v>
      </c>
      <c r="S755">
        <v>0</v>
      </c>
      <c r="T755"/>
      <c r="U755"/>
      <c r="V755"/>
      <c r="W755"/>
      <c r="X755">
        <v>0</v>
      </c>
      <c r="Y755"/>
      <c r="Z755">
        <v>0</v>
      </c>
      <c r="AA755"/>
      <c r="AB755"/>
      <c r="AC755"/>
      <c r="AD755"/>
      <c r="AE755">
        <v>0</v>
      </c>
      <c r="AF755"/>
      <c r="AG755"/>
      <c r="AH755"/>
    </row>
    <row r="756" spans="1:34" x14ac:dyDescent="0.25">
      <c r="A756" t="s">
        <v>1945</v>
      </c>
      <c r="B756" t="s">
        <v>1946</v>
      </c>
      <c r="C756"/>
      <c r="D756" t="s">
        <v>370</v>
      </c>
      <c r="E756" t="s">
        <v>1163</v>
      </c>
      <c r="F756" t="s">
        <v>1207</v>
      </c>
      <c r="G756" t="s">
        <v>280</v>
      </c>
      <c r="H756" t="s">
        <v>1208</v>
      </c>
      <c r="I756" t="s">
        <v>373</v>
      </c>
      <c r="J756"/>
      <c r="K756">
        <v>1</v>
      </c>
      <c r="L756">
        <v>1</v>
      </c>
      <c r="M756" t="s">
        <v>33</v>
      </c>
      <c r="N756">
        <v>1</v>
      </c>
      <c r="O756">
        <v>0.5</v>
      </c>
      <c r="P756">
        <v>0.5</v>
      </c>
      <c r="Q756"/>
      <c r="R756">
        <v>0</v>
      </c>
      <c r="S756">
        <v>0</v>
      </c>
      <c r="T756"/>
      <c r="U756"/>
      <c r="V756"/>
      <c r="W756"/>
      <c r="X756">
        <v>0</v>
      </c>
      <c r="Y756"/>
      <c r="Z756">
        <v>0</v>
      </c>
      <c r="AA756"/>
      <c r="AB756"/>
      <c r="AC756"/>
      <c r="AD756"/>
      <c r="AE756">
        <v>0</v>
      </c>
      <c r="AF756"/>
      <c r="AG756"/>
      <c r="AH756"/>
    </row>
    <row r="757" spans="1:34" x14ac:dyDescent="0.25">
      <c r="A757" t="s">
        <v>3434</v>
      </c>
      <c r="B757" t="s">
        <v>3435</v>
      </c>
      <c r="C757"/>
      <c r="D757" t="s">
        <v>370</v>
      </c>
      <c r="E757" t="s">
        <v>1163</v>
      </c>
      <c r="F757" t="s">
        <v>1207</v>
      </c>
      <c r="G757" t="s">
        <v>280</v>
      </c>
      <c r="H757" t="s">
        <v>1208</v>
      </c>
      <c r="I757" t="s">
        <v>373</v>
      </c>
      <c r="J757"/>
      <c r="K757">
        <v>1</v>
      </c>
      <c r="L757">
        <v>1</v>
      </c>
      <c r="M757" t="s">
        <v>33</v>
      </c>
      <c r="N757">
        <v>1</v>
      </c>
      <c r="O757">
        <v>0.5</v>
      </c>
      <c r="P757">
        <v>0.5</v>
      </c>
      <c r="Q757"/>
      <c r="R757">
        <v>0</v>
      </c>
      <c r="S757">
        <v>0</v>
      </c>
      <c r="T757"/>
      <c r="U757"/>
      <c r="V757"/>
      <c r="W757"/>
      <c r="X757">
        <v>0</v>
      </c>
      <c r="Y757"/>
      <c r="Z757">
        <v>0</v>
      </c>
      <c r="AA757"/>
      <c r="AB757"/>
      <c r="AC757"/>
      <c r="AD757"/>
      <c r="AE757">
        <v>0</v>
      </c>
      <c r="AF757"/>
      <c r="AG757"/>
      <c r="AH757"/>
    </row>
    <row r="758" spans="1:34" x14ac:dyDescent="0.25">
      <c r="A758" t="s">
        <v>1945</v>
      </c>
      <c r="B758" t="s">
        <v>1946</v>
      </c>
      <c r="C758"/>
      <c r="D758" t="s">
        <v>370</v>
      </c>
      <c r="E758" t="s">
        <v>1163</v>
      </c>
      <c r="F758" t="s">
        <v>1209</v>
      </c>
      <c r="G758" t="s">
        <v>280</v>
      </c>
      <c r="H758" t="s">
        <v>1210</v>
      </c>
      <c r="I758" t="s">
        <v>373</v>
      </c>
      <c r="J758"/>
      <c r="K758">
        <v>1</v>
      </c>
      <c r="L758">
        <v>1</v>
      </c>
      <c r="M758" t="s">
        <v>33</v>
      </c>
      <c r="N758">
        <v>1</v>
      </c>
      <c r="O758">
        <v>0.5</v>
      </c>
      <c r="P758">
        <v>0.5</v>
      </c>
      <c r="Q758"/>
      <c r="R758">
        <v>0</v>
      </c>
      <c r="S758">
        <v>0</v>
      </c>
      <c r="T758"/>
      <c r="U758"/>
      <c r="V758"/>
      <c r="W758"/>
      <c r="X758">
        <v>0</v>
      </c>
      <c r="Y758"/>
      <c r="Z758">
        <v>0</v>
      </c>
      <c r="AA758"/>
      <c r="AB758"/>
      <c r="AC758"/>
      <c r="AD758"/>
      <c r="AE758">
        <v>0</v>
      </c>
      <c r="AF758"/>
      <c r="AG758"/>
      <c r="AH758"/>
    </row>
    <row r="759" spans="1:34" x14ac:dyDescent="0.25">
      <c r="A759" t="s">
        <v>3434</v>
      </c>
      <c r="B759" t="s">
        <v>3435</v>
      </c>
      <c r="C759"/>
      <c r="D759" t="s">
        <v>370</v>
      </c>
      <c r="E759" t="s">
        <v>1163</v>
      </c>
      <c r="F759" t="s">
        <v>1209</v>
      </c>
      <c r="G759" t="s">
        <v>280</v>
      </c>
      <c r="H759" t="s">
        <v>1210</v>
      </c>
      <c r="I759" t="s">
        <v>373</v>
      </c>
      <c r="J759"/>
      <c r="K759">
        <v>1</v>
      </c>
      <c r="L759">
        <v>1</v>
      </c>
      <c r="M759" t="s">
        <v>33</v>
      </c>
      <c r="N759">
        <v>1</v>
      </c>
      <c r="O759">
        <v>0.5</v>
      </c>
      <c r="P759">
        <v>0.5</v>
      </c>
      <c r="Q759"/>
      <c r="R759">
        <v>0</v>
      </c>
      <c r="S759">
        <v>0</v>
      </c>
      <c r="T759"/>
      <c r="U759"/>
      <c r="V759"/>
      <c r="W759"/>
      <c r="X759">
        <v>0</v>
      </c>
      <c r="Y759"/>
      <c r="Z759">
        <v>0</v>
      </c>
      <c r="AA759"/>
      <c r="AB759"/>
      <c r="AC759"/>
      <c r="AD759"/>
      <c r="AE759">
        <v>0</v>
      </c>
      <c r="AF759"/>
      <c r="AG759"/>
      <c r="AH759"/>
    </row>
    <row r="760" spans="1:34" x14ac:dyDescent="0.25">
      <c r="A760" t="s">
        <v>1945</v>
      </c>
      <c r="B760" t="s">
        <v>1946</v>
      </c>
      <c r="C760"/>
      <c r="D760" t="s">
        <v>370</v>
      </c>
      <c r="E760" t="s">
        <v>1163</v>
      </c>
      <c r="F760" t="s">
        <v>1211</v>
      </c>
      <c r="G760" t="s">
        <v>280</v>
      </c>
      <c r="H760" t="s">
        <v>1212</v>
      </c>
      <c r="I760" t="s">
        <v>373</v>
      </c>
      <c r="J760"/>
      <c r="K760">
        <v>1</v>
      </c>
      <c r="L760">
        <v>1</v>
      </c>
      <c r="M760" t="s">
        <v>33</v>
      </c>
      <c r="N760">
        <v>1</v>
      </c>
      <c r="O760">
        <v>0.5</v>
      </c>
      <c r="P760">
        <v>0.5</v>
      </c>
      <c r="Q760"/>
      <c r="R760">
        <v>0</v>
      </c>
      <c r="S760">
        <v>0</v>
      </c>
      <c r="T760"/>
      <c r="U760"/>
      <c r="V760"/>
      <c r="W760"/>
      <c r="X760">
        <v>0</v>
      </c>
      <c r="Y760"/>
      <c r="Z760">
        <v>0</v>
      </c>
      <c r="AA760"/>
      <c r="AB760"/>
      <c r="AC760"/>
      <c r="AD760"/>
      <c r="AE760">
        <v>0</v>
      </c>
      <c r="AF760"/>
      <c r="AG760"/>
      <c r="AH760"/>
    </row>
    <row r="761" spans="1:34" x14ac:dyDescent="0.25">
      <c r="A761" t="s">
        <v>3434</v>
      </c>
      <c r="B761" t="s">
        <v>3435</v>
      </c>
      <c r="C761"/>
      <c r="D761" t="s">
        <v>370</v>
      </c>
      <c r="E761" t="s">
        <v>1163</v>
      </c>
      <c r="F761" t="s">
        <v>1211</v>
      </c>
      <c r="G761" t="s">
        <v>280</v>
      </c>
      <c r="H761" t="s">
        <v>1212</v>
      </c>
      <c r="I761" t="s">
        <v>373</v>
      </c>
      <c r="J761"/>
      <c r="K761">
        <v>1</v>
      </c>
      <c r="L761">
        <v>1</v>
      </c>
      <c r="M761" t="s">
        <v>33</v>
      </c>
      <c r="N761">
        <v>1</v>
      </c>
      <c r="O761">
        <v>0.5</v>
      </c>
      <c r="P761">
        <v>0.5</v>
      </c>
      <c r="Q761"/>
      <c r="R761">
        <v>0</v>
      </c>
      <c r="S761">
        <v>0</v>
      </c>
      <c r="T761"/>
      <c r="U761"/>
      <c r="V761"/>
      <c r="W761"/>
      <c r="X761">
        <v>0</v>
      </c>
      <c r="Y761"/>
      <c r="Z761">
        <v>0</v>
      </c>
      <c r="AA761"/>
      <c r="AB761"/>
      <c r="AC761"/>
      <c r="AD761"/>
      <c r="AE761">
        <v>0</v>
      </c>
      <c r="AF761"/>
      <c r="AG761"/>
      <c r="AH761"/>
    </row>
    <row r="762" spans="1:34" x14ac:dyDescent="0.25">
      <c r="A762" t="s">
        <v>1945</v>
      </c>
      <c r="B762" t="s">
        <v>1946</v>
      </c>
      <c r="C762"/>
      <c r="D762" t="s">
        <v>370</v>
      </c>
      <c r="E762" t="s">
        <v>1163</v>
      </c>
      <c r="F762" t="s">
        <v>1213</v>
      </c>
      <c r="G762" t="s">
        <v>280</v>
      </c>
      <c r="H762" t="s">
        <v>1214</v>
      </c>
      <c r="I762" t="s">
        <v>373</v>
      </c>
      <c r="J762"/>
      <c r="K762">
        <v>1</v>
      </c>
      <c r="L762">
        <v>1</v>
      </c>
      <c r="M762" t="s">
        <v>33</v>
      </c>
      <c r="N762">
        <v>1</v>
      </c>
      <c r="O762">
        <v>0.5</v>
      </c>
      <c r="P762">
        <v>0.5</v>
      </c>
      <c r="Q762"/>
      <c r="R762">
        <v>0</v>
      </c>
      <c r="S762">
        <v>0</v>
      </c>
      <c r="T762"/>
      <c r="U762"/>
      <c r="V762"/>
      <c r="W762"/>
      <c r="X762">
        <v>0</v>
      </c>
      <c r="Y762"/>
      <c r="Z762">
        <v>0</v>
      </c>
      <c r="AA762"/>
      <c r="AB762"/>
      <c r="AC762"/>
      <c r="AD762"/>
      <c r="AE762">
        <v>0</v>
      </c>
      <c r="AF762"/>
      <c r="AG762"/>
      <c r="AH762"/>
    </row>
    <row r="763" spans="1:34" x14ac:dyDescent="0.25">
      <c r="A763" t="s">
        <v>3434</v>
      </c>
      <c r="B763" t="s">
        <v>3435</v>
      </c>
      <c r="C763"/>
      <c r="D763" t="s">
        <v>370</v>
      </c>
      <c r="E763" t="s">
        <v>1163</v>
      </c>
      <c r="F763" t="s">
        <v>1213</v>
      </c>
      <c r="G763" t="s">
        <v>280</v>
      </c>
      <c r="H763" t="s">
        <v>1214</v>
      </c>
      <c r="I763" t="s">
        <v>373</v>
      </c>
      <c r="J763"/>
      <c r="K763">
        <v>1</v>
      </c>
      <c r="L763">
        <v>1</v>
      </c>
      <c r="M763" t="s">
        <v>33</v>
      </c>
      <c r="N763">
        <v>1</v>
      </c>
      <c r="O763">
        <v>0.5</v>
      </c>
      <c r="P763">
        <v>0.5</v>
      </c>
      <c r="Q763"/>
      <c r="R763">
        <v>0</v>
      </c>
      <c r="S763">
        <v>0</v>
      </c>
      <c r="T763"/>
      <c r="U763"/>
      <c r="V763"/>
      <c r="W763"/>
      <c r="X763">
        <v>0</v>
      </c>
      <c r="Y763"/>
      <c r="Z763">
        <v>0</v>
      </c>
      <c r="AA763"/>
      <c r="AB763"/>
      <c r="AC763"/>
      <c r="AD763"/>
      <c r="AE763">
        <v>0</v>
      </c>
      <c r="AF763"/>
      <c r="AG763"/>
      <c r="AH763"/>
    </row>
    <row r="764" spans="1:34" x14ac:dyDescent="0.25">
      <c r="A764" t="s">
        <v>1945</v>
      </c>
      <c r="B764" t="s">
        <v>1946</v>
      </c>
      <c r="C764"/>
      <c r="D764" t="s">
        <v>370</v>
      </c>
      <c r="E764" t="s">
        <v>1163</v>
      </c>
      <c r="F764" t="s">
        <v>1215</v>
      </c>
      <c r="G764" t="s">
        <v>280</v>
      </c>
      <c r="H764" t="s">
        <v>1216</v>
      </c>
      <c r="I764" t="s">
        <v>373</v>
      </c>
      <c r="J764"/>
      <c r="K764">
        <v>1</v>
      </c>
      <c r="L764">
        <v>1</v>
      </c>
      <c r="M764" t="s">
        <v>33</v>
      </c>
      <c r="N764">
        <v>1</v>
      </c>
      <c r="O764">
        <v>0.5</v>
      </c>
      <c r="P764">
        <v>0.5</v>
      </c>
      <c r="Q764"/>
      <c r="R764">
        <v>0</v>
      </c>
      <c r="S764">
        <v>0</v>
      </c>
      <c r="T764"/>
      <c r="U764"/>
      <c r="V764"/>
      <c r="W764"/>
      <c r="X764">
        <v>0</v>
      </c>
      <c r="Y764"/>
      <c r="Z764">
        <v>0</v>
      </c>
      <c r="AA764"/>
      <c r="AB764"/>
      <c r="AC764"/>
      <c r="AD764"/>
      <c r="AE764">
        <v>0</v>
      </c>
      <c r="AF764"/>
      <c r="AG764"/>
      <c r="AH764"/>
    </row>
    <row r="765" spans="1:34" x14ac:dyDescent="0.25">
      <c r="A765" t="s">
        <v>3434</v>
      </c>
      <c r="B765" t="s">
        <v>3435</v>
      </c>
      <c r="C765"/>
      <c r="D765" t="s">
        <v>370</v>
      </c>
      <c r="E765" t="s">
        <v>1163</v>
      </c>
      <c r="F765" t="s">
        <v>1215</v>
      </c>
      <c r="G765" t="s">
        <v>280</v>
      </c>
      <c r="H765" t="s">
        <v>1216</v>
      </c>
      <c r="I765" t="s">
        <v>373</v>
      </c>
      <c r="J765"/>
      <c r="K765">
        <v>1</v>
      </c>
      <c r="L765">
        <v>1</v>
      </c>
      <c r="M765" t="s">
        <v>33</v>
      </c>
      <c r="N765">
        <v>1</v>
      </c>
      <c r="O765">
        <v>0.5</v>
      </c>
      <c r="P765">
        <v>0.5</v>
      </c>
      <c r="Q765"/>
      <c r="R765">
        <v>0</v>
      </c>
      <c r="S765">
        <v>0</v>
      </c>
      <c r="T765"/>
      <c r="U765"/>
      <c r="V765"/>
      <c r="W765"/>
      <c r="X765">
        <v>0</v>
      </c>
      <c r="Y765"/>
      <c r="Z765">
        <v>0</v>
      </c>
      <c r="AA765"/>
      <c r="AB765"/>
      <c r="AC765"/>
      <c r="AD765"/>
      <c r="AE765">
        <v>0</v>
      </c>
      <c r="AF765"/>
      <c r="AG765"/>
      <c r="AH765"/>
    </row>
    <row r="766" spans="1:34" x14ac:dyDescent="0.25">
      <c r="A766" t="s">
        <v>1945</v>
      </c>
      <c r="B766" t="s">
        <v>1946</v>
      </c>
      <c r="C766"/>
      <c r="D766" t="s">
        <v>370</v>
      </c>
      <c r="E766" t="s">
        <v>1163</v>
      </c>
      <c r="F766" t="s">
        <v>1217</v>
      </c>
      <c r="G766" t="s">
        <v>280</v>
      </c>
      <c r="H766" t="s">
        <v>1218</v>
      </c>
      <c r="I766" t="s">
        <v>373</v>
      </c>
      <c r="J766"/>
      <c r="K766">
        <v>1</v>
      </c>
      <c r="L766">
        <v>1</v>
      </c>
      <c r="M766" t="s">
        <v>33</v>
      </c>
      <c r="N766">
        <v>1</v>
      </c>
      <c r="O766">
        <v>0.5</v>
      </c>
      <c r="P766">
        <v>0.5</v>
      </c>
      <c r="Q766"/>
      <c r="R766">
        <v>0</v>
      </c>
      <c r="S766">
        <v>0</v>
      </c>
      <c r="T766"/>
      <c r="U766"/>
      <c r="V766"/>
      <c r="W766"/>
      <c r="X766">
        <v>0</v>
      </c>
      <c r="Y766"/>
      <c r="Z766">
        <v>0</v>
      </c>
      <c r="AA766"/>
      <c r="AB766"/>
      <c r="AC766"/>
      <c r="AD766"/>
      <c r="AE766">
        <v>0</v>
      </c>
      <c r="AF766"/>
      <c r="AG766"/>
      <c r="AH766"/>
    </row>
    <row r="767" spans="1:34" x14ac:dyDescent="0.25">
      <c r="A767" t="s">
        <v>3434</v>
      </c>
      <c r="B767" t="s">
        <v>3435</v>
      </c>
      <c r="C767"/>
      <c r="D767" t="s">
        <v>370</v>
      </c>
      <c r="E767" t="s">
        <v>1163</v>
      </c>
      <c r="F767" t="s">
        <v>1217</v>
      </c>
      <c r="G767" t="s">
        <v>280</v>
      </c>
      <c r="H767" t="s">
        <v>1218</v>
      </c>
      <c r="I767" t="s">
        <v>373</v>
      </c>
      <c r="J767"/>
      <c r="K767">
        <v>1</v>
      </c>
      <c r="L767">
        <v>1</v>
      </c>
      <c r="M767" t="s">
        <v>33</v>
      </c>
      <c r="N767">
        <v>1</v>
      </c>
      <c r="O767">
        <v>0.5</v>
      </c>
      <c r="P767">
        <v>0.5</v>
      </c>
      <c r="Q767"/>
      <c r="R767">
        <v>0</v>
      </c>
      <c r="S767">
        <v>0</v>
      </c>
      <c r="T767"/>
      <c r="U767"/>
      <c r="V767"/>
      <c r="W767"/>
      <c r="X767">
        <v>0</v>
      </c>
      <c r="Y767"/>
      <c r="Z767">
        <v>0</v>
      </c>
      <c r="AA767"/>
      <c r="AB767"/>
      <c r="AC767"/>
      <c r="AD767"/>
      <c r="AE767">
        <v>0</v>
      </c>
      <c r="AF767"/>
      <c r="AG767"/>
      <c r="AH767"/>
    </row>
    <row r="768" spans="1:34" x14ac:dyDescent="0.25">
      <c r="A768" t="s">
        <v>1945</v>
      </c>
      <c r="B768" t="s">
        <v>1946</v>
      </c>
      <c r="C768"/>
      <c r="D768" t="s">
        <v>370</v>
      </c>
      <c r="E768" t="s">
        <v>1219</v>
      </c>
      <c r="F768" t="s">
        <v>969</v>
      </c>
      <c r="G768" t="s">
        <v>280</v>
      </c>
      <c r="H768" t="s">
        <v>1220</v>
      </c>
      <c r="I768" t="s">
        <v>373</v>
      </c>
      <c r="J768"/>
      <c r="K768">
        <v>1</v>
      </c>
      <c r="L768">
        <v>1</v>
      </c>
      <c r="M768" t="s">
        <v>33</v>
      </c>
      <c r="N768">
        <v>1</v>
      </c>
      <c r="O768">
        <v>0.5</v>
      </c>
      <c r="P768">
        <v>0.5</v>
      </c>
      <c r="Q768"/>
      <c r="R768">
        <v>0</v>
      </c>
      <c r="S768">
        <v>0</v>
      </c>
      <c r="T768"/>
      <c r="U768"/>
      <c r="V768"/>
      <c r="W768"/>
      <c r="X768">
        <v>0</v>
      </c>
      <c r="Y768"/>
      <c r="Z768">
        <v>0</v>
      </c>
      <c r="AA768"/>
      <c r="AB768"/>
      <c r="AC768"/>
      <c r="AD768"/>
      <c r="AE768">
        <v>0</v>
      </c>
      <c r="AF768"/>
      <c r="AG768"/>
      <c r="AH768"/>
    </row>
    <row r="769" spans="1:34" x14ac:dyDescent="0.25">
      <c r="A769" t="s">
        <v>3428</v>
      </c>
      <c r="B769" t="s">
        <v>3429</v>
      </c>
      <c r="C769"/>
      <c r="D769" t="s">
        <v>370</v>
      </c>
      <c r="E769" t="s">
        <v>1219</v>
      </c>
      <c r="F769" t="s">
        <v>969</v>
      </c>
      <c r="G769" t="s">
        <v>280</v>
      </c>
      <c r="H769" t="s">
        <v>1220</v>
      </c>
      <c r="I769" t="s">
        <v>373</v>
      </c>
      <c r="J769"/>
      <c r="K769">
        <v>1</v>
      </c>
      <c r="L769">
        <v>1</v>
      </c>
      <c r="M769" t="s">
        <v>33</v>
      </c>
      <c r="N769">
        <v>1</v>
      </c>
      <c r="O769">
        <v>0.5</v>
      </c>
      <c r="P769">
        <v>0.5</v>
      </c>
      <c r="Q769"/>
      <c r="R769">
        <v>0</v>
      </c>
      <c r="S769">
        <v>0</v>
      </c>
      <c r="T769"/>
      <c r="U769"/>
      <c r="V769"/>
      <c r="W769"/>
      <c r="X769">
        <v>0</v>
      </c>
      <c r="Y769"/>
      <c r="Z769">
        <v>0</v>
      </c>
      <c r="AA769"/>
      <c r="AB769"/>
      <c r="AC769"/>
      <c r="AD769"/>
      <c r="AE769">
        <v>0</v>
      </c>
      <c r="AF769"/>
      <c r="AG769"/>
      <c r="AH769"/>
    </row>
    <row r="770" spans="1:34" x14ac:dyDescent="0.25">
      <c r="A770" t="s">
        <v>1945</v>
      </c>
      <c r="B770" t="s">
        <v>1946</v>
      </c>
      <c r="C770"/>
      <c r="D770" t="s">
        <v>370</v>
      </c>
      <c r="E770" t="s">
        <v>1219</v>
      </c>
      <c r="F770" t="s">
        <v>971</v>
      </c>
      <c r="G770" t="s">
        <v>280</v>
      </c>
      <c r="H770" t="s">
        <v>1221</v>
      </c>
      <c r="I770" t="s">
        <v>373</v>
      </c>
      <c r="J770"/>
      <c r="K770">
        <v>1</v>
      </c>
      <c r="L770">
        <v>1</v>
      </c>
      <c r="M770" t="s">
        <v>33</v>
      </c>
      <c r="N770">
        <v>1</v>
      </c>
      <c r="O770">
        <v>0.5</v>
      </c>
      <c r="P770">
        <v>0.5</v>
      </c>
      <c r="Q770"/>
      <c r="R770">
        <v>0</v>
      </c>
      <c r="S770">
        <v>0</v>
      </c>
      <c r="T770"/>
      <c r="U770"/>
      <c r="V770"/>
      <c r="W770"/>
      <c r="X770">
        <v>0</v>
      </c>
      <c r="Y770"/>
      <c r="Z770">
        <v>0</v>
      </c>
      <c r="AA770"/>
      <c r="AB770"/>
      <c r="AC770"/>
      <c r="AD770"/>
      <c r="AE770">
        <v>0</v>
      </c>
      <c r="AF770"/>
      <c r="AG770"/>
      <c r="AH770"/>
    </row>
    <row r="771" spans="1:34" x14ac:dyDescent="0.25">
      <c r="A771" t="s">
        <v>3428</v>
      </c>
      <c r="B771" t="s">
        <v>3429</v>
      </c>
      <c r="C771"/>
      <c r="D771" t="s">
        <v>370</v>
      </c>
      <c r="E771" t="s">
        <v>1219</v>
      </c>
      <c r="F771" t="s">
        <v>971</v>
      </c>
      <c r="G771" t="s">
        <v>280</v>
      </c>
      <c r="H771" t="s">
        <v>1221</v>
      </c>
      <c r="I771" t="s">
        <v>373</v>
      </c>
      <c r="J771"/>
      <c r="K771">
        <v>1</v>
      </c>
      <c r="L771">
        <v>1</v>
      </c>
      <c r="M771" t="s">
        <v>33</v>
      </c>
      <c r="N771">
        <v>1</v>
      </c>
      <c r="O771">
        <v>0.5</v>
      </c>
      <c r="P771">
        <v>0.5</v>
      </c>
      <c r="Q771"/>
      <c r="R771">
        <v>0</v>
      </c>
      <c r="S771">
        <v>0</v>
      </c>
      <c r="T771"/>
      <c r="U771"/>
      <c r="V771"/>
      <c r="W771"/>
      <c r="X771">
        <v>0</v>
      </c>
      <c r="Y771"/>
      <c r="Z771">
        <v>0</v>
      </c>
      <c r="AA771"/>
      <c r="AB771"/>
      <c r="AC771"/>
      <c r="AD771"/>
      <c r="AE771">
        <v>0</v>
      </c>
      <c r="AF771"/>
      <c r="AG771"/>
      <c r="AH771"/>
    </row>
    <row r="772" spans="1:34" x14ac:dyDescent="0.25">
      <c r="A772" t="s">
        <v>1945</v>
      </c>
      <c r="B772" t="s">
        <v>1946</v>
      </c>
      <c r="C772"/>
      <c r="D772" t="s">
        <v>370</v>
      </c>
      <c r="E772" t="s">
        <v>1219</v>
      </c>
      <c r="F772" t="s">
        <v>973</v>
      </c>
      <c r="G772" t="s">
        <v>280</v>
      </c>
      <c r="H772" t="s">
        <v>1222</v>
      </c>
      <c r="I772" t="s">
        <v>373</v>
      </c>
      <c r="J772"/>
      <c r="K772">
        <v>1</v>
      </c>
      <c r="L772">
        <v>1</v>
      </c>
      <c r="M772" t="s">
        <v>33</v>
      </c>
      <c r="N772">
        <v>1</v>
      </c>
      <c r="O772">
        <v>0.5</v>
      </c>
      <c r="P772">
        <v>0.5</v>
      </c>
      <c r="Q772"/>
      <c r="R772">
        <v>0</v>
      </c>
      <c r="S772">
        <v>0</v>
      </c>
      <c r="T772"/>
      <c r="U772"/>
      <c r="V772"/>
      <c r="W772"/>
      <c r="X772">
        <v>0</v>
      </c>
      <c r="Y772"/>
      <c r="Z772">
        <v>0</v>
      </c>
      <c r="AA772"/>
      <c r="AB772"/>
      <c r="AC772"/>
      <c r="AD772"/>
      <c r="AE772">
        <v>0</v>
      </c>
      <c r="AF772"/>
      <c r="AG772"/>
      <c r="AH772"/>
    </row>
    <row r="773" spans="1:34" x14ac:dyDescent="0.25">
      <c r="A773" t="s">
        <v>3428</v>
      </c>
      <c r="B773" t="s">
        <v>3429</v>
      </c>
      <c r="C773"/>
      <c r="D773" t="s">
        <v>370</v>
      </c>
      <c r="E773" t="s">
        <v>1219</v>
      </c>
      <c r="F773" t="s">
        <v>973</v>
      </c>
      <c r="G773" t="s">
        <v>280</v>
      </c>
      <c r="H773" t="s">
        <v>1222</v>
      </c>
      <c r="I773" t="s">
        <v>373</v>
      </c>
      <c r="J773"/>
      <c r="K773">
        <v>1</v>
      </c>
      <c r="L773">
        <v>1</v>
      </c>
      <c r="M773" t="s">
        <v>33</v>
      </c>
      <c r="N773">
        <v>1</v>
      </c>
      <c r="O773">
        <v>0.5</v>
      </c>
      <c r="P773">
        <v>0.5</v>
      </c>
      <c r="Q773"/>
      <c r="R773">
        <v>0</v>
      </c>
      <c r="S773">
        <v>0</v>
      </c>
      <c r="T773"/>
      <c r="U773"/>
      <c r="V773"/>
      <c r="W773"/>
      <c r="X773">
        <v>0</v>
      </c>
      <c r="Y773"/>
      <c r="Z773">
        <v>0</v>
      </c>
      <c r="AA773"/>
      <c r="AB773"/>
      <c r="AC773"/>
      <c r="AD773"/>
      <c r="AE773">
        <v>0</v>
      </c>
      <c r="AF773"/>
      <c r="AG773"/>
      <c r="AH773"/>
    </row>
    <row r="774" spans="1:34" x14ac:dyDescent="0.25">
      <c r="A774" t="s">
        <v>1945</v>
      </c>
      <c r="B774" t="s">
        <v>1946</v>
      </c>
      <c r="C774"/>
      <c r="D774" t="s">
        <v>370</v>
      </c>
      <c r="E774" t="s">
        <v>1219</v>
      </c>
      <c r="F774" t="s">
        <v>975</v>
      </c>
      <c r="G774" t="s">
        <v>280</v>
      </c>
      <c r="H774" t="s">
        <v>1223</v>
      </c>
      <c r="I774" t="s">
        <v>373</v>
      </c>
      <c r="J774"/>
      <c r="K774">
        <v>1</v>
      </c>
      <c r="L774">
        <v>1</v>
      </c>
      <c r="M774" t="s">
        <v>33</v>
      </c>
      <c r="N774">
        <v>1</v>
      </c>
      <c r="O774">
        <v>0.5</v>
      </c>
      <c r="P774">
        <v>0.5</v>
      </c>
      <c r="Q774"/>
      <c r="R774">
        <v>0</v>
      </c>
      <c r="S774">
        <v>0</v>
      </c>
      <c r="T774"/>
      <c r="U774"/>
      <c r="V774"/>
      <c r="W774"/>
      <c r="X774">
        <v>0</v>
      </c>
      <c r="Y774"/>
      <c r="Z774">
        <v>0</v>
      </c>
      <c r="AA774"/>
      <c r="AB774"/>
      <c r="AC774"/>
      <c r="AD774"/>
      <c r="AE774">
        <v>0</v>
      </c>
      <c r="AF774"/>
      <c r="AG774"/>
      <c r="AH774"/>
    </row>
    <row r="775" spans="1:34" x14ac:dyDescent="0.25">
      <c r="A775" t="s">
        <v>3428</v>
      </c>
      <c r="B775" t="s">
        <v>3429</v>
      </c>
      <c r="C775"/>
      <c r="D775" t="s">
        <v>370</v>
      </c>
      <c r="E775" t="s">
        <v>1219</v>
      </c>
      <c r="F775" t="s">
        <v>975</v>
      </c>
      <c r="G775" t="s">
        <v>280</v>
      </c>
      <c r="H775" t="s">
        <v>1223</v>
      </c>
      <c r="I775" t="s">
        <v>373</v>
      </c>
      <c r="J775"/>
      <c r="K775">
        <v>1</v>
      </c>
      <c r="L775">
        <v>1</v>
      </c>
      <c r="M775" t="s">
        <v>33</v>
      </c>
      <c r="N775">
        <v>1</v>
      </c>
      <c r="O775">
        <v>0.5</v>
      </c>
      <c r="P775">
        <v>0.5</v>
      </c>
      <c r="Q775"/>
      <c r="R775">
        <v>0</v>
      </c>
      <c r="S775">
        <v>0</v>
      </c>
      <c r="T775"/>
      <c r="U775"/>
      <c r="V775"/>
      <c r="W775"/>
      <c r="X775">
        <v>0</v>
      </c>
      <c r="Y775"/>
      <c r="Z775">
        <v>0</v>
      </c>
      <c r="AA775"/>
      <c r="AB775"/>
      <c r="AC775"/>
      <c r="AD775"/>
      <c r="AE775">
        <v>0</v>
      </c>
      <c r="AF775"/>
      <c r="AG775"/>
      <c r="AH775"/>
    </row>
    <row r="776" spans="1:34" x14ac:dyDescent="0.25">
      <c r="A776" t="s">
        <v>1945</v>
      </c>
      <c r="B776" t="s">
        <v>1946</v>
      </c>
      <c r="C776"/>
      <c r="D776" t="s">
        <v>370</v>
      </c>
      <c r="E776" t="s">
        <v>1219</v>
      </c>
      <c r="F776" t="s">
        <v>977</v>
      </c>
      <c r="G776" t="s">
        <v>280</v>
      </c>
      <c r="H776" t="s">
        <v>1224</v>
      </c>
      <c r="I776" t="s">
        <v>373</v>
      </c>
      <c r="J776"/>
      <c r="K776">
        <v>1</v>
      </c>
      <c r="L776">
        <v>1</v>
      </c>
      <c r="M776" t="s">
        <v>33</v>
      </c>
      <c r="N776">
        <v>1</v>
      </c>
      <c r="O776">
        <v>0.5</v>
      </c>
      <c r="P776">
        <v>0.5</v>
      </c>
      <c r="Q776"/>
      <c r="R776">
        <v>0</v>
      </c>
      <c r="S776">
        <v>0</v>
      </c>
      <c r="T776"/>
      <c r="U776"/>
      <c r="V776"/>
      <c r="W776"/>
      <c r="X776">
        <v>0</v>
      </c>
      <c r="Y776"/>
      <c r="Z776">
        <v>0</v>
      </c>
      <c r="AA776"/>
      <c r="AB776"/>
      <c r="AC776"/>
      <c r="AD776"/>
      <c r="AE776">
        <v>0</v>
      </c>
      <c r="AF776"/>
      <c r="AG776"/>
      <c r="AH776"/>
    </row>
    <row r="777" spans="1:34" x14ac:dyDescent="0.25">
      <c r="A777" t="s">
        <v>3428</v>
      </c>
      <c r="B777" t="s">
        <v>3429</v>
      </c>
      <c r="C777"/>
      <c r="D777" t="s">
        <v>370</v>
      </c>
      <c r="E777" t="s">
        <v>1219</v>
      </c>
      <c r="F777" t="s">
        <v>977</v>
      </c>
      <c r="G777" t="s">
        <v>280</v>
      </c>
      <c r="H777" t="s">
        <v>1224</v>
      </c>
      <c r="I777" t="s">
        <v>373</v>
      </c>
      <c r="J777"/>
      <c r="K777">
        <v>1</v>
      </c>
      <c r="L777">
        <v>1</v>
      </c>
      <c r="M777" t="s">
        <v>33</v>
      </c>
      <c r="N777">
        <v>1</v>
      </c>
      <c r="O777">
        <v>0.5</v>
      </c>
      <c r="P777">
        <v>0.5</v>
      </c>
      <c r="Q777"/>
      <c r="R777">
        <v>0</v>
      </c>
      <c r="S777">
        <v>0</v>
      </c>
      <c r="T777"/>
      <c r="U777"/>
      <c r="V777"/>
      <c r="W777"/>
      <c r="X777">
        <v>0</v>
      </c>
      <c r="Y777"/>
      <c r="Z777">
        <v>0</v>
      </c>
      <c r="AA777"/>
      <c r="AB777"/>
      <c r="AC777"/>
      <c r="AD777"/>
      <c r="AE777">
        <v>0</v>
      </c>
      <c r="AF777"/>
      <c r="AG777"/>
      <c r="AH777"/>
    </row>
    <row r="778" spans="1:34" x14ac:dyDescent="0.25">
      <c r="A778" t="s">
        <v>1945</v>
      </c>
      <c r="B778" t="s">
        <v>1946</v>
      </c>
      <c r="C778"/>
      <c r="D778" t="s">
        <v>370</v>
      </c>
      <c r="E778" t="s">
        <v>1219</v>
      </c>
      <c r="F778" t="s">
        <v>979</v>
      </c>
      <c r="G778" t="s">
        <v>280</v>
      </c>
      <c r="H778" t="s">
        <v>1225</v>
      </c>
      <c r="I778" t="s">
        <v>373</v>
      </c>
      <c r="J778"/>
      <c r="K778">
        <v>1</v>
      </c>
      <c r="L778">
        <v>1</v>
      </c>
      <c r="M778" t="s">
        <v>33</v>
      </c>
      <c r="N778">
        <v>1</v>
      </c>
      <c r="O778">
        <v>0.5</v>
      </c>
      <c r="P778">
        <v>0.5</v>
      </c>
      <c r="Q778"/>
      <c r="R778">
        <v>0</v>
      </c>
      <c r="S778">
        <v>0</v>
      </c>
      <c r="T778"/>
      <c r="U778"/>
      <c r="V778"/>
      <c r="W778"/>
      <c r="X778">
        <v>0</v>
      </c>
      <c r="Y778"/>
      <c r="Z778">
        <v>0</v>
      </c>
      <c r="AA778"/>
      <c r="AB778"/>
      <c r="AC778"/>
      <c r="AD778"/>
      <c r="AE778">
        <v>0</v>
      </c>
      <c r="AF778"/>
      <c r="AG778"/>
      <c r="AH778"/>
    </row>
    <row r="779" spans="1:34" x14ac:dyDescent="0.25">
      <c r="A779" t="s">
        <v>3428</v>
      </c>
      <c r="B779" t="s">
        <v>3429</v>
      </c>
      <c r="C779"/>
      <c r="D779" t="s">
        <v>370</v>
      </c>
      <c r="E779" t="s">
        <v>1219</v>
      </c>
      <c r="F779" t="s">
        <v>979</v>
      </c>
      <c r="G779" t="s">
        <v>280</v>
      </c>
      <c r="H779" t="s">
        <v>1225</v>
      </c>
      <c r="I779" t="s">
        <v>373</v>
      </c>
      <c r="J779"/>
      <c r="K779">
        <v>1</v>
      </c>
      <c r="L779">
        <v>1</v>
      </c>
      <c r="M779" t="s">
        <v>33</v>
      </c>
      <c r="N779">
        <v>1</v>
      </c>
      <c r="O779">
        <v>0.5</v>
      </c>
      <c r="P779">
        <v>0.5</v>
      </c>
      <c r="Q779"/>
      <c r="R779">
        <v>0</v>
      </c>
      <c r="S779">
        <v>0</v>
      </c>
      <c r="T779"/>
      <c r="U779"/>
      <c r="V779"/>
      <c r="W779"/>
      <c r="X779">
        <v>0</v>
      </c>
      <c r="Y779"/>
      <c r="Z779">
        <v>0</v>
      </c>
      <c r="AA779"/>
      <c r="AB779"/>
      <c r="AC779"/>
      <c r="AD779"/>
      <c r="AE779">
        <v>0</v>
      </c>
      <c r="AF779"/>
      <c r="AG779"/>
      <c r="AH779"/>
    </row>
    <row r="780" spans="1:34" x14ac:dyDescent="0.25">
      <c r="A780" t="s">
        <v>1945</v>
      </c>
      <c r="B780" t="s">
        <v>1946</v>
      </c>
      <c r="C780"/>
      <c r="D780" t="s">
        <v>370</v>
      </c>
      <c r="E780" t="s">
        <v>1219</v>
      </c>
      <c r="F780" t="s">
        <v>981</v>
      </c>
      <c r="G780" t="s">
        <v>280</v>
      </c>
      <c r="H780" t="s">
        <v>1226</v>
      </c>
      <c r="I780" t="s">
        <v>373</v>
      </c>
      <c r="J780"/>
      <c r="K780">
        <v>1</v>
      </c>
      <c r="L780">
        <v>1</v>
      </c>
      <c r="M780" t="s">
        <v>33</v>
      </c>
      <c r="N780">
        <v>1</v>
      </c>
      <c r="O780">
        <v>0.5</v>
      </c>
      <c r="P780">
        <v>0.5</v>
      </c>
      <c r="Q780"/>
      <c r="R780">
        <v>0</v>
      </c>
      <c r="S780">
        <v>0</v>
      </c>
      <c r="T780"/>
      <c r="U780"/>
      <c r="V780"/>
      <c r="W780"/>
      <c r="X780">
        <v>0</v>
      </c>
      <c r="Y780"/>
      <c r="Z780">
        <v>0</v>
      </c>
      <c r="AA780"/>
      <c r="AB780"/>
      <c r="AC780"/>
      <c r="AD780"/>
      <c r="AE780">
        <v>0</v>
      </c>
      <c r="AF780"/>
      <c r="AG780"/>
      <c r="AH780"/>
    </row>
    <row r="781" spans="1:34" x14ac:dyDescent="0.25">
      <c r="A781" t="s">
        <v>3428</v>
      </c>
      <c r="B781" t="s">
        <v>3429</v>
      </c>
      <c r="C781"/>
      <c r="D781" t="s">
        <v>370</v>
      </c>
      <c r="E781" t="s">
        <v>1219</v>
      </c>
      <c r="F781" t="s">
        <v>981</v>
      </c>
      <c r="G781" t="s">
        <v>280</v>
      </c>
      <c r="H781" t="s">
        <v>1226</v>
      </c>
      <c r="I781" t="s">
        <v>373</v>
      </c>
      <c r="J781"/>
      <c r="K781">
        <v>1</v>
      </c>
      <c r="L781">
        <v>1</v>
      </c>
      <c r="M781" t="s">
        <v>33</v>
      </c>
      <c r="N781">
        <v>1</v>
      </c>
      <c r="O781">
        <v>0.5</v>
      </c>
      <c r="P781">
        <v>0.5</v>
      </c>
      <c r="Q781"/>
      <c r="R781">
        <v>0</v>
      </c>
      <c r="S781">
        <v>0</v>
      </c>
      <c r="T781"/>
      <c r="U781"/>
      <c r="V781"/>
      <c r="W781"/>
      <c r="X781">
        <v>0</v>
      </c>
      <c r="Y781"/>
      <c r="Z781">
        <v>0</v>
      </c>
      <c r="AA781"/>
      <c r="AB781"/>
      <c r="AC781"/>
      <c r="AD781"/>
      <c r="AE781">
        <v>0</v>
      </c>
      <c r="AF781"/>
      <c r="AG781"/>
      <c r="AH781"/>
    </row>
    <row r="782" spans="1:34" x14ac:dyDescent="0.25">
      <c r="A782" t="s">
        <v>1945</v>
      </c>
      <c r="B782" t="s">
        <v>1946</v>
      </c>
      <c r="C782"/>
      <c r="D782" t="s">
        <v>370</v>
      </c>
      <c r="E782" t="s">
        <v>1219</v>
      </c>
      <c r="F782" t="s">
        <v>983</v>
      </c>
      <c r="G782" t="s">
        <v>280</v>
      </c>
      <c r="H782" t="s">
        <v>1227</v>
      </c>
      <c r="I782" t="s">
        <v>373</v>
      </c>
      <c r="J782"/>
      <c r="K782">
        <v>1</v>
      </c>
      <c r="L782">
        <v>1</v>
      </c>
      <c r="M782" t="s">
        <v>33</v>
      </c>
      <c r="N782">
        <v>1</v>
      </c>
      <c r="O782">
        <v>0.5</v>
      </c>
      <c r="P782">
        <v>0.5</v>
      </c>
      <c r="Q782"/>
      <c r="R782">
        <v>0</v>
      </c>
      <c r="S782">
        <v>0</v>
      </c>
      <c r="T782"/>
      <c r="U782"/>
      <c r="V782"/>
      <c r="W782"/>
      <c r="X782">
        <v>0</v>
      </c>
      <c r="Y782"/>
      <c r="Z782">
        <v>0</v>
      </c>
      <c r="AA782"/>
      <c r="AB782"/>
      <c r="AC782"/>
      <c r="AD782"/>
      <c r="AE782">
        <v>0</v>
      </c>
      <c r="AF782"/>
      <c r="AG782"/>
      <c r="AH782"/>
    </row>
    <row r="783" spans="1:34" x14ac:dyDescent="0.25">
      <c r="A783" t="s">
        <v>3428</v>
      </c>
      <c r="B783" t="s">
        <v>3429</v>
      </c>
      <c r="C783"/>
      <c r="D783" t="s">
        <v>370</v>
      </c>
      <c r="E783" t="s">
        <v>1219</v>
      </c>
      <c r="F783" t="s">
        <v>983</v>
      </c>
      <c r="G783" t="s">
        <v>280</v>
      </c>
      <c r="H783" t="s">
        <v>1227</v>
      </c>
      <c r="I783" t="s">
        <v>373</v>
      </c>
      <c r="J783"/>
      <c r="K783">
        <v>1</v>
      </c>
      <c r="L783">
        <v>1</v>
      </c>
      <c r="M783" t="s">
        <v>33</v>
      </c>
      <c r="N783">
        <v>1</v>
      </c>
      <c r="O783">
        <v>0.5</v>
      </c>
      <c r="P783">
        <v>0.5</v>
      </c>
      <c r="Q783"/>
      <c r="R783">
        <v>0</v>
      </c>
      <c r="S783">
        <v>0</v>
      </c>
      <c r="T783"/>
      <c r="U783"/>
      <c r="V783"/>
      <c r="W783"/>
      <c r="X783">
        <v>0</v>
      </c>
      <c r="Y783"/>
      <c r="Z783">
        <v>0</v>
      </c>
      <c r="AA783"/>
      <c r="AB783"/>
      <c r="AC783"/>
      <c r="AD783"/>
      <c r="AE783">
        <v>0</v>
      </c>
      <c r="AF783"/>
      <c r="AG783"/>
      <c r="AH783"/>
    </row>
    <row r="784" spans="1:34" x14ac:dyDescent="0.25">
      <c r="A784" t="s">
        <v>1945</v>
      </c>
      <c r="B784" t="s">
        <v>1946</v>
      </c>
      <c r="C784"/>
      <c r="D784" t="s">
        <v>370</v>
      </c>
      <c r="E784" t="s">
        <v>1219</v>
      </c>
      <c r="F784" t="s">
        <v>985</v>
      </c>
      <c r="G784" t="s">
        <v>280</v>
      </c>
      <c r="H784" t="s">
        <v>1228</v>
      </c>
      <c r="I784" t="s">
        <v>373</v>
      </c>
      <c r="J784"/>
      <c r="K784">
        <v>1</v>
      </c>
      <c r="L784">
        <v>1</v>
      </c>
      <c r="M784" t="s">
        <v>33</v>
      </c>
      <c r="N784">
        <v>1</v>
      </c>
      <c r="O784">
        <v>0.5</v>
      </c>
      <c r="P784">
        <v>0.5</v>
      </c>
      <c r="Q784"/>
      <c r="R784">
        <v>0</v>
      </c>
      <c r="S784">
        <v>0</v>
      </c>
      <c r="T784"/>
      <c r="U784"/>
      <c r="V784"/>
      <c r="W784"/>
      <c r="X784">
        <v>0</v>
      </c>
      <c r="Y784"/>
      <c r="Z784">
        <v>0</v>
      </c>
      <c r="AA784"/>
      <c r="AB784"/>
      <c r="AC784"/>
      <c r="AD784"/>
      <c r="AE784">
        <v>0</v>
      </c>
      <c r="AF784"/>
      <c r="AG784"/>
      <c r="AH784"/>
    </row>
    <row r="785" spans="1:34" x14ac:dyDescent="0.25">
      <c r="A785" t="s">
        <v>3428</v>
      </c>
      <c r="B785" t="s">
        <v>3429</v>
      </c>
      <c r="C785"/>
      <c r="D785" t="s">
        <v>370</v>
      </c>
      <c r="E785" t="s">
        <v>1219</v>
      </c>
      <c r="F785" t="s">
        <v>985</v>
      </c>
      <c r="G785" t="s">
        <v>280</v>
      </c>
      <c r="H785" t="s">
        <v>1228</v>
      </c>
      <c r="I785" t="s">
        <v>373</v>
      </c>
      <c r="J785"/>
      <c r="K785">
        <v>1</v>
      </c>
      <c r="L785">
        <v>1</v>
      </c>
      <c r="M785" t="s">
        <v>33</v>
      </c>
      <c r="N785">
        <v>1</v>
      </c>
      <c r="O785">
        <v>0.5</v>
      </c>
      <c r="P785">
        <v>0.5</v>
      </c>
      <c r="Q785"/>
      <c r="R785">
        <v>0</v>
      </c>
      <c r="S785">
        <v>0</v>
      </c>
      <c r="T785"/>
      <c r="U785"/>
      <c r="V785"/>
      <c r="W785"/>
      <c r="X785">
        <v>0</v>
      </c>
      <c r="Y785"/>
      <c r="Z785">
        <v>0</v>
      </c>
      <c r="AA785"/>
      <c r="AB785"/>
      <c r="AC785"/>
      <c r="AD785"/>
      <c r="AE785">
        <v>0</v>
      </c>
      <c r="AF785"/>
      <c r="AG785"/>
      <c r="AH785"/>
    </row>
    <row r="786" spans="1:34" x14ac:dyDescent="0.25">
      <c r="A786" t="s">
        <v>1945</v>
      </c>
      <c r="B786" t="s">
        <v>1946</v>
      </c>
      <c r="C786"/>
      <c r="D786" t="s">
        <v>370</v>
      </c>
      <c r="E786" t="s">
        <v>1219</v>
      </c>
      <c r="F786" t="s">
        <v>987</v>
      </c>
      <c r="G786" t="s">
        <v>280</v>
      </c>
      <c r="H786" t="s">
        <v>1229</v>
      </c>
      <c r="I786" t="s">
        <v>373</v>
      </c>
      <c r="J786"/>
      <c r="K786">
        <v>1</v>
      </c>
      <c r="L786">
        <v>1</v>
      </c>
      <c r="M786" t="s">
        <v>33</v>
      </c>
      <c r="N786">
        <v>1</v>
      </c>
      <c r="O786">
        <v>0.5</v>
      </c>
      <c r="P786">
        <v>0.5</v>
      </c>
      <c r="Q786"/>
      <c r="R786">
        <v>0</v>
      </c>
      <c r="S786">
        <v>0</v>
      </c>
      <c r="T786"/>
      <c r="U786"/>
      <c r="V786"/>
      <c r="W786"/>
      <c r="X786">
        <v>0</v>
      </c>
      <c r="Y786"/>
      <c r="Z786">
        <v>0</v>
      </c>
      <c r="AA786"/>
      <c r="AB786"/>
      <c r="AC786"/>
      <c r="AD786"/>
      <c r="AE786">
        <v>0</v>
      </c>
      <c r="AF786"/>
      <c r="AG786"/>
      <c r="AH786"/>
    </row>
    <row r="787" spans="1:34" x14ac:dyDescent="0.25">
      <c r="A787" t="s">
        <v>3428</v>
      </c>
      <c r="B787" t="s">
        <v>3429</v>
      </c>
      <c r="C787"/>
      <c r="D787" t="s">
        <v>370</v>
      </c>
      <c r="E787" t="s">
        <v>1219</v>
      </c>
      <c r="F787" t="s">
        <v>987</v>
      </c>
      <c r="G787" t="s">
        <v>280</v>
      </c>
      <c r="H787" t="s">
        <v>1229</v>
      </c>
      <c r="I787" t="s">
        <v>373</v>
      </c>
      <c r="J787"/>
      <c r="K787">
        <v>1</v>
      </c>
      <c r="L787">
        <v>1</v>
      </c>
      <c r="M787" t="s">
        <v>33</v>
      </c>
      <c r="N787">
        <v>1</v>
      </c>
      <c r="O787">
        <v>0.5</v>
      </c>
      <c r="P787">
        <v>0.5</v>
      </c>
      <c r="Q787"/>
      <c r="R787">
        <v>0</v>
      </c>
      <c r="S787">
        <v>0</v>
      </c>
      <c r="T787"/>
      <c r="U787"/>
      <c r="V787"/>
      <c r="W787"/>
      <c r="X787">
        <v>0</v>
      </c>
      <c r="Y787"/>
      <c r="Z787">
        <v>0</v>
      </c>
      <c r="AA787"/>
      <c r="AB787"/>
      <c r="AC787"/>
      <c r="AD787"/>
      <c r="AE787">
        <v>0</v>
      </c>
      <c r="AF787"/>
      <c r="AG787"/>
      <c r="AH787"/>
    </row>
    <row r="788" spans="1:34" x14ac:dyDescent="0.25">
      <c r="A788" t="s">
        <v>1945</v>
      </c>
      <c r="B788" t="s">
        <v>1946</v>
      </c>
      <c r="C788"/>
      <c r="D788" t="s">
        <v>370</v>
      </c>
      <c r="E788" t="s">
        <v>1219</v>
      </c>
      <c r="F788" t="s">
        <v>989</v>
      </c>
      <c r="G788" t="s">
        <v>280</v>
      </c>
      <c r="H788" t="s">
        <v>1230</v>
      </c>
      <c r="I788" t="s">
        <v>373</v>
      </c>
      <c r="J788"/>
      <c r="K788">
        <v>1</v>
      </c>
      <c r="L788">
        <v>1</v>
      </c>
      <c r="M788" t="s">
        <v>33</v>
      </c>
      <c r="N788">
        <v>1</v>
      </c>
      <c r="O788">
        <v>0.5</v>
      </c>
      <c r="P788">
        <v>0.5</v>
      </c>
      <c r="Q788"/>
      <c r="R788">
        <v>0</v>
      </c>
      <c r="S788">
        <v>0</v>
      </c>
      <c r="T788"/>
      <c r="U788"/>
      <c r="V788"/>
      <c r="W788"/>
      <c r="X788">
        <v>0</v>
      </c>
      <c r="Y788"/>
      <c r="Z788">
        <v>0</v>
      </c>
      <c r="AA788"/>
      <c r="AB788"/>
      <c r="AC788"/>
      <c r="AD788"/>
      <c r="AE788">
        <v>0</v>
      </c>
      <c r="AF788"/>
      <c r="AG788"/>
      <c r="AH788"/>
    </row>
    <row r="789" spans="1:34" x14ac:dyDescent="0.25">
      <c r="A789" t="s">
        <v>3428</v>
      </c>
      <c r="B789" t="s">
        <v>3429</v>
      </c>
      <c r="C789"/>
      <c r="D789" t="s">
        <v>370</v>
      </c>
      <c r="E789" t="s">
        <v>1219</v>
      </c>
      <c r="F789" t="s">
        <v>989</v>
      </c>
      <c r="G789" t="s">
        <v>280</v>
      </c>
      <c r="H789" t="s">
        <v>1230</v>
      </c>
      <c r="I789" t="s">
        <v>373</v>
      </c>
      <c r="J789"/>
      <c r="K789">
        <v>1</v>
      </c>
      <c r="L789">
        <v>1</v>
      </c>
      <c r="M789" t="s">
        <v>33</v>
      </c>
      <c r="N789">
        <v>1</v>
      </c>
      <c r="O789">
        <v>0.5</v>
      </c>
      <c r="P789">
        <v>0.5</v>
      </c>
      <c r="Q789"/>
      <c r="R789">
        <v>0</v>
      </c>
      <c r="S789">
        <v>0</v>
      </c>
      <c r="T789"/>
      <c r="U789"/>
      <c r="V789"/>
      <c r="W789"/>
      <c r="X789">
        <v>0</v>
      </c>
      <c r="Y789"/>
      <c r="Z789">
        <v>0</v>
      </c>
      <c r="AA789"/>
      <c r="AB789"/>
      <c r="AC789"/>
      <c r="AD789"/>
      <c r="AE789">
        <v>0</v>
      </c>
      <c r="AF789"/>
      <c r="AG789"/>
      <c r="AH789"/>
    </row>
    <row r="790" spans="1:34" x14ac:dyDescent="0.25">
      <c r="A790" t="s">
        <v>1945</v>
      </c>
      <c r="B790" t="s">
        <v>1946</v>
      </c>
      <c r="C790"/>
      <c r="D790" t="s">
        <v>370</v>
      </c>
      <c r="E790" t="s">
        <v>1219</v>
      </c>
      <c r="F790" t="s">
        <v>1231</v>
      </c>
      <c r="G790" t="s">
        <v>280</v>
      </c>
      <c r="H790" t="s">
        <v>1232</v>
      </c>
      <c r="I790" t="s">
        <v>373</v>
      </c>
      <c r="J790"/>
      <c r="K790">
        <v>1</v>
      </c>
      <c r="L790">
        <v>1</v>
      </c>
      <c r="M790" t="s">
        <v>33</v>
      </c>
      <c r="N790">
        <v>1</v>
      </c>
      <c r="O790">
        <v>0.5</v>
      </c>
      <c r="P790">
        <v>0.5</v>
      </c>
      <c r="Q790"/>
      <c r="R790">
        <v>0</v>
      </c>
      <c r="S790">
        <v>0</v>
      </c>
      <c r="T790"/>
      <c r="U790"/>
      <c r="V790"/>
      <c r="W790"/>
      <c r="X790">
        <v>0</v>
      </c>
      <c r="Y790"/>
      <c r="Z790">
        <v>0</v>
      </c>
      <c r="AA790"/>
      <c r="AB790"/>
      <c r="AC790"/>
      <c r="AD790"/>
      <c r="AE790">
        <v>0</v>
      </c>
      <c r="AF790"/>
      <c r="AG790"/>
      <c r="AH790"/>
    </row>
    <row r="791" spans="1:34" x14ac:dyDescent="0.25">
      <c r="A791" t="s">
        <v>3428</v>
      </c>
      <c r="B791" t="s">
        <v>3429</v>
      </c>
      <c r="C791"/>
      <c r="D791" t="s">
        <v>370</v>
      </c>
      <c r="E791" t="s">
        <v>1219</v>
      </c>
      <c r="F791" t="s">
        <v>1231</v>
      </c>
      <c r="G791" t="s">
        <v>280</v>
      </c>
      <c r="H791" t="s">
        <v>1232</v>
      </c>
      <c r="I791" t="s">
        <v>373</v>
      </c>
      <c r="J791"/>
      <c r="K791">
        <v>1</v>
      </c>
      <c r="L791">
        <v>1</v>
      </c>
      <c r="M791" t="s">
        <v>33</v>
      </c>
      <c r="N791">
        <v>1</v>
      </c>
      <c r="O791">
        <v>0.5</v>
      </c>
      <c r="P791">
        <v>0.5</v>
      </c>
      <c r="Q791"/>
      <c r="R791">
        <v>0</v>
      </c>
      <c r="S791">
        <v>0</v>
      </c>
      <c r="T791"/>
      <c r="U791"/>
      <c r="V791"/>
      <c r="W791"/>
      <c r="X791">
        <v>0</v>
      </c>
      <c r="Y791"/>
      <c r="Z791">
        <v>0</v>
      </c>
      <c r="AA791"/>
      <c r="AB791"/>
      <c r="AC791"/>
      <c r="AD791"/>
      <c r="AE791">
        <v>0</v>
      </c>
      <c r="AF791"/>
      <c r="AG791"/>
      <c r="AH791"/>
    </row>
    <row r="792" spans="1:34" x14ac:dyDescent="0.25">
      <c r="A792" t="s">
        <v>1945</v>
      </c>
      <c r="B792" t="s">
        <v>1946</v>
      </c>
      <c r="C792"/>
      <c r="D792" t="s">
        <v>370</v>
      </c>
      <c r="E792" t="s">
        <v>1219</v>
      </c>
      <c r="F792" t="s">
        <v>1233</v>
      </c>
      <c r="G792" t="s">
        <v>280</v>
      </c>
      <c r="H792" t="s">
        <v>1234</v>
      </c>
      <c r="I792" t="s">
        <v>373</v>
      </c>
      <c r="J792"/>
      <c r="K792">
        <v>1</v>
      </c>
      <c r="L792">
        <v>1</v>
      </c>
      <c r="M792" t="s">
        <v>33</v>
      </c>
      <c r="N792">
        <v>1</v>
      </c>
      <c r="O792">
        <v>0.5</v>
      </c>
      <c r="P792">
        <v>0.5</v>
      </c>
      <c r="Q792"/>
      <c r="R792">
        <v>0</v>
      </c>
      <c r="S792">
        <v>0</v>
      </c>
      <c r="T792"/>
      <c r="U792"/>
      <c r="V792"/>
      <c r="W792"/>
      <c r="X792">
        <v>0</v>
      </c>
      <c r="Y792"/>
      <c r="Z792">
        <v>0</v>
      </c>
      <c r="AA792"/>
      <c r="AB792"/>
      <c r="AC792"/>
      <c r="AD792"/>
      <c r="AE792">
        <v>0</v>
      </c>
      <c r="AF792"/>
      <c r="AG792"/>
      <c r="AH792"/>
    </row>
    <row r="793" spans="1:34" x14ac:dyDescent="0.25">
      <c r="A793" t="s">
        <v>3428</v>
      </c>
      <c r="B793" t="s">
        <v>3429</v>
      </c>
      <c r="C793"/>
      <c r="D793" t="s">
        <v>370</v>
      </c>
      <c r="E793" t="s">
        <v>1219</v>
      </c>
      <c r="F793" t="s">
        <v>1233</v>
      </c>
      <c r="G793" t="s">
        <v>280</v>
      </c>
      <c r="H793" t="s">
        <v>1234</v>
      </c>
      <c r="I793" t="s">
        <v>373</v>
      </c>
      <c r="J793"/>
      <c r="K793">
        <v>1</v>
      </c>
      <c r="L793">
        <v>1</v>
      </c>
      <c r="M793" t="s">
        <v>33</v>
      </c>
      <c r="N793">
        <v>1</v>
      </c>
      <c r="O793">
        <v>0.5</v>
      </c>
      <c r="P793">
        <v>0.5</v>
      </c>
      <c r="Q793"/>
      <c r="R793">
        <v>0</v>
      </c>
      <c r="S793">
        <v>0</v>
      </c>
      <c r="T793"/>
      <c r="U793"/>
      <c r="V793"/>
      <c r="W793"/>
      <c r="X793">
        <v>0</v>
      </c>
      <c r="Y793"/>
      <c r="Z793">
        <v>0</v>
      </c>
      <c r="AA793"/>
      <c r="AB793"/>
      <c r="AC793"/>
      <c r="AD793"/>
      <c r="AE793">
        <v>0</v>
      </c>
      <c r="AF793"/>
      <c r="AG793"/>
      <c r="AH793"/>
    </row>
    <row r="794" spans="1:34" x14ac:dyDescent="0.25">
      <c r="A794" t="s">
        <v>1945</v>
      </c>
      <c r="B794" t="s">
        <v>1946</v>
      </c>
      <c r="C794"/>
      <c r="D794" t="s">
        <v>370</v>
      </c>
      <c r="E794" t="s">
        <v>1219</v>
      </c>
      <c r="F794" t="s">
        <v>1235</v>
      </c>
      <c r="G794" t="s">
        <v>280</v>
      </c>
      <c r="H794" t="s">
        <v>1236</v>
      </c>
      <c r="I794" t="s">
        <v>373</v>
      </c>
      <c r="J794"/>
      <c r="K794">
        <v>1</v>
      </c>
      <c r="L794">
        <v>1</v>
      </c>
      <c r="M794" t="s">
        <v>33</v>
      </c>
      <c r="N794">
        <v>1</v>
      </c>
      <c r="O794">
        <v>0.5</v>
      </c>
      <c r="P794">
        <v>0.5</v>
      </c>
      <c r="Q794"/>
      <c r="R794">
        <v>0</v>
      </c>
      <c r="S794">
        <v>0</v>
      </c>
      <c r="T794"/>
      <c r="U794"/>
      <c r="V794"/>
      <c r="W794"/>
      <c r="X794">
        <v>0</v>
      </c>
      <c r="Y794"/>
      <c r="Z794">
        <v>0</v>
      </c>
      <c r="AA794"/>
      <c r="AB794"/>
      <c r="AC794"/>
      <c r="AD794"/>
      <c r="AE794">
        <v>0</v>
      </c>
      <c r="AF794"/>
      <c r="AG794"/>
      <c r="AH794"/>
    </row>
    <row r="795" spans="1:34" x14ac:dyDescent="0.25">
      <c r="A795" t="s">
        <v>3428</v>
      </c>
      <c r="B795" t="s">
        <v>3429</v>
      </c>
      <c r="C795"/>
      <c r="D795" t="s">
        <v>370</v>
      </c>
      <c r="E795" t="s">
        <v>1219</v>
      </c>
      <c r="F795" t="s">
        <v>1235</v>
      </c>
      <c r="G795" t="s">
        <v>280</v>
      </c>
      <c r="H795" t="s">
        <v>1236</v>
      </c>
      <c r="I795" t="s">
        <v>373</v>
      </c>
      <c r="J795"/>
      <c r="K795">
        <v>1</v>
      </c>
      <c r="L795">
        <v>1</v>
      </c>
      <c r="M795" t="s">
        <v>33</v>
      </c>
      <c r="N795">
        <v>1</v>
      </c>
      <c r="O795">
        <v>0.5</v>
      </c>
      <c r="P795">
        <v>0.5</v>
      </c>
      <c r="Q795"/>
      <c r="R795">
        <v>0</v>
      </c>
      <c r="S795">
        <v>0</v>
      </c>
      <c r="T795"/>
      <c r="U795"/>
      <c r="V795"/>
      <c r="W795"/>
      <c r="X795">
        <v>0</v>
      </c>
      <c r="Y795"/>
      <c r="Z795">
        <v>0</v>
      </c>
      <c r="AA795"/>
      <c r="AB795"/>
      <c r="AC795"/>
      <c r="AD795"/>
      <c r="AE795">
        <v>0</v>
      </c>
      <c r="AF795"/>
      <c r="AG795"/>
      <c r="AH795"/>
    </row>
    <row r="796" spans="1:34" x14ac:dyDescent="0.25">
      <c r="A796" t="s">
        <v>1945</v>
      </c>
      <c r="B796" t="s">
        <v>1946</v>
      </c>
      <c r="C796"/>
      <c r="D796" t="s">
        <v>370</v>
      </c>
      <c r="E796" t="s">
        <v>1219</v>
      </c>
      <c r="F796" t="s">
        <v>1237</v>
      </c>
      <c r="G796" t="s">
        <v>280</v>
      </c>
      <c r="H796" t="s">
        <v>1238</v>
      </c>
      <c r="I796" t="s">
        <v>373</v>
      </c>
      <c r="J796"/>
      <c r="K796">
        <v>1</v>
      </c>
      <c r="L796">
        <v>1</v>
      </c>
      <c r="M796" t="s">
        <v>33</v>
      </c>
      <c r="N796">
        <v>1</v>
      </c>
      <c r="O796">
        <v>0.5</v>
      </c>
      <c r="P796">
        <v>0.5</v>
      </c>
      <c r="Q796"/>
      <c r="R796">
        <v>0</v>
      </c>
      <c r="S796">
        <v>0</v>
      </c>
      <c r="T796"/>
      <c r="U796"/>
      <c r="V796"/>
      <c r="W796"/>
      <c r="X796">
        <v>0</v>
      </c>
      <c r="Y796"/>
      <c r="Z796">
        <v>0</v>
      </c>
      <c r="AA796"/>
      <c r="AB796"/>
      <c r="AC796"/>
      <c r="AD796"/>
      <c r="AE796">
        <v>0</v>
      </c>
      <c r="AF796"/>
      <c r="AG796"/>
      <c r="AH796"/>
    </row>
    <row r="797" spans="1:34" x14ac:dyDescent="0.25">
      <c r="A797" t="s">
        <v>3428</v>
      </c>
      <c r="B797" t="s">
        <v>3429</v>
      </c>
      <c r="C797"/>
      <c r="D797" t="s">
        <v>370</v>
      </c>
      <c r="E797" t="s">
        <v>1219</v>
      </c>
      <c r="F797" t="s">
        <v>1237</v>
      </c>
      <c r="G797" t="s">
        <v>280</v>
      </c>
      <c r="H797" t="s">
        <v>1238</v>
      </c>
      <c r="I797" t="s">
        <v>373</v>
      </c>
      <c r="J797"/>
      <c r="K797">
        <v>1</v>
      </c>
      <c r="L797">
        <v>1</v>
      </c>
      <c r="M797" t="s">
        <v>33</v>
      </c>
      <c r="N797">
        <v>1</v>
      </c>
      <c r="O797">
        <v>0.5</v>
      </c>
      <c r="P797">
        <v>0.5</v>
      </c>
      <c r="Q797"/>
      <c r="R797">
        <v>0</v>
      </c>
      <c r="S797">
        <v>0</v>
      </c>
      <c r="T797"/>
      <c r="U797"/>
      <c r="V797"/>
      <c r="W797"/>
      <c r="X797">
        <v>0</v>
      </c>
      <c r="Y797"/>
      <c r="Z797">
        <v>0</v>
      </c>
      <c r="AA797"/>
      <c r="AB797"/>
      <c r="AC797"/>
      <c r="AD797"/>
      <c r="AE797">
        <v>0</v>
      </c>
      <c r="AF797"/>
      <c r="AG797"/>
      <c r="AH797"/>
    </row>
    <row r="798" spans="1:34" hidden="1" x14ac:dyDescent="0.25">
      <c r="A798" t="s">
        <v>1945</v>
      </c>
      <c r="B798" t="s">
        <v>1946</v>
      </c>
      <c r="C798"/>
      <c r="D798" t="s">
        <v>370</v>
      </c>
      <c r="E798" t="s">
        <v>1219</v>
      </c>
      <c r="F798" t="s">
        <v>1239</v>
      </c>
      <c r="G798" t="s">
        <v>280</v>
      </c>
      <c r="H798" t="s">
        <v>1240</v>
      </c>
      <c r="I798" t="s">
        <v>373</v>
      </c>
      <c r="J798"/>
      <c r="K798">
        <v>1</v>
      </c>
      <c r="L798">
        <v>1</v>
      </c>
      <c r="M798" t="s">
        <v>33</v>
      </c>
      <c r="N798">
        <v>1</v>
      </c>
      <c r="O798">
        <v>0.5</v>
      </c>
      <c r="P798">
        <v>0.5</v>
      </c>
      <c r="Q798"/>
      <c r="R798">
        <v>0</v>
      </c>
      <c r="S798">
        <v>0</v>
      </c>
      <c r="T798"/>
      <c r="U798"/>
      <c r="V798"/>
      <c r="W798"/>
      <c r="X798">
        <v>0</v>
      </c>
      <c r="Y798"/>
      <c r="Z798">
        <v>0</v>
      </c>
      <c r="AA798"/>
      <c r="AB798"/>
      <c r="AC798"/>
      <c r="AD798"/>
      <c r="AE798">
        <v>0</v>
      </c>
      <c r="AF798"/>
      <c r="AG798"/>
      <c r="AH798"/>
    </row>
    <row r="799" spans="1:34" hidden="1" x14ac:dyDescent="0.25">
      <c r="A799" t="s">
        <v>3428</v>
      </c>
      <c r="B799" t="s">
        <v>3429</v>
      </c>
      <c r="C799"/>
      <c r="D799" t="s">
        <v>370</v>
      </c>
      <c r="E799" t="s">
        <v>1219</v>
      </c>
      <c r="F799" t="s">
        <v>1239</v>
      </c>
      <c r="G799" t="s">
        <v>280</v>
      </c>
      <c r="H799" t="s">
        <v>1240</v>
      </c>
      <c r="I799" t="s">
        <v>373</v>
      </c>
      <c r="J799"/>
      <c r="K799">
        <v>1</v>
      </c>
      <c r="L799">
        <v>1</v>
      </c>
      <c r="M799" t="s">
        <v>33</v>
      </c>
      <c r="N799">
        <v>1</v>
      </c>
      <c r="O799">
        <v>0.5</v>
      </c>
      <c r="P799">
        <v>0.5</v>
      </c>
      <c r="Q799"/>
      <c r="R799">
        <v>0</v>
      </c>
      <c r="S799">
        <v>0</v>
      </c>
      <c r="T799"/>
      <c r="U799"/>
      <c r="V799"/>
      <c r="W799"/>
      <c r="X799">
        <v>0</v>
      </c>
      <c r="Y799"/>
      <c r="Z799">
        <v>0</v>
      </c>
      <c r="AA799"/>
      <c r="AB799"/>
      <c r="AC799"/>
      <c r="AD799"/>
      <c r="AE799">
        <v>0</v>
      </c>
      <c r="AF799"/>
      <c r="AG799"/>
      <c r="AH799"/>
    </row>
    <row r="800" spans="1:34" hidden="1" x14ac:dyDescent="0.25">
      <c r="A800" t="s">
        <v>1945</v>
      </c>
      <c r="B800" t="s">
        <v>1946</v>
      </c>
      <c r="C800"/>
      <c r="D800" t="s">
        <v>370</v>
      </c>
      <c r="E800" t="s">
        <v>1219</v>
      </c>
      <c r="F800" t="s">
        <v>1241</v>
      </c>
      <c r="G800" t="s">
        <v>280</v>
      </c>
      <c r="H800" t="s">
        <v>1242</v>
      </c>
      <c r="I800" t="s">
        <v>373</v>
      </c>
      <c r="J800"/>
      <c r="K800">
        <v>1</v>
      </c>
      <c r="L800">
        <v>1</v>
      </c>
      <c r="M800" t="s">
        <v>33</v>
      </c>
      <c r="N800">
        <v>1</v>
      </c>
      <c r="O800">
        <v>0.5</v>
      </c>
      <c r="P800">
        <v>0.5</v>
      </c>
      <c r="Q800"/>
      <c r="R800">
        <v>0</v>
      </c>
      <c r="S800">
        <v>0</v>
      </c>
      <c r="T800"/>
      <c r="U800"/>
      <c r="V800"/>
      <c r="W800"/>
      <c r="X800">
        <v>0</v>
      </c>
      <c r="Y800"/>
      <c r="Z800">
        <v>0</v>
      </c>
      <c r="AA800"/>
      <c r="AB800"/>
      <c r="AC800"/>
      <c r="AD800"/>
      <c r="AE800">
        <v>0</v>
      </c>
      <c r="AF800"/>
      <c r="AG800"/>
      <c r="AH800"/>
    </row>
    <row r="801" spans="1:34" hidden="1" x14ac:dyDescent="0.25">
      <c r="A801" t="s">
        <v>3428</v>
      </c>
      <c r="B801" t="s">
        <v>3429</v>
      </c>
      <c r="C801"/>
      <c r="D801" t="s">
        <v>370</v>
      </c>
      <c r="E801" t="s">
        <v>1219</v>
      </c>
      <c r="F801" t="s">
        <v>1241</v>
      </c>
      <c r="G801" t="s">
        <v>280</v>
      </c>
      <c r="H801" t="s">
        <v>1242</v>
      </c>
      <c r="I801" t="s">
        <v>373</v>
      </c>
      <c r="J801"/>
      <c r="K801">
        <v>1</v>
      </c>
      <c r="L801">
        <v>1</v>
      </c>
      <c r="M801" t="s">
        <v>33</v>
      </c>
      <c r="N801">
        <v>1</v>
      </c>
      <c r="O801">
        <v>0.5</v>
      </c>
      <c r="P801">
        <v>0.5</v>
      </c>
      <c r="Q801"/>
      <c r="R801">
        <v>0</v>
      </c>
      <c r="S801">
        <v>0</v>
      </c>
      <c r="T801"/>
      <c r="U801"/>
      <c r="V801"/>
      <c r="W801"/>
      <c r="X801">
        <v>0</v>
      </c>
      <c r="Y801"/>
      <c r="Z801">
        <v>0</v>
      </c>
      <c r="AA801"/>
      <c r="AB801"/>
      <c r="AC801"/>
      <c r="AD801"/>
      <c r="AE801">
        <v>0</v>
      </c>
      <c r="AF801"/>
      <c r="AG801"/>
      <c r="AH801"/>
    </row>
    <row r="802" spans="1:34" hidden="1" x14ac:dyDescent="0.25">
      <c r="A802" t="s">
        <v>1945</v>
      </c>
      <c r="B802" t="s">
        <v>1946</v>
      </c>
      <c r="C802"/>
      <c r="D802" t="s">
        <v>370</v>
      </c>
      <c r="E802" t="s">
        <v>1219</v>
      </c>
      <c r="F802" t="s">
        <v>1243</v>
      </c>
      <c r="G802" t="s">
        <v>280</v>
      </c>
      <c r="H802" t="s">
        <v>1244</v>
      </c>
      <c r="I802" t="s">
        <v>373</v>
      </c>
      <c r="J802"/>
      <c r="K802">
        <v>1</v>
      </c>
      <c r="L802">
        <v>1</v>
      </c>
      <c r="M802" t="s">
        <v>33</v>
      </c>
      <c r="N802">
        <v>1</v>
      </c>
      <c r="O802">
        <v>0.5</v>
      </c>
      <c r="P802">
        <v>0.5</v>
      </c>
      <c r="Q802"/>
      <c r="R802">
        <v>0</v>
      </c>
      <c r="S802">
        <v>0</v>
      </c>
      <c r="T802"/>
      <c r="U802"/>
      <c r="V802"/>
      <c r="W802"/>
      <c r="X802">
        <v>0</v>
      </c>
      <c r="Y802"/>
      <c r="Z802">
        <v>0</v>
      </c>
      <c r="AA802"/>
      <c r="AB802"/>
      <c r="AC802"/>
      <c r="AD802"/>
      <c r="AE802">
        <v>0</v>
      </c>
      <c r="AF802"/>
      <c r="AG802"/>
      <c r="AH802"/>
    </row>
    <row r="803" spans="1:34" hidden="1" x14ac:dyDescent="0.25">
      <c r="A803" t="s">
        <v>3428</v>
      </c>
      <c r="B803" t="s">
        <v>3429</v>
      </c>
      <c r="C803"/>
      <c r="D803" t="s">
        <v>370</v>
      </c>
      <c r="E803" t="s">
        <v>1219</v>
      </c>
      <c r="F803" t="s">
        <v>1243</v>
      </c>
      <c r="G803" t="s">
        <v>280</v>
      </c>
      <c r="H803" t="s">
        <v>1244</v>
      </c>
      <c r="I803" t="s">
        <v>373</v>
      </c>
      <c r="J803"/>
      <c r="K803">
        <v>1</v>
      </c>
      <c r="L803">
        <v>1</v>
      </c>
      <c r="M803" t="s">
        <v>33</v>
      </c>
      <c r="N803">
        <v>1</v>
      </c>
      <c r="O803">
        <v>0.5</v>
      </c>
      <c r="P803">
        <v>0.5</v>
      </c>
      <c r="Q803"/>
      <c r="R803">
        <v>0</v>
      </c>
      <c r="S803">
        <v>0</v>
      </c>
      <c r="T803"/>
      <c r="U803"/>
      <c r="V803"/>
      <c r="W803"/>
      <c r="X803">
        <v>0</v>
      </c>
      <c r="Y803"/>
      <c r="Z803">
        <v>0</v>
      </c>
      <c r="AA803"/>
      <c r="AB803"/>
      <c r="AC803"/>
      <c r="AD803"/>
      <c r="AE803">
        <v>0</v>
      </c>
      <c r="AF803"/>
      <c r="AG803"/>
      <c r="AH803"/>
    </row>
    <row r="804" spans="1:34" hidden="1" x14ac:dyDescent="0.25">
      <c r="A804" t="s">
        <v>1945</v>
      </c>
      <c r="B804" t="s">
        <v>1946</v>
      </c>
      <c r="C804"/>
      <c r="D804" t="s">
        <v>370</v>
      </c>
      <c r="E804" t="s">
        <v>1219</v>
      </c>
      <c r="F804" t="s">
        <v>1245</v>
      </c>
      <c r="G804" t="s">
        <v>280</v>
      </c>
      <c r="H804" t="s">
        <v>1246</v>
      </c>
      <c r="I804" t="s">
        <v>373</v>
      </c>
      <c r="J804"/>
      <c r="K804">
        <v>1</v>
      </c>
      <c r="L804">
        <v>1</v>
      </c>
      <c r="M804" t="s">
        <v>33</v>
      </c>
      <c r="N804">
        <v>1</v>
      </c>
      <c r="O804">
        <v>0.5</v>
      </c>
      <c r="P804">
        <v>0.5</v>
      </c>
      <c r="Q804"/>
      <c r="R804">
        <v>0</v>
      </c>
      <c r="S804">
        <v>0</v>
      </c>
      <c r="T804"/>
      <c r="U804"/>
      <c r="V804"/>
      <c r="W804"/>
      <c r="X804">
        <v>0</v>
      </c>
      <c r="Y804"/>
      <c r="Z804">
        <v>0</v>
      </c>
      <c r="AA804"/>
      <c r="AB804"/>
      <c r="AC804"/>
      <c r="AD804"/>
      <c r="AE804">
        <v>0</v>
      </c>
      <c r="AF804"/>
      <c r="AG804"/>
      <c r="AH804"/>
    </row>
    <row r="805" spans="1:34" hidden="1" x14ac:dyDescent="0.25">
      <c r="A805" t="s">
        <v>3428</v>
      </c>
      <c r="B805" t="s">
        <v>3429</v>
      </c>
      <c r="C805"/>
      <c r="D805" t="s">
        <v>370</v>
      </c>
      <c r="E805" t="s">
        <v>1219</v>
      </c>
      <c r="F805" t="s">
        <v>1245</v>
      </c>
      <c r="G805" t="s">
        <v>280</v>
      </c>
      <c r="H805" t="s">
        <v>1246</v>
      </c>
      <c r="I805" t="s">
        <v>373</v>
      </c>
      <c r="J805"/>
      <c r="K805">
        <v>1</v>
      </c>
      <c r="L805">
        <v>1</v>
      </c>
      <c r="M805" t="s">
        <v>33</v>
      </c>
      <c r="N805">
        <v>1</v>
      </c>
      <c r="O805">
        <v>0.5</v>
      </c>
      <c r="P805">
        <v>0.5</v>
      </c>
      <c r="Q805"/>
      <c r="R805">
        <v>0</v>
      </c>
      <c r="S805">
        <v>0</v>
      </c>
      <c r="T805"/>
      <c r="U805"/>
      <c r="V805"/>
      <c r="W805"/>
      <c r="X805">
        <v>0</v>
      </c>
      <c r="Y805"/>
      <c r="Z805">
        <v>0</v>
      </c>
      <c r="AA805"/>
      <c r="AB805"/>
      <c r="AC805"/>
      <c r="AD805"/>
      <c r="AE805">
        <v>0</v>
      </c>
      <c r="AF805"/>
      <c r="AG805"/>
      <c r="AH805"/>
    </row>
    <row r="806" spans="1:34" hidden="1" x14ac:dyDescent="0.25">
      <c r="A806" t="s">
        <v>1945</v>
      </c>
      <c r="B806" t="s">
        <v>1946</v>
      </c>
      <c r="C806"/>
      <c r="D806" t="s">
        <v>370</v>
      </c>
      <c r="E806" t="s">
        <v>1219</v>
      </c>
      <c r="F806" t="s">
        <v>1247</v>
      </c>
      <c r="G806" t="s">
        <v>280</v>
      </c>
      <c r="H806" t="s">
        <v>1248</v>
      </c>
      <c r="I806" t="s">
        <v>373</v>
      </c>
      <c r="J806"/>
      <c r="K806">
        <v>1</v>
      </c>
      <c r="L806">
        <v>1</v>
      </c>
      <c r="M806" t="s">
        <v>33</v>
      </c>
      <c r="N806">
        <v>1</v>
      </c>
      <c r="O806">
        <v>0.5</v>
      </c>
      <c r="P806">
        <v>0.5</v>
      </c>
      <c r="Q806"/>
      <c r="R806">
        <v>0</v>
      </c>
      <c r="S806">
        <v>0</v>
      </c>
      <c r="T806"/>
      <c r="U806"/>
      <c r="V806"/>
      <c r="W806"/>
      <c r="X806">
        <v>0</v>
      </c>
      <c r="Y806"/>
      <c r="Z806">
        <v>0</v>
      </c>
      <c r="AA806"/>
      <c r="AB806"/>
      <c r="AC806"/>
      <c r="AD806"/>
      <c r="AE806">
        <v>0</v>
      </c>
      <c r="AF806"/>
      <c r="AG806"/>
      <c r="AH806"/>
    </row>
    <row r="807" spans="1:34" x14ac:dyDescent="0.25">
      <c r="A807" t="s">
        <v>3428</v>
      </c>
      <c r="B807" t="s">
        <v>3429</v>
      </c>
      <c r="C807"/>
      <c r="D807" t="s">
        <v>370</v>
      </c>
      <c r="E807" t="s">
        <v>1219</v>
      </c>
      <c r="F807" t="s">
        <v>1247</v>
      </c>
      <c r="G807" t="s">
        <v>280</v>
      </c>
      <c r="H807" t="s">
        <v>1248</v>
      </c>
      <c r="I807" t="s">
        <v>373</v>
      </c>
      <c r="J807"/>
      <c r="K807">
        <v>1</v>
      </c>
      <c r="L807">
        <v>1</v>
      </c>
      <c r="M807" t="s">
        <v>33</v>
      </c>
      <c r="N807">
        <v>1</v>
      </c>
      <c r="O807">
        <v>0.5</v>
      </c>
      <c r="P807">
        <v>0.5</v>
      </c>
      <c r="Q807"/>
      <c r="R807">
        <v>0</v>
      </c>
      <c r="S807">
        <v>0</v>
      </c>
      <c r="T807"/>
      <c r="U807"/>
      <c r="V807"/>
      <c r="W807"/>
      <c r="X807">
        <v>0</v>
      </c>
      <c r="Y807"/>
      <c r="Z807">
        <v>0</v>
      </c>
      <c r="AA807"/>
      <c r="AB807"/>
      <c r="AC807"/>
      <c r="AD807"/>
      <c r="AE807">
        <v>0</v>
      </c>
      <c r="AF807"/>
      <c r="AG807"/>
      <c r="AH807"/>
    </row>
    <row r="808" spans="1:34" x14ac:dyDescent="0.25">
      <c r="A808" t="s">
        <v>1945</v>
      </c>
      <c r="B808" t="s">
        <v>1946</v>
      </c>
      <c r="C808"/>
      <c r="D808" t="s">
        <v>370</v>
      </c>
      <c r="E808" t="s">
        <v>1219</v>
      </c>
      <c r="F808" t="s">
        <v>1249</v>
      </c>
      <c r="G808" t="s">
        <v>280</v>
      </c>
      <c r="H808" t="s">
        <v>1250</v>
      </c>
      <c r="I808" t="s">
        <v>373</v>
      </c>
      <c r="J808"/>
      <c r="K808">
        <v>1</v>
      </c>
      <c r="L808">
        <v>1</v>
      </c>
      <c r="M808" t="s">
        <v>33</v>
      </c>
      <c r="N808">
        <v>1</v>
      </c>
      <c r="O808">
        <v>0.5</v>
      </c>
      <c r="P808">
        <v>0.5</v>
      </c>
      <c r="Q808"/>
      <c r="R808">
        <v>0</v>
      </c>
      <c r="S808">
        <v>0</v>
      </c>
      <c r="T808"/>
      <c r="U808"/>
      <c r="V808"/>
      <c r="W808"/>
      <c r="X808">
        <v>0</v>
      </c>
      <c r="Y808"/>
      <c r="Z808">
        <v>0</v>
      </c>
      <c r="AA808"/>
      <c r="AB808"/>
      <c r="AC808"/>
      <c r="AD808"/>
      <c r="AE808">
        <v>0</v>
      </c>
      <c r="AF808"/>
      <c r="AG808"/>
      <c r="AH808"/>
    </row>
    <row r="809" spans="1:34" x14ac:dyDescent="0.25">
      <c r="A809" t="s">
        <v>3428</v>
      </c>
      <c r="B809" t="s">
        <v>3429</v>
      </c>
      <c r="C809"/>
      <c r="D809" t="s">
        <v>370</v>
      </c>
      <c r="E809" t="s">
        <v>1219</v>
      </c>
      <c r="F809" t="s">
        <v>1249</v>
      </c>
      <c r="G809" t="s">
        <v>280</v>
      </c>
      <c r="H809" t="s">
        <v>1250</v>
      </c>
      <c r="I809" t="s">
        <v>373</v>
      </c>
      <c r="J809"/>
      <c r="K809">
        <v>1</v>
      </c>
      <c r="L809">
        <v>1</v>
      </c>
      <c r="M809" t="s">
        <v>33</v>
      </c>
      <c r="N809">
        <v>1</v>
      </c>
      <c r="O809">
        <v>0.5</v>
      </c>
      <c r="P809">
        <v>0.5</v>
      </c>
      <c r="Q809"/>
      <c r="R809">
        <v>0</v>
      </c>
      <c r="S809">
        <v>0</v>
      </c>
      <c r="T809"/>
      <c r="U809"/>
      <c r="V809"/>
      <c r="W809"/>
      <c r="X809">
        <v>0</v>
      </c>
      <c r="Y809"/>
      <c r="Z809">
        <v>0</v>
      </c>
      <c r="AA809"/>
      <c r="AB809"/>
      <c r="AC809"/>
      <c r="AD809"/>
      <c r="AE809">
        <v>0</v>
      </c>
      <c r="AF809"/>
      <c r="AG809"/>
      <c r="AH809"/>
    </row>
    <row r="810" spans="1:34" x14ac:dyDescent="0.25">
      <c r="A810" t="s">
        <v>1945</v>
      </c>
      <c r="B810" t="s">
        <v>1946</v>
      </c>
      <c r="C810"/>
      <c r="D810" t="s">
        <v>370</v>
      </c>
      <c r="E810" t="s">
        <v>1219</v>
      </c>
      <c r="F810" t="s">
        <v>1251</v>
      </c>
      <c r="G810" t="s">
        <v>280</v>
      </c>
      <c r="H810" t="s">
        <v>1252</v>
      </c>
      <c r="I810" t="s">
        <v>373</v>
      </c>
      <c r="J810"/>
      <c r="K810">
        <v>1</v>
      </c>
      <c r="L810">
        <v>1</v>
      </c>
      <c r="M810" t="s">
        <v>33</v>
      </c>
      <c r="N810">
        <v>1</v>
      </c>
      <c r="O810">
        <v>0.5</v>
      </c>
      <c r="P810">
        <v>0.5</v>
      </c>
      <c r="Q810"/>
      <c r="R810">
        <v>0</v>
      </c>
      <c r="S810">
        <v>0</v>
      </c>
      <c r="T810"/>
      <c r="U810"/>
      <c r="V810"/>
      <c r="W810"/>
      <c r="X810">
        <v>0</v>
      </c>
      <c r="Y810"/>
      <c r="Z810">
        <v>0</v>
      </c>
      <c r="AA810"/>
      <c r="AB810"/>
      <c r="AC810"/>
      <c r="AD810"/>
      <c r="AE810">
        <v>0</v>
      </c>
      <c r="AF810"/>
      <c r="AG810"/>
      <c r="AH810"/>
    </row>
    <row r="811" spans="1:34" x14ac:dyDescent="0.25">
      <c r="A811" t="s">
        <v>3428</v>
      </c>
      <c r="B811" t="s">
        <v>3429</v>
      </c>
      <c r="C811"/>
      <c r="D811" t="s">
        <v>370</v>
      </c>
      <c r="E811" t="s">
        <v>1219</v>
      </c>
      <c r="F811" t="s">
        <v>1251</v>
      </c>
      <c r="G811" t="s">
        <v>280</v>
      </c>
      <c r="H811" t="s">
        <v>1252</v>
      </c>
      <c r="I811" t="s">
        <v>373</v>
      </c>
      <c r="J811"/>
      <c r="K811">
        <v>1</v>
      </c>
      <c r="L811">
        <v>1</v>
      </c>
      <c r="M811" t="s">
        <v>33</v>
      </c>
      <c r="N811">
        <v>1</v>
      </c>
      <c r="O811">
        <v>0.5</v>
      </c>
      <c r="P811">
        <v>0.5</v>
      </c>
      <c r="Q811"/>
      <c r="R811">
        <v>0</v>
      </c>
      <c r="S811">
        <v>0</v>
      </c>
      <c r="T811"/>
      <c r="U811"/>
      <c r="V811"/>
      <c r="W811"/>
      <c r="X811">
        <v>0</v>
      </c>
      <c r="Y811"/>
      <c r="Z811">
        <v>0</v>
      </c>
      <c r="AA811"/>
      <c r="AB811"/>
      <c r="AC811"/>
      <c r="AD811"/>
      <c r="AE811">
        <v>0</v>
      </c>
      <c r="AF811"/>
      <c r="AG811"/>
      <c r="AH811"/>
    </row>
    <row r="812" spans="1:34" x14ac:dyDescent="0.25">
      <c r="A812" t="s">
        <v>1945</v>
      </c>
      <c r="B812" t="s">
        <v>1946</v>
      </c>
      <c r="C812"/>
      <c r="D812" t="s">
        <v>370</v>
      </c>
      <c r="E812" t="s">
        <v>1219</v>
      </c>
      <c r="F812" t="s">
        <v>1253</v>
      </c>
      <c r="G812" t="s">
        <v>280</v>
      </c>
      <c r="H812" t="s">
        <v>1254</v>
      </c>
      <c r="I812" t="s">
        <v>373</v>
      </c>
      <c r="J812"/>
      <c r="K812">
        <v>1</v>
      </c>
      <c r="L812">
        <v>1</v>
      </c>
      <c r="M812" t="s">
        <v>33</v>
      </c>
      <c r="N812">
        <v>1</v>
      </c>
      <c r="O812">
        <v>0.5</v>
      </c>
      <c r="P812">
        <v>0.5</v>
      </c>
      <c r="Q812"/>
      <c r="R812">
        <v>0</v>
      </c>
      <c r="S812">
        <v>0</v>
      </c>
      <c r="T812"/>
      <c r="U812"/>
      <c r="V812"/>
      <c r="W812"/>
      <c r="X812">
        <v>0</v>
      </c>
      <c r="Y812"/>
      <c r="Z812">
        <v>0</v>
      </c>
      <c r="AA812"/>
      <c r="AB812"/>
      <c r="AC812"/>
      <c r="AD812"/>
      <c r="AE812">
        <v>0</v>
      </c>
      <c r="AF812"/>
      <c r="AG812"/>
      <c r="AH812"/>
    </row>
    <row r="813" spans="1:34" x14ac:dyDescent="0.25">
      <c r="A813" t="s">
        <v>3428</v>
      </c>
      <c r="B813" t="s">
        <v>3429</v>
      </c>
      <c r="C813"/>
      <c r="D813" t="s">
        <v>370</v>
      </c>
      <c r="E813" t="s">
        <v>1219</v>
      </c>
      <c r="F813" t="s">
        <v>1253</v>
      </c>
      <c r="G813" t="s">
        <v>280</v>
      </c>
      <c r="H813" t="s">
        <v>1254</v>
      </c>
      <c r="I813" t="s">
        <v>373</v>
      </c>
      <c r="J813"/>
      <c r="K813">
        <v>1</v>
      </c>
      <c r="L813">
        <v>1</v>
      </c>
      <c r="M813" t="s">
        <v>33</v>
      </c>
      <c r="N813">
        <v>1</v>
      </c>
      <c r="O813">
        <v>0.5</v>
      </c>
      <c r="P813">
        <v>0.5</v>
      </c>
      <c r="Q813"/>
      <c r="R813">
        <v>0</v>
      </c>
      <c r="S813">
        <v>0</v>
      </c>
      <c r="T813"/>
      <c r="U813"/>
      <c r="V813"/>
      <c r="W813"/>
      <c r="X813">
        <v>0</v>
      </c>
      <c r="Y813"/>
      <c r="Z813">
        <v>0</v>
      </c>
      <c r="AA813"/>
      <c r="AB813"/>
      <c r="AC813"/>
      <c r="AD813"/>
      <c r="AE813">
        <v>0</v>
      </c>
      <c r="AF813"/>
      <c r="AG813"/>
      <c r="AH813"/>
    </row>
    <row r="814" spans="1:34" x14ac:dyDescent="0.25">
      <c r="A814" t="s">
        <v>1945</v>
      </c>
      <c r="B814" t="s">
        <v>1946</v>
      </c>
      <c r="C814"/>
      <c r="D814" t="s">
        <v>370</v>
      </c>
      <c r="E814" t="s">
        <v>1219</v>
      </c>
      <c r="F814" t="s">
        <v>1255</v>
      </c>
      <c r="G814" t="s">
        <v>280</v>
      </c>
      <c r="H814" t="s">
        <v>1256</v>
      </c>
      <c r="I814" t="s">
        <v>373</v>
      </c>
      <c r="J814"/>
      <c r="K814">
        <v>1</v>
      </c>
      <c r="L814">
        <v>1</v>
      </c>
      <c r="M814" t="s">
        <v>33</v>
      </c>
      <c r="N814">
        <v>1</v>
      </c>
      <c r="O814">
        <v>0.5</v>
      </c>
      <c r="P814">
        <v>0.5</v>
      </c>
      <c r="Q814"/>
      <c r="R814">
        <v>0</v>
      </c>
      <c r="S814">
        <v>0</v>
      </c>
      <c r="T814"/>
      <c r="U814"/>
      <c r="V814"/>
      <c r="W814"/>
      <c r="X814">
        <v>0</v>
      </c>
      <c r="Y814"/>
      <c r="Z814">
        <v>0</v>
      </c>
      <c r="AA814"/>
      <c r="AB814"/>
      <c r="AC814"/>
      <c r="AD814"/>
      <c r="AE814">
        <v>0</v>
      </c>
      <c r="AF814"/>
      <c r="AG814"/>
      <c r="AH814"/>
    </row>
    <row r="815" spans="1:34" x14ac:dyDescent="0.25">
      <c r="A815" t="s">
        <v>3428</v>
      </c>
      <c r="B815" t="s">
        <v>3429</v>
      </c>
      <c r="C815"/>
      <c r="D815" t="s">
        <v>370</v>
      </c>
      <c r="E815" t="s">
        <v>1219</v>
      </c>
      <c r="F815" t="s">
        <v>1255</v>
      </c>
      <c r="G815" t="s">
        <v>280</v>
      </c>
      <c r="H815" t="s">
        <v>1256</v>
      </c>
      <c r="I815" t="s">
        <v>373</v>
      </c>
      <c r="J815"/>
      <c r="K815">
        <v>1</v>
      </c>
      <c r="L815">
        <v>1</v>
      </c>
      <c r="M815" t="s">
        <v>33</v>
      </c>
      <c r="N815">
        <v>1</v>
      </c>
      <c r="O815">
        <v>0.5</v>
      </c>
      <c r="P815">
        <v>0.5</v>
      </c>
      <c r="Q815"/>
      <c r="R815">
        <v>0</v>
      </c>
      <c r="S815">
        <v>0</v>
      </c>
      <c r="T815"/>
      <c r="U815"/>
      <c r="V815"/>
      <c r="W815"/>
      <c r="X815">
        <v>0</v>
      </c>
      <c r="Y815"/>
      <c r="Z815">
        <v>0</v>
      </c>
      <c r="AA815"/>
      <c r="AB815"/>
      <c r="AC815"/>
      <c r="AD815"/>
      <c r="AE815">
        <v>0</v>
      </c>
      <c r="AF815"/>
      <c r="AG815"/>
      <c r="AH815"/>
    </row>
    <row r="816" spans="1:34" x14ac:dyDescent="0.25">
      <c r="A816" t="s">
        <v>1945</v>
      </c>
      <c r="B816" t="s">
        <v>1946</v>
      </c>
      <c r="C816"/>
      <c r="D816" t="s">
        <v>370</v>
      </c>
      <c r="E816" t="s">
        <v>1219</v>
      </c>
      <c r="F816" t="s">
        <v>1257</v>
      </c>
      <c r="G816" t="s">
        <v>280</v>
      </c>
      <c r="H816" t="s">
        <v>1258</v>
      </c>
      <c r="I816" t="s">
        <v>373</v>
      </c>
      <c r="J816"/>
      <c r="K816">
        <v>1</v>
      </c>
      <c r="L816">
        <v>1</v>
      </c>
      <c r="M816" t="s">
        <v>33</v>
      </c>
      <c r="N816">
        <v>1</v>
      </c>
      <c r="O816">
        <v>0.5</v>
      </c>
      <c r="P816">
        <v>0.5</v>
      </c>
      <c r="Q816"/>
      <c r="R816">
        <v>0</v>
      </c>
      <c r="S816">
        <v>0</v>
      </c>
      <c r="T816"/>
      <c r="U816"/>
      <c r="V816"/>
      <c r="W816"/>
      <c r="X816">
        <v>0</v>
      </c>
      <c r="Y816"/>
      <c r="Z816">
        <v>0</v>
      </c>
      <c r="AA816"/>
      <c r="AB816"/>
      <c r="AC816"/>
      <c r="AD816"/>
      <c r="AE816">
        <v>0</v>
      </c>
      <c r="AF816"/>
      <c r="AG816"/>
      <c r="AH816"/>
    </row>
    <row r="817" spans="1:34" x14ac:dyDescent="0.25">
      <c r="A817" t="s">
        <v>3428</v>
      </c>
      <c r="B817" t="s">
        <v>3429</v>
      </c>
      <c r="C817"/>
      <c r="D817" t="s">
        <v>370</v>
      </c>
      <c r="E817" t="s">
        <v>1219</v>
      </c>
      <c r="F817" t="s">
        <v>1257</v>
      </c>
      <c r="G817" t="s">
        <v>280</v>
      </c>
      <c r="H817" t="s">
        <v>1258</v>
      </c>
      <c r="I817" t="s">
        <v>373</v>
      </c>
      <c r="J817"/>
      <c r="K817">
        <v>1</v>
      </c>
      <c r="L817">
        <v>1</v>
      </c>
      <c r="M817" t="s">
        <v>33</v>
      </c>
      <c r="N817">
        <v>1</v>
      </c>
      <c r="O817">
        <v>0.5</v>
      </c>
      <c r="P817">
        <v>0.5</v>
      </c>
      <c r="Q817"/>
      <c r="R817">
        <v>0</v>
      </c>
      <c r="S817">
        <v>0</v>
      </c>
      <c r="T817"/>
      <c r="U817"/>
      <c r="V817"/>
      <c r="W817"/>
      <c r="X817">
        <v>0</v>
      </c>
      <c r="Y817"/>
      <c r="Z817">
        <v>0</v>
      </c>
      <c r="AA817"/>
      <c r="AB817"/>
      <c r="AC817"/>
      <c r="AD817"/>
      <c r="AE817">
        <v>0</v>
      </c>
      <c r="AF817"/>
      <c r="AG817"/>
      <c r="AH817"/>
    </row>
    <row r="818" spans="1:34" x14ac:dyDescent="0.25">
      <c r="A818" t="s">
        <v>1945</v>
      </c>
      <c r="B818" t="s">
        <v>1946</v>
      </c>
      <c r="C818"/>
      <c r="D818" t="s">
        <v>370</v>
      </c>
      <c r="E818" t="s">
        <v>1219</v>
      </c>
      <c r="F818" t="s">
        <v>1259</v>
      </c>
      <c r="G818" t="s">
        <v>280</v>
      </c>
      <c r="H818" t="s">
        <v>1260</v>
      </c>
      <c r="I818" t="s">
        <v>373</v>
      </c>
      <c r="J818"/>
      <c r="K818">
        <v>1</v>
      </c>
      <c r="L818">
        <v>1</v>
      </c>
      <c r="M818" t="s">
        <v>33</v>
      </c>
      <c r="N818">
        <v>1</v>
      </c>
      <c r="O818">
        <v>0.5</v>
      </c>
      <c r="P818">
        <v>0.5</v>
      </c>
      <c r="Q818"/>
      <c r="R818">
        <v>0</v>
      </c>
      <c r="S818">
        <v>0</v>
      </c>
      <c r="T818"/>
      <c r="U818"/>
      <c r="V818"/>
      <c r="W818"/>
      <c r="X818">
        <v>0</v>
      </c>
      <c r="Y818"/>
      <c r="Z818">
        <v>0</v>
      </c>
      <c r="AA818"/>
      <c r="AB818"/>
      <c r="AC818"/>
      <c r="AD818"/>
      <c r="AE818">
        <v>0</v>
      </c>
      <c r="AF818"/>
      <c r="AG818"/>
      <c r="AH818"/>
    </row>
    <row r="819" spans="1:34" x14ac:dyDescent="0.25">
      <c r="A819" t="s">
        <v>3428</v>
      </c>
      <c r="B819" t="s">
        <v>3429</v>
      </c>
      <c r="C819"/>
      <c r="D819" t="s">
        <v>370</v>
      </c>
      <c r="E819" t="s">
        <v>1219</v>
      </c>
      <c r="F819" t="s">
        <v>1259</v>
      </c>
      <c r="G819" t="s">
        <v>280</v>
      </c>
      <c r="H819" t="s">
        <v>1260</v>
      </c>
      <c r="I819" t="s">
        <v>373</v>
      </c>
      <c r="J819"/>
      <c r="K819">
        <v>1</v>
      </c>
      <c r="L819">
        <v>1</v>
      </c>
      <c r="M819" t="s">
        <v>33</v>
      </c>
      <c r="N819">
        <v>1</v>
      </c>
      <c r="O819">
        <v>0.5</v>
      </c>
      <c r="P819">
        <v>0.5</v>
      </c>
      <c r="Q819"/>
      <c r="R819">
        <v>0</v>
      </c>
      <c r="S819">
        <v>0</v>
      </c>
      <c r="T819"/>
      <c r="U819"/>
      <c r="V819"/>
      <c r="W819"/>
      <c r="X819">
        <v>0</v>
      </c>
      <c r="Y819"/>
      <c r="Z819">
        <v>0</v>
      </c>
      <c r="AA819"/>
      <c r="AB819"/>
      <c r="AC819"/>
      <c r="AD819"/>
      <c r="AE819">
        <v>0</v>
      </c>
      <c r="AF819"/>
      <c r="AG819"/>
      <c r="AH819"/>
    </row>
    <row r="820" spans="1:34" x14ac:dyDescent="0.25">
      <c r="A820" t="s">
        <v>1945</v>
      </c>
      <c r="B820" t="s">
        <v>1946</v>
      </c>
      <c r="C820"/>
      <c r="D820" t="s">
        <v>370</v>
      </c>
      <c r="E820" t="s">
        <v>1219</v>
      </c>
      <c r="F820" t="s">
        <v>1261</v>
      </c>
      <c r="G820" t="s">
        <v>280</v>
      </c>
      <c r="H820" t="s">
        <v>1262</v>
      </c>
      <c r="I820" t="s">
        <v>373</v>
      </c>
      <c r="J820"/>
      <c r="K820">
        <v>1</v>
      </c>
      <c r="L820">
        <v>1</v>
      </c>
      <c r="M820" t="s">
        <v>33</v>
      </c>
      <c r="N820">
        <v>1</v>
      </c>
      <c r="O820">
        <v>0.5</v>
      </c>
      <c r="P820">
        <v>0.5</v>
      </c>
      <c r="Q820"/>
      <c r="R820">
        <v>0</v>
      </c>
      <c r="S820">
        <v>0</v>
      </c>
      <c r="T820"/>
      <c r="U820"/>
      <c r="V820"/>
      <c r="W820"/>
      <c r="X820">
        <v>0</v>
      </c>
      <c r="Y820"/>
      <c r="Z820">
        <v>0</v>
      </c>
      <c r="AA820"/>
      <c r="AB820"/>
      <c r="AC820"/>
      <c r="AD820"/>
      <c r="AE820">
        <v>0</v>
      </c>
      <c r="AF820"/>
      <c r="AG820"/>
      <c r="AH820"/>
    </row>
    <row r="821" spans="1:34" x14ac:dyDescent="0.25">
      <c r="A821" t="s">
        <v>3428</v>
      </c>
      <c r="B821" t="s">
        <v>3429</v>
      </c>
      <c r="C821"/>
      <c r="D821" t="s">
        <v>370</v>
      </c>
      <c r="E821" t="s">
        <v>1219</v>
      </c>
      <c r="F821" t="s">
        <v>1261</v>
      </c>
      <c r="G821" t="s">
        <v>280</v>
      </c>
      <c r="H821" t="s">
        <v>1262</v>
      </c>
      <c r="I821" t="s">
        <v>373</v>
      </c>
      <c r="J821"/>
      <c r="K821">
        <v>1</v>
      </c>
      <c r="L821">
        <v>1</v>
      </c>
      <c r="M821" t="s">
        <v>33</v>
      </c>
      <c r="N821">
        <v>1</v>
      </c>
      <c r="O821">
        <v>0.5</v>
      </c>
      <c r="P821">
        <v>0.5</v>
      </c>
      <c r="Q821"/>
      <c r="R821">
        <v>0</v>
      </c>
      <c r="S821">
        <v>0</v>
      </c>
      <c r="T821"/>
      <c r="U821"/>
      <c r="V821"/>
      <c r="W821"/>
      <c r="X821">
        <v>0</v>
      </c>
      <c r="Y821"/>
      <c r="Z821">
        <v>0</v>
      </c>
      <c r="AA821"/>
      <c r="AB821"/>
      <c r="AC821"/>
      <c r="AD821"/>
      <c r="AE821">
        <v>0</v>
      </c>
      <c r="AF821"/>
      <c r="AG821"/>
      <c r="AH821"/>
    </row>
    <row r="822" spans="1:34" x14ac:dyDescent="0.25">
      <c r="A822" t="s">
        <v>1945</v>
      </c>
      <c r="B822" t="s">
        <v>1946</v>
      </c>
      <c r="C822"/>
      <c r="D822" t="s">
        <v>370</v>
      </c>
      <c r="E822" t="s">
        <v>1219</v>
      </c>
      <c r="F822" t="s">
        <v>1263</v>
      </c>
      <c r="G822" t="s">
        <v>280</v>
      </c>
      <c r="H822" t="s">
        <v>1264</v>
      </c>
      <c r="I822" t="s">
        <v>373</v>
      </c>
      <c r="J822"/>
      <c r="K822">
        <v>1</v>
      </c>
      <c r="L822">
        <v>1</v>
      </c>
      <c r="M822" t="s">
        <v>33</v>
      </c>
      <c r="N822">
        <v>1</v>
      </c>
      <c r="O822">
        <v>0.5</v>
      </c>
      <c r="P822">
        <v>0.5</v>
      </c>
      <c r="Q822"/>
      <c r="R822">
        <v>0</v>
      </c>
      <c r="S822">
        <v>0</v>
      </c>
      <c r="T822"/>
      <c r="U822"/>
      <c r="V822"/>
      <c r="W822"/>
      <c r="X822">
        <v>0</v>
      </c>
      <c r="Y822"/>
      <c r="Z822">
        <v>0</v>
      </c>
      <c r="AA822"/>
      <c r="AB822"/>
      <c r="AC822"/>
      <c r="AD822"/>
      <c r="AE822">
        <v>0</v>
      </c>
      <c r="AF822"/>
      <c r="AG822"/>
      <c r="AH822"/>
    </row>
    <row r="823" spans="1:34" x14ac:dyDescent="0.25">
      <c r="A823" t="s">
        <v>3428</v>
      </c>
      <c r="B823" t="s">
        <v>3429</v>
      </c>
      <c r="C823"/>
      <c r="D823" t="s">
        <v>370</v>
      </c>
      <c r="E823" t="s">
        <v>1219</v>
      </c>
      <c r="F823" t="s">
        <v>1263</v>
      </c>
      <c r="G823" t="s">
        <v>280</v>
      </c>
      <c r="H823" t="s">
        <v>1264</v>
      </c>
      <c r="I823" t="s">
        <v>373</v>
      </c>
      <c r="J823"/>
      <c r="K823">
        <v>1</v>
      </c>
      <c r="L823">
        <v>1</v>
      </c>
      <c r="M823" t="s">
        <v>33</v>
      </c>
      <c r="N823">
        <v>1</v>
      </c>
      <c r="O823">
        <v>0.5</v>
      </c>
      <c r="P823">
        <v>0.5</v>
      </c>
      <c r="Q823"/>
      <c r="R823">
        <v>0</v>
      </c>
      <c r="S823">
        <v>0</v>
      </c>
      <c r="T823"/>
      <c r="U823"/>
      <c r="V823"/>
      <c r="W823"/>
      <c r="X823">
        <v>0</v>
      </c>
      <c r="Y823"/>
      <c r="Z823">
        <v>0</v>
      </c>
      <c r="AA823"/>
      <c r="AB823"/>
      <c r="AC823"/>
      <c r="AD823"/>
      <c r="AE823">
        <v>0</v>
      </c>
      <c r="AF823"/>
      <c r="AG823"/>
      <c r="AH823"/>
    </row>
    <row r="824" spans="1:34" x14ac:dyDescent="0.25">
      <c r="A824" t="s">
        <v>1945</v>
      </c>
      <c r="B824" t="s">
        <v>1946</v>
      </c>
      <c r="C824"/>
      <c r="D824" t="s">
        <v>370</v>
      </c>
      <c r="E824" t="s">
        <v>1219</v>
      </c>
      <c r="F824" t="s">
        <v>1265</v>
      </c>
      <c r="G824" t="s">
        <v>280</v>
      </c>
      <c r="H824" t="s">
        <v>1266</v>
      </c>
      <c r="I824" t="s">
        <v>373</v>
      </c>
      <c r="J824"/>
      <c r="K824">
        <v>1</v>
      </c>
      <c r="L824">
        <v>1</v>
      </c>
      <c r="M824" t="s">
        <v>33</v>
      </c>
      <c r="N824">
        <v>1</v>
      </c>
      <c r="O824">
        <v>0.5</v>
      </c>
      <c r="P824">
        <v>0.5</v>
      </c>
      <c r="Q824"/>
      <c r="R824">
        <v>0</v>
      </c>
      <c r="S824">
        <v>0</v>
      </c>
      <c r="T824"/>
      <c r="U824"/>
      <c r="V824"/>
      <c r="W824"/>
      <c r="X824">
        <v>0</v>
      </c>
      <c r="Y824"/>
      <c r="Z824">
        <v>0</v>
      </c>
      <c r="AA824"/>
      <c r="AB824"/>
      <c r="AC824"/>
      <c r="AD824"/>
      <c r="AE824">
        <v>0</v>
      </c>
      <c r="AF824"/>
      <c r="AG824"/>
      <c r="AH824"/>
    </row>
    <row r="825" spans="1:34" x14ac:dyDescent="0.25">
      <c r="A825" t="s">
        <v>3428</v>
      </c>
      <c r="B825" t="s">
        <v>3429</v>
      </c>
      <c r="C825"/>
      <c r="D825" t="s">
        <v>370</v>
      </c>
      <c r="E825" t="s">
        <v>1219</v>
      </c>
      <c r="F825" t="s">
        <v>1265</v>
      </c>
      <c r="G825" t="s">
        <v>280</v>
      </c>
      <c r="H825" t="s">
        <v>1266</v>
      </c>
      <c r="I825" t="s">
        <v>373</v>
      </c>
      <c r="J825"/>
      <c r="K825">
        <v>1</v>
      </c>
      <c r="L825">
        <v>1</v>
      </c>
      <c r="M825" t="s">
        <v>33</v>
      </c>
      <c r="N825">
        <v>1</v>
      </c>
      <c r="O825">
        <v>0.5</v>
      </c>
      <c r="P825">
        <v>0.5</v>
      </c>
      <c r="Q825"/>
      <c r="R825">
        <v>0</v>
      </c>
      <c r="S825">
        <v>0</v>
      </c>
      <c r="T825"/>
      <c r="U825"/>
      <c r="V825"/>
      <c r="W825"/>
      <c r="X825">
        <v>0</v>
      </c>
      <c r="Y825"/>
      <c r="Z825">
        <v>0</v>
      </c>
      <c r="AA825"/>
      <c r="AB825"/>
      <c r="AC825"/>
      <c r="AD825"/>
      <c r="AE825">
        <v>0</v>
      </c>
      <c r="AF825"/>
      <c r="AG825"/>
      <c r="AH825"/>
    </row>
    <row r="826" spans="1:34" x14ac:dyDescent="0.25">
      <c r="A826" t="s">
        <v>1945</v>
      </c>
      <c r="B826" t="s">
        <v>1946</v>
      </c>
      <c r="C826"/>
      <c r="D826" t="s">
        <v>370</v>
      </c>
      <c r="E826" t="s">
        <v>1219</v>
      </c>
      <c r="F826" t="s">
        <v>1267</v>
      </c>
      <c r="G826" t="s">
        <v>280</v>
      </c>
      <c r="H826" t="s">
        <v>1268</v>
      </c>
      <c r="I826" t="s">
        <v>373</v>
      </c>
      <c r="J826"/>
      <c r="K826">
        <v>1</v>
      </c>
      <c r="L826">
        <v>1</v>
      </c>
      <c r="M826" t="s">
        <v>33</v>
      </c>
      <c r="N826">
        <v>1</v>
      </c>
      <c r="O826">
        <v>0.5</v>
      </c>
      <c r="P826">
        <v>0.5</v>
      </c>
      <c r="Q826"/>
      <c r="R826">
        <v>0</v>
      </c>
      <c r="S826">
        <v>0</v>
      </c>
      <c r="T826"/>
      <c r="U826"/>
      <c r="V826"/>
      <c r="W826"/>
      <c r="X826">
        <v>0</v>
      </c>
      <c r="Y826"/>
      <c r="Z826">
        <v>0</v>
      </c>
      <c r="AA826"/>
      <c r="AB826"/>
      <c r="AC826"/>
      <c r="AD826"/>
      <c r="AE826">
        <v>0</v>
      </c>
      <c r="AF826"/>
      <c r="AG826"/>
      <c r="AH826"/>
    </row>
    <row r="827" spans="1:34" x14ac:dyDescent="0.25">
      <c r="A827" t="s">
        <v>3428</v>
      </c>
      <c r="B827" t="s">
        <v>3429</v>
      </c>
      <c r="C827"/>
      <c r="D827" t="s">
        <v>370</v>
      </c>
      <c r="E827" t="s">
        <v>1219</v>
      </c>
      <c r="F827" t="s">
        <v>1267</v>
      </c>
      <c r="G827" t="s">
        <v>280</v>
      </c>
      <c r="H827" t="s">
        <v>1268</v>
      </c>
      <c r="I827" t="s">
        <v>373</v>
      </c>
      <c r="J827"/>
      <c r="K827">
        <v>1</v>
      </c>
      <c r="L827">
        <v>1</v>
      </c>
      <c r="M827" t="s">
        <v>33</v>
      </c>
      <c r="N827">
        <v>1</v>
      </c>
      <c r="O827">
        <v>0.5</v>
      </c>
      <c r="P827">
        <v>0.5</v>
      </c>
      <c r="Q827"/>
      <c r="R827">
        <v>0</v>
      </c>
      <c r="S827">
        <v>0</v>
      </c>
      <c r="T827"/>
      <c r="U827"/>
      <c r="V827"/>
      <c r="W827"/>
      <c r="X827">
        <v>0</v>
      </c>
      <c r="Y827"/>
      <c r="Z827">
        <v>0</v>
      </c>
      <c r="AA827"/>
      <c r="AB827"/>
      <c r="AC827"/>
      <c r="AD827"/>
      <c r="AE827">
        <v>0</v>
      </c>
      <c r="AF827"/>
      <c r="AG827"/>
      <c r="AH827"/>
    </row>
    <row r="828" spans="1:34" x14ac:dyDescent="0.25">
      <c r="A828" t="s">
        <v>1945</v>
      </c>
      <c r="B828" t="s">
        <v>1946</v>
      </c>
      <c r="C828"/>
      <c r="D828" t="s">
        <v>370</v>
      </c>
      <c r="E828" t="s">
        <v>1219</v>
      </c>
      <c r="F828" t="s">
        <v>1269</v>
      </c>
      <c r="G828" t="s">
        <v>280</v>
      </c>
      <c r="H828" t="s">
        <v>1270</v>
      </c>
      <c r="I828" t="s">
        <v>373</v>
      </c>
      <c r="J828"/>
      <c r="K828">
        <v>1</v>
      </c>
      <c r="L828">
        <v>1</v>
      </c>
      <c r="M828" t="s">
        <v>33</v>
      </c>
      <c r="N828">
        <v>1</v>
      </c>
      <c r="O828">
        <v>0.5</v>
      </c>
      <c r="P828">
        <v>0.5</v>
      </c>
      <c r="Q828"/>
      <c r="R828">
        <v>0</v>
      </c>
      <c r="S828">
        <v>0</v>
      </c>
      <c r="T828"/>
      <c r="U828"/>
      <c r="V828"/>
      <c r="W828"/>
      <c r="X828">
        <v>0</v>
      </c>
      <c r="Y828"/>
      <c r="Z828">
        <v>0</v>
      </c>
      <c r="AA828"/>
      <c r="AB828"/>
      <c r="AC828"/>
      <c r="AD828"/>
      <c r="AE828">
        <v>0</v>
      </c>
      <c r="AF828"/>
      <c r="AG828"/>
      <c r="AH828"/>
    </row>
    <row r="829" spans="1:34" x14ac:dyDescent="0.25">
      <c r="A829" t="s">
        <v>3428</v>
      </c>
      <c r="B829" t="s">
        <v>3429</v>
      </c>
      <c r="C829"/>
      <c r="D829" t="s">
        <v>370</v>
      </c>
      <c r="E829" t="s">
        <v>1219</v>
      </c>
      <c r="F829" t="s">
        <v>1269</v>
      </c>
      <c r="G829" t="s">
        <v>280</v>
      </c>
      <c r="H829" t="s">
        <v>1270</v>
      </c>
      <c r="I829" t="s">
        <v>373</v>
      </c>
      <c r="J829"/>
      <c r="K829">
        <v>1</v>
      </c>
      <c r="L829">
        <v>1</v>
      </c>
      <c r="M829" t="s">
        <v>33</v>
      </c>
      <c r="N829">
        <v>1</v>
      </c>
      <c r="O829">
        <v>0.5</v>
      </c>
      <c r="P829">
        <v>0.5</v>
      </c>
      <c r="Q829"/>
      <c r="R829">
        <v>0</v>
      </c>
      <c r="S829">
        <v>0</v>
      </c>
      <c r="T829"/>
      <c r="U829"/>
      <c r="V829"/>
      <c r="W829"/>
      <c r="X829">
        <v>0</v>
      </c>
      <c r="Y829"/>
      <c r="Z829">
        <v>0</v>
      </c>
      <c r="AA829"/>
      <c r="AB829"/>
      <c r="AC829"/>
      <c r="AD829"/>
      <c r="AE829">
        <v>0</v>
      </c>
      <c r="AF829"/>
      <c r="AG829"/>
      <c r="AH829"/>
    </row>
    <row r="830" spans="1:34" x14ac:dyDescent="0.25">
      <c r="A830" t="s">
        <v>1945</v>
      </c>
      <c r="B830" t="s">
        <v>1946</v>
      </c>
      <c r="C830"/>
      <c r="D830" t="s">
        <v>370</v>
      </c>
      <c r="E830" t="s">
        <v>1219</v>
      </c>
      <c r="F830" t="s">
        <v>1271</v>
      </c>
      <c r="G830" t="s">
        <v>280</v>
      </c>
      <c r="H830" t="s">
        <v>1272</v>
      </c>
      <c r="I830" t="s">
        <v>373</v>
      </c>
      <c r="J830"/>
      <c r="K830">
        <v>1</v>
      </c>
      <c r="L830">
        <v>1</v>
      </c>
      <c r="M830" t="s">
        <v>33</v>
      </c>
      <c r="N830">
        <v>1</v>
      </c>
      <c r="O830">
        <v>0.5</v>
      </c>
      <c r="P830">
        <v>0.5</v>
      </c>
      <c r="Q830"/>
      <c r="R830">
        <v>0</v>
      </c>
      <c r="S830">
        <v>0</v>
      </c>
      <c r="T830"/>
      <c r="U830"/>
      <c r="V830"/>
      <c r="W830"/>
      <c r="X830">
        <v>0</v>
      </c>
      <c r="Y830"/>
      <c r="Z830">
        <v>0</v>
      </c>
      <c r="AA830"/>
      <c r="AB830"/>
      <c r="AC830"/>
      <c r="AD830"/>
      <c r="AE830">
        <v>0</v>
      </c>
      <c r="AF830"/>
      <c r="AG830"/>
      <c r="AH830"/>
    </row>
    <row r="831" spans="1:34" x14ac:dyDescent="0.25">
      <c r="A831" t="s">
        <v>3428</v>
      </c>
      <c r="B831" t="s">
        <v>3429</v>
      </c>
      <c r="C831"/>
      <c r="D831" t="s">
        <v>370</v>
      </c>
      <c r="E831" t="s">
        <v>1219</v>
      </c>
      <c r="F831" t="s">
        <v>1271</v>
      </c>
      <c r="G831" t="s">
        <v>280</v>
      </c>
      <c r="H831" t="s">
        <v>1272</v>
      </c>
      <c r="I831" t="s">
        <v>373</v>
      </c>
      <c r="J831"/>
      <c r="K831">
        <v>1</v>
      </c>
      <c r="L831">
        <v>1</v>
      </c>
      <c r="M831" t="s">
        <v>33</v>
      </c>
      <c r="N831">
        <v>1</v>
      </c>
      <c r="O831">
        <v>0.5</v>
      </c>
      <c r="P831">
        <v>0.5</v>
      </c>
      <c r="Q831"/>
      <c r="R831">
        <v>0</v>
      </c>
      <c r="S831">
        <v>0</v>
      </c>
      <c r="T831"/>
      <c r="U831"/>
      <c r="V831"/>
      <c r="W831"/>
      <c r="X831">
        <v>0</v>
      </c>
      <c r="Y831"/>
      <c r="Z831">
        <v>0</v>
      </c>
      <c r="AA831"/>
      <c r="AB831"/>
      <c r="AC831"/>
      <c r="AD831"/>
      <c r="AE831">
        <v>0</v>
      </c>
      <c r="AF831"/>
      <c r="AG831"/>
      <c r="AH831"/>
    </row>
    <row r="832" spans="1:34" x14ac:dyDescent="0.25">
      <c r="A832" t="s">
        <v>1945</v>
      </c>
      <c r="B832" t="s">
        <v>1946</v>
      </c>
      <c r="C832"/>
      <c r="D832" t="s">
        <v>370</v>
      </c>
      <c r="E832" t="s">
        <v>1219</v>
      </c>
      <c r="F832" t="s">
        <v>1273</v>
      </c>
      <c r="G832" t="s">
        <v>280</v>
      </c>
      <c r="H832" t="s">
        <v>1274</v>
      </c>
      <c r="I832" t="s">
        <v>373</v>
      </c>
      <c r="J832"/>
      <c r="K832">
        <v>1</v>
      </c>
      <c r="L832">
        <v>1</v>
      </c>
      <c r="M832" t="s">
        <v>33</v>
      </c>
      <c r="N832">
        <v>1</v>
      </c>
      <c r="O832">
        <v>0.5</v>
      </c>
      <c r="P832">
        <v>0.5</v>
      </c>
      <c r="Q832"/>
      <c r="R832">
        <v>0</v>
      </c>
      <c r="S832">
        <v>0</v>
      </c>
      <c r="T832"/>
      <c r="U832"/>
      <c r="V832"/>
      <c r="W832"/>
      <c r="X832">
        <v>0</v>
      </c>
      <c r="Y832"/>
      <c r="Z832">
        <v>0</v>
      </c>
      <c r="AA832"/>
      <c r="AB832"/>
      <c r="AC832"/>
      <c r="AD832"/>
      <c r="AE832">
        <v>0</v>
      </c>
      <c r="AF832"/>
      <c r="AG832"/>
      <c r="AH832"/>
    </row>
    <row r="833" spans="1:34" x14ac:dyDescent="0.25">
      <c r="A833" t="s">
        <v>3428</v>
      </c>
      <c r="B833" t="s">
        <v>3429</v>
      </c>
      <c r="C833"/>
      <c r="D833" t="s">
        <v>370</v>
      </c>
      <c r="E833" t="s">
        <v>1219</v>
      </c>
      <c r="F833" t="s">
        <v>1273</v>
      </c>
      <c r="G833" t="s">
        <v>280</v>
      </c>
      <c r="H833" t="s">
        <v>1274</v>
      </c>
      <c r="I833" t="s">
        <v>373</v>
      </c>
      <c r="J833"/>
      <c r="K833">
        <v>1</v>
      </c>
      <c r="L833">
        <v>1</v>
      </c>
      <c r="M833" t="s">
        <v>33</v>
      </c>
      <c r="N833">
        <v>1</v>
      </c>
      <c r="O833">
        <v>0.5</v>
      </c>
      <c r="P833">
        <v>0.5</v>
      </c>
      <c r="Q833"/>
      <c r="R833">
        <v>0</v>
      </c>
      <c r="S833">
        <v>0</v>
      </c>
      <c r="T833"/>
      <c r="U833"/>
      <c r="V833"/>
      <c r="W833"/>
      <c r="X833">
        <v>0</v>
      </c>
      <c r="Y833"/>
      <c r="Z833">
        <v>0</v>
      </c>
      <c r="AA833"/>
      <c r="AB833"/>
      <c r="AC833"/>
      <c r="AD833"/>
      <c r="AE833">
        <v>0</v>
      </c>
      <c r="AF833"/>
      <c r="AG833"/>
      <c r="AH833"/>
    </row>
    <row r="834" spans="1:34" x14ac:dyDescent="0.25">
      <c r="A834" t="s">
        <v>1945</v>
      </c>
      <c r="B834" t="s">
        <v>1946</v>
      </c>
      <c r="C834"/>
      <c r="D834" t="s">
        <v>370</v>
      </c>
      <c r="E834" t="s">
        <v>1275</v>
      </c>
      <c r="F834" t="s">
        <v>992</v>
      </c>
      <c r="G834" t="s">
        <v>280</v>
      </c>
      <c r="H834" t="s">
        <v>1276</v>
      </c>
      <c r="I834" t="s">
        <v>373</v>
      </c>
      <c r="J834"/>
      <c r="K834">
        <v>1</v>
      </c>
      <c r="L834">
        <v>1</v>
      </c>
      <c r="M834" t="s">
        <v>33</v>
      </c>
      <c r="N834">
        <v>1</v>
      </c>
      <c r="O834">
        <v>0.5</v>
      </c>
      <c r="P834">
        <v>0.5</v>
      </c>
      <c r="Q834"/>
      <c r="R834">
        <v>0</v>
      </c>
      <c r="S834">
        <v>0</v>
      </c>
      <c r="T834"/>
      <c r="U834"/>
      <c r="V834"/>
      <c r="W834"/>
      <c r="X834">
        <v>0</v>
      </c>
      <c r="Y834"/>
      <c r="Z834">
        <v>0</v>
      </c>
      <c r="AA834"/>
      <c r="AB834"/>
      <c r="AC834"/>
      <c r="AD834"/>
      <c r="AE834">
        <v>0</v>
      </c>
      <c r="AF834"/>
      <c r="AG834"/>
      <c r="AH834"/>
    </row>
    <row r="835" spans="1:34" x14ac:dyDescent="0.25">
      <c r="A835" t="s">
        <v>3432</v>
      </c>
      <c r="B835" t="s">
        <v>3433</v>
      </c>
      <c r="C835"/>
      <c r="D835" t="s">
        <v>370</v>
      </c>
      <c r="E835" t="s">
        <v>1275</v>
      </c>
      <c r="F835" t="s">
        <v>992</v>
      </c>
      <c r="G835" t="s">
        <v>280</v>
      </c>
      <c r="H835" t="s">
        <v>1276</v>
      </c>
      <c r="I835" t="s">
        <v>373</v>
      </c>
      <c r="J835"/>
      <c r="K835">
        <v>1</v>
      </c>
      <c r="L835">
        <v>1</v>
      </c>
      <c r="M835" t="s">
        <v>33</v>
      </c>
      <c r="N835">
        <v>1</v>
      </c>
      <c r="O835">
        <v>0.5</v>
      </c>
      <c r="P835">
        <v>0.5</v>
      </c>
      <c r="Q835"/>
      <c r="R835">
        <v>0</v>
      </c>
      <c r="S835">
        <v>0</v>
      </c>
      <c r="T835"/>
      <c r="U835"/>
      <c r="V835"/>
      <c r="W835"/>
      <c r="X835">
        <v>0</v>
      </c>
      <c r="Y835"/>
      <c r="Z835">
        <v>0</v>
      </c>
      <c r="AA835"/>
      <c r="AB835"/>
      <c r="AC835"/>
      <c r="AD835"/>
      <c r="AE835">
        <v>0</v>
      </c>
      <c r="AF835"/>
      <c r="AG835"/>
      <c r="AH835"/>
    </row>
    <row r="836" spans="1:34" x14ac:dyDescent="0.25">
      <c r="A836" t="s">
        <v>1945</v>
      </c>
      <c r="B836" t="s">
        <v>1946</v>
      </c>
      <c r="C836"/>
      <c r="D836" t="s">
        <v>370</v>
      </c>
      <c r="E836" t="s">
        <v>1275</v>
      </c>
      <c r="F836" t="s">
        <v>994</v>
      </c>
      <c r="G836" t="s">
        <v>280</v>
      </c>
      <c r="H836" t="s">
        <v>1277</v>
      </c>
      <c r="I836" t="s">
        <v>373</v>
      </c>
      <c r="J836"/>
      <c r="K836">
        <v>1</v>
      </c>
      <c r="L836">
        <v>1</v>
      </c>
      <c r="M836" t="s">
        <v>33</v>
      </c>
      <c r="N836">
        <v>1</v>
      </c>
      <c r="O836">
        <v>0.5</v>
      </c>
      <c r="P836">
        <v>0.5</v>
      </c>
      <c r="Q836"/>
      <c r="R836">
        <v>0</v>
      </c>
      <c r="S836">
        <v>0</v>
      </c>
      <c r="T836"/>
      <c r="U836"/>
      <c r="V836"/>
      <c r="W836"/>
      <c r="X836">
        <v>0</v>
      </c>
      <c r="Y836"/>
      <c r="Z836">
        <v>0</v>
      </c>
      <c r="AA836"/>
      <c r="AB836"/>
      <c r="AC836"/>
      <c r="AD836"/>
      <c r="AE836">
        <v>0</v>
      </c>
      <c r="AF836"/>
      <c r="AG836"/>
      <c r="AH836"/>
    </row>
    <row r="837" spans="1:34" x14ac:dyDescent="0.25">
      <c r="A837" t="s">
        <v>3432</v>
      </c>
      <c r="B837" t="s">
        <v>3433</v>
      </c>
      <c r="C837"/>
      <c r="D837" t="s">
        <v>370</v>
      </c>
      <c r="E837" t="s">
        <v>1275</v>
      </c>
      <c r="F837" t="s">
        <v>994</v>
      </c>
      <c r="G837" t="s">
        <v>280</v>
      </c>
      <c r="H837" t="s">
        <v>1277</v>
      </c>
      <c r="I837" t="s">
        <v>373</v>
      </c>
      <c r="J837"/>
      <c r="K837">
        <v>1</v>
      </c>
      <c r="L837">
        <v>1</v>
      </c>
      <c r="M837" t="s">
        <v>33</v>
      </c>
      <c r="N837">
        <v>1</v>
      </c>
      <c r="O837">
        <v>0.5</v>
      </c>
      <c r="P837">
        <v>0.5</v>
      </c>
      <c r="Q837"/>
      <c r="R837">
        <v>0</v>
      </c>
      <c r="S837">
        <v>0</v>
      </c>
      <c r="T837"/>
      <c r="U837"/>
      <c r="V837"/>
      <c r="W837"/>
      <c r="X837">
        <v>0</v>
      </c>
      <c r="Y837"/>
      <c r="Z837">
        <v>0</v>
      </c>
      <c r="AA837"/>
      <c r="AB837"/>
      <c r="AC837"/>
      <c r="AD837"/>
      <c r="AE837">
        <v>0</v>
      </c>
      <c r="AF837"/>
      <c r="AG837"/>
      <c r="AH837"/>
    </row>
    <row r="838" spans="1:34" x14ac:dyDescent="0.25">
      <c r="A838" t="s">
        <v>1945</v>
      </c>
      <c r="B838" t="s">
        <v>1946</v>
      </c>
      <c r="C838"/>
      <c r="D838" t="s">
        <v>370</v>
      </c>
      <c r="E838" t="s">
        <v>1275</v>
      </c>
      <c r="F838" t="s">
        <v>996</v>
      </c>
      <c r="G838" t="s">
        <v>280</v>
      </c>
      <c r="H838" t="s">
        <v>1278</v>
      </c>
      <c r="I838" t="s">
        <v>373</v>
      </c>
      <c r="J838"/>
      <c r="K838">
        <v>1</v>
      </c>
      <c r="L838">
        <v>1</v>
      </c>
      <c r="M838" t="s">
        <v>33</v>
      </c>
      <c r="N838">
        <v>1</v>
      </c>
      <c r="O838">
        <v>0.5</v>
      </c>
      <c r="P838">
        <v>0.5</v>
      </c>
      <c r="Q838"/>
      <c r="R838">
        <v>0</v>
      </c>
      <c r="S838">
        <v>0</v>
      </c>
      <c r="T838"/>
      <c r="U838"/>
      <c r="V838"/>
      <c r="W838"/>
      <c r="X838">
        <v>0</v>
      </c>
      <c r="Y838"/>
      <c r="Z838">
        <v>0</v>
      </c>
      <c r="AA838"/>
      <c r="AB838"/>
      <c r="AC838"/>
      <c r="AD838"/>
      <c r="AE838">
        <v>0</v>
      </c>
      <c r="AF838"/>
      <c r="AG838"/>
      <c r="AH838"/>
    </row>
    <row r="839" spans="1:34" x14ac:dyDescent="0.25">
      <c r="A839" t="s">
        <v>3432</v>
      </c>
      <c r="B839" t="s">
        <v>3433</v>
      </c>
      <c r="C839"/>
      <c r="D839" t="s">
        <v>370</v>
      </c>
      <c r="E839" t="s">
        <v>1275</v>
      </c>
      <c r="F839" t="s">
        <v>996</v>
      </c>
      <c r="G839" t="s">
        <v>280</v>
      </c>
      <c r="H839" t="s">
        <v>1278</v>
      </c>
      <c r="I839" t="s">
        <v>373</v>
      </c>
      <c r="J839"/>
      <c r="K839">
        <v>1</v>
      </c>
      <c r="L839">
        <v>1</v>
      </c>
      <c r="M839" t="s">
        <v>33</v>
      </c>
      <c r="N839">
        <v>1</v>
      </c>
      <c r="O839">
        <v>0.5</v>
      </c>
      <c r="P839">
        <v>0.5</v>
      </c>
      <c r="Q839"/>
      <c r="R839">
        <v>0</v>
      </c>
      <c r="S839">
        <v>0</v>
      </c>
      <c r="T839"/>
      <c r="U839"/>
      <c r="V839"/>
      <c r="W839"/>
      <c r="X839">
        <v>0</v>
      </c>
      <c r="Y839"/>
      <c r="Z839">
        <v>0</v>
      </c>
      <c r="AA839"/>
      <c r="AB839"/>
      <c r="AC839"/>
      <c r="AD839"/>
      <c r="AE839">
        <v>0</v>
      </c>
      <c r="AF839"/>
      <c r="AG839"/>
      <c r="AH839"/>
    </row>
    <row r="840" spans="1:34" x14ac:dyDescent="0.25">
      <c r="A840" t="s">
        <v>1945</v>
      </c>
      <c r="B840" t="s">
        <v>1946</v>
      </c>
      <c r="C840"/>
      <c r="D840" t="s">
        <v>370</v>
      </c>
      <c r="E840" t="s">
        <v>1275</v>
      </c>
      <c r="F840" t="s">
        <v>998</v>
      </c>
      <c r="G840" t="s">
        <v>280</v>
      </c>
      <c r="H840" t="s">
        <v>1279</v>
      </c>
      <c r="I840" t="s">
        <v>373</v>
      </c>
      <c r="J840"/>
      <c r="K840">
        <v>1</v>
      </c>
      <c r="L840">
        <v>1</v>
      </c>
      <c r="M840" t="s">
        <v>33</v>
      </c>
      <c r="N840">
        <v>1</v>
      </c>
      <c r="O840">
        <v>0.5</v>
      </c>
      <c r="P840">
        <v>0.5</v>
      </c>
      <c r="Q840"/>
      <c r="R840">
        <v>0</v>
      </c>
      <c r="S840">
        <v>0</v>
      </c>
      <c r="T840"/>
      <c r="U840"/>
      <c r="V840"/>
      <c r="W840"/>
      <c r="X840">
        <v>0</v>
      </c>
      <c r="Y840"/>
      <c r="Z840">
        <v>0</v>
      </c>
      <c r="AA840"/>
      <c r="AB840"/>
      <c r="AC840"/>
      <c r="AD840"/>
      <c r="AE840">
        <v>0</v>
      </c>
      <c r="AF840"/>
      <c r="AG840"/>
      <c r="AH840"/>
    </row>
    <row r="841" spans="1:34" x14ac:dyDescent="0.25">
      <c r="A841" t="s">
        <v>3432</v>
      </c>
      <c r="B841" t="s">
        <v>3433</v>
      </c>
      <c r="C841"/>
      <c r="D841" t="s">
        <v>370</v>
      </c>
      <c r="E841" t="s">
        <v>1275</v>
      </c>
      <c r="F841" t="s">
        <v>998</v>
      </c>
      <c r="G841" t="s">
        <v>280</v>
      </c>
      <c r="H841" t="s">
        <v>1279</v>
      </c>
      <c r="I841" t="s">
        <v>373</v>
      </c>
      <c r="J841"/>
      <c r="K841">
        <v>1</v>
      </c>
      <c r="L841">
        <v>1</v>
      </c>
      <c r="M841" t="s">
        <v>33</v>
      </c>
      <c r="N841">
        <v>1</v>
      </c>
      <c r="O841">
        <v>0.5</v>
      </c>
      <c r="P841">
        <v>0.5</v>
      </c>
      <c r="Q841"/>
      <c r="R841">
        <v>0</v>
      </c>
      <c r="S841">
        <v>0</v>
      </c>
      <c r="T841"/>
      <c r="U841"/>
      <c r="V841"/>
      <c r="W841"/>
      <c r="X841">
        <v>0</v>
      </c>
      <c r="Y841"/>
      <c r="Z841">
        <v>0</v>
      </c>
      <c r="AA841"/>
      <c r="AB841"/>
      <c r="AC841"/>
      <c r="AD841"/>
      <c r="AE841">
        <v>0</v>
      </c>
      <c r="AF841"/>
      <c r="AG841"/>
      <c r="AH841"/>
    </row>
    <row r="842" spans="1:34" x14ac:dyDescent="0.25">
      <c r="A842" t="s">
        <v>1945</v>
      </c>
      <c r="B842" t="s">
        <v>1946</v>
      </c>
      <c r="C842"/>
      <c r="D842" t="s">
        <v>370</v>
      </c>
      <c r="E842" t="s">
        <v>1275</v>
      </c>
      <c r="F842" t="s">
        <v>1000</v>
      </c>
      <c r="G842" t="s">
        <v>280</v>
      </c>
      <c r="H842" t="s">
        <v>1280</v>
      </c>
      <c r="I842" t="s">
        <v>373</v>
      </c>
      <c r="J842"/>
      <c r="K842">
        <v>1</v>
      </c>
      <c r="L842">
        <v>1</v>
      </c>
      <c r="M842" t="s">
        <v>33</v>
      </c>
      <c r="N842">
        <v>1</v>
      </c>
      <c r="O842">
        <v>0.5</v>
      </c>
      <c r="P842">
        <v>0.5</v>
      </c>
      <c r="Q842"/>
      <c r="R842">
        <v>0</v>
      </c>
      <c r="S842">
        <v>0</v>
      </c>
      <c r="T842"/>
      <c r="U842"/>
      <c r="V842"/>
      <c r="W842"/>
      <c r="X842">
        <v>0</v>
      </c>
      <c r="Y842"/>
      <c r="Z842">
        <v>0</v>
      </c>
      <c r="AA842"/>
      <c r="AB842"/>
      <c r="AC842"/>
      <c r="AD842"/>
      <c r="AE842">
        <v>0</v>
      </c>
      <c r="AF842"/>
      <c r="AG842"/>
      <c r="AH842"/>
    </row>
    <row r="843" spans="1:34" x14ac:dyDescent="0.25">
      <c r="A843" t="s">
        <v>3432</v>
      </c>
      <c r="B843" t="s">
        <v>3433</v>
      </c>
      <c r="C843"/>
      <c r="D843" t="s">
        <v>370</v>
      </c>
      <c r="E843" t="s">
        <v>1275</v>
      </c>
      <c r="F843" t="s">
        <v>1000</v>
      </c>
      <c r="G843" t="s">
        <v>280</v>
      </c>
      <c r="H843" t="s">
        <v>1280</v>
      </c>
      <c r="I843" t="s">
        <v>373</v>
      </c>
      <c r="J843"/>
      <c r="K843">
        <v>1</v>
      </c>
      <c r="L843">
        <v>1</v>
      </c>
      <c r="M843" t="s">
        <v>33</v>
      </c>
      <c r="N843">
        <v>1</v>
      </c>
      <c r="O843">
        <v>0.5</v>
      </c>
      <c r="P843">
        <v>0.5</v>
      </c>
      <c r="Q843"/>
      <c r="R843">
        <v>0</v>
      </c>
      <c r="S843">
        <v>0</v>
      </c>
      <c r="T843"/>
      <c r="U843"/>
      <c r="V843"/>
      <c r="W843"/>
      <c r="X843">
        <v>0</v>
      </c>
      <c r="Y843"/>
      <c r="Z843">
        <v>0</v>
      </c>
      <c r="AA843"/>
      <c r="AB843"/>
      <c r="AC843"/>
      <c r="AD843"/>
      <c r="AE843">
        <v>0</v>
      </c>
      <c r="AF843"/>
      <c r="AG843"/>
      <c r="AH843"/>
    </row>
    <row r="844" spans="1:34" x14ac:dyDescent="0.25">
      <c r="A844" t="s">
        <v>1945</v>
      </c>
      <c r="B844" t="s">
        <v>1946</v>
      </c>
      <c r="C844"/>
      <c r="D844" t="s">
        <v>370</v>
      </c>
      <c r="E844" t="s">
        <v>1275</v>
      </c>
      <c r="F844" t="s">
        <v>1002</v>
      </c>
      <c r="G844" t="s">
        <v>280</v>
      </c>
      <c r="H844" t="s">
        <v>1281</v>
      </c>
      <c r="I844" t="s">
        <v>373</v>
      </c>
      <c r="J844"/>
      <c r="K844">
        <v>1</v>
      </c>
      <c r="L844">
        <v>1</v>
      </c>
      <c r="M844" t="s">
        <v>33</v>
      </c>
      <c r="N844">
        <v>1</v>
      </c>
      <c r="O844">
        <v>0.5</v>
      </c>
      <c r="P844">
        <v>0.5</v>
      </c>
      <c r="Q844"/>
      <c r="R844">
        <v>0</v>
      </c>
      <c r="S844">
        <v>0</v>
      </c>
      <c r="T844"/>
      <c r="U844"/>
      <c r="V844"/>
      <c r="W844"/>
      <c r="X844">
        <v>0</v>
      </c>
      <c r="Y844"/>
      <c r="Z844">
        <v>0</v>
      </c>
      <c r="AA844"/>
      <c r="AB844"/>
      <c r="AC844"/>
      <c r="AD844"/>
      <c r="AE844">
        <v>0</v>
      </c>
      <c r="AF844"/>
      <c r="AG844"/>
      <c r="AH844"/>
    </row>
    <row r="845" spans="1:34" x14ac:dyDescent="0.25">
      <c r="A845" t="s">
        <v>3432</v>
      </c>
      <c r="B845" t="s">
        <v>3433</v>
      </c>
      <c r="C845"/>
      <c r="D845" t="s">
        <v>370</v>
      </c>
      <c r="E845" t="s">
        <v>1275</v>
      </c>
      <c r="F845" t="s">
        <v>1002</v>
      </c>
      <c r="G845" t="s">
        <v>280</v>
      </c>
      <c r="H845" t="s">
        <v>1281</v>
      </c>
      <c r="I845" t="s">
        <v>373</v>
      </c>
      <c r="J845"/>
      <c r="K845">
        <v>1</v>
      </c>
      <c r="L845">
        <v>1</v>
      </c>
      <c r="M845" t="s">
        <v>33</v>
      </c>
      <c r="N845">
        <v>1</v>
      </c>
      <c r="O845">
        <v>0.5</v>
      </c>
      <c r="P845">
        <v>0.5</v>
      </c>
      <c r="Q845"/>
      <c r="R845">
        <v>0</v>
      </c>
      <c r="S845">
        <v>0</v>
      </c>
      <c r="T845"/>
      <c r="U845"/>
      <c r="V845"/>
      <c r="W845"/>
      <c r="X845">
        <v>0</v>
      </c>
      <c r="Y845"/>
      <c r="Z845">
        <v>0</v>
      </c>
      <c r="AA845"/>
      <c r="AB845"/>
      <c r="AC845"/>
      <c r="AD845"/>
      <c r="AE845">
        <v>0</v>
      </c>
      <c r="AF845"/>
      <c r="AG845"/>
      <c r="AH845"/>
    </row>
    <row r="846" spans="1:34" x14ac:dyDescent="0.25">
      <c r="A846" t="s">
        <v>1945</v>
      </c>
      <c r="B846" t="s">
        <v>1946</v>
      </c>
      <c r="C846"/>
      <c r="D846" t="s">
        <v>370</v>
      </c>
      <c r="E846" t="s">
        <v>1275</v>
      </c>
      <c r="F846" t="s">
        <v>1004</v>
      </c>
      <c r="G846" t="s">
        <v>280</v>
      </c>
      <c r="H846" t="s">
        <v>1282</v>
      </c>
      <c r="I846" t="s">
        <v>373</v>
      </c>
      <c r="J846"/>
      <c r="K846">
        <v>1</v>
      </c>
      <c r="L846">
        <v>1</v>
      </c>
      <c r="M846" t="s">
        <v>33</v>
      </c>
      <c r="N846">
        <v>1</v>
      </c>
      <c r="O846">
        <v>0.5</v>
      </c>
      <c r="P846">
        <v>0.5</v>
      </c>
      <c r="Q846"/>
      <c r="R846">
        <v>0</v>
      </c>
      <c r="S846">
        <v>0</v>
      </c>
      <c r="T846"/>
      <c r="U846"/>
      <c r="V846"/>
      <c r="W846"/>
      <c r="X846">
        <v>0</v>
      </c>
      <c r="Y846"/>
      <c r="Z846">
        <v>0</v>
      </c>
      <c r="AA846"/>
      <c r="AB846"/>
      <c r="AC846"/>
      <c r="AD846"/>
      <c r="AE846">
        <v>0</v>
      </c>
      <c r="AF846"/>
      <c r="AG846"/>
      <c r="AH846"/>
    </row>
    <row r="847" spans="1:34" x14ac:dyDescent="0.25">
      <c r="A847" t="s">
        <v>3432</v>
      </c>
      <c r="B847" t="s">
        <v>3433</v>
      </c>
      <c r="C847"/>
      <c r="D847" t="s">
        <v>370</v>
      </c>
      <c r="E847" t="s">
        <v>1275</v>
      </c>
      <c r="F847" t="s">
        <v>1004</v>
      </c>
      <c r="G847" t="s">
        <v>280</v>
      </c>
      <c r="H847" t="s">
        <v>1282</v>
      </c>
      <c r="I847" t="s">
        <v>373</v>
      </c>
      <c r="J847"/>
      <c r="K847">
        <v>1</v>
      </c>
      <c r="L847">
        <v>1</v>
      </c>
      <c r="M847" t="s">
        <v>33</v>
      </c>
      <c r="N847">
        <v>1</v>
      </c>
      <c r="O847">
        <v>0.5</v>
      </c>
      <c r="P847">
        <v>0.5</v>
      </c>
      <c r="Q847"/>
      <c r="R847">
        <v>0</v>
      </c>
      <c r="S847">
        <v>0</v>
      </c>
      <c r="T847"/>
      <c r="U847"/>
      <c r="V847"/>
      <c r="W847"/>
      <c r="X847">
        <v>0</v>
      </c>
      <c r="Y847"/>
      <c r="Z847">
        <v>0</v>
      </c>
      <c r="AA847"/>
      <c r="AB847"/>
      <c r="AC847"/>
      <c r="AD847"/>
      <c r="AE847">
        <v>0</v>
      </c>
      <c r="AF847"/>
      <c r="AG847"/>
      <c r="AH847"/>
    </row>
    <row r="848" spans="1:34" x14ac:dyDescent="0.25">
      <c r="A848" t="s">
        <v>1945</v>
      </c>
      <c r="B848" t="s">
        <v>1946</v>
      </c>
      <c r="C848"/>
      <c r="D848" t="s">
        <v>370</v>
      </c>
      <c r="E848" t="s">
        <v>1275</v>
      </c>
      <c r="F848" t="s">
        <v>1006</v>
      </c>
      <c r="G848" t="s">
        <v>280</v>
      </c>
      <c r="H848" t="s">
        <v>1283</v>
      </c>
      <c r="I848" t="s">
        <v>373</v>
      </c>
      <c r="J848"/>
      <c r="K848">
        <v>1</v>
      </c>
      <c r="L848">
        <v>1</v>
      </c>
      <c r="M848" t="s">
        <v>33</v>
      </c>
      <c r="N848">
        <v>1</v>
      </c>
      <c r="O848">
        <v>0.5</v>
      </c>
      <c r="P848">
        <v>0.5</v>
      </c>
      <c r="Q848"/>
      <c r="R848">
        <v>0</v>
      </c>
      <c r="S848">
        <v>0</v>
      </c>
      <c r="T848"/>
      <c r="U848"/>
      <c r="V848"/>
      <c r="W848"/>
      <c r="X848">
        <v>0</v>
      </c>
      <c r="Y848"/>
      <c r="Z848">
        <v>0</v>
      </c>
      <c r="AA848"/>
      <c r="AB848"/>
      <c r="AC848"/>
      <c r="AD848"/>
      <c r="AE848">
        <v>0</v>
      </c>
      <c r="AF848"/>
      <c r="AG848"/>
      <c r="AH848"/>
    </row>
    <row r="849" spans="1:34" x14ac:dyDescent="0.25">
      <c r="A849" t="s">
        <v>3432</v>
      </c>
      <c r="B849" t="s">
        <v>3433</v>
      </c>
      <c r="C849"/>
      <c r="D849" t="s">
        <v>370</v>
      </c>
      <c r="E849" t="s">
        <v>1275</v>
      </c>
      <c r="F849" t="s">
        <v>1006</v>
      </c>
      <c r="G849" t="s">
        <v>280</v>
      </c>
      <c r="H849" t="s">
        <v>1283</v>
      </c>
      <c r="I849" t="s">
        <v>373</v>
      </c>
      <c r="J849"/>
      <c r="K849">
        <v>1</v>
      </c>
      <c r="L849">
        <v>1</v>
      </c>
      <c r="M849" t="s">
        <v>33</v>
      </c>
      <c r="N849">
        <v>1</v>
      </c>
      <c r="O849">
        <v>0.5</v>
      </c>
      <c r="P849">
        <v>0.5</v>
      </c>
      <c r="Q849"/>
      <c r="R849">
        <v>0</v>
      </c>
      <c r="S849">
        <v>0</v>
      </c>
      <c r="T849"/>
      <c r="U849"/>
      <c r="V849"/>
      <c r="W849"/>
      <c r="X849">
        <v>0</v>
      </c>
      <c r="Y849"/>
      <c r="Z849">
        <v>0</v>
      </c>
      <c r="AA849"/>
      <c r="AB849"/>
      <c r="AC849"/>
      <c r="AD849"/>
      <c r="AE849">
        <v>0</v>
      </c>
      <c r="AF849"/>
      <c r="AG849"/>
      <c r="AH849"/>
    </row>
    <row r="850" spans="1:34" x14ac:dyDescent="0.25">
      <c r="A850" t="s">
        <v>1945</v>
      </c>
      <c r="B850" t="s">
        <v>1946</v>
      </c>
      <c r="C850"/>
      <c r="D850" t="s">
        <v>370</v>
      </c>
      <c r="E850" t="s">
        <v>1275</v>
      </c>
      <c r="F850" t="s">
        <v>1008</v>
      </c>
      <c r="G850" t="s">
        <v>280</v>
      </c>
      <c r="H850" t="s">
        <v>1284</v>
      </c>
      <c r="I850" t="s">
        <v>373</v>
      </c>
      <c r="J850"/>
      <c r="K850">
        <v>1</v>
      </c>
      <c r="L850">
        <v>1</v>
      </c>
      <c r="M850" t="s">
        <v>33</v>
      </c>
      <c r="N850">
        <v>1</v>
      </c>
      <c r="O850">
        <v>0.5</v>
      </c>
      <c r="P850">
        <v>0.5</v>
      </c>
      <c r="Q850"/>
      <c r="R850">
        <v>0</v>
      </c>
      <c r="S850">
        <v>0</v>
      </c>
      <c r="T850"/>
      <c r="U850"/>
      <c r="V850"/>
      <c r="W850"/>
      <c r="X850">
        <v>0</v>
      </c>
      <c r="Y850"/>
      <c r="Z850">
        <v>0</v>
      </c>
      <c r="AA850"/>
      <c r="AB850"/>
      <c r="AC850"/>
      <c r="AD850"/>
      <c r="AE850">
        <v>0</v>
      </c>
      <c r="AF850"/>
      <c r="AG850"/>
      <c r="AH850"/>
    </row>
    <row r="851" spans="1:34" x14ac:dyDescent="0.25">
      <c r="A851" t="s">
        <v>3432</v>
      </c>
      <c r="B851" t="s">
        <v>3433</v>
      </c>
      <c r="C851"/>
      <c r="D851" t="s">
        <v>370</v>
      </c>
      <c r="E851" t="s">
        <v>1275</v>
      </c>
      <c r="F851" t="s">
        <v>1008</v>
      </c>
      <c r="G851" t="s">
        <v>280</v>
      </c>
      <c r="H851" t="s">
        <v>1284</v>
      </c>
      <c r="I851" t="s">
        <v>373</v>
      </c>
      <c r="J851"/>
      <c r="K851">
        <v>1</v>
      </c>
      <c r="L851">
        <v>1</v>
      </c>
      <c r="M851" t="s">
        <v>33</v>
      </c>
      <c r="N851">
        <v>1</v>
      </c>
      <c r="O851">
        <v>0.5</v>
      </c>
      <c r="P851">
        <v>0.5</v>
      </c>
      <c r="Q851"/>
      <c r="R851">
        <v>0</v>
      </c>
      <c r="S851">
        <v>0</v>
      </c>
      <c r="T851"/>
      <c r="U851"/>
      <c r="V851"/>
      <c r="W851"/>
      <c r="X851">
        <v>0</v>
      </c>
      <c r="Y851"/>
      <c r="Z851">
        <v>0</v>
      </c>
      <c r="AA851"/>
      <c r="AB851"/>
      <c r="AC851"/>
      <c r="AD851"/>
      <c r="AE851">
        <v>0</v>
      </c>
      <c r="AF851"/>
      <c r="AG851"/>
      <c r="AH851"/>
    </row>
    <row r="852" spans="1:34" x14ac:dyDescent="0.25">
      <c r="A852" t="s">
        <v>1945</v>
      </c>
      <c r="B852" t="s">
        <v>1946</v>
      </c>
      <c r="C852"/>
      <c r="D852" t="s">
        <v>370</v>
      </c>
      <c r="E852" t="s">
        <v>1275</v>
      </c>
      <c r="F852" t="s">
        <v>1010</v>
      </c>
      <c r="G852" t="s">
        <v>280</v>
      </c>
      <c r="H852" t="s">
        <v>1285</v>
      </c>
      <c r="I852" t="s">
        <v>373</v>
      </c>
      <c r="J852"/>
      <c r="K852">
        <v>1</v>
      </c>
      <c r="L852">
        <v>1</v>
      </c>
      <c r="M852" t="s">
        <v>33</v>
      </c>
      <c r="N852">
        <v>1</v>
      </c>
      <c r="O852">
        <v>0.5</v>
      </c>
      <c r="P852">
        <v>0.5</v>
      </c>
      <c r="Q852"/>
      <c r="R852">
        <v>0</v>
      </c>
      <c r="S852">
        <v>0</v>
      </c>
      <c r="T852"/>
      <c r="U852"/>
      <c r="V852"/>
      <c r="W852"/>
      <c r="X852">
        <v>0</v>
      </c>
      <c r="Y852"/>
      <c r="Z852">
        <v>0</v>
      </c>
      <c r="AA852"/>
      <c r="AB852"/>
      <c r="AC852"/>
      <c r="AD852"/>
      <c r="AE852">
        <v>0</v>
      </c>
      <c r="AF852"/>
      <c r="AG852"/>
      <c r="AH852"/>
    </row>
    <row r="853" spans="1:34" x14ac:dyDescent="0.25">
      <c r="A853" t="s">
        <v>3432</v>
      </c>
      <c r="B853" t="s">
        <v>3433</v>
      </c>
      <c r="C853"/>
      <c r="D853" t="s">
        <v>370</v>
      </c>
      <c r="E853" t="s">
        <v>1275</v>
      </c>
      <c r="F853" t="s">
        <v>1010</v>
      </c>
      <c r="G853" t="s">
        <v>280</v>
      </c>
      <c r="H853" t="s">
        <v>1285</v>
      </c>
      <c r="I853" t="s">
        <v>373</v>
      </c>
      <c r="J853"/>
      <c r="K853">
        <v>1</v>
      </c>
      <c r="L853">
        <v>1</v>
      </c>
      <c r="M853" t="s">
        <v>33</v>
      </c>
      <c r="N853">
        <v>1</v>
      </c>
      <c r="O853">
        <v>0.5</v>
      </c>
      <c r="P853">
        <v>0.5</v>
      </c>
      <c r="Q853"/>
      <c r="R853">
        <v>0</v>
      </c>
      <c r="S853">
        <v>0</v>
      </c>
      <c r="T853"/>
      <c r="U853"/>
      <c r="V853"/>
      <c r="W853"/>
      <c r="X853">
        <v>0</v>
      </c>
      <c r="Y853"/>
      <c r="Z853">
        <v>0</v>
      </c>
      <c r="AA853"/>
      <c r="AB853"/>
      <c r="AC853"/>
      <c r="AD853"/>
      <c r="AE853">
        <v>0</v>
      </c>
      <c r="AF853"/>
      <c r="AG853"/>
      <c r="AH853"/>
    </row>
    <row r="854" spans="1:34" x14ac:dyDescent="0.25">
      <c r="A854" t="s">
        <v>1945</v>
      </c>
      <c r="B854" t="s">
        <v>1946</v>
      </c>
      <c r="C854"/>
      <c r="D854" t="s">
        <v>370</v>
      </c>
      <c r="E854" t="s">
        <v>1275</v>
      </c>
      <c r="F854" t="s">
        <v>1012</v>
      </c>
      <c r="G854" t="s">
        <v>280</v>
      </c>
      <c r="H854" t="s">
        <v>1286</v>
      </c>
      <c r="I854" t="s">
        <v>373</v>
      </c>
      <c r="J854"/>
      <c r="K854">
        <v>1</v>
      </c>
      <c r="L854">
        <v>1</v>
      </c>
      <c r="M854" t="s">
        <v>33</v>
      </c>
      <c r="N854">
        <v>1</v>
      </c>
      <c r="O854">
        <v>0.5</v>
      </c>
      <c r="P854">
        <v>0.5</v>
      </c>
      <c r="Q854"/>
      <c r="R854">
        <v>0</v>
      </c>
      <c r="S854">
        <v>0</v>
      </c>
      <c r="T854"/>
      <c r="U854"/>
      <c r="V854"/>
      <c r="W854"/>
      <c r="X854">
        <v>0</v>
      </c>
      <c r="Y854"/>
      <c r="Z854">
        <v>0</v>
      </c>
      <c r="AA854"/>
      <c r="AB854"/>
      <c r="AC854"/>
      <c r="AD854"/>
      <c r="AE854">
        <v>0</v>
      </c>
      <c r="AF854"/>
      <c r="AG854"/>
      <c r="AH854"/>
    </row>
    <row r="855" spans="1:34" x14ac:dyDescent="0.25">
      <c r="A855" t="s">
        <v>3432</v>
      </c>
      <c r="B855" t="s">
        <v>3433</v>
      </c>
      <c r="C855"/>
      <c r="D855" t="s">
        <v>370</v>
      </c>
      <c r="E855" t="s">
        <v>1275</v>
      </c>
      <c r="F855" t="s">
        <v>1012</v>
      </c>
      <c r="G855" t="s">
        <v>280</v>
      </c>
      <c r="H855" t="s">
        <v>1286</v>
      </c>
      <c r="I855" t="s">
        <v>373</v>
      </c>
      <c r="J855"/>
      <c r="K855">
        <v>1</v>
      </c>
      <c r="L855">
        <v>1</v>
      </c>
      <c r="M855" t="s">
        <v>33</v>
      </c>
      <c r="N855">
        <v>1</v>
      </c>
      <c r="O855">
        <v>0.5</v>
      </c>
      <c r="P855">
        <v>0.5</v>
      </c>
      <c r="Q855"/>
      <c r="R855">
        <v>0</v>
      </c>
      <c r="S855">
        <v>0</v>
      </c>
      <c r="T855"/>
      <c r="U855"/>
      <c r="V855"/>
      <c r="W855"/>
      <c r="X855">
        <v>0</v>
      </c>
      <c r="Y855"/>
      <c r="Z855">
        <v>0</v>
      </c>
      <c r="AA855"/>
      <c r="AB855"/>
      <c r="AC855"/>
      <c r="AD855"/>
      <c r="AE855">
        <v>0</v>
      </c>
      <c r="AF855"/>
      <c r="AG855"/>
      <c r="AH855"/>
    </row>
    <row r="856" spans="1:34" s="172" customFormat="1" x14ac:dyDescent="0.25">
      <c r="A856" t="s">
        <v>1945</v>
      </c>
      <c r="B856" t="s">
        <v>1946</v>
      </c>
      <c r="C856"/>
      <c r="D856" t="s">
        <v>370</v>
      </c>
      <c r="E856" t="s">
        <v>1275</v>
      </c>
      <c r="F856" t="s">
        <v>1287</v>
      </c>
      <c r="G856" t="s">
        <v>280</v>
      </c>
      <c r="H856" t="s">
        <v>1288</v>
      </c>
      <c r="I856" t="s">
        <v>373</v>
      </c>
      <c r="J856"/>
      <c r="K856">
        <v>1</v>
      </c>
      <c r="L856">
        <v>1</v>
      </c>
      <c r="M856" t="s">
        <v>33</v>
      </c>
      <c r="N856">
        <v>1</v>
      </c>
      <c r="O856">
        <v>0.5</v>
      </c>
      <c r="P856">
        <v>0.5</v>
      </c>
      <c r="Q856"/>
      <c r="R856">
        <v>0</v>
      </c>
      <c r="S856">
        <v>0</v>
      </c>
      <c r="T856"/>
      <c r="U856"/>
      <c r="V856"/>
      <c r="W856"/>
      <c r="X856">
        <v>0</v>
      </c>
      <c r="Y856"/>
      <c r="Z856">
        <v>0</v>
      </c>
      <c r="AA856"/>
      <c r="AB856"/>
      <c r="AC856"/>
      <c r="AD856"/>
      <c r="AE856">
        <v>0</v>
      </c>
      <c r="AF856"/>
      <c r="AG856"/>
      <c r="AH856"/>
    </row>
    <row r="857" spans="1:34" s="172" customFormat="1" x14ac:dyDescent="0.25">
      <c r="A857" t="s">
        <v>3432</v>
      </c>
      <c r="B857" t="s">
        <v>3433</v>
      </c>
      <c r="C857"/>
      <c r="D857" t="s">
        <v>370</v>
      </c>
      <c r="E857" t="s">
        <v>1275</v>
      </c>
      <c r="F857" t="s">
        <v>1287</v>
      </c>
      <c r="G857" t="s">
        <v>280</v>
      </c>
      <c r="H857" t="s">
        <v>1288</v>
      </c>
      <c r="I857" t="s">
        <v>373</v>
      </c>
      <c r="J857"/>
      <c r="K857">
        <v>1</v>
      </c>
      <c r="L857">
        <v>1</v>
      </c>
      <c r="M857" t="s">
        <v>33</v>
      </c>
      <c r="N857">
        <v>1</v>
      </c>
      <c r="O857">
        <v>0.5</v>
      </c>
      <c r="P857">
        <v>0.5</v>
      </c>
      <c r="Q857"/>
      <c r="R857">
        <v>0</v>
      </c>
      <c r="S857">
        <v>0</v>
      </c>
      <c r="T857"/>
      <c r="U857"/>
      <c r="V857"/>
      <c r="W857"/>
      <c r="X857">
        <v>0</v>
      </c>
      <c r="Y857"/>
      <c r="Z857">
        <v>0</v>
      </c>
      <c r="AA857"/>
      <c r="AB857"/>
      <c r="AC857"/>
      <c r="AD857"/>
      <c r="AE857">
        <v>0</v>
      </c>
      <c r="AF857"/>
      <c r="AG857"/>
      <c r="AH857"/>
    </row>
    <row r="858" spans="1:34" x14ac:dyDescent="0.25">
      <c r="A858" t="s">
        <v>1945</v>
      </c>
      <c r="B858" t="s">
        <v>1946</v>
      </c>
      <c r="C858"/>
      <c r="D858" t="s">
        <v>370</v>
      </c>
      <c r="E858" t="s">
        <v>1275</v>
      </c>
      <c r="F858" t="s">
        <v>1289</v>
      </c>
      <c r="G858" t="s">
        <v>280</v>
      </c>
      <c r="H858" t="s">
        <v>1290</v>
      </c>
      <c r="I858" t="s">
        <v>373</v>
      </c>
      <c r="J858"/>
      <c r="K858">
        <v>1</v>
      </c>
      <c r="L858">
        <v>1</v>
      </c>
      <c r="M858" t="s">
        <v>33</v>
      </c>
      <c r="N858">
        <v>1</v>
      </c>
      <c r="O858">
        <v>0.5</v>
      </c>
      <c r="P858">
        <v>0.5</v>
      </c>
      <c r="Q858"/>
      <c r="R858">
        <v>0</v>
      </c>
      <c r="S858">
        <v>0</v>
      </c>
      <c r="T858"/>
      <c r="U858"/>
      <c r="V858"/>
      <c r="W858"/>
      <c r="X858">
        <v>0</v>
      </c>
      <c r="Y858"/>
      <c r="Z858">
        <v>0</v>
      </c>
      <c r="AA858"/>
      <c r="AB858"/>
      <c r="AC858"/>
      <c r="AD858"/>
      <c r="AE858">
        <v>0</v>
      </c>
      <c r="AF858"/>
      <c r="AG858"/>
      <c r="AH858"/>
    </row>
    <row r="859" spans="1:34" x14ac:dyDescent="0.25">
      <c r="A859" t="s">
        <v>3432</v>
      </c>
      <c r="B859" t="s">
        <v>3433</v>
      </c>
      <c r="C859"/>
      <c r="D859" t="s">
        <v>370</v>
      </c>
      <c r="E859" t="s">
        <v>1275</v>
      </c>
      <c r="F859" t="s">
        <v>1289</v>
      </c>
      <c r="G859" t="s">
        <v>280</v>
      </c>
      <c r="H859" t="s">
        <v>1290</v>
      </c>
      <c r="I859" t="s">
        <v>373</v>
      </c>
      <c r="J859"/>
      <c r="K859">
        <v>1</v>
      </c>
      <c r="L859">
        <v>1</v>
      </c>
      <c r="M859" t="s">
        <v>33</v>
      </c>
      <c r="N859">
        <v>1</v>
      </c>
      <c r="O859">
        <v>0.5</v>
      </c>
      <c r="P859">
        <v>0.5</v>
      </c>
      <c r="Q859"/>
      <c r="R859">
        <v>0</v>
      </c>
      <c r="S859">
        <v>0</v>
      </c>
      <c r="T859"/>
      <c r="U859"/>
      <c r="V859"/>
      <c r="W859"/>
      <c r="X859">
        <v>0</v>
      </c>
      <c r="Y859"/>
      <c r="Z859">
        <v>0</v>
      </c>
      <c r="AA859"/>
      <c r="AB859"/>
      <c r="AC859"/>
      <c r="AD859"/>
      <c r="AE859">
        <v>0</v>
      </c>
      <c r="AF859"/>
      <c r="AG859"/>
      <c r="AH859"/>
    </row>
    <row r="860" spans="1:34" x14ac:dyDescent="0.25">
      <c r="A860" t="s">
        <v>1945</v>
      </c>
      <c r="B860" t="s">
        <v>1946</v>
      </c>
      <c r="C860"/>
      <c r="D860" t="s">
        <v>370</v>
      </c>
      <c r="E860" t="s">
        <v>1275</v>
      </c>
      <c r="F860" t="s">
        <v>1291</v>
      </c>
      <c r="G860" t="s">
        <v>280</v>
      </c>
      <c r="H860" t="s">
        <v>1292</v>
      </c>
      <c r="I860" t="s">
        <v>373</v>
      </c>
      <c r="J860"/>
      <c r="K860">
        <v>1</v>
      </c>
      <c r="L860">
        <v>1</v>
      </c>
      <c r="M860" t="s">
        <v>33</v>
      </c>
      <c r="N860">
        <v>1</v>
      </c>
      <c r="O860">
        <v>0.5</v>
      </c>
      <c r="P860">
        <v>0.5</v>
      </c>
      <c r="Q860"/>
      <c r="R860">
        <v>0</v>
      </c>
      <c r="S860">
        <v>0</v>
      </c>
      <c r="T860"/>
      <c r="U860"/>
      <c r="V860"/>
      <c r="W860"/>
      <c r="X860">
        <v>0</v>
      </c>
      <c r="Y860"/>
      <c r="Z860">
        <v>0</v>
      </c>
      <c r="AA860"/>
      <c r="AB860"/>
      <c r="AC860"/>
      <c r="AD860"/>
      <c r="AE860">
        <v>0</v>
      </c>
      <c r="AF860"/>
      <c r="AG860"/>
      <c r="AH860"/>
    </row>
    <row r="861" spans="1:34" x14ac:dyDescent="0.25">
      <c r="A861" t="s">
        <v>3432</v>
      </c>
      <c r="B861" t="s">
        <v>3433</v>
      </c>
      <c r="C861"/>
      <c r="D861" t="s">
        <v>370</v>
      </c>
      <c r="E861" t="s">
        <v>1275</v>
      </c>
      <c r="F861" t="s">
        <v>1291</v>
      </c>
      <c r="G861" t="s">
        <v>280</v>
      </c>
      <c r="H861" t="s">
        <v>1292</v>
      </c>
      <c r="I861" t="s">
        <v>373</v>
      </c>
      <c r="J861"/>
      <c r="K861">
        <v>1</v>
      </c>
      <c r="L861">
        <v>1</v>
      </c>
      <c r="M861" t="s">
        <v>33</v>
      </c>
      <c r="N861">
        <v>1</v>
      </c>
      <c r="O861">
        <v>0.5</v>
      </c>
      <c r="P861">
        <v>0.5</v>
      </c>
      <c r="Q861"/>
      <c r="R861">
        <v>0</v>
      </c>
      <c r="S861">
        <v>0</v>
      </c>
      <c r="T861"/>
      <c r="U861"/>
      <c r="V861"/>
      <c r="W861"/>
      <c r="X861">
        <v>0</v>
      </c>
      <c r="Y861"/>
      <c r="Z861">
        <v>0</v>
      </c>
      <c r="AA861"/>
      <c r="AB861"/>
      <c r="AC861"/>
      <c r="AD861"/>
      <c r="AE861">
        <v>0</v>
      </c>
      <c r="AF861"/>
      <c r="AG861"/>
      <c r="AH861"/>
    </row>
    <row r="862" spans="1:34" x14ac:dyDescent="0.25">
      <c r="A862" t="s">
        <v>1945</v>
      </c>
      <c r="B862" t="s">
        <v>1946</v>
      </c>
      <c r="C862"/>
      <c r="D862" t="s">
        <v>370</v>
      </c>
      <c r="E862" t="s">
        <v>1275</v>
      </c>
      <c r="F862" t="s">
        <v>1293</v>
      </c>
      <c r="G862" t="s">
        <v>280</v>
      </c>
      <c r="H862" t="s">
        <v>1294</v>
      </c>
      <c r="I862" t="s">
        <v>373</v>
      </c>
      <c r="J862"/>
      <c r="K862">
        <v>1</v>
      </c>
      <c r="L862">
        <v>1</v>
      </c>
      <c r="M862" t="s">
        <v>33</v>
      </c>
      <c r="N862">
        <v>1</v>
      </c>
      <c r="O862">
        <v>0.5</v>
      </c>
      <c r="P862">
        <v>0.5</v>
      </c>
      <c r="Q862"/>
      <c r="R862">
        <v>0</v>
      </c>
      <c r="S862">
        <v>0</v>
      </c>
      <c r="T862"/>
      <c r="U862"/>
      <c r="V862"/>
      <c r="W862"/>
      <c r="X862">
        <v>0</v>
      </c>
      <c r="Y862"/>
      <c r="Z862">
        <v>0</v>
      </c>
      <c r="AA862"/>
      <c r="AB862"/>
      <c r="AC862"/>
      <c r="AD862"/>
      <c r="AE862">
        <v>0</v>
      </c>
      <c r="AF862"/>
      <c r="AG862"/>
      <c r="AH862"/>
    </row>
    <row r="863" spans="1:34" x14ac:dyDescent="0.25">
      <c r="A863" t="s">
        <v>3432</v>
      </c>
      <c r="B863" t="s">
        <v>3433</v>
      </c>
      <c r="C863"/>
      <c r="D863" t="s">
        <v>370</v>
      </c>
      <c r="E863" t="s">
        <v>1275</v>
      </c>
      <c r="F863" t="s">
        <v>1293</v>
      </c>
      <c r="G863" t="s">
        <v>280</v>
      </c>
      <c r="H863" t="s">
        <v>1294</v>
      </c>
      <c r="I863" t="s">
        <v>373</v>
      </c>
      <c r="J863"/>
      <c r="K863">
        <v>1</v>
      </c>
      <c r="L863">
        <v>1</v>
      </c>
      <c r="M863" t="s">
        <v>33</v>
      </c>
      <c r="N863">
        <v>1</v>
      </c>
      <c r="O863">
        <v>0.5</v>
      </c>
      <c r="P863">
        <v>0.5</v>
      </c>
      <c r="Q863"/>
      <c r="R863">
        <v>0</v>
      </c>
      <c r="S863">
        <v>0</v>
      </c>
      <c r="T863"/>
      <c r="U863"/>
      <c r="V863"/>
      <c r="W863"/>
      <c r="X863">
        <v>0</v>
      </c>
      <c r="Y863"/>
      <c r="Z863">
        <v>0</v>
      </c>
      <c r="AA863"/>
      <c r="AB863"/>
      <c r="AC863"/>
      <c r="AD863"/>
      <c r="AE863">
        <v>0</v>
      </c>
      <c r="AF863"/>
      <c r="AG863"/>
      <c r="AH863"/>
    </row>
    <row r="864" spans="1:34" x14ac:dyDescent="0.25">
      <c r="A864" t="s">
        <v>1945</v>
      </c>
      <c r="B864" t="s">
        <v>1946</v>
      </c>
      <c r="C864"/>
      <c r="D864" t="s">
        <v>370</v>
      </c>
      <c r="E864" t="s">
        <v>1275</v>
      </c>
      <c r="F864" t="s">
        <v>1295</v>
      </c>
      <c r="G864" t="s">
        <v>280</v>
      </c>
      <c r="H864" t="s">
        <v>1296</v>
      </c>
      <c r="I864" t="s">
        <v>373</v>
      </c>
      <c r="J864"/>
      <c r="K864">
        <v>1</v>
      </c>
      <c r="L864">
        <v>1</v>
      </c>
      <c r="M864" t="s">
        <v>33</v>
      </c>
      <c r="N864">
        <v>1</v>
      </c>
      <c r="O864">
        <v>0.5</v>
      </c>
      <c r="P864">
        <v>0.5</v>
      </c>
      <c r="Q864"/>
      <c r="R864">
        <v>0</v>
      </c>
      <c r="S864">
        <v>0</v>
      </c>
      <c r="T864"/>
      <c r="U864"/>
      <c r="V864"/>
      <c r="W864"/>
      <c r="X864">
        <v>0</v>
      </c>
      <c r="Y864"/>
      <c r="Z864">
        <v>0</v>
      </c>
      <c r="AA864"/>
      <c r="AB864"/>
      <c r="AC864"/>
      <c r="AD864"/>
      <c r="AE864">
        <v>0</v>
      </c>
      <c r="AF864"/>
      <c r="AG864"/>
      <c r="AH864"/>
    </row>
    <row r="865" spans="1:34" x14ac:dyDescent="0.25">
      <c r="A865" t="s">
        <v>3432</v>
      </c>
      <c r="B865" t="s">
        <v>3433</v>
      </c>
      <c r="C865"/>
      <c r="D865" t="s">
        <v>370</v>
      </c>
      <c r="E865" t="s">
        <v>1275</v>
      </c>
      <c r="F865" t="s">
        <v>1295</v>
      </c>
      <c r="G865" t="s">
        <v>280</v>
      </c>
      <c r="H865" t="s">
        <v>1296</v>
      </c>
      <c r="I865" t="s">
        <v>373</v>
      </c>
      <c r="J865"/>
      <c r="K865">
        <v>1</v>
      </c>
      <c r="L865">
        <v>1</v>
      </c>
      <c r="M865" t="s">
        <v>33</v>
      </c>
      <c r="N865">
        <v>1</v>
      </c>
      <c r="O865">
        <v>0.5</v>
      </c>
      <c r="P865">
        <v>0.5</v>
      </c>
      <c r="Q865"/>
      <c r="R865">
        <v>0</v>
      </c>
      <c r="S865">
        <v>0</v>
      </c>
      <c r="T865"/>
      <c r="U865"/>
      <c r="V865"/>
      <c r="W865"/>
      <c r="X865">
        <v>0</v>
      </c>
      <c r="Y865"/>
      <c r="Z865">
        <v>0</v>
      </c>
      <c r="AA865"/>
      <c r="AB865"/>
      <c r="AC865"/>
      <c r="AD865"/>
      <c r="AE865">
        <v>0</v>
      </c>
      <c r="AF865"/>
      <c r="AG865"/>
      <c r="AH865"/>
    </row>
    <row r="866" spans="1:34" x14ac:dyDescent="0.25">
      <c r="A866" t="s">
        <v>1945</v>
      </c>
      <c r="B866" t="s">
        <v>1946</v>
      </c>
      <c r="C866"/>
      <c r="D866" t="s">
        <v>370</v>
      </c>
      <c r="E866" t="s">
        <v>1275</v>
      </c>
      <c r="F866" t="s">
        <v>1297</v>
      </c>
      <c r="G866" t="s">
        <v>280</v>
      </c>
      <c r="H866" t="s">
        <v>1298</v>
      </c>
      <c r="I866" t="s">
        <v>373</v>
      </c>
      <c r="J866"/>
      <c r="K866">
        <v>1</v>
      </c>
      <c r="L866">
        <v>1</v>
      </c>
      <c r="M866" t="s">
        <v>33</v>
      </c>
      <c r="N866">
        <v>1</v>
      </c>
      <c r="O866">
        <v>0.5</v>
      </c>
      <c r="P866">
        <v>0.5</v>
      </c>
      <c r="Q866"/>
      <c r="R866">
        <v>0</v>
      </c>
      <c r="S866">
        <v>0</v>
      </c>
      <c r="T866"/>
      <c r="U866"/>
      <c r="V866"/>
      <c r="W866"/>
      <c r="X866">
        <v>0</v>
      </c>
      <c r="Y866"/>
      <c r="Z866">
        <v>0</v>
      </c>
      <c r="AA866"/>
      <c r="AB866"/>
      <c r="AC866"/>
      <c r="AD866"/>
      <c r="AE866">
        <v>0</v>
      </c>
      <c r="AF866"/>
      <c r="AG866"/>
      <c r="AH866"/>
    </row>
    <row r="867" spans="1:34" x14ac:dyDescent="0.25">
      <c r="A867" t="s">
        <v>3432</v>
      </c>
      <c r="B867" t="s">
        <v>3433</v>
      </c>
      <c r="C867"/>
      <c r="D867" t="s">
        <v>370</v>
      </c>
      <c r="E867" t="s">
        <v>1275</v>
      </c>
      <c r="F867" t="s">
        <v>1297</v>
      </c>
      <c r="G867" t="s">
        <v>280</v>
      </c>
      <c r="H867" t="s">
        <v>1298</v>
      </c>
      <c r="I867" t="s">
        <v>373</v>
      </c>
      <c r="J867"/>
      <c r="K867">
        <v>1</v>
      </c>
      <c r="L867">
        <v>1</v>
      </c>
      <c r="M867" t="s">
        <v>33</v>
      </c>
      <c r="N867">
        <v>1</v>
      </c>
      <c r="O867">
        <v>0.5</v>
      </c>
      <c r="P867">
        <v>0.5</v>
      </c>
      <c r="Q867"/>
      <c r="R867">
        <v>0</v>
      </c>
      <c r="S867">
        <v>0</v>
      </c>
      <c r="T867"/>
      <c r="U867"/>
      <c r="V867"/>
      <c r="W867"/>
      <c r="X867">
        <v>0</v>
      </c>
      <c r="Y867"/>
      <c r="Z867">
        <v>0</v>
      </c>
      <c r="AA867"/>
      <c r="AB867"/>
      <c r="AC867"/>
      <c r="AD867"/>
      <c r="AE867">
        <v>0</v>
      </c>
      <c r="AF867"/>
      <c r="AG867"/>
      <c r="AH867"/>
    </row>
    <row r="868" spans="1:34" x14ac:dyDescent="0.25">
      <c r="A868" t="s">
        <v>1945</v>
      </c>
      <c r="B868" t="s">
        <v>1946</v>
      </c>
      <c r="C868"/>
      <c r="D868" t="s">
        <v>370</v>
      </c>
      <c r="E868" t="s">
        <v>1275</v>
      </c>
      <c r="F868" t="s">
        <v>1299</v>
      </c>
      <c r="G868" t="s">
        <v>280</v>
      </c>
      <c r="H868" t="s">
        <v>1300</v>
      </c>
      <c r="I868" t="s">
        <v>373</v>
      </c>
      <c r="J868"/>
      <c r="K868">
        <v>1</v>
      </c>
      <c r="L868">
        <v>1</v>
      </c>
      <c r="M868" t="s">
        <v>33</v>
      </c>
      <c r="N868">
        <v>1</v>
      </c>
      <c r="O868">
        <v>0.5</v>
      </c>
      <c r="P868">
        <v>0.5</v>
      </c>
      <c r="Q868"/>
      <c r="R868">
        <v>0</v>
      </c>
      <c r="S868">
        <v>0</v>
      </c>
      <c r="T868"/>
      <c r="U868"/>
      <c r="V868"/>
      <c r="W868"/>
      <c r="X868">
        <v>0</v>
      </c>
      <c r="Y868"/>
      <c r="Z868">
        <v>0</v>
      </c>
      <c r="AA868"/>
      <c r="AB868"/>
      <c r="AC868"/>
      <c r="AD868"/>
      <c r="AE868">
        <v>0</v>
      </c>
      <c r="AF868"/>
      <c r="AG868"/>
      <c r="AH868"/>
    </row>
    <row r="869" spans="1:34" x14ac:dyDescent="0.25">
      <c r="A869" t="s">
        <v>3432</v>
      </c>
      <c r="B869" t="s">
        <v>3433</v>
      </c>
      <c r="C869"/>
      <c r="D869" t="s">
        <v>370</v>
      </c>
      <c r="E869" t="s">
        <v>1275</v>
      </c>
      <c r="F869" t="s">
        <v>1299</v>
      </c>
      <c r="G869" t="s">
        <v>280</v>
      </c>
      <c r="H869" t="s">
        <v>1300</v>
      </c>
      <c r="I869" t="s">
        <v>373</v>
      </c>
      <c r="J869"/>
      <c r="K869">
        <v>1</v>
      </c>
      <c r="L869">
        <v>1</v>
      </c>
      <c r="M869" t="s">
        <v>33</v>
      </c>
      <c r="N869">
        <v>1</v>
      </c>
      <c r="O869">
        <v>0.5</v>
      </c>
      <c r="P869">
        <v>0.5</v>
      </c>
      <c r="Q869"/>
      <c r="R869">
        <v>0</v>
      </c>
      <c r="S869">
        <v>0</v>
      </c>
      <c r="T869"/>
      <c r="U869"/>
      <c r="V869"/>
      <c r="W869"/>
      <c r="X869">
        <v>0</v>
      </c>
      <c r="Y869"/>
      <c r="Z869">
        <v>0</v>
      </c>
      <c r="AA869"/>
      <c r="AB869"/>
      <c r="AC869"/>
      <c r="AD869"/>
      <c r="AE869">
        <v>0</v>
      </c>
      <c r="AF869"/>
      <c r="AG869"/>
      <c r="AH869"/>
    </row>
    <row r="870" spans="1:34" x14ac:dyDescent="0.25">
      <c r="A870" t="s">
        <v>1945</v>
      </c>
      <c r="B870" t="s">
        <v>1946</v>
      </c>
      <c r="C870"/>
      <c r="D870" t="s">
        <v>370</v>
      </c>
      <c r="E870" t="s">
        <v>1275</v>
      </c>
      <c r="F870" t="s">
        <v>1301</v>
      </c>
      <c r="G870" t="s">
        <v>280</v>
      </c>
      <c r="H870" t="s">
        <v>1302</v>
      </c>
      <c r="I870" t="s">
        <v>373</v>
      </c>
      <c r="J870"/>
      <c r="K870">
        <v>1</v>
      </c>
      <c r="L870">
        <v>1</v>
      </c>
      <c r="M870" t="s">
        <v>33</v>
      </c>
      <c r="N870">
        <v>1</v>
      </c>
      <c r="O870">
        <v>0.5</v>
      </c>
      <c r="P870">
        <v>0.5</v>
      </c>
      <c r="Q870"/>
      <c r="R870">
        <v>0</v>
      </c>
      <c r="S870">
        <v>0</v>
      </c>
      <c r="T870"/>
      <c r="U870"/>
      <c r="V870"/>
      <c r="W870"/>
      <c r="X870">
        <v>0</v>
      </c>
      <c r="Y870"/>
      <c r="Z870">
        <v>0</v>
      </c>
      <c r="AA870"/>
      <c r="AB870"/>
      <c r="AC870"/>
      <c r="AD870"/>
      <c r="AE870">
        <v>0</v>
      </c>
      <c r="AF870"/>
      <c r="AG870"/>
      <c r="AH870"/>
    </row>
    <row r="871" spans="1:34" x14ac:dyDescent="0.25">
      <c r="A871" t="s">
        <v>3432</v>
      </c>
      <c r="B871" t="s">
        <v>3433</v>
      </c>
      <c r="C871"/>
      <c r="D871" t="s">
        <v>370</v>
      </c>
      <c r="E871" t="s">
        <v>1275</v>
      </c>
      <c r="F871" t="s">
        <v>1301</v>
      </c>
      <c r="G871" t="s">
        <v>280</v>
      </c>
      <c r="H871" t="s">
        <v>1302</v>
      </c>
      <c r="I871" t="s">
        <v>373</v>
      </c>
      <c r="J871"/>
      <c r="K871">
        <v>1</v>
      </c>
      <c r="L871">
        <v>1</v>
      </c>
      <c r="M871" t="s">
        <v>33</v>
      </c>
      <c r="N871">
        <v>1</v>
      </c>
      <c r="O871">
        <v>0.5</v>
      </c>
      <c r="P871">
        <v>0.5</v>
      </c>
      <c r="Q871"/>
      <c r="R871">
        <v>0</v>
      </c>
      <c r="S871">
        <v>0</v>
      </c>
      <c r="T871"/>
      <c r="U871"/>
      <c r="V871"/>
      <c r="W871"/>
      <c r="X871">
        <v>0</v>
      </c>
      <c r="Y871"/>
      <c r="Z871">
        <v>0</v>
      </c>
      <c r="AA871"/>
      <c r="AB871"/>
      <c r="AC871"/>
      <c r="AD871"/>
      <c r="AE871">
        <v>0</v>
      </c>
      <c r="AF871"/>
      <c r="AG871"/>
      <c r="AH871"/>
    </row>
    <row r="872" spans="1:34" x14ac:dyDescent="0.25">
      <c r="A872" t="s">
        <v>1945</v>
      </c>
      <c r="B872" t="s">
        <v>1946</v>
      </c>
      <c r="C872"/>
      <c r="D872" t="s">
        <v>370</v>
      </c>
      <c r="E872" t="s">
        <v>1275</v>
      </c>
      <c r="F872" t="s">
        <v>1303</v>
      </c>
      <c r="G872" t="s">
        <v>280</v>
      </c>
      <c r="H872" t="s">
        <v>1304</v>
      </c>
      <c r="I872" t="s">
        <v>373</v>
      </c>
      <c r="J872"/>
      <c r="K872">
        <v>1</v>
      </c>
      <c r="L872">
        <v>1</v>
      </c>
      <c r="M872" t="s">
        <v>33</v>
      </c>
      <c r="N872">
        <v>1</v>
      </c>
      <c r="O872">
        <v>0.5</v>
      </c>
      <c r="P872">
        <v>0.5</v>
      </c>
      <c r="Q872"/>
      <c r="R872">
        <v>0</v>
      </c>
      <c r="S872">
        <v>0</v>
      </c>
      <c r="T872"/>
      <c r="U872"/>
      <c r="V872"/>
      <c r="W872"/>
      <c r="X872">
        <v>0</v>
      </c>
      <c r="Y872"/>
      <c r="Z872">
        <v>0</v>
      </c>
      <c r="AA872"/>
      <c r="AB872"/>
      <c r="AC872"/>
      <c r="AD872"/>
      <c r="AE872">
        <v>0</v>
      </c>
      <c r="AF872"/>
      <c r="AG872"/>
      <c r="AH872"/>
    </row>
    <row r="873" spans="1:34" x14ac:dyDescent="0.25">
      <c r="A873" t="s">
        <v>3432</v>
      </c>
      <c r="B873" t="s">
        <v>3433</v>
      </c>
      <c r="C873"/>
      <c r="D873" t="s">
        <v>370</v>
      </c>
      <c r="E873" t="s">
        <v>1275</v>
      </c>
      <c r="F873" t="s">
        <v>1303</v>
      </c>
      <c r="G873" t="s">
        <v>280</v>
      </c>
      <c r="H873" t="s">
        <v>1304</v>
      </c>
      <c r="I873" t="s">
        <v>373</v>
      </c>
      <c r="J873"/>
      <c r="K873">
        <v>1</v>
      </c>
      <c r="L873">
        <v>1</v>
      </c>
      <c r="M873" t="s">
        <v>33</v>
      </c>
      <c r="N873">
        <v>1</v>
      </c>
      <c r="O873">
        <v>0.5</v>
      </c>
      <c r="P873">
        <v>0.5</v>
      </c>
      <c r="Q873"/>
      <c r="R873">
        <v>0</v>
      </c>
      <c r="S873">
        <v>0</v>
      </c>
      <c r="T873"/>
      <c r="U873"/>
      <c r="V873"/>
      <c r="W873"/>
      <c r="X873">
        <v>0</v>
      </c>
      <c r="Y873"/>
      <c r="Z873">
        <v>0</v>
      </c>
      <c r="AA873"/>
      <c r="AB873"/>
      <c r="AC873"/>
      <c r="AD873"/>
      <c r="AE873">
        <v>0</v>
      </c>
      <c r="AF873"/>
      <c r="AG873"/>
      <c r="AH873"/>
    </row>
    <row r="874" spans="1:34" s="172" customFormat="1" x14ac:dyDescent="0.25">
      <c r="A874" t="s">
        <v>1945</v>
      </c>
      <c r="B874" t="s">
        <v>1946</v>
      </c>
      <c r="C874"/>
      <c r="D874" t="s">
        <v>370</v>
      </c>
      <c r="E874" t="s">
        <v>1275</v>
      </c>
      <c r="F874" t="s">
        <v>1305</v>
      </c>
      <c r="G874" t="s">
        <v>280</v>
      </c>
      <c r="H874" t="s">
        <v>1306</v>
      </c>
      <c r="I874" t="s">
        <v>373</v>
      </c>
      <c r="J874"/>
      <c r="K874">
        <v>1</v>
      </c>
      <c r="L874">
        <v>1</v>
      </c>
      <c r="M874" t="s">
        <v>33</v>
      </c>
      <c r="N874">
        <v>1</v>
      </c>
      <c r="O874">
        <v>0.5</v>
      </c>
      <c r="P874">
        <v>0.5</v>
      </c>
      <c r="Q874"/>
      <c r="R874">
        <v>0</v>
      </c>
      <c r="S874">
        <v>0</v>
      </c>
      <c r="T874"/>
      <c r="U874"/>
      <c r="V874"/>
      <c r="W874"/>
      <c r="X874">
        <v>0</v>
      </c>
      <c r="Y874"/>
      <c r="Z874">
        <v>0</v>
      </c>
      <c r="AA874"/>
      <c r="AB874"/>
      <c r="AC874"/>
      <c r="AD874"/>
      <c r="AE874">
        <v>0</v>
      </c>
      <c r="AF874"/>
      <c r="AG874"/>
      <c r="AH874"/>
    </row>
    <row r="875" spans="1:34" x14ac:dyDescent="0.25">
      <c r="A875" t="s">
        <v>3432</v>
      </c>
      <c r="B875" t="s">
        <v>3433</v>
      </c>
      <c r="C875"/>
      <c r="D875" t="s">
        <v>370</v>
      </c>
      <c r="E875" t="s">
        <v>1275</v>
      </c>
      <c r="F875" t="s">
        <v>1305</v>
      </c>
      <c r="G875" t="s">
        <v>280</v>
      </c>
      <c r="H875" t="s">
        <v>1306</v>
      </c>
      <c r="I875" t="s">
        <v>373</v>
      </c>
      <c r="J875"/>
      <c r="K875">
        <v>1</v>
      </c>
      <c r="L875">
        <v>1</v>
      </c>
      <c r="M875" t="s">
        <v>33</v>
      </c>
      <c r="N875">
        <v>1</v>
      </c>
      <c r="O875">
        <v>0.5</v>
      </c>
      <c r="P875">
        <v>0.5</v>
      </c>
      <c r="Q875"/>
      <c r="R875">
        <v>0</v>
      </c>
      <c r="S875">
        <v>0</v>
      </c>
      <c r="T875"/>
      <c r="U875"/>
      <c r="V875"/>
      <c r="W875"/>
      <c r="X875">
        <v>0</v>
      </c>
      <c r="Y875"/>
      <c r="Z875">
        <v>0</v>
      </c>
      <c r="AA875"/>
      <c r="AB875"/>
      <c r="AC875"/>
      <c r="AD875"/>
      <c r="AE875">
        <v>0</v>
      </c>
      <c r="AF875"/>
      <c r="AG875"/>
      <c r="AH875"/>
    </row>
    <row r="876" spans="1:34" x14ac:dyDescent="0.25">
      <c r="A876" t="s">
        <v>1945</v>
      </c>
      <c r="B876" t="s">
        <v>1946</v>
      </c>
      <c r="C876"/>
      <c r="D876" t="s">
        <v>370</v>
      </c>
      <c r="E876" t="s">
        <v>1275</v>
      </c>
      <c r="F876" t="s">
        <v>1307</v>
      </c>
      <c r="G876" t="s">
        <v>280</v>
      </c>
      <c r="H876" t="s">
        <v>1308</v>
      </c>
      <c r="I876" t="s">
        <v>373</v>
      </c>
      <c r="J876"/>
      <c r="K876">
        <v>1</v>
      </c>
      <c r="L876">
        <v>1</v>
      </c>
      <c r="M876" t="s">
        <v>33</v>
      </c>
      <c r="N876">
        <v>1</v>
      </c>
      <c r="O876">
        <v>0.5</v>
      </c>
      <c r="P876">
        <v>0.5</v>
      </c>
      <c r="Q876"/>
      <c r="R876">
        <v>0</v>
      </c>
      <c r="S876">
        <v>0</v>
      </c>
      <c r="T876"/>
      <c r="U876"/>
      <c r="V876"/>
      <c r="W876"/>
      <c r="X876">
        <v>0</v>
      </c>
      <c r="Y876"/>
      <c r="Z876">
        <v>0</v>
      </c>
      <c r="AA876"/>
      <c r="AB876"/>
      <c r="AC876"/>
      <c r="AD876"/>
      <c r="AE876">
        <v>0</v>
      </c>
      <c r="AF876"/>
      <c r="AG876"/>
      <c r="AH876"/>
    </row>
    <row r="877" spans="1:34" x14ac:dyDescent="0.25">
      <c r="A877" t="s">
        <v>3432</v>
      </c>
      <c r="B877" t="s">
        <v>3433</v>
      </c>
      <c r="C877"/>
      <c r="D877" t="s">
        <v>370</v>
      </c>
      <c r="E877" t="s">
        <v>1275</v>
      </c>
      <c r="F877" t="s">
        <v>1307</v>
      </c>
      <c r="G877" t="s">
        <v>280</v>
      </c>
      <c r="H877" t="s">
        <v>1308</v>
      </c>
      <c r="I877" t="s">
        <v>373</v>
      </c>
      <c r="J877"/>
      <c r="K877">
        <v>1</v>
      </c>
      <c r="L877">
        <v>1</v>
      </c>
      <c r="M877" t="s">
        <v>33</v>
      </c>
      <c r="N877">
        <v>1</v>
      </c>
      <c r="O877">
        <v>0.5</v>
      </c>
      <c r="P877">
        <v>0.5</v>
      </c>
      <c r="Q877"/>
      <c r="R877">
        <v>0</v>
      </c>
      <c r="S877">
        <v>0</v>
      </c>
      <c r="T877"/>
      <c r="U877"/>
      <c r="V877"/>
      <c r="W877"/>
      <c r="X877">
        <v>0</v>
      </c>
      <c r="Y877"/>
      <c r="Z877">
        <v>0</v>
      </c>
      <c r="AA877"/>
      <c r="AB877"/>
      <c r="AC877"/>
      <c r="AD877"/>
      <c r="AE877">
        <v>0</v>
      </c>
      <c r="AF877"/>
      <c r="AG877"/>
      <c r="AH877"/>
    </row>
    <row r="878" spans="1:34" x14ac:dyDescent="0.25">
      <c r="A878" t="s">
        <v>1945</v>
      </c>
      <c r="B878" t="s">
        <v>1946</v>
      </c>
      <c r="C878"/>
      <c r="D878" t="s">
        <v>370</v>
      </c>
      <c r="E878" t="s">
        <v>1275</v>
      </c>
      <c r="F878" t="s">
        <v>1309</v>
      </c>
      <c r="G878" t="s">
        <v>280</v>
      </c>
      <c r="H878" t="s">
        <v>1310</v>
      </c>
      <c r="I878" t="s">
        <v>373</v>
      </c>
      <c r="J878"/>
      <c r="K878">
        <v>1</v>
      </c>
      <c r="L878">
        <v>1</v>
      </c>
      <c r="M878" t="s">
        <v>33</v>
      </c>
      <c r="N878">
        <v>1</v>
      </c>
      <c r="O878">
        <v>0.5</v>
      </c>
      <c r="P878">
        <v>0.5</v>
      </c>
      <c r="Q878"/>
      <c r="R878">
        <v>0</v>
      </c>
      <c r="S878">
        <v>0</v>
      </c>
      <c r="T878"/>
      <c r="U878"/>
      <c r="V878"/>
      <c r="W878"/>
      <c r="X878">
        <v>0</v>
      </c>
      <c r="Y878"/>
      <c r="Z878">
        <v>0</v>
      </c>
      <c r="AA878"/>
      <c r="AB878"/>
      <c r="AC878"/>
      <c r="AD878"/>
      <c r="AE878">
        <v>0</v>
      </c>
      <c r="AF878"/>
      <c r="AG878"/>
      <c r="AH878"/>
    </row>
    <row r="879" spans="1:34" x14ac:dyDescent="0.25">
      <c r="A879" t="s">
        <v>3432</v>
      </c>
      <c r="B879" t="s">
        <v>3433</v>
      </c>
      <c r="C879"/>
      <c r="D879" t="s">
        <v>370</v>
      </c>
      <c r="E879" t="s">
        <v>1275</v>
      </c>
      <c r="F879" t="s">
        <v>1309</v>
      </c>
      <c r="G879" t="s">
        <v>280</v>
      </c>
      <c r="H879" t="s">
        <v>1310</v>
      </c>
      <c r="I879" t="s">
        <v>373</v>
      </c>
      <c r="J879"/>
      <c r="K879">
        <v>1</v>
      </c>
      <c r="L879">
        <v>1</v>
      </c>
      <c r="M879" t="s">
        <v>33</v>
      </c>
      <c r="N879">
        <v>1</v>
      </c>
      <c r="O879">
        <v>0.5</v>
      </c>
      <c r="P879">
        <v>0.5</v>
      </c>
      <c r="Q879"/>
      <c r="R879">
        <v>0</v>
      </c>
      <c r="S879">
        <v>0</v>
      </c>
      <c r="T879"/>
      <c r="U879"/>
      <c r="V879"/>
      <c r="W879"/>
      <c r="X879">
        <v>0</v>
      </c>
      <c r="Y879"/>
      <c r="Z879">
        <v>0</v>
      </c>
      <c r="AA879"/>
      <c r="AB879"/>
      <c r="AC879"/>
      <c r="AD879"/>
      <c r="AE879">
        <v>0</v>
      </c>
      <c r="AF879"/>
      <c r="AG879"/>
      <c r="AH879"/>
    </row>
    <row r="880" spans="1:34" x14ac:dyDescent="0.25">
      <c r="A880" t="s">
        <v>1945</v>
      </c>
      <c r="B880" t="s">
        <v>1946</v>
      </c>
      <c r="C880"/>
      <c r="D880" t="s">
        <v>370</v>
      </c>
      <c r="E880" t="s">
        <v>1275</v>
      </c>
      <c r="F880" t="s">
        <v>1311</v>
      </c>
      <c r="G880" t="s">
        <v>280</v>
      </c>
      <c r="H880" t="s">
        <v>1312</v>
      </c>
      <c r="I880" t="s">
        <v>373</v>
      </c>
      <c r="J880"/>
      <c r="K880">
        <v>1</v>
      </c>
      <c r="L880">
        <v>1</v>
      </c>
      <c r="M880" t="s">
        <v>33</v>
      </c>
      <c r="N880">
        <v>1</v>
      </c>
      <c r="O880">
        <v>0.5</v>
      </c>
      <c r="P880">
        <v>0.5</v>
      </c>
      <c r="Q880"/>
      <c r="R880">
        <v>0</v>
      </c>
      <c r="S880">
        <v>0</v>
      </c>
      <c r="T880"/>
      <c r="U880"/>
      <c r="V880"/>
      <c r="W880"/>
      <c r="X880">
        <v>0</v>
      </c>
      <c r="Y880"/>
      <c r="Z880">
        <v>0</v>
      </c>
      <c r="AA880"/>
      <c r="AB880"/>
      <c r="AC880"/>
      <c r="AD880"/>
      <c r="AE880">
        <v>0</v>
      </c>
      <c r="AF880"/>
      <c r="AG880"/>
      <c r="AH880"/>
    </row>
    <row r="881" spans="1:34" x14ac:dyDescent="0.25">
      <c r="A881" t="s">
        <v>3432</v>
      </c>
      <c r="B881" t="s">
        <v>3433</v>
      </c>
      <c r="C881"/>
      <c r="D881" t="s">
        <v>370</v>
      </c>
      <c r="E881" t="s">
        <v>1275</v>
      </c>
      <c r="F881" t="s">
        <v>1311</v>
      </c>
      <c r="G881" t="s">
        <v>280</v>
      </c>
      <c r="H881" t="s">
        <v>1312</v>
      </c>
      <c r="I881" t="s">
        <v>373</v>
      </c>
      <c r="J881"/>
      <c r="K881">
        <v>1</v>
      </c>
      <c r="L881">
        <v>1</v>
      </c>
      <c r="M881" t="s">
        <v>33</v>
      </c>
      <c r="N881">
        <v>1</v>
      </c>
      <c r="O881">
        <v>0.5</v>
      </c>
      <c r="P881">
        <v>0.5</v>
      </c>
      <c r="Q881"/>
      <c r="R881">
        <v>0</v>
      </c>
      <c r="S881">
        <v>0</v>
      </c>
      <c r="T881"/>
      <c r="U881"/>
      <c r="V881"/>
      <c r="W881"/>
      <c r="X881">
        <v>0</v>
      </c>
      <c r="Y881"/>
      <c r="Z881">
        <v>0</v>
      </c>
      <c r="AA881"/>
      <c r="AB881"/>
      <c r="AC881"/>
      <c r="AD881"/>
      <c r="AE881">
        <v>0</v>
      </c>
      <c r="AF881"/>
      <c r="AG881"/>
      <c r="AH881"/>
    </row>
    <row r="882" spans="1:34" x14ac:dyDescent="0.25">
      <c r="A882" t="s">
        <v>1945</v>
      </c>
      <c r="B882" t="s">
        <v>1946</v>
      </c>
      <c r="C882"/>
      <c r="D882" t="s">
        <v>370</v>
      </c>
      <c r="E882" t="s">
        <v>1275</v>
      </c>
      <c r="F882" t="s">
        <v>1313</v>
      </c>
      <c r="G882" t="s">
        <v>280</v>
      </c>
      <c r="H882" t="s">
        <v>1314</v>
      </c>
      <c r="I882" t="s">
        <v>373</v>
      </c>
      <c r="J882"/>
      <c r="K882">
        <v>1</v>
      </c>
      <c r="L882">
        <v>1</v>
      </c>
      <c r="M882" t="s">
        <v>33</v>
      </c>
      <c r="N882">
        <v>1</v>
      </c>
      <c r="O882">
        <v>0.5</v>
      </c>
      <c r="P882">
        <v>0.5</v>
      </c>
      <c r="Q882"/>
      <c r="R882">
        <v>0</v>
      </c>
      <c r="S882">
        <v>0</v>
      </c>
      <c r="T882"/>
      <c r="U882"/>
      <c r="V882"/>
      <c r="W882"/>
      <c r="X882">
        <v>0</v>
      </c>
      <c r="Y882"/>
      <c r="Z882">
        <v>0</v>
      </c>
      <c r="AA882"/>
      <c r="AB882"/>
      <c r="AC882"/>
      <c r="AD882"/>
      <c r="AE882">
        <v>0</v>
      </c>
      <c r="AF882"/>
      <c r="AG882"/>
      <c r="AH882"/>
    </row>
    <row r="883" spans="1:34" x14ac:dyDescent="0.25">
      <c r="A883" t="s">
        <v>3432</v>
      </c>
      <c r="B883" t="s">
        <v>3433</v>
      </c>
      <c r="C883"/>
      <c r="D883" t="s">
        <v>370</v>
      </c>
      <c r="E883" t="s">
        <v>1275</v>
      </c>
      <c r="F883" t="s">
        <v>1313</v>
      </c>
      <c r="G883" t="s">
        <v>280</v>
      </c>
      <c r="H883" t="s">
        <v>1314</v>
      </c>
      <c r="I883" t="s">
        <v>373</v>
      </c>
      <c r="J883"/>
      <c r="K883">
        <v>1</v>
      </c>
      <c r="L883">
        <v>1</v>
      </c>
      <c r="M883" t="s">
        <v>33</v>
      </c>
      <c r="N883">
        <v>1</v>
      </c>
      <c r="O883">
        <v>0.5</v>
      </c>
      <c r="P883">
        <v>0.5</v>
      </c>
      <c r="Q883"/>
      <c r="R883">
        <v>0</v>
      </c>
      <c r="S883">
        <v>0</v>
      </c>
      <c r="T883"/>
      <c r="U883"/>
      <c r="V883"/>
      <c r="W883"/>
      <c r="X883">
        <v>0</v>
      </c>
      <c r="Y883"/>
      <c r="Z883">
        <v>0</v>
      </c>
      <c r="AA883"/>
      <c r="AB883"/>
      <c r="AC883"/>
      <c r="AD883"/>
      <c r="AE883">
        <v>0</v>
      </c>
      <c r="AF883"/>
      <c r="AG883"/>
      <c r="AH883"/>
    </row>
    <row r="884" spans="1:34" x14ac:dyDescent="0.25">
      <c r="A884" t="s">
        <v>1945</v>
      </c>
      <c r="B884" t="s">
        <v>1946</v>
      </c>
      <c r="C884"/>
      <c r="D884" t="s">
        <v>370</v>
      </c>
      <c r="E884" t="s">
        <v>1275</v>
      </c>
      <c r="F884" t="s">
        <v>1315</v>
      </c>
      <c r="G884" t="s">
        <v>280</v>
      </c>
      <c r="H884" t="s">
        <v>1316</v>
      </c>
      <c r="I884" t="s">
        <v>373</v>
      </c>
      <c r="J884"/>
      <c r="K884">
        <v>1</v>
      </c>
      <c r="L884">
        <v>1</v>
      </c>
      <c r="M884" t="s">
        <v>33</v>
      </c>
      <c r="N884">
        <v>1</v>
      </c>
      <c r="O884">
        <v>0.5</v>
      </c>
      <c r="P884">
        <v>0.5</v>
      </c>
      <c r="Q884"/>
      <c r="R884">
        <v>0</v>
      </c>
      <c r="S884">
        <v>0</v>
      </c>
      <c r="T884"/>
      <c r="U884"/>
      <c r="V884"/>
      <c r="W884"/>
      <c r="X884">
        <v>0</v>
      </c>
      <c r="Y884"/>
      <c r="Z884">
        <v>0</v>
      </c>
      <c r="AA884"/>
      <c r="AB884"/>
      <c r="AC884"/>
      <c r="AD884"/>
      <c r="AE884">
        <v>0</v>
      </c>
      <c r="AF884"/>
      <c r="AG884"/>
      <c r="AH884"/>
    </row>
    <row r="885" spans="1:34" x14ac:dyDescent="0.25">
      <c r="A885" t="s">
        <v>3432</v>
      </c>
      <c r="B885" t="s">
        <v>3433</v>
      </c>
      <c r="C885"/>
      <c r="D885" t="s">
        <v>370</v>
      </c>
      <c r="E885" t="s">
        <v>1275</v>
      </c>
      <c r="F885" t="s">
        <v>1315</v>
      </c>
      <c r="G885" t="s">
        <v>280</v>
      </c>
      <c r="H885" t="s">
        <v>1316</v>
      </c>
      <c r="I885" t="s">
        <v>373</v>
      </c>
      <c r="J885"/>
      <c r="K885">
        <v>1</v>
      </c>
      <c r="L885">
        <v>1</v>
      </c>
      <c r="M885" t="s">
        <v>33</v>
      </c>
      <c r="N885">
        <v>1</v>
      </c>
      <c r="O885">
        <v>0.5</v>
      </c>
      <c r="P885">
        <v>0.5</v>
      </c>
      <c r="Q885"/>
      <c r="R885">
        <v>0</v>
      </c>
      <c r="S885">
        <v>0</v>
      </c>
      <c r="T885"/>
      <c r="U885"/>
      <c r="V885"/>
      <c r="W885"/>
      <c r="X885">
        <v>0</v>
      </c>
      <c r="Y885"/>
      <c r="Z885">
        <v>0</v>
      </c>
      <c r="AA885"/>
      <c r="AB885"/>
      <c r="AC885"/>
      <c r="AD885"/>
      <c r="AE885">
        <v>0</v>
      </c>
      <c r="AF885"/>
      <c r="AG885"/>
      <c r="AH885"/>
    </row>
    <row r="886" spans="1:34" x14ac:dyDescent="0.25">
      <c r="A886" t="s">
        <v>1945</v>
      </c>
      <c r="B886" t="s">
        <v>1946</v>
      </c>
      <c r="C886"/>
      <c r="D886" t="s">
        <v>370</v>
      </c>
      <c r="E886" t="s">
        <v>1275</v>
      </c>
      <c r="F886" t="s">
        <v>1317</v>
      </c>
      <c r="G886" t="s">
        <v>280</v>
      </c>
      <c r="H886" t="s">
        <v>1318</v>
      </c>
      <c r="I886" t="s">
        <v>373</v>
      </c>
      <c r="J886"/>
      <c r="K886">
        <v>1</v>
      </c>
      <c r="L886">
        <v>1</v>
      </c>
      <c r="M886" t="s">
        <v>33</v>
      </c>
      <c r="N886">
        <v>1</v>
      </c>
      <c r="O886">
        <v>0.5</v>
      </c>
      <c r="P886">
        <v>0.5</v>
      </c>
      <c r="Q886"/>
      <c r="R886">
        <v>0</v>
      </c>
      <c r="S886">
        <v>0</v>
      </c>
      <c r="T886"/>
      <c r="U886"/>
      <c r="V886"/>
      <c r="W886"/>
      <c r="X886">
        <v>0</v>
      </c>
      <c r="Y886"/>
      <c r="Z886">
        <v>0</v>
      </c>
      <c r="AA886"/>
      <c r="AB886"/>
      <c r="AC886"/>
      <c r="AD886"/>
      <c r="AE886">
        <v>0</v>
      </c>
      <c r="AF886"/>
      <c r="AG886"/>
      <c r="AH886"/>
    </row>
    <row r="887" spans="1:34" x14ac:dyDescent="0.25">
      <c r="A887" t="s">
        <v>3432</v>
      </c>
      <c r="B887" t="s">
        <v>3433</v>
      </c>
      <c r="C887"/>
      <c r="D887" t="s">
        <v>370</v>
      </c>
      <c r="E887" t="s">
        <v>1275</v>
      </c>
      <c r="F887" t="s">
        <v>1317</v>
      </c>
      <c r="G887" t="s">
        <v>280</v>
      </c>
      <c r="H887" t="s">
        <v>1318</v>
      </c>
      <c r="I887" t="s">
        <v>373</v>
      </c>
      <c r="J887"/>
      <c r="K887">
        <v>1</v>
      </c>
      <c r="L887">
        <v>1</v>
      </c>
      <c r="M887" t="s">
        <v>33</v>
      </c>
      <c r="N887">
        <v>1</v>
      </c>
      <c r="O887">
        <v>0.5</v>
      </c>
      <c r="P887">
        <v>0.5</v>
      </c>
      <c r="Q887"/>
      <c r="R887">
        <v>0</v>
      </c>
      <c r="S887">
        <v>0</v>
      </c>
      <c r="T887"/>
      <c r="U887"/>
      <c r="V887"/>
      <c r="W887"/>
      <c r="X887">
        <v>0</v>
      </c>
      <c r="Y887"/>
      <c r="Z887">
        <v>0</v>
      </c>
      <c r="AA887"/>
      <c r="AB887"/>
      <c r="AC887"/>
      <c r="AD887"/>
      <c r="AE887">
        <v>0</v>
      </c>
      <c r="AF887"/>
      <c r="AG887"/>
      <c r="AH887"/>
    </row>
    <row r="888" spans="1:34" x14ac:dyDescent="0.25">
      <c r="A888" t="s">
        <v>1945</v>
      </c>
      <c r="B888" t="s">
        <v>1946</v>
      </c>
      <c r="C888"/>
      <c r="D888" t="s">
        <v>370</v>
      </c>
      <c r="E888" t="s">
        <v>1275</v>
      </c>
      <c r="F888" t="s">
        <v>1319</v>
      </c>
      <c r="G888" t="s">
        <v>280</v>
      </c>
      <c r="H888" t="s">
        <v>1320</v>
      </c>
      <c r="I888" t="s">
        <v>373</v>
      </c>
      <c r="J888"/>
      <c r="K888">
        <v>1</v>
      </c>
      <c r="L888">
        <v>1</v>
      </c>
      <c r="M888" t="s">
        <v>33</v>
      </c>
      <c r="N888">
        <v>1</v>
      </c>
      <c r="O888">
        <v>0.5</v>
      </c>
      <c r="P888">
        <v>0.5</v>
      </c>
      <c r="Q888"/>
      <c r="R888">
        <v>0</v>
      </c>
      <c r="S888">
        <v>0</v>
      </c>
      <c r="T888"/>
      <c r="U888"/>
      <c r="V888"/>
      <c r="W888"/>
      <c r="X888">
        <v>0</v>
      </c>
      <c r="Y888"/>
      <c r="Z888">
        <v>0</v>
      </c>
      <c r="AA888"/>
      <c r="AB888"/>
      <c r="AC888"/>
      <c r="AD888"/>
      <c r="AE888">
        <v>0</v>
      </c>
      <c r="AF888"/>
      <c r="AG888"/>
      <c r="AH888"/>
    </row>
    <row r="889" spans="1:34" x14ac:dyDescent="0.25">
      <c r="A889" t="s">
        <v>3432</v>
      </c>
      <c r="B889" t="s">
        <v>3433</v>
      </c>
      <c r="C889"/>
      <c r="D889" t="s">
        <v>370</v>
      </c>
      <c r="E889" t="s">
        <v>1275</v>
      </c>
      <c r="F889" t="s">
        <v>1319</v>
      </c>
      <c r="G889" t="s">
        <v>280</v>
      </c>
      <c r="H889" t="s">
        <v>1320</v>
      </c>
      <c r="I889" t="s">
        <v>373</v>
      </c>
      <c r="J889"/>
      <c r="K889">
        <v>1</v>
      </c>
      <c r="L889">
        <v>1</v>
      </c>
      <c r="M889" t="s">
        <v>33</v>
      </c>
      <c r="N889">
        <v>1</v>
      </c>
      <c r="O889">
        <v>0.5</v>
      </c>
      <c r="P889">
        <v>0.5</v>
      </c>
      <c r="Q889"/>
      <c r="R889">
        <v>0</v>
      </c>
      <c r="S889">
        <v>0</v>
      </c>
      <c r="T889"/>
      <c r="U889"/>
      <c r="V889"/>
      <c r="W889"/>
      <c r="X889">
        <v>0</v>
      </c>
      <c r="Y889"/>
      <c r="Z889">
        <v>0</v>
      </c>
      <c r="AA889"/>
      <c r="AB889"/>
      <c r="AC889"/>
      <c r="AD889"/>
      <c r="AE889">
        <v>0</v>
      </c>
      <c r="AF889"/>
      <c r="AG889"/>
      <c r="AH889"/>
    </row>
    <row r="890" spans="1:34" x14ac:dyDescent="0.25">
      <c r="A890" t="s">
        <v>1945</v>
      </c>
      <c r="B890" t="s">
        <v>1946</v>
      </c>
      <c r="C890"/>
      <c r="D890" t="s">
        <v>370</v>
      </c>
      <c r="E890" t="s">
        <v>1275</v>
      </c>
      <c r="F890" t="s">
        <v>1321</v>
      </c>
      <c r="G890" t="s">
        <v>280</v>
      </c>
      <c r="H890" t="s">
        <v>1322</v>
      </c>
      <c r="I890" t="s">
        <v>373</v>
      </c>
      <c r="J890"/>
      <c r="K890">
        <v>1</v>
      </c>
      <c r="L890">
        <v>1</v>
      </c>
      <c r="M890" t="s">
        <v>33</v>
      </c>
      <c r="N890">
        <v>1</v>
      </c>
      <c r="O890">
        <v>0.5</v>
      </c>
      <c r="P890">
        <v>0.5</v>
      </c>
      <c r="Q890"/>
      <c r="R890">
        <v>0</v>
      </c>
      <c r="S890">
        <v>0</v>
      </c>
      <c r="T890"/>
      <c r="U890"/>
      <c r="V890"/>
      <c r="W890"/>
      <c r="X890">
        <v>0</v>
      </c>
      <c r="Y890"/>
      <c r="Z890">
        <v>0</v>
      </c>
      <c r="AA890"/>
      <c r="AB890"/>
      <c r="AC890"/>
      <c r="AD890"/>
      <c r="AE890">
        <v>0</v>
      </c>
      <c r="AF890"/>
      <c r="AG890"/>
      <c r="AH890"/>
    </row>
    <row r="891" spans="1:34" x14ac:dyDescent="0.25">
      <c r="A891" t="s">
        <v>3432</v>
      </c>
      <c r="B891" t="s">
        <v>3433</v>
      </c>
      <c r="C891"/>
      <c r="D891" t="s">
        <v>370</v>
      </c>
      <c r="E891" t="s">
        <v>1275</v>
      </c>
      <c r="F891" t="s">
        <v>1321</v>
      </c>
      <c r="G891" t="s">
        <v>280</v>
      </c>
      <c r="H891" t="s">
        <v>1322</v>
      </c>
      <c r="I891" t="s">
        <v>373</v>
      </c>
      <c r="J891"/>
      <c r="K891">
        <v>1</v>
      </c>
      <c r="L891">
        <v>1</v>
      </c>
      <c r="M891" t="s">
        <v>33</v>
      </c>
      <c r="N891">
        <v>1</v>
      </c>
      <c r="O891">
        <v>0.5</v>
      </c>
      <c r="P891">
        <v>0.5</v>
      </c>
      <c r="Q891"/>
      <c r="R891">
        <v>0</v>
      </c>
      <c r="S891">
        <v>0</v>
      </c>
      <c r="T891"/>
      <c r="U891"/>
      <c r="V891"/>
      <c r="W891"/>
      <c r="X891">
        <v>0</v>
      </c>
      <c r="Y891"/>
      <c r="Z891">
        <v>0</v>
      </c>
      <c r="AA891"/>
      <c r="AB891"/>
      <c r="AC891"/>
      <c r="AD891"/>
      <c r="AE891">
        <v>0</v>
      </c>
      <c r="AF891"/>
      <c r="AG891"/>
      <c r="AH891"/>
    </row>
    <row r="892" spans="1:34" x14ac:dyDescent="0.25">
      <c r="A892" t="s">
        <v>1945</v>
      </c>
      <c r="B892" t="s">
        <v>1946</v>
      </c>
      <c r="C892"/>
      <c r="D892" t="s">
        <v>370</v>
      </c>
      <c r="E892" t="s">
        <v>1275</v>
      </c>
      <c r="F892" t="s">
        <v>1323</v>
      </c>
      <c r="G892" t="s">
        <v>280</v>
      </c>
      <c r="H892" t="s">
        <v>1324</v>
      </c>
      <c r="I892" t="s">
        <v>373</v>
      </c>
      <c r="J892"/>
      <c r="K892">
        <v>1</v>
      </c>
      <c r="L892">
        <v>1</v>
      </c>
      <c r="M892" t="s">
        <v>33</v>
      </c>
      <c r="N892">
        <v>1</v>
      </c>
      <c r="O892">
        <v>0.5</v>
      </c>
      <c r="P892">
        <v>0.5</v>
      </c>
      <c r="Q892"/>
      <c r="R892">
        <v>0</v>
      </c>
      <c r="S892">
        <v>0</v>
      </c>
      <c r="T892"/>
      <c r="U892"/>
      <c r="V892"/>
      <c r="W892"/>
      <c r="X892">
        <v>0</v>
      </c>
      <c r="Y892"/>
      <c r="Z892">
        <v>0</v>
      </c>
      <c r="AA892"/>
      <c r="AB892"/>
      <c r="AC892"/>
      <c r="AD892"/>
      <c r="AE892">
        <v>0</v>
      </c>
      <c r="AF892"/>
      <c r="AG892"/>
      <c r="AH892"/>
    </row>
    <row r="893" spans="1:34" x14ac:dyDescent="0.25">
      <c r="A893" t="s">
        <v>3432</v>
      </c>
      <c r="B893" t="s">
        <v>3433</v>
      </c>
      <c r="C893"/>
      <c r="D893" t="s">
        <v>370</v>
      </c>
      <c r="E893" t="s">
        <v>1275</v>
      </c>
      <c r="F893" t="s">
        <v>1323</v>
      </c>
      <c r="G893" t="s">
        <v>280</v>
      </c>
      <c r="H893" t="s">
        <v>1324</v>
      </c>
      <c r="I893" t="s">
        <v>373</v>
      </c>
      <c r="J893"/>
      <c r="K893">
        <v>1</v>
      </c>
      <c r="L893">
        <v>1</v>
      </c>
      <c r="M893" t="s">
        <v>33</v>
      </c>
      <c r="N893">
        <v>1</v>
      </c>
      <c r="O893">
        <v>0.5</v>
      </c>
      <c r="P893">
        <v>0.5</v>
      </c>
      <c r="Q893"/>
      <c r="R893">
        <v>0</v>
      </c>
      <c r="S893">
        <v>0</v>
      </c>
      <c r="T893"/>
      <c r="U893"/>
      <c r="V893"/>
      <c r="W893"/>
      <c r="X893">
        <v>0</v>
      </c>
      <c r="Y893"/>
      <c r="Z893">
        <v>0</v>
      </c>
      <c r="AA893"/>
      <c r="AB893"/>
      <c r="AC893"/>
      <c r="AD893"/>
      <c r="AE893">
        <v>0</v>
      </c>
      <c r="AF893"/>
      <c r="AG893"/>
      <c r="AH893"/>
    </row>
    <row r="894" spans="1:34" x14ac:dyDescent="0.25">
      <c r="A894" t="s">
        <v>1945</v>
      </c>
      <c r="B894" t="s">
        <v>1946</v>
      </c>
      <c r="C894"/>
      <c r="D894" t="s">
        <v>370</v>
      </c>
      <c r="E894" t="s">
        <v>1275</v>
      </c>
      <c r="F894" t="s">
        <v>1325</v>
      </c>
      <c r="G894" t="s">
        <v>280</v>
      </c>
      <c r="H894" t="s">
        <v>1326</v>
      </c>
      <c r="I894" t="s">
        <v>373</v>
      </c>
      <c r="J894"/>
      <c r="K894">
        <v>1</v>
      </c>
      <c r="L894">
        <v>1</v>
      </c>
      <c r="M894" t="s">
        <v>33</v>
      </c>
      <c r="N894">
        <v>1</v>
      </c>
      <c r="O894">
        <v>0.5</v>
      </c>
      <c r="P894">
        <v>0.5</v>
      </c>
      <c r="Q894"/>
      <c r="R894">
        <v>0</v>
      </c>
      <c r="S894">
        <v>0</v>
      </c>
      <c r="T894"/>
      <c r="U894"/>
      <c r="V894"/>
      <c r="W894"/>
      <c r="X894">
        <v>0</v>
      </c>
      <c r="Y894"/>
      <c r="Z894">
        <v>0</v>
      </c>
      <c r="AA894"/>
      <c r="AB894"/>
      <c r="AC894"/>
      <c r="AD894"/>
      <c r="AE894">
        <v>0</v>
      </c>
      <c r="AF894"/>
      <c r="AG894"/>
      <c r="AH894"/>
    </row>
    <row r="895" spans="1:34" x14ac:dyDescent="0.25">
      <c r="A895" t="s">
        <v>3432</v>
      </c>
      <c r="B895" t="s">
        <v>3433</v>
      </c>
      <c r="C895"/>
      <c r="D895" t="s">
        <v>370</v>
      </c>
      <c r="E895" t="s">
        <v>1275</v>
      </c>
      <c r="F895" t="s">
        <v>1325</v>
      </c>
      <c r="G895" t="s">
        <v>280</v>
      </c>
      <c r="H895" t="s">
        <v>1326</v>
      </c>
      <c r="I895" t="s">
        <v>373</v>
      </c>
      <c r="J895"/>
      <c r="K895">
        <v>1</v>
      </c>
      <c r="L895">
        <v>1</v>
      </c>
      <c r="M895" t="s">
        <v>33</v>
      </c>
      <c r="N895">
        <v>1</v>
      </c>
      <c r="O895">
        <v>0.5</v>
      </c>
      <c r="P895">
        <v>0.5</v>
      </c>
      <c r="Q895"/>
      <c r="R895">
        <v>0</v>
      </c>
      <c r="S895">
        <v>0</v>
      </c>
      <c r="T895"/>
      <c r="U895"/>
      <c r="V895"/>
      <c r="W895"/>
      <c r="X895">
        <v>0</v>
      </c>
      <c r="Y895"/>
      <c r="Z895">
        <v>0</v>
      </c>
      <c r="AA895"/>
      <c r="AB895"/>
      <c r="AC895"/>
      <c r="AD895"/>
      <c r="AE895">
        <v>0</v>
      </c>
      <c r="AF895"/>
      <c r="AG895"/>
      <c r="AH895"/>
    </row>
    <row r="896" spans="1:34" x14ac:dyDescent="0.25">
      <c r="A896" t="s">
        <v>1945</v>
      </c>
      <c r="B896" t="s">
        <v>1946</v>
      </c>
      <c r="C896"/>
      <c r="D896" t="s">
        <v>370</v>
      </c>
      <c r="E896" t="s">
        <v>1275</v>
      </c>
      <c r="F896" t="s">
        <v>1327</v>
      </c>
      <c r="G896" t="s">
        <v>280</v>
      </c>
      <c r="H896" t="s">
        <v>1328</v>
      </c>
      <c r="I896" t="s">
        <v>373</v>
      </c>
      <c r="J896"/>
      <c r="K896">
        <v>1</v>
      </c>
      <c r="L896">
        <v>1</v>
      </c>
      <c r="M896" t="s">
        <v>33</v>
      </c>
      <c r="N896">
        <v>1</v>
      </c>
      <c r="O896">
        <v>0.5</v>
      </c>
      <c r="P896">
        <v>0.5</v>
      </c>
      <c r="Q896"/>
      <c r="R896">
        <v>0</v>
      </c>
      <c r="S896">
        <v>0</v>
      </c>
      <c r="T896"/>
      <c r="U896"/>
      <c r="V896"/>
      <c r="W896"/>
      <c r="X896">
        <v>0</v>
      </c>
      <c r="Y896"/>
      <c r="Z896">
        <v>0</v>
      </c>
      <c r="AA896"/>
      <c r="AB896"/>
      <c r="AC896"/>
      <c r="AD896"/>
      <c r="AE896">
        <v>0</v>
      </c>
      <c r="AF896"/>
      <c r="AG896"/>
      <c r="AH896"/>
    </row>
    <row r="897" spans="1:34" x14ac:dyDescent="0.25">
      <c r="A897" t="s">
        <v>3432</v>
      </c>
      <c r="B897" t="s">
        <v>3433</v>
      </c>
      <c r="C897"/>
      <c r="D897" t="s">
        <v>370</v>
      </c>
      <c r="E897" t="s">
        <v>1275</v>
      </c>
      <c r="F897" t="s">
        <v>1327</v>
      </c>
      <c r="G897" t="s">
        <v>280</v>
      </c>
      <c r="H897" t="s">
        <v>1328</v>
      </c>
      <c r="I897" t="s">
        <v>373</v>
      </c>
      <c r="J897"/>
      <c r="K897">
        <v>1</v>
      </c>
      <c r="L897">
        <v>1</v>
      </c>
      <c r="M897" t="s">
        <v>33</v>
      </c>
      <c r="N897">
        <v>1</v>
      </c>
      <c r="O897">
        <v>0.5</v>
      </c>
      <c r="P897">
        <v>0.5</v>
      </c>
      <c r="Q897"/>
      <c r="R897">
        <v>0</v>
      </c>
      <c r="S897">
        <v>0</v>
      </c>
      <c r="T897"/>
      <c r="U897"/>
      <c r="V897"/>
      <c r="W897"/>
      <c r="X897">
        <v>0</v>
      </c>
      <c r="Y897"/>
      <c r="Z897">
        <v>0</v>
      </c>
      <c r="AA897"/>
      <c r="AB897"/>
      <c r="AC897"/>
      <c r="AD897"/>
      <c r="AE897">
        <v>0</v>
      </c>
      <c r="AF897"/>
      <c r="AG897"/>
      <c r="AH897"/>
    </row>
    <row r="898" spans="1:34" x14ac:dyDescent="0.25">
      <c r="A898" t="s">
        <v>1945</v>
      </c>
      <c r="B898" t="s">
        <v>1946</v>
      </c>
      <c r="C898"/>
      <c r="D898" t="s">
        <v>370</v>
      </c>
      <c r="E898" t="s">
        <v>1275</v>
      </c>
      <c r="F898" t="s">
        <v>1329</v>
      </c>
      <c r="G898" t="s">
        <v>280</v>
      </c>
      <c r="H898" t="s">
        <v>1330</v>
      </c>
      <c r="I898" t="s">
        <v>373</v>
      </c>
      <c r="J898"/>
      <c r="K898">
        <v>1</v>
      </c>
      <c r="L898">
        <v>1</v>
      </c>
      <c r="M898" t="s">
        <v>33</v>
      </c>
      <c r="N898">
        <v>1</v>
      </c>
      <c r="O898">
        <v>0.5</v>
      </c>
      <c r="P898">
        <v>0.5</v>
      </c>
      <c r="Q898"/>
      <c r="R898">
        <v>0</v>
      </c>
      <c r="S898">
        <v>0</v>
      </c>
      <c r="T898"/>
      <c r="U898"/>
      <c r="V898"/>
      <c r="W898"/>
      <c r="X898">
        <v>0</v>
      </c>
      <c r="Y898"/>
      <c r="Z898">
        <v>0</v>
      </c>
      <c r="AA898"/>
      <c r="AB898"/>
      <c r="AC898"/>
      <c r="AD898"/>
      <c r="AE898">
        <v>0</v>
      </c>
      <c r="AF898"/>
      <c r="AG898"/>
      <c r="AH898"/>
    </row>
    <row r="899" spans="1:34" x14ac:dyDescent="0.25">
      <c r="A899" t="s">
        <v>3432</v>
      </c>
      <c r="B899" t="s">
        <v>3433</v>
      </c>
      <c r="C899"/>
      <c r="D899" t="s">
        <v>370</v>
      </c>
      <c r="E899" t="s">
        <v>1275</v>
      </c>
      <c r="F899" t="s">
        <v>1329</v>
      </c>
      <c r="G899" t="s">
        <v>280</v>
      </c>
      <c r="H899" t="s">
        <v>1330</v>
      </c>
      <c r="I899" t="s">
        <v>373</v>
      </c>
      <c r="J899"/>
      <c r="K899">
        <v>1</v>
      </c>
      <c r="L899">
        <v>1</v>
      </c>
      <c r="M899" t="s">
        <v>33</v>
      </c>
      <c r="N899">
        <v>1</v>
      </c>
      <c r="O899">
        <v>0.5</v>
      </c>
      <c r="P899">
        <v>0.5</v>
      </c>
      <c r="Q899"/>
      <c r="R899">
        <v>0</v>
      </c>
      <c r="S899">
        <v>0</v>
      </c>
      <c r="T899"/>
      <c r="U899"/>
      <c r="V899"/>
      <c r="W899"/>
      <c r="X899">
        <v>0</v>
      </c>
      <c r="Y899"/>
      <c r="Z899">
        <v>0</v>
      </c>
      <c r="AA899"/>
      <c r="AB899"/>
      <c r="AC899"/>
      <c r="AD899"/>
      <c r="AE899">
        <v>0</v>
      </c>
      <c r="AF899"/>
      <c r="AG899"/>
      <c r="AH899"/>
    </row>
    <row r="900" spans="1:34" x14ac:dyDescent="0.25">
      <c r="A900" t="s">
        <v>1945</v>
      </c>
      <c r="B900" t="s">
        <v>1946</v>
      </c>
      <c r="C900"/>
      <c r="D900" t="s">
        <v>370</v>
      </c>
      <c r="E900" t="s">
        <v>1331</v>
      </c>
      <c r="F900" t="s">
        <v>1015</v>
      </c>
      <c r="G900" t="s">
        <v>280</v>
      </c>
      <c r="H900" t="s">
        <v>1332</v>
      </c>
      <c r="I900" t="s">
        <v>373</v>
      </c>
      <c r="J900"/>
      <c r="K900">
        <v>1</v>
      </c>
      <c r="L900">
        <v>1</v>
      </c>
      <c r="M900" t="s">
        <v>33</v>
      </c>
      <c r="N900">
        <v>1</v>
      </c>
      <c r="O900">
        <v>0.5</v>
      </c>
      <c r="P900">
        <v>0.5</v>
      </c>
      <c r="Q900"/>
      <c r="R900">
        <v>0</v>
      </c>
      <c r="S900">
        <v>0</v>
      </c>
      <c r="T900"/>
      <c r="U900"/>
      <c r="V900"/>
      <c r="W900"/>
      <c r="X900">
        <v>0</v>
      </c>
      <c r="Y900"/>
      <c r="Z900">
        <v>0</v>
      </c>
      <c r="AA900"/>
      <c r="AB900"/>
      <c r="AC900"/>
      <c r="AD900"/>
      <c r="AE900">
        <v>0</v>
      </c>
      <c r="AF900"/>
      <c r="AG900"/>
      <c r="AH900"/>
    </row>
    <row r="901" spans="1:34" x14ac:dyDescent="0.25">
      <c r="A901" t="s">
        <v>3436</v>
      </c>
      <c r="B901" t="s">
        <v>3437</v>
      </c>
      <c r="C901"/>
      <c r="D901" t="s">
        <v>370</v>
      </c>
      <c r="E901" t="s">
        <v>1331</v>
      </c>
      <c r="F901" t="s">
        <v>1015</v>
      </c>
      <c r="G901" t="s">
        <v>280</v>
      </c>
      <c r="H901" t="s">
        <v>1332</v>
      </c>
      <c r="I901" t="s">
        <v>373</v>
      </c>
      <c r="J901"/>
      <c r="K901">
        <v>1</v>
      </c>
      <c r="L901">
        <v>1</v>
      </c>
      <c r="M901" t="s">
        <v>33</v>
      </c>
      <c r="N901">
        <v>1</v>
      </c>
      <c r="O901">
        <v>0.5</v>
      </c>
      <c r="P901">
        <v>0.5</v>
      </c>
      <c r="Q901"/>
      <c r="R901">
        <v>0</v>
      </c>
      <c r="S901">
        <v>0</v>
      </c>
      <c r="T901"/>
      <c r="U901"/>
      <c r="V901"/>
      <c r="W901"/>
      <c r="X901">
        <v>0</v>
      </c>
      <c r="Y901"/>
      <c r="Z901">
        <v>0</v>
      </c>
      <c r="AA901"/>
      <c r="AB901"/>
      <c r="AC901"/>
      <c r="AD901"/>
      <c r="AE901">
        <v>0</v>
      </c>
      <c r="AF901"/>
      <c r="AG901"/>
      <c r="AH901"/>
    </row>
    <row r="902" spans="1:34" x14ac:dyDescent="0.25">
      <c r="A902" t="s">
        <v>1945</v>
      </c>
      <c r="B902" t="s">
        <v>1946</v>
      </c>
      <c r="C902"/>
      <c r="D902" t="s">
        <v>370</v>
      </c>
      <c r="E902" t="s">
        <v>1331</v>
      </c>
      <c r="F902" t="s">
        <v>1017</v>
      </c>
      <c r="G902" t="s">
        <v>280</v>
      </c>
      <c r="H902" t="s">
        <v>1333</v>
      </c>
      <c r="I902" t="s">
        <v>373</v>
      </c>
      <c r="J902"/>
      <c r="K902">
        <v>1</v>
      </c>
      <c r="L902">
        <v>1</v>
      </c>
      <c r="M902" t="s">
        <v>33</v>
      </c>
      <c r="N902">
        <v>1</v>
      </c>
      <c r="O902">
        <v>0.5</v>
      </c>
      <c r="P902">
        <v>0.5</v>
      </c>
      <c r="Q902"/>
      <c r="R902">
        <v>0</v>
      </c>
      <c r="S902">
        <v>0</v>
      </c>
      <c r="T902"/>
      <c r="U902"/>
      <c r="V902"/>
      <c r="W902"/>
      <c r="X902">
        <v>0</v>
      </c>
      <c r="Y902"/>
      <c r="Z902">
        <v>0</v>
      </c>
      <c r="AA902"/>
      <c r="AB902"/>
      <c r="AC902"/>
      <c r="AD902"/>
      <c r="AE902">
        <v>0</v>
      </c>
      <c r="AF902"/>
      <c r="AG902"/>
      <c r="AH902"/>
    </row>
    <row r="903" spans="1:34" x14ac:dyDescent="0.25">
      <c r="A903" t="s">
        <v>3436</v>
      </c>
      <c r="B903" t="s">
        <v>3437</v>
      </c>
      <c r="C903"/>
      <c r="D903" t="s">
        <v>370</v>
      </c>
      <c r="E903" t="s">
        <v>1331</v>
      </c>
      <c r="F903" t="s">
        <v>1017</v>
      </c>
      <c r="G903" t="s">
        <v>280</v>
      </c>
      <c r="H903" t="s">
        <v>1333</v>
      </c>
      <c r="I903" t="s">
        <v>373</v>
      </c>
      <c r="J903"/>
      <c r="K903">
        <v>1</v>
      </c>
      <c r="L903">
        <v>1</v>
      </c>
      <c r="M903" t="s">
        <v>33</v>
      </c>
      <c r="N903">
        <v>1</v>
      </c>
      <c r="O903">
        <v>0.5</v>
      </c>
      <c r="P903">
        <v>0.5</v>
      </c>
      <c r="Q903"/>
      <c r="R903">
        <v>0</v>
      </c>
      <c r="S903">
        <v>0</v>
      </c>
      <c r="T903"/>
      <c r="U903"/>
      <c r="V903"/>
      <c r="W903"/>
      <c r="X903">
        <v>0</v>
      </c>
      <c r="Y903"/>
      <c r="Z903">
        <v>0</v>
      </c>
      <c r="AA903"/>
      <c r="AB903"/>
      <c r="AC903"/>
      <c r="AD903"/>
      <c r="AE903">
        <v>0</v>
      </c>
      <c r="AF903"/>
      <c r="AG903"/>
      <c r="AH903"/>
    </row>
    <row r="904" spans="1:34" x14ac:dyDescent="0.25">
      <c r="A904" t="s">
        <v>1945</v>
      </c>
      <c r="B904" t="s">
        <v>1946</v>
      </c>
      <c r="C904"/>
      <c r="D904" t="s">
        <v>370</v>
      </c>
      <c r="E904" t="s">
        <v>1331</v>
      </c>
      <c r="F904" t="s">
        <v>1019</v>
      </c>
      <c r="G904" t="s">
        <v>280</v>
      </c>
      <c r="H904" t="s">
        <v>1334</v>
      </c>
      <c r="I904" t="s">
        <v>373</v>
      </c>
      <c r="J904"/>
      <c r="K904">
        <v>1</v>
      </c>
      <c r="L904">
        <v>1</v>
      </c>
      <c r="M904" t="s">
        <v>33</v>
      </c>
      <c r="N904">
        <v>1</v>
      </c>
      <c r="O904">
        <v>0.5</v>
      </c>
      <c r="P904">
        <v>0.5</v>
      </c>
      <c r="Q904"/>
      <c r="R904">
        <v>0</v>
      </c>
      <c r="S904">
        <v>0</v>
      </c>
      <c r="T904"/>
      <c r="U904"/>
      <c r="V904"/>
      <c r="W904"/>
      <c r="X904">
        <v>0</v>
      </c>
      <c r="Y904"/>
      <c r="Z904">
        <v>0</v>
      </c>
      <c r="AA904"/>
      <c r="AB904"/>
      <c r="AC904"/>
      <c r="AD904"/>
      <c r="AE904">
        <v>0</v>
      </c>
      <c r="AF904"/>
      <c r="AG904"/>
      <c r="AH904"/>
    </row>
    <row r="905" spans="1:34" x14ac:dyDescent="0.25">
      <c r="A905" t="s">
        <v>3436</v>
      </c>
      <c r="B905" t="s">
        <v>3437</v>
      </c>
      <c r="C905"/>
      <c r="D905" t="s">
        <v>370</v>
      </c>
      <c r="E905" t="s">
        <v>1331</v>
      </c>
      <c r="F905" t="s">
        <v>1019</v>
      </c>
      <c r="G905" t="s">
        <v>280</v>
      </c>
      <c r="H905" t="s">
        <v>1334</v>
      </c>
      <c r="I905" t="s">
        <v>373</v>
      </c>
      <c r="J905"/>
      <c r="K905">
        <v>1</v>
      </c>
      <c r="L905">
        <v>1</v>
      </c>
      <c r="M905" t="s">
        <v>33</v>
      </c>
      <c r="N905">
        <v>1</v>
      </c>
      <c r="O905">
        <v>0.5</v>
      </c>
      <c r="P905">
        <v>0.5</v>
      </c>
      <c r="Q905"/>
      <c r="R905">
        <v>0</v>
      </c>
      <c r="S905">
        <v>0</v>
      </c>
      <c r="T905"/>
      <c r="U905"/>
      <c r="V905"/>
      <c r="W905"/>
      <c r="X905">
        <v>0</v>
      </c>
      <c r="Y905"/>
      <c r="Z905">
        <v>0</v>
      </c>
      <c r="AA905"/>
      <c r="AB905"/>
      <c r="AC905"/>
      <c r="AD905"/>
      <c r="AE905">
        <v>0</v>
      </c>
      <c r="AF905"/>
      <c r="AG905"/>
      <c r="AH905"/>
    </row>
    <row r="906" spans="1:34" x14ac:dyDescent="0.25">
      <c r="A906" t="s">
        <v>1945</v>
      </c>
      <c r="B906" t="s">
        <v>1946</v>
      </c>
      <c r="C906"/>
      <c r="D906" t="s">
        <v>370</v>
      </c>
      <c r="E906" t="s">
        <v>1331</v>
      </c>
      <c r="F906" t="s">
        <v>1021</v>
      </c>
      <c r="G906" t="s">
        <v>280</v>
      </c>
      <c r="H906" t="s">
        <v>1335</v>
      </c>
      <c r="I906" t="s">
        <v>373</v>
      </c>
      <c r="J906"/>
      <c r="K906">
        <v>1</v>
      </c>
      <c r="L906">
        <v>1</v>
      </c>
      <c r="M906" t="s">
        <v>33</v>
      </c>
      <c r="N906">
        <v>1</v>
      </c>
      <c r="O906">
        <v>0.5</v>
      </c>
      <c r="P906">
        <v>0.5</v>
      </c>
      <c r="Q906"/>
      <c r="R906">
        <v>0</v>
      </c>
      <c r="S906">
        <v>0</v>
      </c>
      <c r="T906"/>
      <c r="U906"/>
      <c r="V906"/>
      <c r="W906"/>
      <c r="X906">
        <v>0</v>
      </c>
      <c r="Y906"/>
      <c r="Z906">
        <v>0</v>
      </c>
      <c r="AA906"/>
      <c r="AB906"/>
      <c r="AC906"/>
      <c r="AD906"/>
      <c r="AE906">
        <v>0</v>
      </c>
      <c r="AF906"/>
      <c r="AG906"/>
      <c r="AH906"/>
    </row>
    <row r="907" spans="1:34" x14ac:dyDescent="0.25">
      <c r="A907" t="s">
        <v>3436</v>
      </c>
      <c r="B907" t="s">
        <v>3437</v>
      </c>
      <c r="C907"/>
      <c r="D907" t="s">
        <v>370</v>
      </c>
      <c r="E907" t="s">
        <v>1331</v>
      </c>
      <c r="F907" t="s">
        <v>1021</v>
      </c>
      <c r="G907" t="s">
        <v>280</v>
      </c>
      <c r="H907" t="s">
        <v>1335</v>
      </c>
      <c r="I907" t="s">
        <v>373</v>
      </c>
      <c r="J907"/>
      <c r="K907">
        <v>1</v>
      </c>
      <c r="L907">
        <v>1</v>
      </c>
      <c r="M907" t="s">
        <v>33</v>
      </c>
      <c r="N907">
        <v>1</v>
      </c>
      <c r="O907">
        <v>0.5</v>
      </c>
      <c r="P907">
        <v>0.5</v>
      </c>
      <c r="Q907"/>
      <c r="R907">
        <v>0</v>
      </c>
      <c r="S907">
        <v>0</v>
      </c>
      <c r="T907"/>
      <c r="U907"/>
      <c r="V907"/>
      <c r="W907"/>
      <c r="X907">
        <v>0</v>
      </c>
      <c r="Y907"/>
      <c r="Z907">
        <v>0</v>
      </c>
      <c r="AA907"/>
      <c r="AB907"/>
      <c r="AC907"/>
      <c r="AD907"/>
      <c r="AE907">
        <v>0</v>
      </c>
      <c r="AF907"/>
      <c r="AG907"/>
      <c r="AH907"/>
    </row>
    <row r="908" spans="1:34" x14ac:dyDescent="0.25">
      <c r="A908" t="s">
        <v>1945</v>
      </c>
      <c r="B908" t="s">
        <v>1946</v>
      </c>
      <c r="C908"/>
      <c r="D908" t="s">
        <v>370</v>
      </c>
      <c r="E908" t="s">
        <v>1331</v>
      </c>
      <c r="F908" t="s">
        <v>1023</v>
      </c>
      <c r="G908" t="s">
        <v>280</v>
      </c>
      <c r="H908" t="s">
        <v>1336</v>
      </c>
      <c r="I908" t="s">
        <v>373</v>
      </c>
      <c r="J908"/>
      <c r="K908">
        <v>1</v>
      </c>
      <c r="L908">
        <v>1</v>
      </c>
      <c r="M908" t="s">
        <v>33</v>
      </c>
      <c r="N908">
        <v>1</v>
      </c>
      <c r="O908">
        <v>0.5</v>
      </c>
      <c r="P908">
        <v>0.5</v>
      </c>
      <c r="Q908"/>
      <c r="R908">
        <v>0</v>
      </c>
      <c r="S908">
        <v>0</v>
      </c>
      <c r="T908"/>
      <c r="U908"/>
      <c r="V908"/>
      <c r="W908"/>
      <c r="X908">
        <v>0</v>
      </c>
      <c r="Y908"/>
      <c r="Z908">
        <v>0</v>
      </c>
      <c r="AA908"/>
      <c r="AB908"/>
      <c r="AC908"/>
      <c r="AD908"/>
      <c r="AE908">
        <v>0</v>
      </c>
      <c r="AF908"/>
      <c r="AG908"/>
      <c r="AH908"/>
    </row>
    <row r="909" spans="1:34" hidden="1" x14ac:dyDescent="0.25">
      <c r="A909" t="s">
        <v>3436</v>
      </c>
      <c r="B909" t="s">
        <v>3437</v>
      </c>
      <c r="C909"/>
      <c r="D909" t="s">
        <v>370</v>
      </c>
      <c r="E909" t="s">
        <v>1331</v>
      </c>
      <c r="F909" t="s">
        <v>1023</v>
      </c>
      <c r="G909" t="s">
        <v>280</v>
      </c>
      <c r="H909" t="s">
        <v>1336</v>
      </c>
      <c r="I909" t="s">
        <v>373</v>
      </c>
      <c r="J909"/>
      <c r="K909">
        <v>1</v>
      </c>
      <c r="L909">
        <v>1</v>
      </c>
      <c r="M909" t="s">
        <v>33</v>
      </c>
      <c r="N909">
        <v>1</v>
      </c>
      <c r="O909">
        <v>0.5</v>
      </c>
      <c r="P909">
        <v>0.5</v>
      </c>
      <c r="Q909"/>
      <c r="R909">
        <v>0</v>
      </c>
      <c r="S909">
        <v>0</v>
      </c>
      <c r="T909"/>
      <c r="U909"/>
      <c r="V909"/>
      <c r="W909"/>
      <c r="X909">
        <v>0</v>
      </c>
      <c r="Y909"/>
      <c r="Z909">
        <v>0</v>
      </c>
      <c r="AA909"/>
      <c r="AB909"/>
      <c r="AC909"/>
      <c r="AD909"/>
      <c r="AE909">
        <v>0</v>
      </c>
      <c r="AF909"/>
      <c r="AG909"/>
      <c r="AH909"/>
    </row>
    <row r="910" spans="1:34" hidden="1" x14ac:dyDescent="0.25">
      <c r="A910" t="s">
        <v>1945</v>
      </c>
      <c r="B910" t="s">
        <v>1946</v>
      </c>
      <c r="C910"/>
      <c r="D910" t="s">
        <v>370</v>
      </c>
      <c r="E910" t="s">
        <v>1331</v>
      </c>
      <c r="F910" t="s">
        <v>1025</v>
      </c>
      <c r="G910" t="s">
        <v>280</v>
      </c>
      <c r="H910" t="s">
        <v>1337</v>
      </c>
      <c r="I910" t="s">
        <v>373</v>
      </c>
      <c r="J910"/>
      <c r="K910">
        <v>1</v>
      </c>
      <c r="L910">
        <v>1</v>
      </c>
      <c r="M910" t="s">
        <v>33</v>
      </c>
      <c r="N910">
        <v>1</v>
      </c>
      <c r="O910">
        <v>0.5</v>
      </c>
      <c r="P910">
        <v>0.5</v>
      </c>
      <c r="Q910"/>
      <c r="R910">
        <v>0</v>
      </c>
      <c r="S910">
        <v>0</v>
      </c>
      <c r="T910"/>
      <c r="U910"/>
      <c r="V910"/>
      <c r="W910"/>
      <c r="X910">
        <v>0</v>
      </c>
      <c r="Y910"/>
      <c r="Z910">
        <v>0</v>
      </c>
      <c r="AA910"/>
      <c r="AB910"/>
      <c r="AC910"/>
      <c r="AD910"/>
      <c r="AE910">
        <v>0</v>
      </c>
      <c r="AF910"/>
      <c r="AG910"/>
      <c r="AH910"/>
    </row>
    <row r="911" spans="1:34" x14ac:dyDescent="0.25">
      <c r="A911" t="s">
        <v>3436</v>
      </c>
      <c r="B911" t="s">
        <v>3437</v>
      </c>
      <c r="C911"/>
      <c r="D911" t="s">
        <v>370</v>
      </c>
      <c r="E911" t="s">
        <v>1331</v>
      </c>
      <c r="F911" t="s">
        <v>1025</v>
      </c>
      <c r="G911" t="s">
        <v>280</v>
      </c>
      <c r="H911" t="s">
        <v>1337</v>
      </c>
      <c r="I911" t="s">
        <v>373</v>
      </c>
      <c r="J911"/>
      <c r="K911">
        <v>1</v>
      </c>
      <c r="L911">
        <v>1</v>
      </c>
      <c r="M911" t="s">
        <v>33</v>
      </c>
      <c r="N911">
        <v>1</v>
      </c>
      <c r="O911">
        <v>0.5</v>
      </c>
      <c r="P911">
        <v>0.5</v>
      </c>
      <c r="Q911"/>
      <c r="R911">
        <v>0</v>
      </c>
      <c r="S911">
        <v>0</v>
      </c>
      <c r="T911"/>
      <c r="U911"/>
      <c r="V911"/>
      <c r="W911"/>
      <c r="X911">
        <v>0</v>
      </c>
      <c r="Y911"/>
      <c r="Z911">
        <v>0</v>
      </c>
      <c r="AA911"/>
      <c r="AB911"/>
      <c r="AC911"/>
      <c r="AD911"/>
      <c r="AE911">
        <v>0</v>
      </c>
      <c r="AF911"/>
      <c r="AG911"/>
      <c r="AH911"/>
    </row>
    <row r="912" spans="1:34" x14ac:dyDescent="0.25">
      <c r="A912" t="s">
        <v>1945</v>
      </c>
      <c r="B912" t="s">
        <v>1946</v>
      </c>
      <c r="C912"/>
      <c r="D912" t="s">
        <v>370</v>
      </c>
      <c r="E912" t="s">
        <v>1331</v>
      </c>
      <c r="F912" t="s">
        <v>1027</v>
      </c>
      <c r="G912" t="s">
        <v>280</v>
      </c>
      <c r="H912" t="s">
        <v>1338</v>
      </c>
      <c r="I912" t="s">
        <v>373</v>
      </c>
      <c r="J912"/>
      <c r="K912">
        <v>1</v>
      </c>
      <c r="L912">
        <v>1</v>
      </c>
      <c r="M912" t="s">
        <v>33</v>
      </c>
      <c r="N912">
        <v>1</v>
      </c>
      <c r="O912">
        <v>0.5</v>
      </c>
      <c r="P912">
        <v>0.5</v>
      </c>
      <c r="Q912"/>
      <c r="R912">
        <v>0</v>
      </c>
      <c r="S912">
        <v>0</v>
      </c>
      <c r="T912"/>
      <c r="U912"/>
      <c r="V912"/>
      <c r="W912"/>
      <c r="X912">
        <v>0</v>
      </c>
      <c r="Y912"/>
      <c r="Z912">
        <v>0</v>
      </c>
      <c r="AA912"/>
      <c r="AB912"/>
      <c r="AC912"/>
      <c r="AD912"/>
      <c r="AE912">
        <v>0</v>
      </c>
      <c r="AF912"/>
      <c r="AG912"/>
      <c r="AH912"/>
    </row>
    <row r="913" spans="1:34" x14ac:dyDescent="0.25">
      <c r="A913" t="s">
        <v>3436</v>
      </c>
      <c r="B913" t="s">
        <v>3437</v>
      </c>
      <c r="C913"/>
      <c r="D913" t="s">
        <v>370</v>
      </c>
      <c r="E913" t="s">
        <v>1331</v>
      </c>
      <c r="F913" t="s">
        <v>1027</v>
      </c>
      <c r="G913" t="s">
        <v>280</v>
      </c>
      <c r="H913" t="s">
        <v>1338</v>
      </c>
      <c r="I913" t="s">
        <v>373</v>
      </c>
      <c r="J913"/>
      <c r="K913">
        <v>1</v>
      </c>
      <c r="L913">
        <v>1</v>
      </c>
      <c r="M913" t="s">
        <v>33</v>
      </c>
      <c r="N913">
        <v>1</v>
      </c>
      <c r="O913">
        <v>0.5</v>
      </c>
      <c r="P913">
        <v>0.5</v>
      </c>
      <c r="Q913"/>
      <c r="R913">
        <v>0</v>
      </c>
      <c r="S913">
        <v>0</v>
      </c>
      <c r="T913"/>
      <c r="U913"/>
      <c r="V913"/>
      <c r="W913"/>
      <c r="X913">
        <v>0</v>
      </c>
      <c r="Y913"/>
      <c r="Z913">
        <v>0</v>
      </c>
      <c r="AA913"/>
      <c r="AB913"/>
      <c r="AC913"/>
      <c r="AD913"/>
      <c r="AE913">
        <v>0</v>
      </c>
      <c r="AF913"/>
      <c r="AG913"/>
      <c r="AH913"/>
    </row>
    <row r="914" spans="1:34" x14ac:dyDescent="0.25">
      <c r="A914" t="s">
        <v>1945</v>
      </c>
      <c r="B914" t="s">
        <v>1946</v>
      </c>
      <c r="C914"/>
      <c r="D914" t="s">
        <v>370</v>
      </c>
      <c r="E914" t="s">
        <v>1331</v>
      </c>
      <c r="F914" t="s">
        <v>1029</v>
      </c>
      <c r="G914" t="s">
        <v>280</v>
      </c>
      <c r="H914" t="s">
        <v>1339</v>
      </c>
      <c r="I914" t="s">
        <v>373</v>
      </c>
      <c r="J914"/>
      <c r="K914">
        <v>1</v>
      </c>
      <c r="L914">
        <v>1</v>
      </c>
      <c r="M914" t="s">
        <v>33</v>
      </c>
      <c r="N914">
        <v>1</v>
      </c>
      <c r="O914">
        <v>0.5</v>
      </c>
      <c r="P914">
        <v>0.5</v>
      </c>
      <c r="Q914"/>
      <c r="R914">
        <v>0</v>
      </c>
      <c r="S914">
        <v>0</v>
      </c>
      <c r="T914"/>
      <c r="U914"/>
      <c r="V914"/>
      <c r="W914"/>
      <c r="X914">
        <v>0</v>
      </c>
      <c r="Y914"/>
      <c r="Z914">
        <v>0</v>
      </c>
      <c r="AA914"/>
      <c r="AB914"/>
      <c r="AC914"/>
      <c r="AD914"/>
      <c r="AE914">
        <v>0</v>
      </c>
      <c r="AF914"/>
      <c r="AG914"/>
      <c r="AH914"/>
    </row>
    <row r="915" spans="1:34" x14ac:dyDescent="0.25">
      <c r="A915" t="s">
        <v>3436</v>
      </c>
      <c r="B915" t="s">
        <v>3437</v>
      </c>
      <c r="C915"/>
      <c r="D915" t="s">
        <v>370</v>
      </c>
      <c r="E915" t="s">
        <v>1331</v>
      </c>
      <c r="F915" t="s">
        <v>1029</v>
      </c>
      <c r="G915" t="s">
        <v>280</v>
      </c>
      <c r="H915" t="s">
        <v>1339</v>
      </c>
      <c r="I915" t="s">
        <v>373</v>
      </c>
      <c r="J915"/>
      <c r="K915">
        <v>1</v>
      </c>
      <c r="L915">
        <v>1</v>
      </c>
      <c r="M915" t="s">
        <v>33</v>
      </c>
      <c r="N915">
        <v>1</v>
      </c>
      <c r="O915">
        <v>0.5</v>
      </c>
      <c r="P915">
        <v>0.5</v>
      </c>
      <c r="Q915"/>
      <c r="R915">
        <v>0</v>
      </c>
      <c r="S915">
        <v>0</v>
      </c>
      <c r="T915"/>
      <c r="U915"/>
      <c r="V915"/>
      <c r="W915"/>
      <c r="X915">
        <v>0</v>
      </c>
      <c r="Y915"/>
      <c r="Z915">
        <v>0</v>
      </c>
      <c r="AA915"/>
      <c r="AB915"/>
      <c r="AC915"/>
      <c r="AD915"/>
      <c r="AE915">
        <v>0</v>
      </c>
      <c r="AF915"/>
      <c r="AG915"/>
      <c r="AH915"/>
    </row>
    <row r="916" spans="1:34" x14ac:dyDescent="0.25">
      <c r="A916" t="s">
        <v>1945</v>
      </c>
      <c r="B916" t="s">
        <v>1946</v>
      </c>
      <c r="C916"/>
      <c r="D916" t="s">
        <v>370</v>
      </c>
      <c r="E916" t="s">
        <v>1331</v>
      </c>
      <c r="F916" t="s">
        <v>1031</v>
      </c>
      <c r="G916" t="s">
        <v>280</v>
      </c>
      <c r="H916" t="s">
        <v>1340</v>
      </c>
      <c r="I916" t="s">
        <v>373</v>
      </c>
      <c r="J916"/>
      <c r="K916">
        <v>1</v>
      </c>
      <c r="L916">
        <v>1</v>
      </c>
      <c r="M916" t="s">
        <v>33</v>
      </c>
      <c r="N916">
        <v>1</v>
      </c>
      <c r="O916">
        <v>0.5</v>
      </c>
      <c r="P916">
        <v>0.5</v>
      </c>
      <c r="Q916"/>
      <c r="R916">
        <v>0</v>
      </c>
      <c r="S916">
        <v>0</v>
      </c>
      <c r="T916"/>
      <c r="U916"/>
      <c r="V916"/>
      <c r="W916"/>
      <c r="X916">
        <v>0</v>
      </c>
      <c r="Y916"/>
      <c r="Z916">
        <v>0</v>
      </c>
      <c r="AA916"/>
      <c r="AB916"/>
      <c r="AC916"/>
      <c r="AD916"/>
      <c r="AE916">
        <v>0</v>
      </c>
      <c r="AF916"/>
      <c r="AG916"/>
      <c r="AH916"/>
    </row>
    <row r="917" spans="1:34" x14ac:dyDescent="0.25">
      <c r="A917" t="s">
        <v>3436</v>
      </c>
      <c r="B917" t="s">
        <v>3437</v>
      </c>
      <c r="C917"/>
      <c r="D917" t="s">
        <v>370</v>
      </c>
      <c r="E917" t="s">
        <v>1331</v>
      </c>
      <c r="F917" t="s">
        <v>1031</v>
      </c>
      <c r="G917" t="s">
        <v>280</v>
      </c>
      <c r="H917" t="s">
        <v>1340</v>
      </c>
      <c r="I917" t="s">
        <v>373</v>
      </c>
      <c r="J917"/>
      <c r="K917">
        <v>1</v>
      </c>
      <c r="L917">
        <v>1</v>
      </c>
      <c r="M917" t="s">
        <v>33</v>
      </c>
      <c r="N917">
        <v>1</v>
      </c>
      <c r="O917">
        <v>0.5</v>
      </c>
      <c r="P917">
        <v>0.5</v>
      </c>
      <c r="Q917"/>
      <c r="R917">
        <v>0</v>
      </c>
      <c r="S917">
        <v>0</v>
      </c>
      <c r="T917"/>
      <c r="U917"/>
      <c r="V917"/>
      <c r="W917"/>
      <c r="X917">
        <v>0</v>
      </c>
      <c r="Y917"/>
      <c r="Z917">
        <v>0</v>
      </c>
      <c r="AA917"/>
      <c r="AB917"/>
      <c r="AC917"/>
      <c r="AD917"/>
      <c r="AE917">
        <v>0</v>
      </c>
      <c r="AF917"/>
      <c r="AG917"/>
      <c r="AH917"/>
    </row>
    <row r="918" spans="1:34" x14ac:dyDescent="0.25">
      <c r="A918" t="s">
        <v>1945</v>
      </c>
      <c r="B918" t="s">
        <v>1946</v>
      </c>
      <c r="C918"/>
      <c r="D918" t="s">
        <v>370</v>
      </c>
      <c r="E918" t="s">
        <v>1331</v>
      </c>
      <c r="F918" t="s">
        <v>1033</v>
      </c>
      <c r="G918" t="s">
        <v>280</v>
      </c>
      <c r="H918" t="s">
        <v>1341</v>
      </c>
      <c r="I918" t="s">
        <v>373</v>
      </c>
      <c r="J918"/>
      <c r="K918">
        <v>1</v>
      </c>
      <c r="L918">
        <v>1</v>
      </c>
      <c r="M918" t="s">
        <v>33</v>
      </c>
      <c r="N918">
        <v>1</v>
      </c>
      <c r="O918">
        <v>0.5</v>
      </c>
      <c r="P918">
        <v>0.5</v>
      </c>
      <c r="Q918"/>
      <c r="R918">
        <v>0</v>
      </c>
      <c r="S918">
        <v>0</v>
      </c>
      <c r="T918"/>
      <c r="U918"/>
      <c r="V918"/>
      <c r="W918"/>
      <c r="X918">
        <v>0</v>
      </c>
      <c r="Y918"/>
      <c r="Z918">
        <v>0</v>
      </c>
      <c r="AA918"/>
      <c r="AB918"/>
      <c r="AC918"/>
      <c r="AD918"/>
      <c r="AE918">
        <v>0</v>
      </c>
      <c r="AF918"/>
      <c r="AG918"/>
      <c r="AH918"/>
    </row>
    <row r="919" spans="1:34" x14ac:dyDescent="0.25">
      <c r="A919" t="s">
        <v>3436</v>
      </c>
      <c r="B919" t="s">
        <v>3437</v>
      </c>
      <c r="C919"/>
      <c r="D919" t="s">
        <v>370</v>
      </c>
      <c r="E919" t="s">
        <v>1331</v>
      </c>
      <c r="F919" t="s">
        <v>1033</v>
      </c>
      <c r="G919" t="s">
        <v>280</v>
      </c>
      <c r="H919" t="s">
        <v>1341</v>
      </c>
      <c r="I919" t="s">
        <v>373</v>
      </c>
      <c r="J919"/>
      <c r="K919">
        <v>1</v>
      </c>
      <c r="L919">
        <v>1</v>
      </c>
      <c r="M919" t="s">
        <v>33</v>
      </c>
      <c r="N919">
        <v>1</v>
      </c>
      <c r="O919">
        <v>0.5</v>
      </c>
      <c r="P919">
        <v>0.5</v>
      </c>
      <c r="Q919"/>
      <c r="R919">
        <v>0</v>
      </c>
      <c r="S919">
        <v>0</v>
      </c>
      <c r="T919"/>
      <c r="U919"/>
      <c r="V919"/>
      <c r="W919"/>
      <c r="X919">
        <v>0</v>
      </c>
      <c r="Y919"/>
      <c r="Z919">
        <v>0</v>
      </c>
      <c r="AA919"/>
      <c r="AB919"/>
      <c r="AC919"/>
      <c r="AD919"/>
      <c r="AE919">
        <v>0</v>
      </c>
      <c r="AF919"/>
      <c r="AG919"/>
      <c r="AH919"/>
    </row>
    <row r="920" spans="1:34" x14ac:dyDescent="0.25">
      <c r="A920" t="s">
        <v>1945</v>
      </c>
      <c r="B920" t="s">
        <v>1946</v>
      </c>
      <c r="C920"/>
      <c r="D920" t="s">
        <v>370</v>
      </c>
      <c r="E920" t="s">
        <v>1331</v>
      </c>
      <c r="F920" t="s">
        <v>1035</v>
      </c>
      <c r="G920" t="s">
        <v>280</v>
      </c>
      <c r="H920" t="s">
        <v>1342</v>
      </c>
      <c r="I920" t="s">
        <v>373</v>
      </c>
      <c r="J920"/>
      <c r="K920">
        <v>1</v>
      </c>
      <c r="L920">
        <v>1</v>
      </c>
      <c r="M920" t="s">
        <v>33</v>
      </c>
      <c r="N920">
        <v>1</v>
      </c>
      <c r="O920">
        <v>0.5</v>
      </c>
      <c r="P920">
        <v>0.5</v>
      </c>
      <c r="Q920"/>
      <c r="R920">
        <v>0</v>
      </c>
      <c r="S920">
        <v>0</v>
      </c>
      <c r="T920"/>
      <c r="U920"/>
      <c r="V920"/>
      <c r="W920"/>
      <c r="X920">
        <v>0</v>
      </c>
      <c r="Y920"/>
      <c r="Z920">
        <v>0</v>
      </c>
      <c r="AA920"/>
      <c r="AB920"/>
      <c r="AC920"/>
      <c r="AD920"/>
      <c r="AE920">
        <v>0</v>
      </c>
      <c r="AF920"/>
      <c r="AG920"/>
      <c r="AH920"/>
    </row>
    <row r="921" spans="1:34" x14ac:dyDescent="0.25">
      <c r="A921" t="s">
        <v>3436</v>
      </c>
      <c r="B921" t="s">
        <v>3437</v>
      </c>
      <c r="C921"/>
      <c r="D921" t="s">
        <v>370</v>
      </c>
      <c r="E921" t="s">
        <v>1331</v>
      </c>
      <c r="F921" t="s">
        <v>1035</v>
      </c>
      <c r="G921" t="s">
        <v>280</v>
      </c>
      <c r="H921" t="s">
        <v>1342</v>
      </c>
      <c r="I921" t="s">
        <v>373</v>
      </c>
      <c r="J921"/>
      <c r="K921">
        <v>1</v>
      </c>
      <c r="L921">
        <v>1</v>
      </c>
      <c r="M921" t="s">
        <v>33</v>
      </c>
      <c r="N921">
        <v>1</v>
      </c>
      <c r="O921">
        <v>0.5</v>
      </c>
      <c r="P921">
        <v>0.5</v>
      </c>
      <c r="Q921"/>
      <c r="R921">
        <v>0</v>
      </c>
      <c r="S921">
        <v>0</v>
      </c>
      <c r="T921"/>
      <c r="U921"/>
      <c r="V921"/>
      <c r="W921"/>
      <c r="X921">
        <v>0</v>
      </c>
      <c r="Y921"/>
      <c r="Z921">
        <v>0</v>
      </c>
      <c r="AA921"/>
      <c r="AB921"/>
      <c r="AC921"/>
      <c r="AD921"/>
      <c r="AE921">
        <v>0</v>
      </c>
      <c r="AF921"/>
      <c r="AG921"/>
      <c r="AH921"/>
    </row>
    <row r="922" spans="1:34" x14ac:dyDescent="0.25">
      <c r="A922" t="s">
        <v>1945</v>
      </c>
      <c r="B922" t="s">
        <v>1946</v>
      </c>
      <c r="C922"/>
      <c r="D922" t="s">
        <v>370</v>
      </c>
      <c r="E922" t="s">
        <v>1331</v>
      </c>
      <c r="F922" t="s">
        <v>1343</v>
      </c>
      <c r="G922" t="s">
        <v>280</v>
      </c>
      <c r="H922" t="s">
        <v>1344</v>
      </c>
      <c r="I922" t="s">
        <v>373</v>
      </c>
      <c r="J922"/>
      <c r="K922">
        <v>1</v>
      </c>
      <c r="L922">
        <v>1</v>
      </c>
      <c r="M922" t="s">
        <v>33</v>
      </c>
      <c r="N922">
        <v>1</v>
      </c>
      <c r="O922">
        <v>0.5</v>
      </c>
      <c r="P922">
        <v>0.5</v>
      </c>
      <c r="Q922"/>
      <c r="R922">
        <v>0</v>
      </c>
      <c r="S922">
        <v>0</v>
      </c>
      <c r="T922"/>
      <c r="U922"/>
      <c r="V922"/>
      <c r="W922"/>
      <c r="X922">
        <v>0</v>
      </c>
      <c r="Y922"/>
      <c r="Z922">
        <v>0</v>
      </c>
      <c r="AA922"/>
      <c r="AB922"/>
      <c r="AC922"/>
      <c r="AD922"/>
      <c r="AE922">
        <v>0</v>
      </c>
      <c r="AF922"/>
      <c r="AG922"/>
      <c r="AH922"/>
    </row>
    <row r="923" spans="1:34" x14ac:dyDescent="0.25">
      <c r="A923" t="s">
        <v>3436</v>
      </c>
      <c r="B923" t="s">
        <v>3437</v>
      </c>
      <c r="C923"/>
      <c r="D923" t="s">
        <v>370</v>
      </c>
      <c r="E923" t="s">
        <v>1331</v>
      </c>
      <c r="F923" t="s">
        <v>1343</v>
      </c>
      <c r="G923" t="s">
        <v>280</v>
      </c>
      <c r="H923" t="s">
        <v>1344</v>
      </c>
      <c r="I923" t="s">
        <v>373</v>
      </c>
      <c r="J923"/>
      <c r="K923">
        <v>1</v>
      </c>
      <c r="L923">
        <v>1</v>
      </c>
      <c r="M923" t="s">
        <v>33</v>
      </c>
      <c r="N923">
        <v>1</v>
      </c>
      <c r="O923">
        <v>0.5</v>
      </c>
      <c r="P923">
        <v>0.5</v>
      </c>
      <c r="Q923"/>
      <c r="R923">
        <v>0</v>
      </c>
      <c r="S923">
        <v>0</v>
      </c>
      <c r="T923"/>
      <c r="U923"/>
      <c r="V923"/>
      <c r="W923"/>
      <c r="X923">
        <v>0</v>
      </c>
      <c r="Y923"/>
      <c r="Z923">
        <v>0</v>
      </c>
      <c r="AA923"/>
      <c r="AB923"/>
      <c r="AC923"/>
      <c r="AD923"/>
      <c r="AE923">
        <v>0</v>
      </c>
      <c r="AF923"/>
      <c r="AG923"/>
      <c r="AH923"/>
    </row>
    <row r="924" spans="1:34" x14ac:dyDescent="0.25">
      <c r="A924" t="s">
        <v>1945</v>
      </c>
      <c r="B924" t="s">
        <v>1946</v>
      </c>
      <c r="C924"/>
      <c r="D924" t="s">
        <v>370</v>
      </c>
      <c r="E924" t="s">
        <v>1331</v>
      </c>
      <c r="F924" t="s">
        <v>1345</v>
      </c>
      <c r="G924" t="s">
        <v>280</v>
      </c>
      <c r="H924" t="s">
        <v>1346</v>
      </c>
      <c r="I924" t="s">
        <v>373</v>
      </c>
      <c r="J924"/>
      <c r="K924">
        <v>1</v>
      </c>
      <c r="L924">
        <v>1</v>
      </c>
      <c r="M924" t="s">
        <v>33</v>
      </c>
      <c r="N924">
        <v>1</v>
      </c>
      <c r="O924">
        <v>0.5</v>
      </c>
      <c r="P924">
        <v>0.5</v>
      </c>
      <c r="Q924"/>
      <c r="R924">
        <v>0</v>
      </c>
      <c r="S924">
        <v>0</v>
      </c>
      <c r="T924"/>
      <c r="U924"/>
      <c r="V924"/>
      <c r="W924"/>
      <c r="X924">
        <v>0</v>
      </c>
      <c r="Y924"/>
      <c r="Z924">
        <v>0</v>
      </c>
      <c r="AA924"/>
      <c r="AB924"/>
      <c r="AC924"/>
      <c r="AD924"/>
      <c r="AE924">
        <v>0</v>
      </c>
      <c r="AF924"/>
      <c r="AG924"/>
      <c r="AH924"/>
    </row>
    <row r="925" spans="1:34" x14ac:dyDescent="0.25">
      <c r="A925" t="s">
        <v>3436</v>
      </c>
      <c r="B925" t="s">
        <v>3437</v>
      </c>
      <c r="C925"/>
      <c r="D925" t="s">
        <v>370</v>
      </c>
      <c r="E925" t="s">
        <v>1331</v>
      </c>
      <c r="F925" t="s">
        <v>1345</v>
      </c>
      <c r="G925" t="s">
        <v>280</v>
      </c>
      <c r="H925" t="s">
        <v>1346</v>
      </c>
      <c r="I925" t="s">
        <v>373</v>
      </c>
      <c r="J925"/>
      <c r="K925">
        <v>1</v>
      </c>
      <c r="L925">
        <v>1</v>
      </c>
      <c r="M925" t="s">
        <v>33</v>
      </c>
      <c r="N925">
        <v>1</v>
      </c>
      <c r="O925">
        <v>0.5</v>
      </c>
      <c r="P925">
        <v>0.5</v>
      </c>
      <c r="Q925"/>
      <c r="R925">
        <v>0</v>
      </c>
      <c r="S925">
        <v>0</v>
      </c>
      <c r="T925"/>
      <c r="U925"/>
      <c r="V925"/>
      <c r="W925"/>
      <c r="X925">
        <v>0</v>
      </c>
      <c r="Y925"/>
      <c r="Z925">
        <v>0</v>
      </c>
      <c r="AA925"/>
      <c r="AB925"/>
      <c r="AC925"/>
      <c r="AD925"/>
      <c r="AE925">
        <v>0</v>
      </c>
      <c r="AF925"/>
      <c r="AG925"/>
      <c r="AH925"/>
    </row>
    <row r="926" spans="1:34" x14ac:dyDescent="0.25">
      <c r="A926" t="s">
        <v>1945</v>
      </c>
      <c r="B926" t="s">
        <v>1946</v>
      </c>
      <c r="C926"/>
      <c r="D926" t="s">
        <v>370</v>
      </c>
      <c r="E926" t="s">
        <v>1331</v>
      </c>
      <c r="F926" t="s">
        <v>1347</v>
      </c>
      <c r="G926" t="s">
        <v>280</v>
      </c>
      <c r="H926" t="s">
        <v>1348</v>
      </c>
      <c r="I926" t="s">
        <v>373</v>
      </c>
      <c r="J926"/>
      <c r="K926">
        <v>1</v>
      </c>
      <c r="L926">
        <v>1</v>
      </c>
      <c r="M926" t="s">
        <v>33</v>
      </c>
      <c r="N926">
        <v>1</v>
      </c>
      <c r="O926">
        <v>0.5</v>
      </c>
      <c r="P926">
        <v>0.5</v>
      </c>
      <c r="Q926"/>
      <c r="R926">
        <v>0</v>
      </c>
      <c r="S926">
        <v>0</v>
      </c>
      <c r="T926"/>
      <c r="U926"/>
      <c r="V926"/>
      <c r="W926"/>
      <c r="X926">
        <v>0</v>
      </c>
      <c r="Y926"/>
      <c r="Z926">
        <v>0</v>
      </c>
      <c r="AA926"/>
      <c r="AB926"/>
      <c r="AC926"/>
      <c r="AD926"/>
      <c r="AE926">
        <v>0</v>
      </c>
      <c r="AF926"/>
      <c r="AG926"/>
      <c r="AH926"/>
    </row>
    <row r="927" spans="1:34" x14ac:dyDescent="0.25">
      <c r="A927" t="s">
        <v>3436</v>
      </c>
      <c r="B927" t="s">
        <v>3437</v>
      </c>
      <c r="C927"/>
      <c r="D927" t="s">
        <v>370</v>
      </c>
      <c r="E927" t="s">
        <v>1331</v>
      </c>
      <c r="F927" t="s">
        <v>1347</v>
      </c>
      <c r="G927" t="s">
        <v>280</v>
      </c>
      <c r="H927" t="s">
        <v>1348</v>
      </c>
      <c r="I927" t="s">
        <v>373</v>
      </c>
      <c r="J927"/>
      <c r="K927">
        <v>1</v>
      </c>
      <c r="L927">
        <v>1</v>
      </c>
      <c r="M927" t="s">
        <v>33</v>
      </c>
      <c r="N927">
        <v>1</v>
      </c>
      <c r="O927">
        <v>0.5</v>
      </c>
      <c r="P927">
        <v>0.5</v>
      </c>
      <c r="Q927"/>
      <c r="R927">
        <v>0</v>
      </c>
      <c r="S927">
        <v>0</v>
      </c>
      <c r="T927"/>
      <c r="U927"/>
      <c r="V927"/>
      <c r="W927"/>
      <c r="X927">
        <v>0</v>
      </c>
      <c r="Y927"/>
      <c r="Z927">
        <v>0</v>
      </c>
      <c r="AA927"/>
      <c r="AB927"/>
      <c r="AC927"/>
      <c r="AD927"/>
      <c r="AE927">
        <v>0</v>
      </c>
      <c r="AF927"/>
      <c r="AG927"/>
      <c r="AH927"/>
    </row>
    <row r="928" spans="1:34" x14ac:dyDescent="0.25">
      <c r="A928" t="s">
        <v>1945</v>
      </c>
      <c r="B928" t="s">
        <v>1946</v>
      </c>
      <c r="C928"/>
      <c r="D928" t="s">
        <v>370</v>
      </c>
      <c r="E928" t="s">
        <v>1331</v>
      </c>
      <c r="F928" t="s">
        <v>1349</v>
      </c>
      <c r="G928" t="s">
        <v>280</v>
      </c>
      <c r="H928" t="s">
        <v>1350</v>
      </c>
      <c r="I928" t="s">
        <v>373</v>
      </c>
      <c r="J928"/>
      <c r="K928">
        <v>1</v>
      </c>
      <c r="L928">
        <v>1</v>
      </c>
      <c r="M928" t="s">
        <v>33</v>
      </c>
      <c r="N928">
        <v>1</v>
      </c>
      <c r="O928">
        <v>0.5</v>
      </c>
      <c r="P928">
        <v>0.5</v>
      </c>
      <c r="Q928"/>
      <c r="R928">
        <v>0</v>
      </c>
      <c r="S928">
        <v>0</v>
      </c>
      <c r="T928"/>
      <c r="U928"/>
      <c r="V928"/>
      <c r="W928"/>
      <c r="X928">
        <v>0</v>
      </c>
      <c r="Y928"/>
      <c r="Z928">
        <v>0</v>
      </c>
      <c r="AA928"/>
      <c r="AB928"/>
      <c r="AC928"/>
      <c r="AD928"/>
      <c r="AE928">
        <v>0</v>
      </c>
      <c r="AF928"/>
      <c r="AG928"/>
      <c r="AH928"/>
    </row>
    <row r="929" spans="1:34" x14ac:dyDescent="0.25">
      <c r="A929" t="s">
        <v>3436</v>
      </c>
      <c r="B929" t="s">
        <v>3437</v>
      </c>
      <c r="C929"/>
      <c r="D929" t="s">
        <v>370</v>
      </c>
      <c r="E929" t="s">
        <v>1331</v>
      </c>
      <c r="F929" t="s">
        <v>1349</v>
      </c>
      <c r="G929" t="s">
        <v>280</v>
      </c>
      <c r="H929" t="s">
        <v>1350</v>
      </c>
      <c r="I929" t="s">
        <v>373</v>
      </c>
      <c r="J929"/>
      <c r="K929">
        <v>1</v>
      </c>
      <c r="L929">
        <v>1</v>
      </c>
      <c r="M929" t="s">
        <v>33</v>
      </c>
      <c r="N929">
        <v>1</v>
      </c>
      <c r="O929">
        <v>0.5</v>
      </c>
      <c r="P929">
        <v>0.5</v>
      </c>
      <c r="Q929"/>
      <c r="R929">
        <v>0</v>
      </c>
      <c r="S929">
        <v>0</v>
      </c>
      <c r="T929"/>
      <c r="U929"/>
      <c r="V929"/>
      <c r="W929"/>
      <c r="X929">
        <v>0</v>
      </c>
      <c r="Y929"/>
      <c r="Z929">
        <v>0</v>
      </c>
      <c r="AA929"/>
      <c r="AB929"/>
      <c r="AC929"/>
      <c r="AD929"/>
      <c r="AE929">
        <v>0</v>
      </c>
      <c r="AF929"/>
      <c r="AG929"/>
      <c r="AH929"/>
    </row>
    <row r="930" spans="1:34" x14ac:dyDescent="0.25">
      <c r="A930" t="s">
        <v>1945</v>
      </c>
      <c r="B930" t="s">
        <v>1946</v>
      </c>
      <c r="C930"/>
      <c r="D930" t="s">
        <v>370</v>
      </c>
      <c r="E930" t="s">
        <v>1331</v>
      </c>
      <c r="F930" t="s">
        <v>1351</v>
      </c>
      <c r="G930" t="s">
        <v>280</v>
      </c>
      <c r="H930" t="s">
        <v>1352</v>
      </c>
      <c r="I930" t="s">
        <v>373</v>
      </c>
      <c r="J930"/>
      <c r="K930">
        <v>1</v>
      </c>
      <c r="L930">
        <v>1</v>
      </c>
      <c r="M930" t="s">
        <v>33</v>
      </c>
      <c r="N930">
        <v>1</v>
      </c>
      <c r="O930">
        <v>0.5</v>
      </c>
      <c r="P930">
        <v>0.5</v>
      </c>
      <c r="Q930"/>
      <c r="R930">
        <v>0</v>
      </c>
      <c r="S930">
        <v>0</v>
      </c>
      <c r="T930"/>
      <c r="U930"/>
      <c r="V930"/>
      <c r="W930"/>
      <c r="X930">
        <v>0</v>
      </c>
      <c r="Y930"/>
      <c r="Z930">
        <v>0</v>
      </c>
      <c r="AA930"/>
      <c r="AB930"/>
      <c r="AC930"/>
      <c r="AD930"/>
      <c r="AE930">
        <v>0</v>
      </c>
      <c r="AF930"/>
      <c r="AG930"/>
      <c r="AH930"/>
    </row>
    <row r="931" spans="1:34" x14ac:dyDescent="0.25">
      <c r="A931" t="s">
        <v>3436</v>
      </c>
      <c r="B931" t="s">
        <v>3437</v>
      </c>
      <c r="C931"/>
      <c r="D931" t="s">
        <v>370</v>
      </c>
      <c r="E931" t="s">
        <v>1331</v>
      </c>
      <c r="F931" t="s">
        <v>1351</v>
      </c>
      <c r="G931" t="s">
        <v>280</v>
      </c>
      <c r="H931" t="s">
        <v>1352</v>
      </c>
      <c r="I931" t="s">
        <v>373</v>
      </c>
      <c r="J931"/>
      <c r="K931">
        <v>1</v>
      </c>
      <c r="L931">
        <v>1</v>
      </c>
      <c r="M931" t="s">
        <v>33</v>
      </c>
      <c r="N931">
        <v>1</v>
      </c>
      <c r="O931">
        <v>0.5</v>
      </c>
      <c r="P931">
        <v>0.5</v>
      </c>
      <c r="Q931"/>
      <c r="R931">
        <v>0</v>
      </c>
      <c r="S931">
        <v>0</v>
      </c>
      <c r="T931"/>
      <c r="U931"/>
      <c r="V931"/>
      <c r="W931"/>
      <c r="X931">
        <v>0</v>
      </c>
      <c r="Y931"/>
      <c r="Z931">
        <v>0</v>
      </c>
      <c r="AA931"/>
      <c r="AB931"/>
      <c r="AC931"/>
      <c r="AD931"/>
      <c r="AE931">
        <v>0</v>
      </c>
      <c r="AF931"/>
      <c r="AG931"/>
      <c r="AH931"/>
    </row>
    <row r="932" spans="1:34" x14ac:dyDescent="0.25">
      <c r="A932" t="s">
        <v>1945</v>
      </c>
      <c r="B932" t="s">
        <v>1946</v>
      </c>
      <c r="C932"/>
      <c r="D932" t="s">
        <v>370</v>
      </c>
      <c r="E932" t="s">
        <v>1331</v>
      </c>
      <c r="F932" t="s">
        <v>1353</v>
      </c>
      <c r="G932" t="s">
        <v>280</v>
      </c>
      <c r="H932" t="s">
        <v>1354</v>
      </c>
      <c r="I932" t="s">
        <v>373</v>
      </c>
      <c r="J932"/>
      <c r="K932">
        <v>1</v>
      </c>
      <c r="L932">
        <v>1</v>
      </c>
      <c r="M932" t="s">
        <v>33</v>
      </c>
      <c r="N932">
        <v>1</v>
      </c>
      <c r="O932">
        <v>0.5</v>
      </c>
      <c r="P932">
        <v>0.5</v>
      </c>
      <c r="Q932"/>
      <c r="R932">
        <v>0</v>
      </c>
      <c r="S932">
        <v>0</v>
      </c>
      <c r="T932"/>
      <c r="U932"/>
      <c r="V932"/>
      <c r="W932"/>
      <c r="X932">
        <v>0</v>
      </c>
      <c r="Y932"/>
      <c r="Z932">
        <v>0</v>
      </c>
      <c r="AA932"/>
      <c r="AB932"/>
      <c r="AC932"/>
      <c r="AD932"/>
      <c r="AE932">
        <v>0</v>
      </c>
      <c r="AF932"/>
      <c r="AG932"/>
      <c r="AH932"/>
    </row>
    <row r="933" spans="1:34" x14ac:dyDescent="0.25">
      <c r="A933" t="s">
        <v>3436</v>
      </c>
      <c r="B933" t="s">
        <v>3437</v>
      </c>
      <c r="C933"/>
      <c r="D933" t="s">
        <v>370</v>
      </c>
      <c r="E933" t="s">
        <v>1331</v>
      </c>
      <c r="F933" t="s">
        <v>1353</v>
      </c>
      <c r="G933" t="s">
        <v>280</v>
      </c>
      <c r="H933" t="s">
        <v>1354</v>
      </c>
      <c r="I933" t="s">
        <v>373</v>
      </c>
      <c r="J933"/>
      <c r="K933">
        <v>1</v>
      </c>
      <c r="L933">
        <v>1</v>
      </c>
      <c r="M933" t="s">
        <v>33</v>
      </c>
      <c r="N933">
        <v>1</v>
      </c>
      <c r="O933">
        <v>0.5</v>
      </c>
      <c r="P933">
        <v>0.5</v>
      </c>
      <c r="Q933"/>
      <c r="R933">
        <v>0</v>
      </c>
      <c r="S933">
        <v>0</v>
      </c>
      <c r="T933"/>
      <c r="U933"/>
      <c r="V933"/>
      <c r="W933"/>
      <c r="X933">
        <v>0</v>
      </c>
      <c r="Y933"/>
      <c r="Z933">
        <v>0</v>
      </c>
      <c r="AA933"/>
      <c r="AB933"/>
      <c r="AC933"/>
      <c r="AD933"/>
      <c r="AE933">
        <v>0</v>
      </c>
      <c r="AF933"/>
      <c r="AG933"/>
      <c r="AH933"/>
    </row>
    <row r="934" spans="1:34" x14ac:dyDescent="0.25">
      <c r="A934" t="s">
        <v>1945</v>
      </c>
      <c r="B934" t="s">
        <v>1946</v>
      </c>
      <c r="C934"/>
      <c r="D934" t="s">
        <v>370</v>
      </c>
      <c r="E934" t="s">
        <v>1331</v>
      </c>
      <c r="F934" t="s">
        <v>1355</v>
      </c>
      <c r="G934" t="s">
        <v>280</v>
      </c>
      <c r="H934" t="s">
        <v>1356</v>
      </c>
      <c r="I934" t="s">
        <v>373</v>
      </c>
      <c r="J934"/>
      <c r="K934">
        <v>1</v>
      </c>
      <c r="L934">
        <v>1</v>
      </c>
      <c r="M934" t="s">
        <v>33</v>
      </c>
      <c r="N934">
        <v>1</v>
      </c>
      <c r="O934">
        <v>0.5</v>
      </c>
      <c r="P934">
        <v>0.5</v>
      </c>
      <c r="Q934"/>
      <c r="R934">
        <v>0</v>
      </c>
      <c r="S934">
        <v>0</v>
      </c>
      <c r="T934"/>
      <c r="U934"/>
      <c r="V934"/>
      <c r="W934"/>
      <c r="X934">
        <v>0</v>
      </c>
      <c r="Y934"/>
      <c r="Z934">
        <v>0</v>
      </c>
      <c r="AA934"/>
      <c r="AB934"/>
      <c r="AC934"/>
      <c r="AD934"/>
      <c r="AE934">
        <v>0</v>
      </c>
      <c r="AF934"/>
      <c r="AG934"/>
      <c r="AH934"/>
    </row>
    <row r="935" spans="1:34" x14ac:dyDescent="0.25">
      <c r="A935" t="s">
        <v>3436</v>
      </c>
      <c r="B935" t="s">
        <v>3437</v>
      </c>
      <c r="C935"/>
      <c r="D935" t="s">
        <v>370</v>
      </c>
      <c r="E935" t="s">
        <v>1331</v>
      </c>
      <c r="F935" t="s">
        <v>1355</v>
      </c>
      <c r="G935" t="s">
        <v>280</v>
      </c>
      <c r="H935" t="s">
        <v>1356</v>
      </c>
      <c r="I935" t="s">
        <v>373</v>
      </c>
      <c r="J935"/>
      <c r="K935">
        <v>1</v>
      </c>
      <c r="L935">
        <v>1</v>
      </c>
      <c r="M935" t="s">
        <v>33</v>
      </c>
      <c r="N935">
        <v>1</v>
      </c>
      <c r="O935">
        <v>0.5</v>
      </c>
      <c r="P935">
        <v>0.5</v>
      </c>
      <c r="Q935"/>
      <c r="R935">
        <v>0</v>
      </c>
      <c r="S935">
        <v>0</v>
      </c>
      <c r="T935"/>
      <c r="U935"/>
      <c r="V935"/>
      <c r="W935"/>
      <c r="X935">
        <v>0</v>
      </c>
      <c r="Y935"/>
      <c r="Z935">
        <v>0</v>
      </c>
      <c r="AA935"/>
      <c r="AB935"/>
      <c r="AC935"/>
      <c r="AD935"/>
      <c r="AE935">
        <v>0</v>
      </c>
      <c r="AF935"/>
      <c r="AG935"/>
      <c r="AH935"/>
    </row>
    <row r="936" spans="1:34" x14ac:dyDescent="0.25">
      <c r="A936" t="s">
        <v>1945</v>
      </c>
      <c r="B936" t="s">
        <v>1946</v>
      </c>
      <c r="C936"/>
      <c r="D936" t="s">
        <v>370</v>
      </c>
      <c r="E936" t="s">
        <v>1331</v>
      </c>
      <c r="F936" t="s">
        <v>1357</v>
      </c>
      <c r="G936" t="s">
        <v>280</v>
      </c>
      <c r="H936" t="s">
        <v>1358</v>
      </c>
      <c r="I936" t="s">
        <v>373</v>
      </c>
      <c r="J936"/>
      <c r="K936">
        <v>1</v>
      </c>
      <c r="L936">
        <v>1</v>
      </c>
      <c r="M936" t="s">
        <v>33</v>
      </c>
      <c r="N936">
        <v>1</v>
      </c>
      <c r="O936">
        <v>0.5</v>
      </c>
      <c r="P936">
        <v>0.5</v>
      </c>
      <c r="Q936"/>
      <c r="R936">
        <v>0</v>
      </c>
      <c r="S936">
        <v>0</v>
      </c>
      <c r="T936"/>
      <c r="U936"/>
      <c r="V936"/>
      <c r="W936"/>
      <c r="X936">
        <v>0</v>
      </c>
      <c r="Y936"/>
      <c r="Z936">
        <v>0</v>
      </c>
      <c r="AA936"/>
      <c r="AB936"/>
      <c r="AC936"/>
      <c r="AD936"/>
      <c r="AE936">
        <v>0</v>
      </c>
      <c r="AF936"/>
      <c r="AG936"/>
      <c r="AH936"/>
    </row>
    <row r="937" spans="1:34" x14ac:dyDescent="0.25">
      <c r="A937" t="s">
        <v>3436</v>
      </c>
      <c r="B937" t="s">
        <v>3437</v>
      </c>
      <c r="C937"/>
      <c r="D937" t="s">
        <v>370</v>
      </c>
      <c r="E937" t="s">
        <v>1331</v>
      </c>
      <c r="F937" t="s">
        <v>1357</v>
      </c>
      <c r="G937" t="s">
        <v>280</v>
      </c>
      <c r="H937" t="s">
        <v>1358</v>
      </c>
      <c r="I937" t="s">
        <v>373</v>
      </c>
      <c r="J937"/>
      <c r="K937">
        <v>1</v>
      </c>
      <c r="L937">
        <v>1</v>
      </c>
      <c r="M937" t="s">
        <v>33</v>
      </c>
      <c r="N937">
        <v>1</v>
      </c>
      <c r="O937">
        <v>0.5</v>
      </c>
      <c r="P937">
        <v>0.5</v>
      </c>
      <c r="Q937"/>
      <c r="R937">
        <v>0</v>
      </c>
      <c r="S937">
        <v>0</v>
      </c>
      <c r="T937"/>
      <c r="U937"/>
      <c r="V937"/>
      <c r="W937"/>
      <c r="X937">
        <v>0</v>
      </c>
      <c r="Y937"/>
      <c r="Z937">
        <v>0</v>
      </c>
      <c r="AA937"/>
      <c r="AB937"/>
      <c r="AC937"/>
      <c r="AD937"/>
      <c r="AE937">
        <v>0</v>
      </c>
      <c r="AF937"/>
      <c r="AG937"/>
      <c r="AH937"/>
    </row>
    <row r="938" spans="1:34" x14ac:dyDescent="0.25">
      <c r="A938" t="s">
        <v>1945</v>
      </c>
      <c r="B938" t="s">
        <v>1946</v>
      </c>
      <c r="C938"/>
      <c r="D938" t="s">
        <v>370</v>
      </c>
      <c r="E938" t="s">
        <v>1331</v>
      </c>
      <c r="F938" t="s">
        <v>1359</v>
      </c>
      <c r="G938" t="s">
        <v>280</v>
      </c>
      <c r="H938" t="s">
        <v>1360</v>
      </c>
      <c r="I938" t="s">
        <v>373</v>
      </c>
      <c r="J938"/>
      <c r="K938">
        <v>1</v>
      </c>
      <c r="L938">
        <v>1</v>
      </c>
      <c r="M938" t="s">
        <v>33</v>
      </c>
      <c r="N938">
        <v>1</v>
      </c>
      <c r="O938">
        <v>0.5</v>
      </c>
      <c r="P938">
        <v>0.5</v>
      </c>
      <c r="Q938"/>
      <c r="R938">
        <v>0</v>
      </c>
      <c r="S938">
        <v>0</v>
      </c>
      <c r="T938"/>
      <c r="U938"/>
      <c r="V938"/>
      <c r="W938"/>
      <c r="X938">
        <v>0</v>
      </c>
      <c r="Y938"/>
      <c r="Z938">
        <v>0</v>
      </c>
      <c r="AA938"/>
      <c r="AB938"/>
      <c r="AC938"/>
      <c r="AD938"/>
      <c r="AE938">
        <v>0</v>
      </c>
      <c r="AF938"/>
      <c r="AG938"/>
      <c r="AH938"/>
    </row>
    <row r="939" spans="1:34" x14ac:dyDescent="0.25">
      <c r="A939" t="s">
        <v>3436</v>
      </c>
      <c r="B939" t="s">
        <v>3437</v>
      </c>
      <c r="C939"/>
      <c r="D939" t="s">
        <v>370</v>
      </c>
      <c r="E939" t="s">
        <v>1331</v>
      </c>
      <c r="F939" t="s">
        <v>1359</v>
      </c>
      <c r="G939" t="s">
        <v>280</v>
      </c>
      <c r="H939" t="s">
        <v>1360</v>
      </c>
      <c r="I939" t="s">
        <v>373</v>
      </c>
      <c r="J939"/>
      <c r="K939">
        <v>1</v>
      </c>
      <c r="L939">
        <v>1</v>
      </c>
      <c r="M939" t="s">
        <v>33</v>
      </c>
      <c r="N939">
        <v>1</v>
      </c>
      <c r="O939">
        <v>0.5</v>
      </c>
      <c r="P939">
        <v>0.5</v>
      </c>
      <c r="Q939"/>
      <c r="R939">
        <v>0</v>
      </c>
      <c r="S939">
        <v>0</v>
      </c>
      <c r="T939"/>
      <c r="U939"/>
      <c r="V939"/>
      <c r="W939"/>
      <c r="X939">
        <v>0</v>
      </c>
      <c r="Y939"/>
      <c r="Z939">
        <v>0</v>
      </c>
      <c r="AA939"/>
      <c r="AB939"/>
      <c r="AC939"/>
      <c r="AD939"/>
      <c r="AE939">
        <v>0</v>
      </c>
      <c r="AF939"/>
      <c r="AG939"/>
      <c r="AH939"/>
    </row>
    <row r="940" spans="1:34" x14ac:dyDescent="0.25">
      <c r="A940" t="s">
        <v>1945</v>
      </c>
      <c r="B940" t="s">
        <v>1946</v>
      </c>
      <c r="C940"/>
      <c r="D940" t="s">
        <v>370</v>
      </c>
      <c r="E940" t="s">
        <v>1331</v>
      </c>
      <c r="F940" t="s">
        <v>1361</v>
      </c>
      <c r="G940" t="s">
        <v>280</v>
      </c>
      <c r="H940" t="s">
        <v>1362</v>
      </c>
      <c r="I940" t="s">
        <v>373</v>
      </c>
      <c r="J940"/>
      <c r="K940">
        <v>1</v>
      </c>
      <c r="L940">
        <v>1</v>
      </c>
      <c r="M940" t="s">
        <v>33</v>
      </c>
      <c r="N940">
        <v>1</v>
      </c>
      <c r="O940">
        <v>0.5</v>
      </c>
      <c r="P940">
        <v>0.5</v>
      </c>
      <c r="Q940"/>
      <c r="R940">
        <v>0</v>
      </c>
      <c r="S940">
        <v>0</v>
      </c>
      <c r="T940"/>
      <c r="U940"/>
      <c r="V940"/>
      <c r="W940"/>
      <c r="X940">
        <v>0</v>
      </c>
      <c r="Y940"/>
      <c r="Z940">
        <v>0</v>
      </c>
      <c r="AA940"/>
      <c r="AB940"/>
      <c r="AC940"/>
      <c r="AD940"/>
      <c r="AE940">
        <v>0</v>
      </c>
      <c r="AF940"/>
      <c r="AG940"/>
      <c r="AH940"/>
    </row>
    <row r="941" spans="1:34" x14ac:dyDescent="0.25">
      <c r="A941" t="s">
        <v>3436</v>
      </c>
      <c r="B941" t="s">
        <v>3437</v>
      </c>
      <c r="C941"/>
      <c r="D941" t="s">
        <v>370</v>
      </c>
      <c r="E941" t="s">
        <v>1331</v>
      </c>
      <c r="F941" t="s">
        <v>1361</v>
      </c>
      <c r="G941" t="s">
        <v>280</v>
      </c>
      <c r="H941" t="s">
        <v>1362</v>
      </c>
      <c r="I941" t="s">
        <v>373</v>
      </c>
      <c r="J941"/>
      <c r="K941">
        <v>1</v>
      </c>
      <c r="L941">
        <v>1</v>
      </c>
      <c r="M941" t="s">
        <v>33</v>
      </c>
      <c r="N941">
        <v>1</v>
      </c>
      <c r="O941">
        <v>0.5</v>
      </c>
      <c r="P941">
        <v>0.5</v>
      </c>
      <c r="Q941"/>
      <c r="R941">
        <v>0</v>
      </c>
      <c r="S941">
        <v>0</v>
      </c>
      <c r="T941"/>
      <c r="U941"/>
      <c r="V941"/>
      <c r="W941"/>
      <c r="X941">
        <v>0</v>
      </c>
      <c r="Y941"/>
      <c r="Z941">
        <v>0</v>
      </c>
      <c r="AA941"/>
      <c r="AB941"/>
      <c r="AC941"/>
      <c r="AD941"/>
      <c r="AE941">
        <v>0</v>
      </c>
      <c r="AF941"/>
      <c r="AG941"/>
      <c r="AH941"/>
    </row>
    <row r="942" spans="1:34" x14ac:dyDescent="0.25">
      <c r="A942" t="s">
        <v>1945</v>
      </c>
      <c r="B942" t="s">
        <v>1946</v>
      </c>
      <c r="C942"/>
      <c r="D942" t="s">
        <v>370</v>
      </c>
      <c r="E942" t="s">
        <v>1331</v>
      </c>
      <c r="F942" t="s">
        <v>1363</v>
      </c>
      <c r="G942" t="s">
        <v>280</v>
      </c>
      <c r="H942" t="s">
        <v>1364</v>
      </c>
      <c r="I942" t="s">
        <v>373</v>
      </c>
      <c r="J942"/>
      <c r="K942">
        <v>1</v>
      </c>
      <c r="L942">
        <v>1</v>
      </c>
      <c r="M942" t="s">
        <v>33</v>
      </c>
      <c r="N942">
        <v>1</v>
      </c>
      <c r="O942">
        <v>0.5</v>
      </c>
      <c r="P942">
        <v>0.5</v>
      </c>
      <c r="Q942"/>
      <c r="R942">
        <v>0</v>
      </c>
      <c r="S942">
        <v>0</v>
      </c>
      <c r="T942"/>
      <c r="U942"/>
      <c r="V942"/>
      <c r="W942"/>
      <c r="X942">
        <v>0</v>
      </c>
      <c r="Y942"/>
      <c r="Z942">
        <v>0</v>
      </c>
      <c r="AA942"/>
      <c r="AB942"/>
      <c r="AC942"/>
      <c r="AD942"/>
      <c r="AE942">
        <v>0</v>
      </c>
      <c r="AF942"/>
      <c r="AG942"/>
      <c r="AH942"/>
    </row>
    <row r="943" spans="1:34" x14ac:dyDescent="0.25">
      <c r="A943" t="s">
        <v>3436</v>
      </c>
      <c r="B943" t="s">
        <v>3437</v>
      </c>
      <c r="C943"/>
      <c r="D943" t="s">
        <v>370</v>
      </c>
      <c r="E943" t="s">
        <v>1331</v>
      </c>
      <c r="F943" t="s">
        <v>1363</v>
      </c>
      <c r="G943" t="s">
        <v>280</v>
      </c>
      <c r="H943" t="s">
        <v>1364</v>
      </c>
      <c r="I943" t="s">
        <v>373</v>
      </c>
      <c r="J943"/>
      <c r="K943">
        <v>1</v>
      </c>
      <c r="L943">
        <v>1</v>
      </c>
      <c r="M943" t="s">
        <v>33</v>
      </c>
      <c r="N943">
        <v>1</v>
      </c>
      <c r="O943">
        <v>0.5</v>
      </c>
      <c r="P943">
        <v>0.5</v>
      </c>
      <c r="Q943"/>
      <c r="R943">
        <v>0</v>
      </c>
      <c r="S943">
        <v>0</v>
      </c>
      <c r="T943"/>
      <c r="U943"/>
      <c r="V943"/>
      <c r="W943"/>
      <c r="X943">
        <v>0</v>
      </c>
      <c r="Y943"/>
      <c r="Z943">
        <v>0</v>
      </c>
      <c r="AA943"/>
      <c r="AB943"/>
      <c r="AC943"/>
      <c r="AD943"/>
      <c r="AE943">
        <v>0</v>
      </c>
      <c r="AF943"/>
      <c r="AG943"/>
      <c r="AH943"/>
    </row>
    <row r="944" spans="1:34" x14ac:dyDescent="0.25">
      <c r="A944" t="s">
        <v>1945</v>
      </c>
      <c r="B944" t="s">
        <v>1946</v>
      </c>
      <c r="C944"/>
      <c r="D944" t="s">
        <v>370</v>
      </c>
      <c r="E944" t="s">
        <v>1331</v>
      </c>
      <c r="F944" t="s">
        <v>1365</v>
      </c>
      <c r="G944" t="s">
        <v>280</v>
      </c>
      <c r="H944" t="s">
        <v>1366</v>
      </c>
      <c r="I944" t="s">
        <v>373</v>
      </c>
      <c r="J944"/>
      <c r="K944">
        <v>1</v>
      </c>
      <c r="L944">
        <v>1</v>
      </c>
      <c r="M944" t="s">
        <v>33</v>
      </c>
      <c r="N944">
        <v>1</v>
      </c>
      <c r="O944">
        <v>0.5</v>
      </c>
      <c r="P944">
        <v>0.5</v>
      </c>
      <c r="Q944"/>
      <c r="R944">
        <v>0</v>
      </c>
      <c r="S944">
        <v>0</v>
      </c>
      <c r="T944"/>
      <c r="U944"/>
      <c r="V944"/>
      <c r="W944"/>
      <c r="X944">
        <v>0</v>
      </c>
      <c r="Y944"/>
      <c r="Z944">
        <v>0</v>
      </c>
      <c r="AA944"/>
      <c r="AB944"/>
      <c r="AC944"/>
      <c r="AD944"/>
      <c r="AE944">
        <v>0</v>
      </c>
      <c r="AF944"/>
      <c r="AG944"/>
      <c r="AH944"/>
    </row>
    <row r="945" spans="1:34" x14ac:dyDescent="0.25">
      <c r="A945" t="s">
        <v>3436</v>
      </c>
      <c r="B945" t="s">
        <v>3437</v>
      </c>
      <c r="C945"/>
      <c r="D945" t="s">
        <v>370</v>
      </c>
      <c r="E945" t="s">
        <v>1331</v>
      </c>
      <c r="F945" t="s">
        <v>1365</v>
      </c>
      <c r="G945" t="s">
        <v>280</v>
      </c>
      <c r="H945" t="s">
        <v>1366</v>
      </c>
      <c r="I945" t="s">
        <v>373</v>
      </c>
      <c r="J945"/>
      <c r="K945">
        <v>1</v>
      </c>
      <c r="L945">
        <v>1</v>
      </c>
      <c r="M945" t="s">
        <v>33</v>
      </c>
      <c r="N945">
        <v>1</v>
      </c>
      <c r="O945">
        <v>0.5</v>
      </c>
      <c r="P945">
        <v>0.5</v>
      </c>
      <c r="Q945"/>
      <c r="R945">
        <v>0</v>
      </c>
      <c r="S945">
        <v>0</v>
      </c>
      <c r="T945"/>
      <c r="U945"/>
      <c r="V945"/>
      <c r="W945"/>
      <c r="X945">
        <v>0</v>
      </c>
      <c r="Y945"/>
      <c r="Z945">
        <v>0</v>
      </c>
      <c r="AA945"/>
      <c r="AB945"/>
      <c r="AC945"/>
      <c r="AD945"/>
      <c r="AE945">
        <v>0</v>
      </c>
      <c r="AF945"/>
      <c r="AG945"/>
      <c r="AH945"/>
    </row>
    <row r="946" spans="1:34" x14ac:dyDescent="0.25">
      <c r="A946" t="s">
        <v>1945</v>
      </c>
      <c r="B946" t="s">
        <v>1946</v>
      </c>
      <c r="C946"/>
      <c r="D946" t="s">
        <v>370</v>
      </c>
      <c r="E946" t="s">
        <v>1331</v>
      </c>
      <c r="F946" t="s">
        <v>1367</v>
      </c>
      <c r="G946" t="s">
        <v>280</v>
      </c>
      <c r="H946" t="s">
        <v>1368</v>
      </c>
      <c r="I946" t="s">
        <v>373</v>
      </c>
      <c r="J946"/>
      <c r="K946">
        <v>1</v>
      </c>
      <c r="L946">
        <v>1</v>
      </c>
      <c r="M946" t="s">
        <v>33</v>
      </c>
      <c r="N946">
        <v>1</v>
      </c>
      <c r="O946">
        <v>0.5</v>
      </c>
      <c r="P946">
        <v>0.5</v>
      </c>
      <c r="Q946"/>
      <c r="R946">
        <v>0</v>
      </c>
      <c r="S946">
        <v>0</v>
      </c>
      <c r="T946"/>
      <c r="U946"/>
      <c r="V946"/>
      <c r="W946"/>
      <c r="X946">
        <v>0</v>
      </c>
      <c r="Y946"/>
      <c r="Z946">
        <v>0</v>
      </c>
      <c r="AA946"/>
      <c r="AB946"/>
      <c r="AC946"/>
      <c r="AD946"/>
      <c r="AE946">
        <v>0</v>
      </c>
      <c r="AF946"/>
      <c r="AG946"/>
      <c r="AH946"/>
    </row>
    <row r="947" spans="1:34" x14ac:dyDescent="0.25">
      <c r="A947" t="s">
        <v>3436</v>
      </c>
      <c r="B947" t="s">
        <v>3437</v>
      </c>
      <c r="C947"/>
      <c r="D947" t="s">
        <v>370</v>
      </c>
      <c r="E947" t="s">
        <v>1331</v>
      </c>
      <c r="F947" t="s">
        <v>1367</v>
      </c>
      <c r="G947" t="s">
        <v>280</v>
      </c>
      <c r="H947" t="s">
        <v>1368</v>
      </c>
      <c r="I947" t="s">
        <v>373</v>
      </c>
      <c r="J947"/>
      <c r="K947">
        <v>1</v>
      </c>
      <c r="L947">
        <v>1</v>
      </c>
      <c r="M947" t="s">
        <v>33</v>
      </c>
      <c r="N947">
        <v>1</v>
      </c>
      <c r="O947">
        <v>0.5</v>
      </c>
      <c r="P947">
        <v>0.5</v>
      </c>
      <c r="Q947"/>
      <c r="R947">
        <v>0</v>
      </c>
      <c r="S947">
        <v>0</v>
      </c>
      <c r="T947"/>
      <c r="U947"/>
      <c r="V947"/>
      <c r="W947"/>
      <c r="X947">
        <v>0</v>
      </c>
      <c r="Y947"/>
      <c r="Z947">
        <v>0</v>
      </c>
      <c r="AA947"/>
      <c r="AB947"/>
      <c r="AC947"/>
      <c r="AD947"/>
      <c r="AE947">
        <v>0</v>
      </c>
      <c r="AF947"/>
      <c r="AG947"/>
      <c r="AH947"/>
    </row>
    <row r="948" spans="1:34" x14ac:dyDescent="0.25">
      <c r="A948" t="s">
        <v>1945</v>
      </c>
      <c r="B948" t="s">
        <v>1946</v>
      </c>
      <c r="C948"/>
      <c r="D948" t="s">
        <v>370</v>
      </c>
      <c r="E948" t="s">
        <v>1331</v>
      </c>
      <c r="F948" t="s">
        <v>1369</v>
      </c>
      <c r="G948" t="s">
        <v>280</v>
      </c>
      <c r="H948" t="s">
        <v>1370</v>
      </c>
      <c r="I948" t="s">
        <v>373</v>
      </c>
      <c r="J948"/>
      <c r="K948">
        <v>1</v>
      </c>
      <c r="L948">
        <v>1</v>
      </c>
      <c r="M948" t="s">
        <v>33</v>
      </c>
      <c r="N948">
        <v>1</v>
      </c>
      <c r="O948">
        <v>0.5</v>
      </c>
      <c r="P948">
        <v>0.5</v>
      </c>
      <c r="Q948"/>
      <c r="R948">
        <v>0</v>
      </c>
      <c r="S948">
        <v>0</v>
      </c>
      <c r="T948"/>
      <c r="U948"/>
      <c r="V948"/>
      <c r="W948"/>
      <c r="X948">
        <v>0</v>
      </c>
      <c r="Y948"/>
      <c r="Z948">
        <v>0</v>
      </c>
      <c r="AA948"/>
      <c r="AB948"/>
      <c r="AC948"/>
      <c r="AD948"/>
      <c r="AE948">
        <v>0</v>
      </c>
      <c r="AF948"/>
      <c r="AG948"/>
      <c r="AH948"/>
    </row>
    <row r="949" spans="1:34" x14ac:dyDescent="0.25">
      <c r="A949" t="s">
        <v>3436</v>
      </c>
      <c r="B949" t="s">
        <v>3437</v>
      </c>
      <c r="C949"/>
      <c r="D949" t="s">
        <v>370</v>
      </c>
      <c r="E949" t="s">
        <v>1331</v>
      </c>
      <c r="F949" t="s">
        <v>1369</v>
      </c>
      <c r="G949" t="s">
        <v>280</v>
      </c>
      <c r="H949" t="s">
        <v>1370</v>
      </c>
      <c r="I949" t="s">
        <v>373</v>
      </c>
      <c r="J949"/>
      <c r="K949">
        <v>1</v>
      </c>
      <c r="L949">
        <v>1</v>
      </c>
      <c r="M949" t="s">
        <v>33</v>
      </c>
      <c r="N949">
        <v>1</v>
      </c>
      <c r="O949">
        <v>0.5</v>
      </c>
      <c r="P949">
        <v>0.5</v>
      </c>
      <c r="Q949"/>
      <c r="R949">
        <v>0</v>
      </c>
      <c r="S949">
        <v>0</v>
      </c>
      <c r="T949"/>
      <c r="U949"/>
      <c r="V949"/>
      <c r="W949"/>
      <c r="X949">
        <v>0</v>
      </c>
      <c r="Y949"/>
      <c r="Z949">
        <v>0</v>
      </c>
      <c r="AA949"/>
      <c r="AB949"/>
      <c r="AC949"/>
      <c r="AD949"/>
      <c r="AE949">
        <v>0</v>
      </c>
      <c r="AF949"/>
      <c r="AG949"/>
      <c r="AH949"/>
    </row>
    <row r="950" spans="1:34" x14ac:dyDescent="0.25">
      <c r="A950" t="s">
        <v>1945</v>
      </c>
      <c r="B950" t="s">
        <v>1946</v>
      </c>
      <c r="C950"/>
      <c r="D950" t="s">
        <v>370</v>
      </c>
      <c r="E950" t="s">
        <v>1331</v>
      </c>
      <c r="F950" t="s">
        <v>1371</v>
      </c>
      <c r="G950" t="s">
        <v>280</v>
      </c>
      <c r="H950" t="s">
        <v>1372</v>
      </c>
      <c r="I950" t="s">
        <v>373</v>
      </c>
      <c r="J950"/>
      <c r="K950">
        <v>1</v>
      </c>
      <c r="L950">
        <v>1</v>
      </c>
      <c r="M950" t="s">
        <v>33</v>
      </c>
      <c r="N950">
        <v>1</v>
      </c>
      <c r="O950">
        <v>0.5</v>
      </c>
      <c r="P950">
        <v>0.5</v>
      </c>
      <c r="Q950"/>
      <c r="R950">
        <v>0</v>
      </c>
      <c r="S950">
        <v>0</v>
      </c>
      <c r="T950"/>
      <c r="U950"/>
      <c r="V950"/>
      <c r="W950"/>
      <c r="X950">
        <v>0</v>
      </c>
      <c r="Y950"/>
      <c r="Z950">
        <v>0</v>
      </c>
      <c r="AA950"/>
      <c r="AB950"/>
      <c r="AC950"/>
      <c r="AD950"/>
      <c r="AE950">
        <v>0</v>
      </c>
      <c r="AF950"/>
      <c r="AG950"/>
      <c r="AH950"/>
    </row>
    <row r="951" spans="1:34" x14ac:dyDescent="0.25">
      <c r="A951" t="s">
        <v>3436</v>
      </c>
      <c r="B951" t="s">
        <v>3437</v>
      </c>
      <c r="C951"/>
      <c r="D951" t="s">
        <v>370</v>
      </c>
      <c r="E951" t="s">
        <v>1331</v>
      </c>
      <c r="F951" t="s">
        <v>1371</v>
      </c>
      <c r="G951" t="s">
        <v>280</v>
      </c>
      <c r="H951" t="s">
        <v>1372</v>
      </c>
      <c r="I951" t="s">
        <v>373</v>
      </c>
      <c r="J951"/>
      <c r="K951">
        <v>1</v>
      </c>
      <c r="L951">
        <v>1</v>
      </c>
      <c r="M951" t="s">
        <v>33</v>
      </c>
      <c r="N951">
        <v>1</v>
      </c>
      <c r="O951">
        <v>0.5</v>
      </c>
      <c r="P951">
        <v>0.5</v>
      </c>
      <c r="Q951"/>
      <c r="R951">
        <v>0</v>
      </c>
      <c r="S951">
        <v>0</v>
      </c>
      <c r="T951"/>
      <c r="U951"/>
      <c r="V951"/>
      <c r="W951"/>
      <c r="X951">
        <v>0</v>
      </c>
      <c r="Y951"/>
      <c r="Z951">
        <v>0</v>
      </c>
      <c r="AA951"/>
      <c r="AB951"/>
      <c r="AC951"/>
      <c r="AD951"/>
      <c r="AE951">
        <v>0</v>
      </c>
      <c r="AF951"/>
      <c r="AG951"/>
      <c r="AH951"/>
    </row>
    <row r="952" spans="1:34" x14ac:dyDescent="0.25">
      <c r="A952" t="s">
        <v>1945</v>
      </c>
      <c r="B952" t="s">
        <v>1946</v>
      </c>
      <c r="C952"/>
      <c r="D952" t="s">
        <v>370</v>
      </c>
      <c r="E952" t="s">
        <v>1331</v>
      </c>
      <c r="F952" t="s">
        <v>1373</v>
      </c>
      <c r="G952" t="s">
        <v>280</v>
      </c>
      <c r="H952" t="s">
        <v>1374</v>
      </c>
      <c r="I952" t="s">
        <v>373</v>
      </c>
      <c r="J952"/>
      <c r="K952">
        <v>1</v>
      </c>
      <c r="L952">
        <v>1</v>
      </c>
      <c r="M952" t="s">
        <v>33</v>
      </c>
      <c r="N952">
        <v>1</v>
      </c>
      <c r="O952">
        <v>0.5</v>
      </c>
      <c r="P952">
        <v>0.5</v>
      </c>
      <c r="Q952"/>
      <c r="R952">
        <v>0</v>
      </c>
      <c r="S952">
        <v>0</v>
      </c>
      <c r="T952"/>
      <c r="U952"/>
      <c r="V952"/>
      <c r="W952"/>
      <c r="X952">
        <v>0</v>
      </c>
      <c r="Y952"/>
      <c r="Z952">
        <v>0</v>
      </c>
      <c r="AA952"/>
      <c r="AB952"/>
      <c r="AC952"/>
      <c r="AD952"/>
      <c r="AE952">
        <v>0</v>
      </c>
      <c r="AF952"/>
      <c r="AG952"/>
      <c r="AH952"/>
    </row>
    <row r="953" spans="1:34" x14ac:dyDescent="0.25">
      <c r="A953" t="s">
        <v>3436</v>
      </c>
      <c r="B953" t="s">
        <v>3437</v>
      </c>
      <c r="C953"/>
      <c r="D953" t="s">
        <v>370</v>
      </c>
      <c r="E953" t="s">
        <v>1331</v>
      </c>
      <c r="F953" t="s">
        <v>1373</v>
      </c>
      <c r="G953" t="s">
        <v>280</v>
      </c>
      <c r="H953" t="s">
        <v>1374</v>
      </c>
      <c r="I953" t="s">
        <v>373</v>
      </c>
      <c r="J953"/>
      <c r="K953">
        <v>1</v>
      </c>
      <c r="L953">
        <v>1</v>
      </c>
      <c r="M953" t="s">
        <v>33</v>
      </c>
      <c r="N953">
        <v>1</v>
      </c>
      <c r="O953">
        <v>0.5</v>
      </c>
      <c r="P953">
        <v>0.5</v>
      </c>
      <c r="Q953"/>
      <c r="R953">
        <v>0</v>
      </c>
      <c r="S953">
        <v>0</v>
      </c>
      <c r="T953"/>
      <c r="U953"/>
      <c r="V953"/>
      <c r="W953"/>
      <c r="X953">
        <v>0</v>
      </c>
      <c r="Y953"/>
      <c r="Z953">
        <v>0</v>
      </c>
      <c r="AA953"/>
      <c r="AB953"/>
      <c r="AC953"/>
      <c r="AD953"/>
      <c r="AE953">
        <v>0</v>
      </c>
      <c r="AF953"/>
      <c r="AG953"/>
      <c r="AH953"/>
    </row>
    <row r="954" spans="1:34" x14ac:dyDescent="0.25">
      <c r="A954" t="s">
        <v>1945</v>
      </c>
      <c r="B954" t="s">
        <v>1946</v>
      </c>
      <c r="C954"/>
      <c r="D954" t="s">
        <v>370</v>
      </c>
      <c r="E954" t="s">
        <v>1331</v>
      </c>
      <c r="F954" t="s">
        <v>1375</v>
      </c>
      <c r="G954" t="s">
        <v>280</v>
      </c>
      <c r="H954" t="s">
        <v>1376</v>
      </c>
      <c r="I954" t="s">
        <v>373</v>
      </c>
      <c r="J954"/>
      <c r="K954">
        <v>1</v>
      </c>
      <c r="L954">
        <v>1</v>
      </c>
      <c r="M954" t="s">
        <v>33</v>
      </c>
      <c r="N954">
        <v>1</v>
      </c>
      <c r="O954">
        <v>0.5</v>
      </c>
      <c r="P954">
        <v>0.5</v>
      </c>
      <c r="Q954"/>
      <c r="R954">
        <v>0</v>
      </c>
      <c r="S954">
        <v>0</v>
      </c>
      <c r="T954"/>
      <c r="U954"/>
      <c r="V954"/>
      <c r="W954"/>
      <c r="X954">
        <v>0</v>
      </c>
      <c r="Y954"/>
      <c r="Z954">
        <v>0</v>
      </c>
      <c r="AA954"/>
      <c r="AB954"/>
      <c r="AC954"/>
      <c r="AD954"/>
      <c r="AE954">
        <v>0</v>
      </c>
      <c r="AF954"/>
      <c r="AG954"/>
      <c r="AH954"/>
    </row>
    <row r="955" spans="1:34" x14ac:dyDescent="0.25">
      <c r="A955" t="s">
        <v>3436</v>
      </c>
      <c r="B955" t="s">
        <v>3437</v>
      </c>
      <c r="C955"/>
      <c r="D955" t="s">
        <v>370</v>
      </c>
      <c r="E955" t="s">
        <v>1331</v>
      </c>
      <c r="F955" t="s">
        <v>1375</v>
      </c>
      <c r="G955" t="s">
        <v>280</v>
      </c>
      <c r="H955" t="s">
        <v>1376</v>
      </c>
      <c r="I955" t="s">
        <v>373</v>
      </c>
      <c r="J955"/>
      <c r="K955">
        <v>1</v>
      </c>
      <c r="L955">
        <v>1</v>
      </c>
      <c r="M955" t="s">
        <v>33</v>
      </c>
      <c r="N955">
        <v>1</v>
      </c>
      <c r="O955">
        <v>0.5</v>
      </c>
      <c r="P955">
        <v>0.5</v>
      </c>
      <c r="Q955"/>
      <c r="R955">
        <v>0</v>
      </c>
      <c r="S955">
        <v>0</v>
      </c>
      <c r="T955"/>
      <c r="U955"/>
      <c r="V955"/>
      <c r="W955"/>
      <c r="X955">
        <v>0</v>
      </c>
      <c r="Y955"/>
      <c r="Z955">
        <v>0</v>
      </c>
      <c r="AA955"/>
      <c r="AB955"/>
      <c r="AC955"/>
      <c r="AD955"/>
      <c r="AE955">
        <v>0</v>
      </c>
      <c r="AF955"/>
      <c r="AG955"/>
      <c r="AH955"/>
    </row>
    <row r="956" spans="1:34" x14ac:dyDescent="0.25">
      <c r="A956" t="s">
        <v>1945</v>
      </c>
      <c r="B956" t="s">
        <v>1946</v>
      </c>
      <c r="C956"/>
      <c r="D956" t="s">
        <v>370</v>
      </c>
      <c r="E956" t="s">
        <v>1331</v>
      </c>
      <c r="F956" t="s">
        <v>1377</v>
      </c>
      <c r="G956" t="s">
        <v>280</v>
      </c>
      <c r="H956" t="s">
        <v>1378</v>
      </c>
      <c r="I956" t="s">
        <v>373</v>
      </c>
      <c r="J956"/>
      <c r="K956">
        <v>1</v>
      </c>
      <c r="L956">
        <v>1</v>
      </c>
      <c r="M956" t="s">
        <v>33</v>
      </c>
      <c r="N956">
        <v>1</v>
      </c>
      <c r="O956">
        <v>0.5</v>
      </c>
      <c r="P956">
        <v>0.5</v>
      </c>
      <c r="Q956"/>
      <c r="R956">
        <v>0</v>
      </c>
      <c r="S956">
        <v>0</v>
      </c>
      <c r="T956"/>
      <c r="U956"/>
      <c r="V956"/>
      <c r="W956"/>
      <c r="X956">
        <v>0</v>
      </c>
      <c r="Y956"/>
      <c r="Z956">
        <v>0</v>
      </c>
      <c r="AA956"/>
      <c r="AB956"/>
      <c r="AC956"/>
      <c r="AD956"/>
      <c r="AE956">
        <v>0</v>
      </c>
      <c r="AF956"/>
      <c r="AG956"/>
      <c r="AH956"/>
    </row>
    <row r="957" spans="1:34" x14ac:dyDescent="0.25">
      <c r="A957" t="s">
        <v>3436</v>
      </c>
      <c r="B957" t="s">
        <v>3437</v>
      </c>
      <c r="C957"/>
      <c r="D957" t="s">
        <v>370</v>
      </c>
      <c r="E957" t="s">
        <v>1331</v>
      </c>
      <c r="F957" t="s">
        <v>1377</v>
      </c>
      <c r="G957" t="s">
        <v>280</v>
      </c>
      <c r="H957" t="s">
        <v>1378</v>
      </c>
      <c r="I957" t="s">
        <v>373</v>
      </c>
      <c r="J957"/>
      <c r="K957">
        <v>1</v>
      </c>
      <c r="L957">
        <v>1</v>
      </c>
      <c r="M957" t="s">
        <v>33</v>
      </c>
      <c r="N957">
        <v>1</v>
      </c>
      <c r="O957">
        <v>0.5</v>
      </c>
      <c r="P957">
        <v>0.5</v>
      </c>
      <c r="Q957"/>
      <c r="R957">
        <v>0</v>
      </c>
      <c r="S957">
        <v>0</v>
      </c>
      <c r="T957"/>
      <c r="U957"/>
      <c r="V957"/>
      <c r="W957"/>
      <c r="X957">
        <v>0</v>
      </c>
      <c r="Y957"/>
      <c r="Z957">
        <v>0</v>
      </c>
      <c r="AA957"/>
      <c r="AB957"/>
      <c r="AC957"/>
      <c r="AD957"/>
      <c r="AE957">
        <v>0</v>
      </c>
      <c r="AF957"/>
      <c r="AG957"/>
      <c r="AH957"/>
    </row>
    <row r="958" spans="1:34" x14ac:dyDescent="0.25">
      <c r="A958" t="s">
        <v>1945</v>
      </c>
      <c r="B958" t="s">
        <v>1946</v>
      </c>
      <c r="C958"/>
      <c r="D958" t="s">
        <v>370</v>
      </c>
      <c r="E958" t="s">
        <v>1331</v>
      </c>
      <c r="F958" t="s">
        <v>1379</v>
      </c>
      <c r="G958" t="s">
        <v>280</v>
      </c>
      <c r="H958" t="s">
        <v>1380</v>
      </c>
      <c r="I958" t="s">
        <v>373</v>
      </c>
      <c r="J958"/>
      <c r="K958">
        <v>1</v>
      </c>
      <c r="L958">
        <v>1</v>
      </c>
      <c r="M958" t="s">
        <v>33</v>
      </c>
      <c r="N958">
        <v>1</v>
      </c>
      <c r="O958">
        <v>0.5</v>
      </c>
      <c r="P958">
        <v>0.5</v>
      </c>
      <c r="Q958"/>
      <c r="R958">
        <v>0</v>
      </c>
      <c r="S958">
        <v>0</v>
      </c>
      <c r="T958"/>
      <c r="U958"/>
      <c r="V958"/>
      <c r="W958"/>
      <c r="X958">
        <v>0</v>
      </c>
      <c r="Y958"/>
      <c r="Z958">
        <v>0</v>
      </c>
      <c r="AA958"/>
      <c r="AB958"/>
      <c r="AC958"/>
      <c r="AD958"/>
      <c r="AE958">
        <v>0</v>
      </c>
      <c r="AF958"/>
      <c r="AG958"/>
      <c r="AH958"/>
    </row>
    <row r="959" spans="1:34" x14ac:dyDescent="0.25">
      <c r="A959" t="s">
        <v>3436</v>
      </c>
      <c r="B959" t="s">
        <v>3437</v>
      </c>
      <c r="C959"/>
      <c r="D959" t="s">
        <v>370</v>
      </c>
      <c r="E959" t="s">
        <v>1331</v>
      </c>
      <c r="F959" t="s">
        <v>1379</v>
      </c>
      <c r="G959" t="s">
        <v>280</v>
      </c>
      <c r="H959" t="s">
        <v>1380</v>
      </c>
      <c r="I959" t="s">
        <v>373</v>
      </c>
      <c r="J959"/>
      <c r="K959">
        <v>1</v>
      </c>
      <c r="L959">
        <v>1</v>
      </c>
      <c r="M959" t="s">
        <v>33</v>
      </c>
      <c r="N959">
        <v>1</v>
      </c>
      <c r="O959">
        <v>0.5</v>
      </c>
      <c r="P959">
        <v>0.5</v>
      </c>
      <c r="Q959"/>
      <c r="R959">
        <v>0</v>
      </c>
      <c r="S959">
        <v>0</v>
      </c>
      <c r="T959"/>
      <c r="U959"/>
      <c r="V959"/>
      <c r="W959"/>
      <c r="X959">
        <v>0</v>
      </c>
      <c r="Y959"/>
      <c r="Z959">
        <v>0</v>
      </c>
      <c r="AA959"/>
      <c r="AB959"/>
      <c r="AC959"/>
      <c r="AD959"/>
      <c r="AE959">
        <v>0</v>
      </c>
      <c r="AF959"/>
      <c r="AG959"/>
      <c r="AH959"/>
    </row>
    <row r="960" spans="1:34" x14ac:dyDescent="0.25">
      <c r="A960" t="s">
        <v>1945</v>
      </c>
      <c r="B960" t="s">
        <v>1946</v>
      </c>
      <c r="C960"/>
      <c r="D960" t="s">
        <v>370</v>
      </c>
      <c r="E960" t="s">
        <v>1331</v>
      </c>
      <c r="F960" t="s">
        <v>1381</v>
      </c>
      <c r="G960" t="s">
        <v>280</v>
      </c>
      <c r="H960" t="s">
        <v>1382</v>
      </c>
      <c r="I960" t="s">
        <v>373</v>
      </c>
      <c r="J960"/>
      <c r="K960">
        <v>1</v>
      </c>
      <c r="L960">
        <v>1</v>
      </c>
      <c r="M960" t="s">
        <v>33</v>
      </c>
      <c r="N960">
        <v>1</v>
      </c>
      <c r="O960">
        <v>0.5</v>
      </c>
      <c r="P960">
        <v>0.5</v>
      </c>
      <c r="Q960"/>
      <c r="R960">
        <v>0</v>
      </c>
      <c r="S960">
        <v>0</v>
      </c>
      <c r="T960"/>
      <c r="U960"/>
      <c r="V960"/>
      <c r="W960"/>
      <c r="X960">
        <v>0</v>
      </c>
      <c r="Y960"/>
      <c r="Z960">
        <v>0</v>
      </c>
      <c r="AA960"/>
      <c r="AB960"/>
      <c r="AC960"/>
      <c r="AD960"/>
      <c r="AE960">
        <v>0</v>
      </c>
      <c r="AF960"/>
      <c r="AG960"/>
      <c r="AH960"/>
    </row>
    <row r="961" spans="1:34" x14ac:dyDescent="0.25">
      <c r="A961" t="s">
        <v>3436</v>
      </c>
      <c r="B961" t="s">
        <v>3437</v>
      </c>
      <c r="C961"/>
      <c r="D961" t="s">
        <v>370</v>
      </c>
      <c r="E961" t="s">
        <v>1331</v>
      </c>
      <c r="F961" t="s">
        <v>1381</v>
      </c>
      <c r="G961" t="s">
        <v>280</v>
      </c>
      <c r="H961" t="s">
        <v>1382</v>
      </c>
      <c r="I961" t="s">
        <v>373</v>
      </c>
      <c r="J961"/>
      <c r="K961">
        <v>1</v>
      </c>
      <c r="L961">
        <v>1</v>
      </c>
      <c r="M961" t="s">
        <v>33</v>
      </c>
      <c r="N961">
        <v>1</v>
      </c>
      <c r="O961">
        <v>0.5</v>
      </c>
      <c r="P961">
        <v>0.5</v>
      </c>
      <c r="Q961"/>
      <c r="R961">
        <v>0</v>
      </c>
      <c r="S961">
        <v>0</v>
      </c>
      <c r="T961"/>
      <c r="U961"/>
      <c r="V961"/>
      <c r="W961"/>
      <c r="X961">
        <v>0</v>
      </c>
      <c r="Y961"/>
      <c r="Z961">
        <v>0</v>
      </c>
      <c r="AA961"/>
      <c r="AB961"/>
      <c r="AC961"/>
      <c r="AD961"/>
      <c r="AE961">
        <v>0</v>
      </c>
      <c r="AF961"/>
      <c r="AG961"/>
      <c r="AH961"/>
    </row>
    <row r="962" spans="1:34" x14ac:dyDescent="0.25">
      <c r="A962" t="s">
        <v>1945</v>
      </c>
      <c r="B962" t="s">
        <v>1946</v>
      </c>
      <c r="C962"/>
      <c r="D962" t="s">
        <v>370</v>
      </c>
      <c r="E962" t="s">
        <v>1331</v>
      </c>
      <c r="F962" t="s">
        <v>1383</v>
      </c>
      <c r="G962" t="s">
        <v>280</v>
      </c>
      <c r="H962" t="s">
        <v>1384</v>
      </c>
      <c r="I962" t="s">
        <v>373</v>
      </c>
      <c r="J962"/>
      <c r="K962">
        <v>1</v>
      </c>
      <c r="L962">
        <v>1</v>
      </c>
      <c r="M962" t="s">
        <v>33</v>
      </c>
      <c r="N962">
        <v>1</v>
      </c>
      <c r="O962">
        <v>0.5</v>
      </c>
      <c r="P962">
        <v>0.5</v>
      </c>
      <c r="Q962"/>
      <c r="R962">
        <v>0</v>
      </c>
      <c r="S962">
        <v>0</v>
      </c>
      <c r="T962"/>
      <c r="U962"/>
      <c r="V962"/>
      <c r="W962"/>
      <c r="X962">
        <v>0</v>
      </c>
      <c r="Y962"/>
      <c r="Z962">
        <v>0</v>
      </c>
      <c r="AA962"/>
      <c r="AB962"/>
      <c r="AC962"/>
      <c r="AD962"/>
      <c r="AE962">
        <v>0</v>
      </c>
      <c r="AF962"/>
      <c r="AG962"/>
      <c r="AH962"/>
    </row>
    <row r="963" spans="1:34" x14ac:dyDescent="0.25">
      <c r="A963" t="s">
        <v>3436</v>
      </c>
      <c r="B963" t="s">
        <v>3437</v>
      </c>
      <c r="C963"/>
      <c r="D963" t="s">
        <v>370</v>
      </c>
      <c r="E963" t="s">
        <v>1331</v>
      </c>
      <c r="F963" t="s">
        <v>1383</v>
      </c>
      <c r="G963" t="s">
        <v>280</v>
      </c>
      <c r="H963" t="s">
        <v>1384</v>
      </c>
      <c r="I963" t="s">
        <v>373</v>
      </c>
      <c r="J963"/>
      <c r="K963">
        <v>1</v>
      </c>
      <c r="L963">
        <v>1</v>
      </c>
      <c r="M963" t="s">
        <v>33</v>
      </c>
      <c r="N963">
        <v>1</v>
      </c>
      <c r="O963">
        <v>0.5</v>
      </c>
      <c r="P963">
        <v>0.5</v>
      </c>
      <c r="Q963"/>
      <c r="R963">
        <v>0</v>
      </c>
      <c r="S963">
        <v>0</v>
      </c>
      <c r="T963"/>
      <c r="U963"/>
      <c r="V963"/>
      <c r="W963"/>
      <c r="X963">
        <v>0</v>
      </c>
      <c r="Y963"/>
      <c r="Z963">
        <v>0</v>
      </c>
      <c r="AA963"/>
      <c r="AB963"/>
      <c r="AC963"/>
      <c r="AD963"/>
      <c r="AE963">
        <v>0</v>
      </c>
      <c r="AF963"/>
      <c r="AG963"/>
      <c r="AH963"/>
    </row>
    <row r="964" spans="1:34" x14ac:dyDescent="0.25">
      <c r="A964" t="s">
        <v>1945</v>
      </c>
      <c r="B964" t="s">
        <v>1946</v>
      </c>
      <c r="C964"/>
      <c r="D964" t="s">
        <v>370</v>
      </c>
      <c r="E964" t="s">
        <v>1331</v>
      </c>
      <c r="F964" t="s">
        <v>1385</v>
      </c>
      <c r="G964" t="s">
        <v>280</v>
      </c>
      <c r="H964" t="s">
        <v>1386</v>
      </c>
      <c r="I964" t="s">
        <v>373</v>
      </c>
      <c r="J964"/>
      <c r="K964">
        <v>1</v>
      </c>
      <c r="L964">
        <v>1</v>
      </c>
      <c r="M964" t="s">
        <v>33</v>
      </c>
      <c r="N964">
        <v>1</v>
      </c>
      <c r="O964">
        <v>0.5</v>
      </c>
      <c r="P964">
        <v>0.5</v>
      </c>
      <c r="Q964"/>
      <c r="R964">
        <v>0</v>
      </c>
      <c r="S964">
        <v>0</v>
      </c>
      <c r="T964"/>
      <c r="U964"/>
      <c r="V964"/>
      <c r="W964"/>
      <c r="X964">
        <v>0</v>
      </c>
      <c r="Y964"/>
      <c r="Z964">
        <v>0</v>
      </c>
      <c r="AA964"/>
      <c r="AB964"/>
      <c r="AC964"/>
      <c r="AD964"/>
      <c r="AE964">
        <v>0</v>
      </c>
      <c r="AF964"/>
      <c r="AG964"/>
      <c r="AH964"/>
    </row>
    <row r="965" spans="1:34" x14ac:dyDescent="0.25">
      <c r="A965" t="s">
        <v>3436</v>
      </c>
      <c r="B965" t="s">
        <v>3437</v>
      </c>
      <c r="C965"/>
      <c r="D965" t="s">
        <v>370</v>
      </c>
      <c r="E965" t="s">
        <v>1331</v>
      </c>
      <c r="F965" t="s">
        <v>1385</v>
      </c>
      <c r="G965" t="s">
        <v>280</v>
      </c>
      <c r="H965" t="s">
        <v>1386</v>
      </c>
      <c r="I965" t="s">
        <v>373</v>
      </c>
      <c r="J965"/>
      <c r="K965">
        <v>1</v>
      </c>
      <c r="L965">
        <v>1</v>
      </c>
      <c r="M965" t="s">
        <v>33</v>
      </c>
      <c r="N965">
        <v>1</v>
      </c>
      <c r="O965">
        <v>0.5</v>
      </c>
      <c r="P965">
        <v>0.5</v>
      </c>
      <c r="Q965"/>
      <c r="R965">
        <v>0</v>
      </c>
      <c r="S965">
        <v>0</v>
      </c>
      <c r="T965"/>
      <c r="U965"/>
      <c r="V965"/>
      <c r="W965"/>
      <c r="X965">
        <v>0</v>
      </c>
      <c r="Y965"/>
      <c r="Z965">
        <v>0</v>
      </c>
      <c r="AA965"/>
      <c r="AB965"/>
      <c r="AC965"/>
      <c r="AD965"/>
      <c r="AE965">
        <v>0</v>
      </c>
      <c r="AF965"/>
      <c r="AG965"/>
      <c r="AH965"/>
    </row>
    <row r="966" spans="1:34" x14ac:dyDescent="0.25">
      <c r="A966" t="s">
        <v>1387</v>
      </c>
      <c r="B966" t="s">
        <v>1388</v>
      </c>
      <c r="C966"/>
      <c r="D966" t="s">
        <v>370</v>
      </c>
      <c r="E966" t="s">
        <v>1389</v>
      </c>
      <c r="F966" t="s">
        <v>1390</v>
      </c>
      <c r="G966" t="s">
        <v>280</v>
      </c>
      <c r="H966" t="s">
        <v>1391</v>
      </c>
      <c r="I966" t="s">
        <v>35</v>
      </c>
      <c r="J966"/>
      <c r="K966">
        <v>1</v>
      </c>
      <c r="L966">
        <v>1</v>
      </c>
      <c r="M966" t="s">
        <v>33</v>
      </c>
      <c r="N966">
        <v>1</v>
      </c>
      <c r="O966">
        <v>0.5</v>
      </c>
      <c r="P966">
        <v>0.5</v>
      </c>
      <c r="Q966" t="s">
        <v>38</v>
      </c>
      <c r="R966">
        <v>1</v>
      </c>
      <c r="S966">
        <v>0</v>
      </c>
      <c r="T966"/>
      <c r="U966"/>
      <c r="V966"/>
      <c r="W966"/>
      <c r="X966">
        <v>0</v>
      </c>
      <c r="Y966"/>
      <c r="Z966">
        <v>0</v>
      </c>
      <c r="AA966"/>
      <c r="AB966"/>
      <c r="AC966"/>
      <c r="AD966"/>
      <c r="AE966">
        <v>0</v>
      </c>
      <c r="AF966"/>
      <c r="AG966" t="s">
        <v>3468</v>
      </c>
      <c r="AH966"/>
    </row>
    <row r="967" spans="1:34" x14ac:dyDescent="0.25">
      <c r="A967" t="s">
        <v>1387</v>
      </c>
      <c r="B967" t="s">
        <v>1388</v>
      </c>
      <c r="C967"/>
      <c r="D967" t="s">
        <v>370</v>
      </c>
      <c r="E967" t="s">
        <v>1389</v>
      </c>
      <c r="F967" t="s">
        <v>1392</v>
      </c>
      <c r="G967" t="s">
        <v>280</v>
      </c>
      <c r="H967" t="s">
        <v>1393</v>
      </c>
      <c r="I967" t="s">
        <v>35</v>
      </c>
      <c r="J967"/>
      <c r="K967">
        <v>1</v>
      </c>
      <c r="L967">
        <v>1</v>
      </c>
      <c r="M967" t="s">
        <v>33</v>
      </c>
      <c r="N967">
        <v>1</v>
      </c>
      <c r="O967">
        <v>0.5</v>
      </c>
      <c r="P967">
        <v>0.5</v>
      </c>
      <c r="Q967" t="s">
        <v>38</v>
      </c>
      <c r="R967">
        <v>1</v>
      </c>
      <c r="S967">
        <v>0</v>
      </c>
      <c r="T967"/>
      <c r="U967"/>
      <c r="V967"/>
      <c r="W967"/>
      <c r="X967">
        <v>0</v>
      </c>
      <c r="Y967"/>
      <c r="Z967">
        <v>0</v>
      </c>
      <c r="AA967"/>
      <c r="AB967"/>
      <c r="AC967"/>
      <c r="AD967"/>
      <c r="AE967">
        <v>0</v>
      </c>
      <c r="AF967"/>
      <c r="AG967" t="s">
        <v>3468</v>
      </c>
      <c r="AH967"/>
    </row>
    <row r="968" spans="1:34" x14ac:dyDescent="0.25">
      <c r="A968" t="s">
        <v>1387</v>
      </c>
      <c r="B968" t="s">
        <v>1388</v>
      </c>
      <c r="C968"/>
      <c r="D968" t="s">
        <v>370</v>
      </c>
      <c r="E968" t="s">
        <v>1389</v>
      </c>
      <c r="F968" t="s">
        <v>1394</v>
      </c>
      <c r="G968" t="s">
        <v>280</v>
      </c>
      <c r="H968" t="s">
        <v>1395</v>
      </c>
      <c r="I968" t="s">
        <v>35</v>
      </c>
      <c r="J968"/>
      <c r="K968">
        <v>1</v>
      </c>
      <c r="L968">
        <v>1</v>
      </c>
      <c r="M968" t="s">
        <v>33</v>
      </c>
      <c r="N968">
        <v>1</v>
      </c>
      <c r="O968">
        <v>0.5</v>
      </c>
      <c r="P968">
        <v>0.5</v>
      </c>
      <c r="Q968" t="s">
        <v>38</v>
      </c>
      <c r="R968">
        <v>1</v>
      </c>
      <c r="S968">
        <v>0</v>
      </c>
      <c r="T968"/>
      <c r="U968"/>
      <c r="V968"/>
      <c r="W968"/>
      <c r="X968">
        <v>0</v>
      </c>
      <c r="Y968"/>
      <c r="Z968">
        <v>0</v>
      </c>
      <c r="AA968"/>
      <c r="AB968"/>
      <c r="AC968"/>
      <c r="AD968"/>
      <c r="AE968">
        <v>0</v>
      </c>
      <c r="AF968"/>
      <c r="AG968" t="s">
        <v>3468</v>
      </c>
      <c r="AH968"/>
    </row>
    <row r="969" spans="1:34" x14ac:dyDescent="0.25">
      <c r="A969" t="s">
        <v>1387</v>
      </c>
      <c r="B969" t="s">
        <v>1388</v>
      </c>
      <c r="C969"/>
      <c r="D969" t="s">
        <v>370</v>
      </c>
      <c r="E969" t="s">
        <v>1389</v>
      </c>
      <c r="F969" t="s">
        <v>1396</v>
      </c>
      <c r="G969" t="s">
        <v>280</v>
      </c>
      <c r="H969" t="s">
        <v>1397</v>
      </c>
      <c r="I969" t="s">
        <v>35</v>
      </c>
      <c r="J969"/>
      <c r="K969">
        <v>1</v>
      </c>
      <c r="L969">
        <v>1</v>
      </c>
      <c r="M969" t="s">
        <v>33</v>
      </c>
      <c r="N969">
        <v>1</v>
      </c>
      <c r="O969">
        <v>0.5</v>
      </c>
      <c r="P969">
        <v>0.5</v>
      </c>
      <c r="Q969" t="s">
        <v>38</v>
      </c>
      <c r="R969">
        <v>1</v>
      </c>
      <c r="S969">
        <v>0</v>
      </c>
      <c r="T969"/>
      <c r="U969"/>
      <c r="V969"/>
      <c r="W969"/>
      <c r="X969">
        <v>0</v>
      </c>
      <c r="Y969"/>
      <c r="Z969">
        <v>0</v>
      </c>
      <c r="AA969"/>
      <c r="AB969"/>
      <c r="AC969"/>
      <c r="AD969"/>
      <c r="AE969">
        <v>0</v>
      </c>
      <c r="AF969"/>
      <c r="AG969" t="s">
        <v>3468</v>
      </c>
      <c r="AH969"/>
    </row>
    <row r="970" spans="1:34" x14ac:dyDescent="0.25">
      <c r="A970" t="s">
        <v>1387</v>
      </c>
      <c r="B970" t="s">
        <v>1388</v>
      </c>
      <c r="C970"/>
      <c r="D970" t="s">
        <v>370</v>
      </c>
      <c r="E970" t="s">
        <v>1389</v>
      </c>
      <c r="F970" t="s">
        <v>1398</v>
      </c>
      <c r="G970" t="s">
        <v>280</v>
      </c>
      <c r="H970" t="s">
        <v>1399</v>
      </c>
      <c r="I970" t="s">
        <v>35</v>
      </c>
      <c r="J970"/>
      <c r="K970">
        <v>1</v>
      </c>
      <c r="L970">
        <v>1</v>
      </c>
      <c r="M970" t="s">
        <v>33</v>
      </c>
      <c r="N970">
        <v>1</v>
      </c>
      <c r="O970">
        <v>0.5</v>
      </c>
      <c r="P970">
        <v>0.5</v>
      </c>
      <c r="Q970" t="s">
        <v>38</v>
      </c>
      <c r="R970">
        <v>1</v>
      </c>
      <c r="S970">
        <v>0</v>
      </c>
      <c r="T970"/>
      <c r="U970"/>
      <c r="V970"/>
      <c r="W970"/>
      <c r="X970">
        <v>0</v>
      </c>
      <c r="Y970"/>
      <c r="Z970">
        <v>0</v>
      </c>
      <c r="AA970"/>
      <c r="AB970"/>
      <c r="AC970"/>
      <c r="AD970"/>
      <c r="AE970">
        <v>0</v>
      </c>
      <c r="AF970"/>
      <c r="AG970" t="s">
        <v>3468</v>
      </c>
      <c r="AH970"/>
    </row>
    <row r="971" spans="1:34" x14ac:dyDescent="0.25">
      <c r="A971" t="s">
        <v>1387</v>
      </c>
      <c r="B971" t="s">
        <v>1388</v>
      </c>
      <c r="C971"/>
      <c r="D971" t="s">
        <v>370</v>
      </c>
      <c r="E971" t="s">
        <v>1389</v>
      </c>
      <c r="F971" t="s">
        <v>1400</v>
      </c>
      <c r="G971" t="s">
        <v>280</v>
      </c>
      <c r="H971" t="s">
        <v>1401</v>
      </c>
      <c r="I971" t="s">
        <v>35</v>
      </c>
      <c r="J971"/>
      <c r="K971">
        <v>1</v>
      </c>
      <c r="L971">
        <v>1</v>
      </c>
      <c r="M971" t="s">
        <v>33</v>
      </c>
      <c r="N971">
        <v>1</v>
      </c>
      <c r="O971">
        <v>0.5</v>
      </c>
      <c r="P971">
        <v>0.5</v>
      </c>
      <c r="Q971" t="s">
        <v>38</v>
      </c>
      <c r="R971">
        <v>1</v>
      </c>
      <c r="S971">
        <v>0</v>
      </c>
      <c r="T971"/>
      <c r="U971"/>
      <c r="V971"/>
      <c r="W971"/>
      <c r="X971">
        <v>0</v>
      </c>
      <c r="Y971"/>
      <c r="Z971">
        <v>0</v>
      </c>
      <c r="AA971"/>
      <c r="AB971"/>
      <c r="AC971"/>
      <c r="AD971"/>
      <c r="AE971">
        <v>0</v>
      </c>
      <c r="AF971"/>
      <c r="AG971" t="s">
        <v>3468</v>
      </c>
      <c r="AH971"/>
    </row>
    <row r="972" spans="1:34" x14ac:dyDescent="0.25">
      <c r="A972" t="s">
        <v>1387</v>
      </c>
      <c r="B972" t="s">
        <v>1388</v>
      </c>
      <c r="C972"/>
      <c r="D972" t="s">
        <v>370</v>
      </c>
      <c r="E972" t="s">
        <v>1389</v>
      </c>
      <c r="F972" t="s">
        <v>1402</v>
      </c>
      <c r="G972" t="s">
        <v>280</v>
      </c>
      <c r="H972" t="s">
        <v>1403</v>
      </c>
      <c r="I972" t="s">
        <v>35</v>
      </c>
      <c r="J972"/>
      <c r="K972">
        <v>1</v>
      </c>
      <c r="L972">
        <v>1</v>
      </c>
      <c r="M972" t="s">
        <v>33</v>
      </c>
      <c r="N972">
        <v>1</v>
      </c>
      <c r="O972">
        <v>0.5</v>
      </c>
      <c r="P972">
        <v>0.5</v>
      </c>
      <c r="Q972" t="s">
        <v>38</v>
      </c>
      <c r="R972">
        <v>1</v>
      </c>
      <c r="S972">
        <v>0</v>
      </c>
      <c r="T972"/>
      <c r="U972"/>
      <c r="V972"/>
      <c r="W972"/>
      <c r="X972">
        <v>0</v>
      </c>
      <c r="Y972"/>
      <c r="Z972">
        <v>0</v>
      </c>
      <c r="AA972"/>
      <c r="AB972"/>
      <c r="AC972"/>
      <c r="AD972"/>
      <c r="AE972">
        <v>0</v>
      </c>
      <c r="AF972"/>
      <c r="AG972" t="s">
        <v>3468</v>
      </c>
      <c r="AH972"/>
    </row>
    <row r="973" spans="1:34" x14ac:dyDescent="0.25">
      <c r="A973" t="s">
        <v>1387</v>
      </c>
      <c r="B973" t="s">
        <v>1388</v>
      </c>
      <c r="C973"/>
      <c r="D973" t="s">
        <v>370</v>
      </c>
      <c r="E973" t="s">
        <v>1389</v>
      </c>
      <c r="F973" t="s">
        <v>1404</v>
      </c>
      <c r="G973" t="s">
        <v>280</v>
      </c>
      <c r="H973" t="s">
        <v>1405</v>
      </c>
      <c r="I973" t="s">
        <v>35</v>
      </c>
      <c r="J973"/>
      <c r="K973">
        <v>1</v>
      </c>
      <c r="L973">
        <v>1</v>
      </c>
      <c r="M973" t="s">
        <v>33</v>
      </c>
      <c r="N973">
        <v>1</v>
      </c>
      <c r="O973">
        <v>0.5</v>
      </c>
      <c r="P973">
        <v>0.5</v>
      </c>
      <c r="Q973" t="s">
        <v>38</v>
      </c>
      <c r="R973">
        <v>1</v>
      </c>
      <c r="S973">
        <v>0</v>
      </c>
      <c r="T973"/>
      <c r="U973"/>
      <c r="V973"/>
      <c r="W973"/>
      <c r="X973">
        <v>0</v>
      </c>
      <c r="Y973"/>
      <c r="Z973">
        <v>0</v>
      </c>
      <c r="AA973"/>
      <c r="AB973"/>
      <c r="AC973"/>
      <c r="AD973"/>
      <c r="AE973">
        <v>0</v>
      </c>
      <c r="AF973"/>
      <c r="AG973" t="s">
        <v>3468</v>
      </c>
      <c r="AH973"/>
    </row>
    <row r="974" spans="1:34" x14ac:dyDescent="0.25">
      <c r="A974" t="s">
        <v>1387</v>
      </c>
      <c r="B974" t="s">
        <v>1388</v>
      </c>
      <c r="C974"/>
      <c r="D974" t="s">
        <v>370</v>
      </c>
      <c r="E974" t="s">
        <v>1389</v>
      </c>
      <c r="F974" t="s">
        <v>1406</v>
      </c>
      <c r="G974" t="s">
        <v>280</v>
      </c>
      <c r="H974" t="s">
        <v>1407</v>
      </c>
      <c r="I974" t="s">
        <v>35</v>
      </c>
      <c r="J974"/>
      <c r="K974">
        <v>1</v>
      </c>
      <c r="L974">
        <v>1</v>
      </c>
      <c r="M974" t="s">
        <v>33</v>
      </c>
      <c r="N974">
        <v>1</v>
      </c>
      <c r="O974">
        <v>0.5</v>
      </c>
      <c r="P974">
        <v>0.5</v>
      </c>
      <c r="Q974" t="s">
        <v>38</v>
      </c>
      <c r="R974">
        <v>1</v>
      </c>
      <c r="S974">
        <v>0</v>
      </c>
      <c r="T974"/>
      <c r="U974"/>
      <c r="V974"/>
      <c r="W974"/>
      <c r="X974">
        <v>0</v>
      </c>
      <c r="Y974"/>
      <c r="Z974">
        <v>0</v>
      </c>
      <c r="AA974"/>
      <c r="AB974"/>
      <c r="AC974"/>
      <c r="AD974"/>
      <c r="AE974">
        <v>0</v>
      </c>
      <c r="AF974"/>
      <c r="AG974" t="s">
        <v>3468</v>
      </c>
      <c r="AH974"/>
    </row>
    <row r="975" spans="1:34" x14ac:dyDescent="0.25">
      <c r="A975" t="s">
        <v>1387</v>
      </c>
      <c r="B975" t="s">
        <v>1388</v>
      </c>
      <c r="C975"/>
      <c r="D975" t="s">
        <v>370</v>
      </c>
      <c r="E975" t="s">
        <v>1389</v>
      </c>
      <c r="F975" t="s">
        <v>1408</v>
      </c>
      <c r="G975" t="s">
        <v>280</v>
      </c>
      <c r="H975" t="s">
        <v>1409</v>
      </c>
      <c r="I975" t="s">
        <v>35</v>
      </c>
      <c r="J975"/>
      <c r="K975">
        <v>1</v>
      </c>
      <c r="L975">
        <v>1</v>
      </c>
      <c r="M975" t="s">
        <v>33</v>
      </c>
      <c r="N975">
        <v>1</v>
      </c>
      <c r="O975">
        <v>0.5</v>
      </c>
      <c r="P975">
        <v>0.5</v>
      </c>
      <c r="Q975" t="s">
        <v>38</v>
      </c>
      <c r="R975">
        <v>1</v>
      </c>
      <c r="S975">
        <v>0</v>
      </c>
      <c r="T975"/>
      <c r="U975"/>
      <c r="V975"/>
      <c r="W975"/>
      <c r="X975">
        <v>0</v>
      </c>
      <c r="Y975"/>
      <c r="Z975">
        <v>0</v>
      </c>
      <c r="AA975"/>
      <c r="AB975"/>
      <c r="AC975"/>
      <c r="AD975"/>
      <c r="AE975">
        <v>0</v>
      </c>
      <c r="AF975"/>
      <c r="AG975" t="s">
        <v>3468</v>
      </c>
      <c r="AH975"/>
    </row>
    <row r="976" spans="1:34" x14ac:dyDescent="0.25">
      <c r="A976" t="s">
        <v>1387</v>
      </c>
      <c r="B976" t="s">
        <v>1388</v>
      </c>
      <c r="C976"/>
      <c r="D976" t="s">
        <v>370</v>
      </c>
      <c r="E976" t="s">
        <v>1389</v>
      </c>
      <c r="F976" t="s">
        <v>1410</v>
      </c>
      <c r="G976" t="s">
        <v>280</v>
      </c>
      <c r="H976" t="s">
        <v>1411</v>
      </c>
      <c r="I976" t="s">
        <v>35</v>
      </c>
      <c r="J976"/>
      <c r="K976">
        <v>1</v>
      </c>
      <c r="L976">
        <v>1</v>
      </c>
      <c r="M976" t="s">
        <v>33</v>
      </c>
      <c r="N976">
        <v>1</v>
      </c>
      <c r="O976">
        <v>0.5</v>
      </c>
      <c r="P976">
        <v>0.5</v>
      </c>
      <c r="Q976" t="s">
        <v>38</v>
      </c>
      <c r="R976">
        <v>1</v>
      </c>
      <c r="S976">
        <v>0</v>
      </c>
      <c r="T976"/>
      <c r="U976"/>
      <c r="V976"/>
      <c r="W976"/>
      <c r="X976">
        <v>0</v>
      </c>
      <c r="Y976"/>
      <c r="Z976">
        <v>0</v>
      </c>
      <c r="AA976"/>
      <c r="AB976"/>
      <c r="AC976"/>
      <c r="AD976"/>
      <c r="AE976">
        <v>0</v>
      </c>
      <c r="AF976"/>
      <c r="AG976" t="s">
        <v>3468</v>
      </c>
      <c r="AH976"/>
    </row>
    <row r="977" spans="1:34" x14ac:dyDescent="0.25">
      <c r="A977" t="s">
        <v>1387</v>
      </c>
      <c r="B977" t="s">
        <v>1388</v>
      </c>
      <c r="C977"/>
      <c r="D977" t="s">
        <v>370</v>
      </c>
      <c r="E977" t="s">
        <v>1389</v>
      </c>
      <c r="F977" t="s">
        <v>1412</v>
      </c>
      <c r="G977" t="s">
        <v>280</v>
      </c>
      <c r="H977" t="s">
        <v>1413</v>
      </c>
      <c r="I977" t="s">
        <v>35</v>
      </c>
      <c r="J977"/>
      <c r="K977">
        <v>1</v>
      </c>
      <c r="L977">
        <v>1</v>
      </c>
      <c r="M977" t="s">
        <v>33</v>
      </c>
      <c r="N977">
        <v>1</v>
      </c>
      <c r="O977">
        <v>0.5</v>
      </c>
      <c r="P977">
        <v>0.5</v>
      </c>
      <c r="Q977" t="s">
        <v>38</v>
      </c>
      <c r="R977">
        <v>1</v>
      </c>
      <c r="S977">
        <v>0</v>
      </c>
      <c r="T977"/>
      <c r="U977"/>
      <c r="V977"/>
      <c r="W977"/>
      <c r="X977">
        <v>0</v>
      </c>
      <c r="Y977"/>
      <c r="Z977">
        <v>0</v>
      </c>
      <c r="AA977"/>
      <c r="AB977"/>
      <c r="AC977"/>
      <c r="AD977"/>
      <c r="AE977">
        <v>0</v>
      </c>
      <c r="AF977"/>
      <c r="AG977" t="s">
        <v>3468</v>
      </c>
      <c r="AH977"/>
    </row>
    <row r="978" spans="1:34" x14ac:dyDescent="0.25">
      <c r="A978" t="s">
        <v>382</v>
      </c>
      <c r="B978" t="s">
        <v>419</v>
      </c>
      <c r="C978"/>
      <c r="D978" t="s">
        <v>383</v>
      </c>
      <c r="E978" t="s">
        <v>1414</v>
      </c>
      <c r="F978" t="s">
        <v>1415</v>
      </c>
      <c r="G978" t="s">
        <v>280</v>
      </c>
      <c r="H978" t="s">
        <v>1416</v>
      </c>
      <c r="I978" t="s">
        <v>35</v>
      </c>
      <c r="J978"/>
      <c r="K978">
        <v>1</v>
      </c>
      <c r="L978">
        <v>1</v>
      </c>
      <c r="M978" t="s">
        <v>33</v>
      </c>
      <c r="N978">
        <v>1</v>
      </c>
      <c r="O978"/>
      <c r="P978">
        <v>0</v>
      </c>
      <c r="Q978"/>
      <c r="R978">
        <v>0</v>
      </c>
      <c r="S978">
        <v>0</v>
      </c>
      <c r="T978"/>
      <c r="U978"/>
      <c r="V978"/>
      <c r="W978"/>
      <c r="X978">
        <v>0</v>
      </c>
      <c r="Y978"/>
      <c r="Z978">
        <v>0</v>
      </c>
      <c r="AA978"/>
      <c r="AB978"/>
      <c r="AC978"/>
      <c r="AD978"/>
      <c r="AE978">
        <v>0</v>
      </c>
      <c r="AF978"/>
      <c r="AG978" t="s">
        <v>3467</v>
      </c>
      <c r="AH978"/>
    </row>
    <row r="979" spans="1:34" x14ac:dyDescent="0.25">
      <c r="A979" t="s">
        <v>426</v>
      </c>
      <c r="B979" t="s">
        <v>427</v>
      </c>
      <c r="C979"/>
      <c r="D979" t="s">
        <v>383</v>
      </c>
      <c r="E979" t="s">
        <v>1414</v>
      </c>
      <c r="F979" t="s">
        <v>1417</v>
      </c>
      <c r="G979" t="s">
        <v>280</v>
      </c>
      <c r="H979" t="s">
        <v>1418</v>
      </c>
      <c r="I979" t="s">
        <v>35</v>
      </c>
      <c r="J979"/>
      <c r="K979">
        <v>1</v>
      </c>
      <c r="L979">
        <v>1</v>
      </c>
      <c r="M979" t="s">
        <v>33</v>
      </c>
      <c r="N979">
        <v>1</v>
      </c>
      <c r="O979"/>
      <c r="P979">
        <v>0</v>
      </c>
      <c r="Q979"/>
      <c r="R979">
        <v>0</v>
      </c>
      <c r="S979">
        <v>0</v>
      </c>
      <c r="T979"/>
      <c r="U979"/>
      <c r="V979"/>
      <c r="W979"/>
      <c r="X979">
        <v>0</v>
      </c>
      <c r="Y979"/>
      <c r="Z979">
        <v>0</v>
      </c>
      <c r="AA979"/>
      <c r="AB979"/>
      <c r="AC979"/>
      <c r="AD979"/>
      <c r="AE979">
        <v>0</v>
      </c>
      <c r="AF979"/>
      <c r="AG979" t="s">
        <v>3468</v>
      </c>
      <c r="AH979"/>
    </row>
    <row r="980" spans="1:34" x14ac:dyDescent="0.25">
      <c r="A980" t="s">
        <v>544</v>
      </c>
      <c r="B980" t="s">
        <v>545</v>
      </c>
      <c r="C980"/>
      <c r="D980" t="s">
        <v>383</v>
      </c>
      <c r="E980" t="s">
        <v>1414</v>
      </c>
      <c r="F980" t="s">
        <v>1419</v>
      </c>
      <c r="G980" t="s">
        <v>280</v>
      </c>
      <c r="H980" t="s">
        <v>1420</v>
      </c>
      <c r="I980" t="s">
        <v>35</v>
      </c>
      <c r="J980"/>
      <c r="K980">
        <v>1</v>
      </c>
      <c r="L980">
        <v>1</v>
      </c>
      <c r="M980" t="s">
        <v>33</v>
      </c>
      <c r="N980">
        <v>1</v>
      </c>
      <c r="O980"/>
      <c r="P980">
        <v>0</v>
      </c>
      <c r="Q980"/>
      <c r="R980">
        <v>0</v>
      </c>
      <c r="S980">
        <v>0</v>
      </c>
      <c r="T980"/>
      <c r="U980"/>
      <c r="V980"/>
      <c r="W980"/>
      <c r="X980">
        <v>0</v>
      </c>
      <c r="Y980"/>
      <c r="Z980">
        <v>0</v>
      </c>
      <c r="AA980"/>
      <c r="AB980"/>
      <c r="AC980"/>
      <c r="AD980"/>
      <c r="AE980">
        <v>0</v>
      </c>
      <c r="AF980"/>
      <c r="AG980" t="s">
        <v>3465</v>
      </c>
      <c r="AH980"/>
    </row>
    <row r="981" spans="1:34" x14ac:dyDescent="0.25">
      <c r="A981" t="s">
        <v>687</v>
      </c>
      <c r="B981" t="s">
        <v>688</v>
      </c>
      <c r="C981"/>
      <c r="D981" t="s">
        <v>383</v>
      </c>
      <c r="E981" t="s">
        <v>1414</v>
      </c>
      <c r="F981" t="s">
        <v>1421</v>
      </c>
      <c r="G981" t="s">
        <v>280</v>
      </c>
      <c r="H981" t="s">
        <v>1422</v>
      </c>
      <c r="I981" t="s">
        <v>35</v>
      </c>
      <c r="J981"/>
      <c r="K981">
        <v>1</v>
      </c>
      <c r="L981">
        <v>1</v>
      </c>
      <c r="M981" t="s">
        <v>33</v>
      </c>
      <c r="N981">
        <v>1</v>
      </c>
      <c r="O981"/>
      <c r="P981">
        <v>0</v>
      </c>
      <c r="Q981"/>
      <c r="R981">
        <v>0</v>
      </c>
      <c r="S981">
        <v>0</v>
      </c>
      <c r="T981"/>
      <c r="U981"/>
      <c r="V981"/>
      <c r="W981"/>
      <c r="X981">
        <v>0</v>
      </c>
      <c r="Y981"/>
      <c r="Z981">
        <v>0</v>
      </c>
      <c r="AA981"/>
      <c r="AB981"/>
      <c r="AC981"/>
      <c r="AD981"/>
      <c r="AE981">
        <v>0</v>
      </c>
      <c r="AF981"/>
      <c r="AG981" t="s">
        <v>3466</v>
      </c>
      <c r="AH981"/>
    </row>
    <row r="982" spans="1:34" x14ac:dyDescent="0.25">
      <c r="A982" t="s">
        <v>382</v>
      </c>
      <c r="B982" t="s">
        <v>419</v>
      </c>
      <c r="C982"/>
      <c r="D982" t="s">
        <v>383</v>
      </c>
      <c r="E982" t="s">
        <v>1423</v>
      </c>
      <c r="F982" t="s">
        <v>1415</v>
      </c>
      <c r="G982" t="s">
        <v>280</v>
      </c>
      <c r="H982" t="s">
        <v>1424</v>
      </c>
      <c r="I982" t="s">
        <v>35</v>
      </c>
      <c r="J982"/>
      <c r="K982">
        <v>1</v>
      </c>
      <c r="L982">
        <v>1</v>
      </c>
      <c r="M982" t="s">
        <v>33</v>
      </c>
      <c r="N982">
        <v>1</v>
      </c>
      <c r="O982"/>
      <c r="P982">
        <v>0</v>
      </c>
      <c r="Q982"/>
      <c r="R982">
        <v>0</v>
      </c>
      <c r="S982">
        <v>0</v>
      </c>
      <c r="T982"/>
      <c r="U982"/>
      <c r="V982"/>
      <c r="W982"/>
      <c r="X982">
        <v>0</v>
      </c>
      <c r="Y982"/>
      <c r="Z982">
        <v>0</v>
      </c>
      <c r="AA982"/>
      <c r="AB982"/>
      <c r="AC982"/>
      <c r="AD982"/>
      <c r="AE982">
        <v>0</v>
      </c>
      <c r="AF982"/>
      <c r="AG982" t="s">
        <v>3467</v>
      </c>
      <c r="AH982"/>
    </row>
    <row r="983" spans="1:34" x14ac:dyDescent="0.25">
      <c r="A983" t="s">
        <v>426</v>
      </c>
      <c r="B983" t="s">
        <v>427</v>
      </c>
      <c r="C983"/>
      <c r="D983" t="s">
        <v>383</v>
      </c>
      <c r="E983" t="s">
        <v>1423</v>
      </c>
      <c r="F983" t="s">
        <v>1417</v>
      </c>
      <c r="G983" t="s">
        <v>280</v>
      </c>
      <c r="H983" t="s">
        <v>1425</v>
      </c>
      <c r="I983" t="s">
        <v>35</v>
      </c>
      <c r="J983"/>
      <c r="K983">
        <v>1</v>
      </c>
      <c r="L983">
        <v>1</v>
      </c>
      <c r="M983" t="s">
        <v>33</v>
      </c>
      <c r="N983">
        <v>1</v>
      </c>
      <c r="O983"/>
      <c r="P983">
        <v>0</v>
      </c>
      <c r="Q983"/>
      <c r="R983">
        <v>0</v>
      </c>
      <c r="S983">
        <v>0</v>
      </c>
      <c r="T983"/>
      <c r="U983"/>
      <c r="V983"/>
      <c r="W983"/>
      <c r="X983">
        <v>0</v>
      </c>
      <c r="Y983"/>
      <c r="Z983">
        <v>0</v>
      </c>
      <c r="AA983"/>
      <c r="AB983"/>
      <c r="AC983"/>
      <c r="AD983"/>
      <c r="AE983">
        <v>0</v>
      </c>
      <c r="AF983"/>
      <c r="AG983" t="s">
        <v>3468</v>
      </c>
      <c r="AH983"/>
    </row>
    <row r="984" spans="1:34" x14ac:dyDescent="0.25">
      <c r="A984" t="s">
        <v>544</v>
      </c>
      <c r="B984" t="s">
        <v>545</v>
      </c>
      <c r="C984"/>
      <c r="D984" t="s">
        <v>383</v>
      </c>
      <c r="E984" t="s">
        <v>1423</v>
      </c>
      <c r="F984" t="s">
        <v>1419</v>
      </c>
      <c r="G984" t="s">
        <v>280</v>
      </c>
      <c r="H984" t="s">
        <v>1426</v>
      </c>
      <c r="I984" t="s">
        <v>35</v>
      </c>
      <c r="J984"/>
      <c r="K984">
        <v>1</v>
      </c>
      <c r="L984">
        <v>1</v>
      </c>
      <c r="M984" t="s">
        <v>33</v>
      </c>
      <c r="N984">
        <v>1</v>
      </c>
      <c r="O984"/>
      <c r="P984">
        <v>0</v>
      </c>
      <c r="Q984"/>
      <c r="R984">
        <v>0</v>
      </c>
      <c r="S984">
        <v>0</v>
      </c>
      <c r="T984"/>
      <c r="U984"/>
      <c r="V984"/>
      <c r="W984"/>
      <c r="X984">
        <v>0</v>
      </c>
      <c r="Y984"/>
      <c r="Z984">
        <v>0</v>
      </c>
      <c r="AA984"/>
      <c r="AB984"/>
      <c r="AC984"/>
      <c r="AD984"/>
      <c r="AE984">
        <v>0</v>
      </c>
      <c r="AF984"/>
      <c r="AG984" t="s">
        <v>3465</v>
      </c>
      <c r="AH984"/>
    </row>
    <row r="985" spans="1:34" x14ac:dyDescent="0.25">
      <c r="A985" t="s">
        <v>687</v>
      </c>
      <c r="B985" t="s">
        <v>688</v>
      </c>
      <c r="C985"/>
      <c r="D985" t="s">
        <v>383</v>
      </c>
      <c r="E985" t="s">
        <v>1423</v>
      </c>
      <c r="F985" t="s">
        <v>1421</v>
      </c>
      <c r="G985" t="s">
        <v>280</v>
      </c>
      <c r="H985" t="s">
        <v>1427</v>
      </c>
      <c r="I985" t="s">
        <v>35</v>
      </c>
      <c r="J985"/>
      <c r="K985">
        <v>1</v>
      </c>
      <c r="L985">
        <v>1</v>
      </c>
      <c r="M985" t="s">
        <v>33</v>
      </c>
      <c r="N985">
        <v>1</v>
      </c>
      <c r="O985"/>
      <c r="P985">
        <v>0</v>
      </c>
      <c r="Q985"/>
      <c r="R985">
        <v>0</v>
      </c>
      <c r="S985">
        <v>0</v>
      </c>
      <c r="T985"/>
      <c r="U985"/>
      <c r="V985"/>
      <c r="W985"/>
      <c r="X985">
        <v>0</v>
      </c>
      <c r="Y985"/>
      <c r="Z985">
        <v>0</v>
      </c>
      <c r="AA985"/>
      <c r="AB985"/>
      <c r="AC985"/>
      <c r="AD985"/>
      <c r="AE985">
        <v>0</v>
      </c>
      <c r="AF985"/>
      <c r="AG985" t="s">
        <v>3466</v>
      </c>
      <c r="AH985"/>
    </row>
    <row r="986" spans="1:34" x14ac:dyDescent="0.25">
      <c r="A986" t="s">
        <v>1428</v>
      </c>
      <c r="B986" t="s">
        <v>3388</v>
      </c>
      <c r="C986"/>
      <c r="D986" t="s">
        <v>383</v>
      </c>
      <c r="E986" t="s">
        <v>1429</v>
      </c>
      <c r="F986" t="s">
        <v>1430</v>
      </c>
      <c r="G986" t="s">
        <v>280</v>
      </c>
      <c r="H986" t="s">
        <v>1431</v>
      </c>
      <c r="I986" t="s">
        <v>35</v>
      </c>
      <c r="J986"/>
      <c r="K986">
        <v>1</v>
      </c>
      <c r="L986">
        <v>1</v>
      </c>
      <c r="M986" t="s">
        <v>33</v>
      </c>
      <c r="N986">
        <v>1</v>
      </c>
      <c r="O986"/>
      <c r="P986">
        <v>0</v>
      </c>
      <c r="Q986" t="s">
        <v>38</v>
      </c>
      <c r="R986">
        <v>1</v>
      </c>
      <c r="S986">
        <v>0</v>
      </c>
      <c r="T986"/>
      <c r="U986"/>
      <c r="V986"/>
      <c r="W986"/>
      <c r="X986">
        <v>0</v>
      </c>
      <c r="Y986"/>
      <c r="Z986">
        <v>0</v>
      </c>
      <c r="AA986"/>
      <c r="AB986"/>
      <c r="AC986"/>
      <c r="AD986"/>
      <c r="AE986">
        <v>0</v>
      </c>
      <c r="AF986"/>
      <c r="AG986" t="s">
        <v>3466</v>
      </c>
      <c r="AH986"/>
    </row>
    <row r="987" spans="1:34" x14ac:dyDescent="0.25">
      <c r="A987" t="s">
        <v>1432</v>
      </c>
      <c r="B987" t="s">
        <v>1433</v>
      </c>
      <c r="C987"/>
      <c r="D987" t="s">
        <v>383</v>
      </c>
      <c r="E987" t="s">
        <v>1429</v>
      </c>
      <c r="F987" t="s">
        <v>1434</v>
      </c>
      <c r="G987" t="s">
        <v>280</v>
      </c>
      <c r="H987" t="s">
        <v>1435</v>
      </c>
      <c r="I987" t="s">
        <v>35</v>
      </c>
      <c r="J987"/>
      <c r="K987">
        <v>1</v>
      </c>
      <c r="L987">
        <v>1</v>
      </c>
      <c r="M987" t="s">
        <v>33</v>
      </c>
      <c r="N987">
        <v>1</v>
      </c>
      <c r="O987"/>
      <c r="P987">
        <v>0</v>
      </c>
      <c r="Q987" t="s">
        <v>38</v>
      </c>
      <c r="R987">
        <v>1</v>
      </c>
      <c r="S987">
        <v>0</v>
      </c>
      <c r="T987"/>
      <c r="U987"/>
      <c r="V987"/>
      <c r="W987"/>
      <c r="X987">
        <v>0</v>
      </c>
      <c r="Y987"/>
      <c r="Z987">
        <v>0</v>
      </c>
      <c r="AA987"/>
      <c r="AB987"/>
      <c r="AC987"/>
      <c r="AD987"/>
      <c r="AE987">
        <v>0</v>
      </c>
      <c r="AF987"/>
      <c r="AG987" t="s">
        <v>3466</v>
      </c>
      <c r="AH987"/>
    </row>
    <row r="988" spans="1:34" x14ac:dyDescent="0.25">
      <c r="A988" t="s">
        <v>1432</v>
      </c>
      <c r="B988" t="s">
        <v>1433</v>
      </c>
      <c r="C988"/>
      <c r="D988" t="s">
        <v>383</v>
      </c>
      <c r="E988" t="s">
        <v>1429</v>
      </c>
      <c r="F988" t="s">
        <v>1436</v>
      </c>
      <c r="G988" t="s">
        <v>280</v>
      </c>
      <c r="H988" t="s">
        <v>1437</v>
      </c>
      <c r="I988" t="s">
        <v>35</v>
      </c>
      <c r="J988"/>
      <c r="K988">
        <v>1</v>
      </c>
      <c r="L988">
        <v>1</v>
      </c>
      <c r="M988" t="s">
        <v>33</v>
      </c>
      <c r="N988">
        <v>1</v>
      </c>
      <c r="O988"/>
      <c r="P988">
        <v>0</v>
      </c>
      <c r="Q988" t="s">
        <v>38</v>
      </c>
      <c r="R988">
        <v>1</v>
      </c>
      <c r="S988">
        <v>0</v>
      </c>
      <c r="T988"/>
      <c r="U988"/>
      <c r="V988"/>
      <c r="W988"/>
      <c r="X988">
        <v>0</v>
      </c>
      <c r="Y988"/>
      <c r="Z988">
        <v>0</v>
      </c>
      <c r="AA988"/>
      <c r="AB988"/>
      <c r="AC988"/>
      <c r="AD988"/>
      <c r="AE988">
        <v>0</v>
      </c>
      <c r="AF988"/>
      <c r="AG988" t="s">
        <v>3466</v>
      </c>
      <c r="AH988"/>
    </row>
    <row r="989" spans="1:34" x14ac:dyDescent="0.25">
      <c r="A989" t="s">
        <v>1438</v>
      </c>
      <c r="B989" t="s">
        <v>1439</v>
      </c>
      <c r="C989"/>
      <c r="D989" t="s">
        <v>383</v>
      </c>
      <c r="E989" t="s">
        <v>1440</v>
      </c>
      <c r="F989" t="s">
        <v>1441</v>
      </c>
      <c r="G989"/>
      <c r="H989" t="s">
        <v>1442</v>
      </c>
      <c r="I989" t="s">
        <v>35</v>
      </c>
      <c r="J989"/>
      <c r="K989">
        <v>1</v>
      </c>
      <c r="L989">
        <v>1</v>
      </c>
      <c r="M989" t="s">
        <v>33</v>
      </c>
      <c r="N989">
        <v>1</v>
      </c>
      <c r="O989"/>
      <c r="P989">
        <v>0</v>
      </c>
      <c r="Q989" t="s">
        <v>50</v>
      </c>
      <c r="R989">
        <v>1</v>
      </c>
      <c r="S989">
        <v>0</v>
      </c>
      <c r="T989"/>
      <c r="U989"/>
      <c r="V989"/>
      <c r="W989"/>
      <c r="X989">
        <v>0</v>
      </c>
      <c r="Y989"/>
      <c r="Z989">
        <v>0</v>
      </c>
      <c r="AA989"/>
      <c r="AB989"/>
      <c r="AC989"/>
      <c r="AD989"/>
      <c r="AE989">
        <v>0</v>
      </c>
      <c r="AF989"/>
      <c r="AG989"/>
      <c r="AH989"/>
    </row>
    <row r="990" spans="1:34" x14ac:dyDescent="0.25">
      <c r="A990" t="s">
        <v>1438</v>
      </c>
      <c r="B990" t="s">
        <v>1439</v>
      </c>
      <c r="C990"/>
      <c r="D990" t="s">
        <v>383</v>
      </c>
      <c r="E990" t="s">
        <v>1440</v>
      </c>
      <c r="F990" t="s">
        <v>1443</v>
      </c>
      <c r="G990"/>
      <c r="H990" t="s">
        <v>1444</v>
      </c>
      <c r="I990" t="s">
        <v>35</v>
      </c>
      <c r="J990"/>
      <c r="K990">
        <v>1</v>
      </c>
      <c r="L990">
        <v>1</v>
      </c>
      <c r="M990" t="s">
        <v>33</v>
      </c>
      <c r="N990">
        <v>0</v>
      </c>
      <c r="O990"/>
      <c r="P990">
        <v>0</v>
      </c>
      <c r="Q990" t="s">
        <v>38</v>
      </c>
      <c r="R990">
        <v>1</v>
      </c>
      <c r="S990">
        <v>0</v>
      </c>
      <c r="T990"/>
      <c r="U990"/>
      <c r="V990"/>
      <c r="W990"/>
      <c r="X990">
        <v>0</v>
      </c>
      <c r="Y990"/>
      <c r="Z990">
        <v>0</v>
      </c>
      <c r="AA990"/>
      <c r="AB990"/>
      <c r="AC990"/>
      <c r="AD990"/>
      <c r="AE990">
        <v>0</v>
      </c>
      <c r="AF990"/>
      <c r="AG990"/>
      <c r="AH990"/>
    </row>
    <row r="991" spans="1:34" x14ac:dyDescent="0.25">
      <c r="A991" t="s">
        <v>382</v>
      </c>
      <c r="B991" t="s">
        <v>419</v>
      </c>
      <c r="C991"/>
      <c r="D991" t="s">
        <v>383</v>
      </c>
      <c r="E991" t="s">
        <v>1445</v>
      </c>
      <c r="F991" t="s">
        <v>1446</v>
      </c>
      <c r="G991" t="s">
        <v>280</v>
      </c>
      <c r="H991" t="s">
        <v>1447</v>
      </c>
      <c r="I991" t="s">
        <v>35</v>
      </c>
      <c r="J991"/>
      <c r="K991">
        <v>1</v>
      </c>
      <c r="L991">
        <v>1</v>
      </c>
      <c r="M991" t="s">
        <v>33</v>
      </c>
      <c r="N991">
        <v>1</v>
      </c>
      <c r="O991"/>
      <c r="P991">
        <v>0</v>
      </c>
      <c r="Q991" t="s">
        <v>38</v>
      </c>
      <c r="R991">
        <v>1</v>
      </c>
      <c r="S991">
        <v>0</v>
      </c>
      <c r="T991"/>
      <c r="U991"/>
      <c r="V991"/>
      <c r="W991"/>
      <c r="X991">
        <v>0</v>
      </c>
      <c r="Y991"/>
      <c r="Z991">
        <v>0</v>
      </c>
      <c r="AA991"/>
      <c r="AB991"/>
      <c r="AC991"/>
      <c r="AD991"/>
      <c r="AE991">
        <v>0</v>
      </c>
      <c r="AF991"/>
      <c r="AG991" t="s">
        <v>3467</v>
      </c>
      <c r="AH991"/>
    </row>
    <row r="992" spans="1:34" x14ac:dyDescent="0.25">
      <c r="A992" t="s">
        <v>382</v>
      </c>
      <c r="B992" t="s">
        <v>419</v>
      </c>
      <c r="C992"/>
      <c r="D992" t="s">
        <v>383</v>
      </c>
      <c r="E992" t="s">
        <v>1445</v>
      </c>
      <c r="F992" t="s">
        <v>1448</v>
      </c>
      <c r="G992" t="s">
        <v>280</v>
      </c>
      <c r="H992" t="s">
        <v>1449</v>
      </c>
      <c r="I992" t="s">
        <v>35</v>
      </c>
      <c r="J992"/>
      <c r="K992">
        <v>1</v>
      </c>
      <c r="L992">
        <v>1</v>
      </c>
      <c r="M992" t="s">
        <v>33</v>
      </c>
      <c r="N992">
        <v>1</v>
      </c>
      <c r="O992"/>
      <c r="P992">
        <v>0</v>
      </c>
      <c r="Q992" t="s">
        <v>38</v>
      </c>
      <c r="R992">
        <v>1</v>
      </c>
      <c r="S992">
        <v>0</v>
      </c>
      <c r="T992"/>
      <c r="U992"/>
      <c r="V992"/>
      <c r="W992"/>
      <c r="X992">
        <v>0</v>
      </c>
      <c r="Y992"/>
      <c r="Z992">
        <v>0</v>
      </c>
      <c r="AA992"/>
      <c r="AB992"/>
      <c r="AC992"/>
      <c r="AD992"/>
      <c r="AE992">
        <v>0</v>
      </c>
      <c r="AF992"/>
      <c r="AG992" t="s">
        <v>3467</v>
      </c>
      <c r="AH992"/>
    </row>
    <row r="993" spans="1:34" x14ac:dyDescent="0.25">
      <c r="A993" t="s">
        <v>382</v>
      </c>
      <c r="B993" t="s">
        <v>419</v>
      </c>
      <c r="C993"/>
      <c r="D993" t="s">
        <v>383</v>
      </c>
      <c r="E993" t="s">
        <v>1445</v>
      </c>
      <c r="F993" t="s">
        <v>1450</v>
      </c>
      <c r="G993" t="s">
        <v>280</v>
      </c>
      <c r="H993" t="s">
        <v>1451</v>
      </c>
      <c r="I993" t="s">
        <v>35</v>
      </c>
      <c r="J993"/>
      <c r="K993">
        <v>1</v>
      </c>
      <c r="L993">
        <v>1</v>
      </c>
      <c r="M993" t="s">
        <v>33</v>
      </c>
      <c r="N993">
        <v>1</v>
      </c>
      <c r="O993"/>
      <c r="P993">
        <v>0</v>
      </c>
      <c r="Q993" t="s">
        <v>38</v>
      </c>
      <c r="R993">
        <v>1</v>
      </c>
      <c r="S993">
        <v>0</v>
      </c>
      <c r="T993"/>
      <c r="U993"/>
      <c r="V993"/>
      <c r="W993"/>
      <c r="X993">
        <v>0</v>
      </c>
      <c r="Y993"/>
      <c r="Z993">
        <v>0</v>
      </c>
      <c r="AA993"/>
      <c r="AB993"/>
      <c r="AC993"/>
      <c r="AD993"/>
      <c r="AE993">
        <v>0</v>
      </c>
      <c r="AF993"/>
      <c r="AG993" t="s">
        <v>3467</v>
      </c>
      <c r="AH993"/>
    </row>
    <row r="994" spans="1:34" x14ac:dyDescent="0.25">
      <c r="A994" t="s">
        <v>382</v>
      </c>
      <c r="B994" t="s">
        <v>419</v>
      </c>
      <c r="C994"/>
      <c r="D994" t="s">
        <v>383</v>
      </c>
      <c r="E994" t="s">
        <v>1445</v>
      </c>
      <c r="F994" t="s">
        <v>1452</v>
      </c>
      <c r="G994" t="s">
        <v>280</v>
      </c>
      <c r="H994" t="s">
        <v>1453</v>
      </c>
      <c r="I994" t="s">
        <v>35</v>
      </c>
      <c r="J994"/>
      <c r="K994">
        <v>1</v>
      </c>
      <c r="L994">
        <v>1</v>
      </c>
      <c r="M994" t="s">
        <v>33</v>
      </c>
      <c r="N994">
        <v>1</v>
      </c>
      <c r="O994"/>
      <c r="P994">
        <v>0</v>
      </c>
      <c r="Q994" t="s">
        <v>38</v>
      </c>
      <c r="R994">
        <v>1</v>
      </c>
      <c r="S994">
        <v>0</v>
      </c>
      <c r="T994"/>
      <c r="U994"/>
      <c r="V994"/>
      <c r="W994"/>
      <c r="X994">
        <v>0</v>
      </c>
      <c r="Y994"/>
      <c r="Z994">
        <v>0</v>
      </c>
      <c r="AA994"/>
      <c r="AB994"/>
      <c r="AC994"/>
      <c r="AD994"/>
      <c r="AE994">
        <v>0</v>
      </c>
      <c r="AF994"/>
      <c r="AG994" t="s">
        <v>3467</v>
      </c>
      <c r="AH994"/>
    </row>
    <row r="995" spans="1:34" x14ac:dyDescent="0.25">
      <c r="A995" t="s">
        <v>382</v>
      </c>
      <c r="B995" t="s">
        <v>419</v>
      </c>
      <c r="C995"/>
      <c r="D995" t="s">
        <v>383</v>
      </c>
      <c r="E995" t="s">
        <v>1454</v>
      </c>
      <c r="F995" t="s">
        <v>1455</v>
      </c>
      <c r="G995" t="s">
        <v>280</v>
      </c>
      <c r="H995" t="s">
        <v>1456</v>
      </c>
      <c r="I995" t="s">
        <v>35</v>
      </c>
      <c r="J995"/>
      <c r="K995">
        <v>1</v>
      </c>
      <c r="L995">
        <v>1</v>
      </c>
      <c r="M995" t="s">
        <v>33</v>
      </c>
      <c r="N995">
        <v>1</v>
      </c>
      <c r="O995"/>
      <c r="P995">
        <v>0</v>
      </c>
      <c r="Q995"/>
      <c r="R995">
        <v>0</v>
      </c>
      <c r="S995">
        <v>0</v>
      </c>
      <c r="T995"/>
      <c r="U995"/>
      <c r="V995"/>
      <c r="W995"/>
      <c r="X995">
        <v>0</v>
      </c>
      <c r="Y995"/>
      <c r="Z995">
        <v>0</v>
      </c>
      <c r="AA995"/>
      <c r="AB995"/>
      <c r="AC995"/>
      <c r="AD995"/>
      <c r="AE995">
        <v>0</v>
      </c>
      <c r="AF995"/>
      <c r="AG995" t="s">
        <v>3467</v>
      </c>
      <c r="AH995"/>
    </row>
    <row r="996" spans="1:34" x14ac:dyDescent="0.25">
      <c r="A996" t="s">
        <v>1457</v>
      </c>
      <c r="B996" t="s">
        <v>1458</v>
      </c>
      <c r="C996"/>
      <c r="D996" t="s">
        <v>383</v>
      </c>
      <c r="E996" t="s">
        <v>1459</v>
      </c>
      <c r="F996" t="s">
        <v>1460</v>
      </c>
      <c r="G996" t="s">
        <v>280</v>
      </c>
      <c r="H996" t="s">
        <v>1461</v>
      </c>
      <c r="I996" t="s">
        <v>35</v>
      </c>
      <c r="J996"/>
      <c r="K996">
        <v>1</v>
      </c>
      <c r="L996">
        <v>1</v>
      </c>
      <c r="M996" t="s">
        <v>33</v>
      </c>
      <c r="N996">
        <v>1</v>
      </c>
      <c r="O996">
        <v>0.5</v>
      </c>
      <c r="P996">
        <v>0.5</v>
      </c>
      <c r="Q996" t="s">
        <v>38</v>
      </c>
      <c r="R996">
        <v>1</v>
      </c>
      <c r="S996">
        <v>0</v>
      </c>
      <c r="T996"/>
      <c r="U996"/>
      <c r="V996"/>
      <c r="W996"/>
      <c r="X996">
        <v>0</v>
      </c>
      <c r="Y996"/>
      <c r="Z996">
        <v>0</v>
      </c>
      <c r="AA996"/>
      <c r="AB996"/>
      <c r="AC996"/>
      <c r="AD996"/>
      <c r="AE996">
        <v>0</v>
      </c>
      <c r="AF996"/>
      <c r="AG996" t="s">
        <v>3467</v>
      </c>
      <c r="AH996"/>
    </row>
    <row r="997" spans="1:34" x14ac:dyDescent="0.25">
      <c r="A997" t="s">
        <v>1457</v>
      </c>
      <c r="B997" t="s">
        <v>1458</v>
      </c>
      <c r="C997"/>
      <c r="D997" t="s">
        <v>383</v>
      </c>
      <c r="E997" t="s">
        <v>1459</v>
      </c>
      <c r="F997" t="s">
        <v>1462</v>
      </c>
      <c r="G997" t="s">
        <v>280</v>
      </c>
      <c r="H997" t="s">
        <v>1463</v>
      </c>
      <c r="I997" t="s">
        <v>35</v>
      </c>
      <c r="J997"/>
      <c r="K997">
        <v>1</v>
      </c>
      <c r="L997">
        <v>1</v>
      </c>
      <c r="M997" t="s">
        <v>33</v>
      </c>
      <c r="N997">
        <v>1</v>
      </c>
      <c r="O997">
        <v>0.5</v>
      </c>
      <c r="P997">
        <v>0.5</v>
      </c>
      <c r="Q997" t="s">
        <v>38</v>
      </c>
      <c r="R997">
        <v>1</v>
      </c>
      <c r="S997">
        <v>0</v>
      </c>
      <c r="T997"/>
      <c r="U997"/>
      <c r="V997"/>
      <c r="W997"/>
      <c r="X997">
        <v>0</v>
      </c>
      <c r="Y997"/>
      <c r="Z997">
        <v>0</v>
      </c>
      <c r="AA997"/>
      <c r="AB997"/>
      <c r="AC997"/>
      <c r="AD997"/>
      <c r="AE997">
        <v>0</v>
      </c>
      <c r="AF997"/>
      <c r="AG997" t="s">
        <v>3467</v>
      </c>
      <c r="AH997"/>
    </row>
    <row r="998" spans="1:34" x14ac:dyDescent="0.25">
      <c r="A998" t="s">
        <v>1457</v>
      </c>
      <c r="B998" t="s">
        <v>1458</v>
      </c>
      <c r="C998"/>
      <c r="D998" t="s">
        <v>383</v>
      </c>
      <c r="E998" t="s">
        <v>1459</v>
      </c>
      <c r="F998" t="s">
        <v>1464</v>
      </c>
      <c r="G998" t="s">
        <v>280</v>
      </c>
      <c r="H998" t="s">
        <v>1465</v>
      </c>
      <c r="I998" t="s">
        <v>35</v>
      </c>
      <c r="J998"/>
      <c r="K998">
        <v>1</v>
      </c>
      <c r="L998">
        <v>1</v>
      </c>
      <c r="M998" t="s">
        <v>33</v>
      </c>
      <c r="N998">
        <v>1</v>
      </c>
      <c r="O998">
        <v>0.5</v>
      </c>
      <c r="P998">
        <v>0.5</v>
      </c>
      <c r="Q998" t="s">
        <v>38</v>
      </c>
      <c r="R998">
        <v>1</v>
      </c>
      <c r="S998">
        <v>0</v>
      </c>
      <c r="T998"/>
      <c r="U998"/>
      <c r="V998"/>
      <c r="W998"/>
      <c r="X998">
        <v>0</v>
      </c>
      <c r="Y998"/>
      <c r="Z998">
        <v>0</v>
      </c>
      <c r="AA998"/>
      <c r="AB998"/>
      <c r="AC998"/>
      <c r="AD998"/>
      <c r="AE998">
        <v>0</v>
      </c>
      <c r="AF998"/>
      <c r="AG998" t="s">
        <v>3467</v>
      </c>
      <c r="AH998"/>
    </row>
    <row r="999" spans="1:34" x14ac:dyDescent="0.25">
      <c r="A999" t="s">
        <v>1457</v>
      </c>
      <c r="B999" t="s">
        <v>1458</v>
      </c>
      <c r="C999"/>
      <c r="D999" t="s">
        <v>383</v>
      </c>
      <c r="E999" t="s">
        <v>1459</v>
      </c>
      <c r="F999" t="s">
        <v>1466</v>
      </c>
      <c r="G999" t="s">
        <v>280</v>
      </c>
      <c r="H999" t="s">
        <v>1467</v>
      </c>
      <c r="I999" t="s">
        <v>35</v>
      </c>
      <c r="J999"/>
      <c r="K999">
        <v>1</v>
      </c>
      <c r="L999">
        <v>1</v>
      </c>
      <c r="M999" t="s">
        <v>33</v>
      </c>
      <c r="N999">
        <v>1</v>
      </c>
      <c r="O999">
        <v>0.5</v>
      </c>
      <c r="P999">
        <v>0.5</v>
      </c>
      <c r="Q999" t="s">
        <v>38</v>
      </c>
      <c r="R999">
        <v>1</v>
      </c>
      <c r="S999">
        <v>0</v>
      </c>
      <c r="T999"/>
      <c r="U999"/>
      <c r="V999"/>
      <c r="W999"/>
      <c r="X999">
        <v>0</v>
      </c>
      <c r="Y999"/>
      <c r="Z999">
        <v>0</v>
      </c>
      <c r="AA999"/>
      <c r="AB999"/>
      <c r="AC999"/>
      <c r="AD999"/>
      <c r="AE999">
        <v>0</v>
      </c>
      <c r="AF999"/>
      <c r="AG999" t="s">
        <v>3467</v>
      </c>
      <c r="AH999"/>
    </row>
    <row r="1000" spans="1:34" x14ac:dyDescent="0.25">
      <c r="A1000" t="s">
        <v>1457</v>
      </c>
      <c r="B1000" t="s">
        <v>1458</v>
      </c>
      <c r="C1000"/>
      <c r="D1000" t="s">
        <v>383</v>
      </c>
      <c r="E1000" t="s">
        <v>1459</v>
      </c>
      <c r="F1000" t="s">
        <v>1468</v>
      </c>
      <c r="G1000" t="s">
        <v>280</v>
      </c>
      <c r="H1000" t="s">
        <v>1469</v>
      </c>
      <c r="I1000" t="s">
        <v>35</v>
      </c>
      <c r="J1000"/>
      <c r="K1000">
        <v>1</v>
      </c>
      <c r="L1000">
        <v>1</v>
      </c>
      <c r="M1000" t="s">
        <v>33</v>
      </c>
      <c r="N1000">
        <v>1</v>
      </c>
      <c r="O1000">
        <v>0.5</v>
      </c>
      <c r="P1000">
        <v>0.5</v>
      </c>
      <c r="Q1000" t="s">
        <v>38</v>
      </c>
      <c r="R1000">
        <v>1</v>
      </c>
      <c r="S1000">
        <v>0</v>
      </c>
      <c r="T1000"/>
      <c r="U1000"/>
      <c r="V1000"/>
      <c r="W1000"/>
      <c r="X1000">
        <v>0</v>
      </c>
      <c r="Y1000"/>
      <c r="Z1000">
        <v>0</v>
      </c>
      <c r="AA1000"/>
      <c r="AB1000"/>
      <c r="AC1000"/>
      <c r="AD1000"/>
      <c r="AE1000">
        <v>0</v>
      </c>
      <c r="AF1000"/>
      <c r="AG1000" t="s">
        <v>3467</v>
      </c>
      <c r="AH1000"/>
    </row>
    <row r="1001" spans="1:34" x14ac:dyDescent="0.25">
      <c r="A1001" t="s">
        <v>1457</v>
      </c>
      <c r="B1001" t="s">
        <v>1458</v>
      </c>
      <c r="C1001"/>
      <c r="D1001" t="s">
        <v>383</v>
      </c>
      <c r="E1001" t="s">
        <v>1459</v>
      </c>
      <c r="F1001" t="s">
        <v>1470</v>
      </c>
      <c r="G1001" t="s">
        <v>280</v>
      </c>
      <c r="H1001" t="s">
        <v>1471</v>
      </c>
      <c r="I1001" t="s">
        <v>35</v>
      </c>
      <c r="J1001"/>
      <c r="K1001">
        <v>1</v>
      </c>
      <c r="L1001">
        <v>1</v>
      </c>
      <c r="M1001" t="s">
        <v>33</v>
      </c>
      <c r="N1001">
        <v>1</v>
      </c>
      <c r="O1001">
        <v>0.5</v>
      </c>
      <c r="P1001">
        <v>0.5</v>
      </c>
      <c r="Q1001" t="s">
        <v>38</v>
      </c>
      <c r="R1001">
        <v>1</v>
      </c>
      <c r="S1001">
        <v>0</v>
      </c>
      <c r="T1001"/>
      <c r="U1001"/>
      <c r="V1001"/>
      <c r="W1001"/>
      <c r="X1001">
        <v>0</v>
      </c>
      <c r="Y1001"/>
      <c r="Z1001">
        <v>0</v>
      </c>
      <c r="AA1001"/>
      <c r="AB1001"/>
      <c r="AC1001"/>
      <c r="AD1001"/>
      <c r="AE1001">
        <v>0</v>
      </c>
      <c r="AF1001"/>
      <c r="AG1001" t="s">
        <v>3467</v>
      </c>
      <c r="AH1001"/>
    </row>
    <row r="1002" spans="1:34" x14ac:dyDescent="0.25">
      <c r="A1002" t="s">
        <v>1457</v>
      </c>
      <c r="B1002" t="s">
        <v>1458</v>
      </c>
      <c r="C1002"/>
      <c r="D1002" t="s">
        <v>383</v>
      </c>
      <c r="E1002" t="s">
        <v>1459</v>
      </c>
      <c r="F1002" t="s">
        <v>1472</v>
      </c>
      <c r="G1002" t="s">
        <v>280</v>
      </c>
      <c r="H1002" t="s">
        <v>1473</v>
      </c>
      <c r="I1002" t="s">
        <v>35</v>
      </c>
      <c r="J1002"/>
      <c r="K1002">
        <v>1</v>
      </c>
      <c r="L1002">
        <v>1</v>
      </c>
      <c r="M1002" t="s">
        <v>33</v>
      </c>
      <c r="N1002">
        <v>1</v>
      </c>
      <c r="O1002">
        <v>0.5</v>
      </c>
      <c r="P1002">
        <v>0.5</v>
      </c>
      <c r="Q1002" t="s">
        <v>38</v>
      </c>
      <c r="R1002">
        <v>1</v>
      </c>
      <c r="S1002">
        <v>0</v>
      </c>
      <c r="T1002"/>
      <c r="U1002"/>
      <c r="V1002"/>
      <c r="W1002"/>
      <c r="X1002">
        <v>0</v>
      </c>
      <c r="Y1002"/>
      <c r="Z1002">
        <v>0</v>
      </c>
      <c r="AA1002"/>
      <c r="AB1002"/>
      <c r="AC1002"/>
      <c r="AD1002"/>
      <c r="AE1002">
        <v>0</v>
      </c>
      <c r="AF1002"/>
      <c r="AG1002" t="s">
        <v>3467</v>
      </c>
      <c r="AH1002"/>
    </row>
    <row r="1003" spans="1:34" x14ac:dyDescent="0.25">
      <c r="A1003" t="s">
        <v>1457</v>
      </c>
      <c r="B1003" t="s">
        <v>1458</v>
      </c>
      <c r="C1003"/>
      <c r="D1003" t="s">
        <v>383</v>
      </c>
      <c r="E1003" t="s">
        <v>1459</v>
      </c>
      <c r="F1003" t="s">
        <v>1474</v>
      </c>
      <c r="G1003" t="s">
        <v>280</v>
      </c>
      <c r="H1003" t="s">
        <v>1475</v>
      </c>
      <c r="I1003" t="s">
        <v>35</v>
      </c>
      <c r="J1003"/>
      <c r="K1003">
        <v>1</v>
      </c>
      <c r="L1003">
        <v>1</v>
      </c>
      <c r="M1003" t="s">
        <v>33</v>
      </c>
      <c r="N1003">
        <v>1</v>
      </c>
      <c r="O1003">
        <v>0.5</v>
      </c>
      <c r="P1003">
        <v>0.5</v>
      </c>
      <c r="Q1003" t="s">
        <v>38</v>
      </c>
      <c r="R1003">
        <v>1</v>
      </c>
      <c r="S1003">
        <v>0</v>
      </c>
      <c r="T1003"/>
      <c r="U1003"/>
      <c r="V1003"/>
      <c r="W1003"/>
      <c r="X1003">
        <v>0</v>
      </c>
      <c r="Y1003"/>
      <c r="Z1003">
        <v>0</v>
      </c>
      <c r="AA1003"/>
      <c r="AB1003"/>
      <c r="AC1003"/>
      <c r="AD1003"/>
      <c r="AE1003">
        <v>0</v>
      </c>
      <c r="AF1003"/>
      <c r="AG1003" t="s">
        <v>3467</v>
      </c>
      <c r="AH1003"/>
    </row>
    <row r="1004" spans="1:34" x14ac:dyDescent="0.25">
      <c r="A1004" t="s">
        <v>1457</v>
      </c>
      <c r="B1004" t="s">
        <v>1458</v>
      </c>
      <c r="C1004"/>
      <c r="D1004" t="s">
        <v>383</v>
      </c>
      <c r="E1004" t="s">
        <v>1459</v>
      </c>
      <c r="F1004" t="s">
        <v>1476</v>
      </c>
      <c r="G1004" t="s">
        <v>280</v>
      </c>
      <c r="H1004" t="s">
        <v>1477</v>
      </c>
      <c r="I1004" t="s">
        <v>35</v>
      </c>
      <c r="J1004"/>
      <c r="K1004">
        <v>1</v>
      </c>
      <c r="L1004">
        <v>1</v>
      </c>
      <c r="M1004" t="s">
        <v>33</v>
      </c>
      <c r="N1004">
        <v>1</v>
      </c>
      <c r="O1004">
        <v>0.5</v>
      </c>
      <c r="P1004">
        <v>0.5</v>
      </c>
      <c r="Q1004" t="s">
        <v>38</v>
      </c>
      <c r="R1004">
        <v>1</v>
      </c>
      <c r="S1004">
        <v>0</v>
      </c>
      <c r="T1004"/>
      <c r="U1004"/>
      <c r="V1004"/>
      <c r="W1004"/>
      <c r="X1004">
        <v>0</v>
      </c>
      <c r="Y1004"/>
      <c r="Z1004">
        <v>0</v>
      </c>
      <c r="AA1004"/>
      <c r="AB1004"/>
      <c r="AC1004"/>
      <c r="AD1004"/>
      <c r="AE1004">
        <v>0</v>
      </c>
      <c r="AF1004"/>
      <c r="AG1004" t="s">
        <v>3467</v>
      </c>
      <c r="AH1004"/>
    </row>
    <row r="1005" spans="1:34" x14ac:dyDescent="0.25">
      <c r="A1005" t="s">
        <v>1478</v>
      </c>
      <c r="B1005" t="s">
        <v>329</v>
      </c>
      <c r="C1005"/>
      <c r="D1005" t="s">
        <v>329</v>
      </c>
      <c r="E1005" t="s">
        <v>1479</v>
      </c>
      <c r="F1005" t="s">
        <v>1480</v>
      </c>
      <c r="G1005" t="s">
        <v>280</v>
      </c>
      <c r="H1005" t="s">
        <v>1481</v>
      </c>
      <c r="I1005" t="s">
        <v>35</v>
      </c>
      <c r="J1005"/>
      <c r="K1005">
        <v>1</v>
      </c>
      <c r="L1005">
        <v>1</v>
      </c>
      <c r="M1005" t="s">
        <v>33</v>
      </c>
      <c r="N1005">
        <v>1</v>
      </c>
      <c r="O1005">
        <v>1</v>
      </c>
      <c r="P1005">
        <v>1</v>
      </c>
      <c r="Q1005" t="s">
        <v>38</v>
      </c>
      <c r="R1005">
        <v>1</v>
      </c>
      <c r="S1005">
        <v>0</v>
      </c>
      <c r="T1005"/>
      <c r="U1005"/>
      <c r="V1005"/>
      <c r="W1005"/>
      <c r="X1005">
        <v>0</v>
      </c>
      <c r="Y1005"/>
      <c r="Z1005">
        <v>0</v>
      </c>
      <c r="AA1005"/>
      <c r="AB1005"/>
      <c r="AC1005"/>
      <c r="AD1005"/>
      <c r="AE1005">
        <v>0</v>
      </c>
      <c r="AF1005"/>
      <c r="AG1005" t="s">
        <v>3467</v>
      </c>
      <c r="AH1005"/>
    </row>
    <row r="1006" spans="1:34" x14ac:dyDescent="0.25">
      <c r="A1006" t="s">
        <v>1478</v>
      </c>
      <c r="B1006" t="s">
        <v>329</v>
      </c>
      <c r="C1006"/>
      <c r="D1006" t="s">
        <v>329</v>
      </c>
      <c r="E1006" t="s">
        <v>1479</v>
      </c>
      <c r="F1006" t="s">
        <v>1482</v>
      </c>
      <c r="G1006" t="s">
        <v>280</v>
      </c>
      <c r="H1006" t="s">
        <v>1483</v>
      </c>
      <c r="I1006" t="s">
        <v>35</v>
      </c>
      <c r="J1006"/>
      <c r="K1006">
        <v>1</v>
      </c>
      <c r="L1006">
        <v>1</v>
      </c>
      <c r="M1006" t="s">
        <v>33</v>
      </c>
      <c r="N1006">
        <v>1</v>
      </c>
      <c r="O1006">
        <v>1</v>
      </c>
      <c r="P1006">
        <v>1</v>
      </c>
      <c r="Q1006" t="s">
        <v>38</v>
      </c>
      <c r="R1006">
        <v>1</v>
      </c>
      <c r="S1006">
        <v>0</v>
      </c>
      <c r="T1006"/>
      <c r="U1006"/>
      <c r="V1006"/>
      <c r="W1006"/>
      <c r="X1006">
        <v>0</v>
      </c>
      <c r="Y1006"/>
      <c r="Z1006">
        <v>0</v>
      </c>
      <c r="AA1006"/>
      <c r="AB1006"/>
      <c r="AC1006"/>
      <c r="AD1006"/>
      <c r="AE1006">
        <v>0</v>
      </c>
      <c r="AF1006"/>
      <c r="AG1006" t="s">
        <v>3467</v>
      </c>
      <c r="AH1006"/>
    </row>
    <row r="1007" spans="1:34" x14ac:dyDescent="0.25">
      <c r="A1007" t="s">
        <v>1478</v>
      </c>
      <c r="B1007" t="s">
        <v>329</v>
      </c>
      <c r="C1007"/>
      <c r="D1007" t="s">
        <v>329</v>
      </c>
      <c r="E1007" t="s">
        <v>1479</v>
      </c>
      <c r="F1007" t="s">
        <v>1484</v>
      </c>
      <c r="G1007" t="s">
        <v>280</v>
      </c>
      <c r="H1007" t="s">
        <v>1485</v>
      </c>
      <c r="I1007" t="s">
        <v>35</v>
      </c>
      <c r="J1007"/>
      <c r="K1007">
        <v>1</v>
      </c>
      <c r="L1007">
        <v>1</v>
      </c>
      <c r="M1007" t="s">
        <v>33</v>
      </c>
      <c r="N1007">
        <v>1</v>
      </c>
      <c r="O1007">
        <v>1</v>
      </c>
      <c r="P1007">
        <v>1</v>
      </c>
      <c r="Q1007" t="s">
        <v>38</v>
      </c>
      <c r="R1007">
        <v>1</v>
      </c>
      <c r="S1007">
        <v>0</v>
      </c>
      <c r="T1007"/>
      <c r="U1007"/>
      <c r="V1007"/>
      <c r="W1007"/>
      <c r="X1007">
        <v>0</v>
      </c>
      <c r="Y1007"/>
      <c r="Z1007">
        <v>0</v>
      </c>
      <c r="AA1007"/>
      <c r="AB1007"/>
      <c r="AC1007"/>
      <c r="AD1007"/>
      <c r="AE1007">
        <v>0</v>
      </c>
      <c r="AF1007"/>
      <c r="AG1007" t="s">
        <v>3467</v>
      </c>
      <c r="AH1007"/>
    </row>
    <row r="1008" spans="1:34" x14ac:dyDescent="0.25">
      <c r="A1008" t="s">
        <v>1478</v>
      </c>
      <c r="B1008" t="s">
        <v>329</v>
      </c>
      <c r="C1008"/>
      <c r="D1008" t="s">
        <v>329</v>
      </c>
      <c r="E1008" t="s">
        <v>1479</v>
      </c>
      <c r="F1008" t="s">
        <v>1486</v>
      </c>
      <c r="G1008" t="s">
        <v>280</v>
      </c>
      <c r="H1008" t="s">
        <v>1487</v>
      </c>
      <c r="I1008" t="s">
        <v>35</v>
      </c>
      <c r="J1008"/>
      <c r="K1008">
        <v>1</v>
      </c>
      <c r="L1008">
        <v>1</v>
      </c>
      <c r="M1008" t="s">
        <v>33</v>
      </c>
      <c r="N1008">
        <v>1</v>
      </c>
      <c r="O1008">
        <v>1</v>
      </c>
      <c r="P1008">
        <v>1</v>
      </c>
      <c r="Q1008" t="s">
        <v>38</v>
      </c>
      <c r="R1008">
        <v>1</v>
      </c>
      <c r="S1008">
        <v>0</v>
      </c>
      <c r="T1008"/>
      <c r="U1008"/>
      <c r="V1008"/>
      <c r="W1008"/>
      <c r="X1008">
        <v>0</v>
      </c>
      <c r="Y1008"/>
      <c r="Z1008">
        <v>0</v>
      </c>
      <c r="AA1008"/>
      <c r="AB1008"/>
      <c r="AC1008"/>
      <c r="AD1008"/>
      <c r="AE1008">
        <v>0</v>
      </c>
      <c r="AF1008"/>
      <c r="AG1008" t="s">
        <v>3467</v>
      </c>
      <c r="AH1008"/>
    </row>
    <row r="1009" spans="1:34" x14ac:dyDescent="0.25">
      <c r="A1009" t="s">
        <v>1478</v>
      </c>
      <c r="B1009" t="s">
        <v>329</v>
      </c>
      <c r="C1009"/>
      <c r="D1009" t="s">
        <v>329</v>
      </c>
      <c r="E1009" t="s">
        <v>1479</v>
      </c>
      <c r="F1009" t="s">
        <v>1488</v>
      </c>
      <c r="G1009" t="s">
        <v>280</v>
      </c>
      <c r="H1009" t="s">
        <v>1489</v>
      </c>
      <c r="I1009" t="s">
        <v>35</v>
      </c>
      <c r="J1009"/>
      <c r="K1009">
        <v>1</v>
      </c>
      <c r="L1009">
        <v>1</v>
      </c>
      <c r="M1009" t="s">
        <v>33</v>
      </c>
      <c r="N1009">
        <v>1</v>
      </c>
      <c r="O1009">
        <v>1</v>
      </c>
      <c r="P1009">
        <v>1</v>
      </c>
      <c r="Q1009" t="s">
        <v>38</v>
      </c>
      <c r="R1009">
        <v>1</v>
      </c>
      <c r="S1009">
        <v>0</v>
      </c>
      <c r="T1009"/>
      <c r="U1009"/>
      <c r="V1009"/>
      <c r="W1009"/>
      <c r="X1009">
        <v>0</v>
      </c>
      <c r="Y1009"/>
      <c r="Z1009">
        <v>0</v>
      </c>
      <c r="AA1009"/>
      <c r="AB1009"/>
      <c r="AC1009"/>
      <c r="AD1009"/>
      <c r="AE1009">
        <v>0</v>
      </c>
      <c r="AF1009"/>
      <c r="AG1009" t="s">
        <v>3467</v>
      </c>
      <c r="AH1009"/>
    </row>
    <row r="1010" spans="1:34" x14ac:dyDescent="0.25">
      <c r="A1010" t="s">
        <v>1478</v>
      </c>
      <c r="B1010" t="s">
        <v>329</v>
      </c>
      <c r="C1010"/>
      <c r="D1010" t="s">
        <v>329</v>
      </c>
      <c r="E1010" t="s">
        <v>1479</v>
      </c>
      <c r="F1010" t="s">
        <v>1490</v>
      </c>
      <c r="G1010" t="s">
        <v>280</v>
      </c>
      <c r="H1010" t="s">
        <v>1491</v>
      </c>
      <c r="I1010" t="s">
        <v>35</v>
      </c>
      <c r="J1010"/>
      <c r="K1010">
        <v>1</v>
      </c>
      <c r="L1010">
        <v>1</v>
      </c>
      <c r="M1010" t="s">
        <v>33</v>
      </c>
      <c r="N1010">
        <v>1</v>
      </c>
      <c r="O1010">
        <v>1</v>
      </c>
      <c r="P1010">
        <v>1</v>
      </c>
      <c r="Q1010" t="s">
        <v>38</v>
      </c>
      <c r="R1010">
        <v>1</v>
      </c>
      <c r="S1010">
        <v>0</v>
      </c>
      <c r="T1010"/>
      <c r="U1010"/>
      <c r="V1010"/>
      <c r="W1010"/>
      <c r="X1010">
        <v>0</v>
      </c>
      <c r="Y1010"/>
      <c r="Z1010">
        <v>0</v>
      </c>
      <c r="AA1010"/>
      <c r="AB1010"/>
      <c r="AC1010"/>
      <c r="AD1010"/>
      <c r="AE1010">
        <v>0</v>
      </c>
      <c r="AF1010"/>
      <c r="AG1010" t="s">
        <v>3467</v>
      </c>
      <c r="AH1010"/>
    </row>
    <row r="1011" spans="1:34" x14ac:dyDescent="0.25">
      <c r="A1011" t="s">
        <v>1478</v>
      </c>
      <c r="B1011" t="s">
        <v>329</v>
      </c>
      <c r="C1011"/>
      <c r="D1011" t="s">
        <v>329</v>
      </c>
      <c r="E1011" t="s">
        <v>1479</v>
      </c>
      <c r="F1011" t="s">
        <v>1492</v>
      </c>
      <c r="G1011" t="s">
        <v>280</v>
      </c>
      <c r="H1011" t="s">
        <v>1493</v>
      </c>
      <c r="I1011" t="s">
        <v>35</v>
      </c>
      <c r="J1011"/>
      <c r="K1011">
        <v>1</v>
      </c>
      <c r="L1011">
        <v>1</v>
      </c>
      <c r="M1011" t="s">
        <v>33</v>
      </c>
      <c r="N1011">
        <v>1</v>
      </c>
      <c r="O1011">
        <v>1</v>
      </c>
      <c r="P1011">
        <v>1</v>
      </c>
      <c r="Q1011" t="s">
        <v>38</v>
      </c>
      <c r="R1011">
        <v>1</v>
      </c>
      <c r="S1011">
        <v>0</v>
      </c>
      <c r="T1011"/>
      <c r="U1011"/>
      <c r="V1011"/>
      <c r="W1011"/>
      <c r="X1011">
        <v>0</v>
      </c>
      <c r="Y1011"/>
      <c r="Z1011">
        <v>0</v>
      </c>
      <c r="AA1011"/>
      <c r="AB1011"/>
      <c r="AC1011"/>
      <c r="AD1011"/>
      <c r="AE1011">
        <v>0</v>
      </c>
      <c r="AF1011"/>
      <c r="AG1011" t="s">
        <v>3467</v>
      </c>
      <c r="AH1011"/>
    </row>
    <row r="1012" spans="1:34" x14ac:dyDescent="0.25">
      <c r="A1012" t="s">
        <v>1478</v>
      </c>
      <c r="B1012" t="s">
        <v>329</v>
      </c>
      <c r="C1012"/>
      <c r="D1012" t="s">
        <v>329</v>
      </c>
      <c r="E1012" t="s">
        <v>1479</v>
      </c>
      <c r="F1012" t="s">
        <v>1494</v>
      </c>
      <c r="G1012" t="s">
        <v>280</v>
      </c>
      <c r="H1012" t="s">
        <v>1495</v>
      </c>
      <c r="I1012" t="s">
        <v>35</v>
      </c>
      <c r="J1012"/>
      <c r="K1012">
        <v>1</v>
      </c>
      <c r="L1012">
        <v>1</v>
      </c>
      <c r="M1012" t="s">
        <v>33</v>
      </c>
      <c r="N1012">
        <v>1</v>
      </c>
      <c r="O1012">
        <v>1</v>
      </c>
      <c r="P1012">
        <v>1</v>
      </c>
      <c r="Q1012" t="s">
        <v>38</v>
      </c>
      <c r="R1012">
        <v>1</v>
      </c>
      <c r="S1012">
        <v>0</v>
      </c>
      <c r="T1012"/>
      <c r="U1012"/>
      <c r="V1012"/>
      <c r="W1012"/>
      <c r="X1012">
        <v>0</v>
      </c>
      <c r="Y1012"/>
      <c r="Z1012">
        <v>0</v>
      </c>
      <c r="AA1012"/>
      <c r="AB1012"/>
      <c r="AC1012"/>
      <c r="AD1012"/>
      <c r="AE1012">
        <v>0</v>
      </c>
      <c r="AF1012"/>
      <c r="AG1012" t="s">
        <v>3467</v>
      </c>
      <c r="AH1012"/>
    </row>
    <row r="1013" spans="1:34" x14ac:dyDescent="0.25">
      <c r="A1013" t="s">
        <v>1478</v>
      </c>
      <c r="B1013" t="s">
        <v>329</v>
      </c>
      <c r="C1013"/>
      <c r="D1013" t="s">
        <v>329</v>
      </c>
      <c r="E1013" t="s">
        <v>1479</v>
      </c>
      <c r="F1013" t="s">
        <v>1496</v>
      </c>
      <c r="G1013" t="s">
        <v>280</v>
      </c>
      <c r="H1013" t="s">
        <v>1497</v>
      </c>
      <c r="I1013" t="s">
        <v>35</v>
      </c>
      <c r="J1013"/>
      <c r="K1013">
        <v>1</v>
      </c>
      <c r="L1013">
        <v>1</v>
      </c>
      <c r="M1013" t="s">
        <v>33</v>
      </c>
      <c r="N1013">
        <v>1</v>
      </c>
      <c r="O1013">
        <v>1</v>
      </c>
      <c r="P1013">
        <v>1</v>
      </c>
      <c r="Q1013" t="s">
        <v>38</v>
      </c>
      <c r="R1013">
        <v>1</v>
      </c>
      <c r="S1013">
        <v>0</v>
      </c>
      <c r="T1013"/>
      <c r="U1013"/>
      <c r="V1013"/>
      <c r="W1013"/>
      <c r="X1013">
        <v>0</v>
      </c>
      <c r="Y1013"/>
      <c r="Z1013">
        <v>0</v>
      </c>
      <c r="AA1013"/>
      <c r="AB1013"/>
      <c r="AC1013"/>
      <c r="AD1013"/>
      <c r="AE1013">
        <v>0</v>
      </c>
      <c r="AF1013"/>
      <c r="AG1013" t="s">
        <v>3467</v>
      </c>
      <c r="AH1013"/>
    </row>
    <row r="1014" spans="1:34" x14ac:dyDescent="0.25">
      <c r="A1014" t="s">
        <v>1478</v>
      </c>
      <c r="B1014" t="s">
        <v>329</v>
      </c>
      <c r="C1014"/>
      <c r="D1014" t="s">
        <v>329</v>
      </c>
      <c r="E1014" t="s">
        <v>1479</v>
      </c>
      <c r="F1014" t="s">
        <v>1498</v>
      </c>
      <c r="G1014" t="s">
        <v>280</v>
      </c>
      <c r="H1014" t="s">
        <v>1499</v>
      </c>
      <c r="I1014" t="s">
        <v>35</v>
      </c>
      <c r="J1014"/>
      <c r="K1014">
        <v>1</v>
      </c>
      <c r="L1014">
        <v>1</v>
      </c>
      <c r="M1014" t="s">
        <v>33</v>
      </c>
      <c r="N1014">
        <v>1</v>
      </c>
      <c r="O1014">
        <v>1</v>
      </c>
      <c r="P1014">
        <v>1</v>
      </c>
      <c r="Q1014" t="s">
        <v>38</v>
      </c>
      <c r="R1014">
        <v>1</v>
      </c>
      <c r="S1014">
        <v>0</v>
      </c>
      <c r="T1014"/>
      <c r="U1014"/>
      <c r="V1014"/>
      <c r="W1014"/>
      <c r="X1014">
        <v>0</v>
      </c>
      <c r="Y1014"/>
      <c r="Z1014">
        <v>0</v>
      </c>
      <c r="AA1014"/>
      <c r="AB1014"/>
      <c r="AC1014"/>
      <c r="AD1014"/>
      <c r="AE1014">
        <v>0</v>
      </c>
      <c r="AF1014"/>
      <c r="AG1014" t="s">
        <v>3467</v>
      </c>
      <c r="AH1014"/>
    </row>
    <row r="1015" spans="1:34" x14ac:dyDescent="0.25">
      <c r="A1015" t="s">
        <v>1478</v>
      </c>
      <c r="B1015" t="s">
        <v>329</v>
      </c>
      <c r="C1015"/>
      <c r="D1015" t="s">
        <v>329</v>
      </c>
      <c r="E1015" t="s">
        <v>1479</v>
      </c>
      <c r="F1015" t="s">
        <v>1500</v>
      </c>
      <c r="G1015" t="s">
        <v>280</v>
      </c>
      <c r="H1015" t="s">
        <v>1501</v>
      </c>
      <c r="I1015" t="s">
        <v>35</v>
      </c>
      <c r="J1015"/>
      <c r="K1015">
        <v>1</v>
      </c>
      <c r="L1015">
        <v>1</v>
      </c>
      <c r="M1015" t="s">
        <v>33</v>
      </c>
      <c r="N1015">
        <v>1</v>
      </c>
      <c r="O1015">
        <v>1</v>
      </c>
      <c r="P1015">
        <v>1</v>
      </c>
      <c r="Q1015" t="s">
        <v>38</v>
      </c>
      <c r="R1015">
        <v>1</v>
      </c>
      <c r="S1015">
        <v>0</v>
      </c>
      <c r="T1015"/>
      <c r="U1015"/>
      <c r="V1015"/>
      <c r="W1015"/>
      <c r="X1015">
        <v>0</v>
      </c>
      <c r="Y1015"/>
      <c r="Z1015">
        <v>0</v>
      </c>
      <c r="AA1015"/>
      <c r="AB1015"/>
      <c r="AC1015"/>
      <c r="AD1015"/>
      <c r="AE1015">
        <v>0</v>
      </c>
      <c r="AF1015"/>
      <c r="AG1015" t="s">
        <v>3467</v>
      </c>
      <c r="AH1015"/>
    </row>
    <row r="1016" spans="1:34" x14ac:dyDescent="0.25">
      <c r="A1016" t="s">
        <v>1478</v>
      </c>
      <c r="B1016" t="s">
        <v>329</v>
      </c>
      <c r="C1016"/>
      <c r="D1016" t="s">
        <v>329</v>
      </c>
      <c r="E1016" t="s">
        <v>1479</v>
      </c>
      <c r="F1016" t="s">
        <v>1502</v>
      </c>
      <c r="G1016" t="s">
        <v>280</v>
      </c>
      <c r="H1016" t="s">
        <v>1503</v>
      </c>
      <c r="I1016" t="s">
        <v>35</v>
      </c>
      <c r="J1016"/>
      <c r="K1016">
        <v>1</v>
      </c>
      <c r="L1016">
        <v>1</v>
      </c>
      <c r="M1016" t="s">
        <v>33</v>
      </c>
      <c r="N1016">
        <v>1</v>
      </c>
      <c r="O1016">
        <v>1</v>
      </c>
      <c r="P1016">
        <v>1</v>
      </c>
      <c r="Q1016" t="s">
        <v>38</v>
      </c>
      <c r="R1016">
        <v>1</v>
      </c>
      <c r="S1016">
        <v>0</v>
      </c>
      <c r="T1016"/>
      <c r="U1016"/>
      <c r="V1016"/>
      <c r="W1016"/>
      <c r="X1016">
        <v>0</v>
      </c>
      <c r="Y1016"/>
      <c r="Z1016">
        <v>0</v>
      </c>
      <c r="AA1016"/>
      <c r="AB1016"/>
      <c r="AC1016"/>
      <c r="AD1016"/>
      <c r="AE1016">
        <v>0</v>
      </c>
      <c r="AF1016"/>
      <c r="AG1016" t="s">
        <v>3467</v>
      </c>
      <c r="AH1016"/>
    </row>
    <row r="1017" spans="1:34" x14ac:dyDescent="0.25">
      <c r="A1017" t="s">
        <v>1478</v>
      </c>
      <c r="B1017" t="s">
        <v>329</v>
      </c>
      <c r="C1017"/>
      <c r="D1017" t="s">
        <v>329</v>
      </c>
      <c r="E1017" t="s">
        <v>1479</v>
      </c>
      <c r="F1017" t="s">
        <v>1504</v>
      </c>
      <c r="G1017" t="s">
        <v>280</v>
      </c>
      <c r="H1017" t="s">
        <v>1505</v>
      </c>
      <c r="I1017" t="s">
        <v>35</v>
      </c>
      <c r="J1017"/>
      <c r="K1017">
        <v>1</v>
      </c>
      <c r="L1017">
        <v>1</v>
      </c>
      <c r="M1017" t="s">
        <v>33</v>
      </c>
      <c r="N1017">
        <v>1</v>
      </c>
      <c r="O1017">
        <v>1</v>
      </c>
      <c r="P1017">
        <v>1</v>
      </c>
      <c r="Q1017" t="s">
        <v>38</v>
      </c>
      <c r="R1017">
        <v>1</v>
      </c>
      <c r="S1017">
        <v>0</v>
      </c>
      <c r="T1017"/>
      <c r="U1017"/>
      <c r="V1017"/>
      <c r="W1017"/>
      <c r="X1017">
        <v>0</v>
      </c>
      <c r="Y1017"/>
      <c r="Z1017">
        <v>0</v>
      </c>
      <c r="AA1017"/>
      <c r="AB1017"/>
      <c r="AC1017"/>
      <c r="AD1017"/>
      <c r="AE1017">
        <v>0</v>
      </c>
      <c r="AF1017"/>
      <c r="AG1017" t="s">
        <v>3467</v>
      </c>
      <c r="AH1017"/>
    </row>
    <row r="1018" spans="1:34" x14ac:dyDescent="0.25">
      <c r="A1018" t="s">
        <v>1478</v>
      </c>
      <c r="B1018" t="s">
        <v>329</v>
      </c>
      <c r="C1018"/>
      <c r="D1018" t="s">
        <v>329</v>
      </c>
      <c r="E1018" t="s">
        <v>1479</v>
      </c>
      <c r="F1018" t="s">
        <v>1506</v>
      </c>
      <c r="G1018" t="s">
        <v>280</v>
      </c>
      <c r="H1018" t="s">
        <v>1507</v>
      </c>
      <c r="I1018" t="s">
        <v>35</v>
      </c>
      <c r="J1018"/>
      <c r="K1018">
        <v>1</v>
      </c>
      <c r="L1018">
        <v>1</v>
      </c>
      <c r="M1018" t="s">
        <v>33</v>
      </c>
      <c r="N1018">
        <v>1</v>
      </c>
      <c r="O1018">
        <v>1</v>
      </c>
      <c r="P1018">
        <v>1</v>
      </c>
      <c r="Q1018" t="s">
        <v>38</v>
      </c>
      <c r="R1018">
        <v>1</v>
      </c>
      <c r="S1018">
        <v>0</v>
      </c>
      <c r="T1018"/>
      <c r="U1018"/>
      <c r="V1018"/>
      <c r="W1018"/>
      <c r="X1018">
        <v>0</v>
      </c>
      <c r="Y1018"/>
      <c r="Z1018">
        <v>0</v>
      </c>
      <c r="AA1018"/>
      <c r="AB1018"/>
      <c r="AC1018"/>
      <c r="AD1018"/>
      <c r="AE1018">
        <v>0</v>
      </c>
      <c r="AF1018"/>
      <c r="AG1018" t="s">
        <v>3467</v>
      </c>
      <c r="AH1018"/>
    </row>
    <row r="1019" spans="1:34" x14ac:dyDescent="0.25">
      <c r="A1019" t="s">
        <v>1478</v>
      </c>
      <c r="B1019" t="s">
        <v>329</v>
      </c>
      <c r="C1019"/>
      <c r="D1019" t="s">
        <v>329</v>
      </c>
      <c r="E1019" t="s">
        <v>1479</v>
      </c>
      <c r="F1019" t="s">
        <v>1508</v>
      </c>
      <c r="G1019" t="s">
        <v>280</v>
      </c>
      <c r="H1019" t="s">
        <v>1509</v>
      </c>
      <c r="I1019" t="s">
        <v>35</v>
      </c>
      <c r="J1019"/>
      <c r="K1019">
        <v>1</v>
      </c>
      <c r="L1019">
        <v>1</v>
      </c>
      <c r="M1019" t="s">
        <v>33</v>
      </c>
      <c r="N1019">
        <v>1</v>
      </c>
      <c r="O1019">
        <v>1</v>
      </c>
      <c r="P1019">
        <v>1</v>
      </c>
      <c r="Q1019" t="s">
        <v>38</v>
      </c>
      <c r="R1019">
        <v>1</v>
      </c>
      <c r="S1019">
        <v>0</v>
      </c>
      <c r="T1019"/>
      <c r="U1019"/>
      <c r="V1019"/>
      <c r="W1019"/>
      <c r="X1019">
        <v>0</v>
      </c>
      <c r="Y1019"/>
      <c r="Z1019">
        <v>0</v>
      </c>
      <c r="AA1019"/>
      <c r="AB1019"/>
      <c r="AC1019"/>
      <c r="AD1019"/>
      <c r="AE1019">
        <v>0</v>
      </c>
      <c r="AF1019"/>
      <c r="AG1019" t="s">
        <v>3467</v>
      </c>
      <c r="AH1019"/>
    </row>
    <row r="1020" spans="1:34" x14ac:dyDescent="0.25">
      <c r="A1020" t="s">
        <v>1478</v>
      </c>
      <c r="B1020" t="s">
        <v>329</v>
      </c>
      <c r="C1020"/>
      <c r="D1020" t="s">
        <v>329</v>
      </c>
      <c r="E1020" t="s">
        <v>1479</v>
      </c>
      <c r="F1020" t="s">
        <v>1510</v>
      </c>
      <c r="G1020" t="s">
        <v>280</v>
      </c>
      <c r="H1020" t="s">
        <v>1511</v>
      </c>
      <c r="I1020" t="s">
        <v>35</v>
      </c>
      <c r="J1020"/>
      <c r="K1020">
        <v>1</v>
      </c>
      <c r="L1020">
        <v>1</v>
      </c>
      <c r="M1020" t="s">
        <v>33</v>
      </c>
      <c r="N1020">
        <v>1</v>
      </c>
      <c r="O1020">
        <v>1</v>
      </c>
      <c r="P1020">
        <v>1</v>
      </c>
      <c r="Q1020" t="s">
        <v>38</v>
      </c>
      <c r="R1020">
        <v>1</v>
      </c>
      <c r="S1020">
        <v>0</v>
      </c>
      <c r="T1020"/>
      <c r="U1020"/>
      <c r="V1020"/>
      <c r="W1020"/>
      <c r="X1020">
        <v>0</v>
      </c>
      <c r="Y1020"/>
      <c r="Z1020">
        <v>0</v>
      </c>
      <c r="AA1020"/>
      <c r="AB1020"/>
      <c r="AC1020"/>
      <c r="AD1020"/>
      <c r="AE1020">
        <v>0</v>
      </c>
      <c r="AF1020"/>
      <c r="AG1020" t="s">
        <v>3467</v>
      </c>
      <c r="AH1020"/>
    </row>
    <row r="1021" spans="1:34" x14ac:dyDescent="0.25">
      <c r="A1021" t="s">
        <v>1478</v>
      </c>
      <c r="B1021" t="s">
        <v>329</v>
      </c>
      <c r="C1021"/>
      <c r="D1021" t="s">
        <v>329</v>
      </c>
      <c r="E1021" t="s">
        <v>1479</v>
      </c>
      <c r="F1021" t="s">
        <v>1512</v>
      </c>
      <c r="G1021" t="s">
        <v>280</v>
      </c>
      <c r="H1021" t="s">
        <v>1513</v>
      </c>
      <c r="I1021" t="s">
        <v>35</v>
      </c>
      <c r="J1021"/>
      <c r="K1021">
        <v>1</v>
      </c>
      <c r="L1021">
        <v>1</v>
      </c>
      <c r="M1021" t="s">
        <v>33</v>
      </c>
      <c r="N1021">
        <v>1</v>
      </c>
      <c r="O1021">
        <v>1</v>
      </c>
      <c r="P1021">
        <v>1</v>
      </c>
      <c r="Q1021" t="s">
        <v>38</v>
      </c>
      <c r="R1021">
        <v>1</v>
      </c>
      <c r="S1021">
        <v>0</v>
      </c>
      <c r="T1021"/>
      <c r="U1021"/>
      <c r="V1021"/>
      <c r="W1021"/>
      <c r="X1021">
        <v>0</v>
      </c>
      <c r="Y1021"/>
      <c r="Z1021">
        <v>0</v>
      </c>
      <c r="AA1021"/>
      <c r="AB1021"/>
      <c r="AC1021"/>
      <c r="AD1021"/>
      <c r="AE1021">
        <v>0</v>
      </c>
      <c r="AF1021"/>
      <c r="AG1021" t="s">
        <v>3467</v>
      </c>
      <c r="AH1021"/>
    </row>
    <row r="1022" spans="1:34" x14ac:dyDescent="0.25">
      <c r="A1022" t="s">
        <v>1478</v>
      </c>
      <c r="B1022" t="s">
        <v>329</v>
      </c>
      <c r="C1022"/>
      <c r="D1022" t="s">
        <v>329</v>
      </c>
      <c r="E1022" t="s">
        <v>1479</v>
      </c>
      <c r="F1022" t="s">
        <v>1514</v>
      </c>
      <c r="G1022" t="s">
        <v>280</v>
      </c>
      <c r="H1022" t="s">
        <v>1515</v>
      </c>
      <c r="I1022" t="s">
        <v>35</v>
      </c>
      <c r="J1022"/>
      <c r="K1022">
        <v>1</v>
      </c>
      <c r="L1022">
        <v>1</v>
      </c>
      <c r="M1022" t="s">
        <v>33</v>
      </c>
      <c r="N1022">
        <v>1</v>
      </c>
      <c r="O1022">
        <v>1</v>
      </c>
      <c r="P1022">
        <v>1</v>
      </c>
      <c r="Q1022" t="s">
        <v>38</v>
      </c>
      <c r="R1022">
        <v>1</v>
      </c>
      <c r="S1022">
        <v>0</v>
      </c>
      <c r="T1022"/>
      <c r="U1022"/>
      <c r="V1022"/>
      <c r="W1022"/>
      <c r="X1022">
        <v>0</v>
      </c>
      <c r="Y1022"/>
      <c r="Z1022">
        <v>0</v>
      </c>
      <c r="AA1022"/>
      <c r="AB1022"/>
      <c r="AC1022"/>
      <c r="AD1022"/>
      <c r="AE1022">
        <v>0</v>
      </c>
      <c r="AF1022"/>
      <c r="AG1022" t="s">
        <v>3467</v>
      </c>
      <c r="AH1022"/>
    </row>
    <row r="1023" spans="1:34" x14ac:dyDescent="0.25">
      <c r="A1023" t="s">
        <v>1478</v>
      </c>
      <c r="B1023" t="s">
        <v>329</v>
      </c>
      <c r="C1023"/>
      <c r="D1023" t="s">
        <v>329</v>
      </c>
      <c r="E1023" t="s">
        <v>1479</v>
      </c>
      <c r="F1023" t="s">
        <v>1516</v>
      </c>
      <c r="G1023" t="s">
        <v>280</v>
      </c>
      <c r="H1023" t="s">
        <v>1517</v>
      </c>
      <c r="I1023" t="s">
        <v>35</v>
      </c>
      <c r="J1023"/>
      <c r="K1023">
        <v>1</v>
      </c>
      <c r="L1023">
        <v>1</v>
      </c>
      <c r="M1023" t="s">
        <v>33</v>
      </c>
      <c r="N1023">
        <v>1</v>
      </c>
      <c r="O1023">
        <v>1</v>
      </c>
      <c r="P1023">
        <v>1</v>
      </c>
      <c r="Q1023" t="s">
        <v>38</v>
      </c>
      <c r="R1023">
        <v>1</v>
      </c>
      <c r="S1023">
        <v>0</v>
      </c>
      <c r="T1023"/>
      <c r="U1023"/>
      <c r="V1023"/>
      <c r="W1023"/>
      <c r="X1023">
        <v>0</v>
      </c>
      <c r="Y1023"/>
      <c r="Z1023">
        <v>0</v>
      </c>
      <c r="AA1023"/>
      <c r="AB1023"/>
      <c r="AC1023"/>
      <c r="AD1023"/>
      <c r="AE1023">
        <v>0</v>
      </c>
      <c r="AF1023"/>
      <c r="AG1023" t="s">
        <v>3467</v>
      </c>
      <c r="AH1023"/>
    </row>
    <row r="1024" spans="1:34" x14ac:dyDescent="0.25">
      <c r="A1024" t="s">
        <v>1478</v>
      </c>
      <c r="B1024" t="s">
        <v>329</v>
      </c>
      <c r="C1024"/>
      <c r="D1024" t="s">
        <v>329</v>
      </c>
      <c r="E1024" t="s">
        <v>1479</v>
      </c>
      <c r="F1024" t="s">
        <v>1518</v>
      </c>
      <c r="G1024" t="s">
        <v>280</v>
      </c>
      <c r="H1024" t="s">
        <v>1519</v>
      </c>
      <c r="I1024" t="s">
        <v>35</v>
      </c>
      <c r="J1024"/>
      <c r="K1024">
        <v>1</v>
      </c>
      <c r="L1024">
        <v>1</v>
      </c>
      <c r="M1024" t="s">
        <v>33</v>
      </c>
      <c r="N1024">
        <v>1</v>
      </c>
      <c r="O1024">
        <v>1</v>
      </c>
      <c r="P1024">
        <v>1</v>
      </c>
      <c r="Q1024" t="s">
        <v>38</v>
      </c>
      <c r="R1024">
        <v>1</v>
      </c>
      <c r="S1024">
        <v>0</v>
      </c>
      <c r="T1024"/>
      <c r="U1024"/>
      <c r="V1024"/>
      <c r="W1024"/>
      <c r="X1024">
        <v>0</v>
      </c>
      <c r="Y1024"/>
      <c r="Z1024">
        <v>0</v>
      </c>
      <c r="AA1024"/>
      <c r="AB1024"/>
      <c r="AC1024"/>
      <c r="AD1024"/>
      <c r="AE1024">
        <v>0</v>
      </c>
      <c r="AF1024"/>
      <c r="AG1024" t="s">
        <v>3467</v>
      </c>
      <c r="AH1024"/>
    </row>
    <row r="1025" spans="1:34" x14ac:dyDescent="0.25">
      <c r="A1025" t="s">
        <v>1478</v>
      </c>
      <c r="B1025" t="s">
        <v>329</v>
      </c>
      <c r="C1025"/>
      <c r="D1025" t="s">
        <v>329</v>
      </c>
      <c r="E1025" t="s">
        <v>1479</v>
      </c>
      <c r="F1025" t="s">
        <v>1520</v>
      </c>
      <c r="G1025" t="s">
        <v>280</v>
      </c>
      <c r="H1025" t="s">
        <v>1521</v>
      </c>
      <c r="I1025" t="s">
        <v>35</v>
      </c>
      <c r="J1025"/>
      <c r="K1025">
        <v>1</v>
      </c>
      <c r="L1025">
        <v>1</v>
      </c>
      <c r="M1025" t="s">
        <v>33</v>
      </c>
      <c r="N1025">
        <v>1</v>
      </c>
      <c r="O1025">
        <v>1</v>
      </c>
      <c r="P1025">
        <v>1</v>
      </c>
      <c r="Q1025" t="s">
        <v>38</v>
      </c>
      <c r="R1025">
        <v>1</v>
      </c>
      <c r="S1025">
        <v>0</v>
      </c>
      <c r="T1025"/>
      <c r="U1025"/>
      <c r="V1025"/>
      <c r="W1025"/>
      <c r="X1025">
        <v>0</v>
      </c>
      <c r="Y1025"/>
      <c r="Z1025">
        <v>0</v>
      </c>
      <c r="AA1025"/>
      <c r="AB1025"/>
      <c r="AC1025"/>
      <c r="AD1025"/>
      <c r="AE1025">
        <v>0</v>
      </c>
      <c r="AF1025"/>
      <c r="AG1025" t="s">
        <v>3467</v>
      </c>
      <c r="AH1025"/>
    </row>
    <row r="1026" spans="1:34" x14ac:dyDescent="0.25">
      <c r="A1026" t="s">
        <v>1478</v>
      </c>
      <c r="B1026" t="s">
        <v>329</v>
      </c>
      <c r="C1026"/>
      <c r="D1026" t="s">
        <v>329</v>
      </c>
      <c r="E1026" t="s">
        <v>1479</v>
      </c>
      <c r="F1026" t="s">
        <v>1522</v>
      </c>
      <c r="G1026" t="s">
        <v>280</v>
      </c>
      <c r="H1026" t="s">
        <v>1523</v>
      </c>
      <c r="I1026" t="s">
        <v>35</v>
      </c>
      <c r="J1026"/>
      <c r="K1026">
        <v>1</v>
      </c>
      <c r="L1026">
        <v>1</v>
      </c>
      <c r="M1026" t="s">
        <v>33</v>
      </c>
      <c r="N1026">
        <v>1</v>
      </c>
      <c r="O1026">
        <v>1</v>
      </c>
      <c r="P1026">
        <v>1</v>
      </c>
      <c r="Q1026" t="s">
        <v>38</v>
      </c>
      <c r="R1026">
        <v>1</v>
      </c>
      <c r="S1026">
        <v>0</v>
      </c>
      <c r="T1026"/>
      <c r="U1026"/>
      <c r="V1026"/>
      <c r="W1026"/>
      <c r="X1026">
        <v>0</v>
      </c>
      <c r="Y1026"/>
      <c r="Z1026">
        <v>0</v>
      </c>
      <c r="AA1026"/>
      <c r="AB1026"/>
      <c r="AC1026"/>
      <c r="AD1026"/>
      <c r="AE1026">
        <v>0</v>
      </c>
      <c r="AF1026"/>
      <c r="AG1026" t="s">
        <v>3467</v>
      </c>
      <c r="AH1026"/>
    </row>
    <row r="1027" spans="1:34" x14ac:dyDescent="0.25">
      <c r="A1027" t="s">
        <v>1478</v>
      </c>
      <c r="B1027" t="s">
        <v>329</v>
      </c>
      <c r="C1027"/>
      <c r="D1027" t="s">
        <v>329</v>
      </c>
      <c r="E1027" t="s">
        <v>1479</v>
      </c>
      <c r="F1027" t="s">
        <v>1524</v>
      </c>
      <c r="G1027" t="s">
        <v>280</v>
      </c>
      <c r="H1027" t="s">
        <v>1525</v>
      </c>
      <c r="I1027" t="s">
        <v>35</v>
      </c>
      <c r="J1027"/>
      <c r="K1027">
        <v>1</v>
      </c>
      <c r="L1027">
        <v>1</v>
      </c>
      <c r="M1027" t="s">
        <v>33</v>
      </c>
      <c r="N1027">
        <v>1</v>
      </c>
      <c r="O1027">
        <v>1</v>
      </c>
      <c r="P1027">
        <v>1</v>
      </c>
      <c r="Q1027" t="s">
        <v>38</v>
      </c>
      <c r="R1027">
        <v>1</v>
      </c>
      <c r="S1027">
        <v>0</v>
      </c>
      <c r="T1027"/>
      <c r="U1027"/>
      <c r="V1027"/>
      <c r="W1027"/>
      <c r="X1027">
        <v>0</v>
      </c>
      <c r="Y1027"/>
      <c r="Z1027">
        <v>0</v>
      </c>
      <c r="AA1027"/>
      <c r="AB1027"/>
      <c r="AC1027"/>
      <c r="AD1027"/>
      <c r="AE1027">
        <v>0</v>
      </c>
      <c r="AF1027"/>
      <c r="AG1027" t="s">
        <v>3467</v>
      </c>
      <c r="AH1027"/>
    </row>
    <row r="1028" spans="1:34" x14ac:dyDescent="0.25">
      <c r="A1028" t="s">
        <v>1478</v>
      </c>
      <c r="B1028" t="s">
        <v>329</v>
      </c>
      <c r="C1028"/>
      <c r="D1028" t="s">
        <v>329</v>
      </c>
      <c r="E1028" t="s">
        <v>1479</v>
      </c>
      <c r="F1028" t="s">
        <v>1526</v>
      </c>
      <c r="G1028" t="s">
        <v>280</v>
      </c>
      <c r="H1028" t="s">
        <v>1527</v>
      </c>
      <c r="I1028" t="s">
        <v>35</v>
      </c>
      <c r="J1028"/>
      <c r="K1028">
        <v>1</v>
      </c>
      <c r="L1028">
        <v>1</v>
      </c>
      <c r="M1028" t="s">
        <v>33</v>
      </c>
      <c r="N1028">
        <v>1</v>
      </c>
      <c r="O1028">
        <v>1</v>
      </c>
      <c r="P1028">
        <v>1</v>
      </c>
      <c r="Q1028" t="s">
        <v>38</v>
      </c>
      <c r="R1028">
        <v>1</v>
      </c>
      <c r="S1028">
        <v>0</v>
      </c>
      <c r="T1028"/>
      <c r="U1028"/>
      <c r="V1028"/>
      <c r="W1028"/>
      <c r="X1028">
        <v>0</v>
      </c>
      <c r="Y1028"/>
      <c r="Z1028">
        <v>0</v>
      </c>
      <c r="AA1028"/>
      <c r="AB1028"/>
      <c r="AC1028"/>
      <c r="AD1028"/>
      <c r="AE1028">
        <v>0</v>
      </c>
      <c r="AF1028"/>
      <c r="AG1028" t="s">
        <v>3467</v>
      </c>
      <c r="AH1028"/>
    </row>
    <row r="1029" spans="1:34" x14ac:dyDescent="0.25">
      <c r="A1029" t="s">
        <v>1478</v>
      </c>
      <c r="B1029" t="s">
        <v>329</v>
      </c>
      <c r="C1029"/>
      <c r="D1029" t="s">
        <v>329</v>
      </c>
      <c r="E1029" t="s">
        <v>1479</v>
      </c>
      <c r="F1029" t="s">
        <v>1528</v>
      </c>
      <c r="G1029" t="s">
        <v>280</v>
      </c>
      <c r="H1029" t="s">
        <v>1529</v>
      </c>
      <c r="I1029" t="s">
        <v>35</v>
      </c>
      <c r="J1029"/>
      <c r="K1029">
        <v>1</v>
      </c>
      <c r="L1029">
        <v>1</v>
      </c>
      <c r="M1029" t="s">
        <v>33</v>
      </c>
      <c r="N1029">
        <v>1</v>
      </c>
      <c r="O1029">
        <v>1</v>
      </c>
      <c r="P1029">
        <v>1</v>
      </c>
      <c r="Q1029" t="s">
        <v>38</v>
      </c>
      <c r="R1029">
        <v>1</v>
      </c>
      <c r="S1029">
        <v>0</v>
      </c>
      <c r="T1029"/>
      <c r="U1029"/>
      <c r="V1029"/>
      <c r="W1029"/>
      <c r="X1029">
        <v>0</v>
      </c>
      <c r="Y1029"/>
      <c r="Z1029">
        <v>0</v>
      </c>
      <c r="AA1029"/>
      <c r="AB1029"/>
      <c r="AC1029"/>
      <c r="AD1029"/>
      <c r="AE1029">
        <v>0</v>
      </c>
      <c r="AF1029"/>
      <c r="AG1029" t="s">
        <v>3467</v>
      </c>
      <c r="AH1029"/>
    </row>
    <row r="1030" spans="1:34" x14ac:dyDescent="0.25">
      <c r="A1030" t="s">
        <v>1478</v>
      </c>
      <c r="B1030" t="s">
        <v>329</v>
      </c>
      <c r="C1030"/>
      <c r="D1030" t="s">
        <v>329</v>
      </c>
      <c r="E1030" t="s">
        <v>1479</v>
      </c>
      <c r="F1030" t="s">
        <v>1530</v>
      </c>
      <c r="G1030" t="s">
        <v>280</v>
      </c>
      <c r="H1030" t="s">
        <v>1531</v>
      </c>
      <c r="I1030" t="s">
        <v>35</v>
      </c>
      <c r="J1030"/>
      <c r="K1030">
        <v>1</v>
      </c>
      <c r="L1030">
        <v>1</v>
      </c>
      <c r="M1030" t="s">
        <v>33</v>
      </c>
      <c r="N1030">
        <v>1</v>
      </c>
      <c r="O1030">
        <v>1</v>
      </c>
      <c r="P1030">
        <v>1</v>
      </c>
      <c r="Q1030" t="s">
        <v>38</v>
      </c>
      <c r="R1030">
        <v>1</v>
      </c>
      <c r="S1030">
        <v>0</v>
      </c>
      <c r="T1030"/>
      <c r="U1030"/>
      <c r="V1030"/>
      <c r="W1030"/>
      <c r="X1030">
        <v>0</v>
      </c>
      <c r="Y1030"/>
      <c r="Z1030">
        <v>0</v>
      </c>
      <c r="AA1030"/>
      <c r="AB1030"/>
      <c r="AC1030"/>
      <c r="AD1030"/>
      <c r="AE1030">
        <v>0</v>
      </c>
      <c r="AF1030"/>
      <c r="AG1030" t="s">
        <v>3467</v>
      </c>
      <c r="AH1030"/>
    </row>
    <row r="1031" spans="1:34" x14ac:dyDescent="0.25">
      <c r="A1031" t="s">
        <v>1478</v>
      </c>
      <c r="B1031" t="s">
        <v>329</v>
      </c>
      <c r="C1031"/>
      <c r="D1031" t="s">
        <v>329</v>
      </c>
      <c r="E1031" t="s">
        <v>1479</v>
      </c>
      <c r="F1031" t="s">
        <v>1532</v>
      </c>
      <c r="G1031" t="s">
        <v>280</v>
      </c>
      <c r="H1031" t="s">
        <v>1533</v>
      </c>
      <c r="I1031" t="s">
        <v>35</v>
      </c>
      <c r="J1031"/>
      <c r="K1031">
        <v>1</v>
      </c>
      <c r="L1031">
        <v>1</v>
      </c>
      <c r="M1031" t="s">
        <v>33</v>
      </c>
      <c r="N1031">
        <v>1</v>
      </c>
      <c r="O1031">
        <v>1</v>
      </c>
      <c r="P1031">
        <v>1</v>
      </c>
      <c r="Q1031" t="s">
        <v>38</v>
      </c>
      <c r="R1031">
        <v>1</v>
      </c>
      <c r="S1031">
        <v>0</v>
      </c>
      <c r="T1031"/>
      <c r="U1031"/>
      <c r="V1031"/>
      <c r="W1031"/>
      <c r="X1031">
        <v>0</v>
      </c>
      <c r="Y1031"/>
      <c r="Z1031">
        <v>0</v>
      </c>
      <c r="AA1031"/>
      <c r="AB1031"/>
      <c r="AC1031"/>
      <c r="AD1031"/>
      <c r="AE1031">
        <v>0</v>
      </c>
      <c r="AF1031"/>
      <c r="AG1031" t="s">
        <v>3467</v>
      </c>
      <c r="AH1031"/>
    </row>
    <row r="1032" spans="1:34" x14ac:dyDescent="0.25">
      <c r="A1032" t="s">
        <v>1478</v>
      </c>
      <c r="B1032" t="s">
        <v>329</v>
      </c>
      <c r="C1032"/>
      <c r="D1032" t="s">
        <v>329</v>
      </c>
      <c r="E1032" t="s">
        <v>1534</v>
      </c>
      <c r="F1032" t="s">
        <v>1480</v>
      </c>
      <c r="G1032" t="s">
        <v>280</v>
      </c>
      <c r="H1032" t="s">
        <v>1535</v>
      </c>
      <c r="I1032" t="s">
        <v>35</v>
      </c>
      <c r="J1032"/>
      <c r="K1032">
        <v>1</v>
      </c>
      <c r="L1032">
        <v>1</v>
      </c>
      <c r="M1032" t="s">
        <v>33</v>
      </c>
      <c r="N1032">
        <v>1</v>
      </c>
      <c r="O1032"/>
      <c r="P1032">
        <v>0</v>
      </c>
      <c r="Q1032" t="s">
        <v>38</v>
      </c>
      <c r="R1032">
        <v>1</v>
      </c>
      <c r="S1032">
        <v>0</v>
      </c>
      <c r="T1032"/>
      <c r="U1032"/>
      <c r="V1032"/>
      <c r="W1032"/>
      <c r="X1032">
        <v>0</v>
      </c>
      <c r="Y1032"/>
      <c r="Z1032">
        <v>0</v>
      </c>
      <c r="AA1032"/>
      <c r="AB1032"/>
      <c r="AC1032"/>
      <c r="AD1032"/>
      <c r="AE1032">
        <v>0</v>
      </c>
      <c r="AF1032"/>
      <c r="AG1032"/>
      <c r="AH1032"/>
    </row>
    <row r="1033" spans="1:34" x14ac:dyDescent="0.25">
      <c r="A1033" t="s">
        <v>3424</v>
      </c>
      <c r="B1033" t="s">
        <v>3425</v>
      </c>
      <c r="C1033"/>
      <c r="D1033" t="s">
        <v>329</v>
      </c>
      <c r="E1033" t="s">
        <v>1534</v>
      </c>
      <c r="F1033" t="s">
        <v>1480</v>
      </c>
      <c r="G1033" t="s">
        <v>280</v>
      </c>
      <c r="H1033" t="s">
        <v>1535</v>
      </c>
      <c r="I1033" t="s">
        <v>35</v>
      </c>
      <c r="J1033"/>
      <c r="K1033">
        <v>1</v>
      </c>
      <c r="L1033">
        <v>1</v>
      </c>
      <c r="M1033" t="s">
        <v>33</v>
      </c>
      <c r="N1033">
        <v>1</v>
      </c>
      <c r="O1033"/>
      <c r="P1033">
        <v>0</v>
      </c>
      <c r="Q1033" t="s">
        <v>38</v>
      </c>
      <c r="R1033">
        <v>1</v>
      </c>
      <c r="S1033">
        <v>0</v>
      </c>
      <c r="T1033"/>
      <c r="U1033"/>
      <c r="V1033"/>
      <c r="W1033"/>
      <c r="X1033">
        <v>0</v>
      </c>
      <c r="Y1033"/>
      <c r="Z1033">
        <v>0</v>
      </c>
      <c r="AA1033"/>
      <c r="AB1033"/>
      <c r="AC1033"/>
      <c r="AD1033"/>
      <c r="AE1033">
        <v>0</v>
      </c>
      <c r="AF1033"/>
      <c r="AG1033"/>
      <c r="AH1033"/>
    </row>
    <row r="1034" spans="1:34" x14ac:dyDescent="0.25">
      <c r="A1034" t="s">
        <v>1478</v>
      </c>
      <c r="B1034" t="s">
        <v>329</v>
      </c>
      <c r="C1034"/>
      <c r="D1034" t="s">
        <v>329</v>
      </c>
      <c r="E1034" t="s">
        <v>1534</v>
      </c>
      <c r="F1034" t="s">
        <v>1482</v>
      </c>
      <c r="G1034" t="s">
        <v>280</v>
      </c>
      <c r="H1034" t="s">
        <v>1536</v>
      </c>
      <c r="I1034" t="s">
        <v>35</v>
      </c>
      <c r="J1034"/>
      <c r="K1034">
        <v>1</v>
      </c>
      <c r="L1034">
        <v>1</v>
      </c>
      <c r="M1034" t="s">
        <v>33</v>
      </c>
      <c r="N1034">
        <v>1</v>
      </c>
      <c r="O1034"/>
      <c r="P1034">
        <v>0</v>
      </c>
      <c r="Q1034" t="s">
        <v>38</v>
      </c>
      <c r="R1034">
        <v>1</v>
      </c>
      <c r="S1034">
        <v>0</v>
      </c>
      <c r="T1034"/>
      <c r="U1034"/>
      <c r="V1034"/>
      <c r="W1034"/>
      <c r="X1034">
        <v>0</v>
      </c>
      <c r="Y1034"/>
      <c r="Z1034">
        <v>0</v>
      </c>
      <c r="AA1034"/>
      <c r="AB1034"/>
      <c r="AC1034"/>
      <c r="AD1034"/>
      <c r="AE1034">
        <v>0</v>
      </c>
      <c r="AF1034"/>
      <c r="AG1034"/>
      <c r="AH1034"/>
    </row>
    <row r="1035" spans="1:34" x14ac:dyDescent="0.25">
      <c r="A1035" t="s">
        <v>3424</v>
      </c>
      <c r="B1035" t="s">
        <v>3425</v>
      </c>
      <c r="C1035"/>
      <c r="D1035" t="s">
        <v>329</v>
      </c>
      <c r="E1035" t="s">
        <v>1534</v>
      </c>
      <c r="F1035" t="s">
        <v>1482</v>
      </c>
      <c r="G1035" t="s">
        <v>280</v>
      </c>
      <c r="H1035" t="s">
        <v>1536</v>
      </c>
      <c r="I1035" t="s">
        <v>35</v>
      </c>
      <c r="J1035"/>
      <c r="K1035">
        <v>1</v>
      </c>
      <c r="L1035">
        <v>1</v>
      </c>
      <c r="M1035" t="s">
        <v>33</v>
      </c>
      <c r="N1035">
        <v>1</v>
      </c>
      <c r="O1035"/>
      <c r="P1035">
        <v>0</v>
      </c>
      <c r="Q1035" t="s">
        <v>38</v>
      </c>
      <c r="R1035">
        <v>1</v>
      </c>
      <c r="S1035">
        <v>0</v>
      </c>
      <c r="T1035"/>
      <c r="U1035"/>
      <c r="V1035"/>
      <c r="W1035"/>
      <c r="X1035">
        <v>0</v>
      </c>
      <c r="Y1035"/>
      <c r="Z1035">
        <v>0</v>
      </c>
      <c r="AA1035"/>
      <c r="AB1035"/>
      <c r="AC1035"/>
      <c r="AD1035"/>
      <c r="AE1035">
        <v>0</v>
      </c>
      <c r="AF1035"/>
      <c r="AG1035"/>
      <c r="AH1035"/>
    </row>
    <row r="1036" spans="1:34" x14ac:dyDescent="0.25">
      <c r="A1036" t="s">
        <v>1478</v>
      </c>
      <c r="B1036" t="s">
        <v>329</v>
      </c>
      <c r="C1036"/>
      <c r="D1036" t="s">
        <v>329</v>
      </c>
      <c r="E1036" t="s">
        <v>1534</v>
      </c>
      <c r="F1036" t="s">
        <v>1484</v>
      </c>
      <c r="G1036" t="s">
        <v>280</v>
      </c>
      <c r="H1036" t="s">
        <v>1537</v>
      </c>
      <c r="I1036" t="s">
        <v>35</v>
      </c>
      <c r="J1036"/>
      <c r="K1036">
        <v>1</v>
      </c>
      <c r="L1036">
        <v>1</v>
      </c>
      <c r="M1036" t="s">
        <v>33</v>
      </c>
      <c r="N1036">
        <v>1</v>
      </c>
      <c r="O1036"/>
      <c r="P1036">
        <v>0</v>
      </c>
      <c r="Q1036" t="s">
        <v>38</v>
      </c>
      <c r="R1036">
        <v>1</v>
      </c>
      <c r="S1036">
        <v>0</v>
      </c>
      <c r="T1036"/>
      <c r="U1036"/>
      <c r="V1036"/>
      <c r="W1036"/>
      <c r="X1036">
        <v>0</v>
      </c>
      <c r="Y1036"/>
      <c r="Z1036">
        <v>0</v>
      </c>
      <c r="AA1036"/>
      <c r="AB1036"/>
      <c r="AC1036"/>
      <c r="AD1036"/>
      <c r="AE1036">
        <v>0</v>
      </c>
      <c r="AF1036"/>
      <c r="AG1036"/>
      <c r="AH1036"/>
    </row>
    <row r="1037" spans="1:34" x14ac:dyDescent="0.25">
      <c r="A1037" t="s">
        <v>3424</v>
      </c>
      <c r="B1037" t="s">
        <v>3425</v>
      </c>
      <c r="C1037"/>
      <c r="D1037" t="s">
        <v>329</v>
      </c>
      <c r="E1037" t="s">
        <v>1534</v>
      </c>
      <c r="F1037" t="s">
        <v>1484</v>
      </c>
      <c r="G1037" t="s">
        <v>280</v>
      </c>
      <c r="H1037" t="s">
        <v>1537</v>
      </c>
      <c r="I1037" t="s">
        <v>35</v>
      </c>
      <c r="J1037"/>
      <c r="K1037">
        <v>1</v>
      </c>
      <c r="L1037">
        <v>1</v>
      </c>
      <c r="M1037" t="s">
        <v>33</v>
      </c>
      <c r="N1037">
        <v>1</v>
      </c>
      <c r="O1037"/>
      <c r="P1037">
        <v>0</v>
      </c>
      <c r="Q1037" t="s">
        <v>38</v>
      </c>
      <c r="R1037">
        <v>1</v>
      </c>
      <c r="S1037">
        <v>0</v>
      </c>
      <c r="T1037"/>
      <c r="U1037"/>
      <c r="V1037"/>
      <c r="W1037"/>
      <c r="X1037">
        <v>0</v>
      </c>
      <c r="Y1037"/>
      <c r="Z1037">
        <v>0</v>
      </c>
      <c r="AA1037"/>
      <c r="AB1037"/>
      <c r="AC1037"/>
      <c r="AD1037"/>
      <c r="AE1037">
        <v>0</v>
      </c>
      <c r="AF1037"/>
      <c r="AG1037"/>
      <c r="AH1037"/>
    </row>
    <row r="1038" spans="1:34" x14ac:dyDescent="0.25">
      <c r="A1038" t="s">
        <v>1478</v>
      </c>
      <c r="B1038" t="s">
        <v>329</v>
      </c>
      <c r="C1038"/>
      <c r="D1038" t="s">
        <v>329</v>
      </c>
      <c r="E1038" t="s">
        <v>1534</v>
      </c>
      <c r="F1038" t="s">
        <v>1486</v>
      </c>
      <c r="G1038" t="s">
        <v>280</v>
      </c>
      <c r="H1038" t="s">
        <v>1538</v>
      </c>
      <c r="I1038" t="s">
        <v>35</v>
      </c>
      <c r="J1038"/>
      <c r="K1038">
        <v>1</v>
      </c>
      <c r="L1038">
        <v>1</v>
      </c>
      <c r="M1038" t="s">
        <v>33</v>
      </c>
      <c r="N1038">
        <v>1</v>
      </c>
      <c r="O1038"/>
      <c r="P1038">
        <v>0</v>
      </c>
      <c r="Q1038" t="s">
        <v>38</v>
      </c>
      <c r="R1038">
        <v>1</v>
      </c>
      <c r="S1038">
        <v>0</v>
      </c>
      <c r="T1038"/>
      <c r="U1038"/>
      <c r="V1038"/>
      <c r="W1038"/>
      <c r="X1038">
        <v>0</v>
      </c>
      <c r="Y1038"/>
      <c r="Z1038">
        <v>0</v>
      </c>
      <c r="AA1038"/>
      <c r="AB1038"/>
      <c r="AC1038"/>
      <c r="AD1038"/>
      <c r="AE1038">
        <v>0</v>
      </c>
      <c r="AF1038"/>
      <c r="AG1038"/>
      <c r="AH1038"/>
    </row>
    <row r="1039" spans="1:34" x14ac:dyDescent="0.25">
      <c r="A1039" t="s">
        <v>3424</v>
      </c>
      <c r="B1039" t="s">
        <v>3425</v>
      </c>
      <c r="C1039"/>
      <c r="D1039" t="s">
        <v>329</v>
      </c>
      <c r="E1039" t="s">
        <v>1534</v>
      </c>
      <c r="F1039" t="s">
        <v>1486</v>
      </c>
      <c r="G1039" t="s">
        <v>280</v>
      </c>
      <c r="H1039" t="s">
        <v>1538</v>
      </c>
      <c r="I1039" t="s">
        <v>35</v>
      </c>
      <c r="J1039"/>
      <c r="K1039">
        <v>1</v>
      </c>
      <c r="L1039">
        <v>1</v>
      </c>
      <c r="M1039" t="s">
        <v>33</v>
      </c>
      <c r="N1039">
        <v>1</v>
      </c>
      <c r="O1039"/>
      <c r="P1039">
        <v>0</v>
      </c>
      <c r="Q1039" t="s">
        <v>38</v>
      </c>
      <c r="R1039">
        <v>1</v>
      </c>
      <c r="S1039">
        <v>0</v>
      </c>
      <c r="T1039"/>
      <c r="U1039"/>
      <c r="V1039"/>
      <c r="W1039"/>
      <c r="X1039">
        <v>0</v>
      </c>
      <c r="Y1039"/>
      <c r="Z1039">
        <v>0</v>
      </c>
      <c r="AA1039"/>
      <c r="AB1039"/>
      <c r="AC1039"/>
      <c r="AD1039"/>
      <c r="AE1039">
        <v>0</v>
      </c>
      <c r="AF1039"/>
      <c r="AG1039"/>
      <c r="AH1039"/>
    </row>
    <row r="1040" spans="1:34" x14ac:dyDescent="0.25">
      <c r="A1040" t="s">
        <v>1478</v>
      </c>
      <c r="B1040" t="s">
        <v>329</v>
      </c>
      <c r="C1040"/>
      <c r="D1040" t="s">
        <v>329</v>
      </c>
      <c r="E1040" t="s">
        <v>1534</v>
      </c>
      <c r="F1040" t="s">
        <v>1488</v>
      </c>
      <c r="G1040" t="s">
        <v>280</v>
      </c>
      <c r="H1040" t="s">
        <v>1539</v>
      </c>
      <c r="I1040" t="s">
        <v>35</v>
      </c>
      <c r="J1040"/>
      <c r="K1040">
        <v>1</v>
      </c>
      <c r="L1040">
        <v>1</v>
      </c>
      <c r="M1040" t="s">
        <v>33</v>
      </c>
      <c r="N1040">
        <v>1</v>
      </c>
      <c r="O1040"/>
      <c r="P1040">
        <v>0</v>
      </c>
      <c r="Q1040" t="s">
        <v>38</v>
      </c>
      <c r="R1040">
        <v>1</v>
      </c>
      <c r="S1040">
        <v>0</v>
      </c>
      <c r="T1040"/>
      <c r="U1040"/>
      <c r="V1040"/>
      <c r="W1040"/>
      <c r="X1040">
        <v>0</v>
      </c>
      <c r="Y1040"/>
      <c r="Z1040">
        <v>0</v>
      </c>
      <c r="AA1040"/>
      <c r="AB1040"/>
      <c r="AC1040"/>
      <c r="AD1040"/>
      <c r="AE1040">
        <v>0</v>
      </c>
      <c r="AF1040"/>
      <c r="AG1040"/>
      <c r="AH1040"/>
    </row>
    <row r="1041" spans="1:34" x14ac:dyDescent="0.25">
      <c r="A1041" t="s">
        <v>3424</v>
      </c>
      <c r="B1041" t="s">
        <v>3425</v>
      </c>
      <c r="C1041"/>
      <c r="D1041" t="s">
        <v>329</v>
      </c>
      <c r="E1041" t="s">
        <v>1534</v>
      </c>
      <c r="F1041" t="s">
        <v>1488</v>
      </c>
      <c r="G1041" t="s">
        <v>280</v>
      </c>
      <c r="H1041" t="s">
        <v>1539</v>
      </c>
      <c r="I1041" t="s">
        <v>35</v>
      </c>
      <c r="J1041"/>
      <c r="K1041">
        <v>1</v>
      </c>
      <c r="L1041">
        <v>1</v>
      </c>
      <c r="M1041" t="s">
        <v>33</v>
      </c>
      <c r="N1041">
        <v>1</v>
      </c>
      <c r="O1041"/>
      <c r="P1041">
        <v>0</v>
      </c>
      <c r="Q1041" t="s">
        <v>38</v>
      </c>
      <c r="R1041">
        <v>1</v>
      </c>
      <c r="S1041">
        <v>0</v>
      </c>
      <c r="T1041"/>
      <c r="U1041"/>
      <c r="V1041"/>
      <c r="W1041"/>
      <c r="X1041">
        <v>0</v>
      </c>
      <c r="Y1041"/>
      <c r="Z1041">
        <v>0</v>
      </c>
      <c r="AA1041"/>
      <c r="AB1041"/>
      <c r="AC1041"/>
      <c r="AD1041"/>
      <c r="AE1041">
        <v>0</v>
      </c>
      <c r="AF1041"/>
      <c r="AG1041"/>
      <c r="AH1041"/>
    </row>
    <row r="1042" spans="1:34" x14ac:dyDescent="0.25">
      <c r="A1042" t="s">
        <v>1478</v>
      </c>
      <c r="B1042" t="s">
        <v>329</v>
      </c>
      <c r="C1042"/>
      <c r="D1042" t="s">
        <v>329</v>
      </c>
      <c r="E1042" t="s">
        <v>1534</v>
      </c>
      <c r="F1042" t="s">
        <v>1490</v>
      </c>
      <c r="G1042" t="s">
        <v>280</v>
      </c>
      <c r="H1042" t="s">
        <v>1540</v>
      </c>
      <c r="I1042" t="s">
        <v>35</v>
      </c>
      <c r="J1042"/>
      <c r="K1042">
        <v>1</v>
      </c>
      <c r="L1042">
        <v>1</v>
      </c>
      <c r="M1042" t="s">
        <v>33</v>
      </c>
      <c r="N1042">
        <v>1</v>
      </c>
      <c r="O1042"/>
      <c r="P1042">
        <v>0</v>
      </c>
      <c r="Q1042" t="s">
        <v>38</v>
      </c>
      <c r="R1042">
        <v>1</v>
      </c>
      <c r="S1042">
        <v>0</v>
      </c>
      <c r="T1042"/>
      <c r="U1042"/>
      <c r="V1042"/>
      <c r="W1042"/>
      <c r="X1042">
        <v>0</v>
      </c>
      <c r="Y1042"/>
      <c r="Z1042">
        <v>0</v>
      </c>
      <c r="AA1042"/>
      <c r="AB1042"/>
      <c r="AC1042"/>
      <c r="AD1042"/>
      <c r="AE1042">
        <v>0</v>
      </c>
      <c r="AF1042"/>
      <c r="AG1042"/>
      <c r="AH1042"/>
    </row>
    <row r="1043" spans="1:34" x14ac:dyDescent="0.25">
      <c r="A1043" t="s">
        <v>3424</v>
      </c>
      <c r="B1043" t="s">
        <v>3425</v>
      </c>
      <c r="C1043"/>
      <c r="D1043" t="s">
        <v>329</v>
      </c>
      <c r="E1043" t="s">
        <v>1534</v>
      </c>
      <c r="F1043" t="s">
        <v>1490</v>
      </c>
      <c r="G1043" t="s">
        <v>280</v>
      </c>
      <c r="H1043" t="s">
        <v>1540</v>
      </c>
      <c r="I1043" t="s">
        <v>35</v>
      </c>
      <c r="J1043"/>
      <c r="K1043">
        <v>1</v>
      </c>
      <c r="L1043">
        <v>1</v>
      </c>
      <c r="M1043" t="s">
        <v>33</v>
      </c>
      <c r="N1043">
        <v>1</v>
      </c>
      <c r="O1043"/>
      <c r="P1043">
        <v>0</v>
      </c>
      <c r="Q1043" t="s">
        <v>38</v>
      </c>
      <c r="R1043">
        <v>1</v>
      </c>
      <c r="S1043">
        <v>0</v>
      </c>
      <c r="T1043"/>
      <c r="U1043"/>
      <c r="V1043"/>
      <c r="W1043"/>
      <c r="X1043">
        <v>0</v>
      </c>
      <c r="Y1043"/>
      <c r="Z1043">
        <v>0</v>
      </c>
      <c r="AA1043"/>
      <c r="AB1043"/>
      <c r="AC1043"/>
      <c r="AD1043"/>
      <c r="AE1043">
        <v>0</v>
      </c>
      <c r="AF1043"/>
      <c r="AG1043"/>
      <c r="AH1043"/>
    </row>
    <row r="1044" spans="1:34" x14ac:dyDescent="0.25">
      <c r="A1044" t="s">
        <v>1478</v>
      </c>
      <c r="B1044" t="s">
        <v>329</v>
      </c>
      <c r="C1044"/>
      <c r="D1044" t="s">
        <v>329</v>
      </c>
      <c r="E1044" t="s">
        <v>1534</v>
      </c>
      <c r="F1044" t="s">
        <v>1492</v>
      </c>
      <c r="G1044" t="s">
        <v>280</v>
      </c>
      <c r="H1044" t="s">
        <v>1541</v>
      </c>
      <c r="I1044" t="s">
        <v>35</v>
      </c>
      <c r="J1044"/>
      <c r="K1044">
        <v>1</v>
      </c>
      <c r="L1044">
        <v>1</v>
      </c>
      <c r="M1044" t="s">
        <v>33</v>
      </c>
      <c r="N1044">
        <v>1</v>
      </c>
      <c r="O1044"/>
      <c r="P1044">
        <v>0</v>
      </c>
      <c r="Q1044" t="s">
        <v>38</v>
      </c>
      <c r="R1044">
        <v>1</v>
      </c>
      <c r="S1044">
        <v>0</v>
      </c>
      <c r="T1044"/>
      <c r="U1044"/>
      <c r="V1044"/>
      <c r="W1044"/>
      <c r="X1044">
        <v>0</v>
      </c>
      <c r="Y1044"/>
      <c r="Z1044">
        <v>0</v>
      </c>
      <c r="AA1044"/>
      <c r="AB1044"/>
      <c r="AC1044"/>
      <c r="AD1044"/>
      <c r="AE1044">
        <v>0</v>
      </c>
      <c r="AF1044"/>
      <c r="AG1044"/>
      <c r="AH1044"/>
    </row>
    <row r="1045" spans="1:34" x14ac:dyDescent="0.25">
      <c r="A1045" t="s">
        <v>3424</v>
      </c>
      <c r="B1045" t="s">
        <v>3425</v>
      </c>
      <c r="C1045"/>
      <c r="D1045" t="s">
        <v>329</v>
      </c>
      <c r="E1045" t="s">
        <v>1534</v>
      </c>
      <c r="F1045" t="s">
        <v>1492</v>
      </c>
      <c r="G1045" t="s">
        <v>280</v>
      </c>
      <c r="H1045" t="s">
        <v>1541</v>
      </c>
      <c r="I1045" t="s">
        <v>35</v>
      </c>
      <c r="J1045"/>
      <c r="K1045">
        <v>1</v>
      </c>
      <c r="L1045">
        <v>1</v>
      </c>
      <c r="M1045" t="s">
        <v>33</v>
      </c>
      <c r="N1045">
        <v>1</v>
      </c>
      <c r="O1045"/>
      <c r="P1045">
        <v>0</v>
      </c>
      <c r="Q1045" t="s">
        <v>38</v>
      </c>
      <c r="R1045">
        <v>1</v>
      </c>
      <c r="S1045">
        <v>0</v>
      </c>
      <c r="T1045"/>
      <c r="U1045"/>
      <c r="V1045"/>
      <c r="W1045"/>
      <c r="X1045">
        <v>0</v>
      </c>
      <c r="Y1045"/>
      <c r="Z1045">
        <v>0</v>
      </c>
      <c r="AA1045"/>
      <c r="AB1045"/>
      <c r="AC1045"/>
      <c r="AD1045"/>
      <c r="AE1045">
        <v>0</v>
      </c>
      <c r="AF1045"/>
      <c r="AG1045"/>
      <c r="AH1045"/>
    </row>
    <row r="1046" spans="1:34" x14ac:dyDescent="0.25">
      <c r="A1046" t="s">
        <v>1478</v>
      </c>
      <c r="B1046" t="s">
        <v>329</v>
      </c>
      <c r="C1046"/>
      <c r="D1046" t="s">
        <v>329</v>
      </c>
      <c r="E1046" t="s">
        <v>1534</v>
      </c>
      <c r="F1046" t="s">
        <v>1494</v>
      </c>
      <c r="G1046" t="s">
        <v>280</v>
      </c>
      <c r="H1046" t="s">
        <v>1542</v>
      </c>
      <c r="I1046" t="s">
        <v>35</v>
      </c>
      <c r="J1046"/>
      <c r="K1046">
        <v>1</v>
      </c>
      <c r="L1046">
        <v>1</v>
      </c>
      <c r="M1046" t="s">
        <v>33</v>
      </c>
      <c r="N1046">
        <v>1</v>
      </c>
      <c r="O1046"/>
      <c r="P1046">
        <v>0</v>
      </c>
      <c r="Q1046" t="s">
        <v>38</v>
      </c>
      <c r="R1046">
        <v>1</v>
      </c>
      <c r="S1046">
        <v>0</v>
      </c>
      <c r="T1046"/>
      <c r="U1046"/>
      <c r="V1046"/>
      <c r="W1046"/>
      <c r="X1046">
        <v>0</v>
      </c>
      <c r="Y1046"/>
      <c r="Z1046">
        <v>0</v>
      </c>
      <c r="AA1046"/>
      <c r="AB1046"/>
      <c r="AC1046"/>
      <c r="AD1046"/>
      <c r="AE1046">
        <v>0</v>
      </c>
      <c r="AF1046"/>
      <c r="AG1046"/>
      <c r="AH1046"/>
    </row>
    <row r="1047" spans="1:34" x14ac:dyDescent="0.25">
      <c r="A1047" t="s">
        <v>3424</v>
      </c>
      <c r="B1047" t="s">
        <v>3425</v>
      </c>
      <c r="C1047"/>
      <c r="D1047" t="s">
        <v>329</v>
      </c>
      <c r="E1047" t="s">
        <v>1534</v>
      </c>
      <c r="F1047" t="s">
        <v>1494</v>
      </c>
      <c r="G1047" t="s">
        <v>280</v>
      </c>
      <c r="H1047" t="s">
        <v>1542</v>
      </c>
      <c r="I1047" t="s">
        <v>35</v>
      </c>
      <c r="J1047"/>
      <c r="K1047">
        <v>1</v>
      </c>
      <c r="L1047">
        <v>1</v>
      </c>
      <c r="M1047" t="s">
        <v>33</v>
      </c>
      <c r="N1047">
        <v>1</v>
      </c>
      <c r="O1047"/>
      <c r="P1047">
        <v>0</v>
      </c>
      <c r="Q1047" t="s">
        <v>38</v>
      </c>
      <c r="R1047">
        <v>1</v>
      </c>
      <c r="S1047">
        <v>0</v>
      </c>
      <c r="T1047"/>
      <c r="U1047"/>
      <c r="V1047"/>
      <c r="W1047"/>
      <c r="X1047">
        <v>0</v>
      </c>
      <c r="Y1047"/>
      <c r="Z1047">
        <v>0</v>
      </c>
      <c r="AA1047"/>
      <c r="AB1047"/>
      <c r="AC1047"/>
      <c r="AD1047"/>
      <c r="AE1047">
        <v>0</v>
      </c>
      <c r="AF1047"/>
      <c r="AG1047"/>
      <c r="AH1047"/>
    </row>
    <row r="1048" spans="1:34" x14ac:dyDescent="0.25">
      <c r="A1048" t="s">
        <v>1478</v>
      </c>
      <c r="B1048" t="s">
        <v>329</v>
      </c>
      <c r="C1048"/>
      <c r="D1048" t="s">
        <v>329</v>
      </c>
      <c r="E1048" t="s">
        <v>1534</v>
      </c>
      <c r="F1048" t="s">
        <v>1496</v>
      </c>
      <c r="G1048" t="s">
        <v>280</v>
      </c>
      <c r="H1048" t="s">
        <v>1543</v>
      </c>
      <c r="I1048" t="s">
        <v>35</v>
      </c>
      <c r="J1048"/>
      <c r="K1048">
        <v>1</v>
      </c>
      <c r="L1048">
        <v>1</v>
      </c>
      <c r="M1048" t="s">
        <v>33</v>
      </c>
      <c r="N1048">
        <v>1</v>
      </c>
      <c r="O1048"/>
      <c r="P1048">
        <v>0</v>
      </c>
      <c r="Q1048" t="s">
        <v>38</v>
      </c>
      <c r="R1048">
        <v>1</v>
      </c>
      <c r="S1048">
        <v>0</v>
      </c>
      <c r="T1048"/>
      <c r="U1048"/>
      <c r="V1048"/>
      <c r="W1048"/>
      <c r="X1048">
        <v>0</v>
      </c>
      <c r="Y1048"/>
      <c r="Z1048">
        <v>0</v>
      </c>
      <c r="AA1048"/>
      <c r="AB1048"/>
      <c r="AC1048"/>
      <c r="AD1048"/>
      <c r="AE1048">
        <v>0</v>
      </c>
      <c r="AF1048"/>
      <c r="AG1048"/>
      <c r="AH1048"/>
    </row>
    <row r="1049" spans="1:34" x14ac:dyDescent="0.25">
      <c r="A1049" t="s">
        <v>3424</v>
      </c>
      <c r="B1049" t="s">
        <v>3425</v>
      </c>
      <c r="C1049"/>
      <c r="D1049" t="s">
        <v>329</v>
      </c>
      <c r="E1049" t="s">
        <v>1534</v>
      </c>
      <c r="F1049" t="s">
        <v>1496</v>
      </c>
      <c r="G1049" t="s">
        <v>280</v>
      </c>
      <c r="H1049" t="s">
        <v>1543</v>
      </c>
      <c r="I1049" t="s">
        <v>35</v>
      </c>
      <c r="J1049"/>
      <c r="K1049">
        <v>1</v>
      </c>
      <c r="L1049">
        <v>1</v>
      </c>
      <c r="M1049" t="s">
        <v>33</v>
      </c>
      <c r="N1049">
        <v>1</v>
      </c>
      <c r="O1049"/>
      <c r="P1049">
        <v>0</v>
      </c>
      <c r="Q1049" t="s">
        <v>38</v>
      </c>
      <c r="R1049">
        <v>1</v>
      </c>
      <c r="S1049">
        <v>0</v>
      </c>
      <c r="T1049"/>
      <c r="U1049"/>
      <c r="V1049"/>
      <c r="W1049"/>
      <c r="X1049">
        <v>0</v>
      </c>
      <c r="Y1049"/>
      <c r="Z1049">
        <v>0</v>
      </c>
      <c r="AA1049"/>
      <c r="AB1049"/>
      <c r="AC1049"/>
      <c r="AD1049"/>
      <c r="AE1049">
        <v>0</v>
      </c>
      <c r="AF1049"/>
      <c r="AG1049"/>
      <c r="AH1049"/>
    </row>
    <row r="1050" spans="1:34" x14ac:dyDescent="0.25">
      <c r="A1050" t="s">
        <v>1478</v>
      </c>
      <c r="B1050" t="s">
        <v>329</v>
      </c>
      <c r="C1050"/>
      <c r="D1050" t="s">
        <v>329</v>
      </c>
      <c r="E1050" t="s">
        <v>1534</v>
      </c>
      <c r="F1050" t="s">
        <v>1498</v>
      </c>
      <c r="G1050" t="s">
        <v>280</v>
      </c>
      <c r="H1050" t="s">
        <v>1544</v>
      </c>
      <c r="I1050" t="s">
        <v>35</v>
      </c>
      <c r="J1050"/>
      <c r="K1050">
        <v>1</v>
      </c>
      <c r="L1050">
        <v>1</v>
      </c>
      <c r="M1050" t="s">
        <v>33</v>
      </c>
      <c r="N1050">
        <v>1</v>
      </c>
      <c r="O1050"/>
      <c r="P1050">
        <v>0</v>
      </c>
      <c r="Q1050" t="s">
        <v>38</v>
      </c>
      <c r="R1050">
        <v>1</v>
      </c>
      <c r="S1050">
        <v>0</v>
      </c>
      <c r="T1050"/>
      <c r="U1050"/>
      <c r="V1050"/>
      <c r="W1050"/>
      <c r="X1050">
        <v>0</v>
      </c>
      <c r="Y1050"/>
      <c r="Z1050">
        <v>0</v>
      </c>
      <c r="AA1050"/>
      <c r="AB1050"/>
      <c r="AC1050"/>
      <c r="AD1050"/>
      <c r="AE1050">
        <v>0</v>
      </c>
      <c r="AF1050"/>
      <c r="AG1050"/>
      <c r="AH1050"/>
    </row>
    <row r="1051" spans="1:34" x14ac:dyDescent="0.25">
      <c r="A1051" t="s">
        <v>3424</v>
      </c>
      <c r="B1051" t="s">
        <v>3425</v>
      </c>
      <c r="C1051"/>
      <c r="D1051" t="s">
        <v>329</v>
      </c>
      <c r="E1051" t="s">
        <v>1534</v>
      </c>
      <c r="F1051" t="s">
        <v>1498</v>
      </c>
      <c r="G1051" t="s">
        <v>280</v>
      </c>
      <c r="H1051" t="s">
        <v>1544</v>
      </c>
      <c r="I1051" t="s">
        <v>35</v>
      </c>
      <c r="J1051"/>
      <c r="K1051">
        <v>1</v>
      </c>
      <c r="L1051">
        <v>1</v>
      </c>
      <c r="M1051" t="s">
        <v>33</v>
      </c>
      <c r="N1051">
        <v>1</v>
      </c>
      <c r="O1051"/>
      <c r="P1051">
        <v>0</v>
      </c>
      <c r="Q1051" t="s">
        <v>38</v>
      </c>
      <c r="R1051">
        <v>1</v>
      </c>
      <c r="S1051">
        <v>0</v>
      </c>
      <c r="T1051"/>
      <c r="U1051"/>
      <c r="V1051"/>
      <c r="W1051"/>
      <c r="X1051">
        <v>0</v>
      </c>
      <c r="Y1051"/>
      <c r="Z1051">
        <v>0</v>
      </c>
      <c r="AA1051"/>
      <c r="AB1051"/>
      <c r="AC1051"/>
      <c r="AD1051"/>
      <c r="AE1051">
        <v>0</v>
      </c>
      <c r="AF1051"/>
      <c r="AG1051"/>
      <c r="AH1051"/>
    </row>
    <row r="1052" spans="1:34" x14ac:dyDescent="0.25">
      <c r="A1052" t="s">
        <v>1478</v>
      </c>
      <c r="B1052" t="s">
        <v>329</v>
      </c>
      <c r="C1052"/>
      <c r="D1052" t="s">
        <v>329</v>
      </c>
      <c r="E1052" t="s">
        <v>1534</v>
      </c>
      <c r="F1052" t="s">
        <v>1500</v>
      </c>
      <c r="G1052" t="s">
        <v>280</v>
      </c>
      <c r="H1052" t="s">
        <v>1545</v>
      </c>
      <c r="I1052" t="s">
        <v>35</v>
      </c>
      <c r="J1052"/>
      <c r="K1052">
        <v>1</v>
      </c>
      <c r="L1052">
        <v>1</v>
      </c>
      <c r="M1052" t="s">
        <v>33</v>
      </c>
      <c r="N1052">
        <v>1</v>
      </c>
      <c r="O1052"/>
      <c r="P1052">
        <v>0</v>
      </c>
      <c r="Q1052" t="s">
        <v>38</v>
      </c>
      <c r="R1052">
        <v>1</v>
      </c>
      <c r="S1052">
        <v>0</v>
      </c>
      <c r="T1052"/>
      <c r="U1052"/>
      <c r="V1052"/>
      <c r="W1052"/>
      <c r="X1052">
        <v>0</v>
      </c>
      <c r="Y1052"/>
      <c r="Z1052">
        <v>0</v>
      </c>
      <c r="AA1052"/>
      <c r="AB1052"/>
      <c r="AC1052"/>
      <c r="AD1052"/>
      <c r="AE1052">
        <v>0</v>
      </c>
      <c r="AF1052"/>
      <c r="AG1052"/>
      <c r="AH1052"/>
    </row>
    <row r="1053" spans="1:34" x14ac:dyDescent="0.25">
      <c r="A1053" t="s">
        <v>3424</v>
      </c>
      <c r="B1053" t="s">
        <v>3425</v>
      </c>
      <c r="C1053"/>
      <c r="D1053" t="s">
        <v>329</v>
      </c>
      <c r="E1053" t="s">
        <v>1534</v>
      </c>
      <c r="F1053" t="s">
        <v>1500</v>
      </c>
      <c r="G1053" t="s">
        <v>280</v>
      </c>
      <c r="H1053" t="s">
        <v>1545</v>
      </c>
      <c r="I1053" t="s">
        <v>35</v>
      </c>
      <c r="J1053"/>
      <c r="K1053">
        <v>1</v>
      </c>
      <c r="L1053">
        <v>1</v>
      </c>
      <c r="M1053" t="s">
        <v>33</v>
      </c>
      <c r="N1053">
        <v>1</v>
      </c>
      <c r="O1053"/>
      <c r="P1053">
        <v>0</v>
      </c>
      <c r="Q1053" t="s">
        <v>38</v>
      </c>
      <c r="R1053">
        <v>1</v>
      </c>
      <c r="S1053">
        <v>0</v>
      </c>
      <c r="T1053"/>
      <c r="U1053"/>
      <c r="V1053"/>
      <c r="W1053"/>
      <c r="X1053">
        <v>0</v>
      </c>
      <c r="Y1053"/>
      <c r="Z1053">
        <v>0</v>
      </c>
      <c r="AA1053"/>
      <c r="AB1053"/>
      <c r="AC1053"/>
      <c r="AD1053"/>
      <c r="AE1053">
        <v>0</v>
      </c>
      <c r="AF1053"/>
      <c r="AG1053"/>
      <c r="AH1053"/>
    </row>
    <row r="1054" spans="1:34" x14ac:dyDescent="0.25">
      <c r="A1054" t="s">
        <v>1478</v>
      </c>
      <c r="B1054" t="s">
        <v>329</v>
      </c>
      <c r="C1054"/>
      <c r="D1054" t="s">
        <v>329</v>
      </c>
      <c r="E1054" t="s">
        <v>1534</v>
      </c>
      <c r="F1054" t="s">
        <v>1502</v>
      </c>
      <c r="G1054" t="s">
        <v>280</v>
      </c>
      <c r="H1054" t="s">
        <v>1546</v>
      </c>
      <c r="I1054" t="s">
        <v>35</v>
      </c>
      <c r="J1054"/>
      <c r="K1054">
        <v>1</v>
      </c>
      <c r="L1054">
        <v>1</v>
      </c>
      <c r="M1054" t="s">
        <v>33</v>
      </c>
      <c r="N1054">
        <v>1</v>
      </c>
      <c r="O1054"/>
      <c r="P1054">
        <v>0</v>
      </c>
      <c r="Q1054" t="s">
        <v>38</v>
      </c>
      <c r="R1054">
        <v>1</v>
      </c>
      <c r="S1054">
        <v>0</v>
      </c>
      <c r="T1054"/>
      <c r="U1054"/>
      <c r="V1054"/>
      <c r="W1054"/>
      <c r="X1054">
        <v>0</v>
      </c>
      <c r="Y1054"/>
      <c r="Z1054">
        <v>0</v>
      </c>
      <c r="AA1054"/>
      <c r="AB1054"/>
      <c r="AC1054"/>
      <c r="AD1054"/>
      <c r="AE1054">
        <v>0</v>
      </c>
      <c r="AF1054"/>
      <c r="AG1054"/>
      <c r="AH1054"/>
    </row>
    <row r="1055" spans="1:34" x14ac:dyDescent="0.25">
      <c r="A1055" t="s">
        <v>3424</v>
      </c>
      <c r="B1055" t="s">
        <v>3425</v>
      </c>
      <c r="C1055"/>
      <c r="D1055" t="s">
        <v>329</v>
      </c>
      <c r="E1055" t="s">
        <v>1534</v>
      </c>
      <c r="F1055" t="s">
        <v>1502</v>
      </c>
      <c r="G1055" t="s">
        <v>280</v>
      </c>
      <c r="H1055" t="s">
        <v>1546</v>
      </c>
      <c r="I1055" t="s">
        <v>35</v>
      </c>
      <c r="J1055"/>
      <c r="K1055">
        <v>1</v>
      </c>
      <c r="L1055">
        <v>1</v>
      </c>
      <c r="M1055" t="s">
        <v>33</v>
      </c>
      <c r="N1055">
        <v>1</v>
      </c>
      <c r="O1055"/>
      <c r="P1055">
        <v>0</v>
      </c>
      <c r="Q1055" t="s">
        <v>38</v>
      </c>
      <c r="R1055">
        <v>1</v>
      </c>
      <c r="S1055">
        <v>0</v>
      </c>
      <c r="T1055"/>
      <c r="U1055"/>
      <c r="V1055"/>
      <c r="W1055"/>
      <c r="X1055">
        <v>0</v>
      </c>
      <c r="Y1055"/>
      <c r="Z1055">
        <v>0</v>
      </c>
      <c r="AA1055"/>
      <c r="AB1055"/>
      <c r="AC1055"/>
      <c r="AD1055"/>
      <c r="AE1055">
        <v>0</v>
      </c>
      <c r="AF1055"/>
      <c r="AG1055"/>
      <c r="AH1055"/>
    </row>
    <row r="1056" spans="1:34" x14ac:dyDescent="0.25">
      <c r="A1056" t="s">
        <v>1478</v>
      </c>
      <c r="B1056" t="s">
        <v>329</v>
      </c>
      <c r="C1056"/>
      <c r="D1056" t="s">
        <v>329</v>
      </c>
      <c r="E1056" t="s">
        <v>1534</v>
      </c>
      <c r="F1056" t="s">
        <v>1504</v>
      </c>
      <c r="G1056" t="s">
        <v>280</v>
      </c>
      <c r="H1056" t="s">
        <v>1547</v>
      </c>
      <c r="I1056" t="s">
        <v>35</v>
      </c>
      <c r="J1056"/>
      <c r="K1056">
        <v>1</v>
      </c>
      <c r="L1056">
        <v>1</v>
      </c>
      <c r="M1056" t="s">
        <v>33</v>
      </c>
      <c r="N1056">
        <v>1</v>
      </c>
      <c r="O1056"/>
      <c r="P1056">
        <v>0</v>
      </c>
      <c r="Q1056" t="s">
        <v>38</v>
      </c>
      <c r="R1056">
        <v>1</v>
      </c>
      <c r="S1056">
        <v>0</v>
      </c>
      <c r="T1056"/>
      <c r="U1056"/>
      <c r="V1056"/>
      <c r="W1056"/>
      <c r="X1056">
        <v>0</v>
      </c>
      <c r="Y1056"/>
      <c r="Z1056">
        <v>0</v>
      </c>
      <c r="AA1056"/>
      <c r="AB1056"/>
      <c r="AC1056"/>
      <c r="AD1056"/>
      <c r="AE1056">
        <v>0</v>
      </c>
      <c r="AF1056"/>
      <c r="AG1056"/>
      <c r="AH1056"/>
    </row>
    <row r="1057" spans="1:34" x14ac:dyDescent="0.25">
      <c r="A1057" t="s">
        <v>3424</v>
      </c>
      <c r="B1057" t="s">
        <v>3425</v>
      </c>
      <c r="C1057"/>
      <c r="D1057" t="s">
        <v>329</v>
      </c>
      <c r="E1057" t="s">
        <v>1534</v>
      </c>
      <c r="F1057" t="s">
        <v>1504</v>
      </c>
      <c r="G1057" t="s">
        <v>280</v>
      </c>
      <c r="H1057" t="s">
        <v>1547</v>
      </c>
      <c r="I1057" t="s">
        <v>35</v>
      </c>
      <c r="J1057"/>
      <c r="K1057">
        <v>1</v>
      </c>
      <c r="L1057">
        <v>1</v>
      </c>
      <c r="M1057" t="s">
        <v>33</v>
      </c>
      <c r="N1057">
        <v>1</v>
      </c>
      <c r="O1057"/>
      <c r="P1057">
        <v>0</v>
      </c>
      <c r="Q1057" t="s">
        <v>38</v>
      </c>
      <c r="R1057">
        <v>1</v>
      </c>
      <c r="S1057">
        <v>0</v>
      </c>
      <c r="T1057"/>
      <c r="U1057"/>
      <c r="V1057"/>
      <c r="W1057"/>
      <c r="X1057">
        <v>0</v>
      </c>
      <c r="Y1057"/>
      <c r="Z1057">
        <v>0</v>
      </c>
      <c r="AA1057"/>
      <c r="AB1057"/>
      <c r="AC1057"/>
      <c r="AD1057"/>
      <c r="AE1057">
        <v>0</v>
      </c>
      <c r="AF1057"/>
      <c r="AG1057"/>
      <c r="AH1057"/>
    </row>
    <row r="1058" spans="1:34" x14ac:dyDescent="0.25">
      <c r="A1058" t="s">
        <v>1478</v>
      </c>
      <c r="B1058" t="s">
        <v>329</v>
      </c>
      <c r="C1058"/>
      <c r="D1058" t="s">
        <v>329</v>
      </c>
      <c r="E1058" t="s">
        <v>1534</v>
      </c>
      <c r="F1058" t="s">
        <v>1506</v>
      </c>
      <c r="G1058" t="s">
        <v>280</v>
      </c>
      <c r="H1058" t="s">
        <v>1548</v>
      </c>
      <c r="I1058" t="s">
        <v>35</v>
      </c>
      <c r="J1058"/>
      <c r="K1058">
        <v>1</v>
      </c>
      <c r="L1058">
        <v>1</v>
      </c>
      <c r="M1058" t="s">
        <v>33</v>
      </c>
      <c r="N1058">
        <v>1</v>
      </c>
      <c r="O1058"/>
      <c r="P1058">
        <v>0</v>
      </c>
      <c r="Q1058" t="s">
        <v>38</v>
      </c>
      <c r="R1058">
        <v>1</v>
      </c>
      <c r="S1058">
        <v>0</v>
      </c>
      <c r="T1058"/>
      <c r="U1058"/>
      <c r="V1058"/>
      <c r="W1058"/>
      <c r="X1058">
        <v>0</v>
      </c>
      <c r="Y1058"/>
      <c r="Z1058">
        <v>0</v>
      </c>
      <c r="AA1058"/>
      <c r="AB1058"/>
      <c r="AC1058"/>
      <c r="AD1058"/>
      <c r="AE1058">
        <v>0</v>
      </c>
      <c r="AF1058"/>
      <c r="AG1058"/>
      <c r="AH1058"/>
    </row>
    <row r="1059" spans="1:34" x14ac:dyDescent="0.25">
      <c r="A1059" t="s">
        <v>3424</v>
      </c>
      <c r="B1059" t="s">
        <v>3425</v>
      </c>
      <c r="C1059"/>
      <c r="D1059" t="s">
        <v>329</v>
      </c>
      <c r="E1059" t="s">
        <v>1534</v>
      </c>
      <c r="F1059" t="s">
        <v>1506</v>
      </c>
      <c r="G1059" t="s">
        <v>280</v>
      </c>
      <c r="H1059" t="s">
        <v>1548</v>
      </c>
      <c r="I1059" t="s">
        <v>35</v>
      </c>
      <c r="J1059"/>
      <c r="K1059">
        <v>1</v>
      </c>
      <c r="L1059">
        <v>1</v>
      </c>
      <c r="M1059" t="s">
        <v>33</v>
      </c>
      <c r="N1059">
        <v>1</v>
      </c>
      <c r="O1059"/>
      <c r="P1059">
        <v>0</v>
      </c>
      <c r="Q1059" t="s">
        <v>38</v>
      </c>
      <c r="R1059">
        <v>1</v>
      </c>
      <c r="S1059">
        <v>0</v>
      </c>
      <c r="T1059"/>
      <c r="U1059"/>
      <c r="V1059"/>
      <c r="W1059"/>
      <c r="X1059">
        <v>0</v>
      </c>
      <c r="Y1059"/>
      <c r="Z1059">
        <v>0</v>
      </c>
      <c r="AA1059"/>
      <c r="AB1059"/>
      <c r="AC1059"/>
      <c r="AD1059"/>
      <c r="AE1059">
        <v>0</v>
      </c>
      <c r="AF1059"/>
      <c r="AG1059"/>
      <c r="AH1059"/>
    </row>
    <row r="1060" spans="1:34" x14ac:dyDescent="0.25">
      <c r="A1060" t="s">
        <v>1478</v>
      </c>
      <c r="B1060" t="s">
        <v>329</v>
      </c>
      <c r="C1060"/>
      <c r="D1060" t="s">
        <v>329</v>
      </c>
      <c r="E1060" t="s">
        <v>1534</v>
      </c>
      <c r="F1060" t="s">
        <v>1508</v>
      </c>
      <c r="G1060" t="s">
        <v>280</v>
      </c>
      <c r="H1060" t="s">
        <v>1549</v>
      </c>
      <c r="I1060" t="s">
        <v>35</v>
      </c>
      <c r="J1060"/>
      <c r="K1060">
        <v>1</v>
      </c>
      <c r="L1060">
        <v>1</v>
      </c>
      <c r="M1060" t="s">
        <v>33</v>
      </c>
      <c r="N1060">
        <v>1</v>
      </c>
      <c r="O1060"/>
      <c r="P1060">
        <v>0</v>
      </c>
      <c r="Q1060" t="s">
        <v>38</v>
      </c>
      <c r="R1060">
        <v>1</v>
      </c>
      <c r="S1060">
        <v>0</v>
      </c>
      <c r="T1060"/>
      <c r="U1060"/>
      <c r="V1060"/>
      <c r="W1060"/>
      <c r="X1060">
        <v>0</v>
      </c>
      <c r="Y1060"/>
      <c r="Z1060">
        <v>0</v>
      </c>
      <c r="AA1060"/>
      <c r="AB1060"/>
      <c r="AC1060"/>
      <c r="AD1060"/>
      <c r="AE1060">
        <v>0</v>
      </c>
      <c r="AF1060"/>
      <c r="AG1060"/>
      <c r="AH1060"/>
    </row>
    <row r="1061" spans="1:34" x14ac:dyDescent="0.25">
      <c r="A1061" t="s">
        <v>3424</v>
      </c>
      <c r="B1061" t="s">
        <v>3425</v>
      </c>
      <c r="C1061"/>
      <c r="D1061" t="s">
        <v>329</v>
      </c>
      <c r="E1061" t="s">
        <v>1534</v>
      </c>
      <c r="F1061" t="s">
        <v>1508</v>
      </c>
      <c r="G1061" t="s">
        <v>280</v>
      </c>
      <c r="H1061" t="s">
        <v>1549</v>
      </c>
      <c r="I1061" t="s">
        <v>35</v>
      </c>
      <c r="J1061"/>
      <c r="K1061">
        <v>1</v>
      </c>
      <c r="L1061">
        <v>1</v>
      </c>
      <c r="M1061" t="s">
        <v>33</v>
      </c>
      <c r="N1061">
        <v>1</v>
      </c>
      <c r="O1061"/>
      <c r="P1061">
        <v>0</v>
      </c>
      <c r="Q1061" t="s">
        <v>38</v>
      </c>
      <c r="R1061">
        <v>1</v>
      </c>
      <c r="S1061">
        <v>0</v>
      </c>
      <c r="T1061"/>
      <c r="U1061"/>
      <c r="V1061"/>
      <c r="W1061"/>
      <c r="X1061">
        <v>0</v>
      </c>
      <c r="Y1061"/>
      <c r="Z1061">
        <v>0</v>
      </c>
      <c r="AA1061"/>
      <c r="AB1061"/>
      <c r="AC1061"/>
      <c r="AD1061"/>
      <c r="AE1061">
        <v>0</v>
      </c>
      <c r="AF1061"/>
      <c r="AG1061"/>
      <c r="AH1061"/>
    </row>
    <row r="1062" spans="1:34" x14ac:dyDescent="0.25">
      <c r="A1062" t="s">
        <v>1478</v>
      </c>
      <c r="B1062" t="s">
        <v>329</v>
      </c>
      <c r="C1062"/>
      <c r="D1062" t="s">
        <v>329</v>
      </c>
      <c r="E1062" t="s">
        <v>1534</v>
      </c>
      <c r="F1062" t="s">
        <v>1510</v>
      </c>
      <c r="G1062" t="s">
        <v>280</v>
      </c>
      <c r="H1062" t="s">
        <v>1550</v>
      </c>
      <c r="I1062" t="s">
        <v>35</v>
      </c>
      <c r="J1062"/>
      <c r="K1062">
        <v>1</v>
      </c>
      <c r="L1062">
        <v>1</v>
      </c>
      <c r="M1062" t="s">
        <v>33</v>
      </c>
      <c r="N1062">
        <v>1</v>
      </c>
      <c r="O1062"/>
      <c r="P1062">
        <v>0</v>
      </c>
      <c r="Q1062" t="s">
        <v>38</v>
      </c>
      <c r="R1062">
        <v>1</v>
      </c>
      <c r="S1062">
        <v>0</v>
      </c>
      <c r="T1062"/>
      <c r="U1062"/>
      <c r="V1062"/>
      <c r="W1062"/>
      <c r="X1062">
        <v>0</v>
      </c>
      <c r="Y1062"/>
      <c r="Z1062">
        <v>0</v>
      </c>
      <c r="AA1062"/>
      <c r="AB1062"/>
      <c r="AC1062"/>
      <c r="AD1062"/>
      <c r="AE1062">
        <v>0</v>
      </c>
      <c r="AF1062"/>
      <c r="AG1062"/>
      <c r="AH1062"/>
    </row>
    <row r="1063" spans="1:34" x14ac:dyDescent="0.25">
      <c r="A1063" t="s">
        <v>3424</v>
      </c>
      <c r="B1063" t="s">
        <v>3425</v>
      </c>
      <c r="C1063"/>
      <c r="D1063" t="s">
        <v>329</v>
      </c>
      <c r="E1063" t="s">
        <v>1534</v>
      </c>
      <c r="F1063" t="s">
        <v>1510</v>
      </c>
      <c r="G1063" t="s">
        <v>280</v>
      </c>
      <c r="H1063" t="s">
        <v>1550</v>
      </c>
      <c r="I1063" t="s">
        <v>35</v>
      </c>
      <c r="J1063"/>
      <c r="K1063">
        <v>1</v>
      </c>
      <c r="L1063">
        <v>1</v>
      </c>
      <c r="M1063" t="s">
        <v>33</v>
      </c>
      <c r="N1063">
        <v>1</v>
      </c>
      <c r="O1063"/>
      <c r="P1063">
        <v>0</v>
      </c>
      <c r="Q1063" t="s">
        <v>38</v>
      </c>
      <c r="R1063">
        <v>1</v>
      </c>
      <c r="S1063">
        <v>0</v>
      </c>
      <c r="T1063"/>
      <c r="U1063"/>
      <c r="V1063"/>
      <c r="W1063"/>
      <c r="X1063">
        <v>0</v>
      </c>
      <c r="Y1063"/>
      <c r="Z1063">
        <v>0</v>
      </c>
      <c r="AA1063"/>
      <c r="AB1063"/>
      <c r="AC1063"/>
      <c r="AD1063"/>
      <c r="AE1063">
        <v>0</v>
      </c>
      <c r="AF1063"/>
      <c r="AG1063"/>
      <c r="AH1063"/>
    </row>
    <row r="1064" spans="1:34" x14ac:dyDescent="0.25">
      <c r="A1064" t="s">
        <v>1478</v>
      </c>
      <c r="B1064" t="s">
        <v>329</v>
      </c>
      <c r="C1064"/>
      <c r="D1064" t="s">
        <v>329</v>
      </c>
      <c r="E1064" t="s">
        <v>1534</v>
      </c>
      <c r="F1064" t="s">
        <v>1512</v>
      </c>
      <c r="G1064" t="s">
        <v>280</v>
      </c>
      <c r="H1064" t="s">
        <v>1551</v>
      </c>
      <c r="I1064" t="s">
        <v>35</v>
      </c>
      <c r="J1064"/>
      <c r="K1064">
        <v>1</v>
      </c>
      <c r="L1064">
        <v>1</v>
      </c>
      <c r="M1064" t="s">
        <v>33</v>
      </c>
      <c r="N1064">
        <v>1</v>
      </c>
      <c r="O1064"/>
      <c r="P1064">
        <v>0</v>
      </c>
      <c r="Q1064" t="s">
        <v>38</v>
      </c>
      <c r="R1064">
        <v>1</v>
      </c>
      <c r="S1064">
        <v>0</v>
      </c>
      <c r="T1064"/>
      <c r="U1064"/>
      <c r="V1064"/>
      <c r="W1064"/>
      <c r="X1064">
        <v>0</v>
      </c>
      <c r="Y1064"/>
      <c r="Z1064">
        <v>0</v>
      </c>
      <c r="AA1064"/>
      <c r="AB1064"/>
      <c r="AC1064"/>
      <c r="AD1064"/>
      <c r="AE1064">
        <v>0</v>
      </c>
      <c r="AF1064"/>
      <c r="AG1064"/>
      <c r="AH1064"/>
    </row>
    <row r="1065" spans="1:34" x14ac:dyDescent="0.25">
      <c r="A1065" t="s">
        <v>3424</v>
      </c>
      <c r="B1065" t="s">
        <v>3425</v>
      </c>
      <c r="C1065"/>
      <c r="D1065" t="s">
        <v>329</v>
      </c>
      <c r="E1065" t="s">
        <v>1534</v>
      </c>
      <c r="F1065" t="s">
        <v>1512</v>
      </c>
      <c r="G1065" t="s">
        <v>280</v>
      </c>
      <c r="H1065" t="s">
        <v>1551</v>
      </c>
      <c r="I1065" t="s">
        <v>35</v>
      </c>
      <c r="J1065"/>
      <c r="K1065">
        <v>1</v>
      </c>
      <c r="L1065">
        <v>1</v>
      </c>
      <c r="M1065" t="s">
        <v>33</v>
      </c>
      <c r="N1065">
        <v>1</v>
      </c>
      <c r="O1065"/>
      <c r="P1065">
        <v>0</v>
      </c>
      <c r="Q1065" t="s">
        <v>38</v>
      </c>
      <c r="R1065">
        <v>1</v>
      </c>
      <c r="S1065">
        <v>0</v>
      </c>
      <c r="T1065"/>
      <c r="U1065"/>
      <c r="V1065"/>
      <c r="W1065"/>
      <c r="X1065">
        <v>0</v>
      </c>
      <c r="Y1065"/>
      <c r="Z1065">
        <v>0</v>
      </c>
      <c r="AA1065"/>
      <c r="AB1065"/>
      <c r="AC1065"/>
      <c r="AD1065"/>
      <c r="AE1065">
        <v>0</v>
      </c>
      <c r="AF1065"/>
      <c r="AG1065"/>
      <c r="AH1065"/>
    </row>
    <row r="1066" spans="1:34" x14ac:dyDescent="0.25">
      <c r="A1066" t="s">
        <v>1478</v>
      </c>
      <c r="B1066" t="s">
        <v>329</v>
      </c>
      <c r="C1066"/>
      <c r="D1066" t="s">
        <v>329</v>
      </c>
      <c r="E1066" t="s">
        <v>1534</v>
      </c>
      <c r="F1066" t="s">
        <v>1514</v>
      </c>
      <c r="G1066" t="s">
        <v>280</v>
      </c>
      <c r="H1066" t="s">
        <v>1552</v>
      </c>
      <c r="I1066" t="s">
        <v>35</v>
      </c>
      <c r="J1066"/>
      <c r="K1066">
        <v>1</v>
      </c>
      <c r="L1066">
        <v>1</v>
      </c>
      <c r="M1066" t="s">
        <v>33</v>
      </c>
      <c r="N1066">
        <v>1</v>
      </c>
      <c r="O1066"/>
      <c r="P1066">
        <v>0</v>
      </c>
      <c r="Q1066" t="s">
        <v>38</v>
      </c>
      <c r="R1066">
        <v>1</v>
      </c>
      <c r="S1066">
        <v>0</v>
      </c>
      <c r="T1066"/>
      <c r="U1066"/>
      <c r="V1066"/>
      <c r="W1066"/>
      <c r="X1066">
        <v>0</v>
      </c>
      <c r="Y1066"/>
      <c r="Z1066">
        <v>0</v>
      </c>
      <c r="AA1066"/>
      <c r="AB1066"/>
      <c r="AC1066"/>
      <c r="AD1066"/>
      <c r="AE1066">
        <v>0</v>
      </c>
      <c r="AF1066"/>
      <c r="AG1066"/>
      <c r="AH1066"/>
    </row>
    <row r="1067" spans="1:34" x14ac:dyDescent="0.25">
      <c r="A1067" t="s">
        <v>3424</v>
      </c>
      <c r="B1067" t="s">
        <v>3425</v>
      </c>
      <c r="C1067"/>
      <c r="D1067" t="s">
        <v>329</v>
      </c>
      <c r="E1067" t="s">
        <v>1534</v>
      </c>
      <c r="F1067" t="s">
        <v>1514</v>
      </c>
      <c r="G1067" t="s">
        <v>280</v>
      </c>
      <c r="H1067" t="s">
        <v>1552</v>
      </c>
      <c r="I1067" t="s">
        <v>35</v>
      </c>
      <c r="J1067"/>
      <c r="K1067">
        <v>1</v>
      </c>
      <c r="L1067">
        <v>1</v>
      </c>
      <c r="M1067" t="s">
        <v>33</v>
      </c>
      <c r="N1067">
        <v>1</v>
      </c>
      <c r="O1067"/>
      <c r="P1067">
        <v>0</v>
      </c>
      <c r="Q1067" t="s">
        <v>38</v>
      </c>
      <c r="R1067">
        <v>1</v>
      </c>
      <c r="S1067">
        <v>0</v>
      </c>
      <c r="T1067"/>
      <c r="U1067"/>
      <c r="V1067"/>
      <c r="W1067"/>
      <c r="X1067">
        <v>0</v>
      </c>
      <c r="Y1067"/>
      <c r="Z1067">
        <v>0</v>
      </c>
      <c r="AA1067"/>
      <c r="AB1067"/>
      <c r="AC1067"/>
      <c r="AD1067"/>
      <c r="AE1067">
        <v>0</v>
      </c>
      <c r="AF1067"/>
      <c r="AG1067"/>
      <c r="AH1067"/>
    </row>
    <row r="1068" spans="1:34" x14ac:dyDescent="0.25">
      <c r="A1068" t="s">
        <v>1478</v>
      </c>
      <c r="B1068" t="s">
        <v>329</v>
      </c>
      <c r="C1068"/>
      <c r="D1068" t="s">
        <v>329</v>
      </c>
      <c r="E1068" t="s">
        <v>1534</v>
      </c>
      <c r="F1068" t="s">
        <v>1516</v>
      </c>
      <c r="G1068" t="s">
        <v>280</v>
      </c>
      <c r="H1068" t="s">
        <v>1553</v>
      </c>
      <c r="I1068" t="s">
        <v>35</v>
      </c>
      <c r="J1068"/>
      <c r="K1068">
        <v>1</v>
      </c>
      <c r="L1068">
        <v>1</v>
      </c>
      <c r="M1068" t="s">
        <v>33</v>
      </c>
      <c r="N1068">
        <v>1</v>
      </c>
      <c r="O1068"/>
      <c r="P1068">
        <v>0</v>
      </c>
      <c r="Q1068" t="s">
        <v>38</v>
      </c>
      <c r="R1068">
        <v>1</v>
      </c>
      <c r="S1068">
        <v>0</v>
      </c>
      <c r="T1068"/>
      <c r="U1068"/>
      <c r="V1068"/>
      <c r="W1068"/>
      <c r="X1068">
        <v>0</v>
      </c>
      <c r="Y1068"/>
      <c r="Z1068">
        <v>0</v>
      </c>
      <c r="AA1068"/>
      <c r="AB1068"/>
      <c r="AC1068"/>
      <c r="AD1068"/>
      <c r="AE1068">
        <v>0</v>
      </c>
      <c r="AF1068"/>
      <c r="AG1068"/>
      <c r="AH1068"/>
    </row>
    <row r="1069" spans="1:34" x14ac:dyDescent="0.25">
      <c r="A1069" t="s">
        <v>3424</v>
      </c>
      <c r="B1069" t="s">
        <v>3425</v>
      </c>
      <c r="C1069"/>
      <c r="D1069" t="s">
        <v>329</v>
      </c>
      <c r="E1069" t="s">
        <v>1534</v>
      </c>
      <c r="F1069" t="s">
        <v>1516</v>
      </c>
      <c r="G1069" t="s">
        <v>280</v>
      </c>
      <c r="H1069" t="s">
        <v>1553</v>
      </c>
      <c r="I1069" t="s">
        <v>35</v>
      </c>
      <c r="J1069"/>
      <c r="K1069">
        <v>1</v>
      </c>
      <c r="L1069">
        <v>1</v>
      </c>
      <c r="M1069" t="s">
        <v>33</v>
      </c>
      <c r="N1069">
        <v>1</v>
      </c>
      <c r="O1069"/>
      <c r="P1069">
        <v>0</v>
      </c>
      <c r="Q1069" t="s">
        <v>38</v>
      </c>
      <c r="R1069">
        <v>1</v>
      </c>
      <c r="S1069">
        <v>0</v>
      </c>
      <c r="T1069"/>
      <c r="U1069"/>
      <c r="V1069"/>
      <c r="W1069"/>
      <c r="X1069">
        <v>0</v>
      </c>
      <c r="Y1069"/>
      <c r="Z1069">
        <v>0</v>
      </c>
      <c r="AA1069"/>
      <c r="AB1069"/>
      <c r="AC1069"/>
      <c r="AD1069"/>
      <c r="AE1069">
        <v>0</v>
      </c>
      <c r="AF1069"/>
      <c r="AG1069"/>
      <c r="AH1069"/>
    </row>
    <row r="1070" spans="1:34" x14ac:dyDescent="0.25">
      <c r="A1070" t="s">
        <v>1478</v>
      </c>
      <c r="B1070" t="s">
        <v>329</v>
      </c>
      <c r="C1070"/>
      <c r="D1070" t="s">
        <v>329</v>
      </c>
      <c r="E1070" t="s">
        <v>1534</v>
      </c>
      <c r="F1070" t="s">
        <v>1518</v>
      </c>
      <c r="G1070" t="s">
        <v>280</v>
      </c>
      <c r="H1070" t="s">
        <v>1554</v>
      </c>
      <c r="I1070" t="s">
        <v>35</v>
      </c>
      <c r="J1070"/>
      <c r="K1070">
        <v>1</v>
      </c>
      <c r="L1070">
        <v>1</v>
      </c>
      <c r="M1070" t="s">
        <v>33</v>
      </c>
      <c r="N1070">
        <v>1</v>
      </c>
      <c r="O1070"/>
      <c r="P1070">
        <v>0</v>
      </c>
      <c r="Q1070" t="s">
        <v>38</v>
      </c>
      <c r="R1070">
        <v>1</v>
      </c>
      <c r="S1070">
        <v>0</v>
      </c>
      <c r="T1070"/>
      <c r="U1070"/>
      <c r="V1070"/>
      <c r="W1070"/>
      <c r="X1070">
        <v>0</v>
      </c>
      <c r="Y1070"/>
      <c r="Z1070">
        <v>0</v>
      </c>
      <c r="AA1070"/>
      <c r="AB1070"/>
      <c r="AC1070"/>
      <c r="AD1070"/>
      <c r="AE1070">
        <v>0</v>
      </c>
      <c r="AF1070"/>
      <c r="AG1070"/>
      <c r="AH1070"/>
    </row>
    <row r="1071" spans="1:34" x14ac:dyDescent="0.25">
      <c r="A1071" t="s">
        <v>3424</v>
      </c>
      <c r="B1071" t="s">
        <v>3425</v>
      </c>
      <c r="C1071"/>
      <c r="D1071" t="s">
        <v>329</v>
      </c>
      <c r="E1071" t="s">
        <v>1534</v>
      </c>
      <c r="F1071" t="s">
        <v>1518</v>
      </c>
      <c r="G1071" t="s">
        <v>280</v>
      </c>
      <c r="H1071" t="s">
        <v>1554</v>
      </c>
      <c r="I1071" t="s">
        <v>35</v>
      </c>
      <c r="J1071"/>
      <c r="K1071">
        <v>1</v>
      </c>
      <c r="L1071">
        <v>1</v>
      </c>
      <c r="M1071" t="s">
        <v>33</v>
      </c>
      <c r="N1071">
        <v>1</v>
      </c>
      <c r="O1071"/>
      <c r="P1071">
        <v>0</v>
      </c>
      <c r="Q1071" t="s">
        <v>38</v>
      </c>
      <c r="R1071">
        <v>1</v>
      </c>
      <c r="S1071">
        <v>0</v>
      </c>
      <c r="T1071"/>
      <c r="U1071"/>
      <c r="V1071"/>
      <c r="W1071"/>
      <c r="X1071">
        <v>0</v>
      </c>
      <c r="Y1071"/>
      <c r="Z1071">
        <v>0</v>
      </c>
      <c r="AA1071"/>
      <c r="AB1071"/>
      <c r="AC1071"/>
      <c r="AD1071"/>
      <c r="AE1071">
        <v>0</v>
      </c>
      <c r="AF1071"/>
      <c r="AG1071"/>
      <c r="AH1071"/>
    </row>
    <row r="1072" spans="1:34" x14ac:dyDescent="0.25">
      <c r="A1072" t="s">
        <v>1478</v>
      </c>
      <c r="B1072" t="s">
        <v>329</v>
      </c>
      <c r="C1072"/>
      <c r="D1072" t="s">
        <v>329</v>
      </c>
      <c r="E1072" t="s">
        <v>1534</v>
      </c>
      <c r="F1072" t="s">
        <v>1520</v>
      </c>
      <c r="G1072" t="s">
        <v>280</v>
      </c>
      <c r="H1072" t="s">
        <v>1555</v>
      </c>
      <c r="I1072" t="s">
        <v>35</v>
      </c>
      <c r="J1072"/>
      <c r="K1072">
        <v>1</v>
      </c>
      <c r="L1072">
        <v>1</v>
      </c>
      <c r="M1072" t="s">
        <v>33</v>
      </c>
      <c r="N1072">
        <v>1</v>
      </c>
      <c r="O1072"/>
      <c r="P1072">
        <v>0</v>
      </c>
      <c r="Q1072" t="s">
        <v>38</v>
      </c>
      <c r="R1072">
        <v>1</v>
      </c>
      <c r="S1072">
        <v>0</v>
      </c>
      <c r="T1072"/>
      <c r="U1072"/>
      <c r="V1072"/>
      <c r="W1072"/>
      <c r="X1072">
        <v>0</v>
      </c>
      <c r="Y1072"/>
      <c r="Z1072">
        <v>0</v>
      </c>
      <c r="AA1072"/>
      <c r="AB1072"/>
      <c r="AC1072"/>
      <c r="AD1072"/>
      <c r="AE1072">
        <v>0</v>
      </c>
      <c r="AF1072"/>
      <c r="AG1072"/>
      <c r="AH1072"/>
    </row>
    <row r="1073" spans="1:34" x14ac:dyDescent="0.25">
      <c r="A1073" t="s">
        <v>3424</v>
      </c>
      <c r="B1073" t="s">
        <v>3425</v>
      </c>
      <c r="C1073"/>
      <c r="D1073" t="s">
        <v>329</v>
      </c>
      <c r="E1073" t="s">
        <v>1534</v>
      </c>
      <c r="F1073" t="s">
        <v>1520</v>
      </c>
      <c r="G1073" t="s">
        <v>280</v>
      </c>
      <c r="H1073" t="s">
        <v>1555</v>
      </c>
      <c r="I1073" t="s">
        <v>35</v>
      </c>
      <c r="J1073"/>
      <c r="K1073">
        <v>1</v>
      </c>
      <c r="L1073">
        <v>1</v>
      </c>
      <c r="M1073" t="s">
        <v>33</v>
      </c>
      <c r="N1073">
        <v>1</v>
      </c>
      <c r="O1073"/>
      <c r="P1073">
        <v>0</v>
      </c>
      <c r="Q1073" t="s">
        <v>38</v>
      </c>
      <c r="R1073">
        <v>1</v>
      </c>
      <c r="S1073">
        <v>0</v>
      </c>
      <c r="T1073"/>
      <c r="U1073"/>
      <c r="V1073"/>
      <c r="W1073"/>
      <c r="X1073">
        <v>0</v>
      </c>
      <c r="Y1073"/>
      <c r="Z1073">
        <v>0</v>
      </c>
      <c r="AA1073"/>
      <c r="AB1073"/>
      <c r="AC1073"/>
      <c r="AD1073"/>
      <c r="AE1073">
        <v>0</v>
      </c>
      <c r="AF1073"/>
      <c r="AG1073"/>
      <c r="AH1073"/>
    </row>
    <row r="1074" spans="1:34" x14ac:dyDescent="0.25">
      <c r="A1074" t="s">
        <v>1478</v>
      </c>
      <c r="B1074" t="s">
        <v>329</v>
      </c>
      <c r="C1074"/>
      <c r="D1074" t="s">
        <v>329</v>
      </c>
      <c r="E1074" t="s">
        <v>1534</v>
      </c>
      <c r="F1074" t="s">
        <v>1522</v>
      </c>
      <c r="G1074" t="s">
        <v>280</v>
      </c>
      <c r="H1074" t="s">
        <v>1556</v>
      </c>
      <c r="I1074" t="s">
        <v>35</v>
      </c>
      <c r="J1074"/>
      <c r="K1074">
        <v>1</v>
      </c>
      <c r="L1074">
        <v>1</v>
      </c>
      <c r="M1074" t="s">
        <v>33</v>
      </c>
      <c r="N1074">
        <v>1</v>
      </c>
      <c r="O1074"/>
      <c r="P1074">
        <v>0</v>
      </c>
      <c r="Q1074" t="s">
        <v>38</v>
      </c>
      <c r="R1074">
        <v>1</v>
      </c>
      <c r="S1074">
        <v>0</v>
      </c>
      <c r="T1074"/>
      <c r="U1074"/>
      <c r="V1074"/>
      <c r="W1074"/>
      <c r="X1074">
        <v>0</v>
      </c>
      <c r="Y1074"/>
      <c r="Z1074">
        <v>0</v>
      </c>
      <c r="AA1074"/>
      <c r="AB1074"/>
      <c r="AC1074"/>
      <c r="AD1074"/>
      <c r="AE1074">
        <v>0</v>
      </c>
      <c r="AF1074"/>
      <c r="AG1074"/>
      <c r="AH1074"/>
    </row>
    <row r="1075" spans="1:34" x14ac:dyDescent="0.25">
      <c r="A1075" t="s">
        <v>3424</v>
      </c>
      <c r="B1075" t="s">
        <v>3425</v>
      </c>
      <c r="C1075"/>
      <c r="D1075" t="s">
        <v>329</v>
      </c>
      <c r="E1075" t="s">
        <v>1534</v>
      </c>
      <c r="F1075" t="s">
        <v>1522</v>
      </c>
      <c r="G1075" t="s">
        <v>280</v>
      </c>
      <c r="H1075" t="s">
        <v>1556</v>
      </c>
      <c r="I1075" t="s">
        <v>35</v>
      </c>
      <c r="J1075"/>
      <c r="K1075">
        <v>1</v>
      </c>
      <c r="L1075">
        <v>1</v>
      </c>
      <c r="M1075" t="s">
        <v>33</v>
      </c>
      <c r="N1075">
        <v>1</v>
      </c>
      <c r="O1075"/>
      <c r="P1075">
        <v>0</v>
      </c>
      <c r="Q1075" t="s">
        <v>38</v>
      </c>
      <c r="R1075">
        <v>1</v>
      </c>
      <c r="S1075">
        <v>0</v>
      </c>
      <c r="T1075"/>
      <c r="U1075"/>
      <c r="V1075"/>
      <c r="W1075"/>
      <c r="X1075">
        <v>0</v>
      </c>
      <c r="Y1075"/>
      <c r="Z1075">
        <v>0</v>
      </c>
      <c r="AA1075"/>
      <c r="AB1075"/>
      <c r="AC1075"/>
      <c r="AD1075"/>
      <c r="AE1075">
        <v>0</v>
      </c>
      <c r="AF1075"/>
      <c r="AG1075"/>
      <c r="AH1075"/>
    </row>
    <row r="1076" spans="1:34" x14ac:dyDescent="0.25">
      <c r="A1076" t="s">
        <v>1478</v>
      </c>
      <c r="B1076" t="s">
        <v>329</v>
      </c>
      <c r="C1076"/>
      <c r="D1076" t="s">
        <v>329</v>
      </c>
      <c r="E1076" t="s">
        <v>1534</v>
      </c>
      <c r="F1076" t="s">
        <v>1524</v>
      </c>
      <c r="G1076" t="s">
        <v>280</v>
      </c>
      <c r="H1076" t="s">
        <v>1557</v>
      </c>
      <c r="I1076" t="s">
        <v>35</v>
      </c>
      <c r="J1076"/>
      <c r="K1076">
        <v>1</v>
      </c>
      <c r="L1076">
        <v>1</v>
      </c>
      <c r="M1076" t="s">
        <v>33</v>
      </c>
      <c r="N1076">
        <v>1</v>
      </c>
      <c r="O1076"/>
      <c r="P1076">
        <v>0</v>
      </c>
      <c r="Q1076" t="s">
        <v>38</v>
      </c>
      <c r="R1076">
        <v>1</v>
      </c>
      <c r="S1076">
        <v>0</v>
      </c>
      <c r="T1076"/>
      <c r="U1076"/>
      <c r="V1076"/>
      <c r="W1076"/>
      <c r="X1076">
        <v>0</v>
      </c>
      <c r="Y1076"/>
      <c r="Z1076">
        <v>0</v>
      </c>
      <c r="AA1076"/>
      <c r="AB1076"/>
      <c r="AC1076"/>
      <c r="AD1076"/>
      <c r="AE1076">
        <v>0</v>
      </c>
      <c r="AF1076"/>
      <c r="AG1076"/>
      <c r="AH1076"/>
    </row>
    <row r="1077" spans="1:34" x14ac:dyDescent="0.25">
      <c r="A1077" t="s">
        <v>3424</v>
      </c>
      <c r="B1077" t="s">
        <v>3425</v>
      </c>
      <c r="C1077"/>
      <c r="D1077" t="s">
        <v>329</v>
      </c>
      <c r="E1077" t="s">
        <v>1534</v>
      </c>
      <c r="F1077" t="s">
        <v>1524</v>
      </c>
      <c r="G1077" t="s">
        <v>280</v>
      </c>
      <c r="H1077" t="s">
        <v>1557</v>
      </c>
      <c r="I1077" t="s">
        <v>35</v>
      </c>
      <c r="J1077"/>
      <c r="K1077">
        <v>1</v>
      </c>
      <c r="L1077">
        <v>1</v>
      </c>
      <c r="M1077" t="s">
        <v>33</v>
      </c>
      <c r="N1077">
        <v>1</v>
      </c>
      <c r="O1077"/>
      <c r="P1077">
        <v>0</v>
      </c>
      <c r="Q1077" t="s">
        <v>38</v>
      </c>
      <c r="R1077">
        <v>1</v>
      </c>
      <c r="S1077">
        <v>0</v>
      </c>
      <c r="T1077"/>
      <c r="U1077"/>
      <c r="V1077"/>
      <c r="W1077"/>
      <c r="X1077">
        <v>0</v>
      </c>
      <c r="Y1077"/>
      <c r="Z1077">
        <v>0</v>
      </c>
      <c r="AA1077"/>
      <c r="AB1077"/>
      <c r="AC1077"/>
      <c r="AD1077"/>
      <c r="AE1077">
        <v>0</v>
      </c>
      <c r="AF1077"/>
      <c r="AG1077"/>
      <c r="AH1077"/>
    </row>
    <row r="1078" spans="1:34" x14ac:dyDescent="0.25">
      <c r="A1078" t="s">
        <v>1478</v>
      </c>
      <c r="B1078" t="s">
        <v>329</v>
      </c>
      <c r="C1078"/>
      <c r="D1078" t="s">
        <v>329</v>
      </c>
      <c r="E1078" t="s">
        <v>1534</v>
      </c>
      <c r="F1078" t="s">
        <v>1526</v>
      </c>
      <c r="G1078" t="s">
        <v>280</v>
      </c>
      <c r="H1078" t="s">
        <v>1558</v>
      </c>
      <c r="I1078" t="s">
        <v>35</v>
      </c>
      <c r="J1078"/>
      <c r="K1078">
        <v>1</v>
      </c>
      <c r="L1078">
        <v>1</v>
      </c>
      <c r="M1078" t="s">
        <v>33</v>
      </c>
      <c r="N1078">
        <v>1</v>
      </c>
      <c r="O1078"/>
      <c r="P1078">
        <v>0</v>
      </c>
      <c r="Q1078" t="s">
        <v>38</v>
      </c>
      <c r="R1078">
        <v>1</v>
      </c>
      <c r="S1078">
        <v>0</v>
      </c>
      <c r="T1078"/>
      <c r="U1078"/>
      <c r="V1078"/>
      <c r="W1078"/>
      <c r="X1078">
        <v>0</v>
      </c>
      <c r="Y1078"/>
      <c r="Z1078">
        <v>0</v>
      </c>
      <c r="AA1078"/>
      <c r="AB1078"/>
      <c r="AC1078"/>
      <c r="AD1078"/>
      <c r="AE1078">
        <v>0</v>
      </c>
      <c r="AF1078"/>
      <c r="AG1078"/>
      <c r="AH1078"/>
    </row>
    <row r="1079" spans="1:34" x14ac:dyDescent="0.25">
      <c r="A1079" t="s">
        <v>3424</v>
      </c>
      <c r="B1079" t="s">
        <v>3425</v>
      </c>
      <c r="C1079"/>
      <c r="D1079" t="s">
        <v>329</v>
      </c>
      <c r="E1079" t="s">
        <v>1534</v>
      </c>
      <c r="F1079" t="s">
        <v>1526</v>
      </c>
      <c r="G1079" t="s">
        <v>280</v>
      </c>
      <c r="H1079" t="s">
        <v>1558</v>
      </c>
      <c r="I1079" t="s">
        <v>35</v>
      </c>
      <c r="J1079"/>
      <c r="K1079">
        <v>1</v>
      </c>
      <c r="L1079">
        <v>1</v>
      </c>
      <c r="M1079" t="s">
        <v>33</v>
      </c>
      <c r="N1079">
        <v>1</v>
      </c>
      <c r="O1079"/>
      <c r="P1079">
        <v>0</v>
      </c>
      <c r="Q1079" t="s">
        <v>38</v>
      </c>
      <c r="R1079">
        <v>1</v>
      </c>
      <c r="S1079">
        <v>0</v>
      </c>
      <c r="T1079"/>
      <c r="U1079"/>
      <c r="V1079"/>
      <c r="W1079"/>
      <c r="X1079">
        <v>0</v>
      </c>
      <c r="Y1079"/>
      <c r="Z1079">
        <v>0</v>
      </c>
      <c r="AA1079"/>
      <c r="AB1079"/>
      <c r="AC1079"/>
      <c r="AD1079"/>
      <c r="AE1079">
        <v>0</v>
      </c>
      <c r="AF1079"/>
      <c r="AG1079"/>
      <c r="AH1079"/>
    </row>
    <row r="1080" spans="1:34" x14ac:dyDescent="0.25">
      <c r="A1080" t="s">
        <v>1478</v>
      </c>
      <c r="B1080" t="s">
        <v>329</v>
      </c>
      <c r="C1080"/>
      <c r="D1080" t="s">
        <v>329</v>
      </c>
      <c r="E1080" t="s">
        <v>1534</v>
      </c>
      <c r="F1080" t="s">
        <v>1528</v>
      </c>
      <c r="G1080" t="s">
        <v>280</v>
      </c>
      <c r="H1080" t="s">
        <v>1559</v>
      </c>
      <c r="I1080" t="s">
        <v>35</v>
      </c>
      <c r="J1080"/>
      <c r="K1080">
        <v>1</v>
      </c>
      <c r="L1080">
        <v>1</v>
      </c>
      <c r="M1080" t="s">
        <v>33</v>
      </c>
      <c r="N1080">
        <v>1</v>
      </c>
      <c r="O1080"/>
      <c r="P1080">
        <v>0</v>
      </c>
      <c r="Q1080" t="s">
        <v>38</v>
      </c>
      <c r="R1080">
        <v>1</v>
      </c>
      <c r="S1080">
        <v>0</v>
      </c>
      <c r="T1080"/>
      <c r="U1080"/>
      <c r="V1080"/>
      <c r="W1080"/>
      <c r="X1080">
        <v>0</v>
      </c>
      <c r="Y1080"/>
      <c r="Z1080">
        <v>0</v>
      </c>
      <c r="AA1080"/>
      <c r="AB1080"/>
      <c r="AC1080"/>
      <c r="AD1080"/>
      <c r="AE1080">
        <v>0</v>
      </c>
      <c r="AF1080"/>
      <c r="AG1080"/>
      <c r="AH1080"/>
    </row>
    <row r="1081" spans="1:34" x14ac:dyDescent="0.25">
      <c r="A1081" t="s">
        <v>3424</v>
      </c>
      <c r="B1081" t="s">
        <v>3425</v>
      </c>
      <c r="C1081"/>
      <c r="D1081" t="s">
        <v>329</v>
      </c>
      <c r="E1081" t="s">
        <v>1534</v>
      </c>
      <c r="F1081" t="s">
        <v>1528</v>
      </c>
      <c r="G1081" t="s">
        <v>280</v>
      </c>
      <c r="H1081" t="s">
        <v>1559</v>
      </c>
      <c r="I1081" t="s">
        <v>35</v>
      </c>
      <c r="J1081"/>
      <c r="K1081">
        <v>1</v>
      </c>
      <c r="L1081">
        <v>1</v>
      </c>
      <c r="M1081" t="s">
        <v>33</v>
      </c>
      <c r="N1081">
        <v>1</v>
      </c>
      <c r="O1081"/>
      <c r="P1081">
        <v>0</v>
      </c>
      <c r="Q1081" t="s">
        <v>38</v>
      </c>
      <c r="R1081">
        <v>1</v>
      </c>
      <c r="S1081">
        <v>0</v>
      </c>
      <c r="T1081"/>
      <c r="U1081"/>
      <c r="V1081"/>
      <c r="W1081"/>
      <c r="X1081">
        <v>0</v>
      </c>
      <c r="Y1081"/>
      <c r="Z1081">
        <v>0</v>
      </c>
      <c r="AA1081"/>
      <c r="AB1081"/>
      <c r="AC1081"/>
      <c r="AD1081"/>
      <c r="AE1081">
        <v>0</v>
      </c>
      <c r="AF1081"/>
      <c r="AG1081"/>
      <c r="AH1081"/>
    </row>
    <row r="1082" spans="1:34" x14ac:dyDescent="0.25">
      <c r="A1082" t="s">
        <v>1478</v>
      </c>
      <c r="B1082" t="s">
        <v>329</v>
      </c>
      <c r="C1082"/>
      <c r="D1082" t="s">
        <v>329</v>
      </c>
      <c r="E1082" t="s">
        <v>1534</v>
      </c>
      <c r="F1082" t="s">
        <v>1530</v>
      </c>
      <c r="G1082" t="s">
        <v>280</v>
      </c>
      <c r="H1082" t="s">
        <v>1560</v>
      </c>
      <c r="I1082" t="s">
        <v>35</v>
      </c>
      <c r="J1082"/>
      <c r="K1082">
        <v>1</v>
      </c>
      <c r="L1082">
        <v>1</v>
      </c>
      <c r="M1082" t="s">
        <v>33</v>
      </c>
      <c r="N1082">
        <v>1</v>
      </c>
      <c r="O1082"/>
      <c r="P1082">
        <v>0</v>
      </c>
      <c r="Q1082" t="s">
        <v>38</v>
      </c>
      <c r="R1082">
        <v>1</v>
      </c>
      <c r="S1082">
        <v>0</v>
      </c>
      <c r="T1082"/>
      <c r="U1082"/>
      <c r="V1082"/>
      <c r="W1082"/>
      <c r="X1082">
        <v>0</v>
      </c>
      <c r="Y1082"/>
      <c r="Z1082">
        <v>0</v>
      </c>
      <c r="AA1082"/>
      <c r="AB1082"/>
      <c r="AC1082"/>
      <c r="AD1082"/>
      <c r="AE1082">
        <v>0</v>
      </c>
      <c r="AF1082"/>
      <c r="AG1082"/>
      <c r="AH1082"/>
    </row>
    <row r="1083" spans="1:34" x14ac:dyDescent="0.25">
      <c r="A1083" t="s">
        <v>3424</v>
      </c>
      <c r="B1083" t="s">
        <v>3425</v>
      </c>
      <c r="C1083"/>
      <c r="D1083" t="s">
        <v>329</v>
      </c>
      <c r="E1083" t="s">
        <v>1534</v>
      </c>
      <c r="F1083" t="s">
        <v>1530</v>
      </c>
      <c r="G1083" t="s">
        <v>280</v>
      </c>
      <c r="H1083" t="s">
        <v>1560</v>
      </c>
      <c r="I1083" t="s">
        <v>35</v>
      </c>
      <c r="J1083"/>
      <c r="K1083">
        <v>1</v>
      </c>
      <c r="L1083">
        <v>1</v>
      </c>
      <c r="M1083" t="s">
        <v>33</v>
      </c>
      <c r="N1083">
        <v>1</v>
      </c>
      <c r="O1083"/>
      <c r="P1083">
        <v>0</v>
      </c>
      <c r="Q1083" t="s">
        <v>38</v>
      </c>
      <c r="R1083">
        <v>1</v>
      </c>
      <c r="S1083">
        <v>0</v>
      </c>
      <c r="T1083"/>
      <c r="U1083"/>
      <c r="V1083"/>
      <c r="W1083"/>
      <c r="X1083">
        <v>0</v>
      </c>
      <c r="Y1083"/>
      <c r="Z1083">
        <v>0</v>
      </c>
      <c r="AA1083"/>
      <c r="AB1083"/>
      <c r="AC1083"/>
      <c r="AD1083"/>
      <c r="AE1083">
        <v>0</v>
      </c>
      <c r="AF1083"/>
      <c r="AG1083"/>
      <c r="AH1083"/>
    </row>
    <row r="1084" spans="1:34" x14ac:dyDescent="0.25">
      <c r="A1084" t="s">
        <v>1478</v>
      </c>
      <c r="B1084" t="s">
        <v>329</v>
      </c>
      <c r="C1084"/>
      <c r="D1084" t="s">
        <v>329</v>
      </c>
      <c r="E1084" t="s">
        <v>1534</v>
      </c>
      <c r="F1084" t="s">
        <v>1532</v>
      </c>
      <c r="G1084" t="s">
        <v>280</v>
      </c>
      <c r="H1084" t="s">
        <v>1561</v>
      </c>
      <c r="I1084" t="s">
        <v>35</v>
      </c>
      <c r="J1084"/>
      <c r="K1084">
        <v>1</v>
      </c>
      <c r="L1084">
        <v>1</v>
      </c>
      <c r="M1084" t="s">
        <v>33</v>
      </c>
      <c r="N1084">
        <v>1</v>
      </c>
      <c r="O1084"/>
      <c r="P1084">
        <v>0</v>
      </c>
      <c r="Q1084" t="s">
        <v>38</v>
      </c>
      <c r="R1084">
        <v>1</v>
      </c>
      <c r="S1084">
        <v>0</v>
      </c>
      <c r="T1084"/>
      <c r="U1084"/>
      <c r="V1084"/>
      <c r="W1084"/>
      <c r="X1084">
        <v>0</v>
      </c>
      <c r="Y1084"/>
      <c r="Z1084">
        <v>0</v>
      </c>
      <c r="AA1084"/>
      <c r="AB1084"/>
      <c r="AC1084"/>
      <c r="AD1084"/>
      <c r="AE1084">
        <v>0</v>
      </c>
      <c r="AF1084"/>
      <c r="AG1084"/>
      <c r="AH1084"/>
    </row>
    <row r="1085" spans="1:34" x14ac:dyDescent="0.25">
      <c r="A1085" t="s">
        <v>3424</v>
      </c>
      <c r="B1085" t="s">
        <v>3425</v>
      </c>
      <c r="C1085"/>
      <c r="D1085" t="s">
        <v>329</v>
      </c>
      <c r="E1085" t="s">
        <v>1534</v>
      </c>
      <c r="F1085" t="s">
        <v>1532</v>
      </c>
      <c r="G1085" t="s">
        <v>280</v>
      </c>
      <c r="H1085" t="s">
        <v>1561</v>
      </c>
      <c r="I1085" t="s">
        <v>35</v>
      </c>
      <c r="J1085"/>
      <c r="K1085">
        <v>1</v>
      </c>
      <c r="L1085">
        <v>1</v>
      </c>
      <c r="M1085" t="s">
        <v>33</v>
      </c>
      <c r="N1085">
        <v>1</v>
      </c>
      <c r="O1085"/>
      <c r="P1085">
        <v>0</v>
      </c>
      <c r="Q1085" t="s">
        <v>38</v>
      </c>
      <c r="R1085">
        <v>1</v>
      </c>
      <c r="S1085">
        <v>0</v>
      </c>
      <c r="T1085"/>
      <c r="U1085"/>
      <c r="V1085"/>
      <c r="W1085"/>
      <c r="X1085">
        <v>0</v>
      </c>
      <c r="Y1085"/>
      <c r="Z1085">
        <v>0</v>
      </c>
      <c r="AA1085"/>
      <c r="AB1085"/>
      <c r="AC1085"/>
      <c r="AD1085"/>
      <c r="AE1085">
        <v>0</v>
      </c>
      <c r="AF1085"/>
      <c r="AG1085"/>
      <c r="AH1085"/>
    </row>
    <row r="1086" spans="1:34" x14ac:dyDescent="0.25">
      <c r="A1086" t="s">
        <v>1478</v>
      </c>
      <c r="B1086" t="s">
        <v>329</v>
      </c>
      <c r="C1086"/>
      <c r="D1086" t="s">
        <v>329</v>
      </c>
      <c r="E1086" t="s">
        <v>1562</v>
      </c>
      <c r="F1086" t="s">
        <v>1480</v>
      </c>
      <c r="G1086" t="s">
        <v>280</v>
      </c>
      <c r="H1086" t="s">
        <v>1563</v>
      </c>
      <c r="I1086" t="s">
        <v>35</v>
      </c>
      <c r="J1086"/>
      <c r="K1086">
        <v>1</v>
      </c>
      <c r="L1086">
        <v>1</v>
      </c>
      <c r="M1086" t="s">
        <v>33</v>
      </c>
      <c r="N1086">
        <v>1</v>
      </c>
      <c r="O1086">
        <v>1</v>
      </c>
      <c r="P1086">
        <v>1</v>
      </c>
      <c r="Q1086" t="s">
        <v>38</v>
      </c>
      <c r="R1086">
        <v>1</v>
      </c>
      <c r="S1086">
        <v>0</v>
      </c>
      <c r="T1086"/>
      <c r="U1086"/>
      <c r="V1086"/>
      <c r="W1086"/>
      <c r="X1086">
        <v>0</v>
      </c>
      <c r="Y1086"/>
      <c r="Z1086">
        <v>0</v>
      </c>
      <c r="AA1086"/>
      <c r="AB1086"/>
      <c r="AC1086"/>
      <c r="AD1086"/>
      <c r="AE1086">
        <v>0</v>
      </c>
      <c r="AF1086"/>
      <c r="AG1086" t="s">
        <v>3467</v>
      </c>
      <c r="AH1086"/>
    </row>
    <row r="1087" spans="1:34" x14ac:dyDescent="0.25">
      <c r="A1087" t="s">
        <v>1478</v>
      </c>
      <c r="B1087" t="s">
        <v>329</v>
      </c>
      <c r="C1087"/>
      <c r="D1087" t="s">
        <v>329</v>
      </c>
      <c r="E1087" t="s">
        <v>1562</v>
      </c>
      <c r="F1087" t="s">
        <v>1482</v>
      </c>
      <c r="G1087" t="s">
        <v>280</v>
      </c>
      <c r="H1087" t="s">
        <v>1564</v>
      </c>
      <c r="I1087" t="s">
        <v>35</v>
      </c>
      <c r="J1087"/>
      <c r="K1087">
        <v>1</v>
      </c>
      <c r="L1087">
        <v>1</v>
      </c>
      <c r="M1087" t="s">
        <v>33</v>
      </c>
      <c r="N1087">
        <v>1</v>
      </c>
      <c r="O1087">
        <v>1</v>
      </c>
      <c r="P1087">
        <v>1</v>
      </c>
      <c r="Q1087" t="s">
        <v>38</v>
      </c>
      <c r="R1087">
        <v>1</v>
      </c>
      <c r="S1087">
        <v>0</v>
      </c>
      <c r="T1087"/>
      <c r="U1087"/>
      <c r="V1087"/>
      <c r="W1087"/>
      <c r="X1087">
        <v>0</v>
      </c>
      <c r="Y1087"/>
      <c r="Z1087">
        <v>0</v>
      </c>
      <c r="AA1087"/>
      <c r="AB1087"/>
      <c r="AC1087"/>
      <c r="AD1087"/>
      <c r="AE1087">
        <v>0</v>
      </c>
      <c r="AF1087"/>
      <c r="AG1087" t="s">
        <v>3467</v>
      </c>
      <c r="AH1087"/>
    </row>
    <row r="1088" spans="1:34" x14ac:dyDescent="0.25">
      <c r="A1088" t="s">
        <v>1478</v>
      </c>
      <c r="B1088" t="s">
        <v>329</v>
      </c>
      <c r="C1088"/>
      <c r="D1088" t="s">
        <v>329</v>
      </c>
      <c r="E1088" t="s">
        <v>1562</v>
      </c>
      <c r="F1088" t="s">
        <v>1484</v>
      </c>
      <c r="G1088" t="s">
        <v>280</v>
      </c>
      <c r="H1088" t="s">
        <v>1565</v>
      </c>
      <c r="I1088" t="s">
        <v>35</v>
      </c>
      <c r="J1088"/>
      <c r="K1088">
        <v>1</v>
      </c>
      <c r="L1088">
        <v>1</v>
      </c>
      <c r="M1088" t="s">
        <v>33</v>
      </c>
      <c r="N1088">
        <v>1</v>
      </c>
      <c r="O1088">
        <v>1</v>
      </c>
      <c r="P1088">
        <v>1</v>
      </c>
      <c r="Q1088" t="s">
        <v>38</v>
      </c>
      <c r="R1088">
        <v>1</v>
      </c>
      <c r="S1088">
        <v>0</v>
      </c>
      <c r="T1088"/>
      <c r="U1088"/>
      <c r="V1088"/>
      <c r="W1088"/>
      <c r="X1088">
        <v>0</v>
      </c>
      <c r="Y1088"/>
      <c r="Z1088">
        <v>0</v>
      </c>
      <c r="AA1088"/>
      <c r="AB1088"/>
      <c r="AC1088"/>
      <c r="AD1088"/>
      <c r="AE1088">
        <v>0</v>
      </c>
      <c r="AF1088"/>
      <c r="AG1088" t="s">
        <v>3467</v>
      </c>
      <c r="AH1088"/>
    </row>
    <row r="1089" spans="1:34" x14ac:dyDescent="0.25">
      <c r="A1089" t="s">
        <v>1478</v>
      </c>
      <c r="B1089" t="s">
        <v>329</v>
      </c>
      <c r="C1089"/>
      <c r="D1089" t="s">
        <v>329</v>
      </c>
      <c r="E1089" t="s">
        <v>1562</v>
      </c>
      <c r="F1089" t="s">
        <v>1486</v>
      </c>
      <c r="G1089" t="s">
        <v>280</v>
      </c>
      <c r="H1089" t="s">
        <v>1566</v>
      </c>
      <c r="I1089" t="s">
        <v>35</v>
      </c>
      <c r="J1089"/>
      <c r="K1089">
        <v>1</v>
      </c>
      <c r="L1089">
        <v>1</v>
      </c>
      <c r="M1089" t="s">
        <v>33</v>
      </c>
      <c r="N1089">
        <v>1</v>
      </c>
      <c r="O1089">
        <v>1</v>
      </c>
      <c r="P1089">
        <v>1</v>
      </c>
      <c r="Q1089" t="s">
        <v>38</v>
      </c>
      <c r="R1089">
        <v>1</v>
      </c>
      <c r="S1089">
        <v>0</v>
      </c>
      <c r="T1089"/>
      <c r="U1089"/>
      <c r="V1089"/>
      <c r="W1089"/>
      <c r="X1089">
        <v>0</v>
      </c>
      <c r="Y1089"/>
      <c r="Z1089">
        <v>0</v>
      </c>
      <c r="AA1089"/>
      <c r="AB1089"/>
      <c r="AC1089"/>
      <c r="AD1089"/>
      <c r="AE1089">
        <v>0</v>
      </c>
      <c r="AF1089"/>
      <c r="AG1089" t="s">
        <v>3467</v>
      </c>
      <c r="AH1089"/>
    </row>
    <row r="1090" spans="1:34" x14ac:dyDescent="0.25">
      <c r="A1090" t="s">
        <v>1478</v>
      </c>
      <c r="B1090" t="s">
        <v>329</v>
      </c>
      <c r="C1090"/>
      <c r="D1090" t="s">
        <v>329</v>
      </c>
      <c r="E1090" t="s">
        <v>1562</v>
      </c>
      <c r="F1090" t="s">
        <v>1488</v>
      </c>
      <c r="G1090" t="s">
        <v>280</v>
      </c>
      <c r="H1090" t="s">
        <v>1567</v>
      </c>
      <c r="I1090" t="s">
        <v>35</v>
      </c>
      <c r="J1090"/>
      <c r="K1090">
        <v>1</v>
      </c>
      <c r="L1090">
        <v>1</v>
      </c>
      <c r="M1090" t="s">
        <v>33</v>
      </c>
      <c r="N1090">
        <v>1</v>
      </c>
      <c r="O1090">
        <v>1</v>
      </c>
      <c r="P1090">
        <v>1</v>
      </c>
      <c r="Q1090" t="s">
        <v>38</v>
      </c>
      <c r="R1090">
        <v>1</v>
      </c>
      <c r="S1090">
        <v>0</v>
      </c>
      <c r="T1090"/>
      <c r="U1090"/>
      <c r="V1090"/>
      <c r="W1090"/>
      <c r="X1090">
        <v>0</v>
      </c>
      <c r="Y1090"/>
      <c r="Z1090">
        <v>0</v>
      </c>
      <c r="AA1090"/>
      <c r="AB1090"/>
      <c r="AC1090"/>
      <c r="AD1090"/>
      <c r="AE1090">
        <v>0</v>
      </c>
      <c r="AF1090"/>
      <c r="AG1090" t="s">
        <v>3467</v>
      </c>
      <c r="AH1090"/>
    </row>
    <row r="1091" spans="1:34" x14ac:dyDescent="0.25">
      <c r="A1091" t="s">
        <v>1478</v>
      </c>
      <c r="B1091" t="s">
        <v>329</v>
      </c>
      <c r="C1091"/>
      <c r="D1091" t="s">
        <v>329</v>
      </c>
      <c r="E1091" t="s">
        <v>1562</v>
      </c>
      <c r="F1091" t="s">
        <v>1490</v>
      </c>
      <c r="G1091" t="s">
        <v>280</v>
      </c>
      <c r="H1091" t="s">
        <v>1568</v>
      </c>
      <c r="I1091" t="s">
        <v>35</v>
      </c>
      <c r="J1091"/>
      <c r="K1091">
        <v>1</v>
      </c>
      <c r="L1091">
        <v>1</v>
      </c>
      <c r="M1091" t="s">
        <v>33</v>
      </c>
      <c r="N1091">
        <v>1</v>
      </c>
      <c r="O1091">
        <v>1</v>
      </c>
      <c r="P1091">
        <v>1</v>
      </c>
      <c r="Q1091" t="s">
        <v>38</v>
      </c>
      <c r="R1091">
        <v>1</v>
      </c>
      <c r="S1091">
        <v>0</v>
      </c>
      <c r="T1091"/>
      <c r="U1091"/>
      <c r="V1091"/>
      <c r="W1091"/>
      <c r="X1091">
        <v>0</v>
      </c>
      <c r="Y1091"/>
      <c r="Z1091">
        <v>0</v>
      </c>
      <c r="AA1091"/>
      <c r="AB1091"/>
      <c r="AC1091"/>
      <c r="AD1091"/>
      <c r="AE1091">
        <v>0</v>
      </c>
      <c r="AF1091"/>
      <c r="AG1091" t="s">
        <v>3467</v>
      </c>
      <c r="AH1091"/>
    </row>
    <row r="1092" spans="1:34" x14ac:dyDescent="0.25">
      <c r="A1092" t="s">
        <v>1478</v>
      </c>
      <c r="B1092" t="s">
        <v>329</v>
      </c>
      <c r="C1092"/>
      <c r="D1092" t="s">
        <v>329</v>
      </c>
      <c r="E1092" t="s">
        <v>1562</v>
      </c>
      <c r="F1092" t="s">
        <v>1492</v>
      </c>
      <c r="G1092" t="s">
        <v>280</v>
      </c>
      <c r="H1092" t="s">
        <v>1569</v>
      </c>
      <c r="I1092" t="s">
        <v>35</v>
      </c>
      <c r="J1092"/>
      <c r="K1092">
        <v>1</v>
      </c>
      <c r="L1092">
        <v>1</v>
      </c>
      <c r="M1092" t="s">
        <v>33</v>
      </c>
      <c r="N1092">
        <v>1</v>
      </c>
      <c r="O1092">
        <v>1</v>
      </c>
      <c r="P1092">
        <v>1</v>
      </c>
      <c r="Q1092" t="s">
        <v>38</v>
      </c>
      <c r="R1092">
        <v>1</v>
      </c>
      <c r="S1092">
        <v>0</v>
      </c>
      <c r="T1092"/>
      <c r="U1092"/>
      <c r="V1092"/>
      <c r="W1092"/>
      <c r="X1092">
        <v>0</v>
      </c>
      <c r="Y1092"/>
      <c r="Z1092">
        <v>0</v>
      </c>
      <c r="AA1092"/>
      <c r="AB1092"/>
      <c r="AC1092"/>
      <c r="AD1092"/>
      <c r="AE1092">
        <v>0</v>
      </c>
      <c r="AF1092"/>
      <c r="AG1092" t="s">
        <v>3467</v>
      </c>
      <c r="AH1092"/>
    </row>
    <row r="1093" spans="1:34" x14ac:dyDescent="0.25">
      <c r="A1093" t="s">
        <v>1478</v>
      </c>
      <c r="B1093" t="s">
        <v>329</v>
      </c>
      <c r="C1093"/>
      <c r="D1093" t="s">
        <v>329</v>
      </c>
      <c r="E1093" t="s">
        <v>1562</v>
      </c>
      <c r="F1093" t="s">
        <v>1494</v>
      </c>
      <c r="G1093" t="s">
        <v>280</v>
      </c>
      <c r="H1093" t="s">
        <v>1570</v>
      </c>
      <c r="I1093" t="s">
        <v>35</v>
      </c>
      <c r="J1093"/>
      <c r="K1093">
        <v>1</v>
      </c>
      <c r="L1093">
        <v>1</v>
      </c>
      <c r="M1093" t="s">
        <v>33</v>
      </c>
      <c r="N1093">
        <v>1</v>
      </c>
      <c r="O1093">
        <v>1</v>
      </c>
      <c r="P1093">
        <v>1</v>
      </c>
      <c r="Q1093" t="s">
        <v>38</v>
      </c>
      <c r="R1093">
        <v>1</v>
      </c>
      <c r="S1093">
        <v>0</v>
      </c>
      <c r="T1093"/>
      <c r="U1093"/>
      <c r="V1093"/>
      <c r="W1093"/>
      <c r="X1093">
        <v>0</v>
      </c>
      <c r="Y1093"/>
      <c r="Z1093">
        <v>0</v>
      </c>
      <c r="AA1093"/>
      <c r="AB1093"/>
      <c r="AC1093"/>
      <c r="AD1093"/>
      <c r="AE1093">
        <v>0</v>
      </c>
      <c r="AF1093"/>
      <c r="AG1093" t="s">
        <v>3467</v>
      </c>
      <c r="AH1093"/>
    </row>
    <row r="1094" spans="1:34" x14ac:dyDescent="0.25">
      <c r="A1094" t="s">
        <v>1478</v>
      </c>
      <c r="B1094" t="s">
        <v>329</v>
      </c>
      <c r="C1094"/>
      <c r="D1094" t="s">
        <v>329</v>
      </c>
      <c r="E1094" t="s">
        <v>1562</v>
      </c>
      <c r="F1094" t="s">
        <v>1496</v>
      </c>
      <c r="G1094" t="s">
        <v>280</v>
      </c>
      <c r="H1094" t="s">
        <v>1571</v>
      </c>
      <c r="I1094" t="s">
        <v>35</v>
      </c>
      <c r="J1094"/>
      <c r="K1094">
        <v>1</v>
      </c>
      <c r="L1094">
        <v>1</v>
      </c>
      <c r="M1094" t="s">
        <v>33</v>
      </c>
      <c r="N1094">
        <v>1</v>
      </c>
      <c r="O1094">
        <v>1</v>
      </c>
      <c r="P1094">
        <v>1</v>
      </c>
      <c r="Q1094" t="s">
        <v>38</v>
      </c>
      <c r="R1094">
        <v>1</v>
      </c>
      <c r="S1094">
        <v>0</v>
      </c>
      <c r="T1094"/>
      <c r="U1094"/>
      <c r="V1094"/>
      <c r="W1094"/>
      <c r="X1094">
        <v>0</v>
      </c>
      <c r="Y1094"/>
      <c r="Z1094">
        <v>0</v>
      </c>
      <c r="AA1094"/>
      <c r="AB1094"/>
      <c r="AC1094"/>
      <c r="AD1094"/>
      <c r="AE1094">
        <v>0</v>
      </c>
      <c r="AF1094"/>
      <c r="AG1094" t="s">
        <v>3467</v>
      </c>
      <c r="AH1094"/>
    </row>
    <row r="1095" spans="1:34" x14ac:dyDescent="0.25">
      <c r="A1095" t="s">
        <v>1478</v>
      </c>
      <c r="B1095" t="s">
        <v>329</v>
      </c>
      <c r="C1095"/>
      <c r="D1095" t="s">
        <v>329</v>
      </c>
      <c r="E1095" t="s">
        <v>1562</v>
      </c>
      <c r="F1095" t="s">
        <v>1498</v>
      </c>
      <c r="G1095" t="s">
        <v>280</v>
      </c>
      <c r="H1095" t="s">
        <v>1572</v>
      </c>
      <c r="I1095" t="s">
        <v>35</v>
      </c>
      <c r="J1095"/>
      <c r="K1095">
        <v>1</v>
      </c>
      <c r="L1095">
        <v>1</v>
      </c>
      <c r="M1095" t="s">
        <v>33</v>
      </c>
      <c r="N1095">
        <v>1</v>
      </c>
      <c r="O1095">
        <v>1</v>
      </c>
      <c r="P1095">
        <v>1</v>
      </c>
      <c r="Q1095" t="s">
        <v>38</v>
      </c>
      <c r="R1095">
        <v>1</v>
      </c>
      <c r="S1095">
        <v>0</v>
      </c>
      <c r="T1095"/>
      <c r="U1095"/>
      <c r="V1095"/>
      <c r="W1095"/>
      <c r="X1095">
        <v>0</v>
      </c>
      <c r="Y1095"/>
      <c r="Z1095">
        <v>0</v>
      </c>
      <c r="AA1095"/>
      <c r="AB1095"/>
      <c r="AC1095"/>
      <c r="AD1095"/>
      <c r="AE1095">
        <v>0</v>
      </c>
      <c r="AF1095"/>
      <c r="AG1095" t="s">
        <v>3467</v>
      </c>
      <c r="AH1095"/>
    </row>
    <row r="1096" spans="1:34" x14ac:dyDescent="0.25">
      <c r="A1096" t="s">
        <v>1478</v>
      </c>
      <c r="B1096" t="s">
        <v>329</v>
      </c>
      <c r="C1096"/>
      <c r="D1096" t="s">
        <v>329</v>
      </c>
      <c r="E1096" t="s">
        <v>1562</v>
      </c>
      <c r="F1096" t="s">
        <v>1500</v>
      </c>
      <c r="G1096" t="s">
        <v>280</v>
      </c>
      <c r="H1096" t="s">
        <v>1573</v>
      </c>
      <c r="I1096" t="s">
        <v>35</v>
      </c>
      <c r="J1096"/>
      <c r="K1096">
        <v>1</v>
      </c>
      <c r="L1096">
        <v>1</v>
      </c>
      <c r="M1096" t="s">
        <v>33</v>
      </c>
      <c r="N1096">
        <v>1</v>
      </c>
      <c r="O1096">
        <v>1</v>
      </c>
      <c r="P1096">
        <v>1</v>
      </c>
      <c r="Q1096" t="s">
        <v>38</v>
      </c>
      <c r="R1096">
        <v>1</v>
      </c>
      <c r="S1096">
        <v>0</v>
      </c>
      <c r="T1096"/>
      <c r="U1096"/>
      <c r="V1096"/>
      <c r="W1096"/>
      <c r="X1096">
        <v>0</v>
      </c>
      <c r="Y1096"/>
      <c r="Z1096">
        <v>0</v>
      </c>
      <c r="AA1096"/>
      <c r="AB1096"/>
      <c r="AC1096"/>
      <c r="AD1096"/>
      <c r="AE1096">
        <v>0</v>
      </c>
      <c r="AF1096"/>
      <c r="AG1096" t="s">
        <v>3467</v>
      </c>
      <c r="AH1096"/>
    </row>
    <row r="1097" spans="1:34" x14ac:dyDescent="0.25">
      <c r="A1097" t="s">
        <v>1478</v>
      </c>
      <c r="B1097" t="s">
        <v>329</v>
      </c>
      <c r="C1097"/>
      <c r="D1097" t="s">
        <v>329</v>
      </c>
      <c r="E1097" t="s">
        <v>1562</v>
      </c>
      <c r="F1097" t="s">
        <v>1502</v>
      </c>
      <c r="G1097" t="s">
        <v>280</v>
      </c>
      <c r="H1097" t="s">
        <v>1574</v>
      </c>
      <c r="I1097" t="s">
        <v>35</v>
      </c>
      <c r="J1097"/>
      <c r="K1097">
        <v>1</v>
      </c>
      <c r="L1097">
        <v>1</v>
      </c>
      <c r="M1097" t="s">
        <v>33</v>
      </c>
      <c r="N1097">
        <v>1</v>
      </c>
      <c r="O1097">
        <v>1</v>
      </c>
      <c r="P1097">
        <v>1</v>
      </c>
      <c r="Q1097" t="s">
        <v>38</v>
      </c>
      <c r="R1097">
        <v>1</v>
      </c>
      <c r="S1097">
        <v>0</v>
      </c>
      <c r="T1097"/>
      <c r="U1097"/>
      <c r="V1097"/>
      <c r="W1097"/>
      <c r="X1097">
        <v>0</v>
      </c>
      <c r="Y1097"/>
      <c r="Z1097">
        <v>0</v>
      </c>
      <c r="AA1097"/>
      <c r="AB1097"/>
      <c r="AC1097"/>
      <c r="AD1097"/>
      <c r="AE1097">
        <v>0</v>
      </c>
      <c r="AF1097"/>
      <c r="AG1097" t="s">
        <v>3467</v>
      </c>
      <c r="AH1097"/>
    </row>
    <row r="1098" spans="1:34" x14ac:dyDescent="0.25">
      <c r="A1098" t="s">
        <v>1478</v>
      </c>
      <c r="B1098" t="s">
        <v>329</v>
      </c>
      <c r="C1098"/>
      <c r="D1098" t="s">
        <v>329</v>
      </c>
      <c r="E1098" t="s">
        <v>1562</v>
      </c>
      <c r="F1098" t="s">
        <v>1504</v>
      </c>
      <c r="G1098" t="s">
        <v>280</v>
      </c>
      <c r="H1098" t="s">
        <v>1575</v>
      </c>
      <c r="I1098" t="s">
        <v>35</v>
      </c>
      <c r="J1098"/>
      <c r="K1098">
        <v>1</v>
      </c>
      <c r="L1098">
        <v>1</v>
      </c>
      <c r="M1098" t="s">
        <v>33</v>
      </c>
      <c r="N1098">
        <v>1</v>
      </c>
      <c r="O1098">
        <v>1</v>
      </c>
      <c r="P1098">
        <v>1</v>
      </c>
      <c r="Q1098" t="s">
        <v>38</v>
      </c>
      <c r="R1098">
        <v>1</v>
      </c>
      <c r="S1098">
        <v>0</v>
      </c>
      <c r="T1098"/>
      <c r="U1098"/>
      <c r="V1098"/>
      <c r="W1098"/>
      <c r="X1098">
        <v>0</v>
      </c>
      <c r="Y1098"/>
      <c r="Z1098">
        <v>0</v>
      </c>
      <c r="AA1098"/>
      <c r="AB1098"/>
      <c r="AC1098"/>
      <c r="AD1098"/>
      <c r="AE1098">
        <v>0</v>
      </c>
      <c r="AF1098"/>
      <c r="AG1098" t="s">
        <v>3467</v>
      </c>
      <c r="AH1098"/>
    </row>
    <row r="1099" spans="1:34" x14ac:dyDescent="0.25">
      <c r="A1099" t="s">
        <v>1478</v>
      </c>
      <c r="B1099" t="s">
        <v>329</v>
      </c>
      <c r="C1099"/>
      <c r="D1099" t="s">
        <v>329</v>
      </c>
      <c r="E1099" t="s">
        <v>1562</v>
      </c>
      <c r="F1099" t="s">
        <v>1506</v>
      </c>
      <c r="G1099" t="s">
        <v>280</v>
      </c>
      <c r="H1099" t="s">
        <v>1576</v>
      </c>
      <c r="I1099" t="s">
        <v>35</v>
      </c>
      <c r="J1099"/>
      <c r="K1099">
        <v>1</v>
      </c>
      <c r="L1099">
        <v>1</v>
      </c>
      <c r="M1099" t="s">
        <v>33</v>
      </c>
      <c r="N1099">
        <v>1</v>
      </c>
      <c r="O1099">
        <v>1</v>
      </c>
      <c r="P1099">
        <v>1</v>
      </c>
      <c r="Q1099" t="s">
        <v>38</v>
      </c>
      <c r="R1099">
        <v>1</v>
      </c>
      <c r="S1099">
        <v>0</v>
      </c>
      <c r="T1099"/>
      <c r="U1099"/>
      <c r="V1099"/>
      <c r="W1099"/>
      <c r="X1099">
        <v>0</v>
      </c>
      <c r="Y1099"/>
      <c r="Z1099">
        <v>0</v>
      </c>
      <c r="AA1099"/>
      <c r="AB1099"/>
      <c r="AC1099"/>
      <c r="AD1099"/>
      <c r="AE1099">
        <v>0</v>
      </c>
      <c r="AF1099"/>
      <c r="AG1099" t="s">
        <v>3467</v>
      </c>
      <c r="AH1099"/>
    </row>
    <row r="1100" spans="1:34" x14ac:dyDescent="0.25">
      <c r="A1100" t="s">
        <v>1478</v>
      </c>
      <c r="B1100" t="s">
        <v>329</v>
      </c>
      <c r="C1100"/>
      <c r="D1100" t="s">
        <v>329</v>
      </c>
      <c r="E1100" t="s">
        <v>1562</v>
      </c>
      <c r="F1100" t="s">
        <v>1508</v>
      </c>
      <c r="G1100" t="s">
        <v>280</v>
      </c>
      <c r="H1100" t="s">
        <v>1577</v>
      </c>
      <c r="I1100" t="s">
        <v>35</v>
      </c>
      <c r="J1100"/>
      <c r="K1100">
        <v>1</v>
      </c>
      <c r="L1100">
        <v>1</v>
      </c>
      <c r="M1100" t="s">
        <v>33</v>
      </c>
      <c r="N1100">
        <v>1</v>
      </c>
      <c r="O1100">
        <v>1</v>
      </c>
      <c r="P1100">
        <v>1</v>
      </c>
      <c r="Q1100" t="s">
        <v>38</v>
      </c>
      <c r="R1100">
        <v>1</v>
      </c>
      <c r="S1100">
        <v>0</v>
      </c>
      <c r="T1100"/>
      <c r="U1100"/>
      <c r="V1100"/>
      <c r="W1100"/>
      <c r="X1100">
        <v>0</v>
      </c>
      <c r="Y1100"/>
      <c r="Z1100">
        <v>0</v>
      </c>
      <c r="AA1100"/>
      <c r="AB1100"/>
      <c r="AC1100"/>
      <c r="AD1100"/>
      <c r="AE1100">
        <v>0</v>
      </c>
      <c r="AF1100"/>
      <c r="AG1100" t="s">
        <v>3467</v>
      </c>
      <c r="AH1100"/>
    </row>
    <row r="1101" spans="1:34" x14ac:dyDescent="0.25">
      <c r="A1101" t="s">
        <v>1478</v>
      </c>
      <c r="B1101" t="s">
        <v>329</v>
      </c>
      <c r="C1101"/>
      <c r="D1101" t="s">
        <v>329</v>
      </c>
      <c r="E1101" t="s">
        <v>1562</v>
      </c>
      <c r="F1101" t="s">
        <v>1510</v>
      </c>
      <c r="G1101" t="s">
        <v>280</v>
      </c>
      <c r="H1101" t="s">
        <v>1578</v>
      </c>
      <c r="I1101" t="s">
        <v>35</v>
      </c>
      <c r="J1101"/>
      <c r="K1101">
        <v>1</v>
      </c>
      <c r="L1101">
        <v>1</v>
      </c>
      <c r="M1101" t="s">
        <v>33</v>
      </c>
      <c r="N1101">
        <v>1</v>
      </c>
      <c r="O1101">
        <v>1</v>
      </c>
      <c r="P1101">
        <v>1</v>
      </c>
      <c r="Q1101" t="s">
        <v>38</v>
      </c>
      <c r="R1101">
        <v>1</v>
      </c>
      <c r="S1101">
        <v>0</v>
      </c>
      <c r="T1101"/>
      <c r="U1101"/>
      <c r="V1101"/>
      <c r="W1101"/>
      <c r="X1101">
        <v>0</v>
      </c>
      <c r="Y1101"/>
      <c r="Z1101">
        <v>0</v>
      </c>
      <c r="AA1101"/>
      <c r="AB1101"/>
      <c r="AC1101"/>
      <c r="AD1101"/>
      <c r="AE1101">
        <v>0</v>
      </c>
      <c r="AF1101"/>
      <c r="AG1101" t="s">
        <v>3467</v>
      </c>
      <c r="AH1101"/>
    </row>
    <row r="1102" spans="1:34" x14ac:dyDescent="0.25">
      <c r="A1102" t="s">
        <v>1478</v>
      </c>
      <c r="B1102" t="s">
        <v>329</v>
      </c>
      <c r="C1102"/>
      <c r="D1102" t="s">
        <v>329</v>
      </c>
      <c r="E1102" t="s">
        <v>1562</v>
      </c>
      <c r="F1102" t="s">
        <v>1512</v>
      </c>
      <c r="G1102" t="s">
        <v>280</v>
      </c>
      <c r="H1102" t="s">
        <v>1579</v>
      </c>
      <c r="I1102" t="s">
        <v>35</v>
      </c>
      <c r="J1102"/>
      <c r="K1102">
        <v>1</v>
      </c>
      <c r="L1102">
        <v>1</v>
      </c>
      <c r="M1102" t="s">
        <v>33</v>
      </c>
      <c r="N1102">
        <v>1</v>
      </c>
      <c r="O1102">
        <v>1</v>
      </c>
      <c r="P1102">
        <v>1</v>
      </c>
      <c r="Q1102" t="s">
        <v>38</v>
      </c>
      <c r="R1102">
        <v>1</v>
      </c>
      <c r="S1102">
        <v>0</v>
      </c>
      <c r="T1102"/>
      <c r="U1102"/>
      <c r="V1102"/>
      <c r="W1102"/>
      <c r="X1102">
        <v>0</v>
      </c>
      <c r="Y1102"/>
      <c r="Z1102">
        <v>0</v>
      </c>
      <c r="AA1102"/>
      <c r="AB1102"/>
      <c r="AC1102"/>
      <c r="AD1102"/>
      <c r="AE1102">
        <v>0</v>
      </c>
      <c r="AF1102"/>
      <c r="AG1102" t="s">
        <v>3467</v>
      </c>
      <c r="AH1102"/>
    </row>
    <row r="1103" spans="1:34" x14ac:dyDescent="0.25">
      <c r="A1103" t="s">
        <v>1478</v>
      </c>
      <c r="B1103" t="s">
        <v>329</v>
      </c>
      <c r="C1103"/>
      <c r="D1103" t="s">
        <v>329</v>
      </c>
      <c r="E1103" t="s">
        <v>1562</v>
      </c>
      <c r="F1103" t="s">
        <v>1514</v>
      </c>
      <c r="G1103" t="s">
        <v>280</v>
      </c>
      <c r="H1103" t="s">
        <v>1580</v>
      </c>
      <c r="I1103" t="s">
        <v>35</v>
      </c>
      <c r="J1103"/>
      <c r="K1103">
        <v>1</v>
      </c>
      <c r="L1103">
        <v>1</v>
      </c>
      <c r="M1103" t="s">
        <v>33</v>
      </c>
      <c r="N1103">
        <v>1</v>
      </c>
      <c r="O1103">
        <v>1</v>
      </c>
      <c r="P1103">
        <v>1</v>
      </c>
      <c r="Q1103" t="s">
        <v>38</v>
      </c>
      <c r="R1103">
        <v>1</v>
      </c>
      <c r="S1103">
        <v>0</v>
      </c>
      <c r="T1103"/>
      <c r="U1103"/>
      <c r="V1103"/>
      <c r="W1103"/>
      <c r="X1103">
        <v>0</v>
      </c>
      <c r="Y1103"/>
      <c r="Z1103">
        <v>0</v>
      </c>
      <c r="AA1103"/>
      <c r="AB1103"/>
      <c r="AC1103"/>
      <c r="AD1103"/>
      <c r="AE1103">
        <v>0</v>
      </c>
      <c r="AF1103"/>
      <c r="AG1103" t="s">
        <v>3467</v>
      </c>
      <c r="AH1103"/>
    </row>
    <row r="1104" spans="1:34" x14ac:dyDescent="0.25">
      <c r="A1104" t="s">
        <v>1478</v>
      </c>
      <c r="B1104" t="s">
        <v>329</v>
      </c>
      <c r="C1104"/>
      <c r="D1104" t="s">
        <v>329</v>
      </c>
      <c r="E1104" t="s">
        <v>1562</v>
      </c>
      <c r="F1104" t="s">
        <v>1516</v>
      </c>
      <c r="G1104" t="s">
        <v>280</v>
      </c>
      <c r="H1104" t="s">
        <v>1581</v>
      </c>
      <c r="I1104" t="s">
        <v>35</v>
      </c>
      <c r="J1104"/>
      <c r="K1104">
        <v>1</v>
      </c>
      <c r="L1104">
        <v>1</v>
      </c>
      <c r="M1104" t="s">
        <v>33</v>
      </c>
      <c r="N1104">
        <v>1</v>
      </c>
      <c r="O1104">
        <v>1</v>
      </c>
      <c r="P1104">
        <v>1</v>
      </c>
      <c r="Q1104" t="s">
        <v>38</v>
      </c>
      <c r="R1104">
        <v>1</v>
      </c>
      <c r="S1104">
        <v>0</v>
      </c>
      <c r="T1104"/>
      <c r="U1104"/>
      <c r="V1104"/>
      <c r="W1104"/>
      <c r="X1104">
        <v>0</v>
      </c>
      <c r="Y1104"/>
      <c r="Z1104">
        <v>0</v>
      </c>
      <c r="AA1104"/>
      <c r="AB1104"/>
      <c r="AC1104"/>
      <c r="AD1104"/>
      <c r="AE1104">
        <v>0</v>
      </c>
      <c r="AF1104"/>
      <c r="AG1104" t="s">
        <v>3467</v>
      </c>
      <c r="AH1104"/>
    </row>
    <row r="1105" spans="1:34" x14ac:dyDescent="0.25">
      <c r="A1105" t="s">
        <v>1478</v>
      </c>
      <c r="B1105" t="s">
        <v>329</v>
      </c>
      <c r="C1105"/>
      <c r="D1105" t="s">
        <v>329</v>
      </c>
      <c r="E1105" t="s">
        <v>1562</v>
      </c>
      <c r="F1105" t="s">
        <v>1518</v>
      </c>
      <c r="G1105" t="s">
        <v>280</v>
      </c>
      <c r="H1105" t="s">
        <v>1582</v>
      </c>
      <c r="I1105" t="s">
        <v>35</v>
      </c>
      <c r="J1105"/>
      <c r="K1105">
        <v>1</v>
      </c>
      <c r="L1105">
        <v>1</v>
      </c>
      <c r="M1105" t="s">
        <v>33</v>
      </c>
      <c r="N1105">
        <v>1</v>
      </c>
      <c r="O1105">
        <v>1</v>
      </c>
      <c r="P1105">
        <v>1</v>
      </c>
      <c r="Q1105" t="s">
        <v>38</v>
      </c>
      <c r="R1105">
        <v>1</v>
      </c>
      <c r="S1105">
        <v>0</v>
      </c>
      <c r="T1105"/>
      <c r="U1105"/>
      <c r="V1105"/>
      <c r="W1105"/>
      <c r="X1105">
        <v>0</v>
      </c>
      <c r="Y1105"/>
      <c r="Z1105">
        <v>0</v>
      </c>
      <c r="AA1105"/>
      <c r="AB1105"/>
      <c r="AC1105"/>
      <c r="AD1105"/>
      <c r="AE1105">
        <v>0</v>
      </c>
      <c r="AF1105"/>
      <c r="AG1105" t="s">
        <v>3467</v>
      </c>
      <c r="AH1105"/>
    </row>
    <row r="1106" spans="1:34" x14ac:dyDescent="0.25">
      <c r="A1106" t="s">
        <v>1478</v>
      </c>
      <c r="B1106" t="s">
        <v>329</v>
      </c>
      <c r="C1106"/>
      <c r="D1106" t="s">
        <v>329</v>
      </c>
      <c r="E1106" t="s">
        <v>1562</v>
      </c>
      <c r="F1106" t="s">
        <v>1520</v>
      </c>
      <c r="G1106" t="s">
        <v>280</v>
      </c>
      <c r="H1106" t="s">
        <v>1583</v>
      </c>
      <c r="I1106" t="s">
        <v>35</v>
      </c>
      <c r="J1106"/>
      <c r="K1106">
        <v>1</v>
      </c>
      <c r="L1106">
        <v>1</v>
      </c>
      <c r="M1106" t="s">
        <v>33</v>
      </c>
      <c r="N1106">
        <v>1</v>
      </c>
      <c r="O1106">
        <v>1</v>
      </c>
      <c r="P1106">
        <v>1</v>
      </c>
      <c r="Q1106" t="s">
        <v>38</v>
      </c>
      <c r="R1106">
        <v>1</v>
      </c>
      <c r="S1106">
        <v>0</v>
      </c>
      <c r="T1106"/>
      <c r="U1106"/>
      <c r="V1106"/>
      <c r="W1106"/>
      <c r="X1106">
        <v>0</v>
      </c>
      <c r="Y1106"/>
      <c r="Z1106">
        <v>0</v>
      </c>
      <c r="AA1106"/>
      <c r="AB1106"/>
      <c r="AC1106"/>
      <c r="AD1106"/>
      <c r="AE1106">
        <v>0</v>
      </c>
      <c r="AF1106"/>
      <c r="AG1106" t="s">
        <v>3467</v>
      </c>
      <c r="AH1106"/>
    </row>
    <row r="1107" spans="1:34" x14ac:dyDescent="0.25">
      <c r="A1107" t="s">
        <v>1478</v>
      </c>
      <c r="B1107" t="s">
        <v>329</v>
      </c>
      <c r="C1107"/>
      <c r="D1107" t="s">
        <v>329</v>
      </c>
      <c r="E1107" t="s">
        <v>1562</v>
      </c>
      <c r="F1107" t="s">
        <v>1522</v>
      </c>
      <c r="G1107" t="s">
        <v>280</v>
      </c>
      <c r="H1107" t="s">
        <v>1584</v>
      </c>
      <c r="I1107" t="s">
        <v>35</v>
      </c>
      <c r="J1107"/>
      <c r="K1107">
        <v>1</v>
      </c>
      <c r="L1107">
        <v>1</v>
      </c>
      <c r="M1107" t="s">
        <v>33</v>
      </c>
      <c r="N1107">
        <v>1</v>
      </c>
      <c r="O1107">
        <v>1</v>
      </c>
      <c r="P1107">
        <v>1</v>
      </c>
      <c r="Q1107" t="s">
        <v>38</v>
      </c>
      <c r="R1107">
        <v>1</v>
      </c>
      <c r="S1107">
        <v>0</v>
      </c>
      <c r="T1107"/>
      <c r="U1107"/>
      <c r="V1107"/>
      <c r="W1107"/>
      <c r="X1107">
        <v>0</v>
      </c>
      <c r="Y1107"/>
      <c r="Z1107">
        <v>0</v>
      </c>
      <c r="AA1107"/>
      <c r="AB1107"/>
      <c r="AC1107"/>
      <c r="AD1107"/>
      <c r="AE1107">
        <v>0</v>
      </c>
      <c r="AF1107"/>
      <c r="AG1107" t="s">
        <v>3467</v>
      </c>
      <c r="AH1107"/>
    </row>
    <row r="1108" spans="1:34" x14ac:dyDescent="0.25">
      <c r="A1108" t="s">
        <v>1478</v>
      </c>
      <c r="B1108" t="s">
        <v>329</v>
      </c>
      <c r="C1108"/>
      <c r="D1108" t="s">
        <v>329</v>
      </c>
      <c r="E1108" t="s">
        <v>1562</v>
      </c>
      <c r="F1108" t="s">
        <v>1524</v>
      </c>
      <c r="G1108" t="s">
        <v>280</v>
      </c>
      <c r="H1108" t="s">
        <v>1585</v>
      </c>
      <c r="I1108" t="s">
        <v>35</v>
      </c>
      <c r="J1108"/>
      <c r="K1108">
        <v>1</v>
      </c>
      <c r="L1108">
        <v>1</v>
      </c>
      <c r="M1108" t="s">
        <v>33</v>
      </c>
      <c r="N1108">
        <v>1</v>
      </c>
      <c r="O1108">
        <v>1</v>
      </c>
      <c r="P1108">
        <v>1</v>
      </c>
      <c r="Q1108" t="s">
        <v>38</v>
      </c>
      <c r="R1108">
        <v>1</v>
      </c>
      <c r="S1108">
        <v>0</v>
      </c>
      <c r="T1108"/>
      <c r="U1108"/>
      <c r="V1108"/>
      <c r="W1108"/>
      <c r="X1108">
        <v>0</v>
      </c>
      <c r="Y1108"/>
      <c r="Z1108">
        <v>0</v>
      </c>
      <c r="AA1108"/>
      <c r="AB1108"/>
      <c r="AC1108"/>
      <c r="AD1108"/>
      <c r="AE1108">
        <v>0</v>
      </c>
      <c r="AF1108"/>
      <c r="AG1108" t="s">
        <v>3467</v>
      </c>
      <c r="AH1108"/>
    </row>
    <row r="1109" spans="1:34" x14ac:dyDescent="0.25">
      <c r="A1109" t="s">
        <v>1478</v>
      </c>
      <c r="B1109" t="s">
        <v>329</v>
      </c>
      <c r="C1109"/>
      <c r="D1109" t="s">
        <v>329</v>
      </c>
      <c r="E1109" t="s">
        <v>1562</v>
      </c>
      <c r="F1109" t="s">
        <v>1526</v>
      </c>
      <c r="G1109" t="s">
        <v>280</v>
      </c>
      <c r="H1109" t="s">
        <v>1586</v>
      </c>
      <c r="I1109" t="s">
        <v>35</v>
      </c>
      <c r="J1109"/>
      <c r="K1109">
        <v>1</v>
      </c>
      <c r="L1109">
        <v>1</v>
      </c>
      <c r="M1109" t="s">
        <v>33</v>
      </c>
      <c r="N1109">
        <v>1</v>
      </c>
      <c r="O1109">
        <v>1</v>
      </c>
      <c r="P1109">
        <v>1</v>
      </c>
      <c r="Q1109" t="s">
        <v>38</v>
      </c>
      <c r="R1109">
        <v>1</v>
      </c>
      <c r="S1109">
        <v>0</v>
      </c>
      <c r="T1109"/>
      <c r="U1109"/>
      <c r="V1109"/>
      <c r="W1109"/>
      <c r="X1109">
        <v>0</v>
      </c>
      <c r="Y1109"/>
      <c r="Z1109">
        <v>0</v>
      </c>
      <c r="AA1109"/>
      <c r="AB1109"/>
      <c r="AC1109"/>
      <c r="AD1109"/>
      <c r="AE1109">
        <v>0</v>
      </c>
      <c r="AF1109"/>
      <c r="AG1109" t="s">
        <v>3467</v>
      </c>
      <c r="AH1109"/>
    </row>
    <row r="1110" spans="1:34" x14ac:dyDescent="0.25">
      <c r="A1110" t="s">
        <v>1478</v>
      </c>
      <c r="B1110" t="s">
        <v>329</v>
      </c>
      <c r="C1110"/>
      <c r="D1110" t="s">
        <v>329</v>
      </c>
      <c r="E1110" t="s">
        <v>1587</v>
      </c>
      <c r="F1110" t="s">
        <v>1530</v>
      </c>
      <c r="G1110" t="s">
        <v>280</v>
      </c>
      <c r="H1110" t="s">
        <v>1588</v>
      </c>
      <c r="I1110" t="s">
        <v>35</v>
      </c>
      <c r="J1110"/>
      <c r="K1110">
        <v>1</v>
      </c>
      <c r="L1110">
        <v>1</v>
      </c>
      <c r="M1110" t="s">
        <v>33</v>
      </c>
      <c r="N1110">
        <v>1</v>
      </c>
      <c r="O1110">
        <v>1</v>
      </c>
      <c r="P1110">
        <v>1</v>
      </c>
      <c r="Q1110" t="s">
        <v>38</v>
      </c>
      <c r="R1110">
        <v>1</v>
      </c>
      <c r="S1110">
        <v>0</v>
      </c>
      <c r="T1110"/>
      <c r="U1110"/>
      <c r="V1110"/>
      <c r="W1110"/>
      <c r="X1110">
        <v>0</v>
      </c>
      <c r="Y1110"/>
      <c r="Z1110">
        <v>0</v>
      </c>
      <c r="AA1110"/>
      <c r="AB1110"/>
      <c r="AC1110"/>
      <c r="AD1110"/>
      <c r="AE1110">
        <v>0</v>
      </c>
      <c r="AF1110"/>
      <c r="AG1110" t="s">
        <v>3467</v>
      </c>
      <c r="AH1110"/>
    </row>
    <row r="1111" spans="1:34" x14ac:dyDescent="0.25">
      <c r="A1111" t="s">
        <v>1478</v>
      </c>
      <c r="B1111" t="s">
        <v>329</v>
      </c>
      <c r="C1111"/>
      <c r="D1111" t="s">
        <v>329</v>
      </c>
      <c r="E1111" t="s">
        <v>1587</v>
      </c>
      <c r="F1111" t="s">
        <v>1532</v>
      </c>
      <c r="G1111" t="s">
        <v>280</v>
      </c>
      <c r="H1111" t="s">
        <v>1589</v>
      </c>
      <c r="I1111" t="s">
        <v>35</v>
      </c>
      <c r="J1111"/>
      <c r="K1111">
        <v>1</v>
      </c>
      <c r="L1111">
        <v>1</v>
      </c>
      <c r="M1111" t="s">
        <v>33</v>
      </c>
      <c r="N1111">
        <v>1</v>
      </c>
      <c r="O1111">
        <v>1</v>
      </c>
      <c r="P1111">
        <v>1</v>
      </c>
      <c r="Q1111" t="s">
        <v>38</v>
      </c>
      <c r="R1111">
        <v>1</v>
      </c>
      <c r="S1111">
        <v>0</v>
      </c>
      <c r="T1111"/>
      <c r="U1111"/>
      <c r="V1111"/>
      <c r="W1111"/>
      <c r="X1111">
        <v>0</v>
      </c>
      <c r="Y1111"/>
      <c r="Z1111">
        <v>0</v>
      </c>
      <c r="AA1111"/>
      <c r="AB1111"/>
      <c r="AC1111"/>
      <c r="AD1111"/>
      <c r="AE1111">
        <v>0</v>
      </c>
      <c r="AF1111"/>
      <c r="AG1111" t="s">
        <v>3467</v>
      </c>
      <c r="AH1111"/>
    </row>
    <row r="1112" spans="1:34" x14ac:dyDescent="0.25">
      <c r="A1112" t="s">
        <v>1478</v>
      </c>
      <c r="B1112" t="s">
        <v>329</v>
      </c>
      <c r="C1112"/>
      <c r="D1112" t="s">
        <v>329</v>
      </c>
      <c r="E1112" t="s">
        <v>1587</v>
      </c>
      <c r="F1112" t="s">
        <v>1590</v>
      </c>
      <c r="G1112" t="s">
        <v>280</v>
      </c>
      <c r="H1112" t="s">
        <v>1591</v>
      </c>
      <c r="I1112" t="s">
        <v>35</v>
      </c>
      <c r="J1112"/>
      <c r="K1112">
        <v>1</v>
      </c>
      <c r="L1112">
        <v>1</v>
      </c>
      <c r="M1112" t="s">
        <v>33</v>
      </c>
      <c r="N1112">
        <v>1</v>
      </c>
      <c r="O1112">
        <v>1</v>
      </c>
      <c r="P1112">
        <v>1</v>
      </c>
      <c r="Q1112" t="s">
        <v>38</v>
      </c>
      <c r="R1112">
        <v>1</v>
      </c>
      <c r="S1112">
        <v>0</v>
      </c>
      <c r="T1112"/>
      <c r="U1112"/>
      <c r="V1112"/>
      <c r="W1112"/>
      <c r="X1112">
        <v>0</v>
      </c>
      <c r="Y1112"/>
      <c r="Z1112">
        <v>0</v>
      </c>
      <c r="AA1112"/>
      <c r="AB1112"/>
      <c r="AC1112"/>
      <c r="AD1112"/>
      <c r="AE1112">
        <v>0</v>
      </c>
      <c r="AF1112"/>
      <c r="AG1112" t="s">
        <v>3467</v>
      </c>
      <c r="AH1112"/>
    </row>
    <row r="1113" spans="1:34" x14ac:dyDescent="0.25">
      <c r="A1113" t="s">
        <v>1478</v>
      </c>
      <c r="B1113" t="s">
        <v>329</v>
      </c>
      <c r="C1113"/>
      <c r="D1113" t="s">
        <v>329</v>
      </c>
      <c r="E1113" t="s">
        <v>1587</v>
      </c>
      <c r="F1113" t="s">
        <v>1592</v>
      </c>
      <c r="G1113" t="s">
        <v>280</v>
      </c>
      <c r="H1113" t="s">
        <v>1593</v>
      </c>
      <c r="I1113" t="s">
        <v>35</v>
      </c>
      <c r="J1113"/>
      <c r="K1113">
        <v>1</v>
      </c>
      <c r="L1113">
        <v>1</v>
      </c>
      <c r="M1113" t="s">
        <v>33</v>
      </c>
      <c r="N1113">
        <v>1</v>
      </c>
      <c r="O1113">
        <v>1</v>
      </c>
      <c r="P1113">
        <v>1</v>
      </c>
      <c r="Q1113" t="s">
        <v>38</v>
      </c>
      <c r="R1113">
        <v>1</v>
      </c>
      <c r="S1113">
        <v>0</v>
      </c>
      <c r="T1113"/>
      <c r="U1113"/>
      <c r="V1113"/>
      <c r="W1113"/>
      <c r="X1113">
        <v>0</v>
      </c>
      <c r="Y1113"/>
      <c r="Z1113">
        <v>0</v>
      </c>
      <c r="AA1113"/>
      <c r="AB1113"/>
      <c r="AC1113"/>
      <c r="AD1113"/>
      <c r="AE1113">
        <v>0</v>
      </c>
      <c r="AF1113"/>
      <c r="AG1113" t="s">
        <v>3467</v>
      </c>
      <c r="AH1113"/>
    </row>
    <row r="1114" spans="1:34" x14ac:dyDescent="0.25">
      <c r="A1114" t="s">
        <v>1478</v>
      </c>
      <c r="B1114" t="s">
        <v>329</v>
      </c>
      <c r="C1114"/>
      <c r="D1114" t="s">
        <v>329</v>
      </c>
      <c r="E1114" t="s">
        <v>1587</v>
      </c>
      <c r="F1114" t="s">
        <v>1594</v>
      </c>
      <c r="G1114" t="s">
        <v>280</v>
      </c>
      <c r="H1114" t="s">
        <v>1595</v>
      </c>
      <c r="I1114" t="s">
        <v>35</v>
      </c>
      <c r="J1114"/>
      <c r="K1114">
        <v>1</v>
      </c>
      <c r="L1114">
        <v>1</v>
      </c>
      <c r="M1114" t="s">
        <v>33</v>
      </c>
      <c r="N1114">
        <v>1</v>
      </c>
      <c r="O1114">
        <v>1</v>
      </c>
      <c r="P1114">
        <v>1</v>
      </c>
      <c r="Q1114" t="s">
        <v>38</v>
      </c>
      <c r="R1114">
        <v>1</v>
      </c>
      <c r="S1114">
        <v>0</v>
      </c>
      <c r="T1114"/>
      <c r="U1114"/>
      <c r="V1114"/>
      <c r="W1114"/>
      <c r="X1114">
        <v>0</v>
      </c>
      <c r="Y1114"/>
      <c r="Z1114">
        <v>0</v>
      </c>
      <c r="AA1114"/>
      <c r="AB1114"/>
      <c r="AC1114"/>
      <c r="AD1114"/>
      <c r="AE1114">
        <v>0</v>
      </c>
      <c r="AF1114"/>
      <c r="AG1114" t="s">
        <v>3467</v>
      </c>
      <c r="AH1114"/>
    </row>
    <row r="1115" spans="1:34" x14ac:dyDescent="0.25">
      <c r="A1115" t="s">
        <v>1478</v>
      </c>
      <c r="B1115" t="s">
        <v>329</v>
      </c>
      <c r="C1115"/>
      <c r="D1115" t="s">
        <v>329</v>
      </c>
      <c r="E1115" t="s">
        <v>1587</v>
      </c>
      <c r="F1115" t="s">
        <v>1596</v>
      </c>
      <c r="G1115" t="s">
        <v>280</v>
      </c>
      <c r="H1115" t="s">
        <v>1597</v>
      </c>
      <c r="I1115" t="s">
        <v>35</v>
      </c>
      <c r="J1115"/>
      <c r="K1115">
        <v>1</v>
      </c>
      <c r="L1115">
        <v>1</v>
      </c>
      <c r="M1115" t="s">
        <v>33</v>
      </c>
      <c r="N1115">
        <v>1</v>
      </c>
      <c r="O1115">
        <v>1</v>
      </c>
      <c r="P1115">
        <v>1</v>
      </c>
      <c r="Q1115" t="s">
        <v>38</v>
      </c>
      <c r="R1115">
        <v>1</v>
      </c>
      <c r="S1115">
        <v>0</v>
      </c>
      <c r="T1115"/>
      <c r="U1115"/>
      <c r="V1115"/>
      <c r="W1115"/>
      <c r="X1115">
        <v>0</v>
      </c>
      <c r="Y1115"/>
      <c r="Z1115">
        <v>0</v>
      </c>
      <c r="AA1115"/>
      <c r="AB1115"/>
      <c r="AC1115"/>
      <c r="AD1115"/>
      <c r="AE1115">
        <v>0</v>
      </c>
      <c r="AF1115"/>
      <c r="AG1115" t="s">
        <v>3467</v>
      </c>
      <c r="AH1115"/>
    </row>
    <row r="1116" spans="1:34" x14ac:dyDescent="0.25">
      <c r="A1116" t="s">
        <v>1478</v>
      </c>
      <c r="B1116" t="s">
        <v>329</v>
      </c>
      <c r="C1116"/>
      <c r="D1116" t="s">
        <v>329</v>
      </c>
      <c r="E1116" t="s">
        <v>1587</v>
      </c>
      <c r="F1116" t="s">
        <v>1598</v>
      </c>
      <c r="G1116" t="s">
        <v>280</v>
      </c>
      <c r="H1116" t="s">
        <v>1599</v>
      </c>
      <c r="I1116" t="s">
        <v>35</v>
      </c>
      <c r="J1116"/>
      <c r="K1116">
        <v>1</v>
      </c>
      <c r="L1116">
        <v>1</v>
      </c>
      <c r="M1116" t="s">
        <v>33</v>
      </c>
      <c r="N1116">
        <v>1</v>
      </c>
      <c r="O1116">
        <v>1</v>
      </c>
      <c r="P1116">
        <v>1</v>
      </c>
      <c r="Q1116" t="s">
        <v>38</v>
      </c>
      <c r="R1116">
        <v>1</v>
      </c>
      <c r="S1116">
        <v>0</v>
      </c>
      <c r="T1116"/>
      <c r="U1116"/>
      <c r="V1116"/>
      <c r="W1116"/>
      <c r="X1116">
        <v>0</v>
      </c>
      <c r="Y1116"/>
      <c r="Z1116">
        <v>0</v>
      </c>
      <c r="AA1116"/>
      <c r="AB1116"/>
      <c r="AC1116"/>
      <c r="AD1116"/>
      <c r="AE1116">
        <v>0</v>
      </c>
      <c r="AF1116"/>
      <c r="AG1116" t="s">
        <v>3467</v>
      </c>
      <c r="AH1116"/>
    </row>
    <row r="1117" spans="1:34" x14ac:dyDescent="0.25">
      <c r="A1117" t="s">
        <v>1478</v>
      </c>
      <c r="B1117" t="s">
        <v>329</v>
      </c>
      <c r="C1117"/>
      <c r="D1117" t="s">
        <v>329</v>
      </c>
      <c r="E1117" t="s">
        <v>1587</v>
      </c>
      <c r="F1117" t="s">
        <v>1600</v>
      </c>
      <c r="G1117" t="s">
        <v>280</v>
      </c>
      <c r="H1117" t="s">
        <v>1601</v>
      </c>
      <c r="I1117" t="s">
        <v>35</v>
      </c>
      <c r="J1117"/>
      <c r="K1117">
        <v>1</v>
      </c>
      <c r="L1117">
        <v>1</v>
      </c>
      <c r="M1117" t="s">
        <v>33</v>
      </c>
      <c r="N1117">
        <v>1</v>
      </c>
      <c r="O1117">
        <v>1</v>
      </c>
      <c r="P1117">
        <v>1</v>
      </c>
      <c r="Q1117" t="s">
        <v>38</v>
      </c>
      <c r="R1117">
        <v>1</v>
      </c>
      <c r="S1117">
        <v>0</v>
      </c>
      <c r="T1117"/>
      <c r="U1117"/>
      <c r="V1117"/>
      <c r="W1117"/>
      <c r="X1117">
        <v>0</v>
      </c>
      <c r="Y1117"/>
      <c r="Z1117">
        <v>0</v>
      </c>
      <c r="AA1117"/>
      <c r="AB1117"/>
      <c r="AC1117"/>
      <c r="AD1117"/>
      <c r="AE1117">
        <v>0</v>
      </c>
      <c r="AF1117"/>
      <c r="AG1117" t="s">
        <v>3467</v>
      </c>
      <c r="AH1117"/>
    </row>
    <row r="1118" spans="1:34" x14ac:dyDescent="0.25">
      <c r="A1118" t="s">
        <v>1478</v>
      </c>
      <c r="B1118" t="s">
        <v>329</v>
      </c>
      <c r="C1118"/>
      <c r="D1118" t="s">
        <v>329</v>
      </c>
      <c r="E1118" t="s">
        <v>1587</v>
      </c>
      <c r="F1118" t="s">
        <v>1602</v>
      </c>
      <c r="G1118" t="s">
        <v>280</v>
      </c>
      <c r="H1118" t="s">
        <v>1603</v>
      </c>
      <c r="I1118" t="s">
        <v>35</v>
      </c>
      <c r="J1118"/>
      <c r="K1118">
        <v>1</v>
      </c>
      <c r="L1118">
        <v>1</v>
      </c>
      <c r="M1118" t="s">
        <v>33</v>
      </c>
      <c r="N1118">
        <v>1</v>
      </c>
      <c r="O1118">
        <v>1</v>
      </c>
      <c r="P1118">
        <v>1</v>
      </c>
      <c r="Q1118" t="s">
        <v>38</v>
      </c>
      <c r="R1118">
        <v>1</v>
      </c>
      <c r="S1118">
        <v>0</v>
      </c>
      <c r="T1118"/>
      <c r="U1118"/>
      <c r="V1118"/>
      <c r="W1118"/>
      <c r="X1118">
        <v>0</v>
      </c>
      <c r="Y1118"/>
      <c r="Z1118">
        <v>0</v>
      </c>
      <c r="AA1118"/>
      <c r="AB1118"/>
      <c r="AC1118"/>
      <c r="AD1118"/>
      <c r="AE1118">
        <v>0</v>
      </c>
      <c r="AF1118"/>
      <c r="AG1118" t="s">
        <v>3467</v>
      </c>
      <c r="AH1118"/>
    </row>
    <row r="1119" spans="1:34" x14ac:dyDescent="0.25">
      <c r="A1119" t="s">
        <v>1478</v>
      </c>
      <c r="B1119" t="s">
        <v>329</v>
      </c>
      <c r="C1119"/>
      <c r="D1119" t="s">
        <v>329</v>
      </c>
      <c r="E1119" t="s">
        <v>1587</v>
      </c>
      <c r="F1119" t="s">
        <v>1604</v>
      </c>
      <c r="G1119" t="s">
        <v>280</v>
      </c>
      <c r="H1119" t="s">
        <v>1605</v>
      </c>
      <c r="I1119" t="s">
        <v>35</v>
      </c>
      <c r="J1119"/>
      <c r="K1119">
        <v>1</v>
      </c>
      <c r="L1119">
        <v>1</v>
      </c>
      <c r="M1119" t="s">
        <v>33</v>
      </c>
      <c r="N1119">
        <v>1</v>
      </c>
      <c r="O1119">
        <v>1</v>
      </c>
      <c r="P1119">
        <v>1</v>
      </c>
      <c r="Q1119" t="s">
        <v>38</v>
      </c>
      <c r="R1119">
        <v>1</v>
      </c>
      <c r="S1119">
        <v>0</v>
      </c>
      <c r="T1119"/>
      <c r="U1119"/>
      <c r="V1119"/>
      <c r="W1119"/>
      <c r="X1119">
        <v>0</v>
      </c>
      <c r="Y1119"/>
      <c r="Z1119">
        <v>0</v>
      </c>
      <c r="AA1119"/>
      <c r="AB1119"/>
      <c r="AC1119"/>
      <c r="AD1119"/>
      <c r="AE1119">
        <v>0</v>
      </c>
      <c r="AF1119"/>
      <c r="AG1119" t="s">
        <v>3467</v>
      </c>
      <c r="AH1119"/>
    </row>
    <row r="1120" spans="1:34" x14ac:dyDescent="0.25">
      <c r="A1120" t="s">
        <v>1478</v>
      </c>
      <c r="B1120" t="s">
        <v>329</v>
      </c>
      <c r="C1120"/>
      <c r="D1120" t="s">
        <v>329</v>
      </c>
      <c r="E1120" t="s">
        <v>1587</v>
      </c>
      <c r="F1120" t="s">
        <v>1606</v>
      </c>
      <c r="G1120" t="s">
        <v>280</v>
      </c>
      <c r="H1120" t="s">
        <v>1607</v>
      </c>
      <c r="I1120" t="s">
        <v>35</v>
      </c>
      <c r="J1120"/>
      <c r="K1120">
        <v>1</v>
      </c>
      <c r="L1120">
        <v>1</v>
      </c>
      <c r="M1120" t="s">
        <v>33</v>
      </c>
      <c r="N1120">
        <v>1</v>
      </c>
      <c r="O1120">
        <v>1</v>
      </c>
      <c r="P1120">
        <v>1</v>
      </c>
      <c r="Q1120" t="s">
        <v>38</v>
      </c>
      <c r="R1120">
        <v>1</v>
      </c>
      <c r="S1120">
        <v>0</v>
      </c>
      <c r="T1120"/>
      <c r="U1120"/>
      <c r="V1120"/>
      <c r="W1120"/>
      <c r="X1120">
        <v>0</v>
      </c>
      <c r="Y1120"/>
      <c r="Z1120">
        <v>0</v>
      </c>
      <c r="AA1120"/>
      <c r="AB1120"/>
      <c r="AC1120"/>
      <c r="AD1120"/>
      <c r="AE1120">
        <v>0</v>
      </c>
      <c r="AF1120"/>
      <c r="AG1120" t="s">
        <v>3467</v>
      </c>
      <c r="AH1120"/>
    </row>
    <row r="1121" spans="1:34" x14ac:dyDescent="0.25">
      <c r="A1121" t="s">
        <v>1478</v>
      </c>
      <c r="B1121" t="s">
        <v>329</v>
      </c>
      <c r="C1121"/>
      <c r="D1121" t="s">
        <v>329</v>
      </c>
      <c r="E1121" t="s">
        <v>1587</v>
      </c>
      <c r="F1121" t="s">
        <v>1608</v>
      </c>
      <c r="G1121" t="s">
        <v>280</v>
      </c>
      <c r="H1121" t="s">
        <v>1609</v>
      </c>
      <c r="I1121" t="s">
        <v>35</v>
      </c>
      <c r="J1121"/>
      <c r="K1121">
        <v>1</v>
      </c>
      <c r="L1121">
        <v>1</v>
      </c>
      <c r="M1121" t="s">
        <v>33</v>
      </c>
      <c r="N1121">
        <v>1</v>
      </c>
      <c r="O1121">
        <v>1</v>
      </c>
      <c r="P1121">
        <v>1</v>
      </c>
      <c r="Q1121" t="s">
        <v>38</v>
      </c>
      <c r="R1121">
        <v>1</v>
      </c>
      <c r="S1121">
        <v>0</v>
      </c>
      <c r="T1121"/>
      <c r="U1121"/>
      <c r="V1121"/>
      <c r="W1121"/>
      <c r="X1121">
        <v>0</v>
      </c>
      <c r="Y1121"/>
      <c r="Z1121">
        <v>0</v>
      </c>
      <c r="AA1121"/>
      <c r="AB1121"/>
      <c r="AC1121"/>
      <c r="AD1121"/>
      <c r="AE1121">
        <v>0</v>
      </c>
      <c r="AF1121"/>
      <c r="AG1121" t="s">
        <v>3467</v>
      </c>
      <c r="AH1121"/>
    </row>
    <row r="1122" spans="1:34" x14ac:dyDescent="0.25">
      <c r="A1122" t="s">
        <v>1478</v>
      </c>
      <c r="B1122" t="s">
        <v>329</v>
      </c>
      <c r="C1122"/>
      <c r="D1122" t="s">
        <v>329</v>
      </c>
      <c r="E1122" t="s">
        <v>1587</v>
      </c>
      <c r="F1122" t="s">
        <v>1610</v>
      </c>
      <c r="G1122" t="s">
        <v>280</v>
      </c>
      <c r="H1122" t="s">
        <v>1611</v>
      </c>
      <c r="I1122" t="s">
        <v>35</v>
      </c>
      <c r="J1122"/>
      <c r="K1122">
        <v>1</v>
      </c>
      <c r="L1122">
        <v>1</v>
      </c>
      <c r="M1122" t="s">
        <v>33</v>
      </c>
      <c r="N1122">
        <v>1</v>
      </c>
      <c r="O1122">
        <v>1</v>
      </c>
      <c r="P1122">
        <v>1</v>
      </c>
      <c r="Q1122" t="s">
        <v>38</v>
      </c>
      <c r="R1122">
        <v>1</v>
      </c>
      <c r="S1122">
        <v>0</v>
      </c>
      <c r="T1122"/>
      <c r="U1122"/>
      <c r="V1122"/>
      <c r="W1122"/>
      <c r="X1122">
        <v>0</v>
      </c>
      <c r="Y1122"/>
      <c r="Z1122">
        <v>0</v>
      </c>
      <c r="AA1122"/>
      <c r="AB1122"/>
      <c r="AC1122"/>
      <c r="AD1122"/>
      <c r="AE1122">
        <v>0</v>
      </c>
      <c r="AF1122"/>
      <c r="AG1122" t="s">
        <v>3467</v>
      </c>
      <c r="AH1122"/>
    </row>
    <row r="1123" spans="1:34" x14ac:dyDescent="0.25">
      <c r="A1123" t="s">
        <v>1478</v>
      </c>
      <c r="B1123" t="s">
        <v>329</v>
      </c>
      <c r="C1123"/>
      <c r="D1123" t="s">
        <v>329</v>
      </c>
      <c r="E1123" t="s">
        <v>1587</v>
      </c>
      <c r="F1123" t="s">
        <v>1612</v>
      </c>
      <c r="G1123" t="s">
        <v>280</v>
      </c>
      <c r="H1123" t="s">
        <v>1613</v>
      </c>
      <c r="I1123" t="s">
        <v>35</v>
      </c>
      <c r="J1123"/>
      <c r="K1123">
        <v>1</v>
      </c>
      <c r="L1123">
        <v>1</v>
      </c>
      <c r="M1123" t="s">
        <v>33</v>
      </c>
      <c r="N1123">
        <v>1</v>
      </c>
      <c r="O1123">
        <v>1</v>
      </c>
      <c r="P1123">
        <v>1</v>
      </c>
      <c r="Q1123" t="s">
        <v>38</v>
      </c>
      <c r="R1123">
        <v>1</v>
      </c>
      <c r="S1123">
        <v>0</v>
      </c>
      <c r="T1123"/>
      <c r="U1123"/>
      <c r="V1123"/>
      <c r="W1123"/>
      <c r="X1123">
        <v>0</v>
      </c>
      <c r="Y1123"/>
      <c r="Z1123">
        <v>0</v>
      </c>
      <c r="AA1123"/>
      <c r="AB1123"/>
      <c r="AC1123"/>
      <c r="AD1123"/>
      <c r="AE1123">
        <v>0</v>
      </c>
      <c r="AF1123"/>
      <c r="AG1123" t="s">
        <v>3467</v>
      </c>
      <c r="AH1123"/>
    </row>
    <row r="1124" spans="1:34" x14ac:dyDescent="0.25">
      <c r="A1124" t="s">
        <v>1478</v>
      </c>
      <c r="B1124" t="s">
        <v>329</v>
      </c>
      <c r="C1124"/>
      <c r="D1124" t="s">
        <v>329</v>
      </c>
      <c r="E1124" t="s">
        <v>1587</v>
      </c>
      <c r="F1124" t="s">
        <v>1614</v>
      </c>
      <c r="G1124" t="s">
        <v>280</v>
      </c>
      <c r="H1124" t="s">
        <v>1615</v>
      </c>
      <c r="I1124" t="s">
        <v>35</v>
      </c>
      <c r="J1124"/>
      <c r="K1124">
        <v>1</v>
      </c>
      <c r="L1124">
        <v>1</v>
      </c>
      <c r="M1124" t="s">
        <v>33</v>
      </c>
      <c r="N1124">
        <v>1</v>
      </c>
      <c r="O1124">
        <v>1</v>
      </c>
      <c r="P1124">
        <v>1</v>
      </c>
      <c r="Q1124" t="s">
        <v>38</v>
      </c>
      <c r="R1124">
        <v>1</v>
      </c>
      <c r="S1124">
        <v>0</v>
      </c>
      <c r="T1124"/>
      <c r="U1124"/>
      <c r="V1124"/>
      <c r="W1124"/>
      <c r="X1124">
        <v>0</v>
      </c>
      <c r="Y1124"/>
      <c r="Z1124">
        <v>0</v>
      </c>
      <c r="AA1124"/>
      <c r="AB1124"/>
      <c r="AC1124"/>
      <c r="AD1124"/>
      <c r="AE1124">
        <v>0</v>
      </c>
      <c r="AF1124"/>
      <c r="AG1124" t="s">
        <v>3467</v>
      </c>
      <c r="AH1124"/>
    </row>
    <row r="1125" spans="1:34" x14ac:dyDescent="0.25">
      <c r="A1125" t="s">
        <v>1478</v>
      </c>
      <c r="B1125" t="s">
        <v>329</v>
      </c>
      <c r="C1125"/>
      <c r="D1125" t="s">
        <v>329</v>
      </c>
      <c r="E1125" t="s">
        <v>1587</v>
      </c>
      <c r="F1125" t="s">
        <v>1616</v>
      </c>
      <c r="G1125" t="s">
        <v>280</v>
      </c>
      <c r="H1125" t="s">
        <v>1617</v>
      </c>
      <c r="I1125" t="s">
        <v>35</v>
      </c>
      <c r="J1125"/>
      <c r="K1125">
        <v>1</v>
      </c>
      <c r="L1125">
        <v>1</v>
      </c>
      <c r="M1125" t="s">
        <v>33</v>
      </c>
      <c r="N1125">
        <v>1</v>
      </c>
      <c r="O1125">
        <v>1</v>
      </c>
      <c r="P1125">
        <v>1</v>
      </c>
      <c r="Q1125" t="s">
        <v>38</v>
      </c>
      <c r="R1125">
        <v>1</v>
      </c>
      <c r="S1125">
        <v>0</v>
      </c>
      <c r="T1125"/>
      <c r="U1125"/>
      <c r="V1125"/>
      <c r="W1125"/>
      <c r="X1125">
        <v>0</v>
      </c>
      <c r="Y1125"/>
      <c r="Z1125">
        <v>0</v>
      </c>
      <c r="AA1125"/>
      <c r="AB1125"/>
      <c r="AC1125"/>
      <c r="AD1125"/>
      <c r="AE1125">
        <v>0</v>
      </c>
      <c r="AF1125"/>
      <c r="AG1125" t="s">
        <v>3467</v>
      </c>
      <c r="AH1125"/>
    </row>
    <row r="1126" spans="1:34" x14ac:dyDescent="0.25">
      <c r="A1126" t="s">
        <v>1478</v>
      </c>
      <c r="B1126" t="s">
        <v>329</v>
      </c>
      <c r="C1126"/>
      <c r="D1126" t="s">
        <v>329</v>
      </c>
      <c r="E1126" t="s">
        <v>1587</v>
      </c>
      <c r="F1126" t="s">
        <v>1618</v>
      </c>
      <c r="G1126" t="s">
        <v>280</v>
      </c>
      <c r="H1126" t="s">
        <v>1619</v>
      </c>
      <c r="I1126" t="s">
        <v>35</v>
      </c>
      <c r="J1126"/>
      <c r="K1126">
        <v>1</v>
      </c>
      <c r="L1126">
        <v>1</v>
      </c>
      <c r="M1126" t="s">
        <v>33</v>
      </c>
      <c r="N1126">
        <v>1</v>
      </c>
      <c r="O1126">
        <v>1</v>
      </c>
      <c r="P1126">
        <v>1</v>
      </c>
      <c r="Q1126" t="s">
        <v>38</v>
      </c>
      <c r="R1126">
        <v>1</v>
      </c>
      <c r="S1126">
        <v>0</v>
      </c>
      <c r="T1126"/>
      <c r="U1126"/>
      <c r="V1126"/>
      <c r="W1126"/>
      <c r="X1126">
        <v>0</v>
      </c>
      <c r="Y1126"/>
      <c r="Z1126">
        <v>0</v>
      </c>
      <c r="AA1126"/>
      <c r="AB1126"/>
      <c r="AC1126"/>
      <c r="AD1126"/>
      <c r="AE1126">
        <v>0</v>
      </c>
      <c r="AF1126"/>
      <c r="AG1126" t="s">
        <v>3467</v>
      </c>
      <c r="AH1126"/>
    </row>
    <row r="1127" spans="1:34" x14ac:dyDescent="0.25">
      <c r="A1127" t="s">
        <v>1478</v>
      </c>
      <c r="B1127" t="s">
        <v>329</v>
      </c>
      <c r="C1127"/>
      <c r="D1127" t="s">
        <v>329</v>
      </c>
      <c r="E1127" t="s">
        <v>1587</v>
      </c>
      <c r="F1127" t="s">
        <v>1620</v>
      </c>
      <c r="G1127" t="s">
        <v>280</v>
      </c>
      <c r="H1127" t="s">
        <v>1621</v>
      </c>
      <c r="I1127" t="s">
        <v>35</v>
      </c>
      <c r="J1127"/>
      <c r="K1127">
        <v>1</v>
      </c>
      <c r="L1127">
        <v>1</v>
      </c>
      <c r="M1127" t="s">
        <v>33</v>
      </c>
      <c r="N1127">
        <v>1</v>
      </c>
      <c r="O1127">
        <v>1</v>
      </c>
      <c r="P1127">
        <v>1</v>
      </c>
      <c r="Q1127" t="s">
        <v>38</v>
      </c>
      <c r="R1127">
        <v>1</v>
      </c>
      <c r="S1127">
        <v>0</v>
      </c>
      <c r="T1127"/>
      <c r="U1127"/>
      <c r="V1127"/>
      <c r="W1127"/>
      <c r="X1127">
        <v>0</v>
      </c>
      <c r="Y1127"/>
      <c r="Z1127">
        <v>0</v>
      </c>
      <c r="AA1127"/>
      <c r="AB1127"/>
      <c r="AC1127"/>
      <c r="AD1127"/>
      <c r="AE1127">
        <v>0</v>
      </c>
      <c r="AF1127"/>
      <c r="AG1127" t="s">
        <v>3467</v>
      </c>
      <c r="AH1127"/>
    </row>
    <row r="1128" spans="1:34" x14ac:dyDescent="0.25">
      <c r="A1128" t="s">
        <v>1478</v>
      </c>
      <c r="B1128" t="s">
        <v>329</v>
      </c>
      <c r="C1128"/>
      <c r="D1128" t="s">
        <v>329</v>
      </c>
      <c r="E1128" t="s">
        <v>1587</v>
      </c>
      <c r="F1128" t="s">
        <v>1622</v>
      </c>
      <c r="G1128" t="s">
        <v>280</v>
      </c>
      <c r="H1128" t="s">
        <v>1623</v>
      </c>
      <c r="I1128" t="s">
        <v>35</v>
      </c>
      <c r="J1128"/>
      <c r="K1128">
        <v>1</v>
      </c>
      <c r="L1128">
        <v>1</v>
      </c>
      <c r="M1128" t="s">
        <v>33</v>
      </c>
      <c r="N1128">
        <v>1</v>
      </c>
      <c r="O1128">
        <v>1</v>
      </c>
      <c r="P1128">
        <v>1</v>
      </c>
      <c r="Q1128" t="s">
        <v>38</v>
      </c>
      <c r="R1128">
        <v>1</v>
      </c>
      <c r="S1128">
        <v>0</v>
      </c>
      <c r="T1128"/>
      <c r="U1128"/>
      <c r="V1128"/>
      <c r="W1128"/>
      <c r="X1128">
        <v>0</v>
      </c>
      <c r="Y1128"/>
      <c r="Z1128">
        <v>0</v>
      </c>
      <c r="AA1128"/>
      <c r="AB1128"/>
      <c r="AC1128"/>
      <c r="AD1128"/>
      <c r="AE1128">
        <v>0</v>
      </c>
      <c r="AF1128"/>
      <c r="AG1128" t="s">
        <v>3467</v>
      </c>
      <c r="AH1128"/>
    </row>
    <row r="1129" spans="1:34" x14ac:dyDescent="0.25">
      <c r="A1129" t="s">
        <v>1478</v>
      </c>
      <c r="B1129" t="s">
        <v>329</v>
      </c>
      <c r="C1129"/>
      <c r="D1129" t="s">
        <v>329</v>
      </c>
      <c r="E1129" t="s">
        <v>1587</v>
      </c>
      <c r="F1129" t="s">
        <v>1624</v>
      </c>
      <c r="G1129" t="s">
        <v>280</v>
      </c>
      <c r="H1129" t="s">
        <v>1625</v>
      </c>
      <c r="I1129" t="s">
        <v>35</v>
      </c>
      <c r="J1129"/>
      <c r="K1129">
        <v>1</v>
      </c>
      <c r="L1129">
        <v>1</v>
      </c>
      <c r="M1129" t="s">
        <v>33</v>
      </c>
      <c r="N1129">
        <v>1</v>
      </c>
      <c r="O1129">
        <v>1</v>
      </c>
      <c r="P1129">
        <v>1</v>
      </c>
      <c r="Q1129" t="s">
        <v>38</v>
      </c>
      <c r="R1129">
        <v>1</v>
      </c>
      <c r="S1129">
        <v>0</v>
      </c>
      <c r="T1129"/>
      <c r="U1129"/>
      <c r="V1129"/>
      <c r="W1129"/>
      <c r="X1129">
        <v>0</v>
      </c>
      <c r="Y1129"/>
      <c r="Z1129">
        <v>0</v>
      </c>
      <c r="AA1129"/>
      <c r="AB1129"/>
      <c r="AC1129"/>
      <c r="AD1129"/>
      <c r="AE1129">
        <v>0</v>
      </c>
      <c r="AF1129"/>
      <c r="AG1129" t="s">
        <v>3467</v>
      </c>
      <c r="AH1129"/>
    </row>
    <row r="1130" spans="1:34" x14ac:dyDescent="0.25">
      <c r="A1130" t="s">
        <v>1478</v>
      </c>
      <c r="B1130" t="s">
        <v>329</v>
      </c>
      <c r="C1130"/>
      <c r="D1130" t="s">
        <v>329</v>
      </c>
      <c r="E1130" t="s">
        <v>1587</v>
      </c>
      <c r="F1130" t="s">
        <v>1626</v>
      </c>
      <c r="G1130" t="s">
        <v>280</v>
      </c>
      <c r="H1130" t="s">
        <v>1627</v>
      </c>
      <c r="I1130" t="s">
        <v>35</v>
      </c>
      <c r="J1130"/>
      <c r="K1130">
        <v>1</v>
      </c>
      <c r="L1130">
        <v>1</v>
      </c>
      <c r="M1130" t="s">
        <v>33</v>
      </c>
      <c r="N1130">
        <v>1</v>
      </c>
      <c r="O1130">
        <v>1</v>
      </c>
      <c r="P1130">
        <v>1</v>
      </c>
      <c r="Q1130" t="s">
        <v>38</v>
      </c>
      <c r="R1130">
        <v>1</v>
      </c>
      <c r="S1130">
        <v>0</v>
      </c>
      <c r="T1130"/>
      <c r="U1130"/>
      <c r="V1130"/>
      <c r="W1130"/>
      <c r="X1130">
        <v>0</v>
      </c>
      <c r="Y1130"/>
      <c r="Z1130">
        <v>0</v>
      </c>
      <c r="AA1130"/>
      <c r="AB1130"/>
      <c r="AC1130"/>
      <c r="AD1130"/>
      <c r="AE1130">
        <v>0</v>
      </c>
      <c r="AF1130"/>
      <c r="AG1130" t="s">
        <v>3467</v>
      </c>
      <c r="AH1130"/>
    </row>
    <row r="1131" spans="1:34" x14ac:dyDescent="0.25">
      <c r="A1131" t="s">
        <v>1478</v>
      </c>
      <c r="B1131" t="s">
        <v>329</v>
      </c>
      <c r="C1131"/>
      <c r="D1131" t="s">
        <v>329</v>
      </c>
      <c r="E1131" t="s">
        <v>1587</v>
      </c>
      <c r="F1131" t="s">
        <v>1628</v>
      </c>
      <c r="G1131" t="s">
        <v>280</v>
      </c>
      <c r="H1131" t="s">
        <v>1629</v>
      </c>
      <c r="I1131" t="s">
        <v>35</v>
      </c>
      <c r="J1131"/>
      <c r="K1131">
        <v>1</v>
      </c>
      <c r="L1131">
        <v>1</v>
      </c>
      <c r="M1131" t="s">
        <v>33</v>
      </c>
      <c r="N1131">
        <v>1</v>
      </c>
      <c r="O1131">
        <v>1</v>
      </c>
      <c r="P1131">
        <v>1</v>
      </c>
      <c r="Q1131" t="s">
        <v>38</v>
      </c>
      <c r="R1131">
        <v>1</v>
      </c>
      <c r="S1131">
        <v>0</v>
      </c>
      <c r="T1131"/>
      <c r="U1131"/>
      <c r="V1131"/>
      <c r="W1131"/>
      <c r="X1131">
        <v>0</v>
      </c>
      <c r="Y1131"/>
      <c r="Z1131">
        <v>0</v>
      </c>
      <c r="AA1131"/>
      <c r="AB1131"/>
      <c r="AC1131"/>
      <c r="AD1131"/>
      <c r="AE1131">
        <v>0</v>
      </c>
      <c r="AF1131"/>
      <c r="AG1131" t="s">
        <v>3467</v>
      </c>
      <c r="AH1131"/>
    </row>
    <row r="1132" spans="1:34" x14ac:dyDescent="0.25">
      <c r="A1132" t="s">
        <v>1478</v>
      </c>
      <c r="B1132" t="s">
        <v>329</v>
      </c>
      <c r="C1132"/>
      <c r="D1132" t="s">
        <v>329</v>
      </c>
      <c r="E1132" t="s">
        <v>1587</v>
      </c>
      <c r="F1132" t="s">
        <v>1630</v>
      </c>
      <c r="G1132" t="s">
        <v>280</v>
      </c>
      <c r="H1132" t="s">
        <v>1631</v>
      </c>
      <c r="I1132" t="s">
        <v>35</v>
      </c>
      <c r="J1132"/>
      <c r="K1132">
        <v>1</v>
      </c>
      <c r="L1132">
        <v>1</v>
      </c>
      <c r="M1132" t="s">
        <v>33</v>
      </c>
      <c r="N1132">
        <v>1</v>
      </c>
      <c r="O1132">
        <v>1</v>
      </c>
      <c r="P1132">
        <v>1</v>
      </c>
      <c r="Q1132" t="s">
        <v>38</v>
      </c>
      <c r="R1132">
        <v>1</v>
      </c>
      <c r="S1132">
        <v>0</v>
      </c>
      <c r="T1132"/>
      <c r="U1132"/>
      <c r="V1132"/>
      <c r="W1132"/>
      <c r="X1132">
        <v>0</v>
      </c>
      <c r="Y1132"/>
      <c r="Z1132">
        <v>0</v>
      </c>
      <c r="AA1132"/>
      <c r="AB1132"/>
      <c r="AC1132"/>
      <c r="AD1132"/>
      <c r="AE1132">
        <v>0</v>
      </c>
      <c r="AF1132"/>
      <c r="AG1132" t="s">
        <v>3467</v>
      </c>
      <c r="AH1132"/>
    </row>
    <row r="1133" spans="1:34" x14ac:dyDescent="0.25">
      <c r="A1133" t="s">
        <v>1478</v>
      </c>
      <c r="B1133" t="s">
        <v>329</v>
      </c>
      <c r="C1133"/>
      <c r="D1133" t="s">
        <v>329</v>
      </c>
      <c r="E1133" t="s">
        <v>1587</v>
      </c>
      <c r="F1133" t="s">
        <v>1632</v>
      </c>
      <c r="G1133" t="s">
        <v>280</v>
      </c>
      <c r="H1133" t="s">
        <v>1633</v>
      </c>
      <c r="I1133" t="s">
        <v>35</v>
      </c>
      <c r="J1133"/>
      <c r="K1133">
        <v>1</v>
      </c>
      <c r="L1133">
        <v>1</v>
      </c>
      <c r="M1133" t="s">
        <v>33</v>
      </c>
      <c r="N1133">
        <v>1</v>
      </c>
      <c r="O1133">
        <v>1</v>
      </c>
      <c r="P1133">
        <v>1</v>
      </c>
      <c r="Q1133" t="s">
        <v>38</v>
      </c>
      <c r="R1133">
        <v>1</v>
      </c>
      <c r="S1133">
        <v>0</v>
      </c>
      <c r="T1133"/>
      <c r="U1133"/>
      <c r="V1133"/>
      <c r="W1133"/>
      <c r="X1133">
        <v>0</v>
      </c>
      <c r="Y1133"/>
      <c r="Z1133">
        <v>0</v>
      </c>
      <c r="AA1133"/>
      <c r="AB1133"/>
      <c r="AC1133"/>
      <c r="AD1133"/>
      <c r="AE1133">
        <v>0</v>
      </c>
      <c r="AF1133"/>
      <c r="AG1133" t="s">
        <v>3467</v>
      </c>
      <c r="AH1133"/>
    </row>
    <row r="1134" spans="1:34" x14ac:dyDescent="0.25">
      <c r="A1134" t="s">
        <v>1478</v>
      </c>
      <c r="B1134" t="s">
        <v>329</v>
      </c>
      <c r="C1134"/>
      <c r="D1134" t="s">
        <v>329</v>
      </c>
      <c r="E1134" t="s">
        <v>1587</v>
      </c>
      <c r="F1134" t="s">
        <v>1634</v>
      </c>
      <c r="G1134" t="s">
        <v>280</v>
      </c>
      <c r="H1134" t="s">
        <v>1635</v>
      </c>
      <c r="I1134" t="s">
        <v>35</v>
      </c>
      <c r="J1134"/>
      <c r="K1134">
        <v>1</v>
      </c>
      <c r="L1134">
        <v>1</v>
      </c>
      <c r="M1134" t="s">
        <v>33</v>
      </c>
      <c r="N1134">
        <v>1</v>
      </c>
      <c r="O1134">
        <v>1</v>
      </c>
      <c r="P1134">
        <v>1</v>
      </c>
      <c r="Q1134" t="s">
        <v>38</v>
      </c>
      <c r="R1134">
        <v>1</v>
      </c>
      <c r="S1134">
        <v>0</v>
      </c>
      <c r="T1134"/>
      <c r="U1134"/>
      <c r="V1134"/>
      <c r="W1134"/>
      <c r="X1134">
        <v>0</v>
      </c>
      <c r="Y1134"/>
      <c r="Z1134">
        <v>0</v>
      </c>
      <c r="AA1134"/>
      <c r="AB1134"/>
      <c r="AC1134"/>
      <c r="AD1134"/>
      <c r="AE1134">
        <v>0</v>
      </c>
      <c r="AF1134"/>
      <c r="AG1134" t="s">
        <v>3467</v>
      </c>
      <c r="AH1134"/>
    </row>
    <row r="1135" spans="1:34" x14ac:dyDescent="0.25">
      <c r="A1135" t="s">
        <v>1478</v>
      </c>
      <c r="B1135" t="s">
        <v>329</v>
      </c>
      <c r="C1135"/>
      <c r="D1135" t="s">
        <v>329</v>
      </c>
      <c r="E1135" t="s">
        <v>1587</v>
      </c>
      <c r="F1135" t="s">
        <v>1636</v>
      </c>
      <c r="G1135" t="s">
        <v>280</v>
      </c>
      <c r="H1135" t="s">
        <v>1637</v>
      </c>
      <c r="I1135" t="s">
        <v>35</v>
      </c>
      <c r="J1135"/>
      <c r="K1135">
        <v>1</v>
      </c>
      <c r="L1135">
        <v>1</v>
      </c>
      <c r="M1135" t="s">
        <v>33</v>
      </c>
      <c r="N1135">
        <v>1</v>
      </c>
      <c r="O1135">
        <v>1</v>
      </c>
      <c r="P1135">
        <v>1</v>
      </c>
      <c r="Q1135" t="s">
        <v>38</v>
      </c>
      <c r="R1135">
        <v>1</v>
      </c>
      <c r="S1135">
        <v>0</v>
      </c>
      <c r="T1135"/>
      <c r="U1135"/>
      <c r="V1135"/>
      <c r="W1135"/>
      <c r="X1135">
        <v>0</v>
      </c>
      <c r="Y1135"/>
      <c r="Z1135">
        <v>0</v>
      </c>
      <c r="AA1135"/>
      <c r="AB1135"/>
      <c r="AC1135"/>
      <c r="AD1135"/>
      <c r="AE1135">
        <v>0</v>
      </c>
      <c r="AF1135"/>
      <c r="AG1135" t="s">
        <v>3467</v>
      </c>
      <c r="AH1135"/>
    </row>
    <row r="1136" spans="1:34" x14ac:dyDescent="0.25">
      <c r="A1136" t="s">
        <v>1478</v>
      </c>
      <c r="B1136" t="s">
        <v>329</v>
      </c>
      <c r="C1136"/>
      <c r="D1136" t="s">
        <v>329</v>
      </c>
      <c r="E1136" t="s">
        <v>1587</v>
      </c>
      <c r="F1136" t="s">
        <v>1638</v>
      </c>
      <c r="G1136" t="s">
        <v>280</v>
      </c>
      <c r="H1136" t="s">
        <v>1639</v>
      </c>
      <c r="I1136" t="s">
        <v>35</v>
      </c>
      <c r="J1136"/>
      <c r="K1136">
        <v>1</v>
      </c>
      <c r="L1136">
        <v>1</v>
      </c>
      <c r="M1136" t="s">
        <v>33</v>
      </c>
      <c r="N1136">
        <v>1</v>
      </c>
      <c r="O1136">
        <v>1</v>
      </c>
      <c r="P1136">
        <v>1</v>
      </c>
      <c r="Q1136" t="s">
        <v>38</v>
      </c>
      <c r="R1136">
        <v>1</v>
      </c>
      <c r="S1136">
        <v>0</v>
      </c>
      <c r="T1136"/>
      <c r="U1136"/>
      <c r="V1136"/>
      <c r="W1136"/>
      <c r="X1136">
        <v>0</v>
      </c>
      <c r="Y1136"/>
      <c r="Z1136">
        <v>0</v>
      </c>
      <c r="AA1136"/>
      <c r="AB1136"/>
      <c r="AC1136"/>
      <c r="AD1136"/>
      <c r="AE1136">
        <v>0</v>
      </c>
      <c r="AF1136"/>
      <c r="AG1136" t="s">
        <v>3467</v>
      </c>
      <c r="AH1136"/>
    </row>
    <row r="1137" spans="1:34" x14ac:dyDescent="0.25">
      <c r="A1137" t="s">
        <v>1478</v>
      </c>
      <c r="B1137" t="s">
        <v>329</v>
      </c>
      <c r="C1137"/>
      <c r="D1137" t="s">
        <v>329</v>
      </c>
      <c r="E1137" t="s">
        <v>1587</v>
      </c>
      <c r="F1137" t="s">
        <v>1640</v>
      </c>
      <c r="G1137" t="s">
        <v>280</v>
      </c>
      <c r="H1137" t="s">
        <v>1641</v>
      </c>
      <c r="I1137" t="s">
        <v>35</v>
      </c>
      <c r="J1137"/>
      <c r="K1137">
        <v>1</v>
      </c>
      <c r="L1137">
        <v>1</v>
      </c>
      <c r="M1137" t="s">
        <v>33</v>
      </c>
      <c r="N1137">
        <v>1</v>
      </c>
      <c r="O1137">
        <v>1</v>
      </c>
      <c r="P1137">
        <v>1</v>
      </c>
      <c r="Q1137" t="s">
        <v>38</v>
      </c>
      <c r="R1137">
        <v>1</v>
      </c>
      <c r="S1137">
        <v>0</v>
      </c>
      <c r="T1137"/>
      <c r="U1137"/>
      <c r="V1137"/>
      <c r="W1137"/>
      <c r="X1137">
        <v>0</v>
      </c>
      <c r="Y1137"/>
      <c r="Z1137">
        <v>0</v>
      </c>
      <c r="AA1137"/>
      <c r="AB1137"/>
      <c r="AC1137"/>
      <c r="AD1137"/>
      <c r="AE1137">
        <v>0</v>
      </c>
      <c r="AF1137"/>
      <c r="AG1137" t="s">
        <v>3467</v>
      </c>
      <c r="AH1137"/>
    </row>
    <row r="1138" spans="1:34" x14ac:dyDescent="0.25">
      <c r="A1138" t="s">
        <v>1478</v>
      </c>
      <c r="B1138" t="s">
        <v>329</v>
      </c>
      <c r="C1138"/>
      <c r="D1138" t="s">
        <v>329</v>
      </c>
      <c r="E1138" t="s">
        <v>1587</v>
      </c>
      <c r="F1138" t="s">
        <v>1642</v>
      </c>
      <c r="G1138" t="s">
        <v>280</v>
      </c>
      <c r="H1138" t="s">
        <v>1643</v>
      </c>
      <c r="I1138" t="s">
        <v>35</v>
      </c>
      <c r="J1138"/>
      <c r="K1138">
        <v>1</v>
      </c>
      <c r="L1138">
        <v>1</v>
      </c>
      <c r="M1138" t="s">
        <v>33</v>
      </c>
      <c r="N1138">
        <v>1</v>
      </c>
      <c r="O1138">
        <v>1</v>
      </c>
      <c r="P1138">
        <v>1</v>
      </c>
      <c r="Q1138" t="s">
        <v>38</v>
      </c>
      <c r="R1138">
        <v>1</v>
      </c>
      <c r="S1138">
        <v>0</v>
      </c>
      <c r="T1138"/>
      <c r="U1138"/>
      <c r="V1138"/>
      <c r="W1138"/>
      <c r="X1138">
        <v>0</v>
      </c>
      <c r="Y1138"/>
      <c r="Z1138">
        <v>0</v>
      </c>
      <c r="AA1138"/>
      <c r="AB1138"/>
      <c r="AC1138"/>
      <c r="AD1138"/>
      <c r="AE1138">
        <v>0</v>
      </c>
      <c r="AF1138"/>
      <c r="AG1138" t="s">
        <v>3467</v>
      </c>
      <c r="AH1138"/>
    </row>
    <row r="1139" spans="1:34" x14ac:dyDescent="0.25">
      <c r="A1139" t="s">
        <v>1478</v>
      </c>
      <c r="B1139" t="s">
        <v>329</v>
      </c>
      <c r="C1139"/>
      <c r="D1139" t="s">
        <v>329</v>
      </c>
      <c r="E1139" t="s">
        <v>1587</v>
      </c>
      <c r="F1139" t="s">
        <v>1644</v>
      </c>
      <c r="G1139" t="s">
        <v>280</v>
      </c>
      <c r="H1139" t="s">
        <v>1645</v>
      </c>
      <c r="I1139" t="s">
        <v>35</v>
      </c>
      <c r="J1139"/>
      <c r="K1139">
        <v>1</v>
      </c>
      <c r="L1139">
        <v>1</v>
      </c>
      <c r="M1139" t="s">
        <v>33</v>
      </c>
      <c r="N1139">
        <v>1</v>
      </c>
      <c r="O1139">
        <v>1</v>
      </c>
      <c r="P1139">
        <v>1</v>
      </c>
      <c r="Q1139" t="s">
        <v>38</v>
      </c>
      <c r="R1139">
        <v>1</v>
      </c>
      <c r="S1139">
        <v>0</v>
      </c>
      <c r="T1139"/>
      <c r="U1139"/>
      <c r="V1139"/>
      <c r="W1139"/>
      <c r="X1139">
        <v>0</v>
      </c>
      <c r="Y1139"/>
      <c r="Z1139">
        <v>0</v>
      </c>
      <c r="AA1139"/>
      <c r="AB1139"/>
      <c r="AC1139"/>
      <c r="AD1139"/>
      <c r="AE1139">
        <v>0</v>
      </c>
      <c r="AF1139"/>
      <c r="AG1139" t="s">
        <v>3467</v>
      </c>
      <c r="AH1139"/>
    </row>
    <row r="1140" spans="1:34" x14ac:dyDescent="0.25">
      <c r="A1140" t="s">
        <v>1478</v>
      </c>
      <c r="B1140" t="s">
        <v>329</v>
      </c>
      <c r="C1140"/>
      <c r="D1140" t="s">
        <v>329</v>
      </c>
      <c r="E1140" t="s">
        <v>1646</v>
      </c>
      <c r="F1140" t="s">
        <v>1528</v>
      </c>
      <c r="G1140" t="s">
        <v>280</v>
      </c>
      <c r="H1140" t="s">
        <v>1647</v>
      </c>
      <c r="I1140" t="s">
        <v>35</v>
      </c>
      <c r="J1140"/>
      <c r="K1140">
        <v>1</v>
      </c>
      <c r="L1140">
        <v>1</v>
      </c>
      <c r="M1140" t="s">
        <v>33</v>
      </c>
      <c r="N1140">
        <v>1</v>
      </c>
      <c r="O1140">
        <v>1</v>
      </c>
      <c r="P1140">
        <v>1</v>
      </c>
      <c r="Q1140" t="s">
        <v>38</v>
      </c>
      <c r="R1140">
        <v>1</v>
      </c>
      <c r="S1140">
        <v>0</v>
      </c>
      <c r="T1140"/>
      <c r="U1140"/>
      <c r="V1140"/>
      <c r="W1140"/>
      <c r="X1140">
        <v>0</v>
      </c>
      <c r="Y1140"/>
      <c r="Z1140">
        <v>0</v>
      </c>
      <c r="AA1140"/>
      <c r="AB1140"/>
      <c r="AC1140"/>
      <c r="AD1140"/>
      <c r="AE1140">
        <v>0</v>
      </c>
      <c r="AF1140"/>
      <c r="AG1140" t="s">
        <v>3467</v>
      </c>
      <c r="AH1140"/>
    </row>
    <row r="1141" spans="1:34" x14ac:dyDescent="0.25">
      <c r="A1141" t="s">
        <v>1478</v>
      </c>
      <c r="B1141" t="s">
        <v>329</v>
      </c>
      <c r="C1141"/>
      <c r="D1141" t="s">
        <v>329</v>
      </c>
      <c r="E1141" t="s">
        <v>1646</v>
      </c>
      <c r="F1141" t="s">
        <v>1648</v>
      </c>
      <c r="G1141" t="s">
        <v>280</v>
      </c>
      <c r="H1141" t="s">
        <v>1649</v>
      </c>
      <c r="I1141" t="s">
        <v>35</v>
      </c>
      <c r="J1141"/>
      <c r="K1141">
        <v>1</v>
      </c>
      <c r="L1141">
        <v>1</v>
      </c>
      <c r="M1141" t="s">
        <v>33</v>
      </c>
      <c r="N1141">
        <v>1</v>
      </c>
      <c r="O1141">
        <v>1</v>
      </c>
      <c r="P1141">
        <v>1</v>
      </c>
      <c r="Q1141" t="s">
        <v>38</v>
      </c>
      <c r="R1141">
        <v>1</v>
      </c>
      <c r="S1141">
        <v>0</v>
      </c>
      <c r="T1141"/>
      <c r="U1141"/>
      <c r="V1141"/>
      <c r="W1141"/>
      <c r="X1141">
        <v>0</v>
      </c>
      <c r="Y1141"/>
      <c r="Z1141">
        <v>0</v>
      </c>
      <c r="AA1141"/>
      <c r="AB1141"/>
      <c r="AC1141"/>
      <c r="AD1141"/>
      <c r="AE1141">
        <v>0</v>
      </c>
      <c r="AF1141"/>
      <c r="AG1141" t="s">
        <v>3467</v>
      </c>
      <c r="AH1141"/>
    </row>
    <row r="1142" spans="1:34" x14ac:dyDescent="0.25">
      <c r="A1142" t="s">
        <v>1478</v>
      </c>
      <c r="B1142" t="s">
        <v>329</v>
      </c>
      <c r="C1142"/>
      <c r="D1142" t="s">
        <v>329</v>
      </c>
      <c r="E1142" t="s">
        <v>1646</v>
      </c>
      <c r="F1142" t="s">
        <v>1650</v>
      </c>
      <c r="G1142" t="s">
        <v>280</v>
      </c>
      <c r="H1142" t="s">
        <v>1651</v>
      </c>
      <c r="I1142" t="s">
        <v>35</v>
      </c>
      <c r="J1142"/>
      <c r="K1142">
        <v>1</v>
      </c>
      <c r="L1142">
        <v>1</v>
      </c>
      <c r="M1142" t="s">
        <v>33</v>
      </c>
      <c r="N1142">
        <v>1</v>
      </c>
      <c r="O1142">
        <v>1</v>
      </c>
      <c r="P1142">
        <v>1</v>
      </c>
      <c r="Q1142" t="s">
        <v>38</v>
      </c>
      <c r="R1142">
        <v>1</v>
      </c>
      <c r="S1142">
        <v>0</v>
      </c>
      <c r="T1142"/>
      <c r="U1142"/>
      <c r="V1142"/>
      <c r="W1142"/>
      <c r="X1142">
        <v>0</v>
      </c>
      <c r="Y1142"/>
      <c r="Z1142">
        <v>0</v>
      </c>
      <c r="AA1142"/>
      <c r="AB1142"/>
      <c r="AC1142"/>
      <c r="AD1142"/>
      <c r="AE1142">
        <v>0</v>
      </c>
      <c r="AF1142"/>
      <c r="AG1142" t="s">
        <v>3467</v>
      </c>
      <c r="AH1142"/>
    </row>
    <row r="1143" spans="1:34" x14ac:dyDescent="0.25">
      <c r="A1143" t="s">
        <v>1478</v>
      </c>
      <c r="B1143" t="s">
        <v>329</v>
      </c>
      <c r="C1143"/>
      <c r="D1143" t="s">
        <v>329</v>
      </c>
      <c r="E1143" t="s">
        <v>1646</v>
      </c>
      <c r="F1143" t="s">
        <v>1652</v>
      </c>
      <c r="G1143" t="s">
        <v>280</v>
      </c>
      <c r="H1143" t="s">
        <v>1653</v>
      </c>
      <c r="I1143" t="s">
        <v>35</v>
      </c>
      <c r="J1143"/>
      <c r="K1143">
        <v>1</v>
      </c>
      <c r="L1143">
        <v>1</v>
      </c>
      <c r="M1143" t="s">
        <v>33</v>
      </c>
      <c r="N1143">
        <v>1</v>
      </c>
      <c r="O1143">
        <v>1</v>
      </c>
      <c r="P1143">
        <v>1</v>
      </c>
      <c r="Q1143" t="s">
        <v>38</v>
      </c>
      <c r="R1143">
        <v>1</v>
      </c>
      <c r="S1143">
        <v>0</v>
      </c>
      <c r="T1143"/>
      <c r="U1143"/>
      <c r="V1143"/>
      <c r="W1143"/>
      <c r="X1143">
        <v>0</v>
      </c>
      <c r="Y1143"/>
      <c r="Z1143">
        <v>0</v>
      </c>
      <c r="AA1143"/>
      <c r="AB1143"/>
      <c r="AC1143"/>
      <c r="AD1143"/>
      <c r="AE1143">
        <v>0</v>
      </c>
      <c r="AF1143"/>
      <c r="AG1143" t="s">
        <v>3467</v>
      </c>
      <c r="AH1143"/>
    </row>
    <row r="1144" spans="1:34" x14ac:dyDescent="0.25">
      <c r="A1144" t="s">
        <v>1478</v>
      </c>
      <c r="B1144" t="s">
        <v>329</v>
      </c>
      <c r="C1144"/>
      <c r="D1144" t="s">
        <v>329</v>
      </c>
      <c r="E1144" t="s">
        <v>1646</v>
      </c>
      <c r="F1144" t="s">
        <v>1654</v>
      </c>
      <c r="G1144" t="s">
        <v>280</v>
      </c>
      <c r="H1144" t="s">
        <v>1655</v>
      </c>
      <c r="I1144" t="s">
        <v>35</v>
      </c>
      <c r="J1144"/>
      <c r="K1144">
        <v>1</v>
      </c>
      <c r="L1144">
        <v>1</v>
      </c>
      <c r="M1144" t="s">
        <v>33</v>
      </c>
      <c r="N1144">
        <v>1</v>
      </c>
      <c r="O1144">
        <v>1</v>
      </c>
      <c r="P1144">
        <v>1</v>
      </c>
      <c r="Q1144" t="s">
        <v>38</v>
      </c>
      <c r="R1144">
        <v>1</v>
      </c>
      <c r="S1144">
        <v>0</v>
      </c>
      <c r="T1144"/>
      <c r="U1144"/>
      <c r="V1144"/>
      <c r="W1144"/>
      <c r="X1144">
        <v>0</v>
      </c>
      <c r="Y1144"/>
      <c r="Z1144">
        <v>0</v>
      </c>
      <c r="AA1144"/>
      <c r="AB1144"/>
      <c r="AC1144"/>
      <c r="AD1144"/>
      <c r="AE1144">
        <v>0</v>
      </c>
      <c r="AF1144"/>
      <c r="AG1144" t="s">
        <v>3467</v>
      </c>
      <c r="AH1144"/>
    </row>
    <row r="1145" spans="1:34" x14ac:dyDescent="0.25">
      <c r="A1145" t="s">
        <v>1478</v>
      </c>
      <c r="B1145" t="s">
        <v>329</v>
      </c>
      <c r="C1145"/>
      <c r="D1145" t="s">
        <v>329</v>
      </c>
      <c r="E1145" t="s">
        <v>1646</v>
      </c>
      <c r="F1145" t="s">
        <v>1656</v>
      </c>
      <c r="G1145" t="s">
        <v>280</v>
      </c>
      <c r="H1145" t="s">
        <v>1657</v>
      </c>
      <c r="I1145" t="s">
        <v>35</v>
      </c>
      <c r="J1145"/>
      <c r="K1145">
        <v>1</v>
      </c>
      <c r="L1145">
        <v>1</v>
      </c>
      <c r="M1145" t="s">
        <v>33</v>
      </c>
      <c r="N1145">
        <v>1</v>
      </c>
      <c r="O1145">
        <v>1</v>
      </c>
      <c r="P1145">
        <v>1</v>
      </c>
      <c r="Q1145" t="s">
        <v>38</v>
      </c>
      <c r="R1145">
        <v>1</v>
      </c>
      <c r="S1145">
        <v>0</v>
      </c>
      <c r="T1145"/>
      <c r="U1145"/>
      <c r="V1145"/>
      <c r="W1145"/>
      <c r="X1145">
        <v>0</v>
      </c>
      <c r="Y1145"/>
      <c r="Z1145">
        <v>0</v>
      </c>
      <c r="AA1145"/>
      <c r="AB1145"/>
      <c r="AC1145"/>
      <c r="AD1145"/>
      <c r="AE1145">
        <v>0</v>
      </c>
      <c r="AF1145"/>
      <c r="AG1145" t="s">
        <v>3467</v>
      </c>
      <c r="AH1145"/>
    </row>
    <row r="1146" spans="1:34" x14ac:dyDescent="0.25">
      <c r="A1146" t="s">
        <v>1478</v>
      </c>
      <c r="B1146" t="s">
        <v>329</v>
      </c>
      <c r="C1146"/>
      <c r="D1146" t="s">
        <v>329</v>
      </c>
      <c r="E1146" t="s">
        <v>1646</v>
      </c>
      <c r="F1146" t="s">
        <v>1658</v>
      </c>
      <c r="G1146" t="s">
        <v>280</v>
      </c>
      <c r="H1146" t="s">
        <v>1659</v>
      </c>
      <c r="I1146" t="s">
        <v>35</v>
      </c>
      <c r="J1146"/>
      <c r="K1146">
        <v>1</v>
      </c>
      <c r="L1146">
        <v>1</v>
      </c>
      <c r="M1146" t="s">
        <v>33</v>
      </c>
      <c r="N1146">
        <v>1</v>
      </c>
      <c r="O1146">
        <v>1</v>
      </c>
      <c r="P1146">
        <v>1</v>
      </c>
      <c r="Q1146" t="s">
        <v>38</v>
      </c>
      <c r="R1146">
        <v>1</v>
      </c>
      <c r="S1146">
        <v>0</v>
      </c>
      <c r="T1146"/>
      <c r="U1146"/>
      <c r="V1146"/>
      <c r="W1146"/>
      <c r="X1146">
        <v>0</v>
      </c>
      <c r="Y1146"/>
      <c r="Z1146">
        <v>0</v>
      </c>
      <c r="AA1146"/>
      <c r="AB1146"/>
      <c r="AC1146"/>
      <c r="AD1146"/>
      <c r="AE1146">
        <v>0</v>
      </c>
      <c r="AF1146"/>
      <c r="AG1146" t="s">
        <v>3467</v>
      </c>
      <c r="AH1146"/>
    </row>
    <row r="1147" spans="1:34" x14ac:dyDescent="0.25">
      <c r="A1147" t="s">
        <v>1478</v>
      </c>
      <c r="B1147" t="s">
        <v>329</v>
      </c>
      <c r="C1147"/>
      <c r="D1147" t="s">
        <v>329</v>
      </c>
      <c r="E1147" t="s">
        <v>1646</v>
      </c>
      <c r="F1147" t="s">
        <v>1660</v>
      </c>
      <c r="G1147" t="s">
        <v>280</v>
      </c>
      <c r="H1147" t="s">
        <v>1661</v>
      </c>
      <c r="I1147" t="s">
        <v>35</v>
      </c>
      <c r="J1147"/>
      <c r="K1147">
        <v>1</v>
      </c>
      <c r="L1147">
        <v>1</v>
      </c>
      <c r="M1147" t="s">
        <v>33</v>
      </c>
      <c r="N1147">
        <v>1</v>
      </c>
      <c r="O1147">
        <v>1</v>
      </c>
      <c r="P1147">
        <v>1</v>
      </c>
      <c r="Q1147" t="s">
        <v>38</v>
      </c>
      <c r="R1147">
        <v>1</v>
      </c>
      <c r="S1147">
        <v>0</v>
      </c>
      <c r="T1147"/>
      <c r="U1147"/>
      <c r="V1147"/>
      <c r="W1147"/>
      <c r="X1147">
        <v>0</v>
      </c>
      <c r="Y1147"/>
      <c r="Z1147">
        <v>0</v>
      </c>
      <c r="AA1147"/>
      <c r="AB1147"/>
      <c r="AC1147"/>
      <c r="AD1147"/>
      <c r="AE1147">
        <v>0</v>
      </c>
      <c r="AF1147"/>
      <c r="AG1147" t="s">
        <v>3467</v>
      </c>
      <c r="AH1147"/>
    </row>
    <row r="1148" spans="1:34" x14ac:dyDescent="0.25">
      <c r="A1148" t="s">
        <v>1478</v>
      </c>
      <c r="B1148" t="s">
        <v>329</v>
      </c>
      <c r="C1148"/>
      <c r="D1148" t="s">
        <v>329</v>
      </c>
      <c r="E1148" t="s">
        <v>1662</v>
      </c>
      <c r="F1148" t="s">
        <v>1663</v>
      </c>
      <c r="G1148" t="s">
        <v>280</v>
      </c>
      <c r="H1148" t="s">
        <v>1664</v>
      </c>
      <c r="I1148" t="s">
        <v>35</v>
      </c>
      <c r="J1148"/>
      <c r="K1148">
        <v>1</v>
      </c>
      <c r="L1148">
        <v>1</v>
      </c>
      <c r="M1148" t="s">
        <v>33</v>
      </c>
      <c r="N1148">
        <v>1</v>
      </c>
      <c r="O1148">
        <v>0.5</v>
      </c>
      <c r="P1148">
        <v>0.5</v>
      </c>
      <c r="Q1148" t="s">
        <v>38</v>
      </c>
      <c r="R1148">
        <v>1</v>
      </c>
      <c r="S1148">
        <v>0</v>
      </c>
      <c r="T1148"/>
      <c r="U1148"/>
      <c r="V1148"/>
      <c r="W1148"/>
      <c r="X1148">
        <v>0</v>
      </c>
      <c r="Y1148"/>
      <c r="Z1148">
        <v>0</v>
      </c>
      <c r="AA1148"/>
      <c r="AB1148"/>
      <c r="AC1148"/>
      <c r="AD1148"/>
      <c r="AE1148">
        <v>0</v>
      </c>
      <c r="AF1148"/>
      <c r="AG1148"/>
      <c r="AH1148"/>
    </row>
    <row r="1149" spans="1:34" x14ac:dyDescent="0.25">
      <c r="A1149" t="s">
        <v>3440</v>
      </c>
      <c r="B1149" t="s">
        <v>3441</v>
      </c>
      <c r="C1149"/>
      <c r="D1149" t="s">
        <v>329</v>
      </c>
      <c r="E1149" t="s">
        <v>1662</v>
      </c>
      <c r="F1149" t="s">
        <v>1663</v>
      </c>
      <c r="G1149" t="s">
        <v>280</v>
      </c>
      <c r="H1149" t="s">
        <v>1664</v>
      </c>
      <c r="I1149" t="s">
        <v>35</v>
      </c>
      <c r="J1149"/>
      <c r="K1149">
        <v>1</v>
      </c>
      <c r="L1149">
        <v>1</v>
      </c>
      <c r="M1149" t="s">
        <v>33</v>
      </c>
      <c r="N1149">
        <v>1</v>
      </c>
      <c r="O1149">
        <v>0.5</v>
      </c>
      <c r="P1149">
        <v>0.5</v>
      </c>
      <c r="Q1149" t="s">
        <v>38</v>
      </c>
      <c r="R1149">
        <v>1</v>
      </c>
      <c r="S1149">
        <v>0</v>
      </c>
      <c r="T1149"/>
      <c r="U1149"/>
      <c r="V1149"/>
      <c r="W1149"/>
      <c r="X1149">
        <v>0</v>
      </c>
      <c r="Y1149"/>
      <c r="Z1149">
        <v>0</v>
      </c>
      <c r="AA1149"/>
      <c r="AB1149"/>
      <c r="AC1149"/>
      <c r="AD1149"/>
      <c r="AE1149">
        <v>0</v>
      </c>
      <c r="AF1149"/>
      <c r="AG1149"/>
      <c r="AH1149"/>
    </row>
    <row r="1150" spans="1:34" x14ac:dyDescent="0.25">
      <c r="A1150" t="s">
        <v>3442</v>
      </c>
      <c r="B1150" t="s">
        <v>3443</v>
      </c>
      <c r="C1150"/>
      <c r="D1150" t="s">
        <v>329</v>
      </c>
      <c r="E1150" t="s">
        <v>1662</v>
      </c>
      <c r="F1150" t="s">
        <v>1663</v>
      </c>
      <c r="G1150" t="s">
        <v>280</v>
      </c>
      <c r="H1150" t="s">
        <v>1664</v>
      </c>
      <c r="I1150" t="s">
        <v>35</v>
      </c>
      <c r="J1150"/>
      <c r="K1150">
        <v>1</v>
      </c>
      <c r="L1150">
        <v>1</v>
      </c>
      <c r="M1150" t="s">
        <v>33</v>
      </c>
      <c r="N1150">
        <v>1</v>
      </c>
      <c r="O1150">
        <v>0.5</v>
      </c>
      <c r="P1150">
        <v>0.5</v>
      </c>
      <c r="Q1150" t="s">
        <v>38</v>
      </c>
      <c r="R1150">
        <v>1</v>
      </c>
      <c r="S1150">
        <v>0</v>
      </c>
      <c r="T1150"/>
      <c r="U1150"/>
      <c r="V1150"/>
      <c r="W1150"/>
      <c r="X1150">
        <v>0</v>
      </c>
      <c r="Y1150"/>
      <c r="Z1150">
        <v>0</v>
      </c>
      <c r="AA1150"/>
      <c r="AB1150"/>
      <c r="AC1150"/>
      <c r="AD1150"/>
      <c r="AE1150">
        <v>0</v>
      </c>
      <c r="AF1150"/>
      <c r="AG1150"/>
      <c r="AH1150"/>
    </row>
    <row r="1151" spans="1:34" x14ac:dyDescent="0.25">
      <c r="A1151" t="s">
        <v>1478</v>
      </c>
      <c r="B1151" t="s">
        <v>329</v>
      </c>
      <c r="C1151"/>
      <c r="D1151" t="s">
        <v>329</v>
      </c>
      <c r="E1151" t="s">
        <v>1662</v>
      </c>
      <c r="F1151" t="s">
        <v>1665</v>
      </c>
      <c r="G1151" t="s">
        <v>280</v>
      </c>
      <c r="H1151" t="s">
        <v>1666</v>
      </c>
      <c r="I1151" t="s">
        <v>35</v>
      </c>
      <c r="J1151"/>
      <c r="K1151">
        <v>1</v>
      </c>
      <c r="L1151">
        <v>1</v>
      </c>
      <c r="M1151" t="s">
        <v>33</v>
      </c>
      <c r="N1151">
        <v>1</v>
      </c>
      <c r="O1151">
        <v>0.5</v>
      </c>
      <c r="P1151">
        <v>0.5</v>
      </c>
      <c r="Q1151" t="s">
        <v>38</v>
      </c>
      <c r="R1151">
        <v>1</v>
      </c>
      <c r="S1151">
        <v>0</v>
      </c>
      <c r="T1151"/>
      <c r="U1151"/>
      <c r="V1151"/>
      <c r="W1151"/>
      <c r="X1151">
        <v>0</v>
      </c>
      <c r="Y1151"/>
      <c r="Z1151">
        <v>0</v>
      </c>
      <c r="AA1151"/>
      <c r="AB1151"/>
      <c r="AC1151"/>
      <c r="AD1151"/>
      <c r="AE1151">
        <v>0</v>
      </c>
      <c r="AF1151"/>
      <c r="AG1151"/>
      <c r="AH1151"/>
    </row>
    <row r="1152" spans="1:34" x14ac:dyDescent="0.25">
      <c r="A1152" t="s">
        <v>3440</v>
      </c>
      <c r="B1152" t="s">
        <v>3441</v>
      </c>
      <c r="C1152"/>
      <c r="D1152" t="s">
        <v>329</v>
      </c>
      <c r="E1152" t="s">
        <v>1662</v>
      </c>
      <c r="F1152" t="s">
        <v>1665</v>
      </c>
      <c r="G1152" t="s">
        <v>280</v>
      </c>
      <c r="H1152" t="s">
        <v>1666</v>
      </c>
      <c r="I1152" t="s">
        <v>35</v>
      </c>
      <c r="J1152"/>
      <c r="K1152">
        <v>1</v>
      </c>
      <c r="L1152">
        <v>1</v>
      </c>
      <c r="M1152" t="s">
        <v>33</v>
      </c>
      <c r="N1152">
        <v>1</v>
      </c>
      <c r="O1152">
        <v>0.5</v>
      </c>
      <c r="P1152">
        <v>0.5</v>
      </c>
      <c r="Q1152" t="s">
        <v>38</v>
      </c>
      <c r="R1152">
        <v>1</v>
      </c>
      <c r="S1152">
        <v>0</v>
      </c>
      <c r="T1152"/>
      <c r="U1152"/>
      <c r="V1152"/>
      <c r="W1152"/>
      <c r="X1152">
        <v>0</v>
      </c>
      <c r="Y1152"/>
      <c r="Z1152">
        <v>0</v>
      </c>
      <c r="AA1152"/>
      <c r="AB1152"/>
      <c r="AC1152"/>
      <c r="AD1152"/>
      <c r="AE1152">
        <v>0</v>
      </c>
      <c r="AF1152"/>
      <c r="AG1152"/>
      <c r="AH1152"/>
    </row>
    <row r="1153" spans="1:34" x14ac:dyDescent="0.25">
      <c r="A1153" t="s">
        <v>3442</v>
      </c>
      <c r="B1153" t="s">
        <v>3443</v>
      </c>
      <c r="C1153"/>
      <c r="D1153" t="s">
        <v>329</v>
      </c>
      <c r="E1153" t="s">
        <v>1662</v>
      </c>
      <c r="F1153" t="s">
        <v>1665</v>
      </c>
      <c r="G1153" t="s">
        <v>280</v>
      </c>
      <c r="H1153" t="s">
        <v>1666</v>
      </c>
      <c r="I1153" t="s">
        <v>35</v>
      </c>
      <c r="J1153"/>
      <c r="K1153">
        <v>1</v>
      </c>
      <c r="L1153">
        <v>1</v>
      </c>
      <c r="M1153" t="s">
        <v>33</v>
      </c>
      <c r="N1153">
        <v>1</v>
      </c>
      <c r="O1153">
        <v>0.5</v>
      </c>
      <c r="P1153">
        <v>0.5</v>
      </c>
      <c r="Q1153" t="s">
        <v>38</v>
      </c>
      <c r="R1153">
        <v>1</v>
      </c>
      <c r="S1153">
        <v>0</v>
      </c>
      <c r="T1153"/>
      <c r="U1153"/>
      <c r="V1153"/>
      <c r="W1153"/>
      <c r="X1153">
        <v>0</v>
      </c>
      <c r="Y1153"/>
      <c r="Z1153">
        <v>0</v>
      </c>
      <c r="AA1153"/>
      <c r="AB1153"/>
      <c r="AC1153"/>
      <c r="AD1153"/>
      <c r="AE1153">
        <v>0</v>
      </c>
      <c r="AF1153"/>
      <c r="AG1153"/>
      <c r="AH1153"/>
    </row>
    <row r="1154" spans="1:34" x14ac:dyDescent="0.25">
      <c r="A1154" t="s">
        <v>1478</v>
      </c>
      <c r="B1154" t="s">
        <v>329</v>
      </c>
      <c r="C1154"/>
      <c r="D1154" t="s">
        <v>329</v>
      </c>
      <c r="E1154" t="s">
        <v>1662</v>
      </c>
      <c r="F1154" t="s">
        <v>1667</v>
      </c>
      <c r="G1154" t="s">
        <v>280</v>
      </c>
      <c r="H1154" t="s">
        <v>1668</v>
      </c>
      <c r="I1154" t="s">
        <v>35</v>
      </c>
      <c r="J1154"/>
      <c r="K1154">
        <v>1</v>
      </c>
      <c r="L1154">
        <v>1</v>
      </c>
      <c r="M1154" t="s">
        <v>33</v>
      </c>
      <c r="N1154">
        <v>1</v>
      </c>
      <c r="O1154">
        <v>0.5</v>
      </c>
      <c r="P1154">
        <v>0.5</v>
      </c>
      <c r="Q1154" t="s">
        <v>38</v>
      </c>
      <c r="R1154">
        <v>1</v>
      </c>
      <c r="S1154">
        <v>0</v>
      </c>
      <c r="T1154"/>
      <c r="U1154"/>
      <c r="V1154"/>
      <c r="W1154"/>
      <c r="X1154">
        <v>0</v>
      </c>
      <c r="Y1154"/>
      <c r="Z1154">
        <v>0</v>
      </c>
      <c r="AA1154"/>
      <c r="AB1154"/>
      <c r="AC1154"/>
      <c r="AD1154"/>
      <c r="AE1154">
        <v>0</v>
      </c>
      <c r="AF1154"/>
      <c r="AG1154"/>
      <c r="AH1154"/>
    </row>
    <row r="1155" spans="1:34" x14ac:dyDescent="0.25">
      <c r="A1155" t="s">
        <v>3440</v>
      </c>
      <c r="B1155" t="s">
        <v>3441</v>
      </c>
      <c r="C1155"/>
      <c r="D1155" t="s">
        <v>329</v>
      </c>
      <c r="E1155" t="s">
        <v>1662</v>
      </c>
      <c r="F1155" t="s">
        <v>1667</v>
      </c>
      <c r="G1155" t="s">
        <v>280</v>
      </c>
      <c r="H1155" t="s">
        <v>1668</v>
      </c>
      <c r="I1155" t="s">
        <v>35</v>
      </c>
      <c r="J1155"/>
      <c r="K1155">
        <v>1</v>
      </c>
      <c r="L1155">
        <v>1</v>
      </c>
      <c r="M1155" t="s">
        <v>33</v>
      </c>
      <c r="N1155">
        <v>1</v>
      </c>
      <c r="O1155">
        <v>0.5</v>
      </c>
      <c r="P1155">
        <v>0.5</v>
      </c>
      <c r="Q1155" t="s">
        <v>38</v>
      </c>
      <c r="R1155">
        <v>1</v>
      </c>
      <c r="S1155">
        <v>0</v>
      </c>
      <c r="T1155"/>
      <c r="U1155"/>
      <c r="V1155"/>
      <c r="W1155"/>
      <c r="X1155">
        <v>0</v>
      </c>
      <c r="Y1155"/>
      <c r="Z1155">
        <v>0</v>
      </c>
      <c r="AA1155"/>
      <c r="AB1155"/>
      <c r="AC1155"/>
      <c r="AD1155"/>
      <c r="AE1155">
        <v>0</v>
      </c>
      <c r="AF1155"/>
      <c r="AG1155"/>
      <c r="AH1155"/>
    </row>
    <row r="1156" spans="1:34" x14ac:dyDescent="0.25">
      <c r="A1156" t="s">
        <v>3442</v>
      </c>
      <c r="B1156" t="s">
        <v>3443</v>
      </c>
      <c r="C1156"/>
      <c r="D1156" t="s">
        <v>329</v>
      </c>
      <c r="E1156" t="s">
        <v>1662</v>
      </c>
      <c r="F1156" t="s">
        <v>1667</v>
      </c>
      <c r="G1156" t="s">
        <v>280</v>
      </c>
      <c r="H1156" t="s">
        <v>1668</v>
      </c>
      <c r="I1156" t="s">
        <v>35</v>
      </c>
      <c r="J1156"/>
      <c r="K1156">
        <v>1</v>
      </c>
      <c r="L1156">
        <v>1</v>
      </c>
      <c r="M1156" t="s">
        <v>33</v>
      </c>
      <c r="N1156">
        <v>1</v>
      </c>
      <c r="O1156">
        <v>0.5</v>
      </c>
      <c r="P1156">
        <v>0.5</v>
      </c>
      <c r="Q1156" t="s">
        <v>38</v>
      </c>
      <c r="R1156">
        <v>1</v>
      </c>
      <c r="S1156">
        <v>0</v>
      </c>
      <c r="T1156"/>
      <c r="U1156"/>
      <c r="V1156"/>
      <c r="W1156"/>
      <c r="X1156">
        <v>0</v>
      </c>
      <c r="Y1156"/>
      <c r="Z1156">
        <v>0</v>
      </c>
      <c r="AA1156"/>
      <c r="AB1156"/>
      <c r="AC1156"/>
      <c r="AD1156"/>
      <c r="AE1156">
        <v>0</v>
      </c>
      <c r="AF1156"/>
      <c r="AG1156"/>
      <c r="AH1156"/>
    </row>
    <row r="1157" spans="1:34" x14ac:dyDescent="0.25">
      <c r="A1157" t="s">
        <v>1478</v>
      </c>
      <c r="B1157" t="s">
        <v>329</v>
      </c>
      <c r="C1157"/>
      <c r="D1157" t="s">
        <v>329</v>
      </c>
      <c r="E1157" t="s">
        <v>1662</v>
      </c>
      <c r="F1157" t="s">
        <v>1669</v>
      </c>
      <c r="G1157" t="s">
        <v>280</v>
      </c>
      <c r="H1157" t="s">
        <v>1670</v>
      </c>
      <c r="I1157" t="s">
        <v>35</v>
      </c>
      <c r="J1157"/>
      <c r="K1157">
        <v>1</v>
      </c>
      <c r="L1157">
        <v>1</v>
      </c>
      <c r="M1157" t="s">
        <v>33</v>
      </c>
      <c r="N1157">
        <v>1</v>
      </c>
      <c r="O1157">
        <v>0.5</v>
      </c>
      <c r="P1157">
        <v>0.5</v>
      </c>
      <c r="Q1157" t="s">
        <v>38</v>
      </c>
      <c r="R1157">
        <v>1</v>
      </c>
      <c r="S1157">
        <v>0</v>
      </c>
      <c r="T1157"/>
      <c r="U1157"/>
      <c r="V1157"/>
      <c r="W1157"/>
      <c r="X1157">
        <v>0</v>
      </c>
      <c r="Y1157"/>
      <c r="Z1157">
        <v>0</v>
      </c>
      <c r="AA1157"/>
      <c r="AB1157"/>
      <c r="AC1157"/>
      <c r="AD1157"/>
      <c r="AE1157">
        <v>0</v>
      </c>
      <c r="AF1157"/>
      <c r="AG1157"/>
      <c r="AH1157"/>
    </row>
    <row r="1158" spans="1:34" x14ac:dyDescent="0.25">
      <c r="A1158" t="s">
        <v>3440</v>
      </c>
      <c r="B1158" t="s">
        <v>3441</v>
      </c>
      <c r="C1158"/>
      <c r="D1158" t="s">
        <v>329</v>
      </c>
      <c r="E1158" t="s">
        <v>1662</v>
      </c>
      <c r="F1158" t="s">
        <v>1669</v>
      </c>
      <c r="G1158" t="s">
        <v>280</v>
      </c>
      <c r="H1158" t="s">
        <v>1670</v>
      </c>
      <c r="I1158" t="s">
        <v>35</v>
      </c>
      <c r="J1158"/>
      <c r="K1158">
        <v>1</v>
      </c>
      <c r="L1158">
        <v>1</v>
      </c>
      <c r="M1158" t="s">
        <v>33</v>
      </c>
      <c r="N1158">
        <v>1</v>
      </c>
      <c r="O1158">
        <v>0.5</v>
      </c>
      <c r="P1158">
        <v>0.5</v>
      </c>
      <c r="Q1158" t="s">
        <v>38</v>
      </c>
      <c r="R1158">
        <v>1</v>
      </c>
      <c r="S1158">
        <v>0</v>
      </c>
      <c r="T1158"/>
      <c r="U1158"/>
      <c r="V1158"/>
      <c r="W1158"/>
      <c r="X1158">
        <v>0</v>
      </c>
      <c r="Y1158"/>
      <c r="Z1158">
        <v>0</v>
      </c>
      <c r="AA1158"/>
      <c r="AB1158"/>
      <c r="AC1158"/>
      <c r="AD1158"/>
      <c r="AE1158">
        <v>0</v>
      </c>
      <c r="AF1158"/>
      <c r="AG1158"/>
      <c r="AH1158"/>
    </row>
    <row r="1159" spans="1:34" x14ac:dyDescent="0.25">
      <c r="A1159" t="s">
        <v>3442</v>
      </c>
      <c r="B1159" t="s">
        <v>3443</v>
      </c>
      <c r="C1159"/>
      <c r="D1159" t="s">
        <v>329</v>
      </c>
      <c r="E1159" t="s">
        <v>1662</v>
      </c>
      <c r="F1159" t="s">
        <v>1669</v>
      </c>
      <c r="G1159" t="s">
        <v>280</v>
      </c>
      <c r="H1159" t="s">
        <v>1670</v>
      </c>
      <c r="I1159" t="s">
        <v>35</v>
      </c>
      <c r="J1159"/>
      <c r="K1159">
        <v>1</v>
      </c>
      <c r="L1159">
        <v>1</v>
      </c>
      <c r="M1159" t="s">
        <v>33</v>
      </c>
      <c r="N1159">
        <v>1</v>
      </c>
      <c r="O1159">
        <v>0.5</v>
      </c>
      <c r="P1159">
        <v>0.5</v>
      </c>
      <c r="Q1159" t="s">
        <v>38</v>
      </c>
      <c r="R1159">
        <v>1</v>
      </c>
      <c r="S1159">
        <v>0</v>
      </c>
      <c r="T1159"/>
      <c r="U1159"/>
      <c r="V1159"/>
      <c r="W1159"/>
      <c r="X1159">
        <v>0</v>
      </c>
      <c r="Y1159"/>
      <c r="Z1159">
        <v>0</v>
      </c>
      <c r="AA1159"/>
      <c r="AB1159"/>
      <c r="AC1159"/>
      <c r="AD1159"/>
      <c r="AE1159">
        <v>0</v>
      </c>
      <c r="AF1159"/>
      <c r="AG1159"/>
      <c r="AH1159"/>
    </row>
    <row r="1160" spans="1:34" x14ac:dyDescent="0.25">
      <c r="A1160" t="s">
        <v>1478</v>
      </c>
      <c r="B1160" t="s">
        <v>329</v>
      </c>
      <c r="C1160"/>
      <c r="D1160" t="s">
        <v>329</v>
      </c>
      <c r="E1160" t="s">
        <v>1662</v>
      </c>
      <c r="F1160" t="s">
        <v>1671</v>
      </c>
      <c r="G1160" t="s">
        <v>280</v>
      </c>
      <c r="H1160" t="s">
        <v>1670</v>
      </c>
      <c r="I1160" t="s">
        <v>35</v>
      </c>
      <c r="J1160"/>
      <c r="K1160">
        <v>1</v>
      </c>
      <c r="L1160">
        <v>1</v>
      </c>
      <c r="M1160" t="s">
        <v>33</v>
      </c>
      <c r="N1160">
        <v>1</v>
      </c>
      <c r="O1160">
        <v>0.5</v>
      </c>
      <c r="P1160">
        <v>0.5</v>
      </c>
      <c r="Q1160" t="s">
        <v>38</v>
      </c>
      <c r="R1160">
        <v>1</v>
      </c>
      <c r="S1160">
        <v>0</v>
      </c>
      <c r="T1160"/>
      <c r="U1160"/>
      <c r="V1160"/>
      <c r="W1160"/>
      <c r="X1160">
        <v>0</v>
      </c>
      <c r="Y1160"/>
      <c r="Z1160">
        <v>0</v>
      </c>
      <c r="AA1160"/>
      <c r="AB1160"/>
      <c r="AC1160"/>
      <c r="AD1160"/>
      <c r="AE1160">
        <v>0</v>
      </c>
      <c r="AF1160"/>
      <c r="AG1160"/>
      <c r="AH1160"/>
    </row>
    <row r="1161" spans="1:34" x14ac:dyDescent="0.25">
      <c r="A1161" t="s">
        <v>3440</v>
      </c>
      <c r="B1161" t="s">
        <v>3441</v>
      </c>
      <c r="C1161"/>
      <c r="D1161" t="s">
        <v>329</v>
      </c>
      <c r="E1161" t="s">
        <v>1662</v>
      </c>
      <c r="F1161" t="s">
        <v>1671</v>
      </c>
      <c r="G1161" t="s">
        <v>280</v>
      </c>
      <c r="H1161" t="s">
        <v>1670</v>
      </c>
      <c r="I1161" t="s">
        <v>35</v>
      </c>
      <c r="J1161"/>
      <c r="K1161">
        <v>1</v>
      </c>
      <c r="L1161">
        <v>1</v>
      </c>
      <c r="M1161" t="s">
        <v>33</v>
      </c>
      <c r="N1161">
        <v>1</v>
      </c>
      <c r="O1161">
        <v>0.5</v>
      </c>
      <c r="P1161">
        <v>0.5</v>
      </c>
      <c r="Q1161" t="s">
        <v>38</v>
      </c>
      <c r="R1161">
        <v>1</v>
      </c>
      <c r="S1161">
        <v>0</v>
      </c>
      <c r="T1161"/>
      <c r="U1161"/>
      <c r="V1161"/>
      <c r="W1161"/>
      <c r="X1161">
        <v>0</v>
      </c>
      <c r="Y1161"/>
      <c r="Z1161">
        <v>0</v>
      </c>
      <c r="AA1161"/>
      <c r="AB1161"/>
      <c r="AC1161"/>
      <c r="AD1161"/>
      <c r="AE1161">
        <v>0</v>
      </c>
      <c r="AF1161"/>
      <c r="AG1161"/>
      <c r="AH1161"/>
    </row>
    <row r="1162" spans="1:34" x14ac:dyDescent="0.25">
      <c r="A1162" t="s">
        <v>3442</v>
      </c>
      <c r="B1162" t="s">
        <v>3443</v>
      </c>
      <c r="C1162"/>
      <c r="D1162" t="s">
        <v>329</v>
      </c>
      <c r="E1162" t="s">
        <v>1662</v>
      </c>
      <c r="F1162" t="s">
        <v>1671</v>
      </c>
      <c r="G1162" t="s">
        <v>280</v>
      </c>
      <c r="H1162" t="s">
        <v>1670</v>
      </c>
      <c r="I1162" t="s">
        <v>35</v>
      </c>
      <c r="J1162"/>
      <c r="K1162">
        <v>1</v>
      </c>
      <c r="L1162">
        <v>1</v>
      </c>
      <c r="M1162" t="s">
        <v>33</v>
      </c>
      <c r="N1162">
        <v>1</v>
      </c>
      <c r="O1162">
        <v>0.5</v>
      </c>
      <c r="P1162">
        <v>0.5</v>
      </c>
      <c r="Q1162" t="s">
        <v>38</v>
      </c>
      <c r="R1162">
        <v>1</v>
      </c>
      <c r="S1162">
        <v>0</v>
      </c>
      <c r="T1162"/>
      <c r="U1162"/>
      <c r="V1162"/>
      <c r="W1162"/>
      <c r="X1162">
        <v>0</v>
      </c>
      <c r="Y1162"/>
      <c r="Z1162">
        <v>0</v>
      </c>
      <c r="AA1162"/>
      <c r="AB1162"/>
      <c r="AC1162"/>
      <c r="AD1162"/>
      <c r="AE1162">
        <v>0</v>
      </c>
      <c r="AF1162"/>
      <c r="AG1162"/>
      <c r="AH1162"/>
    </row>
    <row r="1163" spans="1:34" x14ac:dyDescent="0.25">
      <c r="A1163" t="s">
        <v>1478</v>
      </c>
      <c r="B1163" t="s">
        <v>329</v>
      </c>
      <c r="C1163"/>
      <c r="D1163" t="s">
        <v>329</v>
      </c>
      <c r="E1163" t="s">
        <v>1662</v>
      </c>
      <c r="F1163" t="s">
        <v>1672</v>
      </c>
      <c r="G1163" t="s">
        <v>280</v>
      </c>
      <c r="H1163" t="s">
        <v>1673</v>
      </c>
      <c r="I1163" t="s">
        <v>35</v>
      </c>
      <c r="J1163"/>
      <c r="K1163">
        <v>1</v>
      </c>
      <c r="L1163">
        <v>1</v>
      </c>
      <c r="M1163" t="s">
        <v>33</v>
      </c>
      <c r="N1163">
        <v>1</v>
      </c>
      <c r="O1163">
        <v>0.5</v>
      </c>
      <c r="P1163">
        <v>0.5</v>
      </c>
      <c r="Q1163" t="s">
        <v>38</v>
      </c>
      <c r="R1163">
        <v>1</v>
      </c>
      <c r="S1163">
        <v>0</v>
      </c>
      <c r="T1163"/>
      <c r="U1163"/>
      <c r="V1163"/>
      <c r="W1163"/>
      <c r="X1163">
        <v>0</v>
      </c>
      <c r="Y1163"/>
      <c r="Z1163">
        <v>0</v>
      </c>
      <c r="AA1163"/>
      <c r="AB1163"/>
      <c r="AC1163"/>
      <c r="AD1163"/>
      <c r="AE1163">
        <v>0</v>
      </c>
      <c r="AF1163"/>
      <c r="AG1163"/>
      <c r="AH1163"/>
    </row>
    <row r="1164" spans="1:34" x14ac:dyDescent="0.25">
      <c r="A1164" t="s">
        <v>3440</v>
      </c>
      <c r="B1164" t="s">
        <v>3441</v>
      </c>
      <c r="C1164"/>
      <c r="D1164" t="s">
        <v>329</v>
      </c>
      <c r="E1164" t="s">
        <v>1662</v>
      </c>
      <c r="F1164" t="s">
        <v>1672</v>
      </c>
      <c r="G1164" t="s">
        <v>280</v>
      </c>
      <c r="H1164" t="s">
        <v>1673</v>
      </c>
      <c r="I1164" t="s">
        <v>35</v>
      </c>
      <c r="J1164"/>
      <c r="K1164">
        <v>1</v>
      </c>
      <c r="L1164">
        <v>1</v>
      </c>
      <c r="M1164" t="s">
        <v>33</v>
      </c>
      <c r="N1164">
        <v>1</v>
      </c>
      <c r="O1164">
        <v>0.5</v>
      </c>
      <c r="P1164">
        <v>0.5</v>
      </c>
      <c r="Q1164" t="s">
        <v>38</v>
      </c>
      <c r="R1164">
        <v>1</v>
      </c>
      <c r="S1164">
        <v>0</v>
      </c>
      <c r="T1164"/>
      <c r="U1164"/>
      <c r="V1164"/>
      <c r="W1164"/>
      <c r="X1164">
        <v>0</v>
      </c>
      <c r="Y1164"/>
      <c r="Z1164">
        <v>0</v>
      </c>
      <c r="AA1164"/>
      <c r="AB1164"/>
      <c r="AC1164"/>
      <c r="AD1164"/>
      <c r="AE1164">
        <v>0</v>
      </c>
      <c r="AF1164"/>
      <c r="AG1164"/>
      <c r="AH1164"/>
    </row>
    <row r="1165" spans="1:34" x14ac:dyDescent="0.25">
      <c r="A1165" t="s">
        <v>3442</v>
      </c>
      <c r="B1165" t="s">
        <v>3443</v>
      </c>
      <c r="C1165"/>
      <c r="D1165" t="s">
        <v>329</v>
      </c>
      <c r="E1165" t="s">
        <v>1662</v>
      </c>
      <c r="F1165" t="s">
        <v>1672</v>
      </c>
      <c r="G1165" t="s">
        <v>280</v>
      </c>
      <c r="H1165" t="s">
        <v>1673</v>
      </c>
      <c r="I1165" t="s">
        <v>35</v>
      </c>
      <c r="J1165"/>
      <c r="K1165">
        <v>1</v>
      </c>
      <c r="L1165">
        <v>1</v>
      </c>
      <c r="M1165" t="s">
        <v>33</v>
      </c>
      <c r="N1165">
        <v>1</v>
      </c>
      <c r="O1165">
        <v>0.5</v>
      </c>
      <c r="P1165">
        <v>0.5</v>
      </c>
      <c r="Q1165" t="s">
        <v>38</v>
      </c>
      <c r="R1165">
        <v>1</v>
      </c>
      <c r="S1165">
        <v>0</v>
      </c>
      <c r="T1165"/>
      <c r="U1165"/>
      <c r="V1165"/>
      <c r="W1165"/>
      <c r="X1165">
        <v>0</v>
      </c>
      <c r="Y1165"/>
      <c r="Z1165">
        <v>0</v>
      </c>
      <c r="AA1165"/>
      <c r="AB1165"/>
      <c r="AC1165"/>
      <c r="AD1165"/>
      <c r="AE1165">
        <v>0</v>
      </c>
      <c r="AF1165"/>
      <c r="AG1165"/>
      <c r="AH1165"/>
    </row>
    <row r="1166" spans="1:34" x14ac:dyDescent="0.25">
      <c r="A1166" t="s">
        <v>1478</v>
      </c>
      <c r="B1166" t="s">
        <v>329</v>
      </c>
      <c r="C1166"/>
      <c r="D1166" t="s">
        <v>329</v>
      </c>
      <c r="E1166" t="s">
        <v>1662</v>
      </c>
      <c r="F1166" t="s">
        <v>1674</v>
      </c>
      <c r="G1166" t="s">
        <v>280</v>
      </c>
      <c r="H1166" t="s">
        <v>1675</v>
      </c>
      <c r="I1166" t="s">
        <v>35</v>
      </c>
      <c r="J1166"/>
      <c r="K1166">
        <v>1</v>
      </c>
      <c r="L1166">
        <v>1</v>
      </c>
      <c r="M1166" t="s">
        <v>33</v>
      </c>
      <c r="N1166">
        <v>1</v>
      </c>
      <c r="O1166">
        <v>0.5</v>
      </c>
      <c r="P1166">
        <v>0.5</v>
      </c>
      <c r="Q1166" t="s">
        <v>38</v>
      </c>
      <c r="R1166">
        <v>1</v>
      </c>
      <c r="S1166">
        <v>0</v>
      </c>
      <c r="T1166"/>
      <c r="U1166"/>
      <c r="V1166"/>
      <c r="W1166"/>
      <c r="X1166">
        <v>0</v>
      </c>
      <c r="Y1166"/>
      <c r="Z1166">
        <v>0</v>
      </c>
      <c r="AA1166"/>
      <c r="AB1166"/>
      <c r="AC1166"/>
      <c r="AD1166"/>
      <c r="AE1166">
        <v>0</v>
      </c>
      <c r="AF1166"/>
      <c r="AG1166"/>
      <c r="AH1166"/>
    </row>
    <row r="1167" spans="1:34" x14ac:dyDescent="0.25">
      <c r="A1167" t="s">
        <v>3440</v>
      </c>
      <c r="B1167" t="s">
        <v>3441</v>
      </c>
      <c r="C1167"/>
      <c r="D1167" t="s">
        <v>329</v>
      </c>
      <c r="E1167" t="s">
        <v>1662</v>
      </c>
      <c r="F1167" t="s">
        <v>1674</v>
      </c>
      <c r="G1167" t="s">
        <v>280</v>
      </c>
      <c r="H1167" t="s">
        <v>1675</v>
      </c>
      <c r="I1167" t="s">
        <v>35</v>
      </c>
      <c r="J1167"/>
      <c r="K1167">
        <v>1</v>
      </c>
      <c r="L1167">
        <v>1</v>
      </c>
      <c r="M1167" t="s">
        <v>33</v>
      </c>
      <c r="N1167">
        <v>1</v>
      </c>
      <c r="O1167">
        <v>0.5</v>
      </c>
      <c r="P1167">
        <v>0.5</v>
      </c>
      <c r="Q1167" t="s">
        <v>38</v>
      </c>
      <c r="R1167">
        <v>1</v>
      </c>
      <c r="S1167">
        <v>0</v>
      </c>
      <c r="T1167"/>
      <c r="U1167"/>
      <c r="V1167"/>
      <c r="W1167"/>
      <c r="X1167">
        <v>0</v>
      </c>
      <c r="Y1167"/>
      <c r="Z1167">
        <v>0</v>
      </c>
      <c r="AA1167"/>
      <c r="AB1167"/>
      <c r="AC1167"/>
      <c r="AD1167"/>
      <c r="AE1167">
        <v>0</v>
      </c>
      <c r="AF1167"/>
      <c r="AG1167"/>
      <c r="AH1167"/>
    </row>
    <row r="1168" spans="1:34" x14ac:dyDescent="0.25">
      <c r="A1168" t="s">
        <v>3442</v>
      </c>
      <c r="B1168" t="s">
        <v>3443</v>
      </c>
      <c r="C1168"/>
      <c r="D1168" t="s">
        <v>329</v>
      </c>
      <c r="E1168" t="s">
        <v>1662</v>
      </c>
      <c r="F1168" t="s">
        <v>1674</v>
      </c>
      <c r="G1168" t="s">
        <v>280</v>
      </c>
      <c r="H1168" t="s">
        <v>1675</v>
      </c>
      <c r="I1168" t="s">
        <v>35</v>
      </c>
      <c r="J1168"/>
      <c r="K1168">
        <v>1</v>
      </c>
      <c r="L1168">
        <v>1</v>
      </c>
      <c r="M1168" t="s">
        <v>33</v>
      </c>
      <c r="N1168">
        <v>1</v>
      </c>
      <c r="O1168">
        <v>0.5</v>
      </c>
      <c r="P1168">
        <v>0.5</v>
      </c>
      <c r="Q1168" t="s">
        <v>38</v>
      </c>
      <c r="R1168">
        <v>1</v>
      </c>
      <c r="S1168">
        <v>0</v>
      </c>
      <c r="T1168"/>
      <c r="U1168"/>
      <c r="V1168"/>
      <c r="W1168"/>
      <c r="X1168">
        <v>0</v>
      </c>
      <c r="Y1168"/>
      <c r="Z1168">
        <v>0</v>
      </c>
      <c r="AA1168"/>
      <c r="AB1168"/>
      <c r="AC1168"/>
      <c r="AD1168"/>
      <c r="AE1168">
        <v>0</v>
      </c>
      <c r="AF1168"/>
      <c r="AG1168"/>
      <c r="AH1168"/>
    </row>
    <row r="1169" spans="1:34" x14ac:dyDescent="0.25">
      <c r="A1169" t="s">
        <v>1478</v>
      </c>
      <c r="B1169" t="s">
        <v>329</v>
      </c>
      <c r="C1169"/>
      <c r="D1169" t="s">
        <v>329</v>
      </c>
      <c r="E1169" t="s">
        <v>1662</v>
      </c>
      <c r="F1169" t="s">
        <v>1676</v>
      </c>
      <c r="G1169" t="s">
        <v>280</v>
      </c>
      <c r="H1169" t="s">
        <v>1677</v>
      </c>
      <c r="I1169" t="s">
        <v>35</v>
      </c>
      <c r="J1169"/>
      <c r="K1169">
        <v>1</v>
      </c>
      <c r="L1169">
        <v>1</v>
      </c>
      <c r="M1169" t="s">
        <v>33</v>
      </c>
      <c r="N1169">
        <v>1</v>
      </c>
      <c r="O1169">
        <v>0.5</v>
      </c>
      <c r="P1169">
        <v>0.5</v>
      </c>
      <c r="Q1169" t="s">
        <v>38</v>
      </c>
      <c r="R1169">
        <v>1</v>
      </c>
      <c r="S1169">
        <v>0</v>
      </c>
      <c r="T1169"/>
      <c r="U1169"/>
      <c r="V1169"/>
      <c r="W1169"/>
      <c r="X1169">
        <v>0</v>
      </c>
      <c r="Y1169"/>
      <c r="Z1169">
        <v>0</v>
      </c>
      <c r="AA1169"/>
      <c r="AB1169"/>
      <c r="AC1169"/>
      <c r="AD1169"/>
      <c r="AE1169">
        <v>0</v>
      </c>
      <c r="AF1169"/>
      <c r="AG1169"/>
      <c r="AH1169"/>
    </row>
    <row r="1170" spans="1:34" x14ac:dyDescent="0.25">
      <c r="A1170" t="s">
        <v>3440</v>
      </c>
      <c r="B1170" t="s">
        <v>3441</v>
      </c>
      <c r="C1170"/>
      <c r="D1170" t="s">
        <v>329</v>
      </c>
      <c r="E1170" t="s">
        <v>1662</v>
      </c>
      <c r="F1170" t="s">
        <v>1676</v>
      </c>
      <c r="G1170" t="s">
        <v>280</v>
      </c>
      <c r="H1170" t="s">
        <v>1677</v>
      </c>
      <c r="I1170" t="s">
        <v>35</v>
      </c>
      <c r="J1170"/>
      <c r="K1170">
        <v>1</v>
      </c>
      <c r="L1170">
        <v>1</v>
      </c>
      <c r="M1170" t="s">
        <v>33</v>
      </c>
      <c r="N1170">
        <v>1</v>
      </c>
      <c r="O1170">
        <v>0.5</v>
      </c>
      <c r="P1170">
        <v>0.5</v>
      </c>
      <c r="Q1170" t="s">
        <v>38</v>
      </c>
      <c r="R1170">
        <v>1</v>
      </c>
      <c r="S1170">
        <v>0</v>
      </c>
      <c r="T1170"/>
      <c r="U1170"/>
      <c r="V1170"/>
      <c r="W1170"/>
      <c r="X1170">
        <v>0</v>
      </c>
      <c r="Y1170"/>
      <c r="Z1170">
        <v>0</v>
      </c>
      <c r="AA1170"/>
      <c r="AB1170"/>
      <c r="AC1170"/>
      <c r="AD1170"/>
      <c r="AE1170">
        <v>0</v>
      </c>
      <c r="AF1170"/>
      <c r="AG1170"/>
      <c r="AH1170"/>
    </row>
    <row r="1171" spans="1:34" x14ac:dyDescent="0.25">
      <c r="A1171" t="s">
        <v>3442</v>
      </c>
      <c r="B1171" t="s">
        <v>3443</v>
      </c>
      <c r="C1171"/>
      <c r="D1171" t="s">
        <v>329</v>
      </c>
      <c r="E1171" t="s">
        <v>1662</v>
      </c>
      <c r="F1171" t="s">
        <v>1676</v>
      </c>
      <c r="G1171" t="s">
        <v>280</v>
      </c>
      <c r="H1171" t="s">
        <v>1677</v>
      </c>
      <c r="I1171" t="s">
        <v>35</v>
      </c>
      <c r="J1171"/>
      <c r="K1171">
        <v>1</v>
      </c>
      <c r="L1171">
        <v>1</v>
      </c>
      <c r="M1171" t="s">
        <v>33</v>
      </c>
      <c r="N1171">
        <v>1</v>
      </c>
      <c r="O1171">
        <v>0.5</v>
      </c>
      <c r="P1171">
        <v>0.5</v>
      </c>
      <c r="Q1171" t="s">
        <v>38</v>
      </c>
      <c r="R1171">
        <v>1</v>
      </c>
      <c r="S1171">
        <v>0</v>
      </c>
      <c r="T1171"/>
      <c r="U1171"/>
      <c r="V1171"/>
      <c r="W1171"/>
      <c r="X1171">
        <v>0</v>
      </c>
      <c r="Y1171"/>
      <c r="Z1171">
        <v>0</v>
      </c>
      <c r="AA1171"/>
      <c r="AB1171"/>
      <c r="AC1171"/>
      <c r="AD1171"/>
      <c r="AE1171">
        <v>0</v>
      </c>
      <c r="AF1171"/>
      <c r="AG1171"/>
      <c r="AH1171"/>
    </row>
    <row r="1172" spans="1:34" x14ac:dyDescent="0.25">
      <c r="A1172" t="s">
        <v>1478</v>
      </c>
      <c r="B1172" t="s">
        <v>329</v>
      </c>
      <c r="C1172"/>
      <c r="D1172" t="s">
        <v>329</v>
      </c>
      <c r="E1172" t="s">
        <v>1662</v>
      </c>
      <c r="F1172" t="s">
        <v>1678</v>
      </c>
      <c r="G1172" t="s">
        <v>280</v>
      </c>
      <c r="H1172" t="s">
        <v>1679</v>
      </c>
      <c r="I1172" t="s">
        <v>35</v>
      </c>
      <c r="J1172"/>
      <c r="K1172">
        <v>1</v>
      </c>
      <c r="L1172">
        <v>1</v>
      </c>
      <c r="M1172" t="s">
        <v>33</v>
      </c>
      <c r="N1172">
        <v>1</v>
      </c>
      <c r="O1172">
        <v>0.5</v>
      </c>
      <c r="P1172">
        <v>0.5</v>
      </c>
      <c r="Q1172" t="s">
        <v>38</v>
      </c>
      <c r="R1172">
        <v>1</v>
      </c>
      <c r="S1172">
        <v>0</v>
      </c>
      <c r="T1172"/>
      <c r="U1172"/>
      <c r="V1172"/>
      <c r="W1172"/>
      <c r="X1172">
        <v>0</v>
      </c>
      <c r="Y1172"/>
      <c r="Z1172">
        <v>0</v>
      </c>
      <c r="AA1172"/>
      <c r="AB1172"/>
      <c r="AC1172"/>
      <c r="AD1172"/>
      <c r="AE1172">
        <v>0</v>
      </c>
      <c r="AF1172"/>
      <c r="AG1172"/>
      <c r="AH1172"/>
    </row>
    <row r="1173" spans="1:34" x14ac:dyDescent="0.25">
      <c r="A1173" t="s">
        <v>3440</v>
      </c>
      <c r="B1173" t="s">
        <v>3441</v>
      </c>
      <c r="C1173"/>
      <c r="D1173" t="s">
        <v>329</v>
      </c>
      <c r="E1173" t="s">
        <v>1662</v>
      </c>
      <c r="F1173" t="s">
        <v>1678</v>
      </c>
      <c r="G1173" t="s">
        <v>280</v>
      </c>
      <c r="H1173" t="s">
        <v>1679</v>
      </c>
      <c r="I1173" t="s">
        <v>35</v>
      </c>
      <c r="J1173"/>
      <c r="K1173">
        <v>1</v>
      </c>
      <c r="L1173">
        <v>1</v>
      </c>
      <c r="M1173" t="s">
        <v>33</v>
      </c>
      <c r="N1173">
        <v>1</v>
      </c>
      <c r="O1173">
        <v>0.5</v>
      </c>
      <c r="P1173">
        <v>0.5</v>
      </c>
      <c r="Q1173" t="s">
        <v>38</v>
      </c>
      <c r="R1173">
        <v>1</v>
      </c>
      <c r="S1173">
        <v>0</v>
      </c>
      <c r="T1173"/>
      <c r="U1173"/>
      <c r="V1173"/>
      <c r="W1173"/>
      <c r="X1173">
        <v>0</v>
      </c>
      <c r="Y1173"/>
      <c r="Z1173">
        <v>0</v>
      </c>
      <c r="AA1173"/>
      <c r="AB1173"/>
      <c r="AC1173"/>
      <c r="AD1173"/>
      <c r="AE1173">
        <v>0</v>
      </c>
      <c r="AF1173"/>
      <c r="AG1173"/>
      <c r="AH1173"/>
    </row>
    <row r="1174" spans="1:34" x14ac:dyDescent="0.25">
      <c r="A1174" t="s">
        <v>3442</v>
      </c>
      <c r="B1174" t="s">
        <v>3443</v>
      </c>
      <c r="C1174"/>
      <c r="D1174" t="s">
        <v>329</v>
      </c>
      <c r="E1174" t="s">
        <v>1662</v>
      </c>
      <c r="F1174" t="s">
        <v>1678</v>
      </c>
      <c r="G1174" t="s">
        <v>280</v>
      </c>
      <c r="H1174" t="s">
        <v>1679</v>
      </c>
      <c r="I1174" t="s">
        <v>35</v>
      </c>
      <c r="J1174"/>
      <c r="K1174">
        <v>1</v>
      </c>
      <c r="L1174">
        <v>1</v>
      </c>
      <c r="M1174" t="s">
        <v>33</v>
      </c>
      <c r="N1174">
        <v>1</v>
      </c>
      <c r="O1174">
        <v>0.5</v>
      </c>
      <c r="P1174">
        <v>0.5</v>
      </c>
      <c r="Q1174" t="s">
        <v>38</v>
      </c>
      <c r="R1174">
        <v>1</v>
      </c>
      <c r="S1174">
        <v>0</v>
      </c>
      <c r="T1174"/>
      <c r="U1174"/>
      <c r="V1174"/>
      <c r="W1174"/>
      <c r="X1174">
        <v>0</v>
      </c>
      <c r="Y1174"/>
      <c r="Z1174">
        <v>0</v>
      </c>
      <c r="AA1174"/>
      <c r="AB1174"/>
      <c r="AC1174"/>
      <c r="AD1174"/>
      <c r="AE1174">
        <v>0</v>
      </c>
      <c r="AF1174"/>
      <c r="AG1174"/>
      <c r="AH1174"/>
    </row>
    <row r="1175" spans="1:34" x14ac:dyDescent="0.25">
      <c r="A1175" t="s">
        <v>1478</v>
      </c>
      <c r="B1175" t="s">
        <v>329</v>
      </c>
      <c r="C1175"/>
      <c r="D1175" t="s">
        <v>329</v>
      </c>
      <c r="E1175" t="s">
        <v>1662</v>
      </c>
      <c r="F1175" t="s">
        <v>1680</v>
      </c>
      <c r="G1175" t="s">
        <v>280</v>
      </c>
      <c r="H1175" t="s">
        <v>1679</v>
      </c>
      <c r="I1175" t="s">
        <v>35</v>
      </c>
      <c r="J1175"/>
      <c r="K1175">
        <v>1</v>
      </c>
      <c r="L1175">
        <v>1</v>
      </c>
      <c r="M1175" t="s">
        <v>33</v>
      </c>
      <c r="N1175">
        <v>1</v>
      </c>
      <c r="O1175">
        <v>0.5</v>
      </c>
      <c r="P1175">
        <v>0.5</v>
      </c>
      <c r="Q1175" t="s">
        <v>38</v>
      </c>
      <c r="R1175">
        <v>1</v>
      </c>
      <c r="S1175">
        <v>0</v>
      </c>
      <c r="T1175"/>
      <c r="U1175"/>
      <c r="V1175"/>
      <c r="W1175"/>
      <c r="X1175">
        <v>0</v>
      </c>
      <c r="Y1175"/>
      <c r="Z1175">
        <v>0</v>
      </c>
      <c r="AA1175"/>
      <c r="AB1175"/>
      <c r="AC1175"/>
      <c r="AD1175"/>
      <c r="AE1175">
        <v>0</v>
      </c>
      <c r="AF1175"/>
      <c r="AG1175"/>
      <c r="AH1175"/>
    </row>
    <row r="1176" spans="1:34" x14ac:dyDescent="0.25">
      <c r="A1176" t="s">
        <v>3440</v>
      </c>
      <c r="B1176" t="s">
        <v>3441</v>
      </c>
      <c r="C1176"/>
      <c r="D1176" t="s">
        <v>329</v>
      </c>
      <c r="E1176" t="s">
        <v>1662</v>
      </c>
      <c r="F1176" t="s">
        <v>1680</v>
      </c>
      <c r="G1176" t="s">
        <v>280</v>
      </c>
      <c r="H1176" t="s">
        <v>1679</v>
      </c>
      <c r="I1176" t="s">
        <v>35</v>
      </c>
      <c r="J1176"/>
      <c r="K1176">
        <v>1</v>
      </c>
      <c r="L1176">
        <v>1</v>
      </c>
      <c r="M1176" t="s">
        <v>33</v>
      </c>
      <c r="N1176">
        <v>1</v>
      </c>
      <c r="O1176">
        <v>0.5</v>
      </c>
      <c r="P1176">
        <v>0.5</v>
      </c>
      <c r="Q1176" t="s">
        <v>38</v>
      </c>
      <c r="R1176">
        <v>1</v>
      </c>
      <c r="S1176">
        <v>0</v>
      </c>
      <c r="T1176"/>
      <c r="U1176"/>
      <c r="V1176"/>
      <c r="W1176"/>
      <c r="X1176">
        <v>0</v>
      </c>
      <c r="Y1176"/>
      <c r="Z1176">
        <v>0</v>
      </c>
      <c r="AA1176"/>
      <c r="AB1176"/>
      <c r="AC1176"/>
      <c r="AD1176"/>
      <c r="AE1176">
        <v>0</v>
      </c>
      <c r="AF1176"/>
      <c r="AG1176"/>
      <c r="AH1176"/>
    </row>
    <row r="1177" spans="1:34" x14ac:dyDescent="0.25">
      <c r="A1177" t="s">
        <v>3442</v>
      </c>
      <c r="B1177" t="s">
        <v>3443</v>
      </c>
      <c r="C1177"/>
      <c r="D1177" t="s">
        <v>329</v>
      </c>
      <c r="E1177" t="s">
        <v>1662</v>
      </c>
      <c r="F1177" t="s">
        <v>1680</v>
      </c>
      <c r="G1177" t="s">
        <v>280</v>
      </c>
      <c r="H1177" t="s">
        <v>1679</v>
      </c>
      <c r="I1177" t="s">
        <v>35</v>
      </c>
      <c r="J1177"/>
      <c r="K1177">
        <v>1</v>
      </c>
      <c r="L1177">
        <v>1</v>
      </c>
      <c r="M1177" t="s">
        <v>33</v>
      </c>
      <c r="N1177">
        <v>1</v>
      </c>
      <c r="O1177">
        <v>0.5</v>
      </c>
      <c r="P1177">
        <v>0.5</v>
      </c>
      <c r="Q1177" t="s">
        <v>38</v>
      </c>
      <c r="R1177">
        <v>1</v>
      </c>
      <c r="S1177">
        <v>0</v>
      </c>
      <c r="T1177"/>
      <c r="U1177"/>
      <c r="V1177"/>
      <c r="W1177"/>
      <c r="X1177">
        <v>0</v>
      </c>
      <c r="Y1177"/>
      <c r="Z1177">
        <v>0</v>
      </c>
      <c r="AA1177"/>
      <c r="AB1177"/>
      <c r="AC1177"/>
      <c r="AD1177"/>
      <c r="AE1177">
        <v>0</v>
      </c>
      <c r="AF1177"/>
      <c r="AG1177"/>
      <c r="AH1177"/>
    </row>
    <row r="1178" spans="1:34" x14ac:dyDescent="0.25">
      <c r="A1178" t="s">
        <v>1478</v>
      </c>
      <c r="B1178" t="s">
        <v>329</v>
      </c>
      <c r="C1178"/>
      <c r="D1178" t="s">
        <v>329</v>
      </c>
      <c r="E1178" t="s">
        <v>1662</v>
      </c>
      <c r="F1178" t="s">
        <v>1681</v>
      </c>
      <c r="G1178" t="s">
        <v>280</v>
      </c>
      <c r="H1178" t="s">
        <v>1682</v>
      </c>
      <c r="I1178" t="s">
        <v>35</v>
      </c>
      <c r="J1178"/>
      <c r="K1178">
        <v>1</v>
      </c>
      <c r="L1178">
        <v>1</v>
      </c>
      <c r="M1178" t="s">
        <v>33</v>
      </c>
      <c r="N1178">
        <v>1</v>
      </c>
      <c r="O1178">
        <v>0.5</v>
      </c>
      <c r="P1178">
        <v>0.5</v>
      </c>
      <c r="Q1178" t="s">
        <v>38</v>
      </c>
      <c r="R1178">
        <v>1</v>
      </c>
      <c r="S1178">
        <v>0</v>
      </c>
      <c r="T1178"/>
      <c r="U1178"/>
      <c r="V1178"/>
      <c r="W1178"/>
      <c r="X1178">
        <v>0</v>
      </c>
      <c r="Y1178"/>
      <c r="Z1178">
        <v>0</v>
      </c>
      <c r="AA1178"/>
      <c r="AB1178"/>
      <c r="AC1178"/>
      <c r="AD1178"/>
      <c r="AE1178">
        <v>0</v>
      </c>
      <c r="AF1178"/>
      <c r="AG1178"/>
      <c r="AH1178"/>
    </row>
    <row r="1179" spans="1:34" s="172" customFormat="1" x14ac:dyDescent="0.25">
      <c r="A1179" t="s">
        <v>3440</v>
      </c>
      <c r="B1179" t="s">
        <v>3441</v>
      </c>
      <c r="C1179"/>
      <c r="D1179" t="s">
        <v>329</v>
      </c>
      <c r="E1179" t="s">
        <v>1662</v>
      </c>
      <c r="F1179" t="s">
        <v>1681</v>
      </c>
      <c r="G1179" t="s">
        <v>280</v>
      </c>
      <c r="H1179" t="s">
        <v>1682</v>
      </c>
      <c r="I1179" t="s">
        <v>35</v>
      </c>
      <c r="J1179"/>
      <c r="K1179">
        <v>1</v>
      </c>
      <c r="L1179">
        <v>1</v>
      </c>
      <c r="M1179" t="s">
        <v>33</v>
      </c>
      <c r="N1179">
        <v>1</v>
      </c>
      <c r="O1179">
        <v>0.5</v>
      </c>
      <c r="P1179">
        <v>0.5</v>
      </c>
      <c r="Q1179" t="s">
        <v>38</v>
      </c>
      <c r="R1179">
        <v>1</v>
      </c>
      <c r="S1179">
        <v>0</v>
      </c>
      <c r="T1179"/>
      <c r="U1179"/>
      <c r="V1179"/>
      <c r="W1179"/>
      <c r="X1179">
        <v>0</v>
      </c>
      <c r="Y1179"/>
      <c r="Z1179">
        <v>0</v>
      </c>
      <c r="AA1179"/>
      <c r="AB1179"/>
      <c r="AC1179"/>
      <c r="AD1179"/>
      <c r="AE1179">
        <v>0</v>
      </c>
      <c r="AF1179"/>
      <c r="AG1179"/>
      <c r="AH1179"/>
    </row>
    <row r="1180" spans="1:34" x14ac:dyDescent="0.25">
      <c r="A1180" t="s">
        <v>3442</v>
      </c>
      <c r="B1180" t="s">
        <v>3443</v>
      </c>
      <c r="C1180"/>
      <c r="D1180" t="s">
        <v>329</v>
      </c>
      <c r="E1180" t="s">
        <v>1662</v>
      </c>
      <c r="F1180" t="s">
        <v>1681</v>
      </c>
      <c r="G1180" t="s">
        <v>280</v>
      </c>
      <c r="H1180" t="s">
        <v>1682</v>
      </c>
      <c r="I1180" t="s">
        <v>35</v>
      </c>
      <c r="J1180"/>
      <c r="K1180">
        <v>1</v>
      </c>
      <c r="L1180">
        <v>1</v>
      </c>
      <c r="M1180" t="s">
        <v>33</v>
      </c>
      <c r="N1180">
        <v>1</v>
      </c>
      <c r="O1180">
        <v>0.5</v>
      </c>
      <c r="P1180">
        <v>0.5</v>
      </c>
      <c r="Q1180" t="s">
        <v>38</v>
      </c>
      <c r="R1180">
        <v>1</v>
      </c>
      <c r="S1180">
        <v>0</v>
      </c>
      <c r="T1180"/>
      <c r="U1180"/>
      <c r="V1180"/>
      <c r="W1180"/>
      <c r="X1180">
        <v>0</v>
      </c>
      <c r="Y1180"/>
      <c r="Z1180">
        <v>0</v>
      </c>
      <c r="AA1180"/>
      <c r="AB1180"/>
      <c r="AC1180"/>
      <c r="AD1180"/>
      <c r="AE1180">
        <v>0</v>
      </c>
      <c r="AF1180"/>
      <c r="AG1180"/>
      <c r="AH1180"/>
    </row>
    <row r="1181" spans="1:34" x14ac:dyDescent="0.25">
      <c r="A1181" t="s">
        <v>1478</v>
      </c>
      <c r="B1181" t="s">
        <v>329</v>
      </c>
      <c r="C1181"/>
      <c r="D1181" t="s">
        <v>329</v>
      </c>
      <c r="E1181" t="s">
        <v>1662</v>
      </c>
      <c r="F1181" t="s">
        <v>1683</v>
      </c>
      <c r="G1181" t="s">
        <v>280</v>
      </c>
      <c r="H1181" t="s">
        <v>1684</v>
      </c>
      <c r="I1181" t="s">
        <v>35</v>
      </c>
      <c r="J1181"/>
      <c r="K1181">
        <v>1</v>
      </c>
      <c r="L1181">
        <v>1</v>
      </c>
      <c r="M1181" t="s">
        <v>33</v>
      </c>
      <c r="N1181">
        <v>1</v>
      </c>
      <c r="O1181">
        <v>0.5</v>
      </c>
      <c r="P1181">
        <v>0.5</v>
      </c>
      <c r="Q1181" t="s">
        <v>38</v>
      </c>
      <c r="R1181">
        <v>1</v>
      </c>
      <c r="S1181">
        <v>0</v>
      </c>
      <c r="T1181"/>
      <c r="U1181"/>
      <c r="V1181"/>
      <c r="W1181"/>
      <c r="X1181">
        <v>0</v>
      </c>
      <c r="Y1181"/>
      <c r="Z1181">
        <v>0</v>
      </c>
      <c r="AA1181"/>
      <c r="AB1181"/>
      <c r="AC1181"/>
      <c r="AD1181"/>
      <c r="AE1181">
        <v>0</v>
      </c>
      <c r="AF1181"/>
      <c r="AG1181"/>
      <c r="AH1181"/>
    </row>
    <row r="1182" spans="1:34" x14ac:dyDescent="0.25">
      <c r="A1182" t="s">
        <v>3440</v>
      </c>
      <c r="B1182" t="s">
        <v>3441</v>
      </c>
      <c r="C1182"/>
      <c r="D1182" t="s">
        <v>329</v>
      </c>
      <c r="E1182" t="s">
        <v>1662</v>
      </c>
      <c r="F1182" t="s">
        <v>1683</v>
      </c>
      <c r="G1182" t="s">
        <v>280</v>
      </c>
      <c r="H1182" t="s">
        <v>1684</v>
      </c>
      <c r="I1182" t="s">
        <v>35</v>
      </c>
      <c r="J1182"/>
      <c r="K1182">
        <v>1</v>
      </c>
      <c r="L1182">
        <v>1</v>
      </c>
      <c r="M1182" t="s">
        <v>33</v>
      </c>
      <c r="N1182">
        <v>1</v>
      </c>
      <c r="O1182">
        <v>0.5</v>
      </c>
      <c r="P1182">
        <v>0.5</v>
      </c>
      <c r="Q1182" t="s">
        <v>38</v>
      </c>
      <c r="R1182">
        <v>1</v>
      </c>
      <c r="S1182">
        <v>0</v>
      </c>
      <c r="T1182"/>
      <c r="U1182"/>
      <c r="V1182"/>
      <c r="W1182"/>
      <c r="X1182">
        <v>0</v>
      </c>
      <c r="Y1182"/>
      <c r="Z1182">
        <v>0</v>
      </c>
      <c r="AA1182"/>
      <c r="AB1182"/>
      <c r="AC1182"/>
      <c r="AD1182"/>
      <c r="AE1182">
        <v>0</v>
      </c>
      <c r="AF1182"/>
      <c r="AG1182"/>
      <c r="AH1182"/>
    </row>
    <row r="1183" spans="1:34" x14ac:dyDescent="0.25">
      <c r="A1183" t="s">
        <v>3442</v>
      </c>
      <c r="B1183" t="s">
        <v>3443</v>
      </c>
      <c r="C1183"/>
      <c r="D1183" t="s">
        <v>329</v>
      </c>
      <c r="E1183" t="s">
        <v>1662</v>
      </c>
      <c r="F1183" t="s">
        <v>1683</v>
      </c>
      <c r="G1183" t="s">
        <v>280</v>
      </c>
      <c r="H1183" t="s">
        <v>1684</v>
      </c>
      <c r="I1183" t="s">
        <v>35</v>
      </c>
      <c r="J1183"/>
      <c r="K1183">
        <v>1</v>
      </c>
      <c r="L1183">
        <v>1</v>
      </c>
      <c r="M1183" t="s">
        <v>33</v>
      </c>
      <c r="N1183">
        <v>1</v>
      </c>
      <c r="O1183">
        <v>0.5</v>
      </c>
      <c r="P1183">
        <v>0.5</v>
      </c>
      <c r="Q1183" t="s">
        <v>38</v>
      </c>
      <c r="R1183">
        <v>1</v>
      </c>
      <c r="S1183">
        <v>0</v>
      </c>
      <c r="T1183"/>
      <c r="U1183"/>
      <c r="V1183"/>
      <c r="W1183"/>
      <c r="X1183">
        <v>0</v>
      </c>
      <c r="Y1183"/>
      <c r="Z1183">
        <v>0</v>
      </c>
      <c r="AA1183"/>
      <c r="AB1183"/>
      <c r="AC1183"/>
      <c r="AD1183"/>
      <c r="AE1183">
        <v>0</v>
      </c>
      <c r="AF1183"/>
      <c r="AG1183"/>
      <c r="AH1183"/>
    </row>
    <row r="1184" spans="1:34" x14ac:dyDescent="0.25">
      <c r="A1184" t="s">
        <v>1478</v>
      </c>
      <c r="B1184" t="s">
        <v>329</v>
      </c>
      <c r="C1184"/>
      <c r="D1184" t="s">
        <v>329</v>
      </c>
      <c r="E1184" t="s">
        <v>1662</v>
      </c>
      <c r="F1184" t="s">
        <v>1685</v>
      </c>
      <c r="G1184" t="s">
        <v>280</v>
      </c>
      <c r="H1184" t="s">
        <v>1686</v>
      </c>
      <c r="I1184" t="s">
        <v>35</v>
      </c>
      <c r="J1184"/>
      <c r="K1184">
        <v>1</v>
      </c>
      <c r="L1184">
        <v>1</v>
      </c>
      <c r="M1184" t="s">
        <v>33</v>
      </c>
      <c r="N1184">
        <v>1</v>
      </c>
      <c r="O1184">
        <v>0.5</v>
      </c>
      <c r="P1184">
        <v>0.5</v>
      </c>
      <c r="Q1184" t="s">
        <v>38</v>
      </c>
      <c r="R1184">
        <v>1</v>
      </c>
      <c r="S1184">
        <v>0</v>
      </c>
      <c r="T1184"/>
      <c r="U1184"/>
      <c r="V1184"/>
      <c r="W1184"/>
      <c r="X1184">
        <v>0</v>
      </c>
      <c r="Y1184"/>
      <c r="Z1184">
        <v>0</v>
      </c>
      <c r="AA1184"/>
      <c r="AB1184"/>
      <c r="AC1184"/>
      <c r="AD1184"/>
      <c r="AE1184">
        <v>0</v>
      </c>
      <c r="AF1184"/>
      <c r="AG1184"/>
      <c r="AH1184"/>
    </row>
    <row r="1185" spans="1:34" x14ac:dyDescent="0.25">
      <c r="A1185" t="s">
        <v>3440</v>
      </c>
      <c r="B1185" t="s">
        <v>3441</v>
      </c>
      <c r="C1185"/>
      <c r="D1185" t="s">
        <v>329</v>
      </c>
      <c r="E1185" t="s">
        <v>1662</v>
      </c>
      <c r="F1185" t="s">
        <v>1685</v>
      </c>
      <c r="G1185" t="s">
        <v>280</v>
      </c>
      <c r="H1185" t="s">
        <v>1686</v>
      </c>
      <c r="I1185" t="s">
        <v>35</v>
      </c>
      <c r="J1185"/>
      <c r="K1185">
        <v>1</v>
      </c>
      <c r="L1185">
        <v>1</v>
      </c>
      <c r="M1185" t="s">
        <v>33</v>
      </c>
      <c r="N1185">
        <v>1</v>
      </c>
      <c r="O1185">
        <v>0.5</v>
      </c>
      <c r="P1185">
        <v>0.5</v>
      </c>
      <c r="Q1185" t="s">
        <v>38</v>
      </c>
      <c r="R1185">
        <v>1</v>
      </c>
      <c r="S1185">
        <v>0</v>
      </c>
      <c r="T1185"/>
      <c r="U1185"/>
      <c r="V1185"/>
      <c r="W1185"/>
      <c r="X1185">
        <v>0</v>
      </c>
      <c r="Y1185"/>
      <c r="Z1185">
        <v>0</v>
      </c>
      <c r="AA1185"/>
      <c r="AB1185"/>
      <c r="AC1185"/>
      <c r="AD1185"/>
      <c r="AE1185">
        <v>0</v>
      </c>
      <c r="AF1185"/>
      <c r="AG1185"/>
      <c r="AH1185"/>
    </row>
    <row r="1186" spans="1:34" x14ac:dyDescent="0.25">
      <c r="A1186" t="s">
        <v>3442</v>
      </c>
      <c r="B1186" t="s">
        <v>3443</v>
      </c>
      <c r="C1186"/>
      <c r="D1186" t="s">
        <v>329</v>
      </c>
      <c r="E1186" t="s">
        <v>1662</v>
      </c>
      <c r="F1186" t="s">
        <v>1685</v>
      </c>
      <c r="G1186" t="s">
        <v>280</v>
      </c>
      <c r="H1186" t="s">
        <v>1686</v>
      </c>
      <c r="I1186" t="s">
        <v>35</v>
      </c>
      <c r="J1186"/>
      <c r="K1186">
        <v>1</v>
      </c>
      <c r="L1186">
        <v>1</v>
      </c>
      <c r="M1186" t="s">
        <v>33</v>
      </c>
      <c r="N1186">
        <v>1</v>
      </c>
      <c r="O1186">
        <v>0.5</v>
      </c>
      <c r="P1186">
        <v>0.5</v>
      </c>
      <c r="Q1186" t="s">
        <v>38</v>
      </c>
      <c r="R1186">
        <v>1</v>
      </c>
      <c r="S1186">
        <v>0</v>
      </c>
      <c r="T1186"/>
      <c r="U1186"/>
      <c r="V1186"/>
      <c r="W1186"/>
      <c r="X1186">
        <v>0</v>
      </c>
      <c r="Y1186"/>
      <c r="Z1186">
        <v>0</v>
      </c>
      <c r="AA1186"/>
      <c r="AB1186"/>
      <c r="AC1186"/>
      <c r="AD1186"/>
      <c r="AE1186">
        <v>0</v>
      </c>
      <c r="AF1186"/>
      <c r="AG1186"/>
      <c r="AH1186"/>
    </row>
    <row r="1187" spans="1:34" x14ac:dyDescent="0.25">
      <c r="A1187" t="s">
        <v>1478</v>
      </c>
      <c r="B1187" t="s">
        <v>329</v>
      </c>
      <c r="C1187"/>
      <c r="D1187" t="s">
        <v>329</v>
      </c>
      <c r="E1187" t="s">
        <v>1662</v>
      </c>
      <c r="F1187" t="s">
        <v>1687</v>
      </c>
      <c r="G1187" t="s">
        <v>280</v>
      </c>
      <c r="H1187" t="s">
        <v>1688</v>
      </c>
      <c r="I1187" t="s">
        <v>35</v>
      </c>
      <c r="J1187"/>
      <c r="K1187">
        <v>1</v>
      </c>
      <c r="L1187">
        <v>1</v>
      </c>
      <c r="M1187" t="s">
        <v>33</v>
      </c>
      <c r="N1187">
        <v>1</v>
      </c>
      <c r="O1187">
        <v>0.5</v>
      </c>
      <c r="P1187">
        <v>0.5</v>
      </c>
      <c r="Q1187" t="s">
        <v>38</v>
      </c>
      <c r="R1187">
        <v>1</v>
      </c>
      <c r="S1187">
        <v>0</v>
      </c>
      <c r="T1187"/>
      <c r="U1187"/>
      <c r="V1187"/>
      <c r="W1187"/>
      <c r="X1187">
        <v>0</v>
      </c>
      <c r="Y1187"/>
      <c r="Z1187">
        <v>0</v>
      </c>
      <c r="AA1187"/>
      <c r="AB1187"/>
      <c r="AC1187"/>
      <c r="AD1187"/>
      <c r="AE1187">
        <v>0</v>
      </c>
      <c r="AF1187"/>
      <c r="AG1187"/>
      <c r="AH1187"/>
    </row>
    <row r="1188" spans="1:34" x14ac:dyDescent="0.25">
      <c r="A1188" t="s">
        <v>3440</v>
      </c>
      <c r="B1188" t="s">
        <v>3441</v>
      </c>
      <c r="C1188"/>
      <c r="D1188" t="s">
        <v>329</v>
      </c>
      <c r="E1188" t="s">
        <v>1662</v>
      </c>
      <c r="F1188" t="s">
        <v>1687</v>
      </c>
      <c r="G1188" t="s">
        <v>280</v>
      </c>
      <c r="H1188" t="s">
        <v>1688</v>
      </c>
      <c r="I1188" t="s">
        <v>35</v>
      </c>
      <c r="J1188"/>
      <c r="K1188">
        <v>1</v>
      </c>
      <c r="L1188">
        <v>1</v>
      </c>
      <c r="M1188" t="s">
        <v>33</v>
      </c>
      <c r="N1188">
        <v>1</v>
      </c>
      <c r="O1188">
        <v>0.5</v>
      </c>
      <c r="P1188">
        <v>0.5</v>
      </c>
      <c r="Q1188" t="s">
        <v>38</v>
      </c>
      <c r="R1188">
        <v>1</v>
      </c>
      <c r="S1188">
        <v>0</v>
      </c>
      <c r="T1188"/>
      <c r="U1188"/>
      <c r="V1188"/>
      <c r="W1188"/>
      <c r="X1188">
        <v>0</v>
      </c>
      <c r="Y1188"/>
      <c r="Z1188">
        <v>0</v>
      </c>
      <c r="AA1188"/>
      <c r="AB1188"/>
      <c r="AC1188"/>
      <c r="AD1188"/>
      <c r="AE1188">
        <v>0</v>
      </c>
      <c r="AF1188"/>
      <c r="AG1188"/>
      <c r="AH1188"/>
    </row>
    <row r="1189" spans="1:34" x14ac:dyDescent="0.25">
      <c r="A1189" t="s">
        <v>3442</v>
      </c>
      <c r="B1189" t="s">
        <v>3443</v>
      </c>
      <c r="C1189"/>
      <c r="D1189" t="s">
        <v>329</v>
      </c>
      <c r="E1189" t="s">
        <v>1662</v>
      </c>
      <c r="F1189" t="s">
        <v>1687</v>
      </c>
      <c r="G1189" t="s">
        <v>280</v>
      </c>
      <c r="H1189" t="s">
        <v>1688</v>
      </c>
      <c r="I1189" t="s">
        <v>35</v>
      </c>
      <c r="J1189"/>
      <c r="K1189">
        <v>1</v>
      </c>
      <c r="L1189">
        <v>1</v>
      </c>
      <c r="M1189" t="s">
        <v>33</v>
      </c>
      <c r="N1189">
        <v>1</v>
      </c>
      <c r="O1189">
        <v>0.5</v>
      </c>
      <c r="P1189">
        <v>0.5</v>
      </c>
      <c r="Q1189" t="s">
        <v>38</v>
      </c>
      <c r="R1189">
        <v>1</v>
      </c>
      <c r="S1189">
        <v>0</v>
      </c>
      <c r="T1189"/>
      <c r="U1189"/>
      <c r="V1189"/>
      <c r="W1189"/>
      <c r="X1189">
        <v>0</v>
      </c>
      <c r="Y1189"/>
      <c r="Z1189">
        <v>0</v>
      </c>
      <c r="AA1189"/>
      <c r="AB1189"/>
      <c r="AC1189"/>
      <c r="AD1189"/>
      <c r="AE1189">
        <v>0</v>
      </c>
      <c r="AF1189"/>
      <c r="AG1189"/>
      <c r="AH1189"/>
    </row>
    <row r="1190" spans="1:34" x14ac:dyDescent="0.25">
      <c r="A1190" t="s">
        <v>1478</v>
      </c>
      <c r="B1190" t="s">
        <v>329</v>
      </c>
      <c r="C1190"/>
      <c r="D1190" t="s">
        <v>329</v>
      </c>
      <c r="E1190" t="s">
        <v>1662</v>
      </c>
      <c r="F1190" t="s">
        <v>1689</v>
      </c>
      <c r="G1190" t="s">
        <v>280</v>
      </c>
      <c r="H1190" t="s">
        <v>1688</v>
      </c>
      <c r="I1190" t="s">
        <v>35</v>
      </c>
      <c r="J1190"/>
      <c r="K1190">
        <v>1</v>
      </c>
      <c r="L1190">
        <v>1</v>
      </c>
      <c r="M1190" t="s">
        <v>33</v>
      </c>
      <c r="N1190">
        <v>1</v>
      </c>
      <c r="O1190">
        <v>0.5</v>
      </c>
      <c r="P1190">
        <v>0.5</v>
      </c>
      <c r="Q1190" t="s">
        <v>38</v>
      </c>
      <c r="R1190">
        <v>1</v>
      </c>
      <c r="S1190">
        <v>0</v>
      </c>
      <c r="T1190"/>
      <c r="U1190"/>
      <c r="V1190"/>
      <c r="W1190"/>
      <c r="X1190">
        <v>0</v>
      </c>
      <c r="Y1190"/>
      <c r="Z1190">
        <v>0</v>
      </c>
      <c r="AA1190"/>
      <c r="AB1190"/>
      <c r="AC1190"/>
      <c r="AD1190"/>
      <c r="AE1190">
        <v>0</v>
      </c>
      <c r="AF1190"/>
      <c r="AG1190"/>
      <c r="AH1190"/>
    </row>
    <row r="1191" spans="1:34" x14ac:dyDescent="0.25">
      <c r="A1191" t="s">
        <v>3440</v>
      </c>
      <c r="B1191" t="s">
        <v>3441</v>
      </c>
      <c r="C1191"/>
      <c r="D1191" t="s">
        <v>329</v>
      </c>
      <c r="E1191" t="s">
        <v>1662</v>
      </c>
      <c r="F1191" t="s">
        <v>1689</v>
      </c>
      <c r="G1191" t="s">
        <v>280</v>
      </c>
      <c r="H1191" t="s">
        <v>1688</v>
      </c>
      <c r="I1191" t="s">
        <v>35</v>
      </c>
      <c r="J1191"/>
      <c r="K1191">
        <v>1</v>
      </c>
      <c r="L1191">
        <v>1</v>
      </c>
      <c r="M1191" t="s">
        <v>33</v>
      </c>
      <c r="N1191">
        <v>1</v>
      </c>
      <c r="O1191">
        <v>0.5</v>
      </c>
      <c r="P1191">
        <v>0.5</v>
      </c>
      <c r="Q1191" t="s">
        <v>38</v>
      </c>
      <c r="R1191">
        <v>1</v>
      </c>
      <c r="S1191">
        <v>0</v>
      </c>
      <c r="T1191"/>
      <c r="U1191"/>
      <c r="V1191"/>
      <c r="W1191"/>
      <c r="X1191">
        <v>0</v>
      </c>
      <c r="Y1191"/>
      <c r="Z1191">
        <v>0</v>
      </c>
      <c r="AA1191"/>
      <c r="AB1191"/>
      <c r="AC1191"/>
      <c r="AD1191"/>
      <c r="AE1191">
        <v>0</v>
      </c>
      <c r="AF1191"/>
      <c r="AG1191"/>
      <c r="AH1191"/>
    </row>
    <row r="1192" spans="1:34" x14ac:dyDescent="0.25">
      <c r="A1192" t="s">
        <v>3442</v>
      </c>
      <c r="B1192" t="s">
        <v>3443</v>
      </c>
      <c r="C1192"/>
      <c r="D1192" t="s">
        <v>329</v>
      </c>
      <c r="E1192" t="s">
        <v>1662</v>
      </c>
      <c r="F1192" t="s">
        <v>1689</v>
      </c>
      <c r="G1192" t="s">
        <v>280</v>
      </c>
      <c r="H1192" t="s">
        <v>1688</v>
      </c>
      <c r="I1192" t="s">
        <v>35</v>
      </c>
      <c r="J1192"/>
      <c r="K1192">
        <v>1</v>
      </c>
      <c r="L1192">
        <v>1</v>
      </c>
      <c r="M1192" t="s">
        <v>33</v>
      </c>
      <c r="N1192">
        <v>1</v>
      </c>
      <c r="O1192">
        <v>0.5</v>
      </c>
      <c r="P1192">
        <v>0.5</v>
      </c>
      <c r="Q1192" t="s">
        <v>38</v>
      </c>
      <c r="R1192">
        <v>1</v>
      </c>
      <c r="S1192">
        <v>0</v>
      </c>
      <c r="T1192"/>
      <c r="U1192"/>
      <c r="V1192"/>
      <c r="W1192"/>
      <c r="X1192">
        <v>0</v>
      </c>
      <c r="Y1192"/>
      <c r="Z1192">
        <v>0</v>
      </c>
      <c r="AA1192"/>
      <c r="AB1192"/>
      <c r="AC1192"/>
      <c r="AD1192"/>
      <c r="AE1192">
        <v>0</v>
      </c>
      <c r="AF1192"/>
      <c r="AG1192"/>
      <c r="AH1192"/>
    </row>
    <row r="1193" spans="1:34" x14ac:dyDescent="0.25">
      <c r="A1193" t="s">
        <v>1478</v>
      </c>
      <c r="B1193" t="s">
        <v>329</v>
      </c>
      <c r="C1193"/>
      <c r="D1193" t="s">
        <v>329</v>
      </c>
      <c r="E1193" t="s">
        <v>1662</v>
      </c>
      <c r="F1193" t="s">
        <v>1690</v>
      </c>
      <c r="G1193" t="s">
        <v>280</v>
      </c>
      <c r="H1193" t="s">
        <v>1691</v>
      </c>
      <c r="I1193" t="s">
        <v>35</v>
      </c>
      <c r="J1193"/>
      <c r="K1193">
        <v>1</v>
      </c>
      <c r="L1193">
        <v>1</v>
      </c>
      <c r="M1193" t="s">
        <v>33</v>
      </c>
      <c r="N1193">
        <v>1</v>
      </c>
      <c r="O1193">
        <v>0.5</v>
      </c>
      <c r="P1193">
        <v>0.5</v>
      </c>
      <c r="Q1193" t="s">
        <v>38</v>
      </c>
      <c r="R1193">
        <v>1</v>
      </c>
      <c r="S1193">
        <v>0</v>
      </c>
      <c r="T1193"/>
      <c r="U1193"/>
      <c r="V1193"/>
      <c r="W1193"/>
      <c r="X1193">
        <v>0</v>
      </c>
      <c r="Y1193"/>
      <c r="Z1193">
        <v>0</v>
      </c>
      <c r="AA1193"/>
      <c r="AB1193"/>
      <c r="AC1193"/>
      <c r="AD1193"/>
      <c r="AE1193">
        <v>0</v>
      </c>
      <c r="AF1193"/>
      <c r="AG1193"/>
      <c r="AH1193"/>
    </row>
    <row r="1194" spans="1:34" x14ac:dyDescent="0.25">
      <c r="A1194" t="s">
        <v>3440</v>
      </c>
      <c r="B1194" t="s">
        <v>3441</v>
      </c>
      <c r="C1194"/>
      <c r="D1194" t="s">
        <v>329</v>
      </c>
      <c r="E1194" t="s">
        <v>1662</v>
      </c>
      <c r="F1194" t="s">
        <v>1690</v>
      </c>
      <c r="G1194" t="s">
        <v>280</v>
      </c>
      <c r="H1194" t="s">
        <v>1691</v>
      </c>
      <c r="I1194" t="s">
        <v>35</v>
      </c>
      <c r="J1194"/>
      <c r="K1194">
        <v>1</v>
      </c>
      <c r="L1194">
        <v>1</v>
      </c>
      <c r="M1194" t="s">
        <v>33</v>
      </c>
      <c r="N1194">
        <v>1</v>
      </c>
      <c r="O1194">
        <v>0.5</v>
      </c>
      <c r="P1194">
        <v>0.5</v>
      </c>
      <c r="Q1194" t="s">
        <v>38</v>
      </c>
      <c r="R1194">
        <v>1</v>
      </c>
      <c r="S1194">
        <v>0</v>
      </c>
      <c r="T1194"/>
      <c r="U1194"/>
      <c r="V1194"/>
      <c r="W1194"/>
      <c r="X1194">
        <v>0</v>
      </c>
      <c r="Y1194"/>
      <c r="Z1194">
        <v>0</v>
      </c>
      <c r="AA1194"/>
      <c r="AB1194"/>
      <c r="AC1194"/>
      <c r="AD1194"/>
      <c r="AE1194">
        <v>0</v>
      </c>
      <c r="AF1194"/>
      <c r="AG1194"/>
      <c r="AH1194"/>
    </row>
    <row r="1195" spans="1:34" x14ac:dyDescent="0.25">
      <c r="A1195" t="s">
        <v>3442</v>
      </c>
      <c r="B1195" t="s">
        <v>3443</v>
      </c>
      <c r="C1195"/>
      <c r="D1195" t="s">
        <v>329</v>
      </c>
      <c r="E1195" t="s">
        <v>1662</v>
      </c>
      <c r="F1195" t="s">
        <v>1690</v>
      </c>
      <c r="G1195" t="s">
        <v>280</v>
      </c>
      <c r="H1195" t="s">
        <v>1691</v>
      </c>
      <c r="I1195" t="s">
        <v>35</v>
      </c>
      <c r="J1195"/>
      <c r="K1195">
        <v>1</v>
      </c>
      <c r="L1195">
        <v>1</v>
      </c>
      <c r="M1195" t="s">
        <v>33</v>
      </c>
      <c r="N1195">
        <v>1</v>
      </c>
      <c r="O1195">
        <v>0.5</v>
      </c>
      <c r="P1195">
        <v>0.5</v>
      </c>
      <c r="Q1195" t="s">
        <v>38</v>
      </c>
      <c r="R1195">
        <v>1</v>
      </c>
      <c r="S1195">
        <v>0</v>
      </c>
      <c r="T1195"/>
      <c r="U1195"/>
      <c r="V1195"/>
      <c r="W1195"/>
      <c r="X1195">
        <v>0</v>
      </c>
      <c r="Y1195"/>
      <c r="Z1195">
        <v>0</v>
      </c>
      <c r="AA1195"/>
      <c r="AB1195"/>
      <c r="AC1195"/>
      <c r="AD1195"/>
      <c r="AE1195">
        <v>0</v>
      </c>
      <c r="AF1195"/>
      <c r="AG1195"/>
      <c r="AH1195"/>
    </row>
    <row r="1196" spans="1:34" x14ac:dyDescent="0.25">
      <c r="A1196" t="s">
        <v>1478</v>
      </c>
      <c r="B1196" t="s">
        <v>329</v>
      </c>
      <c r="C1196"/>
      <c r="D1196" t="s">
        <v>329</v>
      </c>
      <c r="E1196" t="s">
        <v>1662</v>
      </c>
      <c r="F1196" t="s">
        <v>1692</v>
      </c>
      <c r="G1196" t="s">
        <v>280</v>
      </c>
      <c r="H1196" t="s">
        <v>1693</v>
      </c>
      <c r="I1196" t="s">
        <v>35</v>
      </c>
      <c r="J1196"/>
      <c r="K1196">
        <v>1</v>
      </c>
      <c r="L1196">
        <v>1</v>
      </c>
      <c r="M1196" t="s">
        <v>33</v>
      </c>
      <c r="N1196">
        <v>1</v>
      </c>
      <c r="O1196">
        <v>0.5</v>
      </c>
      <c r="P1196">
        <v>0.5</v>
      </c>
      <c r="Q1196" t="s">
        <v>38</v>
      </c>
      <c r="R1196">
        <v>1</v>
      </c>
      <c r="S1196">
        <v>0</v>
      </c>
      <c r="T1196"/>
      <c r="U1196"/>
      <c r="V1196"/>
      <c r="W1196"/>
      <c r="X1196">
        <v>0</v>
      </c>
      <c r="Y1196"/>
      <c r="Z1196">
        <v>0</v>
      </c>
      <c r="AA1196"/>
      <c r="AB1196"/>
      <c r="AC1196"/>
      <c r="AD1196"/>
      <c r="AE1196">
        <v>0</v>
      </c>
      <c r="AF1196"/>
      <c r="AG1196"/>
      <c r="AH1196"/>
    </row>
    <row r="1197" spans="1:34" x14ac:dyDescent="0.25">
      <c r="A1197" t="s">
        <v>3440</v>
      </c>
      <c r="B1197" t="s">
        <v>3441</v>
      </c>
      <c r="C1197"/>
      <c r="D1197" t="s">
        <v>329</v>
      </c>
      <c r="E1197" t="s">
        <v>1662</v>
      </c>
      <c r="F1197" t="s">
        <v>1692</v>
      </c>
      <c r="G1197" t="s">
        <v>280</v>
      </c>
      <c r="H1197" t="s">
        <v>1693</v>
      </c>
      <c r="I1197" t="s">
        <v>35</v>
      </c>
      <c r="J1197"/>
      <c r="K1197">
        <v>1</v>
      </c>
      <c r="L1197">
        <v>1</v>
      </c>
      <c r="M1197" t="s">
        <v>33</v>
      </c>
      <c r="N1197">
        <v>1</v>
      </c>
      <c r="O1197">
        <v>0.5</v>
      </c>
      <c r="P1197">
        <v>0.5</v>
      </c>
      <c r="Q1197" t="s">
        <v>38</v>
      </c>
      <c r="R1197">
        <v>1</v>
      </c>
      <c r="S1197">
        <v>0</v>
      </c>
      <c r="T1197"/>
      <c r="U1197"/>
      <c r="V1197"/>
      <c r="W1197"/>
      <c r="X1197">
        <v>0</v>
      </c>
      <c r="Y1197"/>
      <c r="Z1197">
        <v>0</v>
      </c>
      <c r="AA1197"/>
      <c r="AB1197"/>
      <c r="AC1197"/>
      <c r="AD1197"/>
      <c r="AE1197">
        <v>0</v>
      </c>
      <c r="AF1197"/>
      <c r="AG1197"/>
      <c r="AH1197"/>
    </row>
    <row r="1198" spans="1:34" x14ac:dyDescent="0.25">
      <c r="A1198" t="s">
        <v>3442</v>
      </c>
      <c r="B1198" t="s">
        <v>3443</v>
      </c>
      <c r="C1198"/>
      <c r="D1198" t="s">
        <v>329</v>
      </c>
      <c r="E1198" t="s">
        <v>1662</v>
      </c>
      <c r="F1198" t="s">
        <v>1692</v>
      </c>
      <c r="G1198" t="s">
        <v>280</v>
      </c>
      <c r="H1198" t="s">
        <v>1693</v>
      </c>
      <c r="I1198" t="s">
        <v>35</v>
      </c>
      <c r="J1198"/>
      <c r="K1198">
        <v>1</v>
      </c>
      <c r="L1198">
        <v>1</v>
      </c>
      <c r="M1198" t="s">
        <v>33</v>
      </c>
      <c r="N1198">
        <v>1</v>
      </c>
      <c r="O1198">
        <v>0.5</v>
      </c>
      <c r="P1198">
        <v>0.5</v>
      </c>
      <c r="Q1198" t="s">
        <v>38</v>
      </c>
      <c r="R1198">
        <v>1</v>
      </c>
      <c r="S1198">
        <v>0</v>
      </c>
      <c r="T1198"/>
      <c r="U1198"/>
      <c r="V1198"/>
      <c r="W1198"/>
      <c r="X1198">
        <v>0</v>
      </c>
      <c r="Y1198"/>
      <c r="Z1198">
        <v>0</v>
      </c>
      <c r="AA1198"/>
      <c r="AB1198"/>
      <c r="AC1198"/>
      <c r="AD1198"/>
      <c r="AE1198">
        <v>0</v>
      </c>
      <c r="AF1198"/>
      <c r="AG1198"/>
      <c r="AH1198"/>
    </row>
    <row r="1199" spans="1:34" x14ac:dyDescent="0.25">
      <c r="A1199" t="s">
        <v>1478</v>
      </c>
      <c r="B1199" t="s">
        <v>329</v>
      </c>
      <c r="C1199"/>
      <c r="D1199" t="s">
        <v>329</v>
      </c>
      <c r="E1199" t="s">
        <v>1662</v>
      </c>
      <c r="F1199" t="s">
        <v>1694</v>
      </c>
      <c r="G1199" t="s">
        <v>280</v>
      </c>
      <c r="H1199" t="s">
        <v>1695</v>
      </c>
      <c r="I1199" t="s">
        <v>35</v>
      </c>
      <c r="J1199"/>
      <c r="K1199">
        <v>1</v>
      </c>
      <c r="L1199">
        <v>1</v>
      </c>
      <c r="M1199" t="s">
        <v>33</v>
      </c>
      <c r="N1199">
        <v>1</v>
      </c>
      <c r="O1199">
        <v>0.5</v>
      </c>
      <c r="P1199">
        <v>0.5</v>
      </c>
      <c r="Q1199" t="s">
        <v>38</v>
      </c>
      <c r="R1199">
        <v>1</v>
      </c>
      <c r="S1199">
        <v>0</v>
      </c>
      <c r="T1199"/>
      <c r="U1199"/>
      <c r="V1199"/>
      <c r="W1199"/>
      <c r="X1199">
        <v>0</v>
      </c>
      <c r="Y1199"/>
      <c r="Z1199">
        <v>0</v>
      </c>
      <c r="AA1199"/>
      <c r="AB1199"/>
      <c r="AC1199"/>
      <c r="AD1199"/>
      <c r="AE1199">
        <v>0</v>
      </c>
      <c r="AF1199"/>
      <c r="AG1199"/>
      <c r="AH1199"/>
    </row>
    <row r="1200" spans="1:34" x14ac:dyDescent="0.25">
      <c r="A1200" t="s">
        <v>3440</v>
      </c>
      <c r="B1200" t="s">
        <v>3441</v>
      </c>
      <c r="C1200"/>
      <c r="D1200" t="s">
        <v>329</v>
      </c>
      <c r="E1200" t="s">
        <v>1662</v>
      </c>
      <c r="F1200" t="s">
        <v>1694</v>
      </c>
      <c r="G1200" t="s">
        <v>280</v>
      </c>
      <c r="H1200" t="s">
        <v>1695</v>
      </c>
      <c r="I1200" t="s">
        <v>35</v>
      </c>
      <c r="J1200"/>
      <c r="K1200">
        <v>1</v>
      </c>
      <c r="L1200">
        <v>1</v>
      </c>
      <c r="M1200" t="s">
        <v>33</v>
      </c>
      <c r="N1200">
        <v>1</v>
      </c>
      <c r="O1200">
        <v>0.5</v>
      </c>
      <c r="P1200">
        <v>0.5</v>
      </c>
      <c r="Q1200" t="s">
        <v>38</v>
      </c>
      <c r="R1200">
        <v>1</v>
      </c>
      <c r="S1200">
        <v>0</v>
      </c>
      <c r="T1200"/>
      <c r="U1200"/>
      <c r="V1200"/>
      <c r="W1200"/>
      <c r="X1200">
        <v>0</v>
      </c>
      <c r="Y1200"/>
      <c r="Z1200">
        <v>0</v>
      </c>
      <c r="AA1200"/>
      <c r="AB1200"/>
      <c r="AC1200"/>
      <c r="AD1200"/>
      <c r="AE1200">
        <v>0</v>
      </c>
      <c r="AF1200"/>
      <c r="AG1200"/>
      <c r="AH1200"/>
    </row>
    <row r="1201" spans="1:34" x14ac:dyDescent="0.25">
      <c r="A1201" t="s">
        <v>3442</v>
      </c>
      <c r="B1201" t="s">
        <v>3443</v>
      </c>
      <c r="C1201"/>
      <c r="D1201" t="s">
        <v>329</v>
      </c>
      <c r="E1201" t="s">
        <v>1662</v>
      </c>
      <c r="F1201" t="s">
        <v>1694</v>
      </c>
      <c r="G1201" t="s">
        <v>280</v>
      </c>
      <c r="H1201" t="s">
        <v>1695</v>
      </c>
      <c r="I1201" t="s">
        <v>35</v>
      </c>
      <c r="J1201"/>
      <c r="K1201">
        <v>1</v>
      </c>
      <c r="L1201">
        <v>1</v>
      </c>
      <c r="M1201" t="s">
        <v>33</v>
      </c>
      <c r="N1201">
        <v>1</v>
      </c>
      <c r="O1201">
        <v>0.5</v>
      </c>
      <c r="P1201">
        <v>0.5</v>
      </c>
      <c r="Q1201" t="s">
        <v>38</v>
      </c>
      <c r="R1201">
        <v>1</v>
      </c>
      <c r="S1201">
        <v>0</v>
      </c>
      <c r="T1201"/>
      <c r="U1201"/>
      <c r="V1201"/>
      <c r="W1201"/>
      <c r="X1201">
        <v>0</v>
      </c>
      <c r="Y1201"/>
      <c r="Z1201">
        <v>0</v>
      </c>
      <c r="AA1201"/>
      <c r="AB1201"/>
      <c r="AC1201"/>
      <c r="AD1201"/>
      <c r="AE1201">
        <v>0</v>
      </c>
      <c r="AF1201"/>
      <c r="AG1201"/>
      <c r="AH1201"/>
    </row>
    <row r="1202" spans="1:34" x14ac:dyDescent="0.25">
      <c r="A1202" t="s">
        <v>1478</v>
      </c>
      <c r="B1202" t="s">
        <v>329</v>
      </c>
      <c r="C1202"/>
      <c r="D1202" t="s">
        <v>329</v>
      </c>
      <c r="E1202" t="s">
        <v>1662</v>
      </c>
      <c r="F1202" t="s">
        <v>1696</v>
      </c>
      <c r="G1202" t="s">
        <v>280</v>
      </c>
      <c r="H1202" t="s">
        <v>1697</v>
      </c>
      <c r="I1202" t="s">
        <v>35</v>
      </c>
      <c r="J1202"/>
      <c r="K1202">
        <v>1</v>
      </c>
      <c r="L1202">
        <v>1</v>
      </c>
      <c r="M1202" t="s">
        <v>33</v>
      </c>
      <c r="N1202">
        <v>1</v>
      </c>
      <c r="O1202">
        <v>0.5</v>
      </c>
      <c r="P1202">
        <v>0.5</v>
      </c>
      <c r="Q1202" t="s">
        <v>38</v>
      </c>
      <c r="R1202">
        <v>1</v>
      </c>
      <c r="S1202">
        <v>0</v>
      </c>
      <c r="T1202"/>
      <c r="U1202"/>
      <c r="V1202"/>
      <c r="W1202"/>
      <c r="X1202">
        <v>0</v>
      </c>
      <c r="Y1202"/>
      <c r="Z1202">
        <v>0</v>
      </c>
      <c r="AA1202"/>
      <c r="AB1202"/>
      <c r="AC1202"/>
      <c r="AD1202"/>
      <c r="AE1202">
        <v>0</v>
      </c>
      <c r="AF1202"/>
      <c r="AG1202"/>
      <c r="AH1202"/>
    </row>
    <row r="1203" spans="1:34" x14ac:dyDescent="0.25">
      <c r="A1203" t="s">
        <v>3440</v>
      </c>
      <c r="B1203" t="s">
        <v>3441</v>
      </c>
      <c r="C1203"/>
      <c r="D1203" t="s">
        <v>329</v>
      </c>
      <c r="E1203" t="s">
        <v>1662</v>
      </c>
      <c r="F1203" t="s">
        <v>1696</v>
      </c>
      <c r="G1203" t="s">
        <v>280</v>
      </c>
      <c r="H1203" t="s">
        <v>1697</v>
      </c>
      <c r="I1203" t="s">
        <v>35</v>
      </c>
      <c r="J1203"/>
      <c r="K1203">
        <v>1</v>
      </c>
      <c r="L1203">
        <v>1</v>
      </c>
      <c r="M1203" t="s">
        <v>33</v>
      </c>
      <c r="N1203">
        <v>1</v>
      </c>
      <c r="O1203">
        <v>0.5</v>
      </c>
      <c r="P1203">
        <v>0.5</v>
      </c>
      <c r="Q1203" t="s">
        <v>38</v>
      </c>
      <c r="R1203">
        <v>1</v>
      </c>
      <c r="S1203">
        <v>0</v>
      </c>
      <c r="T1203"/>
      <c r="U1203"/>
      <c r="V1203"/>
      <c r="W1203"/>
      <c r="X1203">
        <v>0</v>
      </c>
      <c r="Y1203"/>
      <c r="Z1203">
        <v>0</v>
      </c>
      <c r="AA1203"/>
      <c r="AB1203"/>
      <c r="AC1203"/>
      <c r="AD1203"/>
      <c r="AE1203">
        <v>0</v>
      </c>
      <c r="AF1203"/>
      <c r="AG1203"/>
      <c r="AH1203"/>
    </row>
    <row r="1204" spans="1:34" x14ac:dyDescent="0.25">
      <c r="A1204" t="s">
        <v>3442</v>
      </c>
      <c r="B1204" t="s">
        <v>3443</v>
      </c>
      <c r="C1204"/>
      <c r="D1204" t="s">
        <v>329</v>
      </c>
      <c r="E1204" t="s">
        <v>1662</v>
      </c>
      <c r="F1204" t="s">
        <v>1696</v>
      </c>
      <c r="G1204" t="s">
        <v>280</v>
      </c>
      <c r="H1204" t="s">
        <v>1697</v>
      </c>
      <c r="I1204" t="s">
        <v>35</v>
      </c>
      <c r="J1204"/>
      <c r="K1204">
        <v>1</v>
      </c>
      <c r="L1204">
        <v>1</v>
      </c>
      <c r="M1204" t="s">
        <v>33</v>
      </c>
      <c r="N1204">
        <v>1</v>
      </c>
      <c r="O1204">
        <v>0.5</v>
      </c>
      <c r="P1204">
        <v>0.5</v>
      </c>
      <c r="Q1204" t="s">
        <v>38</v>
      </c>
      <c r="R1204">
        <v>1</v>
      </c>
      <c r="S1204">
        <v>0</v>
      </c>
      <c r="T1204"/>
      <c r="U1204"/>
      <c r="V1204"/>
      <c r="W1204"/>
      <c r="X1204">
        <v>0</v>
      </c>
      <c r="Y1204"/>
      <c r="Z1204">
        <v>0</v>
      </c>
      <c r="AA1204"/>
      <c r="AB1204"/>
      <c r="AC1204"/>
      <c r="AD1204"/>
      <c r="AE1204">
        <v>0</v>
      </c>
      <c r="AF1204"/>
      <c r="AG1204"/>
      <c r="AH1204"/>
    </row>
    <row r="1205" spans="1:34" x14ac:dyDescent="0.25">
      <c r="A1205" t="s">
        <v>1478</v>
      </c>
      <c r="B1205" t="s">
        <v>329</v>
      </c>
      <c r="C1205"/>
      <c r="D1205" t="s">
        <v>329</v>
      </c>
      <c r="E1205" t="s">
        <v>1662</v>
      </c>
      <c r="F1205" t="s">
        <v>1698</v>
      </c>
      <c r="G1205" t="s">
        <v>280</v>
      </c>
      <c r="H1205" t="s">
        <v>1697</v>
      </c>
      <c r="I1205" t="s">
        <v>35</v>
      </c>
      <c r="J1205"/>
      <c r="K1205">
        <v>1</v>
      </c>
      <c r="L1205">
        <v>1</v>
      </c>
      <c r="M1205" t="s">
        <v>33</v>
      </c>
      <c r="N1205">
        <v>1</v>
      </c>
      <c r="O1205">
        <v>0.5</v>
      </c>
      <c r="P1205">
        <v>0.5</v>
      </c>
      <c r="Q1205" t="s">
        <v>38</v>
      </c>
      <c r="R1205">
        <v>1</v>
      </c>
      <c r="S1205">
        <v>0</v>
      </c>
      <c r="T1205"/>
      <c r="U1205"/>
      <c r="V1205"/>
      <c r="W1205"/>
      <c r="X1205">
        <v>0</v>
      </c>
      <c r="Y1205"/>
      <c r="Z1205">
        <v>0</v>
      </c>
      <c r="AA1205"/>
      <c r="AB1205"/>
      <c r="AC1205"/>
      <c r="AD1205"/>
      <c r="AE1205">
        <v>0</v>
      </c>
      <c r="AF1205"/>
      <c r="AG1205"/>
      <c r="AH1205"/>
    </row>
    <row r="1206" spans="1:34" x14ac:dyDescent="0.25">
      <c r="A1206" t="s">
        <v>3440</v>
      </c>
      <c r="B1206" t="s">
        <v>3441</v>
      </c>
      <c r="C1206"/>
      <c r="D1206" t="s">
        <v>329</v>
      </c>
      <c r="E1206" t="s">
        <v>1662</v>
      </c>
      <c r="F1206" t="s">
        <v>1698</v>
      </c>
      <c r="G1206" t="s">
        <v>280</v>
      </c>
      <c r="H1206" t="s">
        <v>1697</v>
      </c>
      <c r="I1206" t="s">
        <v>35</v>
      </c>
      <c r="J1206"/>
      <c r="K1206">
        <v>1</v>
      </c>
      <c r="L1206">
        <v>1</v>
      </c>
      <c r="M1206" t="s">
        <v>33</v>
      </c>
      <c r="N1206">
        <v>1</v>
      </c>
      <c r="O1206">
        <v>0.5</v>
      </c>
      <c r="P1206">
        <v>0.5</v>
      </c>
      <c r="Q1206" t="s">
        <v>38</v>
      </c>
      <c r="R1206">
        <v>1</v>
      </c>
      <c r="S1206">
        <v>0</v>
      </c>
      <c r="T1206"/>
      <c r="U1206"/>
      <c r="V1206"/>
      <c r="W1206"/>
      <c r="X1206">
        <v>0</v>
      </c>
      <c r="Y1206"/>
      <c r="Z1206">
        <v>0</v>
      </c>
      <c r="AA1206"/>
      <c r="AB1206"/>
      <c r="AC1206"/>
      <c r="AD1206"/>
      <c r="AE1206">
        <v>0</v>
      </c>
      <c r="AF1206"/>
      <c r="AG1206"/>
      <c r="AH1206"/>
    </row>
    <row r="1207" spans="1:34" x14ac:dyDescent="0.25">
      <c r="A1207" t="s">
        <v>3442</v>
      </c>
      <c r="B1207" t="s">
        <v>3443</v>
      </c>
      <c r="C1207"/>
      <c r="D1207" t="s">
        <v>329</v>
      </c>
      <c r="E1207" t="s">
        <v>1662</v>
      </c>
      <c r="F1207" t="s">
        <v>1698</v>
      </c>
      <c r="G1207" t="s">
        <v>280</v>
      </c>
      <c r="H1207" t="s">
        <v>1697</v>
      </c>
      <c r="I1207" t="s">
        <v>35</v>
      </c>
      <c r="J1207"/>
      <c r="K1207">
        <v>1</v>
      </c>
      <c r="L1207">
        <v>1</v>
      </c>
      <c r="M1207" t="s">
        <v>33</v>
      </c>
      <c r="N1207">
        <v>1</v>
      </c>
      <c r="O1207">
        <v>0.5</v>
      </c>
      <c r="P1207">
        <v>0.5</v>
      </c>
      <c r="Q1207" t="s">
        <v>38</v>
      </c>
      <c r="R1207">
        <v>1</v>
      </c>
      <c r="S1207">
        <v>0</v>
      </c>
      <c r="T1207"/>
      <c r="U1207"/>
      <c r="V1207"/>
      <c r="W1207"/>
      <c r="X1207">
        <v>0</v>
      </c>
      <c r="Y1207"/>
      <c r="Z1207">
        <v>0</v>
      </c>
      <c r="AA1207"/>
      <c r="AB1207"/>
      <c r="AC1207"/>
      <c r="AD1207"/>
      <c r="AE1207">
        <v>0</v>
      </c>
      <c r="AF1207"/>
      <c r="AG1207"/>
      <c r="AH1207"/>
    </row>
    <row r="1208" spans="1:34" x14ac:dyDescent="0.25">
      <c r="A1208" t="s">
        <v>1478</v>
      </c>
      <c r="B1208" t="s">
        <v>329</v>
      </c>
      <c r="C1208"/>
      <c r="D1208" t="s">
        <v>329</v>
      </c>
      <c r="E1208" t="s">
        <v>1662</v>
      </c>
      <c r="F1208" t="s">
        <v>1699</v>
      </c>
      <c r="G1208" t="s">
        <v>280</v>
      </c>
      <c r="H1208" t="s">
        <v>1700</v>
      </c>
      <c r="I1208" t="s">
        <v>35</v>
      </c>
      <c r="J1208"/>
      <c r="K1208">
        <v>1</v>
      </c>
      <c r="L1208">
        <v>1</v>
      </c>
      <c r="M1208" t="s">
        <v>33</v>
      </c>
      <c r="N1208">
        <v>1</v>
      </c>
      <c r="O1208">
        <v>0.5</v>
      </c>
      <c r="P1208">
        <v>0.5</v>
      </c>
      <c r="Q1208" t="s">
        <v>38</v>
      </c>
      <c r="R1208">
        <v>1</v>
      </c>
      <c r="S1208">
        <v>0</v>
      </c>
      <c r="T1208"/>
      <c r="U1208"/>
      <c r="V1208"/>
      <c r="W1208"/>
      <c r="X1208">
        <v>0</v>
      </c>
      <c r="Y1208"/>
      <c r="Z1208">
        <v>0</v>
      </c>
      <c r="AA1208"/>
      <c r="AB1208"/>
      <c r="AC1208"/>
      <c r="AD1208"/>
      <c r="AE1208">
        <v>0</v>
      </c>
      <c r="AF1208"/>
      <c r="AG1208"/>
      <c r="AH1208"/>
    </row>
    <row r="1209" spans="1:34" x14ac:dyDescent="0.25">
      <c r="A1209" t="s">
        <v>3440</v>
      </c>
      <c r="B1209" t="s">
        <v>3441</v>
      </c>
      <c r="C1209"/>
      <c r="D1209" t="s">
        <v>329</v>
      </c>
      <c r="E1209" t="s">
        <v>1662</v>
      </c>
      <c r="F1209" t="s">
        <v>1699</v>
      </c>
      <c r="G1209" t="s">
        <v>280</v>
      </c>
      <c r="H1209" t="s">
        <v>1700</v>
      </c>
      <c r="I1209" t="s">
        <v>35</v>
      </c>
      <c r="J1209"/>
      <c r="K1209">
        <v>1</v>
      </c>
      <c r="L1209">
        <v>1</v>
      </c>
      <c r="M1209" t="s">
        <v>33</v>
      </c>
      <c r="N1209">
        <v>1</v>
      </c>
      <c r="O1209">
        <v>0.5</v>
      </c>
      <c r="P1209">
        <v>0.5</v>
      </c>
      <c r="Q1209" t="s">
        <v>38</v>
      </c>
      <c r="R1209">
        <v>1</v>
      </c>
      <c r="S1209">
        <v>0</v>
      </c>
      <c r="T1209"/>
      <c r="U1209"/>
      <c r="V1209"/>
      <c r="W1209"/>
      <c r="X1209">
        <v>0</v>
      </c>
      <c r="Y1209"/>
      <c r="Z1209">
        <v>0</v>
      </c>
      <c r="AA1209"/>
      <c r="AB1209"/>
      <c r="AC1209"/>
      <c r="AD1209"/>
      <c r="AE1209">
        <v>0</v>
      </c>
      <c r="AF1209"/>
      <c r="AG1209"/>
      <c r="AH1209"/>
    </row>
    <row r="1210" spans="1:34" x14ac:dyDescent="0.25">
      <c r="A1210" t="s">
        <v>3442</v>
      </c>
      <c r="B1210" t="s">
        <v>3443</v>
      </c>
      <c r="C1210"/>
      <c r="D1210" t="s">
        <v>329</v>
      </c>
      <c r="E1210" t="s">
        <v>1662</v>
      </c>
      <c r="F1210" t="s">
        <v>1699</v>
      </c>
      <c r="G1210" t="s">
        <v>280</v>
      </c>
      <c r="H1210" t="s">
        <v>1700</v>
      </c>
      <c r="I1210" t="s">
        <v>35</v>
      </c>
      <c r="J1210"/>
      <c r="K1210">
        <v>1</v>
      </c>
      <c r="L1210">
        <v>1</v>
      </c>
      <c r="M1210" t="s">
        <v>33</v>
      </c>
      <c r="N1210">
        <v>1</v>
      </c>
      <c r="O1210">
        <v>0.5</v>
      </c>
      <c r="P1210">
        <v>0.5</v>
      </c>
      <c r="Q1210" t="s">
        <v>38</v>
      </c>
      <c r="R1210">
        <v>1</v>
      </c>
      <c r="S1210">
        <v>0</v>
      </c>
      <c r="T1210"/>
      <c r="U1210"/>
      <c r="V1210"/>
      <c r="W1210"/>
      <c r="X1210">
        <v>0</v>
      </c>
      <c r="Y1210"/>
      <c r="Z1210">
        <v>0</v>
      </c>
      <c r="AA1210"/>
      <c r="AB1210"/>
      <c r="AC1210"/>
      <c r="AD1210"/>
      <c r="AE1210">
        <v>0</v>
      </c>
      <c r="AF1210"/>
      <c r="AG1210"/>
      <c r="AH1210"/>
    </row>
    <row r="1211" spans="1:34" x14ac:dyDescent="0.25">
      <c r="A1211" t="s">
        <v>1478</v>
      </c>
      <c r="B1211" t="s">
        <v>329</v>
      </c>
      <c r="C1211"/>
      <c r="D1211" t="s">
        <v>329</v>
      </c>
      <c r="E1211" t="s">
        <v>1662</v>
      </c>
      <c r="F1211" t="s">
        <v>1701</v>
      </c>
      <c r="G1211" t="s">
        <v>280</v>
      </c>
      <c r="H1211" t="s">
        <v>1702</v>
      </c>
      <c r="I1211" t="s">
        <v>35</v>
      </c>
      <c r="J1211"/>
      <c r="K1211">
        <v>1</v>
      </c>
      <c r="L1211">
        <v>1</v>
      </c>
      <c r="M1211" t="s">
        <v>33</v>
      </c>
      <c r="N1211">
        <v>1</v>
      </c>
      <c r="O1211">
        <v>0.5</v>
      </c>
      <c r="P1211">
        <v>0.5</v>
      </c>
      <c r="Q1211" t="s">
        <v>38</v>
      </c>
      <c r="R1211">
        <v>1</v>
      </c>
      <c r="S1211">
        <v>0</v>
      </c>
      <c r="T1211"/>
      <c r="U1211"/>
      <c r="V1211"/>
      <c r="W1211"/>
      <c r="X1211">
        <v>0</v>
      </c>
      <c r="Y1211"/>
      <c r="Z1211">
        <v>0</v>
      </c>
      <c r="AA1211"/>
      <c r="AB1211"/>
      <c r="AC1211"/>
      <c r="AD1211"/>
      <c r="AE1211">
        <v>0</v>
      </c>
      <c r="AF1211"/>
      <c r="AG1211"/>
      <c r="AH1211"/>
    </row>
    <row r="1212" spans="1:34" s="172" customFormat="1" x14ac:dyDescent="0.25">
      <c r="A1212" t="s">
        <v>3440</v>
      </c>
      <c r="B1212" t="s">
        <v>3441</v>
      </c>
      <c r="C1212"/>
      <c r="D1212" t="s">
        <v>329</v>
      </c>
      <c r="E1212" t="s">
        <v>1662</v>
      </c>
      <c r="F1212" t="s">
        <v>1701</v>
      </c>
      <c r="G1212" t="s">
        <v>280</v>
      </c>
      <c r="H1212" t="s">
        <v>1702</v>
      </c>
      <c r="I1212" t="s">
        <v>35</v>
      </c>
      <c r="J1212"/>
      <c r="K1212">
        <v>1</v>
      </c>
      <c r="L1212">
        <v>1</v>
      </c>
      <c r="M1212" t="s">
        <v>33</v>
      </c>
      <c r="N1212">
        <v>1</v>
      </c>
      <c r="O1212">
        <v>0.5</v>
      </c>
      <c r="P1212">
        <v>0.5</v>
      </c>
      <c r="Q1212" t="s">
        <v>38</v>
      </c>
      <c r="R1212">
        <v>1</v>
      </c>
      <c r="S1212">
        <v>0</v>
      </c>
      <c r="T1212"/>
      <c r="U1212"/>
      <c r="V1212"/>
      <c r="W1212"/>
      <c r="X1212">
        <v>0</v>
      </c>
      <c r="Y1212"/>
      <c r="Z1212">
        <v>0</v>
      </c>
      <c r="AA1212"/>
      <c r="AB1212"/>
      <c r="AC1212"/>
      <c r="AD1212"/>
      <c r="AE1212">
        <v>0</v>
      </c>
      <c r="AF1212"/>
      <c r="AG1212"/>
      <c r="AH1212"/>
    </row>
    <row r="1213" spans="1:34" x14ac:dyDescent="0.25">
      <c r="A1213" t="s">
        <v>3442</v>
      </c>
      <c r="B1213" t="s">
        <v>3443</v>
      </c>
      <c r="C1213"/>
      <c r="D1213" t="s">
        <v>329</v>
      </c>
      <c r="E1213" t="s">
        <v>1662</v>
      </c>
      <c r="F1213" t="s">
        <v>1701</v>
      </c>
      <c r="G1213" t="s">
        <v>280</v>
      </c>
      <c r="H1213" t="s">
        <v>1702</v>
      </c>
      <c r="I1213" t="s">
        <v>35</v>
      </c>
      <c r="J1213"/>
      <c r="K1213">
        <v>1</v>
      </c>
      <c r="L1213">
        <v>1</v>
      </c>
      <c r="M1213" t="s">
        <v>33</v>
      </c>
      <c r="N1213">
        <v>1</v>
      </c>
      <c r="O1213">
        <v>0.5</v>
      </c>
      <c r="P1213">
        <v>0.5</v>
      </c>
      <c r="Q1213" t="s">
        <v>38</v>
      </c>
      <c r="R1213">
        <v>1</v>
      </c>
      <c r="S1213">
        <v>0</v>
      </c>
      <c r="T1213"/>
      <c r="U1213"/>
      <c r="V1213"/>
      <c r="W1213"/>
      <c r="X1213">
        <v>0</v>
      </c>
      <c r="Y1213"/>
      <c r="Z1213">
        <v>0</v>
      </c>
      <c r="AA1213"/>
      <c r="AB1213"/>
      <c r="AC1213"/>
      <c r="AD1213"/>
      <c r="AE1213">
        <v>0</v>
      </c>
      <c r="AF1213"/>
      <c r="AG1213"/>
      <c r="AH1213"/>
    </row>
    <row r="1214" spans="1:34" x14ac:dyDescent="0.25">
      <c r="A1214" t="s">
        <v>1478</v>
      </c>
      <c r="B1214" t="s">
        <v>329</v>
      </c>
      <c r="C1214"/>
      <c r="D1214" t="s">
        <v>329</v>
      </c>
      <c r="E1214" t="s">
        <v>1662</v>
      </c>
      <c r="F1214" t="s">
        <v>1703</v>
      </c>
      <c r="G1214" t="s">
        <v>280</v>
      </c>
      <c r="H1214" t="s">
        <v>1704</v>
      </c>
      <c r="I1214" t="s">
        <v>35</v>
      </c>
      <c r="J1214"/>
      <c r="K1214">
        <v>1</v>
      </c>
      <c r="L1214">
        <v>1</v>
      </c>
      <c r="M1214" t="s">
        <v>33</v>
      </c>
      <c r="N1214">
        <v>1</v>
      </c>
      <c r="O1214">
        <v>0.5</v>
      </c>
      <c r="P1214">
        <v>0.5</v>
      </c>
      <c r="Q1214" t="s">
        <v>38</v>
      </c>
      <c r="R1214">
        <v>1</v>
      </c>
      <c r="S1214">
        <v>0</v>
      </c>
      <c r="T1214"/>
      <c r="U1214"/>
      <c r="V1214"/>
      <c r="W1214"/>
      <c r="X1214">
        <v>0</v>
      </c>
      <c r="Y1214"/>
      <c r="Z1214">
        <v>0</v>
      </c>
      <c r="AA1214"/>
      <c r="AB1214"/>
      <c r="AC1214"/>
      <c r="AD1214"/>
      <c r="AE1214">
        <v>0</v>
      </c>
      <c r="AF1214"/>
      <c r="AG1214"/>
      <c r="AH1214"/>
    </row>
    <row r="1215" spans="1:34" x14ac:dyDescent="0.25">
      <c r="A1215" t="s">
        <v>3440</v>
      </c>
      <c r="B1215" t="s">
        <v>3441</v>
      </c>
      <c r="C1215"/>
      <c r="D1215" t="s">
        <v>329</v>
      </c>
      <c r="E1215" t="s">
        <v>1662</v>
      </c>
      <c r="F1215" t="s">
        <v>1703</v>
      </c>
      <c r="G1215" t="s">
        <v>280</v>
      </c>
      <c r="H1215" t="s">
        <v>1704</v>
      </c>
      <c r="I1215" t="s">
        <v>35</v>
      </c>
      <c r="J1215"/>
      <c r="K1215">
        <v>1</v>
      </c>
      <c r="L1215">
        <v>1</v>
      </c>
      <c r="M1215" t="s">
        <v>33</v>
      </c>
      <c r="N1215">
        <v>1</v>
      </c>
      <c r="O1215">
        <v>0.5</v>
      </c>
      <c r="P1215">
        <v>0.5</v>
      </c>
      <c r="Q1215" t="s">
        <v>38</v>
      </c>
      <c r="R1215">
        <v>1</v>
      </c>
      <c r="S1215">
        <v>0</v>
      </c>
      <c r="T1215"/>
      <c r="U1215"/>
      <c r="V1215"/>
      <c r="W1215"/>
      <c r="X1215">
        <v>0</v>
      </c>
      <c r="Y1215"/>
      <c r="Z1215">
        <v>0</v>
      </c>
      <c r="AA1215"/>
      <c r="AB1215"/>
      <c r="AC1215"/>
      <c r="AD1215"/>
      <c r="AE1215">
        <v>0</v>
      </c>
      <c r="AF1215"/>
      <c r="AG1215"/>
      <c r="AH1215"/>
    </row>
    <row r="1216" spans="1:34" x14ac:dyDescent="0.25">
      <c r="A1216" t="s">
        <v>3442</v>
      </c>
      <c r="B1216" t="s">
        <v>3443</v>
      </c>
      <c r="C1216"/>
      <c r="D1216" t="s">
        <v>329</v>
      </c>
      <c r="E1216" t="s">
        <v>1662</v>
      </c>
      <c r="F1216" t="s">
        <v>1703</v>
      </c>
      <c r="G1216" t="s">
        <v>280</v>
      </c>
      <c r="H1216" t="s">
        <v>1704</v>
      </c>
      <c r="I1216" t="s">
        <v>35</v>
      </c>
      <c r="J1216"/>
      <c r="K1216">
        <v>1</v>
      </c>
      <c r="L1216">
        <v>1</v>
      </c>
      <c r="M1216" t="s">
        <v>33</v>
      </c>
      <c r="N1216">
        <v>1</v>
      </c>
      <c r="O1216">
        <v>0.5</v>
      </c>
      <c r="P1216">
        <v>0.5</v>
      </c>
      <c r="Q1216" t="s">
        <v>38</v>
      </c>
      <c r="R1216">
        <v>1</v>
      </c>
      <c r="S1216">
        <v>0</v>
      </c>
      <c r="T1216"/>
      <c r="U1216"/>
      <c r="V1216"/>
      <c r="W1216"/>
      <c r="X1216">
        <v>0</v>
      </c>
      <c r="Y1216"/>
      <c r="Z1216">
        <v>0</v>
      </c>
      <c r="AA1216"/>
      <c r="AB1216"/>
      <c r="AC1216"/>
      <c r="AD1216"/>
      <c r="AE1216">
        <v>0</v>
      </c>
      <c r="AF1216"/>
      <c r="AG1216"/>
      <c r="AH1216"/>
    </row>
    <row r="1217" spans="1:34" x14ac:dyDescent="0.25">
      <c r="A1217" t="s">
        <v>1478</v>
      </c>
      <c r="B1217" t="s">
        <v>329</v>
      </c>
      <c r="C1217"/>
      <c r="D1217" t="s">
        <v>329</v>
      </c>
      <c r="E1217" t="s">
        <v>1662</v>
      </c>
      <c r="F1217" t="s">
        <v>1705</v>
      </c>
      <c r="G1217" t="s">
        <v>280</v>
      </c>
      <c r="H1217" t="s">
        <v>1706</v>
      </c>
      <c r="I1217" t="s">
        <v>35</v>
      </c>
      <c r="J1217"/>
      <c r="K1217">
        <v>1</v>
      </c>
      <c r="L1217">
        <v>1</v>
      </c>
      <c r="M1217" t="s">
        <v>33</v>
      </c>
      <c r="N1217">
        <v>1</v>
      </c>
      <c r="O1217">
        <v>0.5</v>
      </c>
      <c r="P1217">
        <v>0.5</v>
      </c>
      <c r="Q1217" t="s">
        <v>38</v>
      </c>
      <c r="R1217">
        <v>1</v>
      </c>
      <c r="S1217">
        <v>0</v>
      </c>
      <c r="T1217"/>
      <c r="U1217"/>
      <c r="V1217"/>
      <c r="W1217"/>
      <c r="X1217">
        <v>0</v>
      </c>
      <c r="Y1217"/>
      <c r="Z1217">
        <v>0</v>
      </c>
      <c r="AA1217"/>
      <c r="AB1217"/>
      <c r="AC1217"/>
      <c r="AD1217"/>
      <c r="AE1217">
        <v>0</v>
      </c>
      <c r="AF1217"/>
      <c r="AG1217"/>
      <c r="AH1217"/>
    </row>
    <row r="1218" spans="1:34" x14ac:dyDescent="0.25">
      <c r="A1218" t="s">
        <v>3440</v>
      </c>
      <c r="B1218" t="s">
        <v>3441</v>
      </c>
      <c r="C1218"/>
      <c r="D1218" t="s">
        <v>329</v>
      </c>
      <c r="E1218" t="s">
        <v>1662</v>
      </c>
      <c r="F1218" t="s">
        <v>1705</v>
      </c>
      <c r="G1218" t="s">
        <v>280</v>
      </c>
      <c r="H1218" t="s">
        <v>1706</v>
      </c>
      <c r="I1218" t="s">
        <v>35</v>
      </c>
      <c r="J1218"/>
      <c r="K1218">
        <v>1</v>
      </c>
      <c r="L1218">
        <v>1</v>
      </c>
      <c r="M1218" t="s">
        <v>33</v>
      </c>
      <c r="N1218">
        <v>1</v>
      </c>
      <c r="O1218">
        <v>0.5</v>
      </c>
      <c r="P1218">
        <v>0.5</v>
      </c>
      <c r="Q1218" t="s">
        <v>38</v>
      </c>
      <c r="R1218">
        <v>1</v>
      </c>
      <c r="S1218">
        <v>0</v>
      </c>
      <c r="T1218"/>
      <c r="U1218"/>
      <c r="V1218"/>
      <c r="W1218"/>
      <c r="X1218">
        <v>0</v>
      </c>
      <c r="Y1218"/>
      <c r="Z1218">
        <v>0</v>
      </c>
      <c r="AA1218"/>
      <c r="AB1218"/>
      <c r="AC1218"/>
      <c r="AD1218"/>
      <c r="AE1218">
        <v>0</v>
      </c>
      <c r="AF1218"/>
      <c r="AG1218"/>
      <c r="AH1218"/>
    </row>
    <row r="1219" spans="1:34" x14ac:dyDescent="0.25">
      <c r="A1219" t="s">
        <v>3442</v>
      </c>
      <c r="B1219" t="s">
        <v>3443</v>
      </c>
      <c r="C1219"/>
      <c r="D1219" t="s">
        <v>329</v>
      </c>
      <c r="E1219" t="s">
        <v>1662</v>
      </c>
      <c r="F1219" t="s">
        <v>1705</v>
      </c>
      <c r="G1219" t="s">
        <v>280</v>
      </c>
      <c r="H1219" t="s">
        <v>1706</v>
      </c>
      <c r="I1219" t="s">
        <v>35</v>
      </c>
      <c r="J1219"/>
      <c r="K1219">
        <v>1</v>
      </c>
      <c r="L1219">
        <v>1</v>
      </c>
      <c r="M1219" t="s">
        <v>33</v>
      </c>
      <c r="N1219">
        <v>1</v>
      </c>
      <c r="O1219">
        <v>0.5</v>
      </c>
      <c r="P1219">
        <v>0.5</v>
      </c>
      <c r="Q1219" t="s">
        <v>38</v>
      </c>
      <c r="R1219">
        <v>1</v>
      </c>
      <c r="S1219">
        <v>0</v>
      </c>
      <c r="T1219"/>
      <c r="U1219"/>
      <c r="V1219"/>
      <c r="W1219"/>
      <c r="X1219">
        <v>0</v>
      </c>
      <c r="Y1219"/>
      <c r="Z1219">
        <v>0</v>
      </c>
      <c r="AA1219"/>
      <c r="AB1219"/>
      <c r="AC1219"/>
      <c r="AD1219"/>
      <c r="AE1219">
        <v>0</v>
      </c>
      <c r="AF1219"/>
      <c r="AG1219"/>
      <c r="AH1219"/>
    </row>
    <row r="1220" spans="1:34" x14ac:dyDescent="0.25">
      <c r="A1220" t="s">
        <v>1478</v>
      </c>
      <c r="B1220" t="s">
        <v>329</v>
      </c>
      <c r="C1220"/>
      <c r="D1220" t="s">
        <v>329</v>
      </c>
      <c r="E1220" t="s">
        <v>1662</v>
      </c>
      <c r="F1220" t="s">
        <v>1707</v>
      </c>
      <c r="G1220" t="s">
        <v>280</v>
      </c>
      <c r="H1220" t="s">
        <v>1706</v>
      </c>
      <c r="I1220" t="s">
        <v>35</v>
      </c>
      <c r="J1220"/>
      <c r="K1220">
        <v>1</v>
      </c>
      <c r="L1220">
        <v>1</v>
      </c>
      <c r="M1220" t="s">
        <v>33</v>
      </c>
      <c r="N1220">
        <v>1</v>
      </c>
      <c r="O1220">
        <v>0.5</v>
      </c>
      <c r="P1220">
        <v>0.5</v>
      </c>
      <c r="Q1220" t="s">
        <v>38</v>
      </c>
      <c r="R1220">
        <v>1</v>
      </c>
      <c r="S1220">
        <v>0</v>
      </c>
      <c r="T1220"/>
      <c r="U1220"/>
      <c r="V1220"/>
      <c r="W1220"/>
      <c r="X1220">
        <v>0</v>
      </c>
      <c r="Y1220"/>
      <c r="Z1220">
        <v>0</v>
      </c>
      <c r="AA1220"/>
      <c r="AB1220"/>
      <c r="AC1220"/>
      <c r="AD1220"/>
      <c r="AE1220">
        <v>0</v>
      </c>
      <c r="AF1220"/>
      <c r="AG1220"/>
      <c r="AH1220"/>
    </row>
    <row r="1221" spans="1:34" x14ac:dyDescent="0.25">
      <c r="A1221" t="s">
        <v>3440</v>
      </c>
      <c r="B1221" t="s">
        <v>3441</v>
      </c>
      <c r="C1221"/>
      <c r="D1221" t="s">
        <v>329</v>
      </c>
      <c r="E1221" t="s">
        <v>1662</v>
      </c>
      <c r="F1221" t="s">
        <v>1707</v>
      </c>
      <c r="G1221" t="s">
        <v>280</v>
      </c>
      <c r="H1221" t="s">
        <v>1706</v>
      </c>
      <c r="I1221" t="s">
        <v>35</v>
      </c>
      <c r="J1221"/>
      <c r="K1221">
        <v>1</v>
      </c>
      <c r="L1221">
        <v>1</v>
      </c>
      <c r="M1221" t="s">
        <v>33</v>
      </c>
      <c r="N1221">
        <v>1</v>
      </c>
      <c r="O1221">
        <v>0.5</v>
      </c>
      <c r="P1221">
        <v>0.5</v>
      </c>
      <c r="Q1221" t="s">
        <v>38</v>
      </c>
      <c r="R1221">
        <v>1</v>
      </c>
      <c r="S1221">
        <v>0</v>
      </c>
      <c r="T1221"/>
      <c r="U1221"/>
      <c r="V1221"/>
      <c r="W1221"/>
      <c r="X1221">
        <v>0</v>
      </c>
      <c r="Y1221"/>
      <c r="Z1221">
        <v>0</v>
      </c>
      <c r="AA1221"/>
      <c r="AB1221"/>
      <c r="AC1221"/>
      <c r="AD1221"/>
      <c r="AE1221">
        <v>0</v>
      </c>
      <c r="AF1221"/>
      <c r="AG1221"/>
      <c r="AH1221"/>
    </row>
    <row r="1222" spans="1:34" x14ac:dyDescent="0.25">
      <c r="A1222" t="s">
        <v>3442</v>
      </c>
      <c r="B1222" t="s">
        <v>3443</v>
      </c>
      <c r="C1222"/>
      <c r="D1222" t="s">
        <v>329</v>
      </c>
      <c r="E1222" t="s">
        <v>1662</v>
      </c>
      <c r="F1222" t="s">
        <v>1707</v>
      </c>
      <c r="G1222" t="s">
        <v>280</v>
      </c>
      <c r="H1222" t="s">
        <v>1706</v>
      </c>
      <c r="I1222" t="s">
        <v>35</v>
      </c>
      <c r="J1222"/>
      <c r="K1222">
        <v>1</v>
      </c>
      <c r="L1222">
        <v>1</v>
      </c>
      <c r="M1222" t="s">
        <v>33</v>
      </c>
      <c r="N1222">
        <v>1</v>
      </c>
      <c r="O1222">
        <v>0.5</v>
      </c>
      <c r="P1222">
        <v>0.5</v>
      </c>
      <c r="Q1222" t="s">
        <v>38</v>
      </c>
      <c r="R1222">
        <v>1</v>
      </c>
      <c r="S1222">
        <v>0</v>
      </c>
      <c r="T1222"/>
      <c r="U1222"/>
      <c r="V1222"/>
      <c r="W1222"/>
      <c r="X1222">
        <v>0</v>
      </c>
      <c r="Y1222"/>
      <c r="Z1222">
        <v>0</v>
      </c>
      <c r="AA1222"/>
      <c r="AB1222"/>
      <c r="AC1222"/>
      <c r="AD1222"/>
      <c r="AE1222">
        <v>0</v>
      </c>
      <c r="AF1222"/>
      <c r="AG1222"/>
      <c r="AH1222"/>
    </row>
    <row r="1223" spans="1:34" x14ac:dyDescent="0.25">
      <c r="A1223" t="s">
        <v>1478</v>
      </c>
      <c r="B1223" t="s">
        <v>329</v>
      </c>
      <c r="C1223"/>
      <c r="D1223" t="s">
        <v>329</v>
      </c>
      <c r="E1223" t="s">
        <v>1662</v>
      </c>
      <c r="F1223" t="s">
        <v>1708</v>
      </c>
      <c r="G1223" t="s">
        <v>280</v>
      </c>
      <c r="H1223" t="s">
        <v>1709</v>
      </c>
      <c r="I1223" t="s">
        <v>35</v>
      </c>
      <c r="J1223"/>
      <c r="K1223">
        <v>1</v>
      </c>
      <c r="L1223">
        <v>1</v>
      </c>
      <c r="M1223" t="s">
        <v>33</v>
      </c>
      <c r="N1223">
        <v>1</v>
      </c>
      <c r="O1223">
        <v>0.5</v>
      </c>
      <c r="P1223">
        <v>0.5</v>
      </c>
      <c r="Q1223" t="s">
        <v>38</v>
      </c>
      <c r="R1223">
        <v>1</v>
      </c>
      <c r="S1223">
        <v>0</v>
      </c>
      <c r="T1223"/>
      <c r="U1223"/>
      <c r="V1223"/>
      <c r="W1223"/>
      <c r="X1223">
        <v>0</v>
      </c>
      <c r="Y1223"/>
      <c r="Z1223">
        <v>0</v>
      </c>
      <c r="AA1223"/>
      <c r="AB1223"/>
      <c r="AC1223"/>
      <c r="AD1223"/>
      <c r="AE1223">
        <v>0</v>
      </c>
      <c r="AF1223"/>
      <c r="AG1223"/>
      <c r="AH1223"/>
    </row>
    <row r="1224" spans="1:34" x14ac:dyDescent="0.25">
      <c r="A1224" t="s">
        <v>3440</v>
      </c>
      <c r="B1224" t="s">
        <v>3441</v>
      </c>
      <c r="C1224"/>
      <c r="D1224" t="s">
        <v>329</v>
      </c>
      <c r="E1224" t="s">
        <v>1662</v>
      </c>
      <c r="F1224" t="s">
        <v>1708</v>
      </c>
      <c r="G1224" t="s">
        <v>280</v>
      </c>
      <c r="H1224" t="s">
        <v>1709</v>
      </c>
      <c r="I1224" t="s">
        <v>35</v>
      </c>
      <c r="J1224"/>
      <c r="K1224">
        <v>1</v>
      </c>
      <c r="L1224">
        <v>1</v>
      </c>
      <c r="M1224" t="s">
        <v>33</v>
      </c>
      <c r="N1224">
        <v>1</v>
      </c>
      <c r="O1224">
        <v>0.5</v>
      </c>
      <c r="P1224">
        <v>0.5</v>
      </c>
      <c r="Q1224" t="s">
        <v>38</v>
      </c>
      <c r="R1224">
        <v>1</v>
      </c>
      <c r="S1224">
        <v>0</v>
      </c>
      <c r="T1224"/>
      <c r="U1224"/>
      <c r="V1224"/>
      <c r="W1224"/>
      <c r="X1224">
        <v>0</v>
      </c>
      <c r="Y1224"/>
      <c r="Z1224">
        <v>0</v>
      </c>
      <c r="AA1224"/>
      <c r="AB1224"/>
      <c r="AC1224"/>
      <c r="AD1224"/>
      <c r="AE1224">
        <v>0</v>
      </c>
      <c r="AF1224"/>
      <c r="AG1224"/>
      <c r="AH1224"/>
    </row>
    <row r="1225" spans="1:34" x14ac:dyDescent="0.25">
      <c r="A1225" t="s">
        <v>3442</v>
      </c>
      <c r="B1225" t="s">
        <v>3443</v>
      </c>
      <c r="C1225"/>
      <c r="D1225" t="s">
        <v>329</v>
      </c>
      <c r="E1225" t="s">
        <v>1662</v>
      </c>
      <c r="F1225" t="s">
        <v>1708</v>
      </c>
      <c r="G1225" t="s">
        <v>280</v>
      </c>
      <c r="H1225" t="s">
        <v>1709</v>
      </c>
      <c r="I1225" t="s">
        <v>35</v>
      </c>
      <c r="J1225"/>
      <c r="K1225">
        <v>1</v>
      </c>
      <c r="L1225">
        <v>1</v>
      </c>
      <c r="M1225" t="s">
        <v>33</v>
      </c>
      <c r="N1225">
        <v>1</v>
      </c>
      <c r="O1225">
        <v>0.5</v>
      </c>
      <c r="P1225">
        <v>0.5</v>
      </c>
      <c r="Q1225" t="s">
        <v>38</v>
      </c>
      <c r="R1225">
        <v>1</v>
      </c>
      <c r="S1225">
        <v>0</v>
      </c>
      <c r="T1225"/>
      <c r="U1225"/>
      <c r="V1225"/>
      <c r="W1225"/>
      <c r="X1225">
        <v>0</v>
      </c>
      <c r="Y1225"/>
      <c r="Z1225">
        <v>0</v>
      </c>
      <c r="AA1225"/>
      <c r="AB1225"/>
      <c r="AC1225"/>
      <c r="AD1225"/>
      <c r="AE1225">
        <v>0</v>
      </c>
      <c r="AF1225"/>
      <c r="AG1225"/>
      <c r="AH1225"/>
    </row>
    <row r="1226" spans="1:34" x14ac:dyDescent="0.25">
      <c r="A1226" t="s">
        <v>1478</v>
      </c>
      <c r="B1226" t="s">
        <v>329</v>
      </c>
      <c r="C1226"/>
      <c r="D1226" t="s">
        <v>329</v>
      </c>
      <c r="E1226" t="s">
        <v>1662</v>
      </c>
      <c r="F1226" t="s">
        <v>1710</v>
      </c>
      <c r="G1226" t="s">
        <v>280</v>
      </c>
      <c r="H1226" t="s">
        <v>1711</v>
      </c>
      <c r="I1226" t="s">
        <v>35</v>
      </c>
      <c r="J1226"/>
      <c r="K1226">
        <v>1</v>
      </c>
      <c r="L1226">
        <v>1</v>
      </c>
      <c r="M1226" t="s">
        <v>33</v>
      </c>
      <c r="N1226">
        <v>1</v>
      </c>
      <c r="O1226">
        <v>0.5</v>
      </c>
      <c r="P1226">
        <v>0.5</v>
      </c>
      <c r="Q1226" t="s">
        <v>38</v>
      </c>
      <c r="R1226">
        <v>1</v>
      </c>
      <c r="S1226">
        <v>0</v>
      </c>
      <c r="T1226"/>
      <c r="U1226"/>
      <c r="V1226"/>
      <c r="W1226"/>
      <c r="X1226">
        <v>0</v>
      </c>
      <c r="Y1226"/>
      <c r="Z1226">
        <v>0</v>
      </c>
      <c r="AA1226"/>
      <c r="AB1226"/>
      <c r="AC1226"/>
      <c r="AD1226"/>
      <c r="AE1226">
        <v>0</v>
      </c>
      <c r="AF1226"/>
      <c r="AG1226"/>
      <c r="AH1226"/>
    </row>
    <row r="1227" spans="1:34" x14ac:dyDescent="0.25">
      <c r="A1227" t="s">
        <v>3440</v>
      </c>
      <c r="B1227" t="s">
        <v>3441</v>
      </c>
      <c r="C1227"/>
      <c r="D1227" t="s">
        <v>329</v>
      </c>
      <c r="E1227" t="s">
        <v>1662</v>
      </c>
      <c r="F1227" t="s">
        <v>1710</v>
      </c>
      <c r="G1227" t="s">
        <v>280</v>
      </c>
      <c r="H1227" t="s">
        <v>1711</v>
      </c>
      <c r="I1227" t="s">
        <v>35</v>
      </c>
      <c r="J1227"/>
      <c r="K1227">
        <v>1</v>
      </c>
      <c r="L1227">
        <v>1</v>
      </c>
      <c r="M1227" t="s">
        <v>33</v>
      </c>
      <c r="N1227">
        <v>1</v>
      </c>
      <c r="O1227">
        <v>0.5</v>
      </c>
      <c r="P1227">
        <v>0.5</v>
      </c>
      <c r="Q1227" t="s">
        <v>38</v>
      </c>
      <c r="R1227">
        <v>1</v>
      </c>
      <c r="S1227">
        <v>0</v>
      </c>
      <c r="T1227"/>
      <c r="U1227"/>
      <c r="V1227"/>
      <c r="W1227"/>
      <c r="X1227">
        <v>0</v>
      </c>
      <c r="Y1227"/>
      <c r="Z1227">
        <v>0</v>
      </c>
      <c r="AA1227"/>
      <c r="AB1227"/>
      <c r="AC1227"/>
      <c r="AD1227"/>
      <c r="AE1227">
        <v>0</v>
      </c>
      <c r="AF1227"/>
      <c r="AG1227"/>
      <c r="AH1227"/>
    </row>
    <row r="1228" spans="1:34" x14ac:dyDescent="0.25">
      <c r="A1228" t="s">
        <v>3442</v>
      </c>
      <c r="B1228" t="s">
        <v>3443</v>
      </c>
      <c r="C1228"/>
      <c r="D1228" t="s">
        <v>329</v>
      </c>
      <c r="E1228" t="s">
        <v>1662</v>
      </c>
      <c r="F1228" t="s">
        <v>1710</v>
      </c>
      <c r="G1228" t="s">
        <v>280</v>
      </c>
      <c r="H1228" t="s">
        <v>1711</v>
      </c>
      <c r="I1228" t="s">
        <v>35</v>
      </c>
      <c r="J1228"/>
      <c r="K1228">
        <v>1</v>
      </c>
      <c r="L1228">
        <v>1</v>
      </c>
      <c r="M1228" t="s">
        <v>33</v>
      </c>
      <c r="N1228">
        <v>1</v>
      </c>
      <c r="O1228">
        <v>0.5</v>
      </c>
      <c r="P1228">
        <v>0.5</v>
      </c>
      <c r="Q1228" t="s">
        <v>38</v>
      </c>
      <c r="R1228">
        <v>1</v>
      </c>
      <c r="S1228">
        <v>0</v>
      </c>
      <c r="T1228"/>
      <c r="U1228"/>
      <c r="V1228"/>
      <c r="W1228"/>
      <c r="X1228">
        <v>0</v>
      </c>
      <c r="Y1228"/>
      <c r="Z1228">
        <v>0</v>
      </c>
      <c r="AA1228"/>
      <c r="AB1228"/>
      <c r="AC1228"/>
      <c r="AD1228"/>
      <c r="AE1228">
        <v>0</v>
      </c>
      <c r="AF1228"/>
      <c r="AG1228"/>
      <c r="AH1228"/>
    </row>
    <row r="1229" spans="1:34" x14ac:dyDescent="0.25">
      <c r="A1229" t="s">
        <v>1478</v>
      </c>
      <c r="B1229" t="s">
        <v>329</v>
      </c>
      <c r="C1229"/>
      <c r="D1229" t="s">
        <v>329</v>
      </c>
      <c r="E1229" t="s">
        <v>1712</v>
      </c>
      <c r="F1229" t="s">
        <v>1713</v>
      </c>
      <c r="G1229" t="s">
        <v>280</v>
      </c>
      <c r="H1229" t="s">
        <v>1714</v>
      </c>
      <c r="I1229" t="s">
        <v>35</v>
      </c>
      <c r="J1229"/>
      <c r="K1229">
        <v>1</v>
      </c>
      <c r="L1229">
        <v>1</v>
      </c>
      <c r="M1229" t="s">
        <v>33</v>
      </c>
      <c r="N1229">
        <v>1</v>
      </c>
      <c r="O1229">
        <v>0.5</v>
      </c>
      <c r="P1229">
        <v>0.5</v>
      </c>
      <c r="Q1229" t="s">
        <v>38</v>
      </c>
      <c r="R1229">
        <v>1</v>
      </c>
      <c r="S1229">
        <v>0</v>
      </c>
      <c r="T1229"/>
      <c r="U1229"/>
      <c r="V1229"/>
      <c r="W1229"/>
      <c r="X1229">
        <v>0</v>
      </c>
      <c r="Y1229"/>
      <c r="Z1229">
        <v>0</v>
      </c>
      <c r="AA1229"/>
      <c r="AB1229"/>
      <c r="AC1229"/>
      <c r="AD1229"/>
      <c r="AE1229">
        <v>0</v>
      </c>
      <c r="AF1229"/>
      <c r="AG1229"/>
      <c r="AH1229"/>
    </row>
    <row r="1230" spans="1:34" x14ac:dyDescent="0.25">
      <c r="A1230" t="s">
        <v>3440</v>
      </c>
      <c r="B1230" t="s">
        <v>3441</v>
      </c>
      <c r="C1230"/>
      <c r="D1230" t="s">
        <v>329</v>
      </c>
      <c r="E1230" t="s">
        <v>1712</v>
      </c>
      <c r="F1230" t="s">
        <v>1713</v>
      </c>
      <c r="G1230" t="s">
        <v>280</v>
      </c>
      <c r="H1230" t="s">
        <v>1714</v>
      </c>
      <c r="I1230" t="s">
        <v>35</v>
      </c>
      <c r="J1230"/>
      <c r="K1230">
        <v>1</v>
      </c>
      <c r="L1230">
        <v>1</v>
      </c>
      <c r="M1230" t="s">
        <v>33</v>
      </c>
      <c r="N1230">
        <v>1</v>
      </c>
      <c r="O1230">
        <v>0.5</v>
      </c>
      <c r="P1230">
        <v>0.5</v>
      </c>
      <c r="Q1230" t="s">
        <v>38</v>
      </c>
      <c r="R1230">
        <v>1</v>
      </c>
      <c r="S1230">
        <v>0</v>
      </c>
      <c r="T1230"/>
      <c r="U1230"/>
      <c r="V1230"/>
      <c r="W1230"/>
      <c r="X1230">
        <v>0</v>
      </c>
      <c r="Y1230"/>
      <c r="Z1230">
        <v>0</v>
      </c>
      <c r="AA1230"/>
      <c r="AB1230"/>
      <c r="AC1230"/>
      <c r="AD1230"/>
      <c r="AE1230">
        <v>0</v>
      </c>
      <c r="AF1230"/>
      <c r="AG1230"/>
      <c r="AH1230"/>
    </row>
    <row r="1231" spans="1:34" x14ac:dyDescent="0.25">
      <c r="A1231" t="s">
        <v>3442</v>
      </c>
      <c r="B1231" t="s">
        <v>3443</v>
      </c>
      <c r="C1231"/>
      <c r="D1231" t="s">
        <v>329</v>
      </c>
      <c r="E1231" t="s">
        <v>1712</v>
      </c>
      <c r="F1231" t="s">
        <v>1713</v>
      </c>
      <c r="G1231" t="s">
        <v>280</v>
      </c>
      <c r="H1231" t="s">
        <v>1714</v>
      </c>
      <c r="I1231" t="s">
        <v>35</v>
      </c>
      <c r="J1231"/>
      <c r="K1231">
        <v>1</v>
      </c>
      <c r="L1231">
        <v>1</v>
      </c>
      <c r="M1231" t="s">
        <v>33</v>
      </c>
      <c r="N1231">
        <v>1</v>
      </c>
      <c r="O1231">
        <v>0.5</v>
      </c>
      <c r="P1231">
        <v>0.5</v>
      </c>
      <c r="Q1231" t="s">
        <v>38</v>
      </c>
      <c r="R1231">
        <v>1</v>
      </c>
      <c r="S1231">
        <v>0</v>
      </c>
      <c r="T1231"/>
      <c r="U1231"/>
      <c r="V1231"/>
      <c r="W1231"/>
      <c r="X1231">
        <v>0</v>
      </c>
      <c r="Y1231"/>
      <c r="Z1231">
        <v>0</v>
      </c>
      <c r="AA1231"/>
      <c r="AB1231"/>
      <c r="AC1231"/>
      <c r="AD1231"/>
      <c r="AE1231">
        <v>0</v>
      </c>
      <c r="AF1231"/>
      <c r="AG1231"/>
      <c r="AH1231"/>
    </row>
    <row r="1232" spans="1:34" x14ac:dyDescent="0.25">
      <c r="A1232" t="s">
        <v>1478</v>
      </c>
      <c r="B1232" t="s">
        <v>329</v>
      </c>
      <c r="C1232"/>
      <c r="D1232" t="s">
        <v>329</v>
      </c>
      <c r="E1232" t="s">
        <v>1712</v>
      </c>
      <c r="F1232" t="s">
        <v>1715</v>
      </c>
      <c r="G1232" t="s">
        <v>280</v>
      </c>
      <c r="H1232" t="s">
        <v>1716</v>
      </c>
      <c r="I1232" t="s">
        <v>35</v>
      </c>
      <c r="J1232"/>
      <c r="K1232">
        <v>1</v>
      </c>
      <c r="L1232">
        <v>1</v>
      </c>
      <c r="M1232" t="s">
        <v>33</v>
      </c>
      <c r="N1232">
        <v>1</v>
      </c>
      <c r="O1232">
        <v>0.5</v>
      </c>
      <c r="P1232">
        <v>0.5</v>
      </c>
      <c r="Q1232" t="s">
        <v>38</v>
      </c>
      <c r="R1232">
        <v>1</v>
      </c>
      <c r="S1232">
        <v>0</v>
      </c>
      <c r="T1232"/>
      <c r="U1232"/>
      <c r="V1232"/>
      <c r="W1232"/>
      <c r="X1232">
        <v>0</v>
      </c>
      <c r="Y1232"/>
      <c r="Z1232">
        <v>0</v>
      </c>
      <c r="AA1232"/>
      <c r="AB1232"/>
      <c r="AC1232"/>
      <c r="AD1232"/>
      <c r="AE1232">
        <v>0</v>
      </c>
      <c r="AF1232"/>
      <c r="AG1232"/>
      <c r="AH1232"/>
    </row>
    <row r="1233" spans="1:34" x14ac:dyDescent="0.25">
      <c r="A1233" t="s">
        <v>3440</v>
      </c>
      <c r="B1233" t="s">
        <v>3441</v>
      </c>
      <c r="C1233"/>
      <c r="D1233" t="s">
        <v>329</v>
      </c>
      <c r="E1233" t="s">
        <v>1712</v>
      </c>
      <c r="F1233" t="s">
        <v>1715</v>
      </c>
      <c r="G1233" t="s">
        <v>280</v>
      </c>
      <c r="H1233" t="s">
        <v>1716</v>
      </c>
      <c r="I1233" t="s">
        <v>35</v>
      </c>
      <c r="J1233"/>
      <c r="K1233">
        <v>1</v>
      </c>
      <c r="L1233">
        <v>1</v>
      </c>
      <c r="M1233" t="s">
        <v>33</v>
      </c>
      <c r="N1233">
        <v>1</v>
      </c>
      <c r="O1233">
        <v>0.5</v>
      </c>
      <c r="P1233">
        <v>0.5</v>
      </c>
      <c r="Q1233" t="s">
        <v>38</v>
      </c>
      <c r="R1233">
        <v>1</v>
      </c>
      <c r="S1233">
        <v>0</v>
      </c>
      <c r="T1233"/>
      <c r="U1233"/>
      <c r="V1233"/>
      <c r="W1233"/>
      <c r="X1233">
        <v>0</v>
      </c>
      <c r="Y1233"/>
      <c r="Z1233">
        <v>0</v>
      </c>
      <c r="AA1233"/>
      <c r="AB1233"/>
      <c r="AC1233"/>
      <c r="AD1233"/>
      <c r="AE1233">
        <v>0</v>
      </c>
      <c r="AF1233"/>
      <c r="AG1233"/>
      <c r="AH1233"/>
    </row>
    <row r="1234" spans="1:34" x14ac:dyDescent="0.25">
      <c r="A1234" t="s">
        <v>3442</v>
      </c>
      <c r="B1234" t="s">
        <v>3443</v>
      </c>
      <c r="C1234"/>
      <c r="D1234" t="s">
        <v>329</v>
      </c>
      <c r="E1234" t="s">
        <v>1712</v>
      </c>
      <c r="F1234" t="s">
        <v>1715</v>
      </c>
      <c r="G1234" t="s">
        <v>280</v>
      </c>
      <c r="H1234" t="s">
        <v>1716</v>
      </c>
      <c r="I1234" t="s">
        <v>35</v>
      </c>
      <c r="J1234"/>
      <c r="K1234">
        <v>1</v>
      </c>
      <c r="L1234">
        <v>1</v>
      </c>
      <c r="M1234" t="s">
        <v>33</v>
      </c>
      <c r="N1234">
        <v>1</v>
      </c>
      <c r="O1234">
        <v>0.5</v>
      </c>
      <c r="P1234">
        <v>0.5</v>
      </c>
      <c r="Q1234" t="s">
        <v>38</v>
      </c>
      <c r="R1234">
        <v>1</v>
      </c>
      <c r="S1234">
        <v>0</v>
      </c>
      <c r="T1234"/>
      <c r="U1234"/>
      <c r="V1234"/>
      <c r="W1234"/>
      <c r="X1234">
        <v>0</v>
      </c>
      <c r="Y1234"/>
      <c r="Z1234">
        <v>0</v>
      </c>
      <c r="AA1234"/>
      <c r="AB1234"/>
      <c r="AC1234"/>
      <c r="AD1234"/>
      <c r="AE1234">
        <v>0</v>
      </c>
      <c r="AF1234"/>
      <c r="AG1234"/>
      <c r="AH1234"/>
    </row>
    <row r="1235" spans="1:34" x14ac:dyDescent="0.25">
      <c r="A1235" t="s">
        <v>1478</v>
      </c>
      <c r="B1235" t="s">
        <v>329</v>
      </c>
      <c r="C1235"/>
      <c r="D1235" t="s">
        <v>329</v>
      </c>
      <c r="E1235" t="s">
        <v>1712</v>
      </c>
      <c r="F1235" t="s">
        <v>1717</v>
      </c>
      <c r="G1235" t="s">
        <v>280</v>
      </c>
      <c r="H1235" t="s">
        <v>1718</v>
      </c>
      <c r="I1235" t="s">
        <v>35</v>
      </c>
      <c r="J1235"/>
      <c r="K1235">
        <v>1</v>
      </c>
      <c r="L1235">
        <v>1</v>
      </c>
      <c r="M1235" t="s">
        <v>33</v>
      </c>
      <c r="N1235">
        <v>1</v>
      </c>
      <c r="O1235">
        <v>0.5</v>
      </c>
      <c r="P1235">
        <v>0.5</v>
      </c>
      <c r="Q1235" t="s">
        <v>38</v>
      </c>
      <c r="R1235">
        <v>1</v>
      </c>
      <c r="S1235">
        <v>0</v>
      </c>
      <c r="T1235"/>
      <c r="U1235"/>
      <c r="V1235"/>
      <c r="W1235"/>
      <c r="X1235">
        <v>0</v>
      </c>
      <c r="Y1235"/>
      <c r="Z1235">
        <v>0</v>
      </c>
      <c r="AA1235"/>
      <c r="AB1235"/>
      <c r="AC1235"/>
      <c r="AD1235"/>
      <c r="AE1235">
        <v>0</v>
      </c>
      <c r="AF1235"/>
      <c r="AG1235"/>
      <c r="AH1235"/>
    </row>
    <row r="1236" spans="1:34" x14ac:dyDescent="0.25">
      <c r="A1236" t="s">
        <v>3440</v>
      </c>
      <c r="B1236" t="s">
        <v>3441</v>
      </c>
      <c r="C1236"/>
      <c r="D1236" t="s">
        <v>329</v>
      </c>
      <c r="E1236" t="s">
        <v>1712</v>
      </c>
      <c r="F1236" t="s">
        <v>1717</v>
      </c>
      <c r="G1236" t="s">
        <v>280</v>
      </c>
      <c r="H1236" t="s">
        <v>1718</v>
      </c>
      <c r="I1236" t="s">
        <v>35</v>
      </c>
      <c r="J1236"/>
      <c r="K1236">
        <v>1</v>
      </c>
      <c r="L1236">
        <v>1</v>
      </c>
      <c r="M1236" t="s">
        <v>33</v>
      </c>
      <c r="N1236">
        <v>1</v>
      </c>
      <c r="O1236">
        <v>0.5</v>
      </c>
      <c r="P1236">
        <v>0.5</v>
      </c>
      <c r="Q1236" t="s">
        <v>38</v>
      </c>
      <c r="R1236">
        <v>1</v>
      </c>
      <c r="S1236">
        <v>0</v>
      </c>
      <c r="T1236"/>
      <c r="U1236"/>
      <c r="V1236"/>
      <c r="W1236"/>
      <c r="X1236">
        <v>0</v>
      </c>
      <c r="Y1236"/>
      <c r="Z1236">
        <v>0</v>
      </c>
      <c r="AA1236"/>
      <c r="AB1236"/>
      <c r="AC1236"/>
      <c r="AD1236"/>
      <c r="AE1236">
        <v>0</v>
      </c>
      <c r="AF1236"/>
      <c r="AG1236"/>
      <c r="AH1236"/>
    </row>
    <row r="1237" spans="1:34" x14ac:dyDescent="0.25">
      <c r="A1237" t="s">
        <v>3442</v>
      </c>
      <c r="B1237" t="s">
        <v>3443</v>
      </c>
      <c r="C1237"/>
      <c r="D1237" t="s">
        <v>329</v>
      </c>
      <c r="E1237" t="s">
        <v>1712</v>
      </c>
      <c r="F1237" t="s">
        <v>1717</v>
      </c>
      <c r="G1237" t="s">
        <v>280</v>
      </c>
      <c r="H1237" t="s">
        <v>1718</v>
      </c>
      <c r="I1237" t="s">
        <v>35</v>
      </c>
      <c r="J1237"/>
      <c r="K1237">
        <v>1</v>
      </c>
      <c r="L1237">
        <v>1</v>
      </c>
      <c r="M1237" t="s">
        <v>33</v>
      </c>
      <c r="N1237">
        <v>1</v>
      </c>
      <c r="O1237">
        <v>0.5</v>
      </c>
      <c r="P1237">
        <v>0.5</v>
      </c>
      <c r="Q1237" t="s">
        <v>38</v>
      </c>
      <c r="R1237">
        <v>1</v>
      </c>
      <c r="S1237">
        <v>0</v>
      </c>
      <c r="T1237"/>
      <c r="U1237"/>
      <c r="V1237"/>
      <c r="W1237"/>
      <c r="X1237">
        <v>0</v>
      </c>
      <c r="Y1237"/>
      <c r="Z1237">
        <v>0</v>
      </c>
      <c r="AA1237"/>
      <c r="AB1237"/>
      <c r="AC1237"/>
      <c r="AD1237"/>
      <c r="AE1237">
        <v>0</v>
      </c>
      <c r="AF1237"/>
      <c r="AG1237"/>
      <c r="AH1237"/>
    </row>
    <row r="1238" spans="1:34" x14ac:dyDescent="0.25">
      <c r="A1238" t="s">
        <v>1478</v>
      </c>
      <c r="B1238" t="s">
        <v>329</v>
      </c>
      <c r="C1238"/>
      <c r="D1238" t="s">
        <v>329</v>
      </c>
      <c r="E1238" t="s">
        <v>1712</v>
      </c>
      <c r="F1238" t="s">
        <v>1719</v>
      </c>
      <c r="G1238" t="s">
        <v>280</v>
      </c>
      <c r="H1238" t="s">
        <v>1720</v>
      </c>
      <c r="I1238" t="s">
        <v>35</v>
      </c>
      <c r="J1238"/>
      <c r="K1238">
        <v>1</v>
      </c>
      <c r="L1238">
        <v>1</v>
      </c>
      <c r="M1238" t="s">
        <v>33</v>
      </c>
      <c r="N1238">
        <v>1</v>
      </c>
      <c r="O1238">
        <v>0.5</v>
      </c>
      <c r="P1238">
        <v>0.5</v>
      </c>
      <c r="Q1238" t="s">
        <v>38</v>
      </c>
      <c r="R1238">
        <v>1</v>
      </c>
      <c r="S1238">
        <v>0</v>
      </c>
      <c r="T1238"/>
      <c r="U1238"/>
      <c r="V1238"/>
      <c r="W1238"/>
      <c r="X1238">
        <v>0</v>
      </c>
      <c r="Y1238"/>
      <c r="Z1238">
        <v>0</v>
      </c>
      <c r="AA1238"/>
      <c r="AB1238"/>
      <c r="AC1238"/>
      <c r="AD1238"/>
      <c r="AE1238">
        <v>0</v>
      </c>
      <c r="AF1238"/>
      <c r="AG1238"/>
      <c r="AH1238"/>
    </row>
    <row r="1239" spans="1:34" x14ac:dyDescent="0.25">
      <c r="A1239" t="s">
        <v>3440</v>
      </c>
      <c r="B1239" t="s">
        <v>3441</v>
      </c>
      <c r="C1239"/>
      <c r="D1239" t="s">
        <v>329</v>
      </c>
      <c r="E1239" t="s">
        <v>1712</v>
      </c>
      <c r="F1239" t="s">
        <v>1719</v>
      </c>
      <c r="G1239" t="s">
        <v>280</v>
      </c>
      <c r="H1239" t="s">
        <v>1720</v>
      </c>
      <c r="I1239" t="s">
        <v>35</v>
      </c>
      <c r="J1239"/>
      <c r="K1239">
        <v>1</v>
      </c>
      <c r="L1239">
        <v>1</v>
      </c>
      <c r="M1239" t="s">
        <v>33</v>
      </c>
      <c r="N1239">
        <v>1</v>
      </c>
      <c r="O1239">
        <v>0.5</v>
      </c>
      <c r="P1239">
        <v>0.5</v>
      </c>
      <c r="Q1239" t="s">
        <v>38</v>
      </c>
      <c r="R1239">
        <v>1</v>
      </c>
      <c r="S1239">
        <v>0</v>
      </c>
      <c r="T1239"/>
      <c r="U1239"/>
      <c r="V1239"/>
      <c r="W1239"/>
      <c r="X1239">
        <v>0</v>
      </c>
      <c r="Y1239"/>
      <c r="Z1239">
        <v>0</v>
      </c>
      <c r="AA1239"/>
      <c r="AB1239"/>
      <c r="AC1239"/>
      <c r="AD1239"/>
      <c r="AE1239">
        <v>0</v>
      </c>
      <c r="AF1239"/>
      <c r="AG1239"/>
      <c r="AH1239"/>
    </row>
    <row r="1240" spans="1:34" x14ac:dyDescent="0.25">
      <c r="A1240" t="s">
        <v>3442</v>
      </c>
      <c r="B1240" t="s">
        <v>3443</v>
      </c>
      <c r="C1240"/>
      <c r="D1240" t="s">
        <v>329</v>
      </c>
      <c r="E1240" t="s">
        <v>1712</v>
      </c>
      <c r="F1240" t="s">
        <v>1719</v>
      </c>
      <c r="G1240" t="s">
        <v>280</v>
      </c>
      <c r="H1240" t="s">
        <v>1720</v>
      </c>
      <c r="I1240" t="s">
        <v>35</v>
      </c>
      <c r="J1240"/>
      <c r="K1240">
        <v>1</v>
      </c>
      <c r="L1240">
        <v>1</v>
      </c>
      <c r="M1240" t="s">
        <v>33</v>
      </c>
      <c r="N1240">
        <v>1</v>
      </c>
      <c r="O1240">
        <v>0.5</v>
      </c>
      <c r="P1240">
        <v>0.5</v>
      </c>
      <c r="Q1240" t="s">
        <v>38</v>
      </c>
      <c r="R1240">
        <v>1</v>
      </c>
      <c r="S1240">
        <v>0</v>
      </c>
      <c r="T1240"/>
      <c r="U1240"/>
      <c r="V1240"/>
      <c r="W1240"/>
      <c r="X1240">
        <v>0</v>
      </c>
      <c r="Y1240"/>
      <c r="Z1240">
        <v>0</v>
      </c>
      <c r="AA1240"/>
      <c r="AB1240"/>
      <c r="AC1240"/>
      <c r="AD1240"/>
      <c r="AE1240">
        <v>0</v>
      </c>
      <c r="AF1240"/>
      <c r="AG1240"/>
      <c r="AH1240"/>
    </row>
    <row r="1241" spans="1:34" x14ac:dyDescent="0.25">
      <c r="A1241" t="s">
        <v>1478</v>
      </c>
      <c r="B1241" t="s">
        <v>329</v>
      </c>
      <c r="C1241"/>
      <c r="D1241" t="s">
        <v>329</v>
      </c>
      <c r="E1241" t="s">
        <v>1712</v>
      </c>
      <c r="F1241" t="s">
        <v>1721</v>
      </c>
      <c r="G1241" t="s">
        <v>280</v>
      </c>
      <c r="H1241" t="s">
        <v>1720</v>
      </c>
      <c r="I1241" t="s">
        <v>35</v>
      </c>
      <c r="J1241"/>
      <c r="K1241">
        <v>1</v>
      </c>
      <c r="L1241">
        <v>1</v>
      </c>
      <c r="M1241" t="s">
        <v>33</v>
      </c>
      <c r="N1241">
        <v>1</v>
      </c>
      <c r="O1241">
        <v>0.5</v>
      </c>
      <c r="P1241">
        <v>0.5</v>
      </c>
      <c r="Q1241" t="s">
        <v>38</v>
      </c>
      <c r="R1241">
        <v>1</v>
      </c>
      <c r="S1241">
        <v>0</v>
      </c>
      <c r="T1241"/>
      <c r="U1241"/>
      <c r="V1241"/>
      <c r="W1241"/>
      <c r="X1241">
        <v>0</v>
      </c>
      <c r="Y1241"/>
      <c r="Z1241">
        <v>0</v>
      </c>
      <c r="AA1241"/>
      <c r="AB1241"/>
      <c r="AC1241"/>
      <c r="AD1241"/>
      <c r="AE1241">
        <v>0</v>
      </c>
      <c r="AF1241"/>
      <c r="AG1241"/>
      <c r="AH1241"/>
    </row>
    <row r="1242" spans="1:34" x14ac:dyDescent="0.25">
      <c r="A1242" t="s">
        <v>3440</v>
      </c>
      <c r="B1242" t="s">
        <v>3441</v>
      </c>
      <c r="C1242"/>
      <c r="D1242" t="s">
        <v>329</v>
      </c>
      <c r="E1242" t="s">
        <v>1712</v>
      </c>
      <c r="F1242" t="s">
        <v>1721</v>
      </c>
      <c r="G1242" t="s">
        <v>280</v>
      </c>
      <c r="H1242" t="s">
        <v>1720</v>
      </c>
      <c r="I1242" t="s">
        <v>35</v>
      </c>
      <c r="J1242"/>
      <c r="K1242">
        <v>1</v>
      </c>
      <c r="L1242">
        <v>1</v>
      </c>
      <c r="M1242" t="s">
        <v>33</v>
      </c>
      <c r="N1242">
        <v>1</v>
      </c>
      <c r="O1242">
        <v>0.5</v>
      </c>
      <c r="P1242">
        <v>0.5</v>
      </c>
      <c r="Q1242" t="s">
        <v>38</v>
      </c>
      <c r="R1242">
        <v>1</v>
      </c>
      <c r="S1242">
        <v>0</v>
      </c>
      <c r="T1242"/>
      <c r="U1242"/>
      <c r="V1242"/>
      <c r="W1242"/>
      <c r="X1242">
        <v>0</v>
      </c>
      <c r="Y1242"/>
      <c r="Z1242">
        <v>0</v>
      </c>
      <c r="AA1242"/>
      <c r="AB1242"/>
      <c r="AC1242"/>
      <c r="AD1242"/>
      <c r="AE1242">
        <v>0</v>
      </c>
      <c r="AF1242"/>
      <c r="AG1242"/>
      <c r="AH1242"/>
    </row>
    <row r="1243" spans="1:34" x14ac:dyDescent="0.25">
      <c r="A1243" t="s">
        <v>3442</v>
      </c>
      <c r="B1243" t="s">
        <v>3443</v>
      </c>
      <c r="C1243"/>
      <c r="D1243" t="s">
        <v>329</v>
      </c>
      <c r="E1243" t="s">
        <v>1712</v>
      </c>
      <c r="F1243" t="s">
        <v>1721</v>
      </c>
      <c r="G1243" t="s">
        <v>280</v>
      </c>
      <c r="H1243" t="s">
        <v>1720</v>
      </c>
      <c r="I1243" t="s">
        <v>35</v>
      </c>
      <c r="J1243"/>
      <c r="K1243">
        <v>1</v>
      </c>
      <c r="L1243">
        <v>1</v>
      </c>
      <c r="M1243" t="s">
        <v>33</v>
      </c>
      <c r="N1243">
        <v>1</v>
      </c>
      <c r="O1243">
        <v>0.5</v>
      </c>
      <c r="P1243">
        <v>0.5</v>
      </c>
      <c r="Q1243" t="s">
        <v>38</v>
      </c>
      <c r="R1243">
        <v>1</v>
      </c>
      <c r="S1243">
        <v>0</v>
      </c>
      <c r="T1243"/>
      <c r="U1243"/>
      <c r="V1243"/>
      <c r="W1243"/>
      <c r="X1243">
        <v>0</v>
      </c>
      <c r="Y1243"/>
      <c r="Z1243">
        <v>0</v>
      </c>
      <c r="AA1243"/>
      <c r="AB1243"/>
      <c r="AC1243"/>
      <c r="AD1243"/>
      <c r="AE1243">
        <v>0</v>
      </c>
      <c r="AF1243"/>
      <c r="AG1243"/>
      <c r="AH1243"/>
    </row>
    <row r="1244" spans="1:34" x14ac:dyDescent="0.25">
      <c r="A1244" t="s">
        <v>1478</v>
      </c>
      <c r="B1244" t="s">
        <v>329</v>
      </c>
      <c r="C1244"/>
      <c r="D1244" t="s">
        <v>329</v>
      </c>
      <c r="E1244" t="s">
        <v>1712</v>
      </c>
      <c r="F1244" t="s">
        <v>1672</v>
      </c>
      <c r="G1244" t="s">
        <v>280</v>
      </c>
      <c r="H1244" t="s">
        <v>1722</v>
      </c>
      <c r="I1244" t="s">
        <v>35</v>
      </c>
      <c r="J1244"/>
      <c r="K1244">
        <v>1</v>
      </c>
      <c r="L1244">
        <v>1</v>
      </c>
      <c r="M1244" t="s">
        <v>33</v>
      </c>
      <c r="N1244">
        <v>1</v>
      </c>
      <c r="O1244">
        <v>0.5</v>
      </c>
      <c r="P1244">
        <v>0.5</v>
      </c>
      <c r="Q1244" t="s">
        <v>38</v>
      </c>
      <c r="R1244">
        <v>1</v>
      </c>
      <c r="S1244">
        <v>0</v>
      </c>
      <c r="T1244"/>
      <c r="U1244"/>
      <c r="V1244"/>
      <c r="W1244"/>
      <c r="X1244">
        <v>0</v>
      </c>
      <c r="Y1244"/>
      <c r="Z1244">
        <v>0</v>
      </c>
      <c r="AA1244"/>
      <c r="AB1244"/>
      <c r="AC1244"/>
      <c r="AD1244"/>
      <c r="AE1244">
        <v>0</v>
      </c>
      <c r="AF1244"/>
      <c r="AG1244"/>
      <c r="AH1244"/>
    </row>
    <row r="1245" spans="1:34" x14ac:dyDescent="0.25">
      <c r="A1245" t="s">
        <v>3440</v>
      </c>
      <c r="B1245" t="s">
        <v>3441</v>
      </c>
      <c r="C1245"/>
      <c r="D1245" t="s">
        <v>329</v>
      </c>
      <c r="E1245" t="s">
        <v>1712</v>
      </c>
      <c r="F1245" t="s">
        <v>1672</v>
      </c>
      <c r="G1245" t="s">
        <v>280</v>
      </c>
      <c r="H1245" t="s">
        <v>1722</v>
      </c>
      <c r="I1245" t="s">
        <v>35</v>
      </c>
      <c r="J1245"/>
      <c r="K1245">
        <v>1</v>
      </c>
      <c r="L1245">
        <v>1</v>
      </c>
      <c r="M1245" t="s">
        <v>33</v>
      </c>
      <c r="N1245">
        <v>1</v>
      </c>
      <c r="O1245">
        <v>0.5</v>
      </c>
      <c r="P1245">
        <v>0.5</v>
      </c>
      <c r="Q1245" t="s">
        <v>38</v>
      </c>
      <c r="R1245">
        <v>1</v>
      </c>
      <c r="S1245">
        <v>0</v>
      </c>
      <c r="T1245"/>
      <c r="U1245"/>
      <c r="V1245"/>
      <c r="W1245"/>
      <c r="X1245">
        <v>0</v>
      </c>
      <c r="Y1245"/>
      <c r="Z1245">
        <v>0</v>
      </c>
      <c r="AA1245"/>
      <c r="AB1245"/>
      <c r="AC1245"/>
      <c r="AD1245"/>
      <c r="AE1245">
        <v>0</v>
      </c>
      <c r="AF1245"/>
      <c r="AG1245"/>
      <c r="AH1245"/>
    </row>
    <row r="1246" spans="1:34" x14ac:dyDescent="0.25">
      <c r="A1246" t="s">
        <v>3442</v>
      </c>
      <c r="B1246" t="s">
        <v>3443</v>
      </c>
      <c r="C1246"/>
      <c r="D1246" t="s">
        <v>329</v>
      </c>
      <c r="E1246" t="s">
        <v>1712</v>
      </c>
      <c r="F1246" t="s">
        <v>1672</v>
      </c>
      <c r="G1246" t="s">
        <v>280</v>
      </c>
      <c r="H1246" t="s">
        <v>1722</v>
      </c>
      <c r="I1246" t="s">
        <v>35</v>
      </c>
      <c r="J1246"/>
      <c r="K1246">
        <v>1</v>
      </c>
      <c r="L1246">
        <v>1</v>
      </c>
      <c r="M1246" t="s">
        <v>33</v>
      </c>
      <c r="N1246">
        <v>1</v>
      </c>
      <c r="O1246">
        <v>0.5</v>
      </c>
      <c r="P1246">
        <v>0.5</v>
      </c>
      <c r="Q1246" t="s">
        <v>38</v>
      </c>
      <c r="R1246">
        <v>1</v>
      </c>
      <c r="S1246">
        <v>0</v>
      </c>
      <c r="T1246"/>
      <c r="U1246"/>
      <c r="V1246"/>
      <c r="W1246"/>
      <c r="X1246">
        <v>0</v>
      </c>
      <c r="Y1246"/>
      <c r="Z1246">
        <v>0</v>
      </c>
      <c r="AA1246"/>
      <c r="AB1246"/>
      <c r="AC1246"/>
      <c r="AD1246"/>
      <c r="AE1246">
        <v>0</v>
      </c>
      <c r="AF1246"/>
      <c r="AG1246"/>
      <c r="AH1246"/>
    </row>
    <row r="1247" spans="1:34" x14ac:dyDescent="0.25">
      <c r="A1247" t="s">
        <v>1478</v>
      </c>
      <c r="B1247" t="s">
        <v>329</v>
      </c>
      <c r="C1247"/>
      <c r="D1247" t="s">
        <v>329</v>
      </c>
      <c r="E1247" t="s">
        <v>1712</v>
      </c>
      <c r="F1247" t="s">
        <v>1674</v>
      </c>
      <c r="G1247" t="s">
        <v>280</v>
      </c>
      <c r="H1247" t="s">
        <v>1723</v>
      </c>
      <c r="I1247" t="s">
        <v>35</v>
      </c>
      <c r="J1247"/>
      <c r="K1247">
        <v>1</v>
      </c>
      <c r="L1247">
        <v>1</v>
      </c>
      <c r="M1247" t="s">
        <v>33</v>
      </c>
      <c r="N1247">
        <v>1</v>
      </c>
      <c r="O1247">
        <v>0.5</v>
      </c>
      <c r="P1247">
        <v>0.5</v>
      </c>
      <c r="Q1247" t="s">
        <v>38</v>
      </c>
      <c r="R1247">
        <v>1</v>
      </c>
      <c r="S1247">
        <v>0</v>
      </c>
      <c r="T1247"/>
      <c r="U1247"/>
      <c r="V1247"/>
      <c r="W1247"/>
      <c r="X1247">
        <v>0</v>
      </c>
      <c r="Y1247"/>
      <c r="Z1247">
        <v>0</v>
      </c>
      <c r="AA1247"/>
      <c r="AB1247"/>
      <c r="AC1247"/>
      <c r="AD1247"/>
      <c r="AE1247">
        <v>0</v>
      </c>
      <c r="AF1247"/>
      <c r="AG1247"/>
      <c r="AH1247"/>
    </row>
    <row r="1248" spans="1:34" x14ac:dyDescent="0.25">
      <c r="A1248" t="s">
        <v>3440</v>
      </c>
      <c r="B1248" t="s">
        <v>3441</v>
      </c>
      <c r="C1248"/>
      <c r="D1248" t="s">
        <v>329</v>
      </c>
      <c r="E1248" t="s">
        <v>1712</v>
      </c>
      <c r="F1248" t="s">
        <v>1674</v>
      </c>
      <c r="G1248" t="s">
        <v>280</v>
      </c>
      <c r="H1248" t="s">
        <v>1723</v>
      </c>
      <c r="I1248" t="s">
        <v>35</v>
      </c>
      <c r="J1248"/>
      <c r="K1248">
        <v>1</v>
      </c>
      <c r="L1248">
        <v>1</v>
      </c>
      <c r="M1248" t="s">
        <v>33</v>
      </c>
      <c r="N1248">
        <v>1</v>
      </c>
      <c r="O1248">
        <v>0.5</v>
      </c>
      <c r="P1248">
        <v>0.5</v>
      </c>
      <c r="Q1248" t="s">
        <v>38</v>
      </c>
      <c r="R1248">
        <v>1</v>
      </c>
      <c r="S1248">
        <v>0</v>
      </c>
      <c r="T1248"/>
      <c r="U1248"/>
      <c r="V1248"/>
      <c r="W1248"/>
      <c r="X1248">
        <v>0</v>
      </c>
      <c r="Y1248"/>
      <c r="Z1248">
        <v>0</v>
      </c>
      <c r="AA1248"/>
      <c r="AB1248"/>
      <c r="AC1248"/>
      <c r="AD1248"/>
      <c r="AE1248">
        <v>0</v>
      </c>
      <c r="AF1248"/>
      <c r="AG1248"/>
      <c r="AH1248"/>
    </row>
    <row r="1249" spans="1:34" x14ac:dyDescent="0.25">
      <c r="A1249" t="s">
        <v>3442</v>
      </c>
      <c r="B1249" t="s">
        <v>3443</v>
      </c>
      <c r="C1249"/>
      <c r="D1249" t="s">
        <v>329</v>
      </c>
      <c r="E1249" t="s">
        <v>1712</v>
      </c>
      <c r="F1249" t="s">
        <v>1674</v>
      </c>
      <c r="G1249" t="s">
        <v>280</v>
      </c>
      <c r="H1249" t="s">
        <v>1723</v>
      </c>
      <c r="I1249" t="s">
        <v>35</v>
      </c>
      <c r="J1249"/>
      <c r="K1249">
        <v>1</v>
      </c>
      <c r="L1249">
        <v>1</v>
      </c>
      <c r="M1249" t="s">
        <v>33</v>
      </c>
      <c r="N1249">
        <v>1</v>
      </c>
      <c r="O1249">
        <v>0.5</v>
      </c>
      <c r="P1249">
        <v>0.5</v>
      </c>
      <c r="Q1249" t="s">
        <v>38</v>
      </c>
      <c r="R1249">
        <v>1</v>
      </c>
      <c r="S1249">
        <v>0</v>
      </c>
      <c r="T1249"/>
      <c r="U1249"/>
      <c r="V1249"/>
      <c r="W1249"/>
      <c r="X1249">
        <v>0</v>
      </c>
      <c r="Y1249"/>
      <c r="Z1249">
        <v>0</v>
      </c>
      <c r="AA1249"/>
      <c r="AB1249"/>
      <c r="AC1249"/>
      <c r="AD1249"/>
      <c r="AE1249">
        <v>0</v>
      </c>
      <c r="AF1249"/>
      <c r="AG1249"/>
      <c r="AH1249"/>
    </row>
    <row r="1250" spans="1:34" x14ac:dyDescent="0.25">
      <c r="A1250" t="s">
        <v>1478</v>
      </c>
      <c r="B1250" t="s">
        <v>329</v>
      </c>
      <c r="C1250"/>
      <c r="D1250" t="s">
        <v>329</v>
      </c>
      <c r="E1250" t="s">
        <v>1712</v>
      </c>
      <c r="F1250" t="s">
        <v>1676</v>
      </c>
      <c r="G1250" t="s">
        <v>280</v>
      </c>
      <c r="H1250" t="s">
        <v>1724</v>
      </c>
      <c r="I1250" t="s">
        <v>35</v>
      </c>
      <c r="J1250"/>
      <c r="K1250">
        <v>1</v>
      </c>
      <c r="L1250">
        <v>1</v>
      </c>
      <c r="M1250" t="s">
        <v>33</v>
      </c>
      <c r="N1250">
        <v>1</v>
      </c>
      <c r="O1250">
        <v>0.5</v>
      </c>
      <c r="P1250">
        <v>0.5</v>
      </c>
      <c r="Q1250" t="s">
        <v>38</v>
      </c>
      <c r="R1250">
        <v>1</v>
      </c>
      <c r="S1250">
        <v>0</v>
      </c>
      <c r="T1250"/>
      <c r="U1250"/>
      <c r="V1250"/>
      <c r="W1250"/>
      <c r="X1250">
        <v>0</v>
      </c>
      <c r="Y1250"/>
      <c r="Z1250">
        <v>0</v>
      </c>
      <c r="AA1250"/>
      <c r="AB1250"/>
      <c r="AC1250"/>
      <c r="AD1250"/>
      <c r="AE1250">
        <v>0</v>
      </c>
      <c r="AF1250"/>
      <c r="AG1250"/>
      <c r="AH1250"/>
    </row>
    <row r="1251" spans="1:34" x14ac:dyDescent="0.25">
      <c r="A1251" t="s">
        <v>3440</v>
      </c>
      <c r="B1251" t="s">
        <v>3441</v>
      </c>
      <c r="C1251"/>
      <c r="D1251" t="s">
        <v>329</v>
      </c>
      <c r="E1251" t="s">
        <v>1712</v>
      </c>
      <c r="F1251" t="s">
        <v>1676</v>
      </c>
      <c r="G1251" t="s">
        <v>280</v>
      </c>
      <c r="H1251" t="s">
        <v>1724</v>
      </c>
      <c r="I1251" t="s">
        <v>35</v>
      </c>
      <c r="J1251"/>
      <c r="K1251">
        <v>1</v>
      </c>
      <c r="L1251">
        <v>1</v>
      </c>
      <c r="M1251" t="s">
        <v>33</v>
      </c>
      <c r="N1251">
        <v>1</v>
      </c>
      <c r="O1251">
        <v>0.5</v>
      </c>
      <c r="P1251">
        <v>0.5</v>
      </c>
      <c r="Q1251" t="s">
        <v>38</v>
      </c>
      <c r="R1251">
        <v>1</v>
      </c>
      <c r="S1251">
        <v>0</v>
      </c>
      <c r="T1251"/>
      <c r="U1251"/>
      <c r="V1251"/>
      <c r="W1251"/>
      <c r="X1251">
        <v>0</v>
      </c>
      <c r="Y1251"/>
      <c r="Z1251">
        <v>0</v>
      </c>
      <c r="AA1251"/>
      <c r="AB1251"/>
      <c r="AC1251"/>
      <c r="AD1251"/>
      <c r="AE1251">
        <v>0</v>
      </c>
      <c r="AF1251"/>
      <c r="AG1251"/>
      <c r="AH1251"/>
    </row>
    <row r="1252" spans="1:34" x14ac:dyDescent="0.25">
      <c r="A1252" t="s">
        <v>3442</v>
      </c>
      <c r="B1252" t="s">
        <v>3443</v>
      </c>
      <c r="C1252"/>
      <c r="D1252" t="s">
        <v>329</v>
      </c>
      <c r="E1252" t="s">
        <v>1712</v>
      </c>
      <c r="F1252" t="s">
        <v>1676</v>
      </c>
      <c r="G1252" t="s">
        <v>280</v>
      </c>
      <c r="H1252" t="s">
        <v>1724</v>
      </c>
      <c r="I1252" t="s">
        <v>35</v>
      </c>
      <c r="J1252"/>
      <c r="K1252">
        <v>1</v>
      </c>
      <c r="L1252">
        <v>1</v>
      </c>
      <c r="M1252" t="s">
        <v>33</v>
      </c>
      <c r="N1252">
        <v>1</v>
      </c>
      <c r="O1252">
        <v>0.5</v>
      </c>
      <c r="P1252">
        <v>0.5</v>
      </c>
      <c r="Q1252" t="s">
        <v>38</v>
      </c>
      <c r="R1252">
        <v>1</v>
      </c>
      <c r="S1252">
        <v>0</v>
      </c>
      <c r="T1252"/>
      <c r="U1252"/>
      <c r="V1252"/>
      <c r="W1252"/>
      <c r="X1252">
        <v>0</v>
      </c>
      <c r="Y1252"/>
      <c r="Z1252">
        <v>0</v>
      </c>
      <c r="AA1252"/>
      <c r="AB1252"/>
      <c r="AC1252"/>
      <c r="AD1252"/>
      <c r="AE1252">
        <v>0</v>
      </c>
      <c r="AF1252"/>
      <c r="AG1252"/>
      <c r="AH1252"/>
    </row>
    <row r="1253" spans="1:34" x14ac:dyDescent="0.25">
      <c r="A1253" t="s">
        <v>1478</v>
      </c>
      <c r="B1253" t="s">
        <v>329</v>
      </c>
      <c r="C1253"/>
      <c r="D1253" t="s">
        <v>329</v>
      </c>
      <c r="E1253" t="s">
        <v>1712</v>
      </c>
      <c r="F1253" t="s">
        <v>1678</v>
      </c>
      <c r="G1253" t="s">
        <v>280</v>
      </c>
      <c r="H1253" t="s">
        <v>1725</v>
      </c>
      <c r="I1253" t="s">
        <v>35</v>
      </c>
      <c r="J1253"/>
      <c r="K1253">
        <v>1</v>
      </c>
      <c r="L1253">
        <v>1</v>
      </c>
      <c r="M1253" t="s">
        <v>33</v>
      </c>
      <c r="N1253">
        <v>1</v>
      </c>
      <c r="O1253">
        <v>0.5</v>
      </c>
      <c r="P1253">
        <v>0.5</v>
      </c>
      <c r="Q1253" t="s">
        <v>38</v>
      </c>
      <c r="R1253">
        <v>1</v>
      </c>
      <c r="S1253">
        <v>0</v>
      </c>
      <c r="T1253"/>
      <c r="U1253"/>
      <c r="V1253"/>
      <c r="W1253"/>
      <c r="X1253">
        <v>0</v>
      </c>
      <c r="Y1253"/>
      <c r="Z1253">
        <v>0</v>
      </c>
      <c r="AA1253"/>
      <c r="AB1253"/>
      <c r="AC1253"/>
      <c r="AD1253"/>
      <c r="AE1253">
        <v>0</v>
      </c>
      <c r="AF1253"/>
      <c r="AG1253"/>
      <c r="AH1253"/>
    </row>
    <row r="1254" spans="1:34" x14ac:dyDescent="0.25">
      <c r="A1254" t="s">
        <v>3440</v>
      </c>
      <c r="B1254" t="s">
        <v>3441</v>
      </c>
      <c r="C1254"/>
      <c r="D1254" t="s">
        <v>329</v>
      </c>
      <c r="E1254" t="s">
        <v>1712</v>
      </c>
      <c r="F1254" t="s">
        <v>1678</v>
      </c>
      <c r="G1254" t="s">
        <v>280</v>
      </c>
      <c r="H1254" t="s">
        <v>1725</v>
      </c>
      <c r="I1254" t="s">
        <v>35</v>
      </c>
      <c r="J1254"/>
      <c r="K1254">
        <v>1</v>
      </c>
      <c r="L1254">
        <v>1</v>
      </c>
      <c r="M1254" t="s">
        <v>33</v>
      </c>
      <c r="N1254">
        <v>1</v>
      </c>
      <c r="O1254">
        <v>0.5</v>
      </c>
      <c r="P1254">
        <v>0.5</v>
      </c>
      <c r="Q1254" t="s">
        <v>38</v>
      </c>
      <c r="R1254">
        <v>1</v>
      </c>
      <c r="S1254">
        <v>0</v>
      </c>
      <c r="T1254"/>
      <c r="U1254"/>
      <c r="V1254"/>
      <c r="W1254"/>
      <c r="X1254">
        <v>0</v>
      </c>
      <c r="Y1254"/>
      <c r="Z1254">
        <v>0</v>
      </c>
      <c r="AA1254"/>
      <c r="AB1254"/>
      <c r="AC1254"/>
      <c r="AD1254"/>
      <c r="AE1254">
        <v>0</v>
      </c>
      <c r="AF1254"/>
      <c r="AG1254"/>
      <c r="AH1254"/>
    </row>
    <row r="1255" spans="1:34" x14ac:dyDescent="0.25">
      <c r="A1255" t="s">
        <v>3442</v>
      </c>
      <c r="B1255" t="s">
        <v>3443</v>
      </c>
      <c r="C1255"/>
      <c r="D1255" t="s">
        <v>329</v>
      </c>
      <c r="E1255" t="s">
        <v>1712</v>
      </c>
      <c r="F1255" t="s">
        <v>1678</v>
      </c>
      <c r="G1255" t="s">
        <v>280</v>
      </c>
      <c r="H1255" t="s">
        <v>1725</v>
      </c>
      <c r="I1255" t="s">
        <v>35</v>
      </c>
      <c r="J1255"/>
      <c r="K1255">
        <v>1</v>
      </c>
      <c r="L1255">
        <v>1</v>
      </c>
      <c r="M1255" t="s">
        <v>33</v>
      </c>
      <c r="N1255">
        <v>1</v>
      </c>
      <c r="O1255">
        <v>0.5</v>
      </c>
      <c r="P1255">
        <v>0.5</v>
      </c>
      <c r="Q1255" t="s">
        <v>38</v>
      </c>
      <c r="R1255">
        <v>1</v>
      </c>
      <c r="S1255">
        <v>0</v>
      </c>
      <c r="T1255"/>
      <c r="U1255"/>
      <c r="V1255"/>
      <c r="W1255"/>
      <c r="X1255">
        <v>0</v>
      </c>
      <c r="Y1255"/>
      <c r="Z1255">
        <v>0</v>
      </c>
      <c r="AA1255"/>
      <c r="AB1255"/>
      <c r="AC1255"/>
      <c r="AD1255"/>
      <c r="AE1255">
        <v>0</v>
      </c>
      <c r="AF1255"/>
      <c r="AG1255"/>
      <c r="AH1255"/>
    </row>
    <row r="1256" spans="1:34" x14ac:dyDescent="0.25">
      <c r="A1256" t="s">
        <v>1478</v>
      </c>
      <c r="B1256" t="s">
        <v>329</v>
      </c>
      <c r="C1256"/>
      <c r="D1256" t="s">
        <v>329</v>
      </c>
      <c r="E1256" t="s">
        <v>1712</v>
      </c>
      <c r="F1256" t="s">
        <v>1680</v>
      </c>
      <c r="G1256" t="s">
        <v>280</v>
      </c>
      <c r="H1256" t="s">
        <v>1725</v>
      </c>
      <c r="I1256" t="s">
        <v>35</v>
      </c>
      <c r="J1256"/>
      <c r="K1256">
        <v>1</v>
      </c>
      <c r="L1256">
        <v>1</v>
      </c>
      <c r="M1256" t="s">
        <v>33</v>
      </c>
      <c r="N1256">
        <v>1</v>
      </c>
      <c r="O1256">
        <v>0.5</v>
      </c>
      <c r="P1256">
        <v>0.5</v>
      </c>
      <c r="Q1256" t="s">
        <v>38</v>
      </c>
      <c r="R1256">
        <v>1</v>
      </c>
      <c r="S1256">
        <v>0</v>
      </c>
      <c r="T1256"/>
      <c r="U1256"/>
      <c r="V1256"/>
      <c r="W1256"/>
      <c r="X1256">
        <v>0</v>
      </c>
      <c r="Y1256"/>
      <c r="Z1256">
        <v>0</v>
      </c>
      <c r="AA1256"/>
      <c r="AB1256"/>
      <c r="AC1256"/>
      <c r="AD1256"/>
      <c r="AE1256">
        <v>0</v>
      </c>
      <c r="AF1256"/>
      <c r="AG1256"/>
      <c r="AH1256"/>
    </row>
    <row r="1257" spans="1:34" x14ac:dyDescent="0.25">
      <c r="A1257" t="s">
        <v>3440</v>
      </c>
      <c r="B1257" t="s">
        <v>3441</v>
      </c>
      <c r="C1257"/>
      <c r="D1257" t="s">
        <v>329</v>
      </c>
      <c r="E1257" t="s">
        <v>1712</v>
      </c>
      <c r="F1257" t="s">
        <v>1680</v>
      </c>
      <c r="G1257" t="s">
        <v>280</v>
      </c>
      <c r="H1257" t="s">
        <v>1725</v>
      </c>
      <c r="I1257" t="s">
        <v>35</v>
      </c>
      <c r="J1257"/>
      <c r="K1257">
        <v>1</v>
      </c>
      <c r="L1257">
        <v>1</v>
      </c>
      <c r="M1257" t="s">
        <v>33</v>
      </c>
      <c r="N1257">
        <v>1</v>
      </c>
      <c r="O1257">
        <v>0.5</v>
      </c>
      <c r="P1257">
        <v>0.5</v>
      </c>
      <c r="Q1257" t="s">
        <v>38</v>
      </c>
      <c r="R1257">
        <v>1</v>
      </c>
      <c r="S1257">
        <v>0</v>
      </c>
      <c r="T1257"/>
      <c r="U1257"/>
      <c r="V1257"/>
      <c r="W1257"/>
      <c r="X1257">
        <v>0</v>
      </c>
      <c r="Y1257"/>
      <c r="Z1257">
        <v>0</v>
      </c>
      <c r="AA1257"/>
      <c r="AB1257"/>
      <c r="AC1257"/>
      <c r="AD1257"/>
      <c r="AE1257">
        <v>0</v>
      </c>
      <c r="AF1257"/>
      <c r="AG1257"/>
      <c r="AH1257"/>
    </row>
    <row r="1258" spans="1:34" x14ac:dyDescent="0.25">
      <c r="A1258" t="s">
        <v>3442</v>
      </c>
      <c r="B1258" t="s">
        <v>3443</v>
      </c>
      <c r="C1258"/>
      <c r="D1258" t="s">
        <v>329</v>
      </c>
      <c r="E1258" t="s">
        <v>1712</v>
      </c>
      <c r="F1258" t="s">
        <v>1680</v>
      </c>
      <c r="G1258" t="s">
        <v>280</v>
      </c>
      <c r="H1258" t="s">
        <v>1725</v>
      </c>
      <c r="I1258" t="s">
        <v>35</v>
      </c>
      <c r="J1258"/>
      <c r="K1258">
        <v>1</v>
      </c>
      <c r="L1258">
        <v>1</v>
      </c>
      <c r="M1258" t="s">
        <v>33</v>
      </c>
      <c r="N1258">
        <v>1</v>
      </c>
      <c r="O1258">
        <v>0.5</v>
      </c>
      <c r="P1258">
        <v>0.5</v>
      </c>
      <c r="Q1258" t="s">
        <v>38</v>
      </c>
      <c r="R1258">
        <v>1</v>
      </c>
      <c r="S1258">
        <v>0</v>
      </c>
      <c r="T1258"/>
      <c r="U1258"/>
      <c r="V1258"/>
      <c r="W1258"/>
      <c r="X1258">
        <v>0</v>
      </c>
      <c r="Y1258"/>
      <c r="Z1258">
        <v>0</v>
      </c>
      <c r="AA1258"/>
      <c r="AB1258"/>
      <c r="AC1258"/>
      <c r="AD1258"/>
      <c r="AE1258">
        <v>0</v>
      </c>
      <c r="AF1258"/>
      <c r="AG1258"/>
      <c r="AH1258"/>
    </row>
    <row r="1259" spans="1:34" x14ac:dyDescent="0.25">
      <c r="A1259" t="s">
        <v>1478</v>
      </c>
      <c r="B1259" t="s">
        <v>329</v>
      </c>
      <c r="C1259"/>
      <c r="D1259" t="s">
        <v>329</v>
      </c>
      <c r="E1259" t="s">
        <v>1712</v>
      </c>
      <c r="F1259" t="s">
        <v>1726</v>
      </c>
      <c r="G1259" t="s">
        <v>280</v>
      </c>
      <c r="H1259" t="s">
        <v>1727</v>
      </c>
      <c r="I1259" t="s">
        <v>35</v>
      </c>
      <c r="J1259"/>
      <c r="K1259">
        <v>1</v>
      </c>
      <c r="L1259">
        <v>1</v>
      </c>
      <c r="M1259" t="s">
        <v>33</v>
      </c>
      <c r="N1259">
        <v>1</v>
      </c>
      <c r="O1259">
        <v>0.5</v>
      </c>
      <c r="P1259">
        <v>0.5</v>
      </c>
      <c r="Q1259" t="s">
        <v>38</v>
      </c>
      <c r="R1259">
        <v>1</v>
      </c>
      <c r="S1259">
        <v>0</v>
      </c>
      <c r="T1259"/>
      <c r="U1259"/>
      <c r="V1259"/>
      <c r="W1259"/>
      <c r="X1259">
        <v>0</v>
      </c>
      <c r="Y1259"/>
      <c r="Z1259">
        <v>0</v>
      </c>
      <c r="AA1259"/>
      <c r="AB1259"/>
      <c r="AC1259"/>
      <c r="AD1259"/>
      <c r="AE1259">
        <v>0</v>
      </c>
      <c r="AF1259"/>
      <c r="AG1259"/>
      <c r="AH1259"/>
    </row>
    <row r="1260" spans="1:34" x14ac:dyDescent="0.25">
      <c r="A1260" t="s">
        <v>3440</v>
      </c>
      <c r="B1260" t="s">
        <v>3441</v>
      </c>
      <c r="C1260"/>
      <c r="D1260" t="s">
        <v>329</v>
      </c>
      <c r="E1260" t="s">
        <v>1712</v>
      </c>
      <c r="F1260" t="s">
        <v>1726</v>
      </c>
      <c r="G1260" t="s">
        <v>280</v>
      </c>
      <c r="H1260" t="s">
        <v>1727</v>
      </c>
      <c r="I1260" t="s">
        <v>35</v>
      </c>
      <c r="J1260"/>
      <c r="K1260">
        <v>1</v>
      </c>
      <c r="L1260">
        <v>1</v>
      </c>
      <c r="M1260" t="s">
        <v>33</v>
      </c>
      <c r="N1260">
        <v>1</v>
      </c>
      <c r="O1260">
        <v>0.5</v>
      </c>
      <c r="P1260">
        <v>0.5</v>
      </c>
      <c r="Q1260" t="s">
        <v>38</v>
      </c>
      <c r="R1260">
        <v>1</v>
      </c>
      <c r="S1260">
        <v>0</v>
      </c>
      <c r="T1260"/>
      <c r="U1260"/>
      <c r="V1260"/>
      <c r="W1260"/>
      <c r="X1260">
        <v>0</v>
      </c>
      <c r="Y1260"/>
      <c r="Z1260">
        <v>0</v>
      </c>
      <c r="AA1260"/>
      <c r="AB1260"/>
      <c r="AC1260"/>
      <c r="AD1260"/>
      <c r="AE1260">
        <v>0</v>
      </c>
      <c r="AF1260"/>
      <c r="AG1260"/>
      <c r="AH1260"/>
    </row>
    <row r="1261" spans="1:34" x14ac:dyDescent="0.25">
      <c r="A1261" t="s">
        <v>3442</v>
      </c>
      <c r="B1261" t="s">
        <v>3443</v>
      </c>
      <c r="C1261"/>
      <c r="D1261" t="s">
        <v>329</v>
      </c>
      <c r="E1261" t="s">
        <v>1712</v>
      </c>
      <c r="F1261" t="s">
        <v>1726</v>
      </c>
      <c r="G1261" t="s">
        <v>280</v>
      </c>
      <c r="H1261" t="s">
        <v>1727</v>
      </c>
      <c r="I1261" t="s">
        <v>35</v>
      </c>
      <c r="J1261"/>
      <c r="K1261">
        <v>1</v>
      </c>
      <c r="L1261">
        <v>1</v>
      </c>
      <c r="M1261" t="s">
        <v>33</v>
      </c>
      <c r="N1261">
        <v>1</v>
      </c>
      <c r="O1261">
        <v>0.5</v>
      </c>
      <c r="P1261">
        <v>0.5</v>
      </c>
      <c r="Q1261" t="s">
        <v>38</v>
      </c>
      <c r="R1261">
        <v>1</v>
      </c>
      <c r="S1261">
        <v>0</v>
      </c>
      <c r="T1261"/>
      <c r="U1261"/>
      <c r="V1261"/>
      <c r="W1261"/>
      <c r="X1261">
        <v>0</v>
      </c>
      <c r="Y1261"/>
      <c r="Z1261">
        <v>0</v>
      </c>
      <c r="AA1261"/>
      <c r="AB1261"/>
      <c r="AC1261"/>
      <c r="AD1261"/>
      <c r="AE1261">
        <v>0</v>
      </c>
      <c r="AF1261"/>
      <c r="AG1261"/>
      <c r="AH1261"/>
    </row>
    <row r="1262" spans="1:34" x14ac:dyDescent="0.25">
      <c r="A1262" t="s">
        <v>1478</v>
      </c>
      <c r="B1262" t="s">
        <v>329</v>
      </c>
      <c r="C1262"/>
      <c r="D1262" t="s">
        <v>329</v>
      </c>
      <c r="E1262" t="s">
        <v>1712</v>
      </c>
      <c r="F1262" t="s">
        <v>1728</v>
      </c>
      <c r="G1262" t="s">
        <v>280</v>
      </c>
      <c r="H1262" t="s">
        <v>1729</v>
      </c>
      <c r="I1262" t="s">
        <v>35</v>
      </c>
      <c r="J1262"/>
      <c r="K1262">
        <v>1</v>
      </c>
      <c r="L1262">
        <v>1</v>
      </c>
      <c r="M1262" t="s">
        <v>33</v>
      </c>
      <c r="N1262">
        <v>1</v>
      </c>
      <c r="O1262">
        <v>0.5</v>
      </c>
      <c r="P1262">
        <v>0.5</v>
      </c>
      <c r="Q1262" t="s">
        <v>38</v>
      </c>
      <c r="R1262">
        <v>1</v>
      </c>
      <c r="S1262">
        <v>0</v>
      </c>
      <c r="T1262"/>
      <c r="U1262"/>
      <c r="V1262"/>
      <c r="W1262"/>
      <c r="X1262">
        <v>0</v>
      </c>
      <c r="Y1262"/>
      <c r="Z1262">
        <v>0</v>
      </c>
      <c r="AA1262"/>
      <c r="AB1262"/>
      <c r="AC1262"/>
      <c r="AD1262"/>
      <c r="AE1262">
        <v>0</v>
      </c>
      <c r="AF1262"/>
      <c r="AG1262"/>
      <c r="AH1262"/>
    </row>
    <row r="1263" spans="1:34" x14ac:dyDescent="0.25">
      <c r="A1263" t="s">
        <v>3440</v>
      </c>
      <c r="B1263" t="s">
        <v>3441</v>
      </c>
      <c r="C1263"/>
      <c r="D1263" t="s">
        <v>329</v>
      </c>
      <c r="E1263" t="s">
        <v>1712</v>
      </c>
      <c r="F1263" t="s">
        <v>1728</v>
      </c>
      <c r="G1263" t="s">
        <v>280</v>
      </c>
      <c r="H1263" t="s">
        <v>1729</v>
      </c>
      <c r="I1263" t="s">
        <v>35</v>
      </c>
      <c r="J1263"/>
      <c r="K1263">
        <v>1</v>
      </c>
      <c r="L1263">
        <v>1</v>
      </c>
      <c r="M1263" t="s">
        <v>33</v>
      </c>
      <c r="N1263">
        <v>1</v>
      </c>
      <c r="O1263">
        <v>0.5</v>
      </c>
      <c r="P1263">
        <v>0.5</v>
      </c>
      <c r="Q1263" t="s">
        <v>38</v>
      </c>
      <c r="R1263">
        <v>1</v>
      </c>
      <c r="S1263">
        <v>0</v>
      </c>
      <c r="T1263"/>
      <c r="U1263"/>
      <c r="V1263"/>
      <c r="W1263"/>
      <c r="X1263">
        <v>0</v>
      </c>
      <c r="Y1263"/>
      <c r="Z1263">
        <v>0</v>
      </c>
      <c r="AA1263"/>
      <c r="AB1263"/>
      <c r="AC1263"/>
      <c r="AD1263"/>
      <c r="AE1263">
        <v>0</v>
      </c>
      <c r="AF1263"/>
      <c r="AG1263"/>
      <c r="AH1263"/>
    </row>
    <row r="1264" spans="1:34" x14ac:dyDescent="0.25">
      <c r="A1264" t="s">
        <v>3442</v>
      </c>
      <c r="B1264" t="s">
        <v>3443</v>
      </c>
      <c r="C1264"/>
      <c r="D1264" t="s">
        <v>329</v>
      </c>
      <c r="E1264" t="s">
        <v>1712</v>
      </c>
      <c r="F1264" t="s">
        <v>1728</v>
      </c>
      <c r="G1264" t="s">
        <v>280</v>
      </c>
      <c r="H1264" t="s">
        <v>1729</v>
      </c>
      <c r="I1264" t="s">
        <v>35</v>
      </c>
      <c r="J1264"/>
      <c r="K1264">
        <v>1</v>
      </c>
      <c r="L1264">
        <v>1</v>
      </c>
      <c r="M1264" t="s">
        <v>33</v>
      </c>
      <c r="N1264">
        <v>1</v>
      </c>
      <c r="O1264">
        <v>0.5</v>
      </c>
      <c r="P1264">
        <v>0.5</v>
      </c>
      <c r="Q1264" t="s">
        <v>38</v>
      </c>
      <c r="R1264">
        <v>1</v>
      </c>
      <c r="S1264">
        <v>0</v>
      </c>
      <c r="T1264"/>
      <c r="U1264"/>
      <c r="V1264"/>
      <c r="W1264"/>
      <c r="X1264">
        <v>0</v>
      </c>
      <c r="Y1264"/>
      <c r="Z1264">
        <v>0</v>
      </c>
      <c r="AA1264"/>
      <c r="AB1264"/>
      <c r="AC1264"/>
      <c r="AD1264"/>
      <c r="AE1264">
        <v>0</v>
      </c>
      <c r="AF1264"/>
      <c r="AG1264"/>
      <c r="AH1264"/>
    </row>
    <row r="1265" spans="1:34" x14ac:dyDescent="0.25">
      <c r="A1265" t="s">
        <v>1478</v>
      </c>
      <c r="B1265" t="s">
        <v>329</v>
      </c>
      <c r="C1265"/>
      <c r="D1265" t="s">
        <v>329</v>
      </c>
      <c r="E1265" t="s">
        <v>1712</v>
      </c>
      <c r="F1265" t="s">
        <v>1730</v>
      </c>
      <c r="G1265" t="s">
        <v>280</v>
      </c>
      <c r="H1265" t="s">
        <v>1731</v>
      </c>
      <c r="I1265" t="s">
        <v>35</v>
      </c>
      <c r="J1265"/>
      <c r="K1265">
        <v>1</v>
      </c>
      <c r="L1265">
        <v>1</v>
      </c>
      <c r="M1265" t="s">
        <v>33</v>
      </c>
      <c r="N1265">
        <v>1</v>
      </c>
      <c r="O1265">
        <v>0.5</v>
      </c>
      <c r="P1265">
        <v>0.5</v>
      </c>
      <c r="Q1265" t="s">
        <v>38</v>
      </c>
      <c r="R1265">
        <v>1</v>
      </c>
      <c r="S1265">
        <v>0</v>
      </c>
      <c r="T1265"/>
      <c r="U1265"/>
      <c r="V1265"/>
      <c r="W1265"/>
      <c r="X1265">
        <v>0</v>
      </c>
      <c r="Y1265"/>
      <c r="Z1265">
        <v>0</v>
      </c>
      <c r="AA1265"/>
      <c r="AB1265"/>
      <c r="AC1265"/>
      <c r="AD1265"/>
      <c r="AE1265">
        <v>0</v>
      </c>
      <c r="AF1265"/>
      <c r="AG1265"/>
      <c r="AH1265"/>
    </row>
    <row r="1266" spans="1:34" x14ac:dyDescent="0.25">
      <c r="A1266" t="s">
        <v>3440</v>
      </c>
      <c r="B1266" t="s">
        <v>3441</v>
      </c>
      <c r="C1266"/>
      <c r="D1266" t="s">
        <v>329</v>
      </c>
      <c r="E1266" t="s">
        <v>1712</v>
      </c>
      <c r="F1266" t="s">
        <v>1730</v>
      </c>
      <c r="G1266" t="s">
        <v>280</v>
      </c>
      <c r="H1266" t="s">
        <v>1731</v>
      </c>
      <c r="I1266" t="s">
        <v>35</v>
      </c>
      <c r="J1266"/>
      <c r="K1266">
        <v>1</v>
      </c>
      <c r="L1266">
        <v>1</v>
      </c>
      <c r="M1266" t="s">
        <v>33</v>
      </c>
      <c r="N1266">
        <v>1</v>
      </c>
      <c r="O1266">
        <v>0.5</v>
      </c>
      <c r="P1266">
        <v>0.5</v>
      </c>
      <c r="Q1266" t="s">
        <v>38</v>
      </c>
      <c r="R1266">
        <v>1</v>
      </c>
      <c r="S1266">
        <v>0</v>
      </c>
      <c r="T1266"/>
      <c r="U1266"/>
      <c r="V1266"/>
      <c r="W1266"/>
      <c r="X1266">
        <v>0</v>
      </c>
      <c r="Y1266"/>
      <c r="Z1266">
        <v>0</v>
      </c>
      <c r="AA1266"/>
      <c r="AB1266"/>
      <c r="AC1266"/>
      <c r="AD1266"/>
      <c r="AE1266">
        <v>0</v>
      </c>
      <c r="AF1266"/>
      <c r="AG1266"/>
      <c r="AH1266"/>
    </row>
    <row r="1267" spans="1:34" x14ac:dyDescent="0.25">
      <c r="A1267" t="s">
        <v>3442</v>
      </c>
      <c r="B1267" t="s">
        <v>3443</v>
      </c>
      <c r="C1267"/>
      <c r="D1267" t="s">
        <v>329</v>
      </c>
      <c r="E1267" t="s">
        <v>1712</v>
      </c>
      <c r="F1267" t="s">
        <v>1730</v>
      </c>
      <c r="G1267" t="s">
        <v>280</v>
      </c>
      <c r="H1267" t="s">
        <v>1731</v>
      </c>
      <c r="I1267" t="s">
        <v>35</v>
      </c>
      <c r="J1267"/>
      <c r="K1267">
        <v>1</v>
      </c>
      <c r="L1267">
        <v>1</v>
      </c>
      <c r="M1267" t="s">
        <v>33</v>
      </c>
      <c r="N1267">
        <v>1</v>
      </c>
      <c r="O1267">
        <v>0.5</v>
      </c>
      <c r="P1267">
        <v>0.5</v>
      </c>
      <c r="Q1267" t="s">
        <v>38</v>
      </c>
      <c r="R1267">
        <v>1</v>
      </c>
      <c r="S1267">
        <v>0</v>
      </c>
      <c r="T1267"/>
      <c r="U1267"/>
      <c r="V1267"/>
      <c r="W1267"/>
      <c r="X1267">
        <v>0</v>
      </c>
      <c r="Y1267"/>
      <c r="Z1267">
        <v>0</v>
      </c>
      <c r="AA1267"/>
      <c r="AB1267"/>
      <c r="AC1267"/>
      <c r="AD1267"/>
      <c r="AE1267">
        <v>0</v>
      </c>
      <c r="AF1267"/>
      <c r="AG1267"/>
      <c r="AH1267"/>
    </row>
    <row r="1268" spans="1:34" x14ac:dyDescent="0.25">
      <c r="A1268" t="s">
        <v>1478</v>
      </c>
      <c r="B1268" t="s">
        <v>329</v>
      </c>
      <c r="C1268"/>
      <c r="D1268" t="s">
        <v>329</v>
      </c>
      <c r="E1268" t="s">
        <v>1712</v>
      </c>
      <c r="F1268" t="s">
        <v>1732</v>
      </c>
      <c r="G1268" t="s">
        <v>280</v>
      </c>
      <c r="H1268" t="s">
        <v>1733</v>
      </c>
      <c r="I1268" t="s">
        <v>35</v>
      </c>
      <c r="J1268"/>
      <c r="K1268">
        <v>1</v>
      </c>
      <c r="L1268">
        <v>1</v>
      </c>
      <c r="M1268" t="s">
        <v>33</v>
      </c>
      <c r="N1268">
        <v>1</v>
      </c>
      <c r="O1268">
        <v>0.5</v>
      </c>
      <c r="P1268">
        <v>0.5</v>
      </c>
      <c r="Q1268" t="s">
        <v>38</v>
      </c>
      <c r="R1268">
        <v>1</v>
      </c>
      <c r="S1268">
        <v>0</v>
      </c>
      <c r="T1268"/>
      <c r="U1268"/>
      <c r="V1268"/>
      <c r="W1268"/>
      <c r="X1268">
        <v>0</v>
      </c>
      <c r="Y1268"/>
      <c r="Z1268">
        <v>0</v>
      </c>
      <c r="AA1268"/>
      <c r="AB1268"/>
      <c r="AC1268"/>
      <c r="AD1268"/>
      <c r="AE1268">
        <v>0</v>
      </c>
      <c r="AF1268"/>
      <c r="AG1268"/>
      <c r="AH1268"/>
    </row>
    <row r="1269" spans="1:34" x14ac:dyDescent="0.25">
      <c r="A1269" t="s">
        <v>3440</v>
      </c>
      <c r="B1269" t="s">
        <v>3441</v>
      </c>
      <c r="C1269"/>
      <c r="D1269" t="s">
        <v>329</v>
      </c>
      <c r="E1269" t="s">
        <v>1712</v>
      </c>
      <c r="F1269" t="s">
        <v>1732</v>
      </c>
      <c r="G1269" t="s">
        <v>280</v>
      </c>
      <c r="H1269" t="s">
        <v>1733</v>
      </c>
      <c r="I1269" t="s">
        <v>35</v>
      </c>
      <c r="J1269"/>
      <c r="K1269">
        <v>1</v>
      </c>
      <c r="L1269">
        <v>1</v>
      </c>
      <c r="M1269" t="s">
        <v>33</v>
      </c>
      <c r="N1269">
        <v>1</v>
      </c>
      <c r="O1269">
        <v>0.5</v>
      </c>
      <c r="P1269">
        <v>0.5</v>
      </c>
      <c r="Q1269" t="s">
        <v>38</v>
      </c>
      <c r="R1269">
        <v>1</v>
      </c>
      <c r="S1269">
        <v>0</v>
      </c>
      <c r="T1269"/>
      <c r="U1269"/>
      <c r="V1269"/>
      <c r="W1269"/>
      <c r="X1269">
        <v>0</v>
      </c>
      <c r="Y1269"/>
      <c r="Z1269">
        <v>0</v>
      </c>
      <c r="AA1269"/>
      <c r="AB1269"/>
      <c r="AC1269"/>
      <c r="AD1269"/>
      <c r="AE1269">
        <v>0</v>
      </c>
      <c r="AF1269"/>
      <c r="AG1269"/>
      <c r="AH1269"/>
    </row>
    <row r="1270" spans="1:34" x14ac:dyDescent="0.25">
      <c r="A1270" t="s">
        <v>3442</v>
      </c>
      <c r="B1270" t="s">
        <v>3443</v>
      </c>
      <c r="C1270"/>
      <c r="D1270" t="s">
        <v>329</v>
      </c>
      <c r="E1270" t="s">
        <v>1712</v>
      </c>
      <c r="F1270" t="s">
        <v>1732</v>
      </c>
      <c r="G1270" t="s">
        <v>280</v>
      </c>
      <c r="H1270" t="s">
        <v>1733</v>
      </c>
      <c r="I1270" t="s">
        <v>35</v>
      </c>
      <c r="J1270"/>
      <c r="K1270">
        <v>1</v>
      </c>
      <c r="L1270">
        <v>1</v>
      </c>
      <c r="M1270" t="s">
        <v>33</v>
      </c>
      <c r="N1270">
        <v>1</v>
      </c>
      <c r="O1270">
        <v>0.5</v>
      </c>
      <c r="P1270">
        <v>0.5</v>
      </c>
      <c r="Q1270" t="s">
        <v>38</v>
      </c>
      <c r="R1270">
        <v>1</v>
      </c>
      <c r="S1270">
        <v>0</v>
      </c>
      <c r="T1270"/>
      <c r="U1270"/>
      <c r="V1270"/>
      <c r="W1270"/>
      <c r="X1270">
        <v>0</v>
      </c>
      <c r="Y1270"/>
      <c r="Z1270">
        <v>0</v>
      </c>
      <c r="AA1270"/>
      <c r="AB1270"/>
      <c r="AC1270"/>
      <c r="AD1270"/>
      <c r="AE1270">
        <v>0</v>
      </c>
      <c r="AF1270"/>
      <c r="AG1270"/>
      <c r="AH1270"/>
    </row>
    <row r="1271" spans="1:34" x14ac:dyDescent="0.25">
      <c r="A1271" t="s">
        <v>1478</v>
      </c>
      <c r="B1271" t="s">
        <v>329</v>
      </c>
      <c r="C1271"/>
      <c r="D1271" t="s">
        <v>329</v>
      </c>
      <c r="E1271" t="s">
        <v>1712</v>
      </c>
      <c r="F1271" t="s">
        <v>1734</v>
      </c>
      <c r="G1271" t="s">
        <v>280</v>
      </c>
      <c r="H1271" t="s">
        <v>1733</v>
      </c>
      <c r="I1271" t="s">
        <v>35</v>
      </c>
      <c r="J1271"/>
      <c r="K1271">
        <v>1</v>
      </c>
      <c r="L1271">
        <v>1</v>
      </c>
      <c r="M1271" t="s">
        <v>33</v>
      </c>
      <c r="N1271">
        <v>1</v>
      </c>
      <c r="O1271">
        <v>0.5</v>
      </c>
      <c r="P1271">
        <v>0.5</v>
      </c>
      <c r="Q1271" t="s">
        <v>38</v>
      </c>
      <c r="R1271">
        <v>1</v>
      </c>
      <c r="S1271">
        <v>0</v>
      </c>
      <c r="T1271"/>
      <c r="U1271"/>
      <c r="V1271"/>
      <c r="W1271"/>
      <c r="X1271">
        <v>0</v>
      </c>
      <c r="Y1271"/>
      <c r="Z1271">
        <v>0</v>
      </c>
      <c r="AA1271"/>
      <c r="AB1271"/>
      <c r="AC1271"/>
      <c r="AD1271"/>
      <c r="AE1271">
        <v>0</v>
      </c>
      <c r="AF1271"/>
      <c r="AG1271"/>
      <c r="AH1271"/>
    </row>
    <row r="1272" spans="1:34" x14ac:dyDescent="0.25">
      <c r="A1272" t="s">
        <v>3440</v>
      </c>
      <c r="B1272" t="s">
        <v>3441</v>
      </c>
      <c r="C1272"/>
      <c r="D1272" t="s">
        <v>329</v>
      </c>
      <c r="E1272" t="s">
        <v>1712</v>
      </c>
      <c r="F1272" t="s">
        <v>1734</v>
      </c>
      <c r="G1272" t="s">
        <v>280</v>
      </c>
      <c r="H1272" t="s">
        <v>1733</v>
      </c>
      <c r="I1272" t="s">
        <v>35</v>
      </c>
      <c r="J1272"/>
      <c r="K1272">
        <v>1</v>
      </c>
      <c r="L1272">
        <v>1</v>
      </c>
      <c r="M1272" t="s">
        <v>33</v>
      </c>
      <c r="N1272">
        <v>1</v>
      </c>
      <c r="O1272">
        <v>0.5</v>
      </c>
      <c r="P1272">
        <v>0.5</v>
      </c>
      <c r="Q1272" t="s">
        <v>38</v>
      </c>
      <c r="R1272">
        <v>1</v>
      </c>
      <c r="S1272">
        <v>0</v>
      </c>
      <c r="T1272"/>
      <c r="U1272"/>
      <c r="V1272"/>
      <c r="W1272"/>
      <c r="X1272">
        <v>0</v>
      </c>
      <c r="Y1272"/>
      <c r="Z1272">
        <v>0</v>
      </c>
      <c r="AA1272"/>
      <c r="AB1272"/>
      <c r="AC1272"/>
      <c r="AD1272"/>
      <c r="AE1272">
        <v>0</v>
      </c>
      <c r="AF1272"/>
      <c r="AG1272"/>
      <c r="AH1272"/>
    </row>
    <row r="1273" spans="1:34" x14ac:dyDescent="0.25">
      <c r="A1273" t="s">
        <v>3442</v>
      </c>
      <c r="B1273" t="s">
        <v>3443</v>
      </c>
      <c r="C1273"/>
      <c r="D1273" t="s">
        <v>329</v>
      </c>
      <c r="E1273" t="s">
        <v>1712</v>
      </c>
      <c r="F1273" t="s">
        <v>1734</v>
      </c>
      <c r="G1273" t="s">
        <v>280</v>
      </c>
      <c r="H1273" t="s">
        <v>1733</v>
      </c>
      <c r="I1273" t="s">
        <v>35</v>
      </c>
      <c r="J1273"/>
      <c r="K1273">
        <v>1</v>
      </c>
      <c r="L1273">
        <v>1</v>
      </c>
      <c r="M1273" t="s">
        <v>33</v>
      </c>
      <c r="N1273">
        <v>1</v>
      </c>
      <c r="O1273">
        <v>0.5</v>
      </c>
      <c r="P1273">
        <v>0.5</v>
      </c>
      <c r="Q1273" t="s">
        <v>38</v>
      </c>
      <c r="R1273">
        <v>1</v>
      </c>
      <c r="S1273">
        <v>0</v>
      </c>
      <c r="T1273"/>
      <c r="U1273"/>
      <c r="V1273"/>
      <c r="W1273"/>
      <c r="X1273">
        <v>0</v>
      </c>
      <c r="Y1273"/>
      <c r="Z1273">
        <v>0</v>
      </c>
      <c r="AA1273"/>
      <c r="AB1273"/>
      <c r="AC1273"/>
      <c r="AD1273"/>
      <c r="AE1273">
        <v>0</v>
      </c>
      <c r="AF1273"/>
      <c r="AG1273"/>
      <c r="AH1273"/>
    </row>
    <row r="1274" spans="1:34" x14ac:dyDescent="0.25">
      <c r="A1274" t="s">
        <v>1478</v>
      </c>
      <c r="B1274" t="s">
        <v>329</v>
      </c>
      <c r="C1274"/>
      <c r="D1274" t="s">
        <v>329</v>
      </c>
      <c r="E1274" t="s">
        <v>1712</v>
      </c>
      <c r="F1274" t="s">
        <v>1735</v>
      </c>
      <c r="G1274" t="s">
        <v>280</v>
      </c>
      <c r="H1274" t="s">
        <v>1736</v>
      </c>
      <c r="I1274" t="s">
        <v>35</v>
      </c>
      <c r="J1274"/>
      <c r="K1274">
        <v>1</v>
      </c>
      <c r="L1274">
        <v>1</v>
      </c>
      <c r="M1274" t="s">
        <v>33</v>
      </c>
      <c r="N1274">
        <v>1</v>
      </c>
      <c r="O1274">
        <v>0.5</v>
      </c>
      <c r="P1274">
        <v>0.5</v>
      </c>
      <c r="Q1274" t="s">
        <v>38</v>
      </c>
      <c r="R1274">
        <v>1</v>
      </c>
      <c r="S1274">
        <v>0</v>
      </c>
      <c r="T1274"/>
      <c r="U1274"/>
      <c r="V1274"/>
      <c r="W1274"/>
      <c r="X1274">
        <v>0</v>
      </c>
      <c r="Y1274"/>
      <c r="Z1274">
        <v>0</v>
      </c>
      <c r="AA1274"/>
      <c r="AB1274"/>
      <c r="AC1274"/>
      <c r="AD1274"/>
      <c r="AE1274">
        <v>0</v>
      </c>
      <c r="AF1274"/>
      <c r="AG1274"/>
      <c r="AH1274"/>
    </row>
    <row r="1275" spans="1:34" x14ac:dyDescent="0.25">
      <c r="A1275" t="s">
        <v>3440</v>
      </c>
      <c r="B1275" t="s">
        <v>3441</v>
      </c>
      <c r="C1275"/>
      <c r="D1275" t="s">
        <v>329</v>
      </c>
      <c r="E1275" t="s">
        <v>1712</v>
      </c>
      <c r="F1275" t="s">
        <v>1735</v>
      </c>
      <c r="G1275" t="s">
        <v>280</v>
      </c>
      <c r="H1275" t="s">
        <v>1736</v>
      </c>
      <c r="I1275" t="s">
        <v>35</v>
      </c>
      <c r="J1275"/>
      <c r="K1275">
        <v>1</v>
      </c>
      <c r="L1275">
        <v>1</v>
      </c>
      <c r="M1275" t="s">
        <v>33</v>
      </c>
      <c r="N1275">
        <v>1</v>
      </c>
      <c r="O1275">
        <v>0.5</v>
      </c>
      <c r="P1275">
        <v>0.5</v>
      </c>
      <c r="Q1275" t="s">
        <v>38</v>
      </c>
      <c r="R1275">
        <v>1</v>
      </c>
      <c r="S1275">
        <v>0</v>
      </c>
      <c r="T1275"/>
      <c r="U1275"/>
      <c r="V1275"/>
      <c r="W1275"/>
      <c r="X1275">
        <v>0</v>
      </c>
      <c r="Y1275"/>
      <c r="Z1275">
        <v>0</v>
      </c>
      <c r="AA1275"/>
      <c r="AB1275"/>
      <c r="AC1275"/>
      <c r="AD1275"/>
      <c r="AE1275">
        <v>0</v>
      </c>
      <c r="AF1275"/>
      <c r="AG1275"/>
      <c r="AH1275"/>
    </row>
    <row r="1276" spans="1:34" x14ac:dyDescent="0.25">
      <c r="A1276" t="s">
        <v>3442</v>
      </c>
      <c r="B1276" t="s">
        <v>3443</v>
      </c>
      <c r="C1276"/>
      <c r="D1276" t="s">
        <v>329</v>
      </c>
      <c r="E1276" t="s">
        <v>1712</v>
      </c>
      <c r="F1276" t="s">
        <v>1735</v>
      </c>
      <c r="G1276" t="s">
        <v>280</v>
      </c>
      <c r="H1276" t="s">
        <v>1736</v>
      </c>
      <c r="I1276" t="s">
        <v>35</v>
      </c>
      <c r="J1276"/>
      <c r="K1276">
        <v>1</v>
      </c>
      <c r="L1276">
        <v>1</v>
      </c>
      <c r="M1276" t="s">
        <v>33</v>
      </c>
      <c r="N1276">
        <v>1</v>
      </c>
      <c r="O1276">
        <v>0.5</v>
      </c>
      <c r="P1276">
        <v>0.5</v>
      </c>
      <c r="Q1276" t="s">
        <v>38</v>
      </c>
      <c r="R1276">
        <v>1</v>
      </c>
      <c r="S1276">
        <v>0</v>
      </c>
      <c r="T1276"/>
      <c r="U1276"/>
      <c r="V1276"/>
      <c r="W1276"/>
      <c r="X1276">
        <v>0</v>
      </c>
      <c r="Y1276"/>
      <c r="Z1276">
        <v>0</v>
      </c>
      <c r="AA1276"/>
      <c r="AB1276"/>
      <c r="AC1276"/>
      <c r="AD1276"/>
      <c r="AE1276">
        <v>0</v>
      </c>
      <c r="AF1276"/>
      <c r="AG1276"/>
      <c r="AH1276"/>
    </row>
    <row r="1277" spans="1:34" x14ac:dyDescent="0.25">
      <c r="A1277" t="s">
        <v>1478</v>
      </c>
      <c r="B1277" t="s">
        <v>329</v>
      </c>
      <c r="C1277"/>
      <c r="D1277" t="s">
        <v>329</v>
      </c>
      <c r="E1277" t="s">
        <v>1712</v>
      </c>
      <c r="F1277" t="s">
        <v>1737</v>
      </c>
      <c r="G1277" t="s">
        <v>280</v>
      </c>
      <c r="H1277" t="s">
        <v>1738</v>
      </c>
      <c r="I1277" t="s">
        <v>35</v>
      </c>
      <c r="J1277"/>
      <c r="K1277">
        <v>1</v>
      </c>
      <c r="L1277">
        <v>1</v>
      </c>
      <c r="M1277" t="s">
        <v>33</v>
      </c>
      <c r="N1277">
        <v>1</v>
      </c>
      <c r="O1277">
        <v>0.5</v>
      </c>
      <c r="P1277">
        <v>0.5</v>
      </c>
      <c r="Q1277" t="s">
        <v>38</v>
      </c>
      <c r="R1277">
        <v>1</v>
      </c>
      <c r="S1277">
        <v>0</v>
      </c>
      <c r="T1277"/>
      <c r="U1277"/>
      <c r="V1277"/>
      <c r="W1277"/>
      <c r="X1277">
        <v>0</v>
      </c>
      <c r="Y1277"/>
      <c r="Z1277">
        <v>0</v>
      </c>
      <c r="AA1277"/>
      <c r="AB1277"/>
      <c r="AC1277"/>
      <c r="AD1277"/>
      <c r="AE1277">
        <v>0</v>
      </c>
      <c r="AF1277"/>
      <c r="AG1277"/>
      <c r="AH1277"/>
    </row>
    <row r="1278" spans="1:34" x14ac:dyDescent="0.25">
      <c r="A1278" t="s">
        <v>3440</v>
      </c>
      <c r="B1278" t="s">
        <v>3441</v>
      </c>
      <c r="C1278"/>
      <c r="D1278" t="s">
        <v>329</v>
      </c>
      <c r="E1278" t="s">
        <v>1712</v>
      </c>
      <c r="F1278" t="s">
        <v>1737</v>
      </c>
      <c r="G1278" t="s">
        <v>280</v>
      </c>
      <c r="H1278" t="s">
        <v>1738</v>
      </c>
      <c r="I1278" t="s">
        <v>35</v>
      </c>
      <c r="J1278"/>
      <c r="K1278">
        <v>1</v>
      </c>
      <c r="L1278">
        <v>1</v>
      </c>
      <c r="M1278" t="s">
        <v>33</v>
      </c>
      <c r="N1278">
        <v>1</v>
      </c>
      <c r="O1278">
        <v>0.5</v>
      </c>
      <c r="P1278">
        <v>0.5</v>
      </c>
      <c r="Q1278" t="s">
        <v>38</v>
      </c>
      <c r="R1278">
        <v>1</v>
      </c>
      <c r="S1278">
        <v>0</v>
      </c>
      <c r="T1278"/>
      <c r="U1278"/>
      <c r="V1278"/>
      <c r="W1278"/>
      <c r="X1278">
        <v>0</v>
      </c>
      <c r="Y1278"/>
      <c r="Z1278">
        <v>0</v>
      </c>
      <c r="AA1278"/>
      <c r="AB1278"/>
      <c r="AC1278"/>
      <c r="AD1278"/>
      <c r="AE1278">
        <v>0</v>
      </c>
      <c r="AF1278"/>
      <c r="AG1278"/>
      <c r="AH1278"/>
    </row>
    <row r="1279" spans="1:34" x14ac:dyDescent="0.25">
      <c r="A1279" t="s">
        <v>3442</v>
      </c>
      <c r="B1279" t="s">
        <v>3443</v>
      </c>
      <c r="C1279"/>
      <c r="D1279" t="s">
        <v>329</v>
      </c>
      <c r="E1279" t="s">
        <v>1712</v>
      </c>
      <c r="F1279" t="s">
        <v>1737</v>
      </c>
      <c r="G1279" t="s">
        <v>280</v>
      </c>
      <c r="H1279" t="s">
        <v>1738</v>
      </c>
      <c r="I1279" t="s">
        <v>35</v>
      </c>
      <c r="J1279"/>
      <c r="K1279">
        <v>1</v>
      </c>
      <c r="L1279">
        <v>1</v>
      </c>
      <c r="M1279" t="s">
        <v>33</v>
      </c>
      <c r="N1279">
        <v>1</v>
      </c>
      <c r="O1279">
        <v>0.5</v>
      </c>
      <c r="P1279">
        <v>0.5</v>
      </c>
      <c r="Q1279" t="s">
        <v>38</v>
      </c>
      <c r="R1279">
        <v>1</v>
      </c>
      <c r="S1279">
        <v>0</v>
      </c>
      <c r="T1279"/>
      <c r="U1279"/>
      <c r="V1279"/>
      <c r="W1279"/>
      <c r="X1279">
        <v>0</v>
      </c>
      <c r="Y1279"/>
      <c r="Z1279">
        <v>0</v>
      </c>
      <c r="AA1279"/>
      <c r="AB1279"/>
      <c r="AC1279"/>
      <c r="AD1279"/>
      <c r="AE1279">
        <v>0</v>
      </c>
      <c r="AF1279"/>
      <c r="AG1279"/>
      <c r="AH1279"/>
    </row>
    <row r="1280" spans="1:34" x14ac:dyDescent="0.25">
      <c r="A1280" t="s">
        <v>1478</v>
      </c>
      <c r="B1280" t="s">
        <v>329</v>
      </c>
      <c r="C1280"/>
      <c r="D1280" t="s">
        <v>329</v>
      </c>
      <c r="E1280" t="s">
        <v>1712</v>
      </c>
      <c r="F1280" t="s">
        <v>1739</v>
      </c>
      <c r="G1280" t="s">
        <v>280</v>
      </c>
      <c r="H1280" t="s">
        <v>1740</v>
      </c>
      <c r="I1280" t="s">
        <v>35</v>
      </c>
      <c r="J1280"/>
      <c r="K1280">
        <v>1</v>
      </c>
      <c r="L1280">
        <v>1</v>
      </c>
      <c r="M1280" t="s">
        <v>33</v>
      </c>
      <c r="N1280">
        <v>1</v>
      </c>
      <c r="O1280">
        <v>0.5</v>
      </c>
      <c r="P1280">
        <v>0.5</v>
      </c>
      <c r="Q1280" t="s">
        <v>38</v>
      </c>
      <c r="R1280">
        <v>1</v>
      </c>
      <c r="S1280">
        <v>0</v>
      </c>
      <c r="T1280"/>
      <c r="U1280"/>
      <c r="V1280"/>
      <c r="W1280"/>
      <c r="X1280">
        <v>0</v>
      </c>
      <c r="Y1280"/>
      <c r="Z1280">
        <v>0</v>
      </c>
      <c r="AA1280"/>
      <c r="AB1280"/>
      <c r="AC1280"/>
      <c r="AD1280"/>
      <c r="AE1280">
        <v>0</v>
      </c>
      <c r="AF1280"/>
      <c r="AG1280"/>
      <c r="AH1280"/>
    </row>
    <row r="1281" spans="1:34" x14ac:dyDescent="0.25">
      <c r="A1281" t="s">
        <v>3440</v>
      </c>
      <c r="B1281" t="s">
        <v>3441</v>
      </c>
      <c r="C1281"/>
      <c r="D1281" t="s">
        <v>329</v>
      </c>
      <c r="E1281" t="s">
        <v>1712</v>
      </c>
      <c r="F1281" t="s">
        <v>1739</v>
      </c>
      <c r="G1281" t="s">
        <v>280</v>
      </c>
      <c r="H1281" t="s">
        <v>1740</v>
      </c>
      <c r="I1281" t="s">
        <v>35</v>
      </c>
      <c r="J1281"/>
      <c r="K1281">
        <v>1</v>
      </c>
      <c r="L1281">
        <v>1</v>
      </c>
      <c r="M1281" t="s">
        <v>33</v>
      </c>
      <c r="N1281">
        <v>1</v>
      </c>
      <c r="O1281">
        <v>0.5</v>
      </c>
      <c r="P1281">
        <v>0.5</v>
      </c>
      <c r="Q1281" t="s">
        <v>38</v>
      </c>
      <c r="R1281">
        <v>1</v>
      </c>
      <c r="S1281">
        <v>0</v>
      </c>
      <c r="T1281"/>
      <c r="U1281"/>
      <c r="V1281"/>
      <c r="W1281"/>
      <c r="X1281">
        <v>0</v>
      </c>
      <c r="Y1281"/>
      <c r="Z1281">
        <v>0</v>
      </c>
      <c r="AA1281"/>
      <c r="AB1281"/>
      <c r="AC1281"/>
      <c r="AD1281"/>
      <c r="AE1281">
        <v>0</v>
      </c>
      <c r="AF1281"/>
      <c r="AG1281"/>
      <c r="AH1281"/>
    </row>
    <row r="1282" spans="1:34" x14ac:dyDescent="0.25">
      <c r="A1282" t="s">
        <v>3442</v>
      </c>
      <c r="B1282" t="s">
        <v>3443</v>
      </c>
      <c r="C1282"/>
      <c r="D1282" t="s">
        <v>329</v>
      </c>
      <c r="E1282" t="s">
        <v>1712</v>
      </c>
      <c r="F1282" t="s">
        <v>1739</v>
      </c>
      <c r="G1282" t="s">
        <v>280</v>
      </c>
      <c r="H1282" t="s">
        <v>1740</v>
      </c>
      <c r="I1282" t="s">
        <v>35</v>
      </c>
      <c r="J1282"/>
      <c r="K1282">
        <v>1</v>
      </c>
      <c r="L1282">
        <v>1</v>
      </c>
      <c r="M1282" t="s">
        <v>33</v>
      </c>
      <c r="N1282">
        <v>1</v>
      </c>
      <c r="O1282">
        <v>0.5</v>
      </c>
      <c r="P1282">
        <v>0.5</v>
      </c>
      <c r="Q1282" t="s">
        <v>38</v>
      </c>
      <c r="R1282">
        <v>1</v>
      </c>
      <c r="S1282">
        <v>0</v>
      </c>
      <c r="T1282"/>
      <c r="U1282"/>
      <c r="V1282"/>
      <c r="W1282"/>
      <c r="X1282">
        <v>0</v>
      </c>
      <c r="Y1282"/>
      <c r="Z1282">
        <v>0</v>
      </c>
      <c r="AA1282"/>
      <c r="AB1282"/>
      <c r="AC1282"/>
      <c r="AD1282"/>
      <c r="AE1282">
        <v>0</v>
      </c>
      <c r="AF1282"/>
      <c r="AG1282"/>
      <c r="AH1282"/>
    </row>
    <row r="1283" spans="1:34" x14ac:dyDescent="0.25">
      <c r="A1283" t="s">
        <v>1478</v>
      </c>
      <c r="B1283" t="s">
        <v>329</v>
      </c>
      <c r="C1283"/>
      <c r="D1283" t="s">
        <v>329</v>
      </c>
      <c r="E1283" t="s">
        <v>1712</v>
      </c>
      <c r="F1283" t="s">
        <v>1741</v>
      </c>
      <c r="G1283" t="s">
        <v>280</v>
      </c>
      <c r="H1283" t="s">
        <v>1742</v>
      </c>
      <c r="I1283" t="s">
        <v>35</v>
      </c>
      <c r="J1283"/>
      <c r="K1283">
        <v>1</v>
      </c>
      <c r="L1283">
        <v>1</v>
      </c>
      <c r="M1283" t="s">
        <v>33</v>
      </c>
      <c r="N1283">
        <v>1</v>
      </c>
      <c r="O1283">
        <v>0.5</v>
      </c>
      <c r="P1283">
        <v>0.5</v>
      </c>
      <c r="Q1283" t="s">
        <v>38</v>
      </c>
      <c r="R1283">
        <v>1</v>
      </c>
      <c r="S1283">
        <v>0</v>
      </c>
      <c r="T1283"/>
      <c r="U1283"/>
      <c r="V1283"/>
      <c r="W1283"/>
      <c r="X1283">
        <v>0</v>
      </c>
      <c r="Y1283"/>
      <c r="Z1283">
        <v>0</v>
      </c>
      <c r="AA1283"/>
      <c r="AB1283"/>
      <c r="AC1283"/>
      <c r="AD1283"/>
      <c r="AE1283">
        <v>0</v>
      </c>
      <c r="AF1283"/>
      <c r="AG1283"/>
      <c r="AH1283"/>
    </row>
    <row r="1284" spans="1:34" x14ac:dyDescent="0.25">
      <c r="A1284" t="s">
        <v>3440</v>
      </c>
      <c r="B1284" t="s">
        <v>3441</v>
      </c>
      <c r="C1284"/>
      <c r="D1284" t="s">
        <v>329</v>
      </c>
      <c r="E1284" t="s">
        <v>1712</v>
      </c>
      <c r="F1284" t="s">
        <v>1741</v>
      </c>
      <c r="G1284" t="s">
        <v>280</v>
      </c>
      <c r="H1284" t="s">
        <v>1742</v>
      </c>
      <c r="I1284" t="s">
        <v>35</v>
      </c>
      <c r="J1284"/>
      <c r="K1284">
        <v>1</v>
      </c>
      <c r="L1284">
        <v>1</v>
      </c>
      <c r="M1284" t="s">
        <v>33</v>
      </c>
      <c r="N1284">
        <v>1</v>
      </c>
      <c r="O1284">
        <v>0.5</v>
      </c>
      <c r="P1284">
        <v>0.5</v>
      </c>
      <c r="Q1284" t="s">
        <v>38</v>
      </c>
      <c r="R1284">
        <v>1</v>
      </c>
      <c r="S1284">
        <v>0</v>
      </c>
      <c r="T1284"/>
      <c r="U1284"/>
      <c r="V1284"/>
      <c r="W1284"/>
      <c r="X1284">
        <v>0</v>
      </c>
      <c r="Y1284"/>
      <c r="Z1284">
        <v>0</v>
      </c>
      <c r="AA1284"/>
      <c r="AB1284"/>
      <c r="AC1284"/>
      <c r="AD1284"/>
      <c r="AE1284">
        <v>0</v>
      </c>
      <c r="AF1284"/>
      <c r="AG1284"/>
      <c r="AH1284"/>
    </row>
    <row r="1285" spans="1:34" x14ac:dyDescent="0.25">
      <c r="A1285" t="s">
        <v>3442</v>
      </c>
      <c r="B1285" t="s">
        <v>3443</v>
      </c>
      <c r="C1285"/>
      <c r="D1285" t="s">
        <v>329</v>
      </c>
      <c r="E1285" t="s">
        <v>1712</v>
      </c>
      <c r="F1285" t="s">
        <v>1741</v>
      </c>
      <c r="G1285" t="s">
        <v>280</v>
      </c>
      <c r="H1285" t="s">
        <v>1742</v>
      </c>
      <c r="I1285" t="s">
        <v>35</v>
      </c>
      <c r="J1285"/>
      <c r="K1285">
        <v>1</v>
      </c>
      <c r="L1285">
        <v>1</v>
      </c>
      <c r="M1285" t="s">
        <v>33</v>
      </c>
      <c r="N1285">
        <v>1</v>
      </c>
      <c r="O1285">
        <v>0.5</v>
      </c>
      <c r="P1285">
        <v>0.5</v>
      </c>
      <c r="Q1285" t="s">
        <v>38</v>
      </c>
      <c r="R1285">
        <v>1</v>
      </c>
      <c r="S1285">
        <v>0</v>
      </c>
      <c r="T1285"/>
      <c r="U1285"/>
      <c r="V1285"/>
      <c r="W1285"/>
      <c r="X1285">
        <v>0</v>
      </c>
      <c r="Y1285"/>
      <c r="Z1285">
        <v>0</v>
      </c>
      <c r="AA1285"/>
      <c r="AB1285"/>
      <c r="AC1285"/>
      <c r="AD1285"/>
      <c r="AE1285">
        <v>0</v>
      </c>
      <c r="AF1285"/>
      <c r="AG1285"/>
      <c r="AH1285"/>
    </row>
    <row r="1286" spans="1:34" x14ac:dyDescent="0.25">
      <c r="A1286" t="s">
        <v>1478</v>
      </c>
      <c r="B1286" t="s">
        <v>329</v>
      </c>
      <c r="C1286"/>
      <c r="D1286" t="s">
        <v>329</v>
      </c>
      <c r="E1286" t="s">
        <v>1712</v>
      </c>
      <c r="F1286" t="s">
        <v>1743</v>
      </c>
      <c r="G1286" t="s">
        <v>280</v>
      </c>
      <c r="H1286" t="s">
        <v>1742</v>
      </c>
      <c r="I1286" t="s">
        <v>35</v>
      </c>
      <c r="J1286"/>
      <c r="K1286">
        <v>1</v>
      </c>
      <c r="L1286">
        <v>1</v>
      </c>
      <c r="M1286" t="s">
        <v>33</v>
      </c>
      <c r="N1286">
        <v>1</v>
      </c>
      <c r="O1286">
        <v>0.5</v>
      </c>
      <c r="P1286">
        <v>0.5</v>
      </c>
      <c r="Q1286" t="s">
        <v>38</v>
      </c>
      <c r="R1286">
        <v>1</v>
      </c>
      <c r="S1286">
        <v>0</v>
      </c>
      <c r="T1286"/>
      <c r="U1286"/>
      <c r="V1286"/>
      <c r="W1286"/>
      <c r="X1286">
        <v>0</v>
      </c>
      <c r="Y1286"/>
      <c r="Z1286">
        <v>0</v>
      </c>
      <c r="AA1286"/>
      <c r="AB1286"/>
      <c r="AC1286"/>
      <c r="AD1286"/>
      <c r="AE1286">
        <v>0</v>
      </c>
      <c r="AF1286"/>
      <c r="AG1286"/>
      <c r="AH1286"/>
    </row>
    <row r="1287" spans="1:34" x14ac:dyDescent="0.25">
      <c r="A1287" t="s">
        <v>3440</v>
      </c>
      <c r="B1287" t="s">
        <v>3441</v>
      </c>
      <c r="C1287"/>
      <c r="D1287" t="s">
        <v>329</v>
      </c>
      <c r="E1287" t="s">
        <v>1712</v>
      </c>
      <c r="F1287" t="s">
        <v>1743</v>
      </c>
      <c r="G1287" t="s">
        <v>280</v>
      </c>
      <c r="H1287" t="s">
        <v>1742</v>
      </c>
      <c r="I1287" t="s">
        <v>35</v>
      </c>
      <c r="J1287"/>
      <c r="K1287">
        <v>1</v>
      </c>
      <c r="L1287">
        <v>1</v>
      </c>
      <c r="M1287" t="s">
        <v>33</v>
      </c>
      <c r="N1287">
        <v>1</v>
      </c>
      <c r="O1287">
        <v>0.5</v>
      </c>
      <c r="P1287">
        <v>0.5</v>
      </c>
      <c r="Q1287" t="s">
        <v>38</v>
      </c>
      <c r="R1287">
        <v>1</v>
      </c>
      <c r="S1287">
        <v>0</v>
      </c>
      <c r="T1287"/>
      <c r="U1287"/>
      <c r="V1287"/>
      <c r="W1287"/>
      <c r="X1287">
        <v>0</v>
      </c>
      <c r="Y1287"/>
      <c r="Z1287">
        <v>0</v>
      </c>
      <c r="AA1287"/>
      <c r="AB1287"/>
      <c r="AC1287"/>
      <c r="AD1287"/>
      <c r="AE1287">
        <v>0</v>
      </c>
      <c r="AF1287"/>
      <c r="AG1287"/>
      <c r="AH1287"/>
    </row>
    <row r="1288" spans="1:34" x14ac:dyDescent="0.25">
      <c r="A1288" t="s">
        <v>3442</v>
      </c>
      <c r="B1288" t="s">
        <v>3443</v>
      </c>
      <c r="C1288"/>
      <c r="D1288" t="s">
        <v>329</v>
      </c>
      <c r="E1288" t="s">
        <v>1712</v>
      </c>
      <c r="F1288" t="s">
        <v>1743</v>
      </c>
      <c r="G1288" t="s">
        <v>280</v>
      </c>
      <c r="H1288" t="s">
        <v>1742</v>
      </c>
      <c r="I1288" t="s">
        <v>35</v>
      </c>
      <c r="J1288"/>
      <c r="K1288">
        <v>1</v>
      </c>
      <c r="L1288">
        <v>1</v>
      </c>
      <c r="M1288" t="s">
        <v>33</v>
      </c>
      <c r="N1288">
        <v>1</v>
      </c>
      <c r="O1288">
        <v>0.5</v>
      </c>
      <c r="P1288">
        <v>0.5</v>
      </c>
      <c r="Q1288" t="s">
        <v>38</v>
      </c>
      <c r="R1288">
        <v>1</v>
      </c>
      <c r="S1288">
        <v>0</v>
      </c>
      <c r="T1288"/>
      <c r="U1288"/>
      <c r="V1288"/>
      <c r="W1288"/>
      <c r="X1288">
        <v>0</v>
      </c>
      <c r="Y1288"/>
      <c r="Z1288">
        <v>0</v>
      </c>
      <c r="AA1288"/>
      <c r="AB1288"/>
      <c r="AC1288"/>
      <c r="AD1288"/>
      <c r="AE1288">
        <v>0</v>
      </c>
      <c r="AF1288"/>
      <c r="AG1288"/>
      <c r="AH1288"/>
    </row>
    <row r="1289" spans="1:34" x14ac:dyDescent="0.25">
      <c r="A1289" t="s">
        <v>1478</v>
      </c>
      <c r="B1289" t="s">
        <v>329</v>
      </c>
      <c r="C1289"/>
      <c r="D1289" t="s">
        <v>329</v>
      </c>
      <c r="E1289" t="s">
        <v>1712</v>
      </c>
      <c r="F1289" t="s">
        <v>1744</v>
      </c>
      <c r="G1289" t="s">
        <v>280</v>
      </c>
      <c r="H1289" t="s">
        <v>1745</v>
      </c>
      <c r="I1289" t="s">
        <v>35</v>
      </c>
      <c r="J1289"/>
      <c r="K1289">
        <v>1</v>
      </c>
      <c r="L1289">
        <v>1</v>
      </c>
      <c r="M1289" t="s">
        <v>33</v>
      </c>
      <c r="N1289">
        <v>1</v>
      </c>
      <c r="O1289">
        <v>0.5</v>
      </c>
      <c r="P1289">
        <v>0.5</v>
      </c>
      <c r="Q1289" t="s">
        <v>38</v>
      </c>
      <c r="R1289">
        <v>1</v>
      </c>
      <c r="S1289">
        <v>0</v>
      </c>
      <c r="T1289"/>
      <c r="U1289"/>
      <c r="V1289"/>
      <c r="W1289"/>
      <c r="X1289">
        <v>0</v>
      </c>
      <c r="Y1289"/>
      <c r="Z1289">
        <v>0</v>
      </c>
      <c r="AA1289"/>
      <c r="AB1289"/>
      <c r="AC1289"/>
      <c r="AD1289"/>
      <c r="AE1289">
        <v>0</v>
      </c>
      <c r="AF1289"/>
      <c r="AG1289"/>
      <c r="AH1289"/>
    </row>
    <row r="1290" spans="1:34" x14ac:dyDescent="0.25">
      <c r="A1290" t="s">
        <v>3440</v>
      </c>
      <c r="B1290" t="s">
        <v>3441</v>
      </c>
      <c r="C1290"/>
      <c r="D1290" t="s">
        <v>329</v>
      </c>
      <c r="E1290" t="s">
        <v>1712</v>
      </c>
      <c r="F1290" t="s">
        <v>1744</v>
      </c>
      <c r="G1290" t="s">
        <v>280</v>
      </c>
      <c r="H1290" t="s">
        <v>1745</v>
      </c>
      <c r="I1290" t="s">
        <v>35</v>
      </c>
      <c r="J1290"/>
      <c r="K1290">
        <v>1</v>
      </c>
      <c r="L1290">
        <v>1</v>
      </c>
      <c r="M1290" t="s">
        <v>33</v>
      </c>
      <c r="N1290">
        <v>1</v>
      </c>
      <c r="O1290">
        <v>0.5</v>
      </c>
      <c r="P1290">
        <v>0.5</v>
      </c>
      <c r="Q1290" t="s">
        <v>38</v>
      </c>
      <c r="R1290">
        <v>1</v>
      </c>
      <c r="S1290">
        <v>0</v>
      </c>
      <c r="T1290"/>
      <c r="U1290"/>
      <c r="V1290"/>
      <c r="W1290"/>
      <c r="X1290">
        <v>0</v>
      </c>
      <c r="Y1290"/>
      <c r="Z1290">
        <v>0</v>
      </c>
      <c r="AA1290"/>
      <c r="AB1290"/>
      <c r="AC1290"/>
      <c r="AD1290"/>
      <c r="AE1290">
        <v>0</v>
      </c>
      <c r="AF1290"/>
      <c r="AG1290"/>
      <c r="AH1290"/>
    </row>
    <row r="1291" spans="1:34" x14ac:dyDescent="0.25">
      <c r="A1291" t="s">
        <v>3442</v>
      </c>
      <c r="B1291" t="s">
        <v>3443</v>
      </c>
      <c r="C1291"/>
      <c r="D1291" t="s">
        <v>329</v>
      </c>
      <c r="E1291" t="s">
        <v>1712</v>
      </c>
      <c r="F1291" t="s">
        <v>1744</v>
      </c>
      <c r="G1291" t="s">
        <v>280</v>
      </c>
      <c r="H1291" t="s">
        <v>1745</v>
      </c>
      <c r="I1291" t="s">
        <v>35</v>
      </c>
      <c r="J1291"/>
      <c r="K1291">
        <v>1</v>
      </c>
      <c r="L1291">
        <v>1</v>
      </c>
      <c r="M1291" t="s">
        <v>33</v>
      </c>
      <c r="N1291">
        <v>1</v>
      </c>
      <c r="O1291">
        <v>0.5</v>
      </c>
      <c r="P1291">
        <v>0.5</v>
      </c>
      <c r="Q1291" t="s">
        <v>38</v>
      </c>
      <c r="R1291">
        <v>1</v>
      </c>
      <c r="S1291">
        <v>0</v>
      </c>
      <c r="T1291"/>
      <c r="U1291"/>
      <c r="V1291"/>
      <c r="W1291"/>
      <c r="X1291">
        <v>0</v>
      </c>
      <c r="Y1291"/>
      <c r="Z1291">
        <v>0</v>
      </c>
      <c r="AA1291"/>
      <c r="AB1291"/>
      <c r="AC1291"/>
      <c r="AD1291"/>
      <c r="AE1291">
        <v>0</v>
      </c>
      <c r="AF1291"/>
      <c r="AG1291"/>
      <c r="AH1291"/>
    </row>
    <row r="1292" spans="1:34" x14ac:dyDescent="0.25">
      <c r="A1292" t="s">
        <v>1478</v>
      </c>
      <c r="B1292" t="s">
        <v>329</v>
      </c>
      <c r="C1292"/>
      <c r="D1292" t="s">
        <v>329</v>
      </c>
      <c r="E1292" t="s">
        <v>1712</v>
      </c>
      <c r="F1292" t="s">
        <v>1746</v>
      </c>
      <c r="G1292" t="s">
        <v>280</v>
      </c>
      <c r="H1292" t="s">
        <v>1747</v>
      </c>
      <c r="I1292" t="s">
        <v>35</v>
      </c>
      <c r="J1292"/>
      <c r="K1292">
        <v>1</v>
      </c>
      <c r="L1292">
        <v>1</v>
      </c>
      <c r="M1292" t="s">
        <v>33</v>
      </c>
      <c r="N1292">
        <v>1</v>
      </c>
      <c r="O1292">
        <v>0.5</v>
      </c>
      <c r="P1292">
        <v>0.5</v>
      </c>
      <c r="Q1292" t="s">
        <v>38</v>
      </c>
      <c r="R1292">
        <v>1</v>
      </c>
      <c r="S1292">
        <v>0</v>
      </c>
      <c r="T1292"/>
      <c r="U1292"/>
      <c r="V1292"/>
      <c r="W1292"/>
      <c r="X1292">
        <v>0</v>
      </c>
      <c r="Y1292"/>
      <c r="Z1292">
        <v>0</v>
      </c>
      <c r="AA1292"/>
      <c r="AB1292"/>
      <c r="AC1292"/>
      <c r="AD1292"/>
      <c r="AE1292">
        <v>0</v>
      </c>
      <c r="AF1292"/>
      <c r="AG1292"/>
      <c r="AH1292"/>
    </row>
    <row r="1293" spans="1:34" x14ac:dyDescent="0.25">
      <c r="A1293" t="s">
        <v>3440</v>
      </c>
      <c r="B1293" t="s">
        <v>3441</v>
      </c>
      <c r="C1293"/>
      <c r="D1293" t="s">
        <v>329</v>
      </c>
      <c r="E1293" t="s">
        <v>1712</v>
      </c>
      <c r="F1293" t="s">
        <v>1746</v>
      </c>
      <c r="G1293" t="s">
        <v>280</v>
      </c>
      <c r="H1293" t="s">
        <v>1747</v>
      </c>
      <c r="I1293" t="s">
        <v>35</v>
      </c>
      <c r="J1293"/>
      <c r="K1293">
        <v>1</v>
      </c>
      <c r="L1293">
        <v>1</v>
      </c>
      <c r="M1293" t="s">
        <v>33</v>
      </c>
      <c r="N1293">
        <v>1</v>
      </c>
      <c r="O1293">
        <v>0.5</v>
      </c>
      <c r="P1293">
        <v>0.5</v>
      </c>
      <c r="Q1293" t="s">
        <v>38</v>
      </c>
      <c r="R1293">
        <v>1</v>
      </c>
      <c r="S1293">
        <v>0</v>
      </c>
      <c r="T1293"/>
      <c r="U1293"/>
      <c r="V1293"/>
      <c r="W1293"/>
      <c r="X1293">
        <v>0</v>
      </c>
      <c r="Y1293"/>
      <c r="Z1293">
        <v>0</v>
      </c>
      <c r="AA1293"/>
      <c r="AB1293"/>
      <c r="AC1293"/>
      <c r="AD1293"/>
      <c r="AE1293">
        <v>0</v>
      </c>
      <c r="AF1293"/>
      <c r="AG1293"/>
      <c r="AH1293"/>
    </row>
    <row r="1294" spans="1:34" x14ac:dyDescent="0.25">
      <c r="A1294" t="s">
        <v>3442</v>
      </c>
      <c r="B1294" t="s">
        <v>3443</v>
      </c>
      <c r="C1294"/>
      <c r="D1294" t="s">
        <v>329</v>
      </c>
      <c r="E1294" t="s">
        <v>1712</v>
      </c>
      <c r="F1294" t="s">
        <v>1746</v>
      </c>
      <c r="G1294" t="s">
        <v>280</v>
      </c>
      <c r="H1294" t="s">
        <v>1747</v>
      </c>
      <c r="I1294" t="s">
        <v>35</v>
      </c>
      <c r="J1294"/>
      <c r="K1294">
        <v>1</v>
      </c>
      <c r="L1294">
        <v>1</v>
      </c>
      <c r="M1294" t="s">
        <v>33</v>
      </c>
      <c r="N1294">
        <v>1</v>
      </c>
      <c r="O1294">
        <v>0.5</v>
      </c>
      <c r="P1294">
        <v>0.5</v>
      </c>
      <c r="Q1294" t="s">
        <v>38</v>
      </c>
      <c r="R1294">
        <v>1</v>
      </c>
      <c r="S1294">
        <v>0</v>
      </c>
      <c r="T1294"/>
      <c r="U1294"/>
      <c r="V1294"/>
      <c r="W1294"/>
      <c r="X1294">
        <v>0</v>
      </c>
      <c r="Y1294"/>
      <c r="Z1294">
        <v>0</v>
      </c>
      <c r="AA1294"/>
      <c r="AB1294"/>
      <c r="AC1294"/>
      <c r="AD1294"/>
      <c r="AE1294">
        <v>0</v>
      </c>
      <c r="AF1294"/>
      <c r="AG1294"/>
      <c r="AH1294"/>
    </row>
    <row r="1295" spans="1:34" x14ac:dyDescent="0.25">
      <c r="A1295" t="s">
        <v>1478</v>
      </c>
      <c r="B1295" t="s">
        <v>329</v>
      </c>
      <c r="C1295"/>
      <c r="D1295" t="s">
        <v>329</v>
      </c>
      <c r="E1295" t="s">
        <v>1712</v>
      </c>
      <c r="F1295" t="s">
        <v>1748</v>
      </c>
      <c r="G1295" t="s">
        <v>280</v>
      </c>
      <c r="H1295" t="s">
        <v>1749</v>
      </c>
      <c r="I1295" t="s">
        <v>35</v>
      </c>
      <c r="J1295"/>
      <c r="K1295">
        <v>1</v>
      </c>
      <c r="L1295">
        <v>1</v>
      </c>
      <c r="M1295" t="s">
        <v>33</v>
      </c>
      <c r="N1295">
        <v>1</v>
      </c>
      <c r="O1295">
        <v>0.5</v>
      </c>
      <c r="P1295">
        <v>0.5</v>
      </c>
      <c r="Q1295" t="s">
        <v>38</v>
      </c>
      <c r="R1295">
        <v>1</v>
      </c>
      <c r="S1295">
        <v>0</v>
      </c>
      <c r="T1295"/>
      <c r="U1295"/>
      <c r="V1295"/>
      <c r="W1295"/>
      <c r="X1295">
        <v>0</v>
      </c>
      <c r="Y1295"/>
      <c r="Z1295">
        <v>0</v>
      </c>
      <c r="AA1295"/>
      <c r="AB1295"/>
      <c r="AC1295"/>
      <c r="AD1295"/>
      <c r="AE1295">
        <v>0</v>
      </c>
      <c r="AF1295"/>
      <c r="AG1295"/>
      <c r="AH1295"/>
    </row>
    <row r="1296" spans="1:34" x14ac:dyDescent="0.25">
      <c r="A1296" t="s">
        <v>3440</v>
      </c>
      <c r="B1296" t="s">
        <v>3441</v>
      </c>
      <c r="C1296"/>
      <c r="D1296" t="s">
        <v>329</v>
      </c>
      <c r="E1296" t="s">
        <v>1712</v>
      </c>
      <c r="F1296" t="s">
        <v>1748</v>
      </c>
      <c r="G1296" t="s">
        <v>280</v>
      </c>
      <c r="H1296" t="s">
        <v>1749</v>
      </c>
      <c r="I1296" t="s">
        <v>35</v>
      </c>
      <c r="J1296"/>
      <c r="K1296">
        <v>1</v>
      </c>
      <c r="L1296">
        <v>1</v>
      </c>
      <c r="M1296" t="s">
        <v>33</v>
      </c>
      <c r="N1296">
        <v>1</v>
      </c>
      <c r="O1296">
        <v>0.5</v>
      </c>
      <c r="P1296">
        <v>0.5</v>
      </c>
      <c r="Q1296" t="s">
        <v>38</v>
      </c>
      <c r="R1296">
        <v>1</v>
      </c>
      <c r="S1296">
        <v>0</v>
      </c>
      <c r="T1296"/>
      <c r="U1296"/>
      <c r="V1296"/>
      <c r="W1296"/>
      <c r="X1296">
        <v>0</v>
      </c>
      <c r="Y1296"/>
      <c r="Z1296">
        <v>0</v>
      </c>
      <c r="AA1296"/>
      <c r="AB1296"/>
      <c r="AC1296"/>
      <c r="AD1296"/>
      <c r="AE1296">
        <v>0</v>
      </c>
      <c r="AF1296"/>
      <c r="AG1296"/>
      <c r="AH1296"/>
    </row>
    <row r="1297" spans="1:34" x14ac:dyDescent="0.25">
      <c r="A1297" t="s">
        <v>3442</v>
      </c>
      <c r="B1297" t="s">
        <v>3443</v>
      </c>
      <c r="C1297"/>
      <c r="D1297" t="s">
        <v>329</v>
      </c>
      <c r="E1297" t="s">
        <v>1712</v>
      </c>
      <c r="F1297" t="s">
        <v>1748</v>
      </c>
      <c r="G1297" t="s">
        <v>280</v>
      </c>
      <c r="H1297" t="s">
        <v>1749</v>
      </c>
      <c r="I1297" t="s">
        <v>35</v>
      </c>
      <c r="J1297"/>
      <c r="K1297">
        <v>1</v>
      </c>
      <c r="L1297">
        <v>1</v>
      </c>
      <c r="M1297" t="s">
        <v>33</v>
      </c>
      <c r="N1297">
        <v>1</v>
      </c>
      <c r="O1297">
        <v>0.5</v>
      </c>
      <c r="P1297">
        <v>0.5</v>
      </c>
      <c r="Q1297" t="s">
        <v>38</v>
      </c>
      <c r="R1297">
        <v>1</v>
      </c>
      <c r="S1297">
        <v>0</v>
      </c>
      <c r="T1297"/>
      <c r="U1297"/>
      <c r="V1297"/>
      <c r="W1297"/>
      <c r="X1297">
        <v>0</v>
      </c>
      <c r="Y1297"/>
      <c r="Z1297">
        <v>0</v>
      </c>
      <c r="AA1297"/>
      <c r="AB1297"/>
      <c r="AC1297"/>
      <c r="AD1297"/>
      <c r="AE1297">
        <v>0</v>
      </c>
      <c r="AF1297"/>
      <c r="AG1297"/>
      <c r="AH1297"/>
    </row>
    <row r="1298" spans="1:34" x14ac:dyDescent="0.25">
      <c r="A1298" t="s">
        <v>1478</v>
      </c>
      <c r="B1298" t="s">
        <v>329</v>
      </c>
      <c r="C1298"/>
      <c r="D1298" t="s">
        <v>329</v>
      </c>
      <c r="E1298" t="s">
        <v>1712</v>
      </c>
      <c r="F1298" t="s">
        <v>1750</v>
      </c>
      <c r="G1298" t="s">
        <v>280</v>
      </c>
      <c r="H1298" t="s">
        <v>1751</v>
      </c>
      <c r="I1298" t="s">
        <v>35</v>
      </c>
      <c r="J1298"/>
      <c r="K1298">
        <v>1</v>
      </c>
      <c r="L1298">
        <v>1</v>
      </c>
      <c r="M1298" t="s">
        <v>33</v>
      </c>
      <c r="N1298">
        <v>1</v>
      </c>
      <c r="O1298">
        <v>0.5</v>
      </c>
      <c r="P1298">
        <v>0.5</v>
      </c>
      <c r="Q1298" t="s">
        <v>38</v>
      </c>
      <c r="R1298">
        <v>1</v>
      </c>
      <c r="S1298">
        <v>0</v>
      </c>
      <c r="T1298"/>
      <c r="U1298"/>
      <c r="V1298"/>
      <c r="W1298"/>
      <c r="X1298">
        <v>0</v>
      </c>
      <c r="Y1298"/>
      <c r="Z1298">
        <v>0</v>
      </c>
      <c r="AA1298"/>
      <c r="AB1298"/>
      <c r="AC1298"/>
      <c r="AD1298"/>
      <c r="AE1298">
        <v>0</v>
      </c>
      <c r="AF1298"/>
      <c r="AG1298"/>
      <c r="AH1298"/>
    </row>
    <row r="1299" spans="1:34" x14ac:dyDescent="0.25">
      <c r="A1299" t="s">
        <v>3440</v>
      </c>
      <c r="B1299" t="s">
        <v>3441</v>
      </c>
      <c r="C1299"/>
      <c r="D1299" t="s">
        <v>329</v>
      </c>
      <c r="E1299" t="s">
        <v>1712</v>
      </c>
      <c r="F1299" t="s">
        <v>1750</v>
      </c>
      <c r="G1299" t="s">
        <v>280</v>
      </c>
      <c r="H1299" t="s">
        <v>1751</v>
      </c>
      <c r="I1299" t="s">
        <v>35</v>
      </c>
      <c r="J1299"/>
      <c r="K1299">
        <v>1</v>
      </c>
      <c r="L1299">
        <v>1</v>
      </c>
      <c r="M1299" t="s">
        <v>33</v>
      </c>
      <c r="N1299">
        <v>1</v>
      </c>
      <c r="O1299">
        <v>0.5</v>
      </c>
      <c r="P1299">
        <v>0.5</v>
      </c>
      <c r="Q1299" t="s">
        <v>38</v>
      </c>
      <c r="R1299">
        <v>1</v>
      </c>
      <c r="S1299">
        <v>0</v>
      </c>
      <c r="T1299"/>
      <c r="U1299"/>
      <c r="V1299"/>
      <c r="W1299"/>
      <c r="X1299">
        <v>0</v>
      </c>
      <c r="Y1299"/>
      <c r="Z1299">
        <v>0</v>
      </c>
      <c r="AA1299"/>
      <c r="AB1299"/>
      <c r="AC1299"/>
      <c r="AD1299"/>
      <c r="AE1299">
        <v>0</v>
      </c>
      <c r="AF1299"/>
      <c r="AG1299"/>
      <c r="AH1299"/>
    </row>
    <row r="1300" spans="1:34" x14ac:dyDescent="0.25">
      <c r="A1300" t="s">
        <v>3442</v>
      </c>
      <c r="B1300" t="s">
        <v>3443</v>
      </c>
      <c r="C1300"/>
      <c r="D1300" t="s">
        <v>329</v>
      </c>
      <c r="E1300" t="s">
        <v>1712</v>
      </c>
      <c r="F1300" t="s">
        <v>1750</v>
      </c>
      <c r="G1300" t="s">
        <v>280</v>
      </c>
      <c r="H1300" t="s">
        <v>1751</v>
      </c>
      <c r="I1300" t="s">
        <v>35</v>
      </c>
      <c r="J1300"/>
      <c r="K1300">
        <v>1</v>
      </c>
      <c r="L1300">
        <v>1</v>
      </c>
      <c r="M1300" t="s">
        <v>33</v>
      </c>
      <c r="N1300">
        <v>1</v>
      </c>
      <c r="O1300">
        <v>0.5</v>
      </c>
      <c r="P1300">
        <v>0.5</v>
      </c>
      <c r="Q1300" t="s">
        <v>38</v>
      </c>
      <c r="R1300">
        <v>1</v>
      </c>
      <c r="S1300">
        <v>0</v>
      </c>
      <c r="T1300"/>
      <c r="U1300"/>
      <c r="V1300"/>
      <c r="W1300"/>
      <c r="X1300">
        <v>0</v>
      </c>
      <c r="Y1300"/>
      <c r="Z1300">
        <v>0</v>
      </c>
      <c r="AA1300"/>
      <c r="AB1300"/>
      <c r="AC1300"/>
      <c r="AD1300"/>
      <c r="AE1300">
        <v>0</v>
      </c>
      <c r="AF1300"/>
      <c r="AG1300"/>
      <c r="AH1300"/>
    </row>
    <row r="1301" spans="1:34" x14ac:dyDescent="0.25">
      <c r="A1301" t="s">
        <v>1478</v>
      </c>
      <c r="B1301" t="s">
        <v>329</v>
      </c>
      <c r="C1301"/>
      <c r="D1301" t="s">
        <v>329</v>
      </c>
      <c r="E1301" t="s">
        <v>1712</v>
      </c>
      <c r="F1301" t="s">
        <v>1752</v>
      </c>
      <c r="G1301" t="s">
        <v>280</v>
      </c>
      <c r="H1301" t="s">
        <v>1751</v>
      </c>
      <c r="I1301" t="s">
        <v>35</v>
      </c>
      <c r="J1301"/>
      <c r="K1301">
        <v>1</v>
      </c>
      <c r="L1301">
        <v>1</v>
      </c>
      <c r="M1301" t="s">
        <v>33</v>
      </c>
      <c r="N1301">
        <v>1</v>
      </c>
      <c r="O1301">
        <v>0.5</v>
      </c>
      <c r="P1301">
        <v>0.5</v>
      </c>
      <c r="Q1301" t="s">
        <v>38</v>
      </c>
      <c r="R1301">
        <v>1</v>
      </c>
      <c r="S1301">
        <v>0</v>
      </c>
      <c r="T1301"/>
      <c r="U1301"/>
      <c r="V1301"/>
      <c r="W1301"/>
      <c r="X1301">
        <v>0</v>
      </c>
      <c r="Y1301"/>
      <c r="Z1301">
        <v>0</v>
      </c>
      <c r="AA1301"/>
      <c r="AB1301"/>
      <c r="AC1301"/>
      <c r="AD1301"/>
      <c r="AE1301">
        <v>0</v>
      </c>
      <c r="AF1301"/>
      <c r="AG1301"/>
      <c r="AH1301"/>
    </row>
    <row r="1302" spans="1:34" x14ac:dyDescent="0.25">
      <c r="A1302" t="s">
        <v>3440</v>
      </c>
      <c r="B1302" t="s">
        <v>3441</v>
      </c>
      <c r="C1302"/>
      <c r="D1302" t="s">
        <v>329</v>
      </c>
      <c r="E1302" t="s">
        <v>1712</v>
      </c>
      <c r="F1302" t="s">
        <v>1752</v>
      </c>
      <c r="G1302" t="s">
        <v>280</v>
      </c>
      <c r="H1302" t="s">
        <v>1751</v>
      </c>
      <c r="I1302" t="s">
        <v>35</v>
      </c>
      <c r="J1302"/>
      <c r="K1302">
        <v>1</v>
      </c>
      <c r="L1302">
        <v>1</v>
      </c>
      <c r="M1302" t="s">
        <v>33</v>
      </c>
      <c r="N1302">
        <v>1</v>
      </c>
      <c r="O1302">
        <v>0.5</v>
      </c>
      <c r="P1302">
        <v>0.5</v>
      </c>
      <c r="Q1302" t="s">
        <v>38</v>
      </c>
      <c r="R1302">
        <v>1</v>
      </c>
      <c r="S1302">
        <v>0</v>
      </c>
      <c r="T1302"/>
      <c r="U1302"/>
      <c r="V1302"/>
      <c r="W1302"/>
      <c r="X1302">
        <v>0</v>
      </c>
      <c r="Y1302"/>
      <c r="Z1302">
        <v>0</v>
      </c>
      <c r="AA1302"/>
      <c r="AB1302"/>
      <c r="AC1302"/>
      <c r="AD1302"/>
      <c r="AE1302">
        <v>0</v>
      </c>
      <c r="AF1302"/>
      <c r="AG1302"/>
      <c r="AH1302"/>
    </row>
    <row r="1303" spans="1:34" x14ac:dyDescent="0.25">
      <c r="A1303" t="s">
        <v>3442</v>
      </c>
      <c r="B1303" t="s">
        <v>3443</v>
      </c>
      <c r="C1303"/>
      <c r="D1303" t="s">
        <v>329</v>
      </c>
      <c r="E1303" t="s">
        <v>1712</v>
      </c>
      <c r="F1303" t="s">
        <v>1752</v>
      </c>
      <c r="G1303" t="s">
        <v>280</v>
      </c>
      <c r="H1303" t="s">
        <v>1751</v>
      </c>
      <c r="I1303" t="s">
        <v>35</v>
      </c>
      <c r="J1303"/>
      <c r="K1303">
        <v>1</v>
      </c>
      <c r="L1303">
        <v>1</v>
      </c>
      <c r="M1303" t="s">
        <v>33</v>
      </c>
      <c r="N1303">
        <v>1</v>
      </c>
      <c r="O1303">
        <v>0.5</v>
      </c>
      <c r="P1303">
        <v>0.5</v>
      </c>
      <c r="Q1303" t="s">
        <v>38</v>
      </c>
      <c r="R1303">
        <v>1</v>
      </c>
      <c r="S1303">
        <v>0</v>
      </c>
      <c r="T1303"/>
      <c r="U1303"/>
      <c r="V1303"/>
      <c r="W1303"/>
      <c r="X1303">
        <v>0</v>
      </c>
      <c r="Y1303"/>
      <c r="Z1303">
        <v>0</v>
      </c>
      <c r="AA1303"/>
      <c r="AB1303"/>
      <c r="AC1303"/>
      <c r="AD1303"/>
      <c r="AE1303">
        <v>0</v>
      </c>
      <c r="AF1303"/>
      <c r="AG1303"/>
      <c r="AH1303"/>
    </row>
    <row r="1304" spans="1:34" x14ac:dyDescent="0.25">
      <c r="A1304" t="s">
        <v>1478</v>
      </c>
      <c r="B1304" t="s">
        <v>329</v>
      </c>
      <c r="C1304"/>
      <c r="D1304" t="s">
        <v>329</v>
      </c>
      <c r="E1304" t="s">
        <v>1712</v>
      </c>
      <c r="F1304" t="s">
        <v>1708</v>
      </c>
      <c r="G1304" t="s">
        <v>280</v>
      </c>
      <c r="H1304" t="s">
        <v>1753</v>
      </c>
      <c r="I1304" t="s">
        <v>35</v>
      </c>
      <c r="J1304"/>
      <c r="K1304">
        <v>1</v>
      </c>
      <c r="L1304">
        <v>1</v>
      </c>
      <c r="M1304" t="s">
        <v>33</v>
      </c>
      <c r="N1304">
        <v>1</v>
      </c>
      <c r="O1304">
        <v>0.5</v>
      </c>
      <c r="P1304">
        <v>0.5</v>
      </c>
      <c r="Q1304" t="s">
        <v>38</v>
      </c>
      <c r="R1304">
        <v>1</v>
      </c>
      <c r="S1304">
        <v>0</v>
      </c>
      <c r="T1304"/>
      <c r="U1304"/>
      <c r="V1304"/>
      <c r="W1304"/>
      <c r="X1304">
        <v>0</v>
      </c>
      <c r="Y1304"/>
      <c r="Z1304">
        <v>0</v>
      </c>
      <c r="AA1304"/>
      <c r="AB1304"/>
      <c r="AC1304"/>
      <c r="AD1304"/>
      <c r="AE1304">
        <v>0</v>
      </c>
      <c r="AF1304"/>
      <c r="AG1304"/>
      <c r="AH1304"/>
    </row>
    <row r="1305" spans="1:34" x14ac:dyDescent="0.25">
      <c r="A1305" t="s">
        <v>3440</v>
      </c>
      <c r="B1305" t="s">
        <v>3441</v>
      </c>
      <c r="C1305"/>
      <c r="D1305" t="s">
        <v>329</v>
      </c>
      <c r="E1305" t="s">
        <v>1712</v>
      </c>
      <c r="F1305" t="s">
        <v>1708</v>
      </c>
      <c r="G1305" t="s">
        <v>280</v>
      </c>
      <c r="H1305" t="s">
        <v>1753</v>
      </c>
      <c r="I1305" t="s">
        <v>35</v>
      </c>
      <c r="J1305"/>
      <c r="K1305">
        <v>1</v>
      </c>
      <c r="L1305">
        <v>1</v>
      </c>
      <c r="M1305" t="s">
        <v>33</v>
      </c>
      <c r="N1305">
        <v>1</v>
      </c>
      <c r="O1305">
        <v>0.5</v>
      </c>
      <c r="P1305">
        <v>0.5</v>
      </c>
      <c r="Q1305" t="s">
        <v>38</v>
      </c>
      <c r="R1305">
        <v>1</v>
      </c>
      <c r="S1305">
        <v>0</v>
      </c>
      <c r="T1305"/>
      <c r="U1305"/>
      <c r="V1305"/>
      <c r="W1305"/>
      <c r="X1305">
        <v>0</v>
      </c>
      <c r="Y1305"/>
      <c r="Z1305">
        <v>0</v>
      </c>
      <c r="AA1305"/>
      <c r="AB1305"/>
      <c r="AC1305"/>
      <c r="AD1305"/>
      <c r="AE1305">
        <v>0</v>
      </c>
      <c r="AF1305"/>
      <c r="AG1305"/>
      <c r="AH1305"/>
    </row>
    <row r="1306" spans="1:34" x14ac:dyDescent="0.25">
      <c r="A1306" t="s">
        <v>3442</v>
      </c>
      <c r="B1306" t="s">
        <v>3443</v>
      </c>
      <c r="C1306"/>
      <c r="D1306" t="s">
        <v>329</v>
      </c>
      <c r="E1306" t="s">
        <v>1712</v>
      </c>
      <c r="F1306" t="s">
        <v>1708</v>
      </c>
      <c r="G1306" t="s">
        <v>280</v>
      </c>
      <c r="H1306" t="s">
        <v>1753</v>
      </c>
      <c r="I1306" t="s">
        <v>35</v>
      </c>
      <c r="J1306"/>
      <c r="K1306">
        <v>1</v>
      </c>
      <c r="L1306">
        <v>1</v>
      </c>
      <c r="M1306" t="s">
        <v>33</v>
      </c>
      <c r="N1306">
        <v>1</v>
      </c>
      <c r="O1306">
        <v>0.5</v>
      </c>
      <c r="P1306">
        <v>0.5</v>
      </c>
      <c r="Q1306" t="s">
        <v>38</v>
      </c>
      <c r="R1306">
        <v>1</v>
      </c>
      <c r="S1306">
        <v>0</v>
      </c>
      <c r="T1306"/>
      <c r="U1306"/>
      <c r="V1306"/>
      <c r="W1306"/>
      <c r="X1306">
        <v>0</v>
      </c>
      <c r="Y1306"/>
      <c r="Z1306">
        <v>0</v>
      </c>
      <c r="AA1306"/>
      <c r="AB1306"/>
      <c r="AC1306"/>
      <c r="AD1306"/>
      <c r="AE1306">
        <v>0</v>
      </c>
      <c r="AF1306"/>
      <c r="AG1306"/>
      <c r="AH1306"/>
    </row>
    <row r="1307" spans="1:34" x14ac:dyDescent="0.25">
      <c r="A1307" t="s">
        <v>1478</v>
      </c>
      <c r="B1307" t="s">
        <v>329</v>
      </c>
      <c r="C1307"/>
      <c r="D1307" t="s">
        <v>329</v>
      </c>
      <c r="E1307" t="s">
        <v>1712</v>
      </c>
      <c r="F1307" t="s">
        <v>1710</v>
      </c>
      <c r="G1307" t="s">
        <v>280</v>
      </c>
      <c r="H1307" t="s">
        <v>1754</v>
      </c>
      <c r="I1307" t="s">
        <v>35</v>
      </c>
      <c r="J1307"/>
      <c r="K1307">
        <v>1</v>
      </c>
      <c r="L1307">
        <v>1</v>
      </c>
      <c r="M1307" t="s">
        <v>33</v>
      </c>
      <c r="N1307">
        <v>1</v>
      </c>
      <c r="O1307">
        <v>0.5</v>
      </c>
      <c r="P1307">
        <v>0.5</v>
      </c>
      <c r="Q1307" t="s">
        <v>38</v>
      </c>
      <c r="R1307">
        <v>1</v>
      </c>
      <c r="S1307">
        <v>0</v>
      </c>
      <c r="T1307"/>
      <c r="U1307"/>
      <c r="V1307"/>
      <c r="W1307"/>
      <c r="X1307">
        <v>0</v>
      </c>
      <c r="Y1307"/>
      <c r="Z1307">
        <v>0</v>
      </c>
      <c r="AA1307"/>
      <c r="AB1307"/>
      <c r="AC1307"/>
      <c r="AD1307"/>
      <c r="AE1307">
        <v>0</v>
      </c>
      <c r="AF1307"/>
      <c r="AG1307"/>
      <c r="AH1307"/>
    </row>
    <row r="1308" spans="1:34" x14ac:dyDescent="0.25">
      <c r="A1308" t="s">
        <v>3440</v>
      </c>
      <c r="B1308" t="s">
        <v>3441</v>
      </c>
      <c r="C1308"/>
      <c r="D1308" t="s">
        <v>329</v>
      </c>
      <c r="E1308" t="s">
        <v>1712</v>
      </c>
      <c r="F1308" t="s">
        <v>1710</v>
      </c>
      <c r="G1308" t="s">
        <v>280</v>
      </c>
      <c r="H1308" t="s">
        <v>1754</v>
      </c>
      <c r="I1308" t="s">
        <v>35</v>
      </c>
      <c r="J1308"/>
      <c r="K1308">
        <v>1</v>
      </c>
      <c r="L1308">
        <v>1</v>
      </c>
      <c r="M1308" t="s">
        <v>33</v>
      </c>
      <c r="N1308">
        <v>1</v>
      </c>
      <c r="O1308">
        <v>0.5</v>
      </c>
      <c r="P1308">
        <v>0.5</v>
      </c>
      <c r="Q1308" t="s">
        <v>38</v>
      </c>
      <c r="R1308">
        <v>1</v>
      </c>
      <c r="S1308">
        <v>0</v>
      </c>
      <c r="T1308"/>
      <c r="U1308"/>
      <c r="V1308"/>
      <c r="W1308"/>
      <c r="X1308">
        <v>0</v>
      </c>
      <c r="Y1308"/>
      <c r="Z1308">
        <v>0</v>
      </c>
      <c r="AA1308"/>
      <c r="AB1308"/>
      <c r="AC1308"/>
      <c r="AD1308"/>
      <c r="AE1308">
        <v>0</v>
      </c>
      <c r="AF1308"/>
      <c r="AG1308"/>
      <c r="AH1308"/>
    </row>
    <row r="1309" spans="1:34" x14ac:dyDescent="0.25">
      <c r="A1309" t="s">
        <v>3442</v>
      </c>
      <c r="B1309" t="s">
        <v>3443</v>
      </c>
      <c r="C1309"/>
      <c r="D1309" t="s">
        <v>329</v>
      </c>
      <c r="E1309" t="s">
        <v>1712</v>
      </c>
      <c r="F1309" t="s">
        <v>1710</v>
      </c>
      <c r="G1309" t="s">
        <v>280</v>
      </c>
      <c r="H1309" t="s">
        <v>1754</v>
      </c>
      <c r="I1309" t="s">
        <v>35</v>
      </c>
      <c r="J1309"/>
      <c r="K1309">
        <v>1</v>
      </c>
      <c r="L1309">
        <v>1</v>
      </c>
      <c r="M1309" t="s">
        <v>33</v>
      </c>
      <c r="N1309">
        <v>1</v>
      </c>
      <c r="O1309">
        <v>0.5</v>
      </c>
      <c r="P1309">
        <v>0.5</v>
      </c>
      <c r="Q1309" t="s">
        <v>38</v>
      </c>
      <c r="R1309">
        <v>1</v>
      </c>
      <c r="S1309">
        <v>0</v>
      </c>
      <c r="T1309"/>
      <c r="U1309"/>
      <c r="V1309"/>
      <c r="W1309"/>
      <c r="X1309">
        <v>0</v>
      </c>
      <c r="Y1309"/>
      <c r="Z1309">
        <v>0</v>
      </c>
      <c r="AA1309"/>
      <c r="AB1309"/>
      <c r="AC1309"/>
      <c r="AD1309"/>
      <c r="AE1309">
        <v>0</v>
      </c>
      <c r="AF1309"/>
      <c r="AG1309"/>
      <c r="AH1309"/>
    </row>
    <row r="1310" spans="1:34" x14ac:dyDescent="0.25">
      <c r="A1310" t="s">
        <v>1478</v>
      </c>
      <c r="B1310" t="s">
        <v>329</v>
      </c>
      <c r="C1310"/>
      <c r="D1310" t="s">
        <v>329</v>
      </c>
      <c r="E1310" t="s">
        <v>1755</v>
      </c>
      <c r="F1310" t="s">
        <v>1480</v>
      </c>
      <c r="G1310" t="s">
        <v>280</v>
      </c>
      <c r="H1310" t="s">
        <v>1756</v>
      </c>
      <c r="I1310" t="s">
        <v>35</v>
      </c>
      <c r="J1310"/>
      <c r="K1310">
        <v>1</v>
      </c>
      <c r="L1310">
        <v>1</v>
      </c>
      <c r="M1310" t="s">
        <v>33</v>
      </c>
      <c r="N1310">
        <v>1</v>
      </c>
      <c r="O1310">
        <v>0.5</v>
      </c>
      <c r="P1310">
        <v>0.5</v>
      </c>
      <c r="Q1310" t="s">
        <v>38</v>
      </c>
      <c r="R1310">
        <v>1</v>
      </c>
      <c r="S1310">
        <v>0</v>
      </c>
      <c r="T1310"/>
      <c r="U1310"/>
      <c r="V1310"/>
      <c r="W1310"/>
      <c r="X1310">
        <v>0</v>
      </c>
      <c r="Y1310"/>
      <c r="Z1310">
        <v>0</v>
      </c>
      <c r="AA1310"/>
      <c r="AB1310"/>
      <c r="AC1310"/>
      <c r="AD1310"/>
      <c r="AE1310">
        <v>0</v>
      </c>
      <c r="AF1310"/>
      <c r="AG1310"/>
      <c r="AH1310"/>
    </row>
    <row r="1311" spans="1:34" x14ac:dyDescent="0.25">
      <c r="A1311" t="s">
        <v>3446</v>
      </c>
      <c r="B1311" t="s">
        <v>3447</v>
      </c>
      <c r="C1311"/>
      <c r="D1311" t="s">
        <v>329</v>
      </c>
      <c r="E1311" t="s">
        <v>1755</v>
      </c>
      <c r="F1311" t="s">
        <v>1480</v>
      </c>
      <c r="G1311" t="s">
        <v>259</v>
      </c>
      <c r="H1311" t="s">
        <v>1756</v>
      </c>
      <c r="I1311" t="s">
        <v>35</v>
      </c>
      <c r="J1311"/>
      <c r="K1311">
        <v>1</v>
      </c>
      <c r="L1311">
        <v>1</v>
      </c>
      <c r="M1311" t="s">
        <v>33</v>
      </c>
      <c r="N1311">
        <v>1</v>
      </c>
      <c r="O1311">
        <v>0.5</v>
      </c>
      <c r="P1311">
        <v>0.5</v>
      </c>
      <c r="Q1311" t="s">
        <v>38</v>
      </c>
      <c r="R1311">
        <v>1</v>
      </c>
      <c r="S1311">
        <v>0</v>
      </c>
      <c r="T1311"/>
      <c r="U1311"/>
      <c r="V1311"/>
      <c r="W1311"/>
      <c r="X1311">
        <v>0</v>
      </c>
      <c r="Y1311"/>
      <c r="Z1311">
        <v>0</v>
      </c>
      <c r="AA1311"/>
      <c r="AB1311"/>
      <c r="AC1311"/>
      <c r="AD1311"/>
      <c r="AE1311">
        <v>0</v>
      </c>
      <c r="AF1311"/>
      <c r="AG1311"/>
      <c r="AH1311"/>
    </row>
    <row r="1312" spans="1:34" x14ac:dyDescent="0.25">
      <c r="A1312" t="s">
        <v>1478</v>
      </c>
      <c r="B1312" t="s">
        <v>329</v>
      </c>
      <c r="C1312"/>
      <c r="D1312" t="s">
        <v>329</v>
      </c>
      <c r="E1312" t="s">
        <v>1755</v>
      </c>
      <c r="F1312" t="s">
        <v>1482</v>
      </c>
      <c r="G1312" t="s">
        <v>280</v>
      </c>
      <c r="H1312" t="s">
        <v>1757</v>
      </c>
      <c r="I1312" t="s">
        <v>35</v>
      </c>
      <c r="J1312"/>
      <c r="K1312">
        <v>1</v>
      </c>
      <c r="L1312">
        <v>1</v>
      </c>
      <c r="M1312" t="s">
        <v>33</v>
      </c>
      <c r="N1312">
        <v>1</v>
      </c>
      <c r="O1312">
        <v>0.5</v>
      </c>
      <c r="P1312">
        <v>0.5</v>
      </c>
      <c r="Q1312" t="s">
        <v>38</v>
      </c>
      <c r="R1312">
        <v>1</v>
      </c>
      <c r="S1312">
        <v>0</v>
      </c>
      <c r="T1312"/>
      <c r="U1312"/>
      <c r="V1312"/>
      <c r="W1312"/>
      <c r="X1312">
        <v>0</v>
      </c>
      <c r="Y1312"/>
      <c r="Z1312">
        <v>0</v>
      </c>
      <c r="AA1312"/>
      <c r="AB1312"/>
      <c r="AC1312"/>
      <c r="AD1312"/>
      <c r="AE1312">
        <v>0</v>
      </c>
      <c r="AF1312"/>
      <c r="AG1312"/>
      <c r="AH1312"/>
    </row>
    <row r="1313" spans="1:34" x14ac:dyDescent="0.25">
      <c r="A1313" t="s">
        <v>3446</v>
      </c>
      <c r="B1313" t="s">
        <v>3447</v>
      </c>
      <c r="C1313"/>
      <c r="D1313" t="s">
        <v>329</v>
      </c>
      <c r="E1313" t="s">
        <v>1755</v>
      </c>
      <c r="F1313" t="s">
        <v>1482</v>
      </c>
      <c r="G1313" t="s">
        <v>259</v>
      </c>
      <c r="H1313" t="s">
        <v>1757</v>
      </c>
      <c r="I1313" t="s">
        <v>35</v>
      </c>
      <c r="J1313"/>
      <c r="K1313">
        <v>1</v>
      </c>
      <c r="L1313">
        <v>1</v>
      </c>
      <c r="M1313" t="s">
        <v>33</v>
      </c>
      <c r="N1313">
        <v>1</v>
      </c>
      <c r="O1313">
        <v>0.5</v>
      </c>
      <c r="P1313">
        <v>0.5</v>
      </c>
      <c r="Q1313" t="s">
        <v>38</v>
      </c>
      <c r="R1313">
        <v>1</v>
      </c>
      <c r="S1313">
        <v>0</v>
      </c>
      <c r="T1313"/>
      <c r="U1313"/>
      <c r="V1313"/>
      <c r="W1313"/>
      <c r="X1313">
        <v>0</v>
      </c>
      <c r="Y1313"/>
      <c r="Z1313">
        <v>0</v>
      </c>
      <c r="AA1313"/>
      <c r="AB1313"/>
      <c r="AC1313"/>
      <c r="AD1313"/>
      <c r="AE1313">
        <v>0</v>
      </c>
      <c r="AF1313"/>
      <c r="AG1313"/>
      <c r="AH1313"/>
    </row>
    <row r="1314" spans="1:34" x14ac:dyDescent="0.25">
      <c r="A1314" t="s">
        <v>1478</v>
      </c>
      <c r="B1314" t="s">
        <v>329</v>
      </c>
      <c r="C1314"/>
      <c r="D1314" t="s">
        <v>329</v>
      </c>
      <c r="E1314" t="s">
        <v>1755</v>
      </c>
      <c r="F1314" t="s">
        <v>1492</v>
      </c>
      <c r="G1314" t="s">
        <v>280</v>
      </c>
      <c r="H1314" t="s">
        <v>1758</v>
      </c>
      <c r="I1314" t="s">
        <v>35</v>
      </c>
      <c r="J1314"/>
      <c r="K1314">
        <v>1</v>
      </c>
      <c r="L1314">
        <v>1</v>
      </c>
      <c r="M1314" t="s">
        <v>33</v>
      </c>
      <c r="N1314">
        <v>1</v>
      </c>
      <c r="O1314">
        <v>0.5</v>
      </c>
      <c r="P1314">
        <v>0.5</v>
      </c>
      <c r="Q1314" t="s">
        <v>38</v>
      </c>
      <c r="R1314">
        <v>1</v>
      </c>
      <c r="S1314">
        <v>0</v>
      </c>
      <c r="T1314"/>
      <c r="U1314"/>
      <c r="V1314"/>
      <c r="W1314"/>
      <c r="X1314">
        <v>0</v>
      </c>
      <c r="Y1314"/>
      <c r="Z1314">
        <v>0</v>
      </c>
      <c r="AA1314"/>
      <c r="AB1314"/>
      <c r="AC1314"/>
      <c r="AD1314"/>
      <c r="AE1314">
        <v>0</v>
      </c>
      <c r="AF1314"/>
      <c r="AG1314"/>
      <c r="AH1314"/>
    </row>
    <row r="1315" spans="1:34" x14ac:dyDescent="0.25">
      <c r="A1315" t="s">
        <v>3446</v>
      </c>
      <c r="B1315" t="s">
        <v>3447</v>
      </c>
      <c r="C1315"/>
      <c r="D1315" t="s">
        <v>329</v>
      </c>
      <c r="E1315" t="s">
        <v>1755</v>
      </c>
      <c r="F1315" t="s">
        <v>1492</v>
      </c>
      <c r="G1315" t="s">
        <v>259</v>
      </c>
      <c r="H1315" t="s">
        <v>1758</v>
      </c>
      <c r="I1315" t="s">
        <v>35</v>
      </c>
      <c r="J1315"/>
      <c r="K1315">
        <v>1</v>
      </c>
      <c r="L1315">
        <v>1</v>
      </c>
      <c r="M1315" t="s">
        <v>33</v>
      </c>
      <c r="N1315">
        <v>1</v>
      </c>
      <c r="O1315">
        <v>0.5</v>
      </c>
      <c r="P1315">
        <v>0.5</v>
      </c>
      <c r="Q1315" t="s">
        <v>38</v>
      </c>
      <c r="R1315">
        <v>1</v>
      </c>
      <c r="S1315">
        <v>0</v>
      </c>
      <c r="T1315"/>
      <c r="U1315"/>
      <c r="V1315"/>
      <c r="W1315"/>
      <c r="X1315">
        <v>0</v>
      </c>
      <c r="Y1315"/>
      <c r="Z1315">
        <v>0</v>
      </c>
      <c r="AA1315"/>
      <c r="AB1315"/>
      <c r="AC1315"/>
      <c r="AD1315"/>
      <c r="AE1315">
        <v>0</v>
      </c>
      <c r="AF1315"/>
      <c r="AG1315"/>
      <c r="AH1315"/>
    </row>
    <row r="1316" spans="1:34" x14ac:dyDescent="0.25">
      <c r="A1316" t="s">
        <v>1478</v>
      </c>
      <c r="B1316" t="s">
        <v>329</v>
      </c>
      <c r="C1316"/>
      <c r="D1316" t="s">
        <v>329</v>
      </c>
      <c r="E1316" t="s">
        <v>1755</v>
      </c>
      <c r="F1316" t="s">
        <v>1494</v>
      </c>
      <c r="G1316" t="s">
        <v>280</v>
      </c>
      <c r="H1316" t="s">
        <v>1759</v>
      </c>
      <c r="I1316" t="s">
        <v>35</v>
      </c>
      <c r="J1316"/>
      <c r="K1316">
        <v>1</v>
      </c>
      <c r="L1316">
        <v>1</v>
      </c>
      <c r="M1316" t="s">
        <v>33</v>
      </c>
      <c r="N1316">
        <v>1</v>
      </c>
      <c r="O1316">
        <v>0.5</v>
      </c>
      <c r="P1316">
        <v>0.5</v>
      </c>
      <c r="Q1316" t="s">
        <v>38</v>
      </c>
      <c r="R1316">
        <v>1</v>
      </c>
      <c r="S1316">
        <v>0</v>
      </c>
      <c r="T1316"/>
      <c r="U1316"/>
      <c r="V1316"/>
      <c r="W1316"/>
      <c r="X1316">
        <v>0</v>
      </c>
      <c r="Y1316"/>
      <c r="Z1316">
        <v>0</v>
      </c>
      <c r="AA1316"/>
      <c r="AB1316"/>
      <c r="AC1316"/>
      <c r="AD1316"/>
      <c r="AE1316">
        <v>0</v>
      </c>
      <c r="AF1316"/>
      <c r="AG1316"/>
      <c r="AH1316"/>
    </row>
    <row r="1317" spans="1:34" x14ac:dyDescent="0.25">
      <c r="A1317" t="s">
        <v>3446</v>
      </c>
      <c r="B1317" t="s">
        <v>3447</v>
      </c>
      <c r="C1317"/>
      <c r="D1317" t="s">
        <v>329</v>
      </c>
      <c r="E1317" t="s">
        <v>1755</v>
      </c>
      <c r="F1317" t="s">
        <v>1494</v>
      </c>
      <c r="G1317" t="s">
        <v>259</v>
      </c>
      <c r="H1317" t="s">
        <v>1759</v>
      </c>
      <c r="I1317" t="s">
        <v>35</v>
      </c>
      <c r="J1317"/>
      <c r="K1317">
        <v>1</v>
      </c>
      <c r="L1317">
        <v>1</v>
      </c>
      <c r="M1317" t="s">
        <v>33</v>
      </c>
      <c r="N1317">
        <v>1</v>
      </c>
      <c r="O1317">
        <v>0.5</v>
      </c>
      <c r="P1317">
        <v>0.5</v>
      </c>
      <c r="Q1317" t="s">
        <v>38</v>
      </c>
      <c r="R1317">
        <v>1</v>
      </c>
      <c r="S1317">
        <v>0</v>
      </c>
      <c r="T1317"/>
      <c r="U1317"/>
      <c r="V1317"/>
      <c r="W1317"/>
      <c r="X1317">
        <v>0</v>
      </c>
      <c r="Y1317"/>
      <c r="Z1317">
        <v>0</v>
      </c>
      <c r="AA1317"/>
      <c r="AB1317"/>
      <c r="AC1317"/>
      <c r="AD1317"/>
      <c r="AE1317">
        <v>0</v>
      </c>
      <c r="AF1317"/>
      <c r="AG1317"/>
      <c r="AH1317"/>
    </row>
    <row r="1318" spans="1:34" x14ac:dyDescent="0.25">
      <c r="A1318" t="s">
        <v>1478</v>
      </c>
      <c r="B1318" t="s">
        <v>329</v>
      </c>
      <c r="C1318"/>
      <c r="D1318" t="s">
        <v>329</v>
      </c>
      <c r="E1318" t="s">
        <v>1760</v>
      </c>
      <c r="F1318" t="s">
        <v>1761</v>
      </c>
      <c r="G1318" t="s">
        <v>280</v>
      </c>
      <c r="H1318" t="s">
        <v>1762</v>
      </c>
      <c r="I1318" t="s">
        <v>35</v>
      </c>
      <c r="J1318"/>
      <c r="K1318">
        <v>1</v>
      </c>
      <c r="L1318">
        <v>1</v>
      </c>
      <c r="M1318" t="s">
        <v>33</v>
      </c>
      <c r="N1318">
        <v>1</v>
      </c>
      <c r="O1318">
        <v>1</v>
      </c>
      <c r="P1318">
        <v>1</v>
      </c>
      <c r="Q1318" t="s">
        <v>50</v>
      </c>
      <c r="R1318">
        <v>1</v>
      </c>
      <c r="S1318">
        <v>0</v>
      </c>
      <c r="T1318"/>
      <c r="U1318"/>
      <c r="V1318"/>
      <c r="W1318"/>
      <c r="X1318">
        <v>0</v>
      </c>
      <c r="Y1318"/>
      <c r="Z1318">
        <v>0</v>
      </c>
      <c r="AA1318"/>
      <c r="AB1318"/>
      <c r="AC1318"/>
      <c r="AD1318"/>
      <c r="AE1318">
        <v>0</v>
      </c>
      <c r="AF1318"/>
      <c r="AG1318" t="s">
        <v>3467</v>
      </c>
      <c r="AH1318"/>
    </row>
    <row r="1319" spans="1:34" x14ac:dyDescent="0.25">
      <c r="A1319" t="s">
        <v>1478</v>
      </c>
      <c r="B1319" t="s">
        <v>329</v>
      </c>
      <c r="C1319"/>
      <c r="D1319" t="s">
        <v>329</v>
      </c>
      <c r="E1319" t="s">
        <v>1760</v>
      </c>
      <c r="F1319" t="s">
        <v>1763</v>
      </c>
      <c r="G1319" t="s">
        <v>280</v>
      </c>
      <c r="H1319" t="s">
        <v>1764</v>
      </c>
      <c r="I1319" t="s">
        <v>35</v>
      </c>
      <c r="J1319"/>
      <c r="K1319">
        <v>1</v>
      </c>
      <c r="L1319">
        <v>1</v>
      </c>
      <c r="M1319" t="s">
        <v>33</v>
      </c>
      <c r="N1319">
        <v>1</v>
      </c>
      <c r="O1319"/>
      <c r="P1319">
        <v>0</v>
      </c>
      <c r="Q1319"/>
      <c r="R1319">
        <v>0</v>
      </c>
      <c r="S1319">
        <v>0</v>
      </c>
      <c r="T1319"/>
      <c r="U1319"/>
      <c r="V1319"/>
      <c r="W1319"/>
      <c r="X1319">
        <v>0</v>
      </c>
      <c r="Y1319"/>
      <c r="Z1319">
        <v>0</v>
      </c>
      <c r="AA1319"/>
      <c r="AB1319"/>
      <c r="AC1319"/>
      <c r="AD1319"/>
      <c r="AE1319">
        <v>0</v>
      </c>
      <c r="AF1319"/>
      <c r="AG1319" t="s">
        <v>3467</v>
      </c>
      <c r="AH1319"/>
    </row>
    <row r="1320" spans="1:34" x14ac:dyDescent="0.25">
      <c r="A1320" t="s">
        <v>1478</v>
      </c>
      <c r="B1320" t="s">
        <v>329</v>
      </c>
      <c r="C1320"/>
      <c r="D1320" t="s">
        <v>329</v>
      </c>
      <c r="E1320" t="s">
        <v>1760</v>
      </c>
      <c r="F1320" t="s">
        <v>1765</v>
      </c>
      <c r="G1320" t="s">
        <v>280</v>
      </c>
      <c r="H1320" t="s">
        <v>1766</v>
      </c>
      <c r="I1320" t="s">
        <v>35</v>
      </c>
      <c r="J1320"/>
      <c r="K1320">
        <v>1</v>
      </c>
      <c r="L1320">
        <v>1</v>
      </c>
      <c r="M1320" t="s">
        <v>33</v>
      </c>
      <c r="N1320">
        <v>1</v>
      </c>
      <c r="O1320"/>
      <c r="P1320">
        <v>0</v>
      </c>
      <c r="Q1320"/>
      <c r="R1320">
        <v>0</v>
      </c>
      <c r="S1320">
        <v>0</v>
      </c>
      <c r="T1320"/>
      <c r="U1320"/>
      <c r="V1320"/>
      <c r="W1320"/>
      <c r="X1320">
        <v>0</v>
      </c>
      <c r="Y1320"/>
      <c r="Z1320">
        <v>0</v>
      </c>
      <c r="AA1320"/>
      <c r="AB1320"/>
      <c r="AC1320"/>
      <c r="AD1320"/>
      <c r="AE1320">
        <v>0</v>
      </c>
      <c r="AF1320"/>
      <c r="AG1320" t="s">
        <v>3467</v>
      </c>
      <c r="AH1320"/>
    </row>
    <row r="1321" spans="1:34" x14ac:dyDescent="0.25">
      <c r="A1321" t="s">
        <v>1478</v>
      </c>
      <c r="B1321" t="s">
        <v>329</v>
      </c>
      <c r="C1321"/>
      <c r="D1321" t="s">
        <v>329</v>
      </c>
      <c r="E1321" t="s">
        <v>1760</v>
      </c>
      <c r="F1321" t="s">
        <v>1767</v>
      </c>
      <c r="G1321" t="s">
        <v>280</v>
      </c>
      <c r="H1321" t="s">
        <v>1768</v>
      </c>
      <c r="I1321" t="s">
        <v>35</v>
      </c>
      <c r="J1321"/>
      <c r="K1321">
        <v>1</v>
      </c>
      <c r="L1321">
        <v>1</v>
      </c>
      <c r="M1321" t="s">
        <v>33</v>
      </c>
      <c r="N1321">
        <v>1</v>
      </c>
      <c r="O1321"/>
      <c r="P1321">
        <v>0</v>
      </c>
      <c r="Q1321"/>
      <c r="R1321">
        <v>0</v>
      </c>
      <c r="S1321">
        <v>0</v>
      </c>
      <c r="T1321"/>
      <c r="U1321"/>
      <c r="V1321"/>
      <c r="W1321"/>
      <c r="X1321">
        <v>0</v>
      </c>
      <c r="Y1321"/>
      <c r="Z1321">
        <v>0</v>
      </c>
      <c r="AA1321"/>
      <c r="AB1321"/>
      <c r="AC1321"/>
      <c r="AD1321"/>
      <c r="AE1321">
        <v>0</v>
      </c>
      <c r="AF1321"/>
      <c r="AG1321" t="s">
        <v>3467</v>
      </c>
      <c r="AH1321"/>
    </row>
    <row r="1322" spans="1:34" x14ac:dyDescent="0.25">
      <c r="A1322" t="s">
        <v>1478</v>
      </c>
      <c r="B1322" t="s">
        <v>329</v>
      </c>
      <c r="C1322"/>
      <c r="D1322" t="s">
        <v>329</v>
      </c>
      <c r="E1322" t="s">
        <v>1769</v>
      </c>
      <c r="F1322" t="s">
        <v>1761</v>
      </c>
      <c r="G1322" t="s">
        <v>280</v>
      </c>
      <c r="H1322" t="s">
        <v>1770</v>
      </c>
      <c r="I1322" t="s">
        <v>35</v>
      </c>
      <c r="J1322"/>
      <c r="K1322">
        <v>1</v>
      </c>
      <c r="L1322">
        <v>1</v>
      </c>
      <c r="M1322" t="s">
        <v>33</v>
      </c>
      <c r="N1322">
        <v>1</v>
      </c>
      <c r="O1322"/>
      <c r="P1322">
        <v>0</v>
      </c>
      <c r="Q1322" t="s">
        <v>50</v>
      </c>
      <c r="R1322">
        <v>1</v>
      </c>
      <c r="S1322">
        <v>0</v>
      </c>
      <c r="T1322"/>
      <c r="U1322"/>
      <c r="V1322"/>
      <c r="W1322"/>
      <c r="X1322">
        <v>0</v>
      </c>
      <c r="Y1322"/>
      <c r="Z1322">
        <v>0</v>
      </c>
      <c r="AA1322"/>
      <c r="AB1322"/>
      <c r="AC1322"/>
      <c r="AD1322"/>
      <c r="AE1322">
        <v>0</v>
      </c>
      <c r="AF1322"/>
      <c r="AG1322" t="s">
        <v>3467</v>
      </c>
      <c r="AH1322"/>
    </row>
    <row r="1323" spans="1:34" x14ac:dyDescent="0.25">
      <c r="A1323" t="s">
        <v>1478</v>
      </c>
      <c r="B1323" t="s">
        <v>329</v>
      </c>
      <c r="C1323"/>
      <c r="D1323" t="s">
        <v>329</v>
      </c>
      <c r="E1323" t="s">
        <v>1769</v>
      </c>
      <c r="F1323" t="s">
        <v>1771</v>
      </c>
      <c r="G1323" t="s">
        <v>280</v>
      </c>
      <c r="H1323" t="s">
        <v>1772</v>
      </c>
      <c r="I1323" t="s">
        <v>35</v>
      </c>
      <c r="J1323"/>
      <c r="K1323">
        <v>1</v>
      </c>
      <c r="L1323">
        <v>1</v>
      </c>
      <c r="M1323" t="s">
        <v>33</v>
      </c>
      <c r="N1323">
        <v>1</v>
      </c>
      <c r="O1323"/>
      <c r="P1323">
        <v>0</v>
      </c>
      <c r="Q1323"/>
      <c r="R1323">
        <v>0</v>
      </c>
      <c r="S1323">
        <v>0</v>
      </c>
      <c r="T1323"/>
      <c r="U1323"/>
      <c r="V1323"/>
      <c r="W1323"/>
      <c r="X1323">
        <v>0</v>
      </c>
      <c r="Y1323"/>
      <c r="Z1323">
        <v>0</v>
      </c>
      <c r="AA1323"/>
      <c r="AB1323"/>
      <c r="AC1323"/>
      <c r="AD1323"/>
      <c r="AE1323">
        <v>0</v>
      </c>
      <c r="AF1323"/>
      <c r="AG1323" t="s">
        <v>3467</v>
      </c>
      <c r="AH1323"/>
    </row>
    <row r="1324" spans="1:34" x14ac:dyDescent="0.25">
      <c r="A1324" t="s">
        <v>1478</v>
      </c>
      <c r="B1324" t="s">
        <v>329</v>
      </c>
      <c r="C1324"/>
      <c r="D1324" t="s">
        <v>329</v>
      </c>
      <c r="E1324" t="s">
        <v>1769</v>
      </c>
      <c r="F1324" t="s">
        <v>1773</v>
      </c>
      <c r="G1324" t="s">
        <v>280</v>
      </c>
      <c r="H1324" t="s">
        <v>1774</v>
      </c>
      <c r="I1324" t="s">
        <v>35</v>
      </c>
      <c r="J1324"/>
      <c r="K1324">
        <v>1</v>
      </c>
      <c r="L1324">
        <v>1</v>
      </c>
      <c r="M1324" t="s">
        <v>33</v>
      </c>
      <c r="N1324">
        <v>1</v>
      </c>
      <c r="O1324"/>
      <c r="P1324">
        <v>0</v>
      </c>
      <c r="Q1324"/>
      <c r="R1324">
        <v>0</v>
      </c>
      <c r="S1324">
        <v>0</v>
      </c>
      <c r="T1324"/>
      <c r="U1324"/>
      <c r="V1324"/>
      <c r="W1324"/>
      <c r="X1324">
        <v>0</v>
      </c>
      <c r="Y1324"/>
      <c r="Z1324">
        <v>0</v>
      </c>
      <c r="AA1324"/>
      <c r="AB1324"/>
      <c r="AC1324"/>
      <c r="AD1324"/>
      <c r="AE1324">
        <v>0</v>
      </c>
      <c r="AF1324"/>
      <c r="AG1324" t="s">
        <v>3467</v>
      </c>
      <c r="AH1324"/>
    </row>
    <row r="1325" spans="1:34" x14ac:dyDescent="0.25">
      <c r="A1325" t="s">
        <v>1478</v>
      </c>
      <c r="B1325" t="s">
        <v>329</v>
      </c>
      <c r="C1325"/>
      <c r="D1325" t="s">
        <v>329</v>
      </c>
      <c r="E1325" t="s">
        <v>1769</v>
      </c>
      <c r="F1325" t="s">
        <v>1763</v>
      </c>
      <c r="G1325" t="s">
        <v>280</v>
      </c>
      <c r="H1325" t="s">
        <v>1775</v>
      </c>
      <c r="I1325" t="s">
        <v>35</v>
      </c>
      <c r="J1325"/>
      <c r="K1325">
        <v>1</v>
      </c>
      <c r="L1325">
        <v>1</v>
      </c>
      <c r="M1325" t="s">
        <v>33</v>
      </c>
      <c r="N1325">
        <v>1</v>
      </c>
      <c r="O1325"/>
      <c r="P1325">
        <v>0</v>
      </c>
      <c r="Q1325"/>
      <c r="R1325">
        <v>0</v>
      </c>
      <c r="S1325">
        <v>0</v>
      </c>
      <c r="T1325"/>
      <c r="U1325"/>
      <c r="V1325"/>
      <c r="W1325"/>
      <c r="X1325">
        <v>0</v>
      </c>
      <c r="Y1325"/>
      <c r="Z1325">
        <v>0</v>
      </c>
      <c r="AA1325"/>
      <c r="AB1325"/>
      <c r="AC1325"/>
      <c r="AD1325"/>
      <c r="AE1325">
        <v>0</v>
      </c>
      <c r="AF1325"/>
      <c r="AG1325" t="s">
        <v>3467</v>
      </c>
      <c r="AH1325"/>
    </row>
    <row r="1326" spans="1:34" x14ac:dyDescent="0.25">
      <c r="A1326" t="s">
        <v>1776</v>
      </c>
      <c r="B1326" t="s">
        <v>1777</v>
      </c>
      <c r="C1326"/>
      <c r="D1326" t="s">
        <v>1778</v>
      </c>
      <c r="E1326" t="s">
        <v>1779</v>
      </c>
      <c r="F1326" t="s">
        <v>1780</v>
      </c>
      <c r="G1326" t="s">
        <v>280</v>
      </c>
      <c r="H1326" t="s">
        <v>1781</v>
      </c>
      <c r="I1326" t="s">
        <v>35</v>
      </c>
      <c r="J1326"/>
      <c r="K1326">
        <v>1</v>
      </c>
      <c r="L1326">
        <v>1</v>
      </c>
      <c r="M1326" t="s">
        <v>33</v>
      </c>
      <c r="N1326">
        <v>1</v>
      </c>
      <c r="O1326">
        <v>1</v>
      </c>
      <c r="P1326">
        <v>1</v>
      </c>
      <c r="Q1326" t="s">
        <v>38</v>
      </c>
      <c r="R1326">
        <v>1</v>
      </c>
      <c r="S1326">
        <v>0</v>
      </c>
      <c r="T1326"/>
      <c r="U1326"/>
      <c r="V1326"/>
      <c r="W1326"/>
      <c r="X1326">
        <v>0</v>
      </c>
      <c r="Y1326"/>
      <c r="Z1326">
        <v>0</v>
      </c>
      <c r="AA1326"/>
      <c r="AB1326"/>
      <c r="AC1326"/>
      <c r="AD1326"/>
      <c r="AE1326">
        <v>0</v>
      </c>
      <c r="AF1326"/>
      <c r="AG1326" t="s">
        <v>3469</v>
      </c>
      <c r="AH1326"/>
    </row>
    <row r="1327" spans="1:34" x14ac:dyDescent="0.25">
      <c r="A1327" t="s">
        <v>1776</v>
      </c>
      <c r="B1327" t="s">
        <v>1777</v>
      </c>
      <c r="C1327"/>
      <c r="D1327" t="s">
        <v>1778</v>
      </c>
      <c r="E1327" t="s">
        <v>1779</v>
      </c>
      <c r="F1327" t="s">
        <v>1782</v>
      </c>
      <c r="G1327" t="s">
        <v>280</v>
      </c>
      <c r="H1327" t="s">
        <v>1783</v>
      </c>
      <c r="I1327" t="s">
        <v>35</v>
      </c>
      <c r="J1327"/>
      <c r="K1327">
        <v>1</v>
      </c>
      <c r="L1327">
        <v>1</v>
      </c>
      <c r="M1327" t="s">
        <v>33</v>
      </c>
      <c r="N1327">
        <v>1</v>
      </c>
      <c r="O1327">
        <v>1</v>
      </c>
      <c r="P1327">
        <v>1</v>
      </c>
      <c r="Q1327" t="s">
        <v>38</v>
      </c>
      <c r="R1327">
        <v>1</v>
      </c>
      <c r="S1327">
        <v>0</v>
      </c>
      <c r="T1327"/>
      <c r="U1327"/>
      <c r="V1327"/>
      <c r="W1327"/>
      <c r="X1327">
        <v>0</v>
      </c>
      <c r="Y1327"/>
      <c r="Z1327">
        <v>0</v>
      </c>
      <c r="AA1327"/>
      <c r="AB1327"/>
      <c r="AC1327"/>
      <c r="AD1327"/>
      <c r="AE1327">
        <v>0</v>
      </c>
      <c r="AF1327"/>
      <c r="AG1327" t="s">
        <v>3469</v>
      </c>
      <c r="AH1327"/>
    </row>
    <row r="1328" spans="1:34" x14ac:dyDescent="0.25">
      <c r="A1328" t="s">
        <v>1776</v>
      </c>
      <c r="B1328" t="s">
        <v>1777</v>
      </c>
      <c r="C1328"/>
      <c r="D1328" t="s">
        <v>1778</v>
      </c>
      <c r="E1328" t="s">
        <v>1779</v>
      </c>
      <c r="F1328" t="s">
        <v>1784</v>
      </c>
      <c r="G1328" t="s">
        <v>280</v>
      </c>
      <c r="H1328" t="s">
        <v>1785</v>
      </c>
      <c r="I1328" t="s">
        <v>35</v>
      </c>
      <c r="J1328"/>
      <c r="K1328">
        <v>1</v>
      </c>
      <c r="L1328">
        <v>1</v>
      </c>
      <c r="M1328" t="s">
        <v>33</v>
      </c>
      <c r="N1328">
        <v>1</v>
      </c>
      <c r="O1328">
        <v>1</v>
      </c>
      <c r="P1328">
        <v>1</v>
      </c>
      <c r="Q1328" t="s">
        <v>38</v>
      </c>
      <c r="R1328">
        <v>1</v>
      </c>
      <c r="S1328">
        <v>0</v>
      </c>
      <c r="T1328"/>
      <c r="U1328"/>
      <c r="V1328"/>
      <c r="W1328"/>
      <c r="X1328">
        <v>0</v>
      </c>
      <c r="Y1328"/>
      <c r="Z1328">
        <v>0</v>
      </c>
      <c r="AA1328"/>
      <c r="AB1328"/>
      <c r="AC1328"/>
      <c r="AD1328"/>
      <c r="AE1328">
        <v>0</v>
      </c>
      <c r="AF1328"/>
      <c r="AG1328" t="s">
        <v>3469</v>
      </c>
      <c r="AH1328"/>
    </row>
    <row r="1329" spans="1:34" x14ac:dyDescent="0.25">
      <c r="A1329" t="s">
        <v>1776</v>
      </c>
      <c r="B1329" t="s">
        <v>1777</v>
      </c>
      <c r="C1329"/>
      <c r="D1329" t="s">
        <v>1778</v>
      </c>
      <c r="E1329" t="s">
        <v>1779</v>
      </c>
      <c r="F1329" t="s">
        <v>1786</v>
      </c>
      <c r="G1329" t="s">
        <v>280</v>
      </c>
      <c r="H1329" t="s">
        <v>1787</v>
      </c>
      <c r="I1329" t="s">
        <v>35</v>
      </c>
      <c r="J1329"/>
      <c r="K1329">
        <v>1</v>
      </c>
      <c r="L1329">
        <v>1</v>
      </c>
      <c r="M1329" t="s">
        <v>33</v>
      </c>
      <c r="N1329">
        <v>1</v>
      </c>
      <c r="O1329">
        <v>1</v>
      </c>
      <c r="P1329">
        <v>1</v>
      </c>
      <c r="Q1329" t="s">
        <v>38</v>
      </c>
      <c r="R1329">
        <v>1</v>
      </c>
      <c r="S1329">
        <v>0</v>
      </c>
      <c r="T1329"/>
      <c r="U1329"/>
      <c r="V1329"/>
      <c r="W1329"/>
      <c r="X1329">
        <v>0</v>
      </c>
      <c r="Y1329"/>
      <c r="Z1329">
        <v>0</v>
      </c>
      <c r="AA1329"/>
      <c r="AB1329"/>
      <c r="AC1329"/>
      <c r="AD1329"/>
      <c r="AE1329">
        <v>0</v>
      </c>
      <c r="AF1329"/>
      <c r="AG1329" t="s">
        <v>3469</v>
      </c>
      <c r="AH1329"/>
    </row>
    <row r="1330" spans="1:34" x14ac:dyDescent="0.25">
      <c r="A1330" t="s">
        <v>1776</v>
      </c>
      <c r="B1330" t="s">
        <v>1777</v>
      </c>
      <c r="C1330"/>
      <c r="D1330" t="s">
        <v>1778</v>
      </c>
      <c r="E1330" t="s">
        <v>1779</v>
      </c>
      <c r="F1330" t="s">
        <v>1788</v>
      </c>
      <c r="G1330" t="s">
        <v>280</v>
      </c>
      <c r="H1330" t="s">
        <v>1789</v>
      </c>
      <c r="I1330" t="s">
        <v>35</v>
      </c>
      <c r="J1330"/>
      <c r="K1330">
        <v>1</v>
      </c>
      <c r="L1330">
        <v>1</v>
      </c>
      <c r="M1330" t="s">
        <v>33</v>
      </c>
      <c r="N1330">
        <v>1</v>
      </c>
      <c r="O1330">
        <v>1</v>
      </c>
      <c r="P1330">
        <v>1</v>
      </c>
      <c r="Q1330" t="s">
        <v>38</v>
      </c>
      <c r="R1330">
        <v>1</v>
      </c>
      <c r="S1330">
        <v>0</v>
      </c>
      <c r="T1330"/>
      <c r="U1330"/>
      <c r="V1330"/>
      <c r="W1330"/>
      <c r="X1330">
        <v>0</v>
      </c>
      <c r="Y1330"/>
      <c r="Z1330">
        <v>0</v>
      </c>
      <c r="AA1330"/>
      <c r="AB1330"/>
      <c r="AC1330"/>
      <c r="AD1330"/>
      <c r="AE1330">
        <v>0</v>
      </c>
      <c r="AF1330"/>
      <c r="AG1330" t="s">
        <v>3469</v>
      </c>
      <c r="AH1330"/>
    </row>
    <row r="1331" spans="1:34" x14ac:dyDescent="0.25">
      <c r="A1331" t="s">
        <v>1776</v>
      </c>
      <c r="B1331" t="s">
        <v>1777</v>
      </c>
      <c r="C1331"/>
      <c r="D1331" t="s">
        <v>1778</v>
      </c>
      <c r="E1331" t="s">
        <v>1779</v>
      </c>
      <c r="F1331" t="s">
        <v>1790</v>
      </c>
      <c r="G1331" t="s">
        <v>280</v>
      </c>
      <c r="H1331" t="s">
        <v>1791</v>
      </c>
      <c r="I1331" t="s">
        <v>35</v>
      </c>
      <c r="J1331"/>
      <c r="K1331">
        <v>1</v>
      </c>
      <c r="L1331">
        <v>1</v>
      </c>
      <c r="M1331" t="s">
        <v>33</v>
      </c>
      <c r="N1331">
        <v>1</v>
      </c>
      <c r="O1331">
        <v>1</v>
      </c>
      <c r="P1331">
        <v>1</v>
      </c>
      <c r="Q1331" t="s">
        <v>38</v>
      </c>
      <c r="R1331">
        <v>1</v>
      </c>
      <c r="S1331">
        <v>0</v>
      </c>
      <c r="T1331"/>
      <c r="U1331"/>
      <c r="V1331"/>
      <c r="W1331"/>
      <c r="X1331">
        <v>0</v>
      </c>
      <c r="Y1331"/>
      <c r="Z1331">
        <v>0</v>
      </c>
      <c r="AA1331"/>
      <c r="AB1331"/>
      <c r="AC1331"/>
      <c r="AD1331"/>
      <c r="AE1331">
        <v>0</v>
      </c>
      <c r="AF1331"/>
      <c r="AG1331" t="s">
        <v>3469</v>
      </c>
      <c r="AH1331"/>
    </row>
    <row r="1332" spans="1:34" x14ac:dyDescent="0.25">
      <c r="A1332" t="s">
        <v>1776</v>
      </c>
      <c r="B1332" t="s">
        <v>1777</v>
      </c>
      <c r="C1332"/>
      <c r="D1332" t="s">
        <v>1778</v>
      </c>
      <c r="E1332" t="s">
        <v>1779</v>
      </c>
      <c r="F1332" t="s">
        <v>1792</v>
      </c>
      <c r="G1332" t="s">
        <v>280</v>
      </c>
      <c r="H1332" t="s">
        <v>1793</v>
      </c>
      <c r="I1332" t="s">
        <v>35</v>
      </c>
      <c r="J1332"/>
      <c r="K1332">
        <v>1</v>
      </c>
      <c r="L1332">
        <v>1</v>
      </c>
      <c r="M1332" t="s">
        <v>33</v>
      </c>
      <c r="N1332">
        <v>1</v>
      </c>
      <c r="O1332">
        <v>1</v>
      </c>
      <c r="P1332">
        <v>1</v>
      </c>
      <c r="Q1332" t="s">
        <v>38</v>
      </c>
      <c r="R1332">
        <v>1</v>
      </c>
      <c r="S1332">
        <v>0</v>
      </c>
      <c r="T1332"/>
      <c r="U1332"/>
      <c r="V1332"/>
      <c r="W1332"/>
      <c r="X1332">
        <v>0</v>
      </c>
      <c r="Y1332"/>
      <c r="Z1332">
        <v>0</v>
      </c>
      <c r="AA1332"/>
      <c r="AB1332"/>
      <c r="AC1332"/>
      <c r="AD1332"/>
      <c r="AE1332">
        <v>0</v>
      </c>
      <c r="AF1332"/>
      <c r="AG1332" t="s">
        <v>3469</v>
      </c>
      <c r="AH1332"/>
    </row>
    <row r="1333" spans="1:34" x14ac:dyDescent="0.25">
      <c r="A1333" t="s">
        <v>1776</v>
      </c>
      <c r="B1333" t="s">
        <v>1777</v>
      </c>
      <c r="C1333"/>
      <c r="D1333" t="s">
        <v>1778</v>
      </c>
      <c r="E1333" t="s">
        <v>1779</v>
      </c>
      <c r="F1333" t="s">
        <v>1794</v>
      </c>
      <c r="G1333" t="s">
        <v>280</v>
      </c>
      <c r="H1333" t="s">
        <v>1795</v>
      </c>
      <c r="I1333" t="s">
        <v>35</v>
      </c>
      <c r="J1333"/>
      <c r="K1333">
        <v>1</v>
      </c>
      <c r="L1333">
        <v>1</v>
      </c>
      <c r="M1333" t="s">
        <v>33</v>
      </c>
      <c r="N1333">
        <v>1</v>
      </c>
      <c r="O1333"/>
      <c r="P1333">
        <v>0</v>
      </c>
      <c r="Q1333" t="s">
        <v>38</v>
      </c>
      <c r="R1333">
        <v>1</v>
      </c>
      <c r="S1333">
        <v>0</v>
      </c>
      <c r="T1333"/>
      <c r="U1333"/>
      <c r="V1333"/>
      <c r="W1333"/>
      <c r="X1333">
        <v>0</v>
      </c>
      <c r="Y1333"/>
      <c r="Z1333">
        <v>0</v>
      </c>
      <c r="AA1333"/>
      <c r="AB1333"/>
      <c r="AC1333"/>
      <c r="AD1333"/>
      <c r="AE1333">
        <v>0</v>
      </c>
      <c r="AF1333"/>
      <c r="AG1333" t="s">
        <v>3469</v>
      </c>
      <c r="AH1333"/>
    </row>
    <row r="1334" spans="1:34" x14ac:dyDescent="0.25">
      <c r="A1334" t="s">
        <v>1776</v>
      </c>
      <c r="B1334" t="s">
        <v>1777</v>
      </c>
      <c r="C1334"/>
      <c r="D1334" t="s">
        <v>1778</v>
      </c>
      <c r="E1334" t="s">
        <v>1779</v>
      </c>
      <c r="F1334" t="s">
        <v>1796</v>
      </c>
      <c r="G1334" t="s">
        <v>280</v>
      </c>
      <c r="H1334" t="s">
        <v>1797</v>
      </c>
      <c r="I1334" t="s">
        <v>35</v>
      </c>
      <c r="J1334"/>
      <c r="K1334">
        <v>1</v>
      </c>
      <c r="L1334">
        <v>1</v>
      </c>
      <c r="M1334" t="s">
        <v>33</v>
      </c>
      <c r="N1334">
        <v>1</v>
      </c>
      <c r="O1334"/>
      <c r="P1334">
        <v>0</v>
      </c>
      <c r="Q1334" t="s">
        <v>38</v>
      </c>
      <c r="R1334">
        <v>1</v>
      </c>
      <c r="S1334">
        <v>0</v>
      </c>
      <c r="T1334"/>
      <c r="U1334"/>
      <c r="V1334"/>
      <c r="W1334"/>
      <c r="X1334">
        <v>0</v>
      </c>
      <c r="Y1334"/>
      <c r="Z1334">
        <v>0</v>
      </c>
      <c r="AA1334"/>
      <c r="AB1334"/>
      <c r="AC1334"/>
      <c r="AD1334"/>
      <c r="AE1334">
        <v>0</v>
      </c>
      <c r="AF1334"/>
      <c r="AG1334" t="s">
        <v>3469</v>
      </c>
      <c r="AH1334"/>
    </row>
    <row r="1335" spans="1:34" x14ac:dyDescent="0.25">
      <c r="A1335" t="s">
        <v>1776</v>
      </c>
      <c r="B1335" t="s">
        <v>1777</v>
      </c>
      <c r="C1335"/>
      <c r="D1335" t="s">
        <v>1778</v>
      </c>
      <c r="E1335" t="s">
        <v>1779</v>
      </c>
      <c r="F1335" t="s">
        <v>1798</v>
      </c>
      <c r="G1335" t="s">
        <v>280</v>
      </c>
      <c r="H1335" t="s">
        <v>1799</v>
      </c>
      <c r="I1335" t="s">
        <v>35</v>
      </c>
      <c r="J1335"/>
      <c r="K1335">
        <v>1</v>
      </c>
      <c r="L1335">
        <v>1</v>
      </c>
      <c r="M1335" t="s">
        <v>33</v>
      </c>
      <c r="N1335">
        <v>1</v>
      </c>
      <c r="O1335"/>
      <c r="P1335">
        <v>0</v>
      </c>
      <c r="Q1335" t="s">
        <v>38</v>
      </c>
      <c r="R1335">
        <v>1</v>
      </c>
      <c r="S1335">
        <v>0</v>
      </c>
      <c r="T1335"/>
      <c r="U1335"/>
      <c r="V1335"/>
      <c r="W1335"/>
      <c r="X1335">
        <v>0</v>
      </c>
      <c r="Y1335"/>
      <c r="Z1335">
        <v>0</v>
      </c>
      <c r="AA1335"/>
      <c r="AB1335"/>
      <c r="AC1335"/>
      <c r="AD1335"/>
      <c r="AE1335">
        <v>0</v>
      </c>
      <c r="AF1335"/>
      <c r="AG1335" t="s">
        <v>3469</v>
      </c>
      <c r="AH1335"/>
    </row>
    <row r="1336" spans="1:34" x14ac:dyDescent="0.25">
      <c r="A1336" t="s">
        <v>1776</v>
      </c>
      <c r="B1336" t="s">
        <v>1777</v>
      </c>
      <c r="C1336"/>
      <c r="D1336" t="s">
        <v>1778</v>
      </c>
      <c r="E1336" t="s">
        <v>1779</v>
      </c>
      <c r="F1336" t="s">
        <v>1800</v>
      </c>
      <c r="G1336" t="s">
        <v>280</v>
      </c>
      <c r="H1336" t="s">
        <v>1801</v>
      </c>
      <c r="I1336" t="s">
        <v>35</v>
      </c>
      <c r="J1336"/>
      <c r="K1336">
        <v>1</v>
      </c>
      <c r="L1336">
        <v>1</v>
      </c>
      <c r="M1336" t="s">
        <v>33</v>
      </c>
      <c r="N1336">
        <v>1</v>
      </c>
      <c r="O1336"/>
      <c r="P1336">
        <v>0</v>
      </c>
      <c r="Q1336" t="s">
        <v>38</v>
      </c>
      <c r="R1336">
        <v>1</v>
      </c>
      <c r="S1336">
        <v>0</v>
      </c>
      <c r="T1336"/>
      <c r="U1336"/>
      <c r="V1336"/>
      <c r="W1336"/>
      <c r="X1336">
        <v>0</v>
      </c>
      <c r="Y1336"/>
      <c r="Z1336">
        <v>0</v>
      </c>
      <c r="AA1336"/>
      <c r="AB1336"/>
      <c r="AC1336"/>
      <c r="AD1336"/>
      <c r="AE1336">
        <v>0</v>
      </c>
      <c r="AF1336"/>
      <c r="AG1336" t="s">
        <v>3469</v>
      </c>
      <c r="AH1336"/>
    </row>
    <row r="1337" spans="1:34" x14ac:dyDescent="0.25">
      <c r="A1337" t="s">
        <v>1776</v>
      </c>
      <c r="B1337" t="s">
        <v>1777</v>
      </c>
      <c r="C1337"/>
      <c r="D1337" t="s">
        <v>1778</v>
      </c>
      <c r="E1337" t="s">
        <v>1779</v>
      </c>
      <c r="F1337" t="s">
        <v>1802</v>
      </c>
      <c r="G1337" t="s">
        <v>280</v>
      </c>
      <c r="H1337" t="s">
        <v>1803</v>
      </c>
      <c r="I1337" t="s">
        <v>35</v>
      </c>
      <c r="J1337"/>
      <c r="K1337">
        <v>1</v>
      </c>
      <c r="L1337">
        <v>1</v>
      </c>
      <c r="M1337" t="s">
        <v>33</v>
      </c>
      <c r="N1337">
        <v>1</v>
      </c>
      <c r="O1337"/>
      <c r="P1337">
        <v>0</v>
      </c>
      <c r="Q1337" t="s">
        <v>38</v>
      </c>
      <c r="R1337">
        <v>1</v>
      </c>
      <c r="S1337">
        <v>0</v>
      </c>
      <c r="T1337"/>
      <c r="U1337"/>
      <c r="V1337"/>
      <c r="W1337"/>
      <c r="X1337">
        <v>0</v>
      </c>
      <c r="Y1337"/>
      <c r="Z1337">
        <v>0</v>
      </c>
      <c r="AA1337"/>
      <c r="AB1337"/>
      <c r="AC1337"/>
      <c r="AD1337"/>
      <c r="AE1337">
        <v>0</v>
      </c>
      <c r="AF1337"/>
      <c r="AG1337" t="s">
        <v>3469</v>
      </c>
      <c r="AH1337"/>
    </row>
    <row r="1338" spans="1:34" x14ac:dyDescent="0.25">
      <c r="A1338" t="s">
        <v>1776</v>
      </c>
      <c r="B1338" t="s">
        <v>1777</v>
      </c>
      <c r="C1338"/>
      <c r="D1338" t="s">
        <v>1778</v>
      </c>
      <c r="E1338" t="s">
        <v>1779</v>
      </c>
      <c r="F1338" t="s">
        <v>1804</v>
      </c>
      <c r="G1338" t="s">
        <v>280</v>
      </c>
      <c r="H1338" t="s">
        <v>1805</v>
      </c>
      <c r="I1338" t="s">
        <v>35</v>
      </c>
      <c r="J1338"/>
      <c r="K1338">
        <v>1</v>
      </c>
      <c r="L1338">
        <v>1</v>
      </c>
      <c r="M1338" t="s">
        <v>33</v>
      </c>
      <c r="N1338">
        <v>1</v>
      </c>
      <c r="O1338"/>
      <c r="P1338">
        <v>0</v>
      </c>
      <c r="Q1338" t="s">
        <v>38</v>
      </c>
      <c r="R1338">
        <v>1</v>
      </c>
      <c r="S1338">
        <v>0</v>
      </c>
      <c r="T1338"/>
      <c r="U1338"/>
      <c r="V1338"/>
      <c r="W1338"/>
      <c r="X1338">
        <v>0</v>
      </c>
      <c r="Y1338"/>
      <c r="Z1338">
        <v>0</v>
      </c>
      <c r="AA1338"/>
      <c r="AB1338"/>
      <c r="AC1338"/>
      <c r="AD1338"/>
      <c r="AE1338">
        <v>0</v>
      </c>
      <c r="AF1338"/>
      <c r="AG1338" t="s">
        <v>3469</v>
      </c>
      <c r="AH1338"/>
    </row>
    <row r="1339" spans="1:34" x14ac:dyDescent="0.25">
      <c r="A1339" t="s">
        <v>1776</v>
      </c>
      <c r="B1339" t="s">
        <v>1777</v>
      </c>
      <c r="C1339"/>
      <c r="D1339" t="s">
        <v>1778</v>
      </c>
      <c r="E1339" t="s">
        <v>1779</v>
      </c>
      <c r="F1339" t="s">
        <v>1806</v>
      </c>
      <c r="G1339" t="s">
        <v>280</v>
      </c>
      <c r="H1339" t="s">
        <v>1807</v>
      </c>
      <c r="I1339" t="s">
        <v>35</v>
      </c>
      <c r="J1339"/>
      <c r="K1339">
        <v>1</v>
      </c>
      <c r="L1339">
        <v>1</v>
      </c>
      <c r="M1339" t="s">
        <v>33</v>
      </c>
      <c r="N1339">
        <v>1</v>
      </c>
      <c r="O1339"/>
      <c r="P1339">
        <v>0</v>
      </c>
      <c r="Q1339" t="s">
        <v>38</v>
      </c>
      <c r="R1339">
        <v>1</v>
      </c>
      <c r="S1339">
        <v>0</v>
      </c>
      <c r="T1339"/>
      <c r="U1339"/>
      <c r="V1339"/>
      <c r="W1339"/>
      <c r="X1339">
        <v>0</v>
      </c>
      <c r="Y1339"/>
      <c r="Z1339">
        <v>0</v>
      </c>
      <c r="AA1339"/>
      <c r="AB1339"/>
      <c r="AC1339"/>
      <c r="AD1339"/>
      <c r="AE1339">
        <v>0</v>
      </c>
      <c r="AF1339"/>
      <c r="AG1339"/>
      <c r="AH1339"/>
    </row>
    <row r="1340" spans="1:34" x14ac:dyDescent="0.25">
      <c r="A1340" t="s">
        <v>3444</v>
      </c>
      <c r="B1340" t="s">
        <v>3445</v>
      </c>
      <c r="C1340"/>
      <c r="D1340" t="s">
        <v>1778</v>
      </c>
      <c r="E1340" t="s">
        <v>1779</v>
      </c>
      <c r="F1340" t="s">
        <v>1806</v>
      </c>
      <c r="G1340" t="s">
        <v>259</v>
      </c>
      <c r="H1340" t="s">
        <v>1807</v>
      </c>
      <c r="I1340" t="s">
        <v>35</v>
      </c>
      <c r="J1340"/>
      <c r="K1340">
        <v>1</v>
      </c>
      <c r="L1340">
        <v>1</v>
      </c>
      <c r="M1340" t="s">
        <v>33</v>
      </c>
      <c r="N1340">
        <v>1</v>
      </c>
      <c r="O1340"/>
      <c r="P1340">
        <v>0</v>
      </c>
      <c r="Q1340" t="s">
        <v>38</v>
      </c>
      <c r="R1340">
        <v>1</v>
      </c>
      <c r="S1340">
        <v>0</v>
      </c>
      <c r="T1340"/>
      <c r="U1340"/>
      <c r="V1340"/>
      <c r="W1340"/>
      <c r="X1340">
        <v>0</v>
      </c>
      <c r="Y1340"/>
      <c r="Z1340">
        <v>0</v>
      </c>
      <c r="AA1340"/>
      <c r="AB1340"/>
      <c r="AC1340"/>
      <c r="AD1340"/>
      <c r="AE1340">
        <v>0</v>
      </c>
      <c r="AF1340"/>
      <c r="AG1340"/>
      <c r="AH1340"/>
    </row>
    <row r="1341" spans="1:34" x14ac:dyDescent="0.25">
      <c r="A1341" t="s">
        <v>3446</v>
      </c>
      <c r="B1341" t="s">
        <v>3447</v>
      </c>
      <c r="C1341"/>
      <c r="D1341" t="s">
        <v>1778</v>
      </c>
      <c r="E1341" t="s">
        <v>1779</v>
      </c>
      <c r="F1341" t="s">
        <v>1806</v>
      </c>
      <c r="G1341" t="s">
        <v>259</v>
      </c>
      <c r="H1341" t="s">
        <v>1807</v>
      </c>
      <c r="I1341" t="s">
        <v>35</v>
      </c>
      <c r="J1341"/>
      <c r="K1341">
        <v>1</v>
      </c>
      <c r="L1341">
        <v>1</v>
      </c>
      <c r="M1341" t="s">
        <v>33</v>
      </c>
      <c r="N1341">
        <v>1</v>
      </c>
      <c r="O1341"/>
      <c r="P1341">
        <v>0</v>
      </c>
      <c r="Q1341" t="s">
        <v>38</v>
      </c>
      <c r="R1341">
        <v>1</v>
      </c>
      <c r="S1341">
        <v>0</v>
      </c>
      <c r="T1341"/>
      <c r="U1341"/>
      <c r="V1341"/>
      <c r="W1341"/>
      <c r="X1341">
        <v>0</v>
      </c>
      <c r="Y1341"/>
      <c r="Z1341">
        <v>0</v>
      </c>
      <c r="AA1341"/>
      <c r="AB1341"/>
      <c r="AC1341"/>
      <c r="AD1341"/>
      <c r="AE1341">
        <v>0</v>
      </c>
      <c r="AF1341"/>
      <c r="AG1341"/>
      <c r="AH1341"/>
    </row>
    <row r="1342" spans="1:34" x14ac:dyDescent="0.25">
      <c r="A1342" t="s">
        <v>3448</v>
      </c>
      <c r="B1342" t="s">
        <v>3449</v>
      </c>
      <c r="C1342"/>
      <c r="D1342" t="s">
        <v>1778</v>
      </c>
      <c r="E1342" t="s">
        <v>1779</v>
      </c>
      <c r="F1342" t="s">
        <v>1806</v>
      </c>
      <c r="G1342" t="s">
        <v>280</v>
      </c>
      <c r="H1342" t="s">
        <v>1807</v>
      </c>
      <c r="I1342" t="s">
        <v>35</v>
      </c>
      <c r="J1342"/>
      <c r="K1342">
        <v>1</v>
      </c>
      <c r="L1342">
        <v>1</v>
      </c>
      <c r="M1342" t="s">
        <v>33</v>
      </c>
      <c r="N1342">
        <v>1</v>
      </c>
      <c r="O1342"/>
      <c r="P1342">
        <v>0</v>
      </c>
      <c r="Q1342" t="s">
        <v>38</v>
      </c>
      <c r="R1342">
        <v>1</v>
      </c>
      <c r="S1342">
        <v>0</v>
      </c>
      <c r="T1342"/>
      <c r="U1342"/>
      <c r="V1342"/>
      <c r="W1342"/>
      <c r="X1342">
        <v>0</v>
      </c>
      <c r="Y1342"/>
      <c r="Z1342">
        <v>0</v>
      </c>
      <c r="AA1342"/>
      <c r="AB1342"/>
      <c r="AC1342"/>
      <c r="AD1342"/>
      <c r="AE1342">
        <v>0</v>
      </c>
      <c r="AF1342"/>
      <c r="AG1342"/>
      <c r="AH1342"/>
    </row>
    <row r="1343" spans="1:34" x14ac:dyDescent="0.25">
      <c r="A1343" t="s">
        <v>3454</v>
      </c>
      <c r="B1343" t="s">
        <v>3455</v>
      </c>
      <c r="C1343"/>
      <c r="D1343" t="s">
        <v>1778</v>
      </c>
      <c r="E1343" t="s">
        <v>1779</v>
      </c>
      <c r="F1343" t="s">
        <v>1806</v>
      </c>
      <c r="G1343" t="s">
        <v>259</v>
      </c>
      <c r="H1343" t="s">
        <v>1807</v>
      </c>
      <c r="I1343" t="s">
        <v>35</v>
      </c>
      <c r="J1343"/>
      <c r="K1343">
        <v>1</v>
      </c>
      <c r="L1343">
        <v>1</v>
      </c>
      <c r="M1343" t="s">
        <v>33</v>
      </c>
      <c r="N1343">
        <v>1</v>
      </c>
      <c r="O1343"/>
      <c r="P1343">
        <v>0</v>
      </c>
      <c r="Q1343" t="s">
        <v>38</v>
      </c>
      <c r="R1343">
        <v>1</v>
      </c>
      <c r="S1343">
        <v>0</v>
      </c>
      <c r="T1343"/>
      <c r="U1343"/>
      <c r="V1343"/>
      <c r="W1343"/>
      <c r="X1343">
        <v>0</v>
      </c>
      <c r="Y1343"/>
      <c r="Z1343">
        <v>0</v>
      </c>
      <c r="AA1343"/>
      <c r="AB1343"/>
      <c r="AC1343"/>
      <c r="AD1343"/>
      <c r="AE1343">
        <v>0</v>
      </c>
      <c r="AF1343"/>
      <c r="AG1343"/>
      <c r="AH1343"/>
    </row>
    <row r="1344" spans="1:34" x14ac:dyDescent="0.25">
      <c r="A1344" t="s">
        <v>3426</v>
      </c>
      <c r="B1344" t="s">
        <v>3427</v>
      </c>
      <c r="C1344"/>
      <c r="D1344" t="s">
        <v>1778</v>
      </c>
      <c r="E1344" t="s">
        <v>1808</v>
      </c>
      <c r="F1344" t="s">
        <v>1809</v>
      </c>
      <c r="G1344" t="s">
        <v>280</v>
      </c>
      <c r="H1344" t="s">
        <v>1810</v>
      </c>
      <c r="I1344" t="s">
        <v>35</v>
      </c>
      <c r="J1344"/>
      <c r="K1344">
        <v>1</v>
      </c>
      <c r="L1344">
        <v>1</v>
      </c>
      <c r="M1344" t="s">
        <v>33</v>
      </c>
      <c r="N1344">
        <v>0</v>
      </c>
      <c r="O1344"/>
      <c r="P1344">
        <v>0</v>
      </c>
      <c r="Q1344" t="s">
        <v>38</v>
      </c>
      <c r="R1344">
        <v>1</v>
      </c>
      <c r="S1344">
        <v>0</v>
      </c>
      <c r="T1344"/>
      <c r="U1344"/>
      <c r="V1344"/>
      <c r="W1344"/>
      <c r="X1344">
        <v>0</v>
      </c>
      <c r="Y1344"/>
      <c r="Z1344">
        <v>0</v>
      </c>
      <c r="AA1344"/>
      <c r="AB1344"/>
      <c r="AC1344"/>
      <c r="AD1344"/>
      <c r="AE1344">
        <v>0</v>
      </c>
      <c r="AF1344"/>
      <c r="AG1344"/>
      <c r="AH1344"/>
    </row>
    <row r="1345" spans="1:34" x14ac:dyDescent="0.25">
      <c r="A1345" t="s">
        <v>1945</v>
      </c>
      <c r="B1345" t="s">
        <v>1946</v>
      </c>
      <c r="C1345"/>
      <c r="D1345" t="s">
        <v>1778</v>
      </c>
      <c r="E1345" t="s">
        <v>1808</v>
      </c>
      <c r="F1345" t="s">
        <v>1809</v>
      </c>
      <c r="G1345" t="s">
        <v>280</v>
      </c>
      <c r="H1345" t="s">
        <v>1810</v>
      </c>
      <c r="I1345" t="s">
        <v>35</v>
      </c>
      <c r="J1345"/>
      <c r="K1345">
        <v>1</v>
      </c>
      <c r="L1345">
        <v>1</v>
      </c>
      <c r="M1345" t="s">
        <v>33</v>
      </c>
      <c r="N1345">
        <v>0</v>
      </c>
      <c r="O1345"/>
      <c r="P1345">
        <v>0</v>
      </c>
      <c r="Q1345" t="s">
        <v>38</v>
      </c>
      <c r="R1345">
        <v>1</v>
      </c>
      <c r="S1345">
        <v>0</v>
      </c>
      <c r="T1345"/>
      <c r="U1345"/>
      <c r="V1345"/>
      <c r="W1345"/>
      <c r="X1345">
        <v>0</v>
      </c>
      <c r="Y1345"/>
      <c r="Z1345">
        <v>0</v>
      </c>
      <c r="AA1345"/>
      <c r="AB1345"/>
      <c r="AC1345"/>
      <c r="AD1345"/>
      <c r="AE1345">
        <v>0</v>
      </c>
      <c r="AF1345"/>
      <c r="AG1345"/>
      <c r="AH1345"/>
    </row>
    <row r="1346" spans="1:34" x14ac:dyDescent="0.25">
      <c r="A1346" t="s">
        <v>3438</v>
      </c>
      <c r="B1346" t="s">
        <v>3439</v>
      </c>
      <c r="C1346"/>
      <c r="D1346" t="s">
        <v>1778</v>
      </c>
      <c r="E1346" t="s">
        <v>1808</v>
      </c>
      <c r="F1346" t="s">
        <v>1809</v>
      </c>
      <c r="G1346" t="s">
        <v>280</v>
      </c>
      <c r="H1346" t="s">
        <v>1810</v>
      </c>
      <c r="I1346" t="s">
        <v>35</v>
      </c>
      <c r="J1346"/>
      <c r="K1346">
        <v>1</v>
      </c>
      <c r="L1346">
        <v>1</v>
      </c>
      <c r="M1346" t="s">
        <v>33</v>
      </c>
      <c r="N1346">
        <v>0</v>
      </c>
      <c r="O1346"/>
      <c r="P1346">
        <v>0</v>
      </c>
      <c r="Q1346" t="s">
        <v>38</v>
      </c>
      <c r="R1346">
        <v>1</v>
      </c>
      <c r="S1346">
        <v>0</v>
      </c>
      <c r="T1346"/>
      <c r="U1346"/>
      <c r="V1346"/>
      <c r="W1346"/>
      <c r="X1346">
        <v>0</v>
      </c>
      <c r="Y1346"/>
      <c r="Z1346">
        <v>0</v>
      </c>
      <c r="AA1346"/>
      <c r="AB1346"/>
      <c r="AC1346"/>
      <c r="AD1346"/>
      <c r="AE1346">
        <v>0</v>
      </c>
      <c r="AF1346"/>
      <c r="AG1346"/>
      <c r="AH1346"/>
    </row>
    <row r="1347" spans="1:34" x14ac:dyDescent="0.25">
      <c r="A1347" t="s">
        <v>3426</v>
      </c>
      <c r="B1347" t="s">
        <v>3427</v>
      </c>
      <c r="C1347"/>
      <c r="D1347" t="s">
        <v>1778</v>
      </c>
      <c r="E1347" t="s">
        <v>1808</v>
      </c>
      <c r="F1347" t="s">
        <v>1811</v>
      </c>
      <c r="G1347" t="s">
        <v>280</v>
      </c>
      <c r="H1347" t="s">
        <v>1812</v>
      </c>
      <c r="I1347" t="s">
        <v>35</v>
      </c>
      <c r="J1347"/>
      <c r="K1347">
        <v>1</v>
      </c>
      <c r="L1347">
        <v>1</v>
      </c>
      <c r="M1347" t="s">
        <v>33</v>
      </c>
      <c r="N1347">
        <v>0</v>
      </c>
      <c r="O1347"/>
      <c r="P1347">
        <v>0</v>
      </c>
      <c r="Q1347" t="s">
        <v>38</v>
      </c>
      <c r="R1347">
        <v>1</v>
      </c>
      <c r="S1347">
        <v>0</v>
      </c>
      <c r="T1347"/>
      <c r="U1347"/>
      <c r="V1347"/>
      <c r="W1347"/>
      <c r="X1347">
        <v>0</v>
      </c>
      <c r="Y1347"/>
      <c r="Z1347">
        <v>0</v>
      </c>
      <c r="AA1347"/>
      <c r="AB1347"/>
      <c r="AC1347"/>
      <c r="AD1347"/>
      <c r="AE1347">
        <v>0</v>
      </c>
      <c r="AF1347"/>
      <c r="AG1347"/>
      <c r="AH1347"/>
    </row>
    <row r="1348" spans="1:34" x14ac:dyDescent="0.25">
      <c r="A1348" t="s">
        <v>1945</v>
      </c>
      <c r="B1348" t="s">
        <v>1946</v>
      </c>
      <c r="C1348"/>
      <c r="D1348" t="s">
        <v>1778</v>
      </c>
      <c r="E1348" t="s">
        <v>1808</v>
      </c>
      <c r="F1348" t="s">
        <v>1811</v>
      </c>
      <c r="G1348" t="s">
        <v>280</v>
      </c>
      <c r="H1348" t="s">
        <v>1812</v>
      </c>
      <c r="I1348" t="s">
        <v>35</v>
      </c>
      <c r="J1348"/>
      <c r="K1348">
        <v>1</v>
      </c>
      <c r="L1348">
        <v>1</v>
      </c>
      <c r="M1348" t="s">
        <v>33</v>
      </c>
      <c r="N1348">
        <v>0</v>
      </c>
      <c r="O1348"/>
      <c r="P1348">
        <v>0</v>
      </c>
      <c r="Q1348" t="s">
        <v>38</v>
      </c>
      <c r="R1348">
        <v>1</v>
      </c>
      <c r="S1348">
        <v>0</v>
      </c>
      <c r="T1348"/>
      <c r="U1348"/>
      <c r="V1348"/>
      <c r="W1348"/>
      <c r="X1348">
        <v>0</v>
      </c>
      <c r="Y1348"/>
      <c r="Z1348">
        <v>0</v>
      </c>
      <c r="AA1348"/>
      <c r="AB1348"/>
      <c r="AC1348"/>
      <c r="AD1348"/>
      <c r="AE1348">
        <v>0</v>
      </c>
      <c r="AF1348"/>
      <c r="AG1348"/>
      <c r="AH1348"/>
    </row>
    <row r="1349" spans="1:34" x14ac:dyDescent="0.25">
      <c r="A1349" t="s">
        <v>3438</v>
      </c>
      <c r="B1349" t="s">
        <v>3439</v>
      </c>
      <c r="C1349"/>
      <c r="D1349" t="s">
        <v>1778</v>
      </c>
      <c r="E1349" t="s">
        <v>1808</v>
      </c>
      <c r="F1349" t="s">
        <v>1811</v>
      </c>
      <c r="G1349" t="s">
        <v>280</v>
      </c>
      <c r="H1349" t="s">
        <v>1812</v>
      </c>
      <c r="I1349" t="s">
        <v>35</v>
      </c>
      <c r="J1349"/>
      <c r="K1349">
        <v>1</v>
      </c>
      <c r="L1349">
        <v>1</v>
      </c>
      <c r="M1349" t="s">
        <v>33</v>
      </c>
      <c r="N1349">
        <v>0</v>
      </c>
      <c r="O1349"/>
      <c r="P1349">
        <v>0</v>
      </c>
      <c r="Q1349" t="s">
        <v>38</v>
      </c>
      <c r="R1349">
        <v>1</v>
      </c>
      <c r="S1349">
        <v>0</v>
      </c>
      <c r="T1349"/>
      <c r="U1349"/>
      <c r="V1349"/>
      <c r="W1349"/>
      <c r="X1349">
        <v>0</v>
      </c>
      <c r="Y1349"/>
      <c r="Z1349">
        <v>0</v>
      </c>
      <c r="AA1349"/>
      <c r="AB1349"/>
      <c r="AC1349"/>
      <c r="AD1349"/>
      <c r="AE1349">
        <v>0</v>
      </c>
      <c r="AF1349"/>
      <c r="AG1349"/>
      <c r="AH1349"/>
    </row>
    <row r="1350" spans="1:34" x14ac:dyDescent="0.25">
      <c r="A1350" t="s">
        <v>3426</v>
      </c>
      <c r="B1350" t="s">
        <v>3427</v>
      </c>
      <c r="C1350"/>
      <c r="D1350" t="s">
        <v>1778</v>
      </c>
      <c r="E1350" t="s">
        <v>1808</v>
      </c>
      <c r="F1350" t="s">
        <v>1813</v>
      </c>
      <c r="G1350" t="s">
        <v>280</v>
      </c>
      <c r="H1350" t="s">
        <v>1814</v>
      </c>
      <c r="I1350" t="s">
        <v>35</v>
      </c>
      <c r="J1350"/>
      <c r="K1350">
        <v>1</v>
      </c>
      <c r="L1350">
        <v>1</v>
      </c>
      <c r="M1350" t="s">
        <v>33</v>
      </c>
      <c r="N1350">
        <v>0</v>
      </c>
      <c r="O1350"/>
      <c r="P1350">
        <v>0</v>
      </c>
      <c r="Q1350" t="s">
        <v>38</v>
      </c>
      <c r="R1350">
        <v>1</v>
      </c>
      <c r="S1350">
        <v>0</v>
      </c>
      <c r="T1350"/>
      <c r="U1350"/>
      <c r="V1350"/>
      <c r="W1350"/>
      <c r="X1350">
        <v>0</v>
      </c>
      <c r="Y1350"/>
      <c r="Z1350">
        <v>0</v>
      </c>
      <c r="AA1350"/>
      <c r="AB1350"/>
      <c r="AC1350"/>
      <c r="AD1350"/>
      <c r="AE1350">
        <v>0</v>
      </c>
      <c r="AF1350"/>
      <c r="AG1350"/>
      <c r="AH1350"/>
    </row>
    <row r="1351" spans="1:34" x14ac:dyDescent="0.25">
      <c r="A1351" t="s">
        <v>1945</v>
      </c>
      <c r="B1351" t="s">
        <v>1946</v>
      </c>
      <c r="C1351"/>
      <c r="D1351" t="s">
        <v>1778</v>
      </c>
      <c r="E1351" t="s">
        <v>1808</v>
      </c>
      <c r="F1351" t="s">
        <v>1813</v>
      </c>
      <c r="G1351" t="s">
        <v>280</v>
      </c>
      <c r="H1351" t="s">
        <v>1814</v>
      </c>
      <c r="I1351" t="s">
        <v>35</v>
      </c>
      <c r="J1351"/>
      <c r="K1351">
        <v>1</v>
      </c>
      <c r="L1351">
        <v>1</v>
      </c>
      <c r="M1351" t="s">
        <v>33</v>
      </c>
      <c r="N1351">
        <v>0</v>
      </c>
      <c r="O1351"/>
      <c r="P1351">
        <v>0</v>
      </c>
      <c r="Q1351" t="s">
        <v>38</v>
      </c>
      <c r="R1351">
        <v>1</v>
      </c>
      <c r="S1351">
        <v>0</v>
      </c>
      <c r="T1351"/>
      <c r="U1351"/>
      <c r="V1351"/>
      <c r="W1351"/>
      <c r="X1351">
        <v>0</v>
      </c>
      <c r="Y1351"/>
      <c r="Z1351">
        <v>0</v>
      </c>
      <c r="AA1351"/>
      <c r="AB1351"/>
      <c r="AC1351"/>
      <c r="AD1351"/>
      <c r="AE1351">
        <v>0</v>
      </c>
      <c r="AF1351"/>
      <c r="AG1351"/>
      <c r="AH1351"/>
    </row>
    <row r="1352" spans="1:34" x14ac:dyDescent="0.25">
      <c r="A1352" t="s">
        <v>3438</v>
      </c>
      <c r="B1352" t="s">
        <v>3439</v>
      </c>
      <c r="C1352"/>
      <c r="D1352" t="s">
        <v>1778</v>
      </c>
      <c r="E1352" t="s">
        <v>1808</v>
      </c>
      <c r="F1352" t="s">
        <v>1813</v>
      </c>
      <c r="G1352" t="s">
        <v>280</v>
      </c>
      <c r="H1352" t="s">
        <v>1814</v>
      </c>
      <c r="I1352" t="s">
        <v>35</v>
      </c>
      <c r="J1352"/>
      <c r="K1352">
        <v>1</v>
      </c>
      <c r="L1352">
        <v>1</v>
      </c>
      <c r="M1352" t="s">
        <v>33</v>
      </c>
      <c r="N1352">
        <v>0</v>
      </c>
      <c r="O1352"/>
      <c r="P1352">
        <v>0</v>
      </c>
      <c r="Q1352" t="s">
        <v>38</v>
      </c>
      <c r="R1352">
        <v>1</v>
      </c>
      <c r="S1352">
        <v>0</v>
      </c>
      <c r="T1352"/>
      <c r="U1352"/>
      <c r="V1352"/>
      <c r="W1352"/>
      <c r="X1352">
        <v>0</v>
      </c>
      <c r="Y1352"/>
      <c r="Z1352">
        <v>0</v>
      </c>
      <c r="AA1352"/>
      <c r="AB1352"/>
      <c r="AC1352"/>
      <c r="AD1352"/>
      <c r="AE1352">
        <v>0</v>
      </c>
      <c r="AF1352"/>
      <c r="AG1352"/>
      <c r="AH1352"/>
    </row>
    <row r="1353" spans="1:34" x14ac:dyDescent="0.25">
      <c r="A1353" t="s">
        <v>3426</v>
      </c>
      <c r="B1353" t="s">
        <v>3427</v>
      </c>
      <c r="C1353"/>
      <c r="D1353" t="s">
        <v>1778</v>
      </c>
      <c r="E1353" t="s">
        <v>1808</v>
      </c>
      <c r="F1353" t="s">
        <v>1815</v>
      </c>
      <c r="G1353" t="s">
        <v>280</v>
      </c>
      <c r="H1353" t="s">
        <v>1816</v>
      </c>
      <c r="I1353" t="s">
        <v>35</v>
      </c>
      <c r="J1353"/>
      <c r="K1353">
        <v>1</v>
      </c>
      <c r="L1353">
        <v>1</v>
      </c>
      <c r="M1353" t="s">
        <v>33</v>
      </c>
      <c r="N1353">
        <v>0</v>
      </c>
      <c r="O1353"/>
      <c r="P1353">
        <v>0</v>
      </c>
      <c r="Q1353" t="s">
        <v>38</v>
      </c>
      <c r="R1353">
        <v>1</v>
      </c>
      <c r="S1353">
        <v>0</v>
      </c>
      <c r="T1353"/>
      <c r="U1353"/>
      <c r="V1353"/>
      <c r="W1353"/>
      <c r="X1353">
        <v>0</v>
      </c>
      <c r="Y1353"/>
      <c r="Z1353">
        <v>0</v>
      </c>
      <c r="AA1353"/>
      <c r="AB1353"/>
      <c r="AC1353"/>
      <c r="AD1353"/>
      <c r="AE1353">
        <v>0</v>
      </c>
      <c r="AF1353"/>
      <c r="AG1353"/>
      <c r="AH1353"/>
    </row>
    <row r="1354" spans="1:34" x14ac:dyDescent="0.25">
      <c r="A1354" t="s">
        <v>1945</v>
      </c>
      <c r="B1354" t="s">
        <v>1946</v>
      </c>
      <c r="C1354"/>
      <c r="D1354" t="s">
        <v>1778</v>
      </c>
      <c r="E1354" t="s">
        <v>1808</v>
      </c>
      <c r="F1354" t="s">
        <v>1815</v>
      </c>
      <c r="G1354" t="s">
        <v>280</v>
      </c>
      <c r="H1354" t="s">
        <v>1816</v>
      </c>
      <c r="I1354" t="s">
        <v>35</v>
      </c>
      <c r="J1354"/>
      <c r="K1354">
        <v>1</v>
      </c>
      <c r="L1354">
        <v>1</v>
      </c>
      <c r="M1354" t="s">
        <v>33</v>
      </c>
      <c r="N1354">
        <v>0</v>
      </c>
      <c r="O1354"/>
      <c r="P1354">
        <v>0</v>
      </c>
      <c r="Q1354" t="s">
        <v>38</v>
      </c>
      <c r="R1354">
        <v>1</v>
      </c>
      <c r="S1354">
        <v>0</v>
      </c>
      <c r="T1354"/>
      <c r="U1354"/>
      <c r="V1354"/>
      <c r="W1354"/>
      <c r="X1354">
        <v>0</v>
      </c>
      <c r="Y1354"/>
      <c r="Z1354">
        <v>0</v>
      </c>
      <c r="AA1354"/>
      <c r="AB1354"/>
      <c r="AC1354"/>
      <c r="AD1354"/>
      <c r="AE1354">
        <v>0</v>
      </c>
      <c r="AF1354"/>
      <c r="AG1354"/>
      <c r="AH1354"/>
    </row>
    <row r="1355" spans="1:34" x14ac:dyDescent="0.25">
      <c r="A1355" t="s">
        <v>3438</v>
      </c>
      <c r="B1355" t="s">
        <v>3439</v>
      </c>
      <c r="C1355"/>
      <c r="D1355" t="s">
        <v>1778</v>
      </c>
      <c r="E1355" t="s">
        <v>1808</v>
      </c>
      <c r="F1355" t="s">
        <v>1815</v>
      </c>
      <c r="G1355" t="s">
        <v>280</v>
      </c>
      <c r="H1355" t="s">
        <v>1816</v>
      </c>
      <c r="I1355" t="s">
        <v>35</v>
      </c>
      <c r="J1355"/>
      <c r="K1355">
        <v>1</v>
      </c>
      <c r="L1355">
        <v>1</v>
      </c>
      <c r="M1355" t="s">
        <v>33</v>
      </c>
      <c r="N1355">
        <v>0</v>
      </c>
      <c r="O1355"/>
      <c r="P1355">
        <v>0</v>
      </c>
      <c r="Q1355" t="s">
        <v>38</v>
      </c>
      <c r="R1355">
        <v>1</v>
      </c>
      <c r="S1355">
        <v>0</v>
      </c>
      <c r="T1355"/>
      <c r="U1355"/>
      <c r="V1355"/>
      <c r="W1355"/>
      <c r="X1355">
        <v>0</v>
      </c>
      <c r="Y1355"/>
      <c r="Z1355">
        <v>0</v>
      </c>
      <c r="AA1355"/>
      <c r="AB1355"/>
      <c r="AC1355"/>
      <c r="AD1355"/>
      <c r="AE1355">
        <v>0</v>
      </c>
      <c r="AF1355"/>
      <c r="AG1355"/>
      <c r="AH1355"/>
    </row>
    <row r="1356" spans="1:34" x14ac:dyDescent="0.25">
      <c r="A1356" t="s">
        <v>3426</v>
      </c>
      <c r="B1356" t="s">
        <v>3427</v>
      </c>
      <c r="C1356"/>
      <c r="D1356" t="s">
        <v>1778</v>
      </c>
      <c r="E1356" t="s">
        <v>1808</v>
      </c>
      <c r="F1356" t="s">
        <v>1817</v>
      </c>
      <c r="G1356" t="s">
        <v>280</v>
      </c>
      <c r="H1356" t="s">
        <v>1818</v>
      </c>
      <c r="I1356" t="s">
        <v>35</v>
      </c>
      <c r="J1356"/>
      <c r="K1356">
        <v>1</v>
      </c>
      <c r="L1356">
        <v>1</v>
      </c>
      <c r="M1356" t="s">
        <v>33</v>
      </c>
      <c r="N1356">
        <v>0</v>
      </c>
      <c r="O1356"/>
      <c r="P1356">
        <v>0</v>
      </c>
      <c r="Q1356" t="s">
        <v>38</v>
      </c>
      <c r="R1356">
        <v>1</v>
      </c>
      <c r="S1356">
        <v>0</v>
      </c>
      <c r="T1356"/>
      <c r="U1356"/>
      <c r="V1356"/>
      <c r="W1356"/>
      <c r="X1356">
        <v>0</v>
      </c>
      <c r="Y1356"/>
      <c r="Z1356">
        <v>0</v>
      </c>
      <c r="AA1356"/>
      <c r="AB1356"/>
      <c r="AC1356"/>
      <c r="AD1356"/>
      <c r="AE1356">
        <v>0</v>
      </c>
      <c r="AF1356"/>
      <c r="AG1356"/>
      <c r="AH1356"/>
    </row>
    <row r="1357" spans="1:34" x14ac:dyDescent="0.25">
      <c r="A1357" t="s">
        <v>1945</v>
      </c>
      <c r="B1357" t="s">
        <v>1946</v>
      </c>
      <c r="C1357"/>
      <c r="D1357" t="s">
        <v>1778</v>
      </c>
      <c r="E1357" t="s">
        <v>1808</v>
      </c>
      <c r="F1357" t="s">
        <v>1817</v>
      </c>
      <c r="G1357" t="s">
        <v>280</v>
      </c>
      <c r="H1357" t="s">
        <v>1818</v>
      </c>
      <c r="I1357" t="s">
        <v>35</v>
      </c>
      <c r="J1357"/>
      <c r="K1357">
        <v>1</v>
      </c>
      <c r="L1357">
        <v>1</v>
      </c>
      <c r="M1357" t="s">
        <v>33</v>
      </c>
      <c r="N1357">
        <v>0</v>
      </c>
      <c r="O1357"/>
      <c r="P1357">
        <v>0</v>
      </c>
      <c r="Q1357" t="s">
        <v>38</v>
      </c>
      <c r="R1357">
        <v>1</v>
      </c>
      <c r="S1357">
        <v>0</v>
      </c>
      <c r="T1357"/>
      <c r="U1357"/>
      <c r="V1357"/>
      <c r="W1357"/>
      <c r="X1357">
        <v>0</v>
      </c>
      <c r="Y1357"/>
      <c r="Z1357">
        <v>0</v>
      </c>
      <c r="AA1357"/>
      <c r="AB1357"/>
      <c r="AC1357"/>
      <c r="AD1357"/>
      <c r="AE1357">
        <v>0</v>
      </c>
      <c r="AF1357"/>
      <c r="AG1357"/>
      <c r="AH1357"/>
    </row>
    <row r="1358" spans="1:34" x14ac:dyDescent="0.25">
      <c r="A1358" t="s">
        <v>3438</v>
      </c>
      <c r="B1358" t="s">
        <v>3439</v>
      </c>
      <c r="C1358"/>
      <c r="D1358" t="s">
        <v>1778</v>
      </c>
      <c r="E1358" t="s">
        <v>1808</v>
      </c>
      <c r="F1358" t="s">
        <v>1817</v>
      </c>
      <c r="G1358" t="s">
        <v>280</v>
      </c>
      <c r="H1358" t="s">
        <v>1818</v>
      </c>
      <c r="I1358" t="s">
        <v>35</v>
      </c>
      <c r="J1358"/>
      <c r="K1358">
        <v>1</v>
      </c>
      <c r="L1358">
        <v>1</v>
      </c>
      <c r="M1358" t="s">
        <v>33</v>
      </c>
      <c r="N1358">
        <v>0</v>
      </c>
      <c r="O1358"/>
      <c r="P1358">
        <v>0</v>
      </c>
      <c r="Q1358" t="s">
        <v>38</v>
      </c>
      <c r="R1358">
        <v>1</v>
      </c>
      <c r="S1358">
        <v>0</v>
      </c>
      <c r="T1358"/>
      <c r="U1358"/>
      <c r="V1358"/>
      <c r="W1358"/>
      <c r="X1358">
        <v>0</v>
      </c>
      <c r="Y1358"/>
      <c r="Z1358">
        <v>0</v>
      </c>
      <c r="AA1358"/>
      <c r="AB1358"/>
      <c r="AC1358"/>
      <c r="AD1358"/>
      <c r="AE1358">
        <v>0</v>
      </c>
      <c r="AF1358"/>
      <c r="AG1358"/>
      <c r="AH1358"/>
    </row>
    <row r="1359" spans="1:34" x14ac:dyDescent="0.25">
      <c r="A1359" t="s">
        <v>3426</v>
      </c>
      <c r="B1359" t="s">
        <v>3427</v>
      </c>
      <c r="C1359"/>
      <c r="D1359" t="s">
        <v>1778</v>
      </c>
      <c r="E1359" t="s">
        <v>1808</v>
      </c>
      <c r="F1359" t="s">
        <v>1819</v>
      </c>
      <c r="G1359" t="s">
        <v>280</v>
      </c>
      <c r="H1359" t="s">
        <v>1820</v>
      </c>
      <c r="I1359" t="s">
        <v>35</v>
      </c>
      <c r="J1359"/>
      <c r="K1359">
        <v>1</v>
      </c>
      <c r="L1359">
        <v>1</v>
      </c>
      <c r="M1359" t="s">
        <v>33</v>
      </c>
      <c r="N1359">
        <v>0</v>
      </c>
      <c r="O1359"/>
      <c r="P1359">
        <v>0</v>
      </c>
      <c r="Q1359" t="s">
        <v>38</v>
      </c>
      <c r="R1359">
        <v>1</v>
      </c>
      <c r="S1359">
        <v>0</v>
      </c>
      <c r="T1359"/>
      <c r="U1359"/>
      <c r="V1359"/>
      <c r="W1359"/>
      <c r="X1359">
        <v>0</v>
      </c>
      <c r="Y1359"/>
      <c r="Z1359">
        <v>0</v>
      </c>
      <c r="AA1359"/>
      <c r="AB1359"/>
      <c r="AC1359"/>
      <c r="AD1359"/>
      <c r="AE1359">
        <v>0</v>
      </c>
      <c r="AF1359"/>
      <c r="AG1359"/>
      <c r="AH1359"/>
    </row>
    <row r="1360" spans="1:34" x14ac:dyDescent="0.25">
      <c r="A1360" t="s">
        <v>1945</v>
      </c>
      <c r="B1360" t="s">
        <v>1946</v>
      </c>
      <c r="C1360"/>
      <c r="D1360" t="s">
        <v>1778</v>
      </c>
      <c r="E1360" t="s">
        <v>1808</v>
      </c>
      <c r="F1360" t="s">
        <v>1819</v>
      </c>
      <c r="G1360" t="s">
        <v>280</v>
      </c>
      <c r="H1360" t="s">
        <v>1820</v>
      </c>
      <c r="I1360" t="s">
        <v>35</v>
      </c>
      <c r="J1360"/>
      <c r="K1360">
        <v>1</v>
      </c>
      <c r="L1360">
        <v>1</v>
      </c>
      <c r="M1360" t="s">
        <v>33</v>
      </c>
      <c r="N1360">
        <v>0</v>
      </c>
      <c r="O1360"/>
      <c r="P1360">
        <v>0</v>
      </c>
      <c r="Q1360" t="s">
        <v>38</v>
      </c>
      <c r="R1360">
        <v>1</v>
      </c>
      <c r="S1360">
        <v>0</v>
      </c>
      <c r="T1360"/>
      <c r="U1360"/>
      <c r="V1360"/>
      <c r="W1360"/>
      <c r="X1360">
        <v>0</v>
      </c>
      <c r="Y1360"/>
      <c r="Z1360">
        <v>0</v>
      </c>
      <c r="AA1360"/>
      <c r="AB1360"/>
      <c r="AC1360"/>
      <c r="AD1360"/>
      <c r="AE1360">
        <v>0</v>
      </c>
      <c r="AF1360"/>
      <c r="AG1360"/>
      <c r="AH1360"/>
    </row>
    <row r="1361" spans="1:34" x14ac:dyDescent="0.25">
      <c r="A1361" t="s">
        <v>3438</v>
      </c>
      <c r="B1361" t="s">
        <v>3439</v>
      </c>
      <c r="C1361"/>
      <c r="D1361" t="s">
        <v>1778</v>
      </c>
      <c r="E1361" t="s">
        <v>1808</v>
      </c>
      <c r="F1361" t="s">
        <v>1819</v>
      </c>
      <c r="G1361" t="s">
        <v>280</v>
      </c>
      <c r="H1361" t="s">
        <v>1820</v>
      </c>
      <c r="I1361" t="s">
        <v>35</v>
      </c>
      <c r="J1361"/>
      <c r="K1361">
        <v>1</v>
      </c>
      <c r="L1361">
        <v>1</v>
      </c>
      <c r="M1361" t="s">
        <v>33</v>
      </c>
      <c r="N1361">
        <v>0</v>
      </c>
      <c r="O1361"/>
      <c r="P1361">
        <v>0</v>
      </c>
      <c r="Q1361" t="s">
        <v>38</v>
      </c>
      <c r="R1361">
        <v>1</v>
      </c>
      <c r="S1361">
        <v>0</v>
      </c>
      <c r="T1361"/>
      <c r="U1361"/>
      <c r="V1361"/>
      <c r="W1361"/>
      <c r="X1361">
        <v>0</v>
      </c>
      <c r="Y1361"/>
      <c r="Z1361">
        <v>0</v>
      </c>
      <c r="AA1361"/>
      <c r="AB1361"/>
      <c r="AC1361"/>
      <c r="AD1361"/>
      <c r="AE1361">
        <v>0</v>
      </c>
      <c r="AF1361"/>
      <c r="AG1361"/>
      <c r="AH1361"/>
    </row>
    <row r="1362" spans="1:34" x14ac:dyDescent="0.25">
      <c r="A1362" t="s">
        <v>3426</v>
      </c>
      <c r="B1362" t="s">
        <v>3427</v>
      </c>
      <c r="C1362"/>
      <c r="D1362" t="s">
        <v>1778</v>
      </c>
      <c r="E1362" t="s">
        <v>1808</v>
      </c>
      <c r="F1362" t="s">
        <v>1821</v>
      </c>
      <c r="G1362" t="s">
        <v>280</v>
      </c>
      <c r="H1362" t="s">
        <v>1822</v>
      </c>
      <c r="I1362" t="s">
        <v>35</v>
      </c>
      <c r="J1362"/>
      <c r="K1362">
        <v>1</v>
      </c>
      <c r="L1362">
        <v>1</v>
      </c>
      <c r="M1362" t="s">
        <v>33</v>
      </c>
      <c r="N1362">
        <v>0</v>
      </c>
      <c r="O1362"/>
      <c r="P1362">
        <v>0</v>
      </c>
      <c r="Q1362" t="s">
        <v>38</v>
      </c>
      <c r="R1362">
        <v>1</v>
      </c>
      <c r="S1362">
        <v>0</v>
      </c>
      <c r="T1362"/>
      <c r="U1362"/>
      <c r="V1362"/>
      <c r="W1362"/>
      <c r="X1362">
        <v>0</v>
      </c>
      <c r="Y1362"/>
      <c r="Z1362">
        <v>0</v>
      </c>
      <c r="AA1362"/>
      <c r="AB1362"/>
      <c r="AC1362"/>
      <c r="AD1362"/>
      <c r="AE1362">
        <v>0</v>
      </c>
      <c r="AF1362"/>
      <c r="AG1362"/>
      <c r="AH1362"/>
    </row>
    <row r="1363" spans="1:34" x14ac:dyDescent="0.25">
      <c r="A1363" t="s">
        <v>1945</v>
      </c>
      <c r="B1363" t="s">
        <v>1946</v>
      </c>
      <c r="C1363"/>
      <c r="D1363" t="s">
        <v>1778</v>
      </c>
      <c r="E1363" t="s">
        <v>1808</v>
      </c>
      <c r="F1363" t="s">
        <v>1821</v>
      </c>
      <c r="G1363" t="s">
        <v>280</v>
      </c>
      <c r="H1363" t="s">
        <v>1822</v>
      </c>
      <c r="I1363" t="s">
        <v>35</v>
      </c>
      <c r="J1363"/>
      <c r="K1363">
        <v>1</v>
      </c>
      <c r="L1363">
        <v>1</v>
      </c>
      <c r="M1363" t="s">
        <v>33</v>
      </c>
      <c r="N1363">
        <v>0</v>
      </c>
      <c r="O1363"/>
      <c r="P1363">
        <v>0</v>
      </c>
      <c r="Q1363" t="s">
        <v>38</v>
      </c>
      <c r="R1363">
        <v>1</v>
      </c>
      <c r="S1363">
        <v>0</v>
      </c>
      <c r="T1363"/>
      <c r="U1363"/>
      <c r="V1363"/>
      <c r="W1363"/>
      <c r="X1363">
        <v>0</v>
      </c>
      <c r="Y1363"/>
      <c r="Z1363">
        <v>0</v>
      </c>
      <c r="AA1363"/>
      <c r="AB1363"/>
      <c r="AC1363"/>
      <c r="AD1363"/>
      <c r="AE1363">
        <v>0</v>
      </c>
      <c r="AF1363"/>
      <c r="AG1363"/>
      <c r="AH1363"/>
    </row>
    <row r="1364" spans="1:34" x14ac:dyDescent="0.25">
      <c r="A1364" t="s">
        <v>3438</v>
      </c>
      <c r="B1364" t="s">
        <v>3439</v>
      </c>
      <c r="C1364"/>
      <c r="D1364" t="s">
        <v>1778</v>
      </c>
      <c r="E1364" t="s">
        <v>1808</v>
      </c>
      <c r="F1364" t="s">
        <v>1821</v>
      </c>
      <c r="G1364" t="s">
        <v>280</v>
      </c>
      <c r="H1364" t="s">
        <v>1822</v>
      </c>
      <c r="I1364" t="s">
        <v>35</v>
      </c>
      <c r="J1364"/>
      <c r="K1364">
        <v>1</v>
      </c>
      <c r="L1364">
        <v>1</v>
      </c>
      <c r="M1364" t="s">
        <v>33</v>
      </c>
      <c r="N1364">
        <v>0</v>
      </c>
      <c r="O1364"/>
      <c r="P1364">
        <v>0</v>
      </c>
      <c r="Q1364" t="s">
        <v>38</v>
      </c>
      <c r="R1364">
        <v>1</v>
      </c>
      <c r="S1364">
        <v>0</v>
      </c>
      <c r="T1364"/>
      <c r="U1364"/>
      <c r="V1364"/>
      <c r="W1364"/>
      <c r="X1364">
        <v>0</v>
      </c>
      <c r="Y1364"/>
      <c r="Z1364">
        <v>0</v>
      </c>
      <c r="AA1364"/>
      <c r="AB1364"/>
      <c r="AC1364"/>
      <c r="AD1364"/>
      <c r="AE1364">
        <v>0</v>
      </c>
      <c r="AF1364"/>
      <c r="AG1364"/>
      <c r="AH1364"/>
    </row>
    <row r="1365" spans="1:34" x14ac:dyDescent="0.25">
      <c r="A1365" t="s">
        <v>3426</v>
      </c>
      <c r="B1365" t="s">
        <v>3427</v>
      </c>
      <c r="C1365"/>
      <c r="D1365" t="s">
        <v>1778</v>
      </c>
      <c r="E1365" t="s">
        <v>1808</v>
      </c>
      <c r="F1365" t="s">
        <v>1823</v>
      </c>
      <c r="G1365" t="s">
        <v>280</v>
      </c>
      <c r="H1365" t="s">
        <v>1824</v>
      </c>
      <c r="I1365" t="s">
        <v>35</v>
      </c>
      <c r="J1365"/>
      <c r="K1365">
        <v>1</v>
      </c>
      <c r="L1365">
        <v>1</v>
      </c>
      <c r="M1365" t="s">
        <v>33</v>
      </c>
      <c r="N1365">
        <v>0</v>
      </c>
      <c r="O1365"/>
      <c r="P1365">
        <v>0</v>
      </c>
      <c r="Q1365" t="s">
        <v>38</v>
      </c>
      <c r="R1365">
        <v>1</v>
      </c>
      <c r="S1365">
        <v>0</v>
      </c>
      <c r="T1365"/>
      <c r="U1365"/>
      <c r="V1365"/>
      <c r="W1365"/>
      <c r="X1365">
        <v>0</v>
      </c>
      <c r="Y1365"/>
      <c r="Z1365">
        <v>0</v>
      </c>
      <c r="AA1365"/>
      <c r="AB1365"/>
      <c r="AC1365"/>
      <c r="AD1365"/>
      <c r="AE1365">
        <v>0</v>
      </c>
      <c r="AF1365"/>
      <c r="AG1365"/>
      <c r="AH1365"/>
    </row>
    <row r="1366" spans="1:34" x14ac:dyDescent="0.25">
      <c r="A1366" t="s">
        <v>1945</v>
      </c>
      <c r="B1366" t="s">
        <v>1946</v>
      </c>
      <c r="C1366"/>
      <c r="D1366" t="s">
        <v>1778</v>
      </c>
      <c r="E1366" t="s">
        <v>1808</v>
      </c>
      <c r="F1366" t="s">
        <v>1823</v>
      </c>
      <c r="G1366" t="s">
        <v>280</v>
      </c>
      <c r="H1366" t="s">
        <v>1824</v>
      </c>
      <c r="I1366" t="s">
        <v>35</v>
      </c>
      <c r="J1366"/>
      <c r="K1366">
        <v>1</v>
      </c>
      <c r="L1366">
        <v>1</v>
      </c>
      <c r="M1366" t="s">
        <v>33</v>
      </c>
      <c r="N1366">
        <v>0</v>
      </c>
      <c r="O1366"/>
      <c r="P1366">
        <v>0</v>
      </c>
      <c r="Q1366" t="s">
        <v>38</v>
      </c>
      <c r="R1366">
        <v>1</v>
      </c>
      <c r="S1366">
        <v>0</v>
      </c>
      <c r="T1366"/>
      <c r="U1366"/>
      <c r="V1366"/>
      <c r="W1366"/>
      <c r="X1366">
        <v>0</v>
      </c>
      <c r="Y1366"/>
      <c r="Z1366">
        <v>0</v>
      </c>
      <c r="AA1366"/>
      <c r="AB1366"/>
      <c r="AC1366"/>
      <c r="AD1366"/>
      <c r="AE1366">
        <v>0</v>
      </c>
      <c r="AF1366"/>
      <c r="AG1366"/>
      <c r="AH1366"/>
    </row>
    <row r="1367" spans="1:34" x14ac:dyDescent="0.25">
      <c r="A1367" t="s">
        <v>3438</v>
      </c>
      <c r="B1367" t="s">
        <v>3439</v>
      </c>
      <c r="C1367"/>
      <c r="D1367" t="s">
        <v>1778</v>
      </c>
      <c r="E1367" t="s">
        <v>1808</v>
      </c>
      <c r="F1367" t="s">
        <v>1823</v>
      </c>
      <c r="G1367" t="s">
        <v>280</v>
      </c>
      <c r="H1367" t="s">
        <v>1824</v>
      </c>
      <c r="I1367" t="s">
        <v>35</v>
      </c>
      <c r="J1367"/>
      <c r="K1367">
        <v>1</v>
      </c>
      <c r="L1367">
        <v>1</v>
      </c>
      <c r="M1367" t="s">
        <v>33</v>
      </c>
      <c r="N1367">
        <v>0</v>
      </c>
      <c r="O1367"/>
      <c r="P1367">
        <v>0</v>
      </c>
      <c r="Q1367" t="s">
        <v>38</v>
      </c>
      <c r="R1367">
        <v>1</v>
      </c>
      <c r="S1367">
        <v>0</v>
      </c>
      <c r="T1367"/>
      <c r="U1367"/>
      <c r="V1367"/>
      <c r="W1367"/>
      <c r="X1367">
        <v>0</v>
      </c>
      <c r="Y1367"/>
      <c r="Z1367">
        <v>0</v>
      </c>
      <c r="AA1367"/>
      <c r="AB1367"/>
      <c r="AC1367"/>
      <c r="AD1367"/>
      <c r="AE1367">
        <v>0</v>
      </c>
      <c r="AF1367"/>
      <c r="AG1367"/>
      <c r="AH1367"/>
    </row>
    <row r="1368" spans="1:34" x14ac:dyDescent="0.25">
      <c r="A1368" t="s">
        <v>3426</v>
      </c>
      <c r="B1368" t="s">
        <v>3427</v>
      </c>
      <c r="C1368"/>
      <c r="D1368" t="s">
        <v>1778</v>
      </c>
      <c r="E1368" t="s">
        <v>1808</v>
      </c>
      <c r="F1368" t="s">
        <v>1825</v>
      </c>
      <c r="G1368" t="s">
        <v>280</v>
      </c>
      <c r="H1368" t="s">
        <v>1826</v>
      </c>
      <c r="I1368" t="s">
        <v>35</v>
      </c>
      <c r="J1368"/>
      <c r="K1368">
        <v>1</v>
      </c>
      <c r="L1368">
        <v>1</v>
      </c>
      <c r="M1368" t="s">
        <v>33</v>
      </c>
      <c r="N1368">
        <v>0</v>
      </c>
      <c r="O1368"/>
      <c r="P1368">
        <v>0</v>
      </c>
      <c r="Q1368" t="s">
        <v>38</v>
      </c>
      <c r="R1368">
        <v>1</v>
      </c>
      <c r="S1368">
        <v>0</v>
      </c>
      <c r="T1368"/>
      <c r="U1368"/>
      <c r="V1368"/>
      <c r="W1368"/>
      <c r="X1368">
        <v>0</v>
      </c>
      <c r="Y1368"/>
      <c r="Z1368">
        <v>0</v>
      </c>
      <c r="AA1368"/>
      <c r="AB1368"/>
      <c r="AC1368"/>
      <c r="AD1368"/>
      <c r="AE1368">
        <v>0</v>
      </c>
      <c r="AF1368"/>
      <c r="AG1368"/>
      <c r="AH1368"/>
    </row>
    <row r="1369" spans="1:34" x14ac:dyDescent="0.25">
      <c r="A1369" t="s">
        <v>1945</v>
      </c>
      <c r="B1369" t="s">
        <v>1946</v>
      </c>
      <c r="C1369"/>
      <c r="D1369" t="s">
        <v>1778</v>
      </c>
      <c r="E1369" t="s">
        <v>1808</v>
      </c>
      <c r="F1369" t="s">
        <v>1825</v>
      </c>
      <c r="G1369" t="s">
        <v>280</v>
      </c>
      <c r="H1369" t="s">
        <v>1826</v>
      </c>
      <c r="I1369" t="s">
        <v>35</v>
      </c>
      <c r="J1369"/>
      <c r="K1369">
        <v>1</v>
      </c>
      <c r="L1369">
        <v>1</v>
      </c>
      <c r="M1369" t="s">
        <v>33</v>
      </c>
      <c r="N1369">
        <v>0</v>
      </c>
      <c r="O1369"/>
      <c r="P1369">
        <v>0</v>
      </c>
      <c r="Q1369" t="s">
        <v>38</v>
      </c>
      <c r="R1369">
        <v>1</v>
      </c>
      <c r="S1369">
        <v>0</v>
      </c>
      <c r="T1369"/>
      <c r="U1369"/>
      <c r="V1369"/>
      <c r="W1369"/>
      <c r="X1369">
        <v>0</v>
      </c>
      <c r="Y1369"/>
      <c r="Z1369">
        <v>0</v>
      </c>
      <c r="AA1369"/>
      <c r="AB1369"/>
      <c r="AC1369"/>
      <c r="AD1369"/>
      <c r="AE1369">
        <v>0</v>
      </c>
      <c r="AF1369"/>
      <c r="AG1369"/>
      <c r="AH1369"/>
    </row>
    <row r="1370" spans="1:34" x14ac:dyDescent="0.25">
      <c r="A1370" t="s">
        <v>3438</v>
      </c>
      <c r="B1370" t="s">
        <v>3439</v>
      </c>
      <c r="C1370"/>
      <c r="D1370" t="s">
        <v>1778</v>
      </c>
      <c r="E1370" t="s">
        <v>1808</v>
      </c>
      <c r="F1370" t="s">
        <v>1825</v>
      </c>
      <c r="G1370" t="s">
        <v>280</v>
      </c>
      <c r="H1370" t="s">
        <v>1826</v>
      </c>
      <c r="I1370" t="s">
        <v>35</v>
      </c>
      <c r="J1370"/>
      <c r="K1370">
        <v>1</v>
      </c>
      <c r="L1370">
        <v>1</v>
      </c>
      <c r="M1370" t="s">
        <v>33</v>
      </c>
      <c r="N1370">
        <v>0</v>
      </c>
      <c r="O1370"/>
      <c r="P1370">
        <v>0</v>
      </c>
      <c r="Q1370" t="s">
        <v>38</v>
      </c>
      <c r="R1370">
        <v>1</v>
      </c>
      <c r="S1370">
        <v>0</v>
      </c>
      <c r="T1370"/>
      <c r="U1370"/>
      <c r="V1370"/>
      <c r="W1370"/>
      <c r="X1370">
        <v>0</v>
      </c>
      <c r="Y1370"/>
      <c r="Z1370">
        <v>0</v>
      </c>
      <c r="AA1370"/>
      <c r="AB1370"/>
      <c r="AC1370"/>
      <c r="AD1370"/>
      <c r="AE1370">
        <v>0</v>
      </c>
      <c r="AF1370"/>
      <c r="AG1370"/>
      <c r="AH1370"/>
    </row>
    <row r="1371" spans="1:34" x14ac:dyDescent="0.25">
      <c r="A1371" t="s">
        <v>1776</v>
      </c>
      <c r="B1371" t="s">
        <v>1777</v>
      </c>
      <c r="C1371"/>
      <c r="D1371" t="s">
        <v>1778</v>
      </c>
      <c r="E1371" t="s">
        <v>1827</v>
      </c>
      <c r="F1371" t="s">
        <v>1828</v>
      </c>
      <c r="G1371" t="s">
        <v>280</v>
      </c>
      <c r="H1371" t="s">
        <v>1829</v>
      </c>
      <c r="I1371" t="s">
        <v>35</v>
      </c>
      <c r="J1371"/>
      <c r="K1371">
        <v>1</v>
      </c>
      <c r="L1371">
        <v>1</v>
      </c>
      <c r="M1371" t="s">
        <v>33</v>
      </c>
      <c r="N1371">
        <v>1</v>
      </c>
      <c r="O1371"/>
      <c r="P1371">
        <v>0</v>
      </c>
      <c r="Q1371" t="s">
        <v>38</v>
      </c>
      <c r="R1371">
        <v>1</v>
      </c>
      <c r="S1371">
        <v>0</v>
      </c>
      <c r="T1371"/>
      <c r="U1371"/>
      <c r="V1371"/>
      <c r="W1371"/>
      <c r="X1371">
        <v>0</v>
      </c>
      <c r="Y1371"/>
      <c r="Z1371">
        <v>0</v>
      </c>
      <c r="AA1371"/>
      <c r="AB1371"/>
      <c r="AC1371"/>
      <c r="AD1371"/>
      <c r="AE1371">
        <v>0</v>
      </c>
      <c r="AF1371"/>
      <c r="AG1371" t="s">
        <v>3469</v>
      </c>
      <c r="AH1371"/>
    </row>
    <row r="1372" spans="1:34" x14ac:dyDescent="0.25">
      <c r="A1372" t="s">
        <v>1776</v>
      </c>
      <c r="B1372" t="s">
        <v>1777</v>
      </c>
      <c r="C1372"/>
      <c r="D1372" t="s">
        <v>1778</v>
      </c>
      <c r="E1372" t="s">
        <v>1827</v>
      </c>
      <c r="F1372" t="s">
        <v>1830</v>
      </c>
      <c r="G1372" t="s">
        <v>280</v>
      </c>
      <c r="H1372" t="s">
        <v>1831</v>
      </c>
      <c r="I1372" t="s">
        <v>35</v>
      </c>
      <c r="J1372"/>
      <c r="K1372">
        <v>1</v>
      </c>
      <c r="L1372">
        <v>1</v>
      </c>
      <c r="M1372" t="s">
        <v>33</v>
      </c>
      <c r="N1372">
        <v>1</v>
      </c>
      <c r="O1372"/>
      <c r="P1372">
        <v>0</v>
      </c>
      <c r="Q1372" t="s">
        <v>38</v>
      </c>
      <c r="R1372">
        <v>1</v>
      </c>
      <c r="S1372">
        <v>0</v>
      </c>
      <c r="T1372"/>
      <c r="U1372"/>
      <c r="V1372"/>
      <c r="W1372"/>
      <c r="X1372">
        <v>0</v>
      </c>
      <c r="Y1372"/>
      <c r="Z1372">
        <v>0</v>
      </c>
      <c r="AA1372"/>
      <c r="AB1372"/>
      <c r="AC1372"/>
      <c r="AD1372"/>
      <c r="AE1372">
        <v>0</v>
      </c>
      <c r="AF1372"/>
      <c r="AG1372" t="s">
        <v>3469</v>
      </c>
      <c r="AH1372"/>
    </row>
    <row r="1373" spans="1:34" x14ac:dyDescent="0.25">
      <c r="A1373" t="s">
        <v>1776</v>
      </c>
      <c r="B1373" t="s">
        <v>1777</v>
      </c>
      <c r="C1373"/>
      <c r="D1373" t="s">
        <v>1778</v>
      </c>
      <c r="E1373" t="s">
        <v>1827</v>
      </c>
      <c r="F1373" t="s">
        <v>1832</v>
      </c>
      <c r="G1373" t="s">
        <v>280</v>
      </c>
      <c r="H1373" t="s">
        <v>1833</v>
      </c>
      <c r="I1373" t="s">
        <v>35</v>
      </c>
      <c r="J1373"/>
      <c r="K1373">
        <v>1</v>
      </c>
      <c r="L1373">
        <v>1</v>
      </c>
      <c r="M1373" t="s">
        <v>33</v>
      </c>
      <c r="N1373">
        <v>1</v>
      </c>
      <c r="O1373"/>
      <c r="P1373">
        <v>0</v>
      </c>
      <c r="Q1373" t="s">
        <v>38</v>
      </c>
      <c r="R1373">
        <v>1</v>
      </c>
      <c r="S1373">
        <v>0</v>
      </c>
      <c r="T1373"/>
      <c r="U1373"/>
      <c r="V1373"/>
      <c r="W1373"/>
      <c r="X1373">
        <v>0</v>
      </c>
      <c r="Y1373"/>
      <c r="Z1373">
        <v>0</v>
      </c>
      <c r="AA1373"/>
      <c r="AB1373"/>
      <c r="AC1373"/>
      <c r="AD1373"/>
      <c r="AE1373">
        <v>0</v>
      </c>
      <c r="AF1373"/>
      <c r="AG1373" t="s">
        <v>3469</v>
      </c>
      <c r="AH1373"/>
    </row>
    <row r="1374" spans="1:34" x14ac:dyDescent="0.25">
      <c r="A1374" t="s">
        <v>1776</v>
      </c>
      <c r="B1374" t="s">
        <v>1777</v>
      </c>
      <c r="C1374"/>
      <c r="D1374" t="s">
        <v>1778</v>
      </c>
      <c r="E1374" t="s">
        <v>1827</v>
      </c>
      <c r="F1374" t="s">
        <v>1834</v>
      </c>
      <c r="G1374" t="s">
        <v>280</v>
      </c>
      <c r="H1374" t="s">
        <v>1835</v>
      </c>
      <c r="I1374" t="s">
        <v>35</v>
      </c>
      <c r="J1374"/>
      <c r="K1374">
        <v>1</v>
      </c>
      <c r="L1374">
        <v>1</v>
      </c>
      <c r="M1374" t="s">
        <v>33</v>
      </c>
      <c r="N1374">
        <v>1</v>
      </c>
      <c r="O1374"/>
      <c r="P1374">
        <v>0</v>
      </c>
      <c r="Q1374" t="s">
        <v>38</v>
      </c>
      <c r="R1374">
        <v>1</v>
      </c>
      <c r="S1374">
        <v>0</v>
      </c>
      <c r="T1374"/>
      <c r="U1374"/>
      <c r="V1374"/>
      <c r="W1374"/>
      <c r="X1374">
        <v>0</v>
      </c>
      <c r="Y1374"/>
      <c r="Z1374">
        <v>0</v>
      </c>
      <c r="AA1374"/>
      <c r="AB1374"/>
      <c r="AC1374"/>
      <c r="AD1374"/>
      <c r="AE1374">
        <v>0</v>
      </c>
      <c r="AF1374"/>
      <c r="AG1374" t="s">
        <v>3469</v>
      </c>
      <c r="AH1374"/>
    </row>
    <row r="1375" spans="1:34" x14ac:dyDescent="0.25">
      <c r="A1375" t="s">
        <v>1776</v>
      </c>
      <c r="B1375" t="s">
        <v>1777</v>
      </c>
      <c r="C1375"/>
      <c r="D1375" t="s">
        <v>1778</v>
      </c>
      <c r="E1375" t="s">
        <v>1827</v>
      </c>
      <c r="F1375" t="s">
        <v>1836</v>
      </c>
      <c r="G1375" t="s">
        <v>280</v>
      </c>
      <c r="H1375" t="s">
        <v>1837</v>
      </c>
      <c r="I1375" t="s">
        <v>35</v>
      </c>
      <c r="J1375"/>
      <c r="K1375">
        <v>1</v>
      </c>
      <c r="L1375">
        <v>1</v>
      </c>
      <c r="M1375" t="s">
        <v>33</v>
      </c>
      <c r="N1375">
        <v>1</v>
      </c>
      <c r="O1375"/>
      <c r="P1375">
        <v>0</v>
      </c>
      <c r="Q1375" t="s">
        <v>38</v>
      </c>
      <c r="R1375">
        <v>1</v>
      </c>
      <c r="S1375">
        <v>0</v>
      </c>
      <c r="T1375"/>
      <c r="U1375"/>
      <c r="V1375"/>
      <c r="W1375"/>
      <c r="X1375">
        <v>0</v>
      </c>
      <c r="Y1375"/>
      <c r="Z1375">
        <v>0</v>
      </c>
      <c r="AA1375"/>
      <c r="AB1375"/>
      <c r="AC1375"/>
      <c r="AD1375"/>
      <c r="AE1375">
        <v>0</v>
      </c>
      <c r="AF1375"/>
      <c r="AG1375" t="s">
        <v>3469</v>
      </c>
      <c r="AH1375"/>
    </row>
    <row r="1376" spans="1:34" x14ac:dyDescent="0.25">
      <c r="A1376" t="s">
        <v>1776</v>
      </c>
      <c r="B1376" t="s">
        <v>1777</v>
      </c>
      <c r="C1376"/>
      <c r="D1376" t="s">
        <v>1778</v>
      </c>
      <c r="E1376" t="s">
        <v>1827</v>
      </c>
      <c r="F1376" t="s">
        <v>1838</v>
      </c>
      <c r="G1376" t="s">
        <v>280</v>
      </c>
      <c r="H1376" t="s">
        <v>1839</v>
      </c>
      <c r="I1376" t="s">
        <v>35</v>
      </c>
      <c r="J1376"/>
      <c r="K1376">
        <v>1</v>
      </c>
      <c r="L1376">
        <v>1</v>
      </c>
      <c r="M1376" t="s">
        <v>33</v>
      </c>
      <c r="N1376">
        <v>1</v>
      </c>
      <c r="O1376"/>
      <c r="P1376">
        <v>0</v>
      </c>
      <c r="Q1376" t="s">
        <v>38</v>
      </c>
      <c r="R1376">
        <v>1</v>
      </c>
      <c r="S1376">
        <v>0</v>
      </c>
      <c r="T1376"/>
      <c r="U1376"/>
      <c r="V1376"/>
      <c r="W1376"/>
      <c r="X1376">
        <v>0</v>
      </c>
      <c r="Y1376"/>
      <c r="Z1376">
        <v>0</v>
      </c>
      <c r="AA1376"/>
      <c r="AB1376"/>
      <c r="AC1376"/>
      <c r="AD1376"/>
      <c r="AE1376">
        <v>0</v>
      </c>
      <c r="AF1376"/>
      <c r="AG1376" t="s">
        <v>3469</v>
      </c>
      <c r="AH1376"/>
    </row>
    <row r="1377" spans="1:34" x14ac:dyDescent="0.25">
      <c r="A1377" t="s">
        <v>1776</v>
      </c>
      <c r="B1377" t="s">
        <v>1777</v>
      </c>
      <c r="C1377"/>
      <c r="D1377" t="s">
        <v>1778</v>
      </c>
      <c r="E1377" t="s">
        <v>1840</v>
      </c>
      <c r="F1377" t="s">
        <v>1841</v>
      </c>
      <c r="G1377" t="s">
        <v>280</v>
      </c>
      <c r="H1377" t="s">
        <v>1842</v>
      </c>
      <c r="I1377" t="s">
        <v>35</v>
      </c>
      <c r="J1377"/>
      <c r="K1377">
        <v>1</v>
      </c>
      <c r="L1377">
        <v>1</v>
      </c>
      <c r="M1377" t="s">
        <v>33</v>
      </c>
      <c r="N1377">
        <v>1</v>
      </c>
      <c r="O1377"/>
      <c r="P1377">
        <v>0</v>
      </c>
      <c r="Q1377" t="s">
        <v>38</v>
      </c>
      <c r="R1377">
        <v>1</v>
      </c>
      <c r="S1377">
        <v>0</v>
      </c>
      <c r="T1377"/>
      <c r="U1377"/>
      <c r="V1377"/>
      <c r="W1377"/>
      <c r="X1377">
        <v>0</v>
      </c>
      <c r="Y1377"/>
      <c r="Z1377">
        <v>0</v>
      </c>
      <c r="AA1377"/>
      <c r="AB1377"/>
      <c r="AC1377"/>
      <c r="AD1377"/>
      <c r="AE1377">
        <v>0</v>
      </c>
      <c r="AF1377"/>
      <c r="AG1377" t="s">
        <v>3469</v>
      </c>
      <c r="AH1377"/>
    </row>
    <row r="1378" spans="1:34" x14ac:dyDescent="0.25">
      <c r="A1378" t="s">
        <v>1776</v>
      </c>
      <c r="B1378" t="s">
        <v>1777</v>
      </c>
      <c r="C1378"/>
      <c r="D1378" t="s">
        <v>1778</v>
      </c>
      <c r="E1378" t="s">
        <v>1840</v>
      </c>
      <c r="F1378" t="s">
        <v>1843</v>
      </c>
      <c r="G1378" t="s">
        <v>280</v>
      </c>
      <c r="H1378" t="s">
        <v>1844</v>
      </c>
      <c r="I1378" t="s">
        <v>35</v>
      </c>
      <c r="J1378"/>
      <c r="K1378">
        <v>1</v>
      </c>
      <c r="L1378">
        <v>1</v>
      </c>
      <c r="M1378" t="s">
        <v>33</v>
      </c>
      <c r="N1378">
        <v>1</v>
      </c>
      <c r="O1378"/>
      <c r="P1378">
        <v>0</v>
      </c>
      <c r="Q1378" t="s">
        <v>38</v>
      </c>
      <c r="R1378">
        <v>1</v>
      </c>
      <c r="S1378">
        <v>0</v>
      </c>
      <c r="T1378"/>
      <c r="U1378"/>
      <c r="V1378"/>
      <c r="W1378"/>
      <c r="X1378">
        <v>0</v>
      </c>
      <c r="Y1378"/>
      <c r="Z1378">
        <v>0</v>
      </c>
      <c r="AA1378"/>
      <c r="AB1378"/>
      <c r="AC1378"/>
      <c r="AD1378"/>
      <c r="AE1378">
        <v>0</v>
      </c>
      <c r="AF1378"/>
      <c r="AG1378" t="s">
        <v>3469</v>
      </c>
      <c r="AH1378"/>
    </row>
    <row r="1379" spans="1:34" x14ac:dyDescent="0.25">
      <c r="A1379" t="s">
        <v>1776</v>
      </c>
      <c r="B1379" t="s">
        <v>1777</v>
      </c>
      <c r="C1379"/>
      <c r="D1379" t="s">
        <v>1778</v>
      </c>
      <c r="E1379" t="s">
        <v>1840</v>
      </c>
      <c r="F1379" t="s">
        <v>1845</v>
      </c>
      <c r="G1379" t="s">
        <v>280</v>
      </c>
      <c r="H1379" t="s">
        <v>1846</v>
      </c>
      <c r="I1379" t="s">
        <v>35</v>
      </c>
      <c r="J1379"/>
      <c r="K1379">
        <v>1</v>
      </c>
      <c r="L1379">
        <v>1</v>
      </c>
      <c r="M1379" t="s">
        <v>33</v>
      </c>
      <c r="N1379">
        <v>1</v>
      </c>
      <c r="O1379"/>
      <c r="P1379">
        <v>0</v>
      </c>
      <c r="Q1379" t="s">
        <v>38</v>
      </c>
      <c r="R1379">
        <v>1</v>
      </c>
      <c r="S1379">
        <v>0</v>
      </c>
      <c r="T1379"/>
      <c r="U1379"/>
      <c r="V1379"/>
      <c r="W1379"/>
      <c r="X1379">
        <v>0</v>
      </c>
      <c r="Y1379"/>
      <c r="Z1379">
        <v>0</v>
      </c>
      <c r="AA1379"/>
      <c r="AB1379"/>
      <c r="AC1379"/>
      <c r="AD1379"/>
      <c r="AE1379">
        <v>0</v>
      </c>
      <c r="AF1379"/>
      <c r="AG1379" t="s">
        <v>3469</v>
      </c>
      <c r="AH1379"/>
    </row>
    <row r="1380" spans="1:34" x14ac:dyDescent="0.25">
      <c r="A1380" t="s">
        <v>1776</v>
      </c>
      <c r="B1380" t="s">
        <v>1777</v>
      </c>
      <c r="C1380"/>
      <c r="D1380" t="s">
        <v>1778</v>
      </c>
      <c r="E1380" t="s">
        <v>1840</v>
      </c>
      <c r="F1380" t="s">
        <v>1847</v>
      </c>
      <c r="G1380" t="s">
        <v>280</v>
      </c>
      <c r="H1380" t="s">
        <v>1848</v>
      </c>
      <c r="I1380" t="s">
        <v>35</v>
      </c>
      <c r="J1380"/>
      <c r="K1380">
        <v>1</v>
      </c>
      <c r="L1380">
        <v>1</v>
      </c>
      <c r="M1380" t="s">
        <v>33</v>
      </c>
      <c r="N1380">
        <v>1</v>
      </c>
      <c r="O1380"/>
      <c r="P1380">
        <v>0</v>
      </c>
      <c r="Q1380" t="s">
        <v>38</v>
      </c>
      <c r="R1380">
        <v>1</v>
      </c>
      <c r="S1380">
        <v>0</v>
      </c>
      <c r="T1380"/>
      <c r="U1380"/>
      <c r="V1380"/>
      <c r="W1380"/>
      <c r="X1380">
        <v>0</v>
      </c>
      <c r="Y1380"/>
      <c r="Z1380">
        <v>0</v>
      </c>
      <c r="AA1380"/>
      <c r="AB1380"/>
      <c r="AC1380"/>
      <c r="AD1380"/>
      <c r="AE1380">
        <v>0</v>
      </c>
      <c r="AF1380"/>
      <c r="AG1380" t="s">
        <v>3469</v>
      </c>
      <c r="AH1380"/>
    </row>
    <row r="1381" spans="1:34" x14ac:dyDescent="0.25">
      <c r="A1381" t="s">
        <v>1776</v>
      </c>
      <c r="B1381" t="s">
        <v>1777</v>
      </c>
      <c r="C1381"/>
      <c r="D1381" t="s">
        <v>1778</v>
      </c>
      <c r="E1381" t="s">
        <v>1840</v>
      </c>
      <c r="F1381" t="s">
        <v>1849</v>
      </c>
      <c r="G1381" t="s">
        <v>280</v>
      </c>
      <c r="H1381" t="s">
        <v>1850</v>
      </c>
      <c r="I1381" t="s">
        <v>35</v>
      </c>
      <c r="J1381"/>
      <c r="K1381">
        <v>1</v>
      </c>
      <c r="L1381">
        <v>1</v>
      </c>
      <c r="M1381" t="s">
        <v>33</v>
      </c>
      <c r="N1381">
        <v>1</v>
      </c>
      <c r="O1381"/>
      <c r="P1381">
        <v>0</v>
      </c>
      <c r="Q1381" t="s">
        <v>38</v>
      </c>
      <c r="R1381">
        <v>1</v>
      </c>
      <c r="S1381">
        <v>0</v>
      </c>
      <c r="T1381"/>
      <c r="U1381"/>
      <c r="V1381"/>
      <c r="W1381"/>
      <c r="X1381">
        <v>0</v>
      </c>
      <c r="Y1381"/>
      <c r="Z1381">
        <v>0</v>
      </c>
      <c r="AA1381"/>
      <c r="AB1381"/>
      <c r="AC1381"/>
      <c r="AD1381"/>
      <c r="AE1381">
        <v>0</v>
      </c>
      <c r="AF1381"/>
      <c r="AG1381" t="s">
        <v>3469</v>
      </c>
      <c r="AH1381"/>
    </row>
    <row r="1382" spans="1:34" x14ac:dyDescent="0.25">
      <c r="A1382" t="s">
        <v>1776</v>
      </c>
      <c r="B1382" t="s">
        <v>1777</v>
      </c>
      <c r="C1382"/>
      <c r="D1382" t="s">
        <v>1778</v>
      </c>
      <c r="E1382" t="s">
        <v>1840</v>
      </c>
      <c r="F1382" t="s">
        <v>1851</v>
      </c>
      <c r="G1382" t="s">
        <v>280</v>
      </c>
      <c r="H1382" t="s">
        <v>1852</v>
      </c>
      <c r="I1382" t="s">
        <v>35</v>
      </c>
      <c r="J1382"/>
      <c r="K1382">
        <v>1</v>
      </c>
      <c r="L1382">
        <v>1</v>
      </c>
      <c r="M1382" t="s">
        <v>33</v>
      </c>
      <c r="N1382">
        <v>1</v>
      </c>
      <c r="O1382"/>
      <c r="P1382">
        <v>0</v>
      </c>
      <c r="Q1382" t="s">
        <v>38</v>
      </c>
      <c r="R1382">
        <v>1</v>
      </c>
      <c r="S1382">
        <v>0</v>
      </c>
      <c r="T1382"/>
      <c r="U1382"/>
      <c r="V1382"/>
      <c r="W1382"/>
      <c r="X1382">
        <v>0</v>
      </c>
      <c r="Y1382"/>
      <c r="Z1382">
        <v>0</v>
      </c>
      <c r="AA1382"/>
      <c r="AB1382"/>
      <c r="AC1382"/>
      <c r="AD1382"/>
      <c r="AE1382">
        <v>0</v>
      </c>
      <c r="AF1382"/>
      <c r="AG1382" t="s">
        <v>3469</v>
      </c>
      <c r="AH1382"/>
    </row>
    <row r="1383" spans="1:34" x14ac:dyDescent="0.25">
      <c r="A1383" t="s">
        <v>1776</v>
      </c>
      <c r="B1383" t="s">
        <v>1777</v>
      </c>
      <c r="C1383"/>
      <c r="D1383" t="s">
        <v>1778</v>
      </c>
      <c r="E1383" t="s">
        <v>1840</v>
      </c>
      <c r="F1383" t="s">
        <v>1853</v>
      </c>
      <c r="G1383" t="s">
        <v>280</v>
      </c>
      <c r="H1383" t="s">
        <v>1854</v>
      </c>
      <c r="I1383" t="s">
        <v>35</v>
      </c>
      <c r="J1383"/>
      <c r="K1383">
        <v>1</v>
      </c>
      <c r="L1383">
        <v>1</v>
      </c>
      <c r="M1383" t="s">
        <v>33</v>
      </c>
      <c r="N1383">
        <v>1</v>
      </c>
      <c r="O1383"/>
      <c r="P1383">
        <v>0</v>
      </c>
      <c r="Q1383" t="s">
        <v>38</v>
      </c>
      <c r="R1383">
        <v>1</v>
      </c>
      <c r="S1383">
        <v>0</v>
      </c>
      <c r="T1383"/>
      <c r="U1383"/>
      <c r="V1383"/>
      <c r="W1383"/>
      <c r="X1383">
        <v>0</v>
      </c>
      <c r="Y1383"/>
      <c r="Z1383">
        <v>0</v>
      </c>
      <c r="AA1383"/>
      <c r="AB1383"/>
      <c r="AC1383"/>
      <c r="AD1383"/>
      <c r="AE1383">
        <v>0</v>
      </c>
      <c r="AF1383"/>
      <c r="AG1383" t="s">
        <v>3469</v>
      </c>
      <c r="AH1383"/>
    </row>
    <row r="1384" spans="1:34" x14ac:dyDescent="0.25">
      <c r="A1384" t="s">
        <v>1776</v>
      </c>
      <c r="B1384" t="s">
        <v>1777</v>
      </c>
      <c r="C1384"/>
      <c r="D1384" t="s">
        <v>1778</v>
      </c>
      <c r="E1384" t="s">
        <v>1840</v>
      </c>
      <c r="F1384" t="s">
        <v>1855</v>
      </c>
      <c r="G1384" t="s">
        <v>280</v>
      </c>
      <c r="H1384" t="s">
        <v>1856</v>
      </c>
      <c r="I1384" t="s">
        <v>35</v>
      </c>
      <c r="J1384"/>
      <c r="K1384">
        <v>1</v>
      </c>
      <c r="L1384">
        <v>1</v>
      </c>
      <c r="M1384" t="s">
        <v>33</v>
      </c>
      <c r="N1384">
        <v>1</v>
      </c>
      <c r="O1384"/>
      <c r="P1384">
        <v>0</v>
      </c>
      <c r="Q1384" t="s">
        <v>38</v>
      </c>
      <c r="R1384">
        <v>1</v>
      </c>
      <c r="S1384">
        <v>0</v>
      </c>
      <c r="T1384"/>
      <c r="U1384"/>
      <c r="V1384"/>
      <c r="W1384"/>
      <c r="X1384">
        <v>0</v>
      </c>
      <c r="Y1384"/>
      <c r="Z1384">
        <v>0</v>
      </c>
      <c r="AA1384"/>
      <c r="AB1384"/>
      <c r="AC1384"/>
      <c r="AD1384"/>
      <c r="AE1384">
        <v>0</v>
      </c>
      <c r="AF1384"/>
      <c r="AG1384" t="s">
        <v>3469</v>
      </c>
      <c r="AH1384"/>
    </row>
    <row r="1385" spans="1:34" x14ac:dyDescent="0.25">
      <c r="A1385" t="s">
        <v>1776</v>
      </c>
      <c r="B1385" t="s">
        <v>1777</v>
      </c>
      <c r="C1385"/>
      <c r="D1385" t="s">
        <v>1778</v>
      </c>
      <c r="E1385" t="s">
        <v>1840</v>
      </c>
      <c r="F1385" t="s">
        <v>1857</v>
      </c>
      <c r="G1385" t="s">
        <v>280</v>
      </c>
      <c r="H1385" t="s">
        <v>1858</v>
      </c>
      <c r="I1385" t="s">
        <v>35</v>
      </c>
      <c r="J1385"/>
      <c r="K1385">
        <v>1</v>
      </c>
      <c r="L1385">
        <v>1</v>
      </c>
      <c r="M1385" t="s">
        <v>33</v>
      </c>
      <c r="N1385">
        <v>1</v>
      </c>
      <c r="O1385"/>
      <c r="P1385">
        <v>0</v>
      </c>
      <c r="Q1385" t="s">
        <v>38</v>
      </c>
      <c r="R1385">
        <v>1</v>
      </c>
      <c r="S1385">
        <v>0</v>
      </c>
      <c r="T1385"/>
      <c r="U1385"/>
      <c r="V1385"/>
      <c r="W1385"/>
      <c r="X1385">
        <v>0</v>
      </c>
      <c r="Y1385"/>
      <c r="Z1385">
        <v>0</v>
      </c>
      <c r="AA1385"/>
      <c r="AB1385"/>
      <c r="AC1385"/>
      <c r="AD1385"/>
      <c r="AE1385">
        <v>0</v>
      </c>
      <c r="AF1385"/>
      <c r="AG1385" t="s">
        <v>3469</v>
      </c>
      <c r="AH1385"/>
    </row>
    <row r="1386" spans="1:34" x14ac:dyDescent="0.25">
      <c r="A1386" t="s">
        <v>1776</v>
      </c>
      <c r="B1386" t="s">
        <v>1777</v>
      </c>
      <c r="C1386"/>
      <c r="D1386" t="s">
        <v>1778</v>
      </c>
      <c r="E1386" t="s">
        <v>1840</v>
      </c>
      <c r="F1386" t="s">
        <v>1859</v>
      </c>
      <c r="G1386" t="s">
        <v>280</v>
      </c>
      <c r="H1386" t="s">
        <v>1860</v>
      </c>
      <c r="I1386" t="s">
        <v>35</v>
      </c>
      <c r="J1386"/>
      <c r="K1386">
        <v>1</v>
      </c>
      <c r="L1386">
        <v>1</v>
      </c>
      <c r="M1386" t="s">
        <v>33</v>
      </c>
      <c r="N1386">
        <v>1</v>
      </c>
      <c r="O1386"/>
      <c r="P1386">
        <v>0</v>
      </c>
      <c r="Q1386" t="s">
        <v>38</v>
      </c>
      <c r="R1386">
        <v>1</v>
      </c>
      <c r="S1386">
        <v>0</v>
      </c>
      <c r="T1386"/>
      <c r="U1386"/>
      <c r="V1386"/>
      <c r="W1386"/>
      <c r="X1386">
        <v>0</v>
      </c>
      <c r="Y1386"/>
      <c r="Z1386">
        <v>0</v>
      </c>
      <c r="AA1386"/>
      <c r="AB1386"/>
      <c r="AC1386"/>
      <c r="AD1386"/>
      <c r="AE1386">
        <v>0</v>
      </c>
      <c r="AF1386"/>
      <c r="AG1386" t="s">
        <v>3469</v>
      </c>
      <c r="AH1386"/>
    </row>
    <row r="1387" spans="1:34" x14ac:dyDescent="0.25">
      <c r="A1387" t="s">
        <v>1776</v>
      </c>
      <c r="B1387" t="s">
        <v>1777</v>
      </c>
      <c r="C1387"/>
      <c r="D1387" t="s">
        <v>1778</v>
      </c>
      <c r="E1387" t="s">
        <v>1840</v>
      </c>
      <c r="F1387" t="s">
        <v>1861</v>
      </c>
      <c r="G1387" t="s">
        <v>280</v>
      </c>
      <c r="H1387" t="s">
        <v>1862</v>
      </c>
      <c r="I1387" t="s">
        <v>35</v>
      </c>
      <c r="J1387"/>
      <c r="K1387">
        <v>1</v>
      </c>
      <c r="L1387">
        <v>1</v>
      </c>
      <c r="M1387" t="s">
        <v>33</v>
      </c>
      <c r="N1387">
        <v>1</v>
      </c>
      <c r="O1387"/>
      <c r="P1387">
        <v>0</v>
      </c>
      <c r="Q1387" t="s">
        <v>38</v>
      </c>
      <c r="R1387">
        <v>1</v>
      </c>
      <c r="S1387">
        <v>0</v>
      </c>
      <c r="T1387"/>
      <c r="U1387"/>
      <c r="V1387"/>
      <c r="W1387"/>
      <c r="X1387">
        <v>0</v>
      </c>
      <c r="Y1387"/>
      <c r="Z1387">
        <v>0</v>
      </c>
      <c r="AA1387"/>
      <c r="AB1387"/>
      <c r="AC1387"/>
      <c r="AD1387"/>
      <c r="AE1387">
        <v>0</v>
      </c>
      <c r="AF1387"/>
      <c r="AG1387" t="s">
        <v>3469</v>
      </c>
      <c r="AH1387"/>
    </row>
    <row r="1388" spans="1:34" x14ac:dyDescent="0.25">
      <c r="A1388" t="s">
        <v>1776</v>
      </c>
      <c r="B1388" t="s">
        <v>1777</v>
      </c>
      <c r="C1388"/>
      <c r="D1388" t="s">
        <v>1778</v>
      </c>
      <c r="E1388" t="s">
        <v>1840</v>
      </c>
      <c r="F1388" t="s">
        <v>1863</v>
      </c>
      <c r="G1388" t="s">
        <v>280</v>
      </c>
      <c r="H1388" t="s">
        <v>1864</v>
      </c>
      <c r="I1388" t="s">
        <v>35</v>
      </c>
      <c r="J1388"/>
      <c r="K1388">
        <v>1</v>
      </c>
      <c r="L1388">
        <v>1</v>
      </c>
      <c r="M1388" t="s">
        <v>33</v>
      </c>
      <c r="N1388">
        <v>1</v>
      </c>
      <c r="O1388"/>
      <c r="P1388">
        <v>0</v>
      </c>
      <c r="Q1388" t="s">
        <v>38</v>
      </c>
      <c r="R1388">
        <v>1</v>
      </c>
      <c r="S1388">
        <v>0</v>
      </c>
      <c r="T1388"/>
      <c r="U1388"/>
      <c r="V1388"/>
      <c r="W1388"/>
      <c r="X1388">
        <v>0</v>
      </c>
      <c r="Y1388"/>
      <c r="Z1388">
        <v>0</v>
      </c>
      <c r="AA1388"/>
      <c r="AB1388"/>
      <c r="AC1388"/>
      <c r="AD1388"/>
      <c r="AE1388">
        <v>0</v>
      </c>
      <c r="AF1388"/>
      <c r="AG1388" t="s">
        <v>3469</v>
      </c>
      <c r="AH1388"/>
    </row>
    <row r="1389" spans="1:34" x14ac:dyDescent="0.25">
      <c r="A1389" t="s">
        <v>1776</v>
      </c>
      <c r="B1389" t="s">
        <v>1777</v>
      </c>
      <c r="C1389"/>
      <c r="D1389" t="s">
        <v>1778</v>
      </c>
      <c r="E1389" t="s">
        <v>1840</v>
      </c>
      <c r="F1389" t="s">
        <v>1865</v>
      </c>
      <c r="G1389" t="s">
        <v>280</v>
      </c>
      <c r="H1389" t="s">
        <v>1866</v>
      </c>
      <c r="I1389" t="s">
        <v>35</v>
      </c>
      <c r="J1389"/>
      <c r="K1389">
        <v>1</v>
      </c>
      <c r="L1389">
        <v>1</v>
      </c>
      <c r="M1389" t="s">
        <v>33</v>
      </c>
      <c r="N1389">
        <v>1</v>
      </c>
      <c r="O1389"/>
      <c r="P1389">
        <v>0</v>
      </c>
      <c r="Q1389" t="s">
        <v>38</v>
      </c>
      <c r="R1389">
        <v>1</v>
      </c>
      <c r="S1389">
        <v>0</v>
      </c>
      <c r="T1389"/>
      <c r="U1389"/>
      <c r="V1389"/>
      <c r="W1389"/>
      <c r="X1389">
        <v>0</v>
      </c>
      <c r="Y1389"/>
      <c r="Z1389">
        <v>0</v>
      </c>
      <c r="AA1389"/>
      <c r="AB1389"/>
      <c r="AC1389"/>
      <c r="AD1389"/>
      <c r="AE1389">
        <v>0</v>
      </c>
      <c r="AF1389"/>
      <c r="AG1389" t="s">
        <v>3469</v>
      </c>
      <c r="AH1389"/>
    </row>
    <row r="1390" spans="1:34" x14ac:dyDescent="0.25">
      <c r="A1390" t="s">
        <v>1776</v>
      </c>
      <c r="B1390" t="s">
        <v>1777</v>
      </c>
      <c r="C1390"/>
      <c r="D1390" t="s">
        <v>1778</v>
      </c>
      <c r="E1390" t="s">
        <v>1840</v>
      </c>
      <c r="F1390" t="s">
        <v>1867</v>
      </c>
      <c r="G1390" t="s">
        <v>280</v>
      </c>
      <c r="H1390" t="s">
        <v>1868</v>
      </c>
      <c r="I1390" t="s">
        <v>35</v>
      </c>
      <c r="J1390"/>
      <c r="K1390">
        <v>1</v>
      </c>
      <c r="L1390">
        <v>1</v>
      </c>
      <c r="M1390" t="s">
        <v>33</v>
      </c>
      <c r="N1390">
        <v>1</v>
      </c>
      <c r="O1390"/>
      <c r="P1390">
        <v>0</v>
      </c>
      <c r="Q1390" t="s">
        <v>38</v>
      </c>
      <c r="R1390">
        <v>1</v>
      </c>
      <c r="S1390">
        <v>0</v>
      </c>
      <c r="T1390"/>
      <c r="U1390"/>
      <c r="V1390"/>
      <c r="W1390"/>
      <c r="X1390">
        <v>0</v>
      </c>
      <c r="Y1390"/>
      <c r="Z1390">
        <v>0</v>
      </c>
      <c r="AA1390"/>
      <c r="AB1390"/>
      <c r="AC1390"/>
      <c r="AD1390"/>
      <c r="AE1390">
        <v>0</v>
      </c>
      <c r="AF1390"/>
      <c r="AG1390" t="s">
        <v>3469</v>
      </c>
      <c r="AH1390"/>
    </row>
    <row r="1391" spans="1:34" x14ac:dyDescent="0.25">
      <c r="A1391" t="s">
        <v>1776</v>
      </c>
      <c r="B1391" t="s">
        <v>1777</v>
      </c>
      <c r="C1391"/>
      <c r="D1391" t="s">
        <v>1778</v>
      </c>
      <c r="E1391" t="s">
        <v>1840</v>
      </c>
      <c r="F1391" t="s">
        <v>1869</v>
      </c>
      <c r="G1391" t="s">
        <v>280</v>
      </c>
      <c r="H1391" t="s">
        <v>1870</v>
      </c>
      <c r="I1391" t="s">
        <v>35</v>
      </c>
      <c r="J1391"/>
      <c r="K1391">
        <v>1</v>
      </c>
      <c r="L1391">
        <v>1</v>
      </c>
      <c r="M1391" t="s">
        <v>33</v>
      </c>
      <c r="N1391">
        <v>1</v>
      </c>
      <c r="O1391"/>
      <c r="P1391">
        <v>0</v>
      </c>
      <c r="Q1391" t="s">
        <v>38</v>
      </c>
      <c r="R1391">
        <v>1</v>
      </c>
      <c r="S1391">
        <v>0</v>
      </c>
      <c r="T1391"/>
      <c r="U1391"/>
      <c r="V1391"/>
      <c r="W1391"/>
      <c r="X1391">
        <v>0</v>
      </c>
      <c r="Y1391"/>
      <c r="Z1391">
        <v>0</v>
      </c>
      <c r="AA1391"/>
      <c r="AB1391"/>
      <c r="AC1391"/>
      <c r="AD1391"/>
      <c r="AE1391">
        <v>0</v>
      </c>
      <c r="AF1391"/>
      <c r="AG1391" t="s">
        <v>3469</v>
      </c>
      <c r="AH1391"/>
    </row>
    <row r="1392" spans="1:34" x14ac:dyDescent="0.25">
      <c r="A1392" t="s">
        <v>1776</v>
      </c>
      <c r="B1392" t="s">
        <v>1777</v>
      </c>
      <c r="C1392"/>
      <c r="D1392" t="s">
        <v>1778</v>
      </c>
      <c r="E1392" t="s">
        <v>1840</v>
      </c>
      <c r="F1392" t="s">
        <v>1871</v>
      </c>
      <c r="G1392" t="s">
        <v>280</v>
      </c>
      <c r="H1392" t="s">
        <v>1872</v>
      </c>
      <c r="I1392" t="s">
        <v>35</v>
      </c>
      <c r="J1392"/>
      <c r="K1392">
        <v>1</v>
      </c>
      <c r="L1392">
        <v>1</v>
      </c>
      <c r="M1392" t="s">
        <v>33</v>
      </c>
      <c r="N1392">
        <v>1</v>
      </c>
      <c r="O1392"/>
      <c r="P1392">
        <v>0</v>
      </c>
      <c r="Q1392" t="s">
        <v>38</v>
      </c>
      <c r="R1392">
        <v>1</v>
      </c>
      <c r="S1392">
        <v>0</v>
      </c>
      <c r="T1392"/>
      <c r="U1392"/>
      <c r="V1392"/>
      <c r="W1392"/>
      <c r="X1392">
        <v>0</v>
      </c>
      <c r="Y1392"/>
      <c r="Z1392">
        <v>0</v>
      </c>
      <c r="AA1392"/>
      <c r="AB1392"/>
      <c r="AC1392"/>
      <c r="AD1392"/>
      <c r="AE1392">
        <v>0</v>
      </c>
      <c r="AF1392"/>
      <c r="AG1392" t="s">
        <v>3469</v>
      </c>
      <c r="AH1392"/>
    </row>
    <row r="1393" spans="1:34" x14ac:dyDescent="0.25">
      <c r="A1393" t="s">
        <v>1776</v>
      </c>
      <c r="B1393" t="s">
        <v>1777</v>
      </c>
      <c r="C1393"/>
      <c r="D1393" t="s">
        <v>1778</v>
      </c>
      <c r="E1393" t="s">
        <v>1840</v>
      </c>
      <c r="F1393" t="s">
        <v>1873</v>
      </c>
      <c r="G1393" t="s">
        <v>280</v>
      </c>
      <c r="H1393" t="s">
        <v>1874</v>
      </c>
      <c r="I1393" t="s">
        <v>35</v>
      </c>
      <c r="J1393"/>
      <c r="K1393">
        <v>1</v>
      </c>
      <c r="L1393">
        <v>1</v>
      </c>
      <c r="M1393" t="s">
        <v>33</v>
      </c>
      <c r="N1393">
        <v>1</v>
      </c>
      <c r="O1393"/>
      <c r="P1393">
        <v>0</v>
      </c>
      <c r="Q1393" t="s">
        <v>38</v>
      </c>
      <c r="R1393">
        <v>1</v>
      </c>
      <c r="S1393">
        <v>0</v>
      </c>
      <c r="T1393"/>
      <c r="U1393"/>
      <c r="V1393"/>
      <c r="W1393"/>
      <c r="X1393">
        <v>0</v>
      </c>
      <c r="Y1393"/>
      <c r="Z1393">
        <v>0</v>
      </c>
      <c r="AA1393"/>
      <c r="AB1393"/>
      <c r="AC1393"/>
      <c r="AD1393"/>
      <c r="AE1393">
        <v>0</v>
      </c>
      <c r="AF1393"/>
      <c r="AG1393" t="s">
        <v>3469</v>
      </c>
      <c r="AH1393"/>
    </row>
    <row r="1394" spans="1:34" x14ac:dyDescent="0.25">
      <c r="A1394" t="s">
        <v>1776</v>
      </c>
      <c r="B1394" t="s">
        <v>1777</v>
      </c>
      <c r="C1394"/>
      <c r="D1394" t="s">
        <v>1778</v>
      </c>
      <c r="E1394" t="s">
        <v>1840</v>
      </c>
      <c r="F1394" t="s">
        <v>1875</v>
      </c>
      <c r="G1394" t="s">
        <v>280</v>
      </c>
      <c r="H1394" t="s">
        <v>1876</v>
      </c>
      <c r="I1394" t="s">
        <v>35</v>
      </c>
      <c r="J1394"/>
      <c r="K1394">
        <v>1</v>
      </c>
      <c r="L1394">
        <v>1</v>
      </c>
      <c r="M1394" t="s">
        <v>33</v>
      </c>
      <c r="N1394">
        <v>1</v>
      </c>
      <c r="O1394"/>
      <c r="P1394">
        <v>0</v>
      </c>
      <c r="Q1394" t="s">
        <v>38</v>
      </c>
      <c r="R1394">
        <v>1</v>
      </c>
      <c r="S1394">
        <v>0</v>
      </c>
      <c r="T1394"/>
      <c r="U1394"/>
      <c r="V1394"/>
      <c r="W1394"/>
      <c r="X1394">
        <v>0</v>
      </c>
      <c r="Y1394"/>
      <c r="Z1394">
        <v>0</v>
      </c>
      <c r="AA1394"/>
      <c r="AB1394"/>
      <c r="AC1394"/>
      <c r="AD1394"/>
      <c r="AE1394">
        <v>0</v>
      </c>
      <c r="AF1394"/>
      <c r="AG1394" t="s">
        <v>3469</v>
      </c>
      <c r="AH1394"/>
    </row>
    <row r="1395" spans="1:34" x14ac:dyDescent="0.25">
      <c r="A1395" t="s">
        <v>1776</v>
      </c>
      <c r="B1395" t="s">
        <v>1777</v>
      </c>
      <c r="C1395"/>
      <c r="D1395" t="s">
        <v>1778</v>
      </c>
      <c r="E1395" t="s">
        <v>1877</v>
      </c>
      <c r="F1395" t="s">
        <v>1878</v>
      </c>
      <c r="G1395" t="s">
        <v>280</v>
      </c>
      <c r="H1395" t="s">
        <v>1879</v>
      </c>
      <c r="I1395" t="s">
        <v>35</v>
      </c>
      <c r="J1395"/>
      <c r="K1395">
        <v>1</v>
      </c>
      <c r="L1395">
        <v>1</v>
      </c>
      <c r="M1395" t="s">
        <v>33</v>
      </c>
      <c r="N1395">
        <v>1</v>
      </c>
      <c r="O1395"/>
      <c r="P1395">
        <v>0</v>
      </c>
      <c r="Q1395" t="s">
        <v>38</v>
      </c>
      <c r="R1395">
        <v>1</v>
      </c>
      <c r="S1395">
        <v>0</v>
      </c>
      <c r="T1395"/>
      <c r="U1395"/>
      <c r="V1395"/>
      <c r="W1395"/>
      <c r="X1395">
        <v>0</v>
      </c>
      <c r="Y1395"/>
      <c r="Z1395">
        <v>0</v>
      </c>
      <c r="AA1395"/>
      <c r="AB1395"/>
      <c r="AC1395"/>
      <c r="AD1395"/>
      <c r="AE1395">
        <v>0</v>
      </c>
      <c r="AF1395"/>
      <c r="AG1395" t="s">
        <v>3469</v>
      </c>
      <c r="AH1395"/>
    </row>
    <row r="1396" spans="1:34" x14ac:dyDescent="0.25">
      <c r="A1396" t="s">
        <v>1776</v>
      </c>
      <c r="B1396" t="s">
        <v>1777</v>
      </c>
      <c r="C1396"/>
      <c r="D1396" t="s">
        <v>1778</v>
      </c>
      <c r="E1396" t="s">
        <v>1877</v>
      </c>
      <c r="F1396" t="s">
        <v>1880</v>
      </c>
      <c r="G1396" t="s">
        <v>280</v>
      </c>
      <c r="H1396" t="s">
        <v>1881</v>
      </c>
      <c r="I1396" t="s">
        <v>35</v>
      </c>
      <c r="J1396"/>
      <c r="K1396">
        <v>1</v>
      </c>
      <c r="L1396">
        <v>1</v>
      </c>
      <c r="M1396" t="s">
        <v>33</v>
      </c>
      <c r="N1396">
        <v>1</v>
      </c>
      <c r="O1396"/>
      <c r="P1396">
        <v>0</v>
      </c>
      <c r="Q1396" t="s">
        <v>38</v>
      </c>
      <c r="R1396">
        <v>1</v>
      </c>
      <c r="S1396">
        <v>0</v>
      </c>
      <c r="T1396"/>
      <c r="U1396"/>
      <c r="V1396"/>
      <c r="W1396"/>
      <c r="X1396">
        <v>0</v>
      </c>
      <c r="Y1396"/>
      <c r="Z1396">
        <v>0</v>
      </c>
      <c r="AA1396"/>
      <c r="AB1396"/>
      <c r="AC1396"/>
      <c r="AD1396"/>
      <c r="AE1396">
        <v>0</v>
      </c>
      <c r="AF1396"/>
      <c r="AG1396" t="s">
        <v>3469</v>
      </c>
      <c r="AH1396"/>
    </row>
    <row r="1397" spans="1:34" x14ac:dyDescent="0.25">
      <c r="A1397" t="s">
        <v>1776</v>
      </c>
      <c r="B1397" t="s">
        <v>1777</v>
      </c>
      <c r="C1397"/>
      <c r="D1397" t="s">
        <v>1778</v>
      </c>
      <c r="E1397" t="s">
        <v>1877</v>
      </c>
      <c r="F1397" t="s">
        <v>1882</v>
      </c>
      <c r="G1397" t="s">
        <v>280</v>
      </c>
      <c r="H1397" t="s">
        <v>1883</v>
      </c>
      <c r="I1397" t="s">
        <v>35</v>
      </c>
      <c r="J1397"/>
      <c r="K1397">
        <v>1</v>
      </c>
      <c r="L1397">
        <v>1</v>
      </c>
      <c r="M1397" t="s">
        <v>33</v>
      </c>
      <c r="N1397">
        <v>1</v>
      </c>
      <c r="O1397"/>
      <c r="P1397">
        <v>0</v>
      </c>
      <c r="Q1397" t="s">
        <v>38</v>
      </c>
      <c r="R1397">
        <v>1</v>
      </c>
      <c r="S1397">
        <v>0</v>
      </c>
      <c r="T1397"/>
      <c r="U1397"/>
      <c r="V1397"/>
      <c r="W1397"/>
      <c r="X1397">
        <v>0</v>
      </c>
      <c r="Y1397"/>
      <c r="Z1397">
        <v>0</v>
      </c>
      <c r="AA1397"/>
      <c r="AB1397"/>
      <c r="AC1397"/>
      <c r="AD1397"/>
      <c r="AE1397">
        <v>0</v>
      </c>
      <c r="AF1397"/>
      <c r="AG1397" t="s">
        <v>3469</v>
      </c>
      <c r="AH1397"/>
    </row>
    <row r="1398" spans="1:34" x14ac:dyDescent="0.25">
      <c r="A1398" t="s">
        <v>1776</v>
      </c>
      <c r="B1398" t="s">
        <v>1777</v>
      </c>
      <c r="C1398"/>
      <c r="D1398" t="s">
        <v>1778</v>
      </c>
      <c r="E1398" t="s">
        <v>1877</v>
      </c>
      <c r="F1398" t="s">
        <v>1884</v>
      </c>
      <c r="G1398" t="s">
        <v>280</v>
      </c>
      <c r="H1398" t="s">
        <v>1885</v>
      </c>
      <c r="I1398" t="s">
        <v>35</v>
      </c>
      <c r="J1398"/>
      <c r="K1398">
        <v>1</v>
      </c>
      <c r="L1398">
        <v>1</v>
      </c>
      <c r="M1398" t="s">
        <v>33</v>
      </c>
      <c r="N1398">
        <v>1</v>
      </c>
      <c r="O1398"/>
      <c r="P1398">
        <v>0</v>
      </c>
      <c r="Q1398" t="s">
        <v>38</v>
      </c>
      <c r="R1398">
        <v>1</v>
      </c>
      <c r="S1398">
        <v>0</v>
      </c>
      <c r="T1398"/>
      <c r="U1398"/>
      <c r="V1398"/>
      <c r="W1398"/>
      <c r="X1398">
        <v>0</v>
      </c>
      <c r="Y1398"/>
      <c r="Z1398">
        <v>0</v>
      </c>
      <c r="AA1398"/>
      <c r="AB1398"/>
      <c r="AC1398"/>
      <c r="AD1398"/>
      <c r="AE1398">
        <v>0</v>
      </c>
      <c r="AF1398"/>
      <c r="AG1398" t="s">
        <v>3469</v>
      </c>
      <c r="AH1398"/>
    </row>
    <row r="1399" spans="1:34" x14ac:dyDescent="0.25">
      <c r="A1399" t="s">
        <v>1776</v>
      </c>
      <c r="B1399" t="s">
        <v>1777</v>
      </c>
      <c r="C1399"/>
      <c r="D1399" t="s">
        <v>1778</v>
      </c>
      <c r="E1399" t="s">
        <v>1877</v>
      </c>
      <c r="F1399" t="s">
        <v>1886</v>
      </c>
      <c r="G1399" t="s">
        <v>280</v>
      </c>
      <c r="H1399" t="s">
        <v>1887</v>
      </c>
      <c r="I1399" t="s">
        <v>35</v>
      </c>
      <c r="J1399"/>
      <c r="K1399">
        <v>1</v>
      </c>
      <c r="L1399">
        <v>1</v>
      </c>
      <c r="M1399" t="s">
        <v>33</v>
      </c>
      <c r="N1399">
        <v>1</v>
      </c>
      <c r="O1399"/>
      <c r="P1399">
        <v>0</v>
      </c>
      <c r="Q1399" t="s">
        <v>38</v>
      </c>
      <c r="R1399">
        <v>1</v>
      </c>
      <c r="S1399">
        <v>0</v>
      </c>
      <c r="T1399"/>
      <c r="U1399"/>
      <c r="V1399"/>
      <c r="W1399"/>
      <c r="X1399">
        <v>0</v>
      </c>
      <c r="Y1399"/>
      <c r="Z1399">
        <v>0</v>
      </c>
      <c r="AA1399"/>
      <c r="AB1399"/>
      <c r="AC1399"/>
      <c r="AD1399"/>
      <c r="AE1399">
        <v>0</v>
      </c>
      <c r="AF1399"/>
      <c r="AG1399" t="s">
        <v>3469</v>
      </c>
      <c r="AH1399"/>
    </row>
    <row r="1400" spans="1:34" x14ac:dyDescent="0.25">
      <c r="A1400" t="s">
        <v>1776</v>
      </c>
      <c r="B1400" t="s">
        <v>1777</v>
      </c>
      <c r="C1400"/>
      <c r="D1400" t="s">
        <v>1778</v>
      </c>
      <c r="E1400" t="s">
        <v>1877</v>
      </c>
      <c r="F1400" t="s">
        <v>1888</v>
      </c>
      <c r="G1400" t="s">
        <v>280</v>
      </c>
      <c r="H1400" t="s">
        <v>1889</v>
      </c>
      <c r="I1400" t="s">
        <v>35</v>
      </c>
      <c r="J1400"/>
      <c r="K1400">
        <v>1</v>
      </c>
      <c r="L1400">
        <v>1</v>
      </c>
      <c r="M1400" t="s">
        <v>33</v>
      </c>
      <c r="N1400">
        <v>1</v>
      </c>
      <c r="O1400"/>
      <c r="P1400">
        <v>0</v>
      </c>
      <c r="Q1400" t="s">
        <v>38</v>
      </c>
      <c r="R1400">
        <v>1</v>
      </c>
      <c r="S1400">
        <v>0</v>
      </c>
      <c r="T1400"/>
      <c r="U1400"/>
      <c r="V1400"/>
      <c r="W1400"/>
      <c r="X1400">
        <v>0</v>
      </c>
      <c r="Y1400"/>
      <c r="Z1400">
        <v>0</v>
      </c>
      <c r="AA1400"/>
      <c r="AB1400"/>
      <c r="AC1400"/>
      <c r="AD1400"/>
      <c r="AE1400">
        <v>0</v>
      </c>
      <c r="AF1400"/>
      <c r="AG1400" t="s">
        <v>3469</v>
      </c>
      <c r="AH1400"/>
    </row>
    <row r="1401" spans="1:34" x14ac:dyDescent="0.25">
      <c r="A1401" t="s">
        <v>1776</v>
      </c>
      <c r="B1401" t="s">
        <v>1777</v>
      </c>
      <c r="C1401"/>
      <c r="D1401" t="s">
        <v>1778</v>
      </c>
      <c r="E1401" t="s">
        <v>1877</v>
      </c>
      <c r="F1401" t="s">
        <v>1890</v>
      </c>
      <c r="G1401" t="s">
        <v>280</v>
      </c>
      <c r="H1401" t="s">
        <v>1891</v>
      </c>
      <c r="I1401" t="s">
        <v>35</v>
      </c>
      <c r="J1401"/>
      <c r="K1401">
        <v>1</v>
      </c>
      <c r="L1401">
        <v>1</v>
      </c>
      <c r="M1401" t="s">
        <v>33</v>
      </c>
      <c r="N1401">
        <v>1</v>
      </c>
      <c r="O1401"/>
      <c r="P1401">
        <v>0</v>
      </c>
      <c r="Q1401" t="s">
        <v>38</v>
      </c>
      <c r="R1401">
        <v>1</v>
      </c>
      <c r="S1401">
        <v>0</v>
      </c>
      <c r="T1401"/>
      <c r="U1401"/>
      <c r="V1401"/>
      <c r="W1401"/>
      <c r="X1401">
        <v>0</v>
      </c>
      <c r="Y1401"/>
      <c r="Z1401">
        <v>0</v>
      </c>
      <c r="AA1401"/>
      <c r="AB1401"/>
      <c r="AC1401"/>
      <c r="AD1401"/>
      <c r="AE1401">
        <v>0</v>
      </c>
      <c r="AF1401"/>
      <c r="AG1401" t="s">
        <v>3469</v>
      </c>
      <c r="AH1401"/>
    </row>
    <row r="1402" spans="1:34" x14ac:dyDescent="0.25">
      <c r="A1402" t="s">
        <v>1776</v>
      </c>
      <c r="B1402" t="s">
        <v>1777</v>
      </c>
      <c r="C1402"/>
      <c r="D1402" t="s">
        <v>1778</v>
      </c>
      <c r="E1402" t="s">
        <v>1877</v>
      </c>
      <c r="F1402" t="s">
        <v>1892</v>
      </c>
      <c r="G1402" t="s">
        <v>280</v>
      </c>
      <c r="H1402" t="s">
        <v>1893</v>
      </c>
      <c r="I1402" t="s">
        <v>35</v>
      </c>
      <c r="J1402"/>
      <c r="K1402">
        <v>1</v>
      </c>
      <c r="L1402">
        <v>1</v>
      </c>
      <c r="M1402" t="s">
        <v>33</v>
      </c>
      <c r="N1402">
        <v>1</v>
      </c>
      <c r="O1402"/>
      <c r="P1402">
        <v>0</v>
      </c>
      <c r="Q1402" t="s">
        <v>38</v>
      </c>
      <c r="R1402">
        <v>1</v>
      </c>
      <c r="S1402">
        <v>0</v>
      </c>
      <c r="T1402"/>
      <c r="U1402"/>
      <c r="V1402"/>
      <c r="W1402"/>
      <c r="X1402">
        <v>0</v>
      </c>
      <c r="Y1402"/>
      <c r="Z1402">
        <v>0</v>
      </c>
      <c r="AA1402"/>
      <c r="AB1402"/>
      <c r="AC1402"/>
      <c r="AD1402"/>
      <c r="AE1402">
        <v>0</v>
      </c>
      <c r="AF1402"/>
      <c r="AG1402" t="s">
        <v>3469</v>
      </c>
      <c r="AH1402"/>
    </row>
    <row r="1403" spans="1:34" x14ac:dyDescent="0.25">
      <c r="A1403" t="s">
        <v>1776</v>
      </c>
      <c r="B1403" t="s">
        <v>1777</v>
      </c>
      <c r="C1403"/>
      <c r="D1403" t="s">
        <v>1778</v>
      </c>
      <c r="E1403" t="s">
        <v>1877</v>
      </c>
      <c r="F1403" t="s">
        <v>1894</v>
      </c>
      <c r="G1403" t="s">
        <v>280</v>
      </c>
      <c r="H1403" t="s">
        <v>1895</v>
      </c>
      <c r="I1403" t="s">
        <v>35</v>
      </c>
      <c r="J1403"/>
      <c r="K1403">
        <v>1</v>
      </c>
      <c r="L1403">
        <v>1</v>
      </c>
      <c r="M1403" t="s">
        <v>33</v>
      </c>
      <c r="N1403">
        <v>1</v>
      </c>
      <c r="O1403"/>
      <c r="P1403">
        <v>0</v>
      </c>
      <c r="Q1403" t="s">
        <v>38</v>
      </c>
      <c r="R1403">
        <v>1</v>
      </c>
      <c r="S1403">
        <v>0</v>
      </c>
      <c r="T1403"/>
      <c r="U1403"/>
      <c r="V1403"/>
      <c r="W1403"/>
      <c r="X1403">
        <v>0</v>
      </c>
      <c r="Y1403"/>
      <c r="Z1403">
        <v>0</v>
      </c>
      <c r="AA1403"/>
      <c r="AB1403"/>
      <c r="AC1403"/>
      <c r="AD1403"/>
      <c r="AE1403">
        <v>0</v>
      </c>
      <c r="AF1403"/>
      <c r="AG1403" t="s">
        <v>3469</v>
      </c>
      <c r="AH1403"/>
    </row>
    <row r="1404" spans="1:34" x14ac:dyDescent="0.25">
      <c r="A1404" t="s">
        <v>1776</v>
      </c>
      <c r="B1404" t="s">
        <v>1777</v>
      </c>
      <c r="C1404"/>
      <c r="D1404" t="s">
        <v>1778</v>
      </c>
      <c r="E1404" t="s">
        <v>1877</v>
      </c>
      <c r="F1404" t="s">
        <v>1896</v>
      </c>
      <c r="G1404" t="s">
        <v>280</v>
      </c>
      <c r="H1404" t="s">
        <v>1897</v>
      </c>
      <c r="I1404" t="s">
        <v>35</v>
      </c>
      <c r="J1404"/>
      <c r="K1404">
        <v>1</v>
      </c>
      <c r="L1404">
        <v>1</v>
      </c>
      <c r="M1404" t="s">
        <v>33</v>
      </c>
      <c r="N1404">
        <v>1</v>
      </c>
      <c r="O1404"/>
      <c r="P1404">
        <v>0</v>
      </c>
      <c r="Q1404" t="s">
        <v>38</v>
      </c>
      <c r="R1404">
        <v>1</v>
      </c>
      <c r="S1404">
        <v>0</v>
      </c>
      <c r="T1404"/>
      <c r="U1404"/>
      <c r="V1404"/>
      <c r="W1404"/>
      <c r="X1404">
        <v>0</v>
      </c>
      <c r="Y1404"/>
      <c r="Z1404">
        <v>0</v>
      </c>
      <c r="AA1404"/>
      <c r="AB1404"/>
      <c r="AC1404"/>
      <c r="AD1404"/>
      <c r="AE1404">
        <v>0</v>
      </c>
      <c r="AF1404"/>
      <c r="AG1404" t="s">
        <v>3469</v>
      </c>
      <c r="AH1404"/>
    </row>
    <row r="1405" spans="1:34" x14ac:dyDescent="0.25">
      <c r="A1405" t="s">
        <v>1776</v>
      </c>
      <c r="B1405" t="s">
        <v>1777</v>
      </c>
      <c r="C1405"/>
      <c r="D1405" t="s">
        <v>1778</v>
      </c>
      <c r="E1405" t="s">
        <v>1877</v>
      </c>
      <c r="F1405" t="s">
        <v>1898</v>
      </c>
      <c r="G1405" t="s">
        <v>280</v>
      </c>
      <c r="H1405" t="s">
        <v>1899</v>
      </c>
      <c r="I1405" t="s">
        <v>35</v>
      </c>
      <c r="J1405"/>
      <c r="K1405">
        <v>1</v>
      </c>
      <c r="L1405">
        <v>1</v>
      </c>
      <c r="M1405" t="s">
        <v>33</v>
      </c>
      <c r="N1405">
        <v>1</v>
      </c>
      <c r="O1405"/>
      <c r="P1405">
        <v>0</v>
      </c>
      <c r="Q1405" t="s">
        <v>38</v>
      </c>
      <c r="R1405">
        <v>1</v>
      </c>
      <c r="S1405">
        <v>0</v>
      </c>
      <c r="T1405"/>
      <c r="U1405"/>
      <c r="V1405"/>
      <c r="W1405"/>
      <c r="X1405">
        <v>0</v>
      </c>
      <c r="Y1405"/>
      <c r="Z1405">
        <v>0</v>
      </c>
      <c r="AA1405"/>
      <c r="AB1405"/>
      <c r="AC1405"/>
      <c r="AD1405"/>
      <c r="AE1405">
        <v>0</v>
      </c>
      <c r="AF1405"/>
      <c r="AG1405" t="s">
        <v>3469</v>
      </c>
      <c r="AH1405"/>
    </row>
    <row r="1406" spans="1:34" x14ac:dyDescent="0.25">
      <c r="A1406" t="s">
        <v>1776</v>
      </c>
      <c r="B1406" t="s">
        <v>1777</v>
      </c>
      <c r="C1406"/>
      <c r="D1406" t="s">
        <v>1778</v>
      </c>
      <c r="E1406" t="s">
        <v>1877</v>
      </c>
      <c r="F1406" t="s">
        <v>1900</v>
      </c>
      <c r="G1406" t="s">
        <v>280</v>
      </c>
      <c r="H1406" t="s">
        <v>1901</v>
      </c>
      <c r="I1406" t="s">
        <v>35</v>
      </c>
      <c r="J1406"/>
      <c r="K1406">
        <v>1</v>
      </c>
      <c r="L1406">
        <v>1</v>
      </c>
      <c r="M1406" t="s">
        <v>33</v>
      </c>
      <c r="N1406">
        <v>1</v>
      </c>
      <c r="O1406"/>
      <c r="P1406">
        <v>0</v>
      </c>
      <c r="Q1406" t="s">
        <v>38</v>
      </c>
      <c r="R1406">
        <v>1</v>
      </c>
      <c r="S1406">
        <v>0</v>
      </c>
      <c r="T1406"/>
      <c r="U1406"/>
      <c r="V1406"/>
      <c r="W1406"/>
      <c r="X1406">
        <v>0</v>
      </c>
      <c r="Y1406"/>
      <c r="Z1406">
        <v>0</v>
      </c>
      <c r="AA1406"/>
      <c r="AB1406"/>
      <c r="AC1406"/>
      <c r="AD1406"/>
      <c r="AE1406">
        <v>0</v>
      </c>
      <c r="AF1406"/>
      <c r="AG1406" t="s">
        <v>3469</v>
      </c>
      <c r="AH1406"/>
    </row>
    <row r="1407" spans="1:34" x14ac:dyDescent="0.25">
      <c r="A1407" t="s">
        <v>3440</v>
      </c>
      <c r="B1407" t="s">
        <v>3441</v>
      </c>
      <c r="C1407"/>
      <c r="D1407" t="s">
        <v>1778</v>
      </c>
      <c r="E1407" t="s">
        <v>1902</v>
      </c>
      <c r="F1407" t="s">
        <v>1903</v>
      </c>
      <c r="G1407" t="s">
        <v>280</v>
      </c>
      <c r="H1407" t="s">
        <v>1904</v>
      </c>
      <c r="I1407" t="s">
        <v>35</v>
      </c>
      <c r="J1407"/>
      <c r="K1407">
        <v>1</v>
      </c>
      <c r="L1407">
        <v>1</v>
      </c>
      <c r="M1407" t="s">
        <v>33</v>
      </c>
      <c r="N1407">
        <v>1</v>
      </c>
      <c r="O1407"/>
      <c r="P1407">
        <v>0</v>
      </c>
      <c r="Q1407" t="s">
        <v>38</v>
      </c>
      <c r="R1407">
        <v>1</v>
      </c>
      <c r="S1407">
        <v>0</v>
      </c>
      <c r="T1407"/>
      <c r="U1407"/>
      <c r="V1407"/>
      <c r="W1407"/>
      <c r="X1407">
        <v>0</v>
      </c>
      <c r="Y1407"/>
      <c r="Z1407">
        <v>0</v>
      </c>
      <c r="AA1407"/>
      <c r="AB1407"/>
      <c r="AC1407"/>
      <c r="AD1407"/>
      <c r="AE1407">
        <v>0</v>
      </c>
      <c r="AF1407"/>
      <c r="AG1407"/>
      <c r="AH1407"/>
    </row>
    <row r="1408" spans="1:34" x14ac:dyDescent="0.25">
      <c r="A1408" t="s">
        <v>3442</v>
      </c>
      <c r="B1408" t="s">
        <v>3443</v>
      </c>
      <c r="C1408"/>
      <c r="D1408" t="s">
        <v>1778</v>
      </c>
      <c r="E1408" t="s">
        <v>1902</v>
      </c>
      <c r="F1408" t="s">
        <v>1903</v>
      </c>
      <c r="G1408" t="s">
        <v>280</v>
      </c>
      <c r="H1408" t="s">
        <v>1904</v>
      </c>
      <c r="I1408" t="s">
        <v>35</v>
      </c>
      <c r="J1408"/>
      <c r="K1408">
        <v>1</v>
      </c>
      <c r="L1408">
        <v>1</v>
      </c>
      <c r="M1408" t="s">
        <v>33</v>
      </c>
      <c r="N1408">
        <v>1</v>
      </c>
      <c r="O1408"/>
      <c r="P1408">
        <v>0</v>
      </c>
      <c r="Q1408" t="s">
        <v>38</v>
      </c>
      <c r="R1408">
        <v>1</v>
      </c>
      <c r="S1408">
        <v>0</v>
      </c>
      <c r="T1408"/>
      <c r="U1408"/>
      <c r="V1408"/>
      <c r="W1408"/>
      <c r="X1408">
        <v>0</v>
      </c>
      <c r="Y1408"/>
      <c r="Z1408">
        <v>0</v>
      </c>
      <c r="AA1408"/>
      <c r="AB1408"/>
      <c r="AC1408"/>
      <c r="AD1408"/>
      <c r="AE1408">
        <v>0</v>
      </c>
      <c r="AF1408"/>
      <c r="AG1408"/>
      <c r="AH1408"/>
    </row>
    <row r="1409" spans="1:34" x14ac:dyDescent="0.25">
      <c r="A1409" t="s">
        <v>3440</v>
      </c>
      <c r="B1409" t="s">
        <v>3441</v>
      </c>
      <c r="C1409"/>
      <c r="D1409" t="s">
        <v>1778</v>
      </c>
      <c r="E1409" t="s">
        <v>1902</v>
      </c>
      <c r="F1409" t="s">
        <v>1905</v>
      </c>
      <c r="G1409" t="s">
        <v>280</v>
      </c>
      <c r="H1409" t="s">
        <v>1906</v>
      </c>
      <c r="I1409" t="s">
        <v>35</v>
      </c>
      <c r="J1409"/>
      <c r="K1409">
        <v>1</v>
      </c>
      <c r="L1409">
        <v>1</v>
      </c>
      <c r="M1409" t="s">
        <v>33</v>
      </c>
      <c r="N1409">
        <v>1</v>
      </c>
      <c r="O1409"/>
      <c r="P1409">
        <v>0</v>
      </c>
      <c r="Q1409" t="s">
        <v>38</v>
      </c>
      <c r="R1409">
        <v>1</v>
      </c>
      <c r="S1409">
        <v>0</v>
      </c>
      <c r="T1409"/>
      <c r="U1409"/>
      <c r="V1409"/>
      <c r="W1409"/>
      <c r="X1409">
        <v>0</v>
      </c>
      <c r="Y1409"/>
      <c r="Z1409">
        <v>0</v>
      </c>
      <c r="AA1409"/>
      <c r="AB1409"/>
      <c r="AC1409"/>
      <c r="AD1409"/>
      <c r="AE1409">
        <v>0</v>
      </c>
      <c r="AF1409"/>
      <c r="AG1409"/>
      <c r="AH1409"/>
    </row>
    <row r="1410" spans="1:34" x14ac:dyDescent="0.25">
      <c r="A1410" t="s">
        <v>3442</v>
      </c>
      <c r="B1410" t="s">
        <v>3443</v>
      </c>
      <c r="C1410"/>
      <c r="D1410" t="s">
        <v>1778</v>
      </c>
      <c r="E1410" t="s">
        <v>1902</v>
      </c>
      <c r="F1410" t="s">
        <v>1905</v>
      </c>
      <c r="G1410" t="s">
        <v>280</v>
      </c>
      <c r="H1410" t="s">
        <v>1906</v>
      </c>
      <c r="I1410" t="s">
        <v>35</v>
      </c>
      <c r="J1410"/>
      <c r="K1410">
        <v>1</v>
      </c>
      <c r="L1410">
        <v>1</v>
      </c>
      <c r="M1410" t="s">
        <v>33</v>
      </c>
      <c r="N1410">
        <v>1</v>
      </c>
      <c r="O1410"/>
      <c r="P1410">
        <v>0</v>
      </c>
      <c r="Q1410" t="s">
        <v>38</v>
      </c>
      <c r="R1410">
        <v>1</v>
      </c>
      <c r="S1410">
        <v>0</v>
      </c>
      <c r="T1410"/>
      <c r="U1410"/>
      <c r="V1410"/>
      <c r="W1410"/>
      <c r="X1410">
        <v>0</v>
      </c>
      <c r="Y1410"/>
      <c r="Z1410">
        <v>0</v>
      </c>
      <c r="AA1410"/>
      <c r="AB1410"/>
      <c r="AC1410"/>
      <c r="AD1410"/>
      <c r="AE1410">
        <v>0</v>
      </c>
      <c r="AF1410"/>
      <c r="AG1410"/>
      <c r="AH1410"/>
    </row>
    <row r="1411" spans="1:34" x14ac:dyDescent="0.25">
      <c r="A1411" t="s">
        <v>3440</v>
      </c>
      <c r="B1411" t="s">
        <v>3441</v>
      </c>
      <c r="C1411"/>
      <c r="D1411" t="s">
        <v>1778</v>
      </c>
      <c r="E1411" t="s">
        <v>1902</v>
      </c>
      <c r="F1411" t="s">
        <v>1907</v>
      </c>
      <c r="G1411" t="s">
        <v>280</v>
      </c>
      <c r="H1411" t="s">
        <v>1908</v>
      </c>
      <c r="I1411" t="s">
        <v>35</v>
      </c>
      <c r="J1411"/>
      <c r="K1411">
        <v>1</v>
      </c>
      <c r="L1411">
        <v>1</v>
      </c>
      <c r="M1411" t="s">
        <v>33</v>
      </c>
      <c r="N1411">
        <v>1</v>
      </c>
      <c r="O1411"/>
      <c r="P1411">
        <v>0</v>
      </c>
      <c r="Q1411" t="s">
        <v>38</v>
      </c>
      <c r="R1411">
        <v>1</v>
      </c>
      <c r="S1411">
        <v>0</v>
      </c>
      <c r="T1411"/>
      <c r="U1411"/>
      <c r="V1411"/>
      <c r="W1411"/>
      <c r="X1411">
        <v>0</v>
      </c>
      <c r="Y1411"/>
      <c r="Z1411">
        <v>0</v>
      </c>
      <c r="AA1411"/>
      <c r="AB1411"/>
      <c r="AC1411"/>
      <c r="AD1411"/>
      <c r="AE1411">
        <v>0</v>
      </c>
      <c r="AF1411"/>
      <c r="AG1411"/>
      <c r="AH1411"/>
    </row>
    <row r="1412" spans="1:34" x14ac:dyDescent="0.25">
      <c r="A1412" t="s">
        <v>3442</v>
      </c>
      <c r="B1412" t="s">
        <v>3443</v>
      </c>
      <c r="C1412"/>
      <c r="D1412" t="s">
        <v>1778</v>
      </c>
      <c r="E1412" t="s">
        <v>1902</v>
      </c>
      <c r="F1412" t="s">
        <v>1907</v>
      </c>
      <c r="G1412" t="s">
        <v>280</v>
      </c>
      <c r="H1412" t="s">
        <v>1908</v>
      </c>
      <c r="I1412" t="s">
        <v>35</v>
      </c>
      <c r="J1412"/>
      <c r="K1412">
        <v>1</v>
      </c>
      <c r="L1412">
        <v>1</v>
      </c>
      <c r="M1412" t="s">
        <v>33</v>
      </c>
      <c r="N1412">
        <v>1</v>
      </c>
      <c r="O1412"/>
      <c r="P1412">
        <v>0</v>
      </c>
      <c r="Q1412" t="s">
        <v>38</v>
      </c>
      <c r="R1412">
        <v>1</v>
      </c>
      <c r="S1412">
        <v>0</v>
      </c>
      <c r="T1412"/>
      <c r="U1412"/>
      <c r="V1412"/>
      <c r="W1412"/>
      <c r="X1412">
        <v>0</v>
      </c>
      <c r="Y1412"/>
      <c r="Z1412">
        <v>0</v>
      </c>
      <c r="AA1412"/>
      <c r="AB1412"/>
      <c r="AC1412"/>
      <c r="AD1412"/>
      <c r="AE1412">
        <v>0</v>
      </c>
      <c r="AF1412"/>
      <c r="AG1412"/>
      <c r="AH1412"/>
    </row>
    <row r="1413" spans="1:34" x14ac:dyDescent="0.25">
      <c r="A1413" t="s">
        <v>3440</v>
      </c>
      <c r="B1413" t="s">
        <v>3441</v>
      </c>
      <c r="C1413"/>
      <c r="D1413" t="s">
        <v>1778</v>
      </c>
      <c r="E1413" t="s">
        <v>1902</v>
      </c>
      <c r="F1413" t="s">
        <v>1909</v>
      </c>
      <c r="G1413" t="s">
        <v>280</v>
      </c>
      <c r="H1413" t="s">
        <v>1910</v>
      </c>
      <c r="I1413" t="s">
        <v>35</v>
      </c>
      <c r="J1413"/>
      <c r="K1413">
        <v>1</v>
      </c>
      <c r="L1413">
        <v>1</v>
      </c>
      <c r="M1413" t="s">
        <v>33</v>
      </c>
      <c r="N1413">
        <v>1</v>
      </c>
      <c r="O1413"/>
      <c r="P1413">
        <v>0</v>
      </c>
      <c r="Q1413" t="s">
        <v>38</v>
      </c>
      <c r="R1413">
        <v>1</v>
      </c>
      <c r="S1413">
        <v>0</v>
      </c>
      <c r="T1413"/>
      <c r="U1413"/>
      <c r="V1413"/>
      <c r="W1413"/>
      <c r="X1413">
        <v>0</v>
      </c>
      <c r="Y1413"/>
      <c r="Z1413">
        <v>0</v>
      </c>
      <c r="AA1413"/>
      <c r="AB1413"/>
      <c r="AC1413"/>
      <c r="AD1413"/>
      <c r="AE1413">
        <v>0</v>
      </c>
      <c r="AF1413"/>
      <c r="AG1413"/>
      <c r="AH1413"/>
    </row>
    <row r="1414" spans="1:34" x14ac:dyDescent="0.25">
      <c r="A1414" t="s">
        <v>3442</v>
      </c>
      <c r="B1414" t="s">
        <v>3443</v>
      </c>
      <c r="C1414"/>
      <c r="D1414" t="s">
        <v>1778</v>
      </c>
      <c r="E1414" t="s">
        <v>1902</v>
      </c>
      <c r="F1414" t="s">
        <v>1909</v>
      </c>
      <c r="G1414" t="s">
        <v>280</v>
      </c>
      <c r="H1414" t="s">
        <v>1910</v>
      </c>
      <c r="I1414" t="s">
        <v>35</v>
      </c>
      <c r="J1414"/>
      <c r="K1414">
        <v>1</v>
      </c>
      <c r="L1414">
        <v>1</v>
      </c>
      <c r="M1414" t="s">
        <v>33</v>
      </c>
      <c r="N1414">
        <v>1</v>
      </c>
      <c r="O1414"/>
      <c r="P1414">
        <v>0</v>
      </c>
      <c r="Q1414" t="s">
        <v>38</v>
      </c>
      <c r="R1414">
        <v>1</v>
      </c>
      <c r="S1414">
        <v>0</v>
      </c>
      <c r="T1414"/>
      <c r="U1414"/>
      <c r="V1414"/>
      <c r="W1414"/>
      <c r="X1414">
        <v>0</v>
      </c>
      <c r="Y1414"/>
      <c r="Z1414">
        <v>0</v>
      </c>
      <c r="AA1414"/>
      <c r="AB1414"/>
      <c r="AC1414"/>
      <c r="AD1414"/>
      <c r="AE1414">
        <v>0</v>
      </c>
      <c r="AF1414"/>
      <c r="AG1414"/>
      <c r="AH1414"/>
    </row>
    <row r="1415" spans="1:34" x14ac:dyDescent="0.25">
      <c r="A1415" t="s">
        <v>3440</v>
      </c>
      <c r="B1415" t="s">
        <v>3441</v>
      </c>
      <c r="C1415"/>
      <c r="D1415" t="s">
        <v>1778</v>
      </c>
      <c r="E1415" t="s">
        <v>1902</v>
      </c>
      <c r="F1415" t="s">
        <v>1911</v>
      </c>
      <c r="G1415" t="s">
        <v>280</v>
      </c>
      <c r="H1415" t="s">
        <v>1910</v>
      </c>
      <c r="I1415" t="s">
        <v>35</v>
      </c>
      <c r="J1415"/>
      <c r="K1415">
        <v>1</v>
      </c>
      <c r="L1415">
        <v>1</v>
      </c>
      <c r="M1415" t="s">
        <v>33</v>
      </c>
      <c r="N1415">
        <v>1</v>
      </c>
      <c r="O1415"/>
      <c r="P1415">
        <v>0</v>
      </c>
      <c r="Q1415" t="s">
        <v>38</v>
      </c>
      <c r="R1415">
        <v>1</v>
      </c>
      <c r="S1415">
        <v>0</v>
      </c>
      <c r="T1415"/>
      <c r="U1415"/>
      <c r="V1415"/>
      <c r="W1415"/>
      <c r="X1415">
        <v>0</v>
      </c>
      <c r="Y1415"/>
      <c r="Z1415">
        <v>0</v>
      </c>
      <c r="AA1415"/>
      <c r="AB1415"/>
      <c r="AC1415"/>
      <c r="AD1415"/>
      <c r="AE1415">
        <v>0</v>
      </c>
      <c r="AF1415"/>
      <c r="AG1415"/>
      <c r="AH1415"/>
    </row>
    <row r="1416" spans="1:34" x14ac:dyDescent="0.25">
      <c r="A1416" t="s">
        <v>3442</v>
      </c>
      <c r="B1416" t="s">
        <v>3443</v>
      </c>
      <c r="C1416"/>
      <c r="D1416" t="s">
        <v>1778</v>
      </c>
      <c r="E1416" t="s">
        <v>1902</v>
      </c>
      <c r="F1416" t="s">
        <v>1911</v>
      </c>
      <c r="G1416" t="s">
        <v>280</v>
      </c>
      <c r="H1416" t="s">
        <v>1910</v>
      </c>
      <c r="I1416" t="s">
        <v>35</v>
      </c>
      <c r="J1416"/>
      <c r="K1416">
        <v>1</v>
      </c>
      <c r="L1416">
        <v>1</v>
      </c>
      <c r="M1416" t="s">
        <v>33</v>
      </c>
      <c r="N1416">
        <v>1</v>
      </c>
      <c r="O1416"/>
      <c r="P1416">
        <v>0</v>
      </c>
      <c r="Q1416" t="s">
        <v>38</v>
      </c>
      <c r="R1416">
        <v>1</v>
      </c>
      <c r="S1416">
        <v>0</v>
      </c>
      <c r="T1416"/>
      <c r="U1416"/>
      <c r="V1416"/>
      <c r="W1416"/>
      <c r="X1416">
        <v>0</v>
      </c>
      <c r="Y1416"/>
      <c r="Z1416">
        <v>0</v>
      </c>
      <c r="AA1416"/>
      <c r="AB1416"/>
      <c r="AC1416"/>
      <c r="AD1416"/>
      <c r="AE1416">
        <v>0</v>
      </c>
      <c r="AF1416"/>
      <c r="AG1416"/>
      <c r="AH1416"/>
    </row>
    <row r="1417" spans="1:34" x14ac:dyDescent="0.25">
      <c r="A1417" t="s">
        <v>3440</v>
      </c>
      <c r="B1417" t="s">
        <v>3441</v>
      </c>
      <c r="C1417"/>
      <c r="D1417" t="s">
        <v>1778</v>
      </c>
      <c r="E1417" t="s">
        <v>1902</v>
      </c>
      <c r="F1417" t="s">
        <v>1912</v>
      </c>
      <c r="G1417" t="s">
        <v>280</v>
      </c>
      <c r="H1417" t="s">
        <v>1913</v>
      </c>
      <c r="I1417" t="s">
        <v>35</v>
      </c>
      <c r="J1417"/>
      <c r="K1417">
        <v>1</v>
      </c>
      <c r="L1417">
        <v>1</v>
      </c>
      <c r="M1417" t="s">
        <v>33</v>
      </c>
      <c r="N1417">
        <v>1</v>
      </c>
      <c r="O1417"/>
      <c r="P1417">
        <v>0</v>
      </c>
      <c r="Q1417" t="s">
        <v>38</v>
      </c>
      <c r="R1417">
        <v>1</v>
      </c>
      <c r="S1417">
        <v>0</v>
      </c>
      <c r="T1417"/>
      <c r="U1417"/>
      <c r="V1417"/>
      <c r="W1417"/>
      <c r="X1417">
        <v>0</v>
      </c>
      <c r="Y1417"/>
      <c r="Z1417">
        <v>0</v>
      </c>
      <c r="AA1417"/>
      <c r="AB1417"/>
      <c r="AC1417"/>
      <c r="AD1417"/>
      <c r="AE1417">
        <v>0</v>
      </c>
      <c r="AF1417"/>
      <c r="AG1417"/>
      <c r="AH1417"/>
    </row>
    <row r="1418" spans="1:34" x14ac:dyDescent="0.25">
      <c r="A1418" t="s">
        <v>3442</v>
      </c>
      <c r="B1418" t="s">
        <v>3443</v>
      </c>
      <c r="C1418"/>
      <c r="D1418" t="s">
        <v>1778</v>
      </c>
      <c r="E1418" t="s">
        <v>1902</v>
      </c>
      <c r="F1418" t="s">
        <v>1912</v>
      </c>
      <c r="G1418" t="s">
        <v>280</v>
      </c>
      <c r="H1418" t="s">
        <v>1913</v>
      </c>
      <c r="I1418" t="s">
        <v>35</v>
      </c>
      <c r="J1418"/>
      <c r="K1418">
        <v>1</v>
      </c>
      <c r="L1418">
        <v>1</v>
      </c>
      <c r="M1418" t="s">
        <v>33</v>
      </c>
      <c r="N1418">
        <v>1</v>
      </c>
      <c r="O1418"/>
      <c r="P1418">
        <v>0</v>
      </c>
      <c r="Q1418" t="s">
        <v>38</v>
      </c>
      <c r="R1418">
        <v>1</v>
      </c>
      <c r="S1418">
        <v>0</v>
      </c>
      <c r="T1418"/>
      <c r="U1418"/>
      <c r="V1418"/>
      <c r="W1418"/>
      <c r="X1418">
        <v>0</v>
      </c>
      <c r="Y1418"/>
      <c r="Z1418">
        <v>0</v>
      </c>
      <c r="AA1418"/>
      <c r="AB1418"/>
      <c r="AC1418"/>
      <c r="AD1418"/>
      <c r="AE1418">
        <v>0</v>
      </c>
      <c r="AF1418"/>
      <c r="AG1418"/>
      <c r="AH1418"/>
    </row>
    <row r="1419" spans="1:34" x14ac:dyDescent="0.25">
      <c r="A1419" t="s">
        <v>3440</v>
      </c>
      <c r="B1419" t="s">
        <v>3441</v>
      </c>
      <c r="C1419"/>
      <c r="D1419" t="s">
        <v>1778</v>
      </c>
      <c r="E1419" t="s">
        <v>1902</v>
      </c>
      <c r="F1419" t="s">
        <v>1914</v>
      </c>
      <c r="G1419" t="s">
        <v>280</v>
      </c>
      <c r="H1419" t="s">
        <v>1915</v>
      </c>
      <c r="I1419" t="s">
        <v>35</v>
      </c>
      <c r="J1419"/>
      <c r="K1419">
        <v>1</v>
      </c>
      <c r="L1419">
        <v>1</v>
      </c>
      <c r="M1419" t="s">
        <v>33</v>
      </c>
      <c r="N1419">
        <v>1</v>
      </c>
      <c r="O1419"/>
      <c r="P1419">
        <v>0</v>
      </c>
      <c r="Q1419" t="s">
        <v>38</v>
      </c>
      <c r="R1419">
        <v>1</v>
      </c>
      <c r="S1419">
        <v>0</v>
      </c>
      <c r="T1419"/>
      <c r="U1419"/>
      <c r="V1419"/>
      <c r="W1419"/>
      <c r="X1419">
        <v>0</v>
      </c>
      <c r="Y1419"/>
      <c r="Z1419">
        <v>0</v>
      </c>
      <c r="AA1419"/>
      <c r="AB1419"/>
      <c r="AC1419"/>
      <c r="AD1419"/>
      <c r="AE1419">
        <v>0</v>
      </c>
      <c r="AF1419"/>
      <c r="AG1419"/>
      <c r="AH1419"/>
    </row>
    <row r="1420" spans="1:34" x14ac:dyDescent="0.25">
      <c r="A1420" t="s">
        <v>3442</v>
      </c>
      <c r="B1420" t="s">
        <v>3443</v>
      </c>
      <c r="C1420"/>
      <c r="D1420" t="s">
        <v>1778</v>
      </c>
      <c r="E1420" t="s">
        <v>1902</v>
      </c>
      <c r="F1420" t="s">
        <v>1914</v>
      </c>
      <c r="G1420" t="s">
        <v>280</v>
      </c>
      <c r="H1420" t="s">
        <v>1915</v>
      </c>
      <c r="I1420" t="s">
        <v>35</v>
      </c>
      <c r="J1420"/>
      <c r="K1420">
        <v>1</v>
      </c>
      <c r="L1420">
        <v>1</v>
      </c>
      <c r="M1420" t="s">
        <v>33</v>
      </c>
      <c r="N1420">
        <v>1</v>
      </c>
      <c r="O1420"/>
      <c r="P1420">
        <v>0</v>
      </c>
      <c r="Q1420" t="s">
        <v>38</v>
      </c>
      <c r="R1420">
        <v>1</v>
      </c>
      <c r="S1420">
        <v>0</v>
      </c>
      <c r="T1420"/>
      <c r="U1420"/>
      <c r="V1420"/>
      <c r="W1420"/>
      <c r="X1420">
        <v>0</v>
      </c>
      <c r="Y1420"/>
      <c r="Z1420">
        <v>0</v>
      </c>
      <c r="AA1420"/>
      <c r="AB1420"/>
      <c r="AC1420"/>
      <c r="AD1420"/>
      <c r="AE1420">
        <v>0</v>
      </c>
      <c r="AF1420"/>
      <c r="AG1420"/>
      <c r="AH1420"/>
    </row>
    <row r="1421" spans="1:34" x14ac:dyDescent="0.25">
      <c r="A1421" t="s">
        <v>3406</v>
      </c>
      <c r="B1421" t="s">
        <v>3407</v>
      </c>
      <c r="C1421"/>
      <c r="D1421" t="s">
        <v>1778</v>
      </c>
      <c r="E1421" t="s">
        <v>1916</v>
      </c>
      <c r="F1421" t="s">
        <v>1917</v>
      </c>
      <c r="G1421" t="s">
        <v>280</v>
      </c>
      <c r="H1421" t="s">
        <v>1918</v>
      </c>
      <c r="I1421" t="s">
        <v>35</v>
      </c>
      <c r="J1421"/>
      <c r="K1421">
        <v>1</v>
      </c>
      <c r="L1421">
        <v>1</v>
      </c>
      <c r="M1421" t="s">
        <v>33</v>
      </c>
      <c r="N1421">
        <v>1</v>
      </c>
      <c r="O1421"/>
      <c r="P1421">
        <v>0</v>
      </c>
      <c r="Q1421" t="s">
        <v>38</v>
      </c>
      <c r="R1421">
        <v>1</v>
      </c>
      <c r="S1421">
        <v>0</v>
      </c>
      <c r="T1421"/>
      <c r="U1421"/>
      <c r="V1421"/>
      <c r="W1421"/>
      <c r="X1421">
        <v>0</v>
      </c>
      <c r="Y1421"/>
      <c r="Z1421">
        <v>0</v>
      </c>
      <c r="AA1421"/>
      <c r="AB1421"/>
      <c r="AC1421"/>
      <c r="AD1421"/>
      <c r="AE1421">
        <v>0</v>
      </c>
      <c r="AF1421"/>
      <c r="AG1421"/>
      <c r="AH1421"/>
    </row>
    <row r="1422" spans="1:34" x14ac:dyDescent="0.25">
      <c r="A1422" t="s">
        <v>3440</v>
      </c>
      <c r="B1422" t="s">
        <v>3441</v>
      </c>
      <c r="C1422"/>
      <c r="D1422" t="s">
        <v>1778</v>
      </c>
      <c r="E1422" t="s">
        <v>1916</v>
      </c>
      <c r="F1422" t="s">
        <v>1917</v>
      </c>
      <c r="G1422" t="s">
        <v>280</v>
      </c>
      <c r="H1422" t="s">
        <v>1918</v>
      </c>
      <c r="I1422" t="s">
        <v>35</v>
      </c>
      <c r="J1422"/>
      <c r="K1422">
        <v>1</v>
      </c>
      <c r="L1422">
        <v>1</v>
      </c>
      <c r="M1422" t="s">
        <v>33</v>
      </c>
      <c r="N1422">
        <v>1</v>
      </c>
      <c r="O1422"/>
      <c r="P1422">
        <v>0</v>
      </c>
      <c r="Q1422" t="s">
        <v>38</v>
      </c>
      <c r="R1422">
        <v>1</v>
      </c>
      <c r="S1422">
        <v>0</v>
      </c>
      <c r="T1422"/>
      <c r="U1422"/>
      <c r="V1422"/>
      <c r="W1422"/>
      <c r="X1422">
        <v>0</v>
      </c>
      <c r="Y1422"/>
      <c r="Z1422">
        <v>0</v>
      </c>
      <c r="AA1422"/>
      <c r="AB1422"/>
      <c r="AC1422"/>
      <c r="AD1422"/>
      <c r="AE1422">
        <v>0</v>
      </c>
      <c r="AF1422"/>
      <c r="AG1422"/>
      <c r="AH1422"/>
    </row>
    <row r="1423" spans="1:34" x14ac:dyDescent="0.25">
      <c r="A1423" t="s">
        <v>3440</v>
      </c>
      <c r="B1423" t="s">
        <v>3441</v>
      </c>
      <c r="C1423"/>
      <c r="D1423" t="s">
        <v>1778</v>
      </c>
      <c r="E1423" t="s">
        <v>1916</v>
      </c>
      <c r="F1423" t="s">
        <v>1917</v>
      </c>
      <c r="G1423" t="s">
        <v>280</v>
      </c>
      <c r="H1423" t="s">
        <v>1918</v>
      </c>
      <c r="I1423" t="s">
        <v>35</v>
      </c>
      <c r="J1423"/>
      <c r="K1423">
        <v>1</v>
      </c>
      <c r="L1423">
        <v>1</v>
      </c>
      <c r="M1423" t="s">
        <v>33</v>
      </c>
      <c r="N1423">
        <v>1</v>
      </c>
      <c r="O1423"/>
      <c r="P1423">
        <v>0</v>
      </c>
      <c r="Q1423" t="s">
        <v>38</v>
      </c>
      <c r="R1423">
        <v>1</v>
      </c>
      <c r="S1423">
        <v>0</v>
      </c>
      <c r="T1423"/>
      <c r="U1423"/>
      <c r="V1423"/>
      <c r="W1423"/>
      <c r="X1423">
        <v>0</v>
      </c>
      <c r="Y1423"/>
      <c r="Z1423">
        <v>0</v>
      </c>
      <c r="AA1423"/>
      <c r="AB1423"/>
      <c r="AC1423"/>
      <c r="AD1423"/>
      <c r="AE1423">
        <v>0</v>
      </c>
      <c r="AF1423"/>
      <c r="AG1423"/>
      <c r="AH1423"/>
    </row>
    <row r="1424" spans="1:34" x14ac:dyDescent="0.25">
      <c r="A1424" t="s">
        <v>3442</v>
      </c>
      <c r="B1424" t="s">
        <v>3443</v>
      </c>
      <c r="C1424"/>
      <c r="D1424" t="s">
        <v>1778</v>
      </c>
      <c r="E1424" t="s">
        <v>1916</v>
      </c>
      <c r="F1424" t="s">
        <v>1917</v>
      </c>
      <c r="G1424" t="s">
        <v>280</v>
      </c>
      <c r="H1424" t="s">
        <v>1918</v>
      </c>
      <c r="I1424" t="s">
        <v>35</v>
      </c>
      <c r="J1424"/>
      <c r="K1424">
        <v>1</v>
      </c>
      <c r="L1424">
        <v>1</v>
      </c>
      <c r="M1424" t="s">
        <v>33</v>
      </c>
      <c r="N1424">
        <v>1</v>
      </c>
      <c r="O1424"/>
      <c r="P1424">
        <v>0</v>
      </c>
      <c r="Q1424" t="s">
        <v>38</v>
      </c>
      <c r="R1424">
        <v>1</v>
      </c>
      <c r="S1424">
        <v>0</v>
      </c>
      <c r="T1424"/>
      <c r="U1424"/>
      <c r="V1424"/>
      <c r="W1424"/>
      <c r="X1424">
        <v>0</v>
      </c>
      <c r="Y1424"/>
      <c r="Z1424">
        <v>0</v>
      </c>
      <c r="AA1424"/>
      <c r="AB1424"/>
      <c r="AC1424"/>
      <c r="AD1424"/>
      <c r="AE1424">
        <v>0</v>
      </c>
      <c r="AF1424"/>
      <c r="AG1424"/>
      <c r="AH1424"/>
    </row>
    <row r="1425" spans="1:34" x14ac:dyDescent="0.25">
      <c r="A1425" t="s">
        <v>3406</v>
      </c>
      <c r="B1425" t="s">
        <v>3407</v>
      </c>
      <c r="C1425"/>
      <c r="D1425" t="s">
        <v>1778</v>
      </c>
      <c r="E1425" t="s">
        <v>1916</v>
      </c>
      <c r="F1425" t="s">
        <v>1919</v>
      </c>
      <c r="G1425" t="s">
        <v>280</v>
      </c>
      <c r="H1425" t="s">
        <v>1920</v>
      </c>
      <c r="I1425" t="s">
        <v>35</v>
      </c>
      <c r="J1425"/>
      <c r="K1425">
        <v>1</v>
      </c>
      <c r="L1425">
        <v>1</v>
      </c>
      <c r="M1425" t="s">
        <v>33</v>
      </c>
      <c r="N1425">
        <v>1</v>
      </c>
      <c r="O1425"/>
      <c r="P1425">
        <v>0</v>
      </c>
      <c r="Q1425" t="s">
        <v>38</v>
      </c>
      <c r="R1425">
        <v>1</v>
      </c>
      <c r="S1425">
        <v>0</v>
      </c>
      <c r="T1425"/>
      <c r="U1425"/>
      <c r="V1425"/>
      <c r="W1425"/>
      <c r="X1425">
        <v>0</v>
      </c>
      <c r="Y1425"/>
      <c r="Z1425">
        <v>0</v>
      </c>
      <c r="AA1425"/>
      <c r="AB1425"/>
      <c r="AC1425"/>
      <c r="AD1425"/>
      <c r="AE1425">
        <v>0</v>
      </c>
      <c r="AF1425"/>
      <c r="AG1425"/>
      <c r="AH1425"/>
    </row>
    <row r="1426" spans="1:34" x14ac:dyDescent="0.25">
      <c r="A1426" t="s">
        <v>3408</v>
      </c>
      <c r="B1426" t="s">
        <v>3409</v>
      </c>
      <c r="C1426"/>
      <c r="D1426" t="s">
        <v>1778</v>
      </c>
      <c r="E1426" t="s">
        <v>1916</v>
      </c>
      <c r="F1426" t="s">
        <v>1919</v>
      </c>
      <c r="G1426" t="s">
        <v>280</v>
      </c>
      <c r="H1426" t="s">
        <v>1920</v>
      </c>
      <c r="I1426" t="s">
        <v>35</v>
      </c>
      <c r="J1426"/>
      <c r="K1426">
        <v>1</v>
      </c>
      <c r="L1426">
        <v>1</v>
      </c>
      <c r="M1426" t="s">
        <v>33</v>
      </c>
      <c r="N1426">
        <v>1</v>
      </c>
      <c r="O1426"/>
      <c r="P1426">
        <v>0</v>
      </c>
      <c r="Q1426" t="s">
        <v>38</v>
      </c>
      <c r="R1426">
        <v>1</v>
      </c>
      <c r="S1426">
        <v>0</v>
      </c>
      <c r="T1426"/>
      <c r="U1426"/>
      <c r="V1426"/>
      <c r="W1426"/>
      <c r="X1426">
        <v>0</v>
      </c>
      <c r="Y1426"/>
      <c r="Z1426">
        <v>0</v>
      </c>
      <c r="AA1426"/>
      <c r="AB1426"/>
      <c r="AC1426"/>
      <c r="AD1426"/>
      <c r="AE1426">
        <v>0</v>
      </c>
      <c r="AF1426"/>
      <c r="AG1426"/>
      <c r="AH1426"/>
    </row>
    <row r="1427" spans="1:34" x14ac:dyDescent="0.25">
      <c r="A1427" t="s">
        <v>3440</v>
      </c>
      <c r="B1427" t="s">
        <v>3441</v>
      </c>
      <c r="C1427"/>
      <c r="D1427" t="s">
        <v>1778</v>
      </c>
      <c r="E1427" t="s">
        <v>1916</v>
      </c>
      <c r="F1427" t="s">
        <v>1919</v>
      </c>
      <c r="G1427" t="s">
        <v>280</v>
      </c>
      <c r="H1427" t="s">
        <v>1920</v>
      </c>
      <c r="I1427" t="s">
        <v>35</v>
      </c>
      <c r="J1427"/>
      <c r="K1427">
        <v>1</v>
      </c>
      <c r="L1427">
        <v>1</v>
      </c>
      <c r="M1427" t="s">
        <v>33</v>
      </c>
      <c r="N1427">
        <v>1</v>
      </c>
      <c r="O1427"/>
      <c r="P1427">
        <v>0</v>
      </c>
      <c r="Q1427" t="s">
        <v>38</v>
      </c>
      <c r="R1427">
        <v>1</v>
      </c>
      <c r="S1427">
        <v>0</v>
      </c>
      <c r="T1427"/>
      <c r="U1427"/>
      <c r="V1427"/>
      <c r="W1427"/>
      <c r="X1427">
        <v>0</v>
      </c>
      <c r="Y1427"/>
      <c r="Z1427">
        <v>0</v>
      </c>
      <c r="AA1427"/>
      <c r="AB1427"/>
      <c r="AC1427"/>
      <c r="AD1427"/>
      <c r="AE1427">
        <v>0</v>
      </c>
      <c r="AF1427"/>
      <c r="AG1427"/>
      <c r="AH1427"/>
    </row>
    <row r="1428" spans="1:34" x14ac:dyDescent="0.25">
      <c r="A1428" t="s">
        <v>3442</v>
      </c>
      <c r="B1428" t="s">
        <v>3443</v>
      </c>
      <c r="C1428"/>
      <c r="D1428" t="s">
        <v>1778</v>
      </c>
      <c r="E1428" t="s">
        <v>1916</v>
      </c>
      <c r="F1428" t="s">
        <v>1919</v>
      </c>
      <c r="G1428" t="s">
        <v>280</v>
      </c>
      <c r="H1428" t="s">
        <v>1920</v>
      </c>
      <c r="I1428" t="s">
        <v>35</v>
      </c>
      <c r="J1428"/>
      <c r="K1428">
        <v>1</v>
      </c>
      <c r="L1428">
        <v>1</v>
      </c>
      <c r="M1428" t="s">
        <v>33</v>
      </c>
      <c r="N1428">
        <v>1</v>
      </c>
      <c r="O1428"/>
      <c r="P1428">
        <v>0</v>
      </c>
      <c r="Q1428" t="s">
        <v>38</v>
      </c>
      <c r="R1428">
        <v>1</v>
      </c>
      <c r="S1428">
        <v>0</v>
      </c>
      <c r="T1428"/>
      <c r="U1428"/>
      <c r="V1428"/>
      <c r="W1428"/>
      <c r="X1428">
        <v>0</v>
      </c>
      <c r="Y1428"/>
      <c r="Z1428">
        <v>0</v>
      </c>
      <c r="AA1428"/>
      <c r="AB1428"/>
      <c r="AC1428"/>
      <c r="AD1428"/>
      <c r="AE1428">
        <v>0</v>
      </c>
      <c r="AF1428"/>
      <c r="AG1428"/>
      <c r="AH1428"/>
    </row>
    <row r="1429" spans="1:34" x14ac:dyDescent="0.25">
      <c r="A1429" t="s">
        <v>3406</v>
      </c>
      <c r="B1429" t="s">
        <v>3407</v>
      </c>
      <c r="C1429"/>
      <c r="D1429" t="s">
        <v>1778</v>
      </c>
      <c r="E1429" t="s">
        <v>1916</v>
      </c>
      <c r="F1429" t="s">
        <v>1921</v>
      </c>
      <c r="G1429" t="s">
        <v>280</v>
      </c>
      <c r="H1429" t="s">
        <v>1922</v>
      </c>
      <c r="I1429" t="s">
        <v>35</v>
      </c>
      <c r="J1429"/>
      <c r="K1429">
        <v>1</v>
      </c>
      <c r="L1429">
        <v>1</v>
      </c>
      <c r="M1429" t="s">
        <v>33</v>
      </c>
      <c r="N1429">
        <v>1</v>
      </c>
      <c r="O1429"/>
      <c r="P1429">
        <v>0</v>
      </c>
      <c r="Q1429" t="s">
        <v>38</v>
      </c>
      <c r="R1429">
        <v>1</v>
      </c>
      <c r="S1429">
        <v>0</v>
      </c>
      <c r="T1429"/>
      <c r="U1429"/>
      <c r="V1429"/>
      <c r="W1429"/>
      <c r="X1429">
        <v>0</v>
      </c>
      <c r="Y1429"/>
      <c r="Z1429">
        <v>0</v>
      </c>
      <c r="AA1429"/>
      <c r="AB1429"/>
      <c r="AC1429"/>
      <c r="AD1429"/>
      <c r="AE1429">
        <v>0</v>
      </c>
      <c r="AF1429"/>
      <c r="AG1429"/>
      <c r="AH1429"/>
    </row>
    <row r="1430" spans="1:34" x14ac:dyDescent="0.25">
      <c r="A1430" t="s">
        <v>3408</v>
      </c>
      <c r="B1430" t="s">
        <v>3409</v>
      </c>
      <c r="C1430"/>
      <c r="D1430" t="s">
        <v>1778</v>
      </c>
      <c r="E1430" t="s">
        <v>1916</v>
      </c>
      <c r="F1430" t="s">
        <v>1921</v>
      </c>
      <c r="G1430" t="s">
        <v>280</v>
      </c>
      <c r="H1430" t="s">
        <v>1922</v>
      </c>
      <c r="I1430" t="s">
        <v>35</v>
      </c>
      <c r="J1430"/>
      <c r="K1430">
        <v>1</v>
      </c>
      <c r="L1430">
        <v>1</v>
      </c>
      <c r="M1430" t="s">
        <v>33</v>
      </c>
      <c r="N1430">
        <v>1</v>
      </c>
      <c r="O1430"/>
      <c r="P1430">
        <v>0</v>
      </c>
      <c r="Q1430" t="s">
        <v>38</v>
      </c>
      <c r="R1430">
        <v>1</v>
      </c>
      <c r="S1430">
        <v>0</v>
      </c>
      <c r="T1430"/>
      <c r="U1430"/>
      <c r="V1430"/>
      <c r="W1430"/>
      <c r="X1430">
        <v>0</v>
      </c>
      <c r="Y1430"/>
      <c r="Z1430">
        <v>0</v>
      </c>
      <c r="AA1430"/>
      <c r="AB1430"/>
      <c r="AC1430"/>
      <c r="AD1430"/>
      <c r="AE1430">
        <v>0</v>
      </c>
      <c r="AF1430"/>
      <c r="AG1430"/>
      <c r="AH1430"/>
    </row>
    <row r="1431" spans="1:34" x14ac:dyDescent="0.25">
      <c r="A1431" t="s">
        <v>3440</v>
      </c>
      <c r="B1431" t="s">
        <v>3441</v>
      </c>
      <c r="C1431"/>
      <c r="D1431" t="s">
        <v>1778</v>
      </c>
      <c r="E1431" t="s">
        <v>1916</v>
      </c>
      <c r="F1431" t="s">
        <v>1921</v>
      </c>
      <c r="G1431" t="s">
        <v>280</v>
      </c>
      <c r="H1431" t="s">
        <v>1922</v>
      </c>
      <c r="I1431" t="s">
        <v>35</v>
      </c>
      <c r="J1431"/>
      <c r="K1431">
        <v>1</v>
      </c>
      <c r="L1431">
        <v>1</v>
      </c>
      <c r="M1431" t="s">
        <v>33</v>
      </c>
      <c r="N1431">
        <v>1</v>
      </c>
      <c r="O1431"/>
      <c r="P1431">
        <v>0</v>
      </c>
      <c r="Q1431" t="s">
        <v>38</v>
      </c>
      <c r="R1431">
        <v>1</v>
      </c>
      <c r="S1431">
        <v>0</v>
      </c>
      <c r="T1431"/>
      <c r="U1431"/>
      <c r="V1431"/>
      <c r="W1431"/>
      <c r="X1431">
        <v>0</v>
      </c>
      <c r="Y1431"/>
      <c r="Z1431">
        <v>0</v>
      </c>
      <c r="AA1431"/>
      <c r="AB1431"/>
      <c r="AC1431"/>
      <c r="AD1431"/>
      <c r="AE1431">
        <v>0</v>
      </c>
      <c r="AF1431"/>
      <c r="AG1431"/>
      <c r="AH1431"/>
    </row>
    <row r="1432" spans="1:34" x14ac:dyDescent="0.25">
      <c r="A1432" t="s">
        <v>3442</v>
      </c>
      <c r="B1432" t="s">
        <v>3443</v>
      </c>
      <c r="C1432"/>
      <c r="D1432" t="s">
        <v>1778</v>
      </c>
      <c r="E1432" t="s">
        <v>1916</v>
      </c>
      <c r="F1432" t="s">
        <v>1921</v>
      </c>
      <c r="G1432" t="s">
        <v>280</v>
      </c>
      <c r="H1432" t="s">
        <v>1922</v>
      </c>
      <c r="I1432" t="s">
        <v>35</v>
      </c>
      <c r="J1432"/>
      <c r="K1432">
        <v>1</v>
      </c>
      <c r="L1432">
        <v>1</v>
      </c>
      <c r="M1432" t="s">
        <v>33</v>
      </c>
      <c r="N1432">
        <v>1</v>
      </c>
      <c r="O1432"/>
      <c r="P1432">
        <v>0</v>
      </c>
      <c r="Q1432" t="s">
        <v>38</v>
      </c>
      <c r="R1432">
        <v>1</v>
      </c>
      <c r="S1432">
        <v>0</v>
      </c>
      <c r="T1432"/>
      <c r="U1432"/>
      <c r="V1432"/>
      <c r="W1432"/>
      <c r="X1432">
        <v>0</v>
      </c>
      <c r="Y1432"/>
      <c r="Z1432">
        <v>0</v>
      </c>
      <c r="AA1432"/>
      <c r="AB1432"/>
      <c r="AC1432"/>
      <c r="AD1432"/>
      <c r="AE1432">
        <v>0</v>
      </c>
      <c r="AF1432"/>
      <c r="AG1432"/>
      <c r="AH1432"/>
    </row>
    <row r="1433" spans="1:34" x14ac:dyDescent="0.25">
      <c r="A1433" t="s">
        <v>3406</v>
      </c>
      <c r="B1433" t="s">
        <v>3407</v>
      </c>
      <c r="C1433"/>
      <c r="D1433" t="s">
        <v>1778</v>
      </c>
      <c r="E1433" t="s">
        <v>1916</v>
      </c>
      <c r="F1433" t="s">
        <v>1923</v>
      </c>
      <c r="G1433" t="s">
        <v>280</v>
      </c>
      <c r="H1433" t="s">
        <v>1922</v>
      </c>
      <c r="I1433" t="s">
        <v>35</v>
      </c>
      <c r="J1433"/>
      <c r="K1433">
        <v>1</v>
      </c>
      <c r="L1433">
        <v>1</v>
      </c>
      <c r="M1433" t="s">
        <v>33</v>
      </c>
      <c r="N1433">
        <v>1</v>
      </c>
      <c r="O1433"/>
      <c r="P1433">
        <v>0</v>
      </c>
      <c r="Q1433" t="s">
        <v>38</v>
      </c>
      <c r="R1433">
        <v>1</v>
      </c>
      <c r="S1433">
        <v>0</v>
      </c>
      <c r="T1433"/>
      <c r="U1433"/>
      <c r="V1433"/>
      <c r="W1433"/>
      <c r="X1433">
        <v>0</v>
      </c>
      <c r="Y1433"/>
      <c r="Z1433">
        <v>0</v>
      </c>
      <c r="AA1433"/>
      <c r="AB1433"/>
      <c r="AC1433"/>
      <c r="AD1433"/>
      <c r="AE1433">
        <v>0</v>
      </c>
      <c r="AF1433"/>
      <c r="AG1433"/>
      <c r="AH1433"/>
    </row>
    <row r="1434" spans="1:34" x14ac:dyDescent="0.25">
      <c r="A1434" t="s">
        <v>3408</v>
      </c>
      <c r="B1434" t="s">
        <v>3409</v>
      </c>
      <c r="C1434"/>
      <c r="D1434" t="s">
        <v>1778</v>
      </c>
      <c r="E1434" t="s">
        <v>1916</v>
      </c>
      <c r="F1434" t="s">
        <v>1923</v>
      </c>
      <c r="G1434" t="s">
        <v>280</v>
      </c>
      <c r="H1434" t="s">
        <v>1922</v>
      </c>
      <c r="I1434" t="s">
        <v>35</v>
      </c>
      <c r="J1434"/>
      <c r="K1434">
        <v>1</v>
      </c>
      <c r="L1434">
        <v>1</v>
      </c>
      <c r="M1434" t="s">
        <v>33</v>
      </c>
      <c r="N1434">
        <v>1</v>
      </c>
      <c r="O1434"/>
      <c r="P1434">
        <v>0</v>
      </c>
      <c r="Q1434" t="s">
        <v>38</v>
      </c>
      <c r="R1434">
        <v>1</v>
      </c>
      <c r="S1434">
        <v>0</v>
      </c>
      <c r="T1434"/>
      <c r="U1434"/>
      <c r="V1434"/>
      <c r="W1434"/>
      <c r="X1434">
        <v>0</v>
      </c>
      <c r="Y1434"/>
      <c r="Z1434">
        <v>0</v>
      </c>
      <c r="AA1434"/>
      <c r="AB1434"/>
      <c r="AC1434"/>
      <c r="AD1434"/>
      <c r="AE1434">
        <v>0</v>
      </c>
      <c r="AF1434"/>
      <c r="AG1434"/>
      <c r="AH1434"/>
    </row>
    <row r="1435" spans="1:34" x14ac:dyDescent="0.25">
      <c r="A1435" t="s">
        <v>3440</v>
      </c>
      <c r="B1435" t="s">
        <v>3441</v>
      </c>
      <c r="C1435"/>
      <c r="D1435" t="s">
        <v>1778</v>
      </c>
      <c r="E1435" t="s">
        <v>1916</v>
      </c>
      <c r="F1435" t="s">
        <v>1923</v>
      </c>
      <c r="G1435" t="s">
        <v>280</v>
      </c>
      <c r="H1435" t="s">
        <v>1922</v>
      </c>
      <c r="I1435" t="s">
        <v>35</v>
      </c>
      <c r="J1435"/>
      <c r="K1435">
        <v>1</v>
      </c>
      <c r="L1435">
        <v>1</v>
      </c>
      <c r="M1435" t="s">
        <v>33</v>
      </c>
      <c r="N1435">
        <v>1</v>
      </c>
      <c r="O1435"/>
      <c r="P1435">
        <v>0</v>
      </c>
      <c r="Q1435" t="s">
        <v>38</v>
      </c>
      <c r="R1435">
        <v>1</v>
      </c>
      <c r="S1435">
        <v>0</v>
      </c>
      <c r="T1435"/>
      <c r="U1435"/>
      <c r="V1435"/>
      <c r="W1435"/>
      <c r="X1435">
        <v>0</v>
      </c>
      <c r="Y1435"/>
      <c r="Z1435">
        <v>0</v>
      </c>
      <c r="AA1435"/>
      <c r="AB1435"/>
      <c r="AC1435"/>
      <c r="AD1435"/>
      <c r="AE1435">
        <v>0</v>
      </c>
      <c r="AF1435"/>
      <c r="AG1435"/>
      <c r="AH1435"/>
    </row>
    <row r="1436" spans="1:34" x14ac:dyDescent="0.25">
      <c r="A1436" t="s">
        <v>3442</v>
      </c>
      <c r="B1436" t="s">
        <v>3443</v>
      </c>
      <c r="C1436"/>
      <c r="D1436" t="s">
        <v>1778</v>
      </c>
      <c r="E1436" t="s">
        <v>1916</v>
      </c>
      <c r="F1436" t="s">
        <v>1923</v>
      </c>
      <c r="G1436" t="s">
        <v>280</v>
      </c>
      <c r="H1436" t="s">
        <v>1922</v>
      </c>
      <c r="I1436" t="s">
        <v>35</v>
      </c>
      <c r="J1436"/>
      <c r="K1436">
        <v>1</v>
      </c>
      <c r="L1436">
        <v>1</v>
      </c>
      <c r="M1436" t="s">
        <v>33</v>
      </c>
      <c r="N1436">
        <v>1</v>
      </c>
      <c r="O1436"/>
      <c r="P1436">
        <v>0</v>
      </c>
      <c r="Q1436" t="s">
        <v>38</v>
      </c>
      <c r="R1436">
        <v>1</v>
      </c>
      <c r="S1436">
        <v>0</v>
      </c>
      <c r="T1436"/>
      <c r="U1436"/>
      <c r="V1436"/>
      <c r="W1436"/>
      <c r="X1436">
        <v>0</v>
      </c>
      <c r="Y1436"/>
      <c r="Z1436">
        <v>0</v>
      </c>
      <c r="AA1436"/>
      <c r="AB1436"/>
      <c r="AC1436"/>
      <c r="AD1436"/>
      <c r="AE1436">
        <v>0</v>
      </c>
      <c r="AF1436"/>
      <c r="AG1436"/>
      <c r="AH1436"/>
    </row>
    <row r="1437" spans="1:34" x14ac:dyDescent="0.25">
      <c r="A1437" t="s">
        <v>3406</v>
      </c>
      <c r="B1437" t="s">
        <v>3407</v>
      </c>
      <c r="C1437"/>
      <c r="D1437" t="s">
        <v>1778</v>
      </c>
      <c r="E1437" t="s">
        <v>1916</v>
      </c>
      <c r="F1437" t="s">
        <v>1924</v>
      </c>
      <c r="G1437" t="s">
        <v>280</v>
      </c>
      <c r="H1437" t="s">
        <v>1925</v>
      </c>
      <c r="I1437" t="s">
        <v>35</v>
      </c>
      <c r="J1437"/>
      <c r="K1437">
        <v>1</v>
      </c>
      <c r="L1437">
        <v>1</v>
      </c>
      <c r="M1437" t="s">
        <v>33</v>
      </c>
      <c r="N1437">
        <v>1</v>
      </c>
      <c r="O1437"/>
      <c r="P1437">
        <v>0</v>
      </c>
      <c r="Q1437" t="s">
        <v>38</v>
      </c>
      <c r="R1437">
        <v>1</v>
      </c>
      <c r="S1437">
        <v>0</v>
      </c>
      <c r="T1437"/>
      <c r="U1437"/>
      <c r="V1437"/>
      <c r="W1437"/>
      <c r="X1437">
        <v>0</v>
      </c>
      <c r="Y1437"/>
      <c r="Z1437">
        <v>0</v>
      </c>
      <c r="AA1437"/>
      <c r="AB1437"/>
      <c r="AC1437"/>
      <c r="AD1437"/>
      <c r="AE1437">
        <v>0</v>
      </c>
      <c r="AF1437"/>
      <c r="AG1437"/>
      <c r="AH1437"/>
    </row>
    <row r="1438" spans="1:34" x14ac:dyDescent="0.25">
      <c r="A1438" t="s">
        <v>3408</v>
      </c>
      <c r="B1438" t="s">
        <v>3409</v>
      </c>
      <c r="C1438"/>
      <c r="D1438" t="s">
        <v>1778</v>
      </c>
      <c r="E1438" t="s">
        <v>1916</v>
      </c>
      <c r="F1438" t="s">
        <v>1924</v>
      </c>
      <c r="G1438" t="s">
        <v>280</v>
      </c>
      <c r="H1438" t="s">
        <v>1925</v>
      </c>
      <c r="I1438" t="s">
        <v>35</v>
      </c>
      <c r="J1438"/>
      <c r="K1438">
        <v>1</v>
      </c>
      <c r="L1438">
        <v>1</v>
      </c>
      <c r="M1438" t="s">
        <v>33</v>
      </c>
      <c r="N1438">
        <v>1</v>
      </c>
      <c r="O1438"/>
      <c r="P1438">
        <v>0</v>
      </c>
      <c r="Q1438" t="s">
        <v>38</v>
      </c>
      <c r="R1438">
        <v>1</v>
      </c>
      <c r="S1438">
        <v>0</v>
      </c>
      <c r="T1438"/>
      <c r="U1438"/>
      <c r="V1438"/>
      <c r="W1438"/>
      <c r="X1438">
        <v>0</v>
      </c>
      <c r="Y1438"/>
      <c r="Z1438">
        <v>0</v>
      </c>
      <c r="AA1438"/>
      <c r="AB1438"/>
      <c r="AC1438"/>
      <c r="AD1438"/>
      <c r="AE1438">
        <v>0</v>
      </c>
      <c r="AF1438"/>
      <c r="AG1438"/>
      <c r="AH1438"/>
    </row>
    <row r="1439" spans="1:34" x14ac:dyDescent="0.25">
      <c r="A1439" t="s">
        <v>3440</v>
      </c>
      <c r="B1439" t="s">
        <v>3441</v>
      </c>
      <c r="C1439"/>
      <c r="D1439" t="s">
        <v>1778</v>
      </c>
      <c r="E1439" t="s">
        <v>1916</v>
      </c>
      <c r="F1439" t="s">
        <v>1924</v>
      </c>
      <c r="G1439" t="s">
        <v>280</v>
      </c>
      <c r="H1439" t="s">
        <v>1925</v>
      </c>
      <c r="I1439" t="s">
        <v>35</v>
      </c>
      <c r="J1439"/>
      <c r="K1439">
        <v>1</v>
      </c>
      <c r="L1439">
        <v>1</v>
      </c>
      <c r="M1439" t="s">
        <v>33</v>
      </c>
      <c r="N1439">
        <v>1</v>
      </c>
      <c r="O1439"/>
      <c r="P1439">
        <v>0</v>
      </c>
      <c r="Q1439" t="s">
        <v>38</v>
      </c>
      <c r="R1439">
        <v>1</v>
      </c>
      <c r="S1439">
        <v>0</v>
      </c>
      <c r="T1439"/>
      <c r="U1439"/>
      <c r="V1439"/>
      <c r="W1439"/>
      <c r="X1439">
        <v>0</v>
      </c>
      <c r="Y1439"/>
      <c r="Z1439">
        <v>0</v>
      </c>
      <c r="AA1439"/>
      <c r="AB1439"/>
      <c r="AC1439"/>
      <c r="AD1439"/>
      <c r="AE1439">
        <v>0</v>
      </c>
      <c r="AF1439"/>
      <c r="AG1439"/>
      <c r="AH1439"/>
    </row>
    <row r="1440" spans="1:34" x14ac:dyDescent="0.25">
      <c r="A1440" t="s">
        <v>3442</v>
      </c>
      <c r="B1440" t="s">
        <v>3443</v>
      </c>
      <c r="C1440"/>
      <c r="D1440" t="s">
        <v>1778</v>
      </c>
      <c r="E1440" t="s">
        <v>1916</v>
      </c>
      <c r="F1440" t="s">
        <v>1924</v>
      </c>
      <c r="G1440" t="s">
        <v>280</v>
      </c>
      <c r="H1440" t="s">
        <v>1925</v>
      </c>
      <c r="I1440" t="s">
        <v>35</v>
      </c>
      <c r="J1440"/>
      <c r="K1440">
        <v>1</v>
      </c>
      <c r="L1440">
        <v>1</v>
      </c>
      <c r="M1440" t="s">
        <v>33</v>
      </c>
      <c r="N1440">
        <v>1</v>
      </c>
      <c r="O1440"/>
      <c r="P1440">
        <v>0</v>
      </c>
      <c r="Q1440" t="s">
        <v>38</v>
      </c>
      <c r="R1440">
        <v>1</v>
      </c>
      <c r="S1440">
        <v>0</v>
      </c>
      <c r="T1440"/>
      <c r="U1440"/>
      <c r="V1440"/>
      <c r="W1440"/>
      <c r="X1440">
        <v>0</v>
      </c>
      <c r="Y1440"/>
      <c r="Z1440">
        <v>0</v>
      </c>
      <c r="AA1440"/>
      <c r="AB1440"/>
      <c r="AC1440"/>
      <c r="AD1440"/>
      <c r="AE1440">
        <v>0</v>
      </c>
      <c r="AF1440"/>
      <c r="AG1440"/>
      <c r="AH1440"/>
    </row>
    <row r="1441" spans="1:34" x14ac:dyDescent="0.25">
      <c r="A1441" t="s">
        <v>3406</v>
      </c>
      <c r="B1441" t="s">
        <v>3407</v>
      </c>
      <c r="C1441"/>
      <c r="D1441" t="s">
        <v>1778</v>
      </c>
      <c r="E1441" t="s">
        <v>1916</v>
      </c>
      <c r="F1441" t="s">
        <v>1926</v>
      </c>
      <c r="G1441" t="s">
        <v>280</v>
      </c>
      <c r="H1441" t="s">
        <v>1927</v>
      </c>
      <c r="I1441" t="s">
        <v>35</v>
      </c>
      <c r="J1441"/>
      <c r="K1441">
        <v>1</v>
      </c>
      <c r="L1441">
        <v>1</v>
      </c>
      <c r="M1441" t="s">
        <v>33</v>
      </c>
      <c r="N1441">
        <v>1</v>
      </c>
      <c r="O1441"/>
      <c r="P1441">
        <v>0</v>
      </c>
      <c r="Q1441" t="s">
        <v>38</v>
      </c>
      <c r="R1441">
        <v>1</v>
      </c>
      <c r="S1441">
        <v>0</v>
      </c>
      <c r="T1441"/>
      <c r="U1441"/>
      <c r="V1441"/>
      <c r="W1441"/>
      <c r="X1441">
        <v>0</v>
      </c>
      <c r="Y1441"/>
      <c r="Z1441">
        <v>0</v>
      </c>
      <c r="AA1441"/>
      <c r="AB1441"/>
      <c r="AC1441"/>
      <c r="AD1441"/>
      <c r="AE1441">
        <v>0</v>
      </c>
      <c r="AF1441"/>
      <c r="AG1441"/>
      <c r="AH1441"/>
    </row>
    <row r="1442" spans="1:34" x14ac:dyDescent="0.25">
      <c r="A1442" t="s">
        <v>3408</v>
      </c>
      <c r="B1442" t="s">
        <v>3409</v>
      </c>
      <c r="C1442"/>
      <c r="D1442" t="s">
        <v>1778</v>
      </c>
      <c r="E1442" t="s">
        <v>1916</v>
      </c>
      <c r="F1442" t="s">
        <v>1926</v>
      </c>
      <c r="G1442" t="s">
        <v>280</v>
      </c>
      <c r="H1442" t="s">
        <v>1927</v>
      </c>
      <c r="I1442" t="s">
        <v>35</v>
      </c>
      <c r="J1442"/>
      <c r="K1442">
        <v>1</v>
      </c>
      <c r="L1442">
        <v>1</v>
      </c>
      <c r="M1442" t="s">
        <v>33</v>
      </c>
      <c r="N1442">
        <v>1</v>
      </c>
      <c r="O1442"/>
      <c r="P1442">
        <v>0</v>
      </c>
      <c r="Q1442" t="s">
        <v>38</v>
      </c>
      <c r="R1442">
        <v>1</v>
      </c>
      <c r="S1442">
        <v>0</v>
      </c>
      <c r="T1442"/>
      <c r="U1442"/>
      <c r="V1442"/>
      <c r="W1442"/>
      <c r="X1442">
        <v>0</v>
      </c>
      <c r="Y1442"/>
      <c r="Z1442">
        <v>0</v>
      </c>
      <c r="AA1442"/>
      <c r="AB1442"/>
      <c r="AC1442"/>
      <c r="AD1442"/>
      <c r="AE1442">
        <v>0</v>
      </c>
      <c r="AF1442"/>
      <c r="AG1442"/>
      <c r="AH1442"/>
    </row>
    <row r="1443" spans="1:34" x14ac:dyDescent="0.25">
      <c r="A1443" t="s">
        <v>3440</v>
      </c>
      <c r="B1443" t="s">
        <v>3441</v>
      </c>
      <c r="C1443"/>
      <c r="D1443" t="s">
        <v>1778</v>
      </c>
      <c r="E1443" t="s">
        <v>1916</v>
      </c>
      <c r="F1443" t="s">
        <v>1926</v>
      </c>
      <c r="G1443" t="s">
        <v>280</v>
      </c>
      <c r="H1443" t="s">
        <v>1927</v>
      </c>
      <c r="I1443" t="s">
        <v>35</v>
      </c>
      <c r="J1443"/>
      <c r="K1443">
        <v>1</v>
      </c>
      <c r="L1443">
        <v>1</v>
      </c>
      <c r="M1443" t="s">
        <v>33</v>
      </c>
      <c r="N1443">
        <v>1</v>
      </c>
      <c r="O1443"/>
      <c r="P1443">
        <v>0</v>
      </c>
      <c r="Q1443" t="s">
        <v>38</v>
      </c>
      <c r="R1443">
        <v>1</v>
      </c>
      <c r="S1443">
        <v>0</v>
      </c>
      <c r="T1443"/>
      <c r="U1443"/>
      <c r="V1443"/>
      <c r="W1443"/>
      <c r="X1443">
        <v>0</v>
      </c>
      <c r="Y1443"/>
      <c r="Z1443">
        <v>0</v>
      </c>
      <c r="AA1443"/>
      <c r="AB1443"/>
      <c r="AC1443"/>
      <c r="AD1443"/>
      <c r="AE1443">
        <v>0</v>
      </c>
      <c r="AF1443"/>
      <c r="AG1443"/>
      <c r="AH1443"/>
    </row>
    <row r="1444" spans="1:34" x14ac:dyDescent="0.25">
      <c r="A1444" t="s">
        <v>3442</v>
      </c>
      <c r="B1444" t="s">
        <v>3443</v>
      </c>
      <c r="C1444"/>
      <c r="D1444" t="s">
        <v>1778</v>
      </c>
      <c r="E1444" t="s">
        <v>1916</v>
      </c>
      <c r="F1444" t="s">
        <v>1926</v>
      </c>
      <c r="G1444" t="s">
        <v>280</v>
      </c>
      <c r="H1444" t="s">
        <v>1927</v>
      </c>
      <c r="I1444" t="s">
        <v>35</v>
      </c>
      <c r="J1444"/>
      <c r="K1444">
        <v>1</v>
      </c>
      <c r="L1444">
        <v>1</v>
      </c>
      <c r="M1444" t="s">
        <v>33</v>
      </c>
      <c r="N1444">
        <v>1</v>
      </c>
      <c r="O1444"/>
      <c r="P1444">
        <v>0</v>
      </c>
      <c r="Q1444" t="s">
        <v>38</v>
      </c>
      <c r="R1444">
        <v>1</v>
      </c>
      <c r="S1444">
        <v>0</v>
      </c>
      <c r="T1444"/>
      <c r="U1444"/>
      <c r="V1444"/>
      <c r="W1444"/>
      <c r="X1444">
        <v>0</v>
      </c>
      <c r="Y1444"/>
      <c r="Z1444">
        <v>0</v>
      </c>
      <c r="AA1444"/>
      <c r="AB1444"/>
      <c r="AC1444"/>
      <c r="AD1444"/>
      <c r="AE1444">
        <v>0</v>
      </c>
      <c r="AF1444"/>
      <c r="AG1444"/>
      <c r="AH1444"/>
    </row>
    <row r="1445" spans="1:34" x14ac:dyDescent="0.25">
      <c r="A1445" t="s">
        <v>3406</v>
      </c>
      <c r="B1445" t="s">
        <v>3407</v>
      </c>
      <c r="C1445"/>
      <c r="D1445" t="s">
        <v>1778</v>
      </c>
      <c r="E1445" t="s">
        <v>1916</v>
      </c>
      <c r="F1445" t="s">
        <v>1928</v>
      </c>
      <c r="G1445" t="s">
        <v>280</v>
      </c>
      <c r="H1445" t="s">
        <v>1929</v>
      </c>
      <c r="I1445" t="s">
        <v>35</v>
      </c>
      <c r="J1445"/>
      <c r="K1445">
        <v>1</v>
      </c>
      <c r="L1445">
        <v>1</v>
      </c>
      <c r="M1445" t="s">
        <v>33</v>
      </c>
      <c r="N1445">
        <v>1</v>
      </c>
      <c r="O1445"/>
      <c r="P1445">
        <v>0</v>
      </c>
      <c r="Q1445" t="s">
        <v>38</v>
      </c>
      <c r="R1445">
        <v>1</v>
      </c>
      <c r="S1445">
        <v>0</v>
      </c>
      <c r="T1445"/>
      <c r="U1445"/>
      <c r="V1445"/>
      <c r="W1445"/>
      <c r="X1445">
        <v>0</v>
      </c>
      <c r="Y1445"/>
      <c r="Z1445">
        <v>0</v>
      </c>
      <c r="AA1445"/>
      <c r="AB1445"/>
      <c r="AC1445"/>
      <c r="AD1445"/>
      <c r="AE1445">
        <v>0</v>
      </c>
      <c r="AF1445"/>
      <c r="AG1445"/>
      <c r="AH1445"/>
    </row>
    <row r="1446" spans="1:34" x14ac:dyDescent="0.25">
      <c r="A1446" t="s">
        <v>3408</v>
      </c>
      <c r="B1446" t="s">
        <v>3409</v>
      </c>
      <c r="C1446"/>
      <c r="D1446" t="s">
        <v>1778</v>
      </c>
      <c r="E1446" t="s">
        <v>1916</v>
      </c>
      <c r="F1446" t="s">
        <v>1928</v>
      </c>
      <c r="G1446" t="s">
        <v>280</v>
      </c>
      <c r="H1446" t="s">
        <v>1929</v>
      </c>
      <c r="I1446" t="s">
        <v>35</v>
      </c>
      <c r="J1446"/>
      <c r="K1446">
        <v>1</v>
      </c>
      <c r="L1446">
        <v>1</v>
      </c>
      <c r="M1446" t="s">
        <v>33</v>
      </c>
      <c r="N1446">
        <v>1</v>
      </c>
      <c r="O1446"/>
      <c r="P1446">
        <v>0</v>
      </c>
      <c r="Q1446" t="s">
        <v>38</v>
      </c>
      <c r="R1446">
        <v>1</v>
      </c>
      <c r="S1446">
        <v>0</v>
      </c>
      <c r="T1446"/>
      <c r="U1446"/>
      <c r="V1446"/>
      <c r="W1446"/>
      <c r="X1446">
        <v>0</v>
      </c>
      <c r="Y1446"/>
      <c r="Z1446">
        <v>0</v>
      </c>
      <c r="AA1446"/>
      <c r="AB1446"/>
      <c r="AC1446"/>
      <c r="AD1446"/>
      <c r="AE1446">
        <v>0</v>
      </c>
      <c r="AF1446"/>
      <c r="AG1446"/>
      <c r="AH1446"/>
    </row>
    <row r="1447" spans="1:34" x14ac:dyDescent="0.25">
      <c r="A1447" t="s">
        <v>3440</v>
      </c>
      <c r="B1447" t="s">
        <v>3441</v>
      </c>
      <c r="C1447"/>
      <c r="D1447" t="s">
        <v>1778</v>
      </c>
      <c r="E1447" t="s">
        <v>1916</v>
      </c>
      <c r="F1447" t="s">
        <v>1928</v>
      </c>
      <c r="G1447" t="s">
        <v>280</v>
      </c>
      <c r="H1447" t="s">
        <v>1929</v>
      </c>
      <c r="I1447" t="s">
        <v>35</v>
      </c>
      <c r="J1447"/>
      <c r="K1447">
        <v>1</v>
      </c>
      <c r="L1447">
        <v>1</v>
      </c>
      <c r="M1447" t="s">
        <v>33</v>
      </c>
      <c r="N1447">
        <v>1</v>
      </c>
      <c r="O1447"/>
      <c r="P1447">
        <v>0</v>
      </c>
      <c r="Q1447" t="s">
        <v>38</v>
      </c>
      <c r="R1447">
        <v>1</v>
      </c>
      <c r="S1447">
        <v>0</v>
      </c>
      <c r="T1447"/>
      <c r="U1447"/>
      <c r="V1447"/>
      <c r="W1447"/>
      <c r="X1447">
        <v>0</v>
      </c>
      <c r="Y1447"/>
      <c r="Z1447">
        <v>0</v>
      </c>
      <c r="AA1447"/>
      <c r="AB1447"/>
      <c r="AC1447"/>
      <c r="AD1447"/>
      <c r="AE1447">
        <v>0</v>
      </c>
      <c r="AF1447"/>
      <c r="AG1447"/>
      <c r="AH1447"/>
    </row>
    <row r="1448" spans="1:34" x14ac:dyDescent="0.25">
      <c r="A1448" t="s">
        <v>3442</v>
      </c>
      <c r="B1448" t="s">
        <v>3443</v>
      </c>
      <c r="C1448"/>
      <c r="D1448" t="s">
        <v>1778</v>
      </c>
      <c r="E1448" t="s">
        <v>1916</v>
      </c>
      <c r="F1448" t="s">
        <v>1928</v>
      </c>
      <c r="G1448" t="s">
        <v>280</v>
      </c>
      <c r="H1448" t="s">
        <v>1929</v>
      </c>
      <c r="I1448" t="s">
        <v>35</v>
      </c>
      <c r="J1448"/>
      <c r="K1448">
        <v>1</v>
      </c>
      <c r="L1448">
        <v>1</v>
      </c>
      <c r="M1448" t="s">
        <v>33</v>
      </c>
      <c r="N1448">
        <v>1</v>
      </c>
      <c r="O1448"/>
      <c r="P1448">
        <v>0</v>
      </c>
      <c r="Q1448" t="s">
        <v>38</v>
      </c>
      <c r="R1448">
        <v>1</v>
      </c>
      <c r="S1448">
        <v>0</v>
      </c>
      <c r="T1448"/>
      <c r="U1448"/>
      <c r="V1448"/>
      <c r="W1448"/>
      <c r="X1448">
        <v>0</v>
      </c>
      <c r="Y1448"/>
      <c r="Z1448">
        <v>0</v>
      </c>
      <c r="AA1448"/>
      <c r="AB1448"/>
      <c r="AC1448"/>
      <c r="AD1448"/>
      <c r="AE1448">
        <v>0</v>
      </c>
      <c r="AF1448"/>
      <c r="AG1448"/>
      <c r="AH1448"/>
    </row>
    <row r="1449" spans="1:34" x14ac:dyDescent="0.25">
      <c r="A1449" t="s">
        <v>3406</v>
      </c>
      <c r="B1449" t="s">
        <v>3407</v>
      </c>
      <c r="C1449"/>
      <c r="D1449" t="s">
        <v>1778</v>
      </c>
      <c r="E1449" t="s">
        <v>1916</v>
      </c>
      <c r="F1449" t="s">
        <v>1930</v>
      </c>
      <c r="G1449" t="s">
        <v>280</v>
      </c>
      <c r="H1449" t="s">
        <v>1929</v>
      </c>
      <c r="I1449" t="s">
        <v>35</v>
      </c>
      <c r="J1449"/>
      <c r="K1449">
        <v>1</v>
      </c>
      <c r="L1449">
        <v>1</v>
      </c>
      <c r="M1449" t="s">
        <v>33</v>
      </c>
      <c r="N1449">
        <v>1</v>
      </c>
      <c r="O1449"/>
      <c r="P1449">
        <v>0</v>
      </c>
      <c r="Q1449" t="s">
        <v>38</v>
      </c>
      <c r="R1449">
        <v>1</v>
      </c>
      <c r="S1449">
        <v>0</v>
      </c>
      <c r="T1449"/>
      <c r="U1449"/>
      <c r="V1449"/>
      <c r="W1449"/>
      <c r="X1449">
        <v>0</v>
      </c>
      <c r="Y1449"/>
      <c r="Z1449">
        <v>0</v>
      </c>
      <c r="AA1449"/>
      <c r="AB1449"/>
      <c r="AC1449"/>
      <c r="AD1449"/>
      <c r="AE1449">
        <v>0</v>
      </c>
      <c r="AF1449"/>
      <c r="AG1449"/>
      <c r="AH1449"/>
    </row>
    <row r="1450" spans="1:34" x14ac:dyDescent="0.25">
      <c r="A1450" t="s">
        <v>3408</v>
      </c>
      <c r="B1450" t="s">
        <v>3409</v>
      </c>
      <c r="C1450"/>
      <c r="D1450" t="s">
        <v>1778</v>
      </c>
      <c r="E1450" t="s">
        <v>1916</v>
      </c>
      <c r="F1450" t="s">
        <v>1930</v>
      </c>
      <c r="G1450" t="s">
        <v>280</v>
      </c>
      <c r="H1450" t="s">
        <v>1929</v>
      </c>
      <c r="I1450" t="s">
        <v>35</v>
      </c>
      <c r="J1450"/>
      <c r="K1450">
        <v>1</v>
      </c>
      <c r="L1450">
        <v>1</v>
      </c>
      <c r="M1450" t="s">
        <v>33</v>
      </c>
      <c r="N1450">
        <v>1</v>
      </c>
      <c r="O1450"/>
      <c r="P1450">
        <v>0</v>
      </c>
      <c r="Q1450" t="s">
        <v>38</v>
      </c>
      <c r="R1450">
        <v>1</v>
      </c>
      <c r="S1450">
        <v>0</v>
      </c>
      <c r="T1450"/>
      <c r="U1450"/>
      <c r="V1450"/>
      <c r="W1450"/>
      <c r="X1450">
        <v>0</v>
      </c>
      <c r="Y1450"/>
      <c r="Z1450">
        <v>0</v>
      </c>
      <c r="AA1450"/>
      <c r="AB1450"/>
      <c r="AC1450"/>
      <c r="AD1450"/>
      <c r="AE1450">
        <v>0</v>
      </c>
      <c r="AF1450"/>
      <c r="AG1450"/>
      <c r="AH1450"/>
    </row>
    <row r="1451" spans="1:34" x14ac:dyDescent="0.25">
      <c r="A1451" t="s">
        <v>3440</v>
      </c>
      <c r="B1451" t="s">
        <v>3441</v>
      </c>
      <c r="C1451"/>
      <c r="D1451" t="s">
        <v>1778</v>
      </c>
      <c r="E1451" t="s">
        <v>1916</v>
      </c>
      <c r="F1451" t="s">
        <v>1930</v>
      </c>
      <c r="G1451" t="s">
        <v>280</v>
      </c>
      <c r="H1451" t="s">
        <v>1929</v>
      </c>
      <c r="I1451" t="s">
        <v>35</v>
      </c>
      <c r="J1451"/>
      <c r="K1451">
        <v>1</v>
      </c>
      <c r="L1451">
        <v>1</v>
      </c>
      <c r="M1451" t="s">
        <v>33</v>
      </c>
      <c r="N1451">
        <v>1</v>
      </c>
      <c r="O1451"/>
      <c r="P1451">
        <v>0</v>
      </c>
      <c r="Q1451" t="s">
        <v>38</v>
      </c>
      <c r="R1451">
        <v>1</v>
      </c>
      <c r="S1451">
        <v>0</v>
      </c>
      <c r="T1451"/>
      <c r="U1451"/>
      <c r="V1451"/>
      <c r="W1451"/>
      <c r="X1451">
        <v>0</v>
      </c>
      <c r="Y1451"/>
      <c r="Z1451">
        <v>0</v>
      </c>
      <c r="AA1451"/>
      <c r="AB1451"/>
      <c r="AC1451"/>
      <c r="AD1451"/>
      <c r="AE1451">
        <v>0</v>
      </c>
      <c r="AF1451"/>
      <c r="AG1451"/>
      <c r="AH1451"/>
    </row>
    <row r="1452" spans="1:34" x14ac:dyDescent="0.25">
      <c r="A1452" t="s">
        <v>3442</v>
      </c>
      <c r="B1452" t="s">
        <v>3443</v>
      </c>
      <c r="C1452"/>
      <c r="D1452" t="s">
        <v>1778</v>
      </c>
      <c r="E1452" t="s">
        <v>1916</v>
      </c>
      <c r="F1452" t="s">
        <v>1930</v>
      </c>
      <c r="G1452" t="s">
        <v>280</v>
      </c>
      <c r="H1452" t="s">
        <v>1929</v>
      </c>
      <c r="I1452" t="s">
        <v>35</v>
      </c>
      <c r="J1452"/>
      <c r="K1452">
        <v>1</v>
      </c>
      <c r="L1452">
        <v>1</v>
      </c>
      <c r="M1452" t="s">
        <v>33</v>
      </c>
      <c r="N1452">
        <v>1</v>
      </c>
      <c r="O1452"/>
      <c r="P1452">
        <v>0</v>
      </c>
      <c r="Q1452" t="s">
        <v>38</v>
      </c>
      <c r="R1452">
        <v>1</v>
      </c>
      <c r="S1452">
        <v>0</v>
      </c>
      <c r="T1452"/>
      <c r="U1452"/>
      <c r="V1452"/>
      <c r="W1452"/>
      <c r="X1452">
        <v>0</v>
      </c>
      <c r="Y1452"/>
      <c r="Z1452">
        <v>0</v>
      </c>
      <c r="AA1452"/>
      <c r="AB1452"/>
      <c r="AC1452"/>
      <c r="AD1452"/>
      <c r="AE1452">
        <v>0</v>
      </c>
      <c r="AF1452"/>
      <c r="AG1452"/>
      <c r="AH1452"/>
    </row>
    <row r="1453" spans="1:34" x14ac:dyDescent="0.25">
      <c r="A1453" t="s">
        <v>3406</v>
      </c>
      <c r="B1453" t="s">
        <v>3407</v>
      </c>
      <c r="C1453"/>
      <c r="D1453" t="s">
        <v>1778</v>
      </c>
      <c r="E1453" t="s">
        <v>1916</v>
      </c>
      <c r="F1453" t="s">
        <v>1931</v>
      </c>
      <c r="G1453" t="s">
        <v>280</v>
      </c>
      <c r="H1453" t="s">
        <v>1932</v>
      </c>
      <c r="I1453" t="s">
        <v>35</v>
      </c>
      <c r="J1453"/>
      <c r="K1453">
        <v>1</v>
      </c>
      <c r="L1453">
        <v>1</v>
      </c>
      <c r="M1453" t="s">
        <v>33</v>
      </c>
      <c r="N1453">
        <v>1</v>
      </c>
      <c r="O1453"/>
      <c r="P1453">
        <v>0</v>
      </c>
      <c r="Q1453" t="s">
        <v>38</v>
      </c>
      <c r="R1453">
        <v>1</v>
      </c>
      <c r="S1453">
        <v>0</v>
      </c>
      <c r="T1453"/>
      <c r="U1453"/>
      <c r="V1453"/>
      <c r="W1453"/>
      <c r="X1453">
        <v>0</v>
      </c>
      <c r="Y1453"/>
      <c r="Z1453">
        <v>0</v>
      </c>
      <c r="AA1453"/>
      <c r="AB1453"/>
      <c r="AC1453"/>
      <c r="AD1453"/>
      <c r="AE1453">
        <v>0</v>
      </c>
      <c r="AF1453"/>
      <c r="AG1453"/>
      <c r="AH1453"/>
    </row>
    <row r="1454" spans="1:34" x14ac:dyDescent="0.25">
      <c r="A1454" t="s">
        <v>3408</v>
      </c>
      <c r="B1454" t="s">
        <v>3409</v>
      </c>
      <c r="C1454"/>
      <c r="D1454" t="s">
        <v>1778</v>
      </c>
      <c r="E1454" t="s">
        <v>1916</v>
      </c>
      <c r="F1454" t="s">
        <v>1931</v>
      </c>
      <c r="G1454" t="s">
        <v>280</v>
      </c>
      <c r="H1454" t="s">
        <v>1932</v>
      </c>
      <c r="I1454" t="s">
        <v>35</v>
      </c>
      <c r="J1454"/>
      <c r="K1454">
        <v>1</v>
      </c>
      <c r="L1454">
        <v>1</v>
      </c>
      <c r="M1454" t="s">
        <v>33</v>
      </c>
      <c r="N1454">
        <v>1</v>
      </c>
      <c r="O1454"/>
      <c r="P1454">
        <v>0</v>
      </c>
      <c r="Q1454" t="s">
        <v>38</v>
      </c>
      <c r="R1454">
        <v>1</v>
      </c>
      <c r="S1454">
        <v>0</v>
      </c>
      <c r="T1454"/>
      <c r="U1454"/>
      <c r="V1454"/>
      <c r="W1454"/>
      <c r="X1454">
        <v>0</v>
      </c>
      <c r="Y1454"/>
      <c r="Z1454">
        <v>0</v>
      </c>
      <c r="AA1454"/>
      <c r="AB1454"/>
      <c r="AC1454"/>
      <c r="AD1454"/>
      <c r="AE1454">
        <v>0</v>
      </c>
      <c r="AF1454"/>
      <c r="AG1454"/>
      <c r="AH1454"/>
    </row>
    <row r="1455" spans="1:34" x14ac:dyDescent="0.25">
      <c r="A1455" t="s">
        <v>3440</v>
      </c>
      <c r="B1455" t="s">
        <v>3441</v>
      </c>
      <c r="C1455"/>
      <c r="D1455" t="s">
        <v>1778</v>
      </c>
      <c r="E1455" t="s">
        <v>1916</v>
      </c>
      <c r="F1455" t="s">
        <v>1931</v>
      </c>
      <c r="G1455" t="s">
        <v>280</v>
      </c>
      <c r="H1455" t="s">
        <v>1932</v>
      </c>
      <c r="I1455" t="s">
        <v>35</v>
      </c>
      <c r="J1455"/>
      <c r="K1455">
        <v>1</v>
      </c>
      <c r="L1455">
        <v>1</v>
      </c>
      <c r="M1455" t="s">
        <v>33</v>
      </c>
      <c r="N1455">
        <v>1</v>
      </c>
      <c r="O1455"/>
      <c r="P1455">
        <v>0</v>
      </c>
      <c r="Q1455" t="s">
        <v>38</v>
      </c>
      <c r="R1455">
        <v>1</v>
      </c>
      <c r="S1455">
        <v>0</v>
      </c>
      <c r="T1455"/>
      <c r="U1455"/>
      <c r="V1455"/>
      <c r="W1455"/>
      <c r="X1455">
        <v>0</v>
      </c>
      <c r="Y1455"/>
      <c r="Z1455">
        <v>0</v>
      </c>
      <c r="AA1455"/>
      <c r="AB1455"/>
      <c r="AC1455"/>
      <c r="AD1455"/>
      <c r="AE1455">
        <v>0</v>
      </c>
      <c r="AF1455"/>
      <c r="AG1455"/>
      <c r="AH1455"/>
    </row>
    <row r="1456" spans="1:34" x14ac:dyDescent="0.25">
      <c r="A1456" t="s">
        <v>3442</v>
      </c>
      <c r="B1456" t="s">
        <v>3443</v>
      </c>
      <c r="C1456"/>
      <c r="D1456" t="s">
        <v>1778</v>
      </c>
      <c r="E1456" t="s">
        <v>1916</v>
      </c>
      <c r="F1456" t="s">
        <v>1931</v>
      </c>
      <c r="G1456" t="s">
        <v>280</v>
      </c>
      <c r="H1456" t="s">
        <v>1932</v>
      </c>
      <c r="I1456" t="s">
        <v>35</v>
      </c>
      <c r="J1456"/>
      <c r="K1456">
        <v>1</v>
      </c>
      <c r="L1456">
        <v>1</v>
      </c>
      <c r="M1456" t="s">
        <v>33</v>
      </c>
      <c r="N1456">
        <v>1</v>
      </c>
      <c r="O1456"/>
      <c r="P1456">
        <v>0</v>
      </c>
      <c r="Q1456" t="s">
        <v>38</v>
      </c>
      <c r="R1456">
        <v>1</v>
      </c>
      <c r="S1456">
        <v>0</v>
      </c>
      <c r="T1456"/>
      <c r="U1456"/>
      <c r="V1456"/>
      <c r="W1456"/>
      <c r="X1456">
        <v>0</v>
      </c>
      <c r="Y1456"/>
      <c r="Z1456">
        <v>0</v>
      </c>
      <c r="AA1456"/>
      <c r="AB1456"/>
      <c r="AC1456"/>
      <c r="AD1456"/>
      <c r="AE1456">
        <v>0</v>
      </c>
      <c r="AF1456"/>
      <c r="AG1456"/>
      <c r="AH1456"/>
    </row>
    <row r="1457" spans="1:34" x14ac:dyDescent="0.25">
      <c r="A1457" t="s">
        <v>3406</v>
      </c>
      <c r="B1457" t="s">
        <v>3407</v>
      </c>
      <c r="C1457"/>
      <c r="D1457" t="s">
        <v>1778</v>
      </c>
      <c r="E1457" t="s">
        <v>1916</v>
      </c>
      <c r="F1457" t="s">
        <v>1933</v>
      </c>
      <c r="G1457" t="s">
        <v>280</v>
      </c>
      <c r="H1457" t="s">
        <v>1934</v>
      </c>
      <c r="I1457" t="s">
        <v>35</v>
      </c>
      <c r="J1457"/>
      <c r="K1457">
        <v>1</v>
      </c>
      <c r="L1457">
        <v>1</v>
      </c>
      <c r="M1457" t="s">
        <v>33</v>
      </c>
      <c r="N1457">
        <v>1</v>
      </c>
      <c r="O1457"/>
      <c r="P1457">
        <v>0</v>
      </c>
      <c r="Q1457" t="s">
        <v>38</v>
      </c>
      <c r="R1457">
        <v>1</v>
      </c>
      <c r="S1457">
        <v>0</v>
      </c>
      <c r="T1457"/>
      <c r="U1457"/>
      <c r="V1457"/>
      <c r="W1457"/>
      <c r="X1457">
        <v>0</v>
      </c>
      <c r="Y1457"/>
      <c r="Z1457">
        <v>0</v>
      </c>
      <c r="AA1457"/>
      <c r="AB1457"/>
      <c r="AC1457"/>
      <c r="AD1457"/>
      <c r="AE1457">
        <v>0</v>
      </c>
      <c r="AF1457"/>
      <c r="AG1457"/>
      <c r="AH1457"/>
    </row>
    <row r="1458" spans="1:34" x14ac:dyDescent="0.25">
      <c r="A1458" t="s">
        <v>3408</v>
      </c>
      <c r="B1458" t="s">
        <v>3409</v>
      </c>
      <c r="C1458"/>
      <c r="D1458" t="s">
        <v>1778</v>
      </c>
      <c r="E1458" t="s">
        <v>1916</v>
      </c>
      <c r="F1458" t="s">
        <v>1933</v>
      </c>
      <c r="G1458" t="s">
        <v>280</v>
      </c>
      <c r="H1458" t="s">
        <v>1934</v>
      </c>
      <c r="I1458" t="s">
        <v>35</v>
      </c>
      <c r="J1458"/>
      <c r="K1458">
        <v>1</v>
      </c>
      <c r="L1458">
        <v>1</v>
      </c>
      <c r="M1458" t="s">
        <v>33</v>
      </c>
      <c r="N1458">
        <v>1</v>
      </c>
      <c r="O1458"/>
      <c r="P1458">
        <v>0</v>
      </c>
      <c r="Q1458" t="s">
        <v>38</v>
      </c>
      <c r="R1458">
        <v>1</v>
      </c>
      <c r="S1458">
        <v>0</v>
      </c>
      <c r="T1458"/>
      <c r="U1458"/>
      <c r="V1458"/>
      <c r="W1458"/>
      <c r="X1458">
        <v>0</v>
      </c>
      <c r="Y1458"/>
      <c r="Z1458">
        <v>0</v>
      </c>
      <c r="AA1458"/>
      <c r="AB1458"/>
      <c r="AC1458"/>
      <c r="AD1458"/>
      <c r="AE1458">
        <v>0</v>
      </c>
      <c r="AF1458"/>
      <c r="AG1458"/>
      <c r="AH1458"/>
    </row>
    <row r="1459" spans="1:34" x14ac:dyDescent="0.25">
      <c r="A1459" t="s">
        <v>3440</v>
      </c>
      <c r="B1459" t="s">
        <v>3441</v>
      </c>
      <c r="C1459"/>
      <c r="D1459" t="s">
        <v>1778</v>
      </c>
      <c r="E1459" t="s">
        <v>1916</v>
      </c>
      <c r="F1459" t="s">
        <v>1933</v>
      </c>
      <c r="G1459" t="s">
        <v>280</v>
      </c>
      <c r="H1459" t="s">
        <v>1934</v>
      </c>
      <c r="I1459" t="s">
        <v>35</v>
      </c>
      <c r="J1459"/>
      <c r="K1459">
        <v>1</v>
      </c>
      <c r="L1459">
        <v>1</v>
      </c>
      <c r="M1459" t="s">
        <v>33</v>
      </c>
      <c r="N1459">
        <v>1</v>
      </c>
      <c r="O1459"/>
      <c r="P1459">
        <v>0</v>
      </c>
      <c r="Q1459" t="s">
        <v>38</v>
      </c>
      <c r="R1459">
        <v>1</v>
      </c>
      <c r="S1459">
        <v>0</v>
      </c>
      <c r="T1459"/>
      <c r="U1459"/>
      <c r="V1459"/>
      <c r="W1459"/>
      <c r="X1459">
        <v>0</v>
      </c>
      <c r="Y1459"/>
      <c r="Z1459">
        <v>0</v>
      </c>
      <c r="AA1459"/>
      <c r="AB1459"/>
      <c r="AC1459"/>
      <c r="AD1459"/>
      <c r="AE1459">
        <v>0</v>
      </c>
      <c r="AF1459"/>
      <c r="AG1459"/>
      <c r="AH1459"/>
    </row>
    <row r="1460" spans="1:34" x14ac:dyDescent="0.25">
      <c r="A1460" t="s">
        <v>3442</v>
      </c>
      <c r="B1460" t="s">
        <v>3443</v>
      </c>
      <c r="C1460"/>
      <c r="D1460" t="s">
        <v>1778</v>
      </c>
      <c r="E1460" t="s">
        <v>1916</v>
      </c>
      <c r="F1460" t="s">
        <v>1933</v>
      </c>
      <c r="G1460" t="s">
        <v>280</v>
      </c>
      <c r="H1460" t="s">
        <v>1934</v>
      </c>
      <c r="I1460" t="s">
        <v>35</v>
      </c>
      <c r="J1460"/>
      <c r="K1460">
        <v>1</v>
      </c>
      <c r="L1460">
        <v>1</v>
      </c>
      <c r="M1460" t="s">
        <v>33</v>
      </c>
      <c r="N1460">
        <v>1</v>
      </c>
      <c r="O1460"/>
      <c r="P1460">
        <v>0</v>
      </c>
      <c r="Q1460" t="s">
        <v>38</v>
      </c>
      <c r="R1460">
        <v>1</v>
      </c>
      <c r="S1460">
        <v>0</v>
      </c>
      <c r="T1460"/>
      <c r="U1460"/>
      <c r="V1460"/>
      <c r="W1460"/>
      <c r="X1460">
        <v>0</v>
      </c>
      <c r="Y1460"/>
      <c r="Z1460">
        <v>0</v>
      </c>
      <c r="AA1460"/>
      <c r="AB1460"/>
      <c r="AC1460"/>
      <c r="AD1460"/>
      <c r="AE1460">
        <v>0</v>
      </c>
      <c r="AF1460"/>
      <c r="AG1460"/>
      <c r="AH1460"/>
    </row>
    <row r="1461" spans="1:34" x14ac:dyDescent="0.25">
      <c r="A1461" t="s">
        <v>3406</v>
      </c>
      <c r="B1461" t="s">
        <v>3407</v>
      </c>
      <c r="C1461"/>
      <c r="D1461" t="s">
        <v>1778</v>
      </c>
      <c r="E1461" t="s">
        <v>1916</v>
      </c>
      <c r="F1461" t="s">
        <v>1935</v>
      </c>
      <c r="G1461" t="s">
        <v>280</v>
      </c>
      <c r="H1461" t="s">
        <v>1936</v>
      </c>
      <c r="I1461" t="s">
        <v>35</v>
      </c>
      <c r="J1461"/>
      <c r="K1461">
        <v>1</v>
      </c>
      <c r="L1461">
        <v>1</v>
      </c>
      <c r="M1461" t="s">
        <v>33</v>
      </c>
      <c r="N1461">
        <v>1</v>
      </c>
      <c r="O1461"/>
      <c r="P1461">
        <v>0</v>
      </c>
      <c r="Q1461" t="s">
        <v>38</v>
      </c>
      <c r="R1461">
        <v>1</v>
      </c>
      <c r="S1461">
        <v>0</v>
      </c>
      <c r="T1461"/>
      <c r="U1461"/>
      <c r="V1461"/>
      <c r="W1461"/>
      <c r="X1461">
        <v>0</v>
      </c>
      <c r="Y1461"/>
      <c r="Z1461">
        <v>0</v>
      </c>
      <c r="AA1461"/>
      <c r="AB1461"/>
      <c r="AC1461"/>
      <c r="AD1461"/>
      <c r="AE1461">
        <v>0</v>
      </c>
      <c r="AF1461"/>
      <c r="AG1461"/>
      <c r="AH1461"/>
    </row>
    <row r="1462" spans="1:34" x14ac:dyDescent="0.25">
      <c r="A1462" t="s">
        <v>3408</v>
      </c>
      <c r="B1462" t="s">
        <v>3409</v>
      </c>
      <c r="C1462"/>
      <c r="D1462" t="s">
        <v>1778</v>
      </c>
      <c r="E1462" t="s">
        <v>1916</v>
      </c>
      <c r="F1462" t="s">
        <v>1935</v>
      </c>
      <c r="G1462" t="s">
        <v>280</v>
      </c>
      <c r="H1462" t="s">
        <v>1936</v>
      </c>
      <c r="I1462" t="s">
        <v>35</v>
      </c>
      <c r="J1462"/>
      <c r="K1462">
        <v>1</v>
      </c>
      <c r="L1462">
        <v>1</v>
      </c>
      <c r="M1462" t="s">
        <v>33</v>
      </c>
      <c r="N1462">
        <v>1</v>
      </c>
      <c r="O1462"/>
      <c r="P1462">
        <v>0</v>
      </c>
      <c r="Q1462" t="s">
        <v>38</v>
      </c>
      <c r="R1462">
        <v>1</v>
      </c>
      <c r="S1462">
        <v>0</v>
      </c>
      <c r="T1462"/>
      <c r="U1462"/>
      <c r="V1462"/>
      <c r="W1462"/>
      <c r="X1462">
        <v>0</v>
      </c>
      <c r="Y1462"/>
      <c r="Z1462">
        <v>0</v>
      </c>
      <c r="AA1462"/>
      <c r="AB1462"/>
      <c r="AC1462"/>
      <c r="AD1462"/>
      <c r="AE1462">
        <v>0</v>
      </c>
      <c r="AF1462"/>
      <c r="AG1462"/>
      <c r="AH1462"/>
    </row>
    <row r="1463" spans="1:34" x14ac:dyDescent="0.25">
      <c r="A1463" t="s">
        <v>3440</v>
      </c>
      <c r="B1463" t="s">
        <v>3441</v>
      </c>
      <c r="C1463"/>
      <c r="D1463" t="s">
        <v>1778</v>
      </c>
      <c r="E1463" t="s">
        <v>1916</v>
      </c>
      <c r="F1463" t="s">
        <v>1935</v>
      </c>
      <c r="G1463" t="s">
        <v>280</v>
      </c>
      <c r="H1463" t="s">
        <v>1936</v>
      </c>
      <c r="I1463" t="s">
        <v>35</v>
      </c>
      <c r="J1463"/>
      <c r="K1463">
        <v>1</v>
      </c>
      <c r="L1463">
        <v>1</v>
      </c>
      <c r="M1463" t="s">
        <v>33</v>
      </c>
      <c r="N1463">
        <v>1</v>
      </c>
      <c r="O1463"/>
      <c r="P1463">
        <v>0</v>
      </c>
      <c r="Q1463" t="s">
        <v>38</v>
      </c>
      <c r="R1463">
        <v>1</v>
      </c>
      <c r="S1463">
        <v>0</v>
      </c>
      <c r="T1463"/>
      <c r="U1463"/>
      <c r="V1463"/>
      <c r="W1463"/>
      <c r="X1463">
        <v>0</v>
      </c>
      <c r="Y1463"/>
      <c r="Z1463">
        <v>0</v>
      </c>
      <c r="AA1463"/>
      <c r="AB1463"/>
      <c r="AC1463"/>
      <c r="AD1463"/>
      <c r="AE1463">
        <v>0</v>
      </c>
      <c r="AF1463"/>
      <c r="AG1463"/>
      <c r="AH1463"/>
    </row>
    <row r="1464" spans="1:34" x14ac:dyDescent="0.25">
      <c r="A1464" t="s">
        <v>3442</v>
      </c>
      <c r="B1464" t="s">
        <v>3443</v>
      </c>
      <c r="C1464"/>
      <c r="D1464" t="s">
        <v>1778</v>
      </c>
      <c r="E1464" t="s">
        <v>1916</v>
      </c>
      <c r="F1464" t="s">
        <v>1935</v>
      </c>
      <c r="G1464" t="s">
        <v>280</v>
      </c>
      <c r="H1464" t="s">
        <v>1936</v>
      </c>
      <c r="I1464" t="s">
        <v>35</v>
      </c>
      <c r="J1464"/>
      <c r="K1464">
        <v>1</v>
      </c>
      <c r="L1464">
        <v>1</v>
      </c>
      <c r="M1464" t="s">
        <v>33</v>
      </c>
      <c r="N1464">
        <v>1</v>
      </c>
      <c r="O1464"/>
      <c r="P1464">
        <v>0</v>
      </c>
      <c r="Q1464" t="s">
        <v>38</v>
      </c>
      <c r="R1464">
        <v>1</v>
      </c>
      <c r="S1464">
        <v>0</v>
      </c>
      <c r="T1464"/>
      <c r="U1464"/>
      <c r="V1464"/>
      <c r="W1464"/>
      <c r="X1464">
        <v>0</v>
      </c>
      <c r="Y1464"/>
      <c r="Z1464">
        <v>0</v>
      </c>
      <c r="AA1464"/>
      <c r="AB1464"/>
      <c r="AC1464"/>
      <c r="AD1464"/>
      <c r="AE1464">
        <v>0</v>
      </c>
      <c r="AF1464"/>
      <c r="AG1464"/>
      <c r="AH1464"/>
    </row>
    <row r="1465" spans="1:34" x14ac:dyDescent="0.25">
      <c r="A1465" t="s">
        <v>3406</v>
      </c>
      <c r="B1465" t="s">
        <v>3407</v>
      </c>
      <c r="C1465"/>
      <c r="D1465" t="s">
        <v>1778</v>
      </c>
      <c r="E1465" t="s">
        <v>1916</v>
      </c>
      <c r="F1465" t="s">
        <v>1937</v>
      </c>
      <c r="G1465" t="s">
        <v>280</v>
      </c>
      <c r="H1465" t="s">
        <v>1936</v>
      </c>
      <c r="I1465" t="s">
        <v>35</v>
      </c>
      <c r="J1465"/>
      <c r="K1465">
        <v>1</v>
      </c>
      <c r="L1465">
        <v>1</v>
      </c>
      <c r="M1465" t="s">
        <v>33</v>
      </c>
      <c r="N1465">
        <v>1</v>
      </c>
      <c r="O1465"/>
      <c r="P1465">
        <v>0</v>
      </c>
      <c r="Q1465" t="s">
        <v>38</v>
      </c>
      <c r="R1465">
        <v>1</v>
      </c>
      <c r="S1465">
        <v>0</v>
      </c>
      <c r="T1465"/>
      <c r="U1465"/>
      <c r="V1465"/>
      <c r="W1465"/>
      <c r="X1465">
        <v>0</v>
      </c>
      <c r="Y1465"/>
      <c r="Z1465">
        <v>0</v>
      </c>
      <c r="AA1465"/>
      <c r="AB1465"/>
      <c r="AC1465"/>
      <c r="AD1465"/>
      <c r="AE1465">
        <v>0</v>
      </c>
      <c r="AF1465"/>
      <c r="AG1465"/>
      <c r="AH1465"/>
    </row>
    <row r="1466" spans="1:34" x14ac:dyDescent="0.25">
      <c r="A1466" t="s">
        <v>3408</v>
      </c>
      <c r="B1466" t="s">
        <v>3409</v>
      </c>
      <c r="C1466"/>
      <c r="D1466" t="s">
        <v>1778</v>
      </c>
      <c r="E1466" t="s">
        <v>1916</v>
      </c>
      <c r="F1466" t="s">
        <v>1937</v>
      </c>
      <c r="G1466" t="s">
        <v>280</v>
      </c>
      <c r="H1466" t="s">
        <v>1936</v>
      </c>
      <c r="I1466" t="s">
        <v>35</v>
      </c>
      <c r="J1466"/>
      <c r="K1466">
        <v>1</v>
      </c>
      <c r="L1466">
        <v>1</v>
      </c>
      <c r="M1466" t="s">
        <v>33</v>
      </c>
      <c r="N1466">
        <v>1</v>
      </c>
      <c r="O1466"/>
      <c r="P1466">
        <v>0</v>
      </c>
      <c r="Q1466" t="s">
        <v>38</v>
      </c>
      <c r="R1466">
        <v>1</v>
      </c>
      <c r="S1466">
        <v>0</v>
      </c>
      <c r="T1466"/>
      <c r="U1466"/>
      <c r="V1466"/>
      <c r="W1466"/>
      <c r="X1466">
        <v>0</v>
      </c>
      <c r="Y1466"/>
      <c r="Z1466">
        <v>0</v>
      </c>
      <c r="AA1466"/>
      <c r="AB1466"/>
      <c r="AC1466"/>
      <c r="AD1466"/>
      <c r="AE1466">
        <v>0</v>
      </c>
      <c r="AF1466"/>
      <c r="AG1466"/>
      <c r="AH1466"/>
    </row>
    <row r="1467" spans="1:34" x14ac:dyDescent="0.25">
      <c r="A1467" t="s">
        <v>3440</v>
      </c>
      <c r="B1467" t="s">
        <v>3441</v>
      </c>
      <c r="C1467"/>
      <c r="D1467" t="s">
        <v>1778</v>
      </c>
      <c r="E1467" t="s">
        <v>1916</v>
      </c>
      <c r="F1467" t="s">
        <v>1937</v>
      </c>
      <c r="G1467" t="s">
        <v>280</v>
      </c>
      <c r="H1467" t="s">
        <v>1936</v>
      </c>
      <c r="I1467" t="s">
        <v>35</v>
      </c>
      <c r="J1467"/>
      <c r="K1467">
        <v>1</v>
      </c>
      <c r="L1467">
        <v>1</v>
      </c>
      <c r="M1467" t="s">
        <v>33</v>
      </c>
      <c r="N1467">
        <v>1</v>
      </c>
      <c r="O1467"/>
      <c r="P1467">
        <v>0</v>
      </c>
      <c r="Q1467" t="s">
        <v>38</v>
      </c>
      <c r="R1467">
        <v>1</v>
      </c>
      <c r="S1467">
        <v>0</v>
      </c>
      <c r="T1467"/>
      <c r="U1467"/>
      <c r="V1467"/>
      <c r="W1467"/>
      <c r="X1467">
        <v>0</v>
      </c>
      <c r="Y1467"/>
      <c r="Z1467">
        <v>0</v>
      </c>
      <c r="AA1467"/>
      <c r="AB1467"/>
      <c r="AC1467"/>
      <c r="AD1467"/>
      <c r="AE1467">
        <v>0</v>
      </c>
      <c r="AF1467"/>
      <c r="AG1467"/>
      <c r="AH1467"/>
    </row>
    <row r="1468" spans="1:34" x14ac:dyDescent="0.25">
      <c r="A1468" t="s">
        <v>3442</v>
      </c>
      <c r="B1468" t="s">
        <v>3443</v>
      </c>
      <c r="C1468"/>
      <c r="D1468" t="s">
        <v>1778</v>
      </c>
      <c r="E1468" t="s">
        <v>1916</v>
      </c>
      <c r="F1468" t="s">
        <v>1937</v>
      </c>
      <c r="G1468" t="s">
        <v>280</v>
      </c>
      <c r="H1468" t="s">
        <v>1936</v>
      </c>
      <c r="I1468" t="s">
        <v>35</v>
      </c>
      <c r="J1468"/>
      <c r="K1468">
        <v>1</v>
      </c>
      <c r="L1468">
        <v>1</v>
      </c>
      <c r="M1468" t="s">
        <v>33</v>
      </c>
      <c r="N1468">
        <v>1</v>
      </c>
      <c r="O1468"/>
      <c r="P1468">
        <v>0</v>
      </c>
      <c r="Q1468" t="s">
        <v>38</v>
      </c>
      <c r="R1468">
        <v>1</v>
      </c>
      <c r="S1468">
        <v>0</v>
      </c>
      <c r="T1468"/>
      <c r="U1468"/>
      <c r="V1468"/>
      <c r="W1468"/>
      <c r="X1468">
        <v>0</v>
      </c>
      <c r="Y1468"/>
      <c r="Z1468">
        <v>0</v>
      </c>
      <c r="AA1468"/>
      <c r="AB1468"/>
      <c r="AC1468"/>
      <c r="AD1468"/>
      <c r="AE1468">
        <v>0</v>
      </c>
      <c r="AF1468"/>
      <c r="AG1468"/>
      <c r="AH1468"/>
    </row>
    <row r="1469" spans="1:34" x14ac:dyDescent="0.25">
      <c r="A1469" t="s">
        <v>3406</v>
      </c>
      <c r="B1469" t="s">
        <v>3407</v>
      </c>
      <c r="C1469"/>
      <c r="D1469" t="s">
        <v>1778</v>
      </c>
      <c r="E1469" t="s">
        <v>1916</v>
      </c>
      <c r="F1469" t="s">
        <v>1938</v>
      </c>
      <c r="G1469" t="s">
        <v>280</v>
      </c>
      <c r="H1469" t="s">
        <v>1939</v>
      </c>
      <c r="I1469" t="s">
        <v>35</v>
      </c>
      <c r="J1469"/>
      <c r="K1469">
        <v>1</v>
      </c>
      <c r="L1469">
        <v>1</v>
      </c>
      <c r="M1469" t="s">
        <v>33</v>
      </c>
      <c r="N1469">
        <v>1</v>
      </c>
      <c r="O1469"/>
      <c r="P1469">
        <v>0</v>
      </c>
      <c r="Q1469" t="s">
        <v>38</v>
      </c>
      <c r="R1469">
        <v>1</v>
      </c>
      <c r="S1469">
        <v>0</v>
      </c>
      <c r="T1469"/>
      <c r="U1469"/>
      <c r="V1469"/>
      <c r="W1469"/>
      <c r="X1469">
        <v>0</v>
      </c>
      <c r="Y1469"/>
      <c r="Z1469">
        <v>0</v>
      </c>
      <c r="AA1469"/>
      <c r="AB1469"/>
      <c r="AC1469"/>
      <c r="AD1469"/>
      <c r="AE1469">
        <v>0</v>
      </c>
      <c r="AF1469"/>
      <c r="AG1469"/>
      <c r="AH1469"/>
    </row>
    <row r="1470" spans="1:34" x14ac:dyDescent="0.25">
      <c r="A1470" t="s">
        <v>3408</v>
      </c>
      <c r="B1470" t="s">
        <v>3409</v>
      </c>
      <c r="C1470"/>
      <c r="D1470" t="s">
        <v>1778</v>
      </c>
      <c r="E1470" t="s">
        <v>1916</v>
      </c>
      <c r="F1470" t="s">
        <v>1938</v>
      </c>
      <c r="G1470" t="s">
        <v>280</v>
      </c>
      <c r="H1470" t="s">
        <v>1939</v>
      </c>
      <c r="I1470" t="s">
        <v>35</v>
      </c>
      <c r="J1470"/>
      <c r="K1470">
        <v>1</v>
      </c>
      <c r="L1470">
        <v>1</v>
      </c>
      <c r="M1470" t="s">
        <v>33</v>
      </c>
      <c r="N1470">
        <v>1</v>
      </c>
      <c r="O1470"/>
      <c r="P1470">
        <v>0</v>
      </c>
      <c r="Q1470" t="s">
        <v>38</v>
      </c>
      <c r="R1470">
        <v>1</v>
      </c>
      <c r="S1470">
        <v>0</v>
      </c>
      <c r="T1470"/>
      <c r="U1470"/>
      <c r="V1470"/>
      <c r="W1470"/>
      <c r="X1470">
        <v>0</v>
      </c>
      <c r="Y1470"/>
      <c r="Z1470">
        <v>0</v>
      </c>
      <c r="AA1470"/>
      <c r="AB1470"/>
      <c r="AC1470"/>
      <c r="AD1470"/>
      <c r="AE1470">
        <v>0</v>
      </c>
      <c r="AF1470"/>
      <c r="AG1470"/>
      <c r="AH1470"/>
    </row>
    <row r="1471" spans="1:34" x14ac:dyDescent="0.25">
      <c r="A1471" t="s">
        <v>3440</v>
      </c>
      <c r="B1471" t="s">
        <v>3441</v>
      </c>
      <c r="C1471"/>
      <c r="D1471" t="s">
        <v>1778</v>
      </c>
      <c r="E1471" t="s">
        <v>1916</v>
      </c>
      <c r="F1471" t="s">
        <v>1938</v>
      </c>
      <c r="G1471" t="s">
        <v>280</v>
      </c>
      <c r="H1471" t="s">
        <v>1939</v>
      </c>
      <c r="I1471" t="s">
        <v>35</v>
      </c>
      <c r="J1471"/>
      <c r="K1471">
        <v>1</v>
      </c>
      <c r="L1471">
        <v>1</v>
      </c>
      <c r="M1471" t="s">
        <v>33</v>
      </c>
      <c r="N1471">
        <v>1</v>
      </c>
      <c r="O1471"/>
      <c r="P1471">
        <v>0</v>
      </c>
      <c r="Q1471" t="s">
        <v>38</v>
      </c>
      <c r="R1471">
        <v>1</v>
      </c>
      <c r="S1471">
        <v>0</v>
      </c>
      <c r="T1471"/>
      <c r="U1471"/>
      <c r="V1471"/>
      <c r="W1471"/>
      <c r="X1471">
        <v>0</v>
      </c>
      <c r="Y1471"/>
      <c r="Z1471">
        <v>0</v>
      </c>
      <c r="AA1471"/>
      <c r="AB1471"/>
      <c r="AC1471"/>
      <c r="AD1471"/>
      <c r="AE1471">
        <v>0</v>
      </c>
      <c r="AF1471"/>
      <c r="AG1471"/>
      <c r="AH1471"/>
    </row>
    <row r="1472" spans="1:34" x14ac:dyDescent="0.25">
      <c r="A1472" t="s">
        <v>3442</v>
      </c>
      <c r="B1472" t="s">
        <v>3443</v>
      </c>
      <c r="C1472"/>
      <c r="D1472" t="s">
        <v>1778</v>
      </c>
      <c r="E1472" t="s">
        <v>1916</v>
      </c>
      <c r="F1472" t="s">
        <v>1938</v>
      </c>
      <c r="G1472" t="s">
        <v>280</v>
      </c>
      <c r="H1472" t="s">
        <v>1939</v>
      </c>
      <c r="I1472" t="s">
        <v>35</v>
      </c>
      <c r="J1472"/>
      <c r="K1472">
        <v>1</v>
      </c>
      <c r="L1472">
        <v>1</v>
      </c>
      <c r="M1472" t="s">
        <v>33</v>
      </c>
      <c r="N1472">
        <v>1</v>
      </c>
      <c r="O1472"/>
      <c r="P1472">
        <v>0</v>
      </c>
      <c r="Q1472" t="s">
        <v>38</v>
      </c>
      <c r="R1472">
        <v>1</v>
      </c>
      <c r="S1472">
        <v>0</v>
      </c>
      <c r="T1472"/>
      <c r="U1472"/>
      <c r="V1472"/>
      <c r="W1472"/>
      <c r="X1472">
        <v>0</v>
      </c>
      <c r="Y1472"/>
      <c r="Z1472">
        <v>0</v>
      </c>
      <c r="AA1472"/>
      <c r="AB1472"/>
      <c r="AC1472"/>
      <c r="AD1472"/>
      <c r="AE1472">
        <v>0</v>
      </c>
      <c r="AF1472"/>
      <c r="AG1472"/>
      <c r="AH1472"/>
    </row>
    <row r="1473" spans="1:34" x14ac:dyDescent="0.25">
      <c r="A1473" t="s">
        <v>3406</v>
      </c>
      <c r="B1473" t="s">
        <v>3407</v>
      </c>
      <c r="C1473"/>
      <c r="D1473" t="s">
        <v>1778</v>
      </c>
      <c r="E1473" t="s">
        <v>1916</v>
      </c>
      <c r="F1473" t="s">
        <v>1940</v>
      </c>
      <c r="G1473" t="s">
        <v>280</v>
      </c>
      <c r="H1473" t="s">
        <v>1941</v>
      </c>
      <c r="I1473" t="s">
        <v>35</v>
      </c>
      <c r="J1473"/>
      <c r="K1473">
        <v>1</v>
      </c>
      <c r="L1473">
        <v>1</v>
      </c>
      <c r="M1473" t="s">
        <v>33</v>
      </c>
      <c r="N1473">
        <v>1</v>
      </c>
      <c r="O1473"/>
      <c r="P1473">
        <v>0</v>
      </c>
      <c r="Q1473" t="s">
        <v>38</v>
      </c>
      <c r="R1473">
        <v>1</v>
      </c>
      <c r="S1473">
        <v>0</v>
      </c>
      <c r="T1473"/>
      <c r="U1473"/>
      <c r="V1473"/>
      <c r="W1473"/>
      <c r="X1473">
        <v>0</v>
      </c>
      <c r="Y1473"/>
      <c r="Z1473">
        <v>0</v>
      </c>
      <c r="AA1473"/>
      <c r="AB1473"/>
      <c r="AC1473"/>
      <c r="AD1473"/>
      <c r="AE1473">
        <v>0</v>
      </c>
      <c r="AF1473"/>
      <c r="AG1473"/>
      <c r="AH1473"/>
    </row>
    <row r="1474" spans="1:34" x14ac:dyDescent="0.25">
      <c r="A1474" t="s">
        <v>3408</v>
      </c>
      <c r="B1474" t="s">
        <v>3409</v>
      </c>
      <c r="C1474"/>
      <c r="D1474" t="s">
        <v>1778</v>
      </c>
      <c r="E1474" t="s">
        <v>1916</v>
      </c>
      <c r="F1474" t="s">
        <v>1940</v>
      </c>
      <c r="G1474" t="s">
        <v>280</v>
      </c>
      <c r="H1474" t="s">
        <v>1941</v>
      </c>
      <c r="I1474" t="s">
        <v>35</v>
      </c>
      <c r="J1474"/>
      <c r="K1474">
        <v>1</v>
      </c>
      <c r="L1474">
        <v>1</v>
      </c>
      <c r="M1474" t="s">
        <v>33</v>
      </c>
      <c r="N1474">
        <v>1</v>
      </c>
      <c r="O1474"/>
      <c r="P1474">
        <v>0</v>
      </c>
      <c r="Q1474" t="s">
        <v>38</v>
      </c>
      <c r="R1474">
        <v>1</v>
      </c>
      <c r="S1474">
        <v>0</v>
      </c>
      <c r="T1474"/>
      <c r="U1474"/>
      <c r="V1474"/>
      <c r="W1474"/>
      <c r="X1474">
        <v>0</v>
      </c>
      <c r="Y1474"/>
      <c r="Z1474">
        <v>0</v>
      </c>
      <c r="AA1474"/>
      <c r="AB1474"/>
      <c r="AC1474"/>
      <c r="AD1474"/>
      <c r="AE1474">
        <v>0</v>
      </c>
      <c r="AF1474"/>
      <c r="AG1474"/>
      <c r="AH1474"/>
    </row>
    <row r="1475" spans="1:34" x14ac:dyDescent="0.25">
      <c r="A1475" t="s">
        <v>3440</v>
      </c>
      <c r="B1475" t="s">
        <v>3441</v>
      </c>
      <c r="C1475"/>
      <c r="D1475" t="s">
        <v>1778</v>
      </c>
      <c r="E1475" t="s">
        <v>1916</v>
      </c>
      <c r="F1475" t="s">
        <v>1940</v>
      </c>
      <c r="G1475" t="s">
        <v>280</v>
      </c>
      <c r="H1475" t="s">
        <v>1941</v>
      </c>
      <c r="I1475" t="s">
        <v>35</v>
      </c>
      <c r="J1475"/>
      <c r="K1475">
        <v>1</v>
      </c>
      <c r="L1475">
        <v>1</v>
      </c>
      <c r="M1475" t="s">
        <v>33</v>
      </c>
      <c r="N1475">
        <v>1</v>
      </c>
      <c r="O1475"/>
      <c r="P1475">
        <v>0</v>
      </c>
      <c r="Q1475" t="s">
        <v>38</v>
      </c>
      <c r="R1475">
        <v>1</v>
      </c>
      <c r="S1475">
        <v>0</v>
      </c>
      <c r="T1475"/>
      <c r="U1475"/>
      <c r="V1475"/>
      <c r="W1475"/>
      <c r="X1475">
        <v>0</v>
      </c>
      <c r="Y1475"/>
      <c r="Z1475">
        <v>0</v>
      </c>
      <c r="AA1475"/>
      <c r="AB1475"/>
      <c r="AC1475"/>
      <c r="AD1475"/>
      <c r="AE1475">
        <v>0</v>
      </c>
      <c r="AF1475"/>
      <c r="AG1475"/>
      <c r="AH1475"/>
    </row>
    <row r="1476" spans="1:34" x14ac:dyDescent="0.25">
      <c r="A1476" t="s">
        <v>3442</v>
      </c>
      <c r="B1476" t="s">
        <v>3443</v>
      </c>
      <c r="C1476"/>
      <c r="D1476" t="s">
        <v>1778</v>
      </c>
      <c r="E1476" t="s">
        <v>1916</v>
      </c>
      <c r="F1476" t="s">
        <v>1940</v>
      </c>
      <c r="G1476" t="s">
        <v>280</v>
      </c>
      <c r="H1476" t="s">
        <v>1941</v>
      </c>
      <c r="I1476" t="s">
        <v>35</v>
      </c>
      <c r="J1476"/>
      <c r="K1476">
        <v>1</v>
      </c>
      <c r="L1476">
        <v>1</v>
      </c>
      <c r="M1476" t="s">
        <v>33</v>
      </c>
      <c r="N1476">
        <v>1</v>
      </c>
      <c r="O1476"/>
      <c r="P1476">
        <v>0</v>
      </c>
      <c r="Q1476" t="s">
        <v>38</v>
      </c>
      <c r="R1476">
        <v>1</v>
      </c>
      <c r="S1476">
        <v>0</v>
      </c>
      <c r="T1476"/>
      <c r="U1476"/>
      <c r="V1476"/>
      <c r="W1476"/>
      <c r="X1476">
        <v>0</v>
      </c>
      <c r="Y1476"/>
      <c r="Z1476">
        <v>0</v>
      </c>
      <c r="AA1476"/>
      <c r="AB1476"/>
      <c r="AC1476"/>
      <c r="AD1476"/>
      <c r="AE1476">
        <v>0</v>
      </c>
      <c r="AF1476"/>
      <c r="AG1476"/>
      <c r="AH1476"/>
    </row>
    <row r="1477" spans="1:34" x14ac:dyDescent="0.25">
      <c r="A1477" t="s">
        <v>3406</v>
      </c>
      <c r="B1477" t="s">
        <v>3407</v>
      </c>
      <c r="C1477"/>
      <c r="D1477" t="s">
        <v>1778</v>
      </c>
      <c r="E1477" t="s">
        <v>1916</v>
      </c>
      <c r="F1477" t="s">
        <v>1942</v>
      </c>
      <c r="G1477" t="s">
        <v>280</v>
      </c>
      <c r="H1477" t="s">
        <v>1943</v>
      </c>
      <c r="I1477" t="s">
        <v>35</v>
      </c>
      <c r="J1477"/>
      <c r="K1477">
        <v>1</v>
      </c>
      <c r="L1477">
        <v>1</v>
      </c>
      <c r="M1477" t="s">
        <v>33</v>
      </c>
      <c r="N1477">
        <v>1</v>
      </c>
      <c r="O1477"/>
      <c r="P1477">
        <v>0</v>
      </c>
      <c r="Q1477" t="s">
        <v>38</v>
      </c>
      <c r="R1477">
        <v>1</v>
      </c>
      <c r="S1477">
        <v>0</v>
      </c>
      <c r="T1477"/>
      <c r="U1477"/>
      <c r="V1477"/>
      <c r="W1477"/>
      <c r="X1477">
        <v>0</v>
      </c>
      <c r="Y1477"/>
      <c r="Z1477">
        <v>0</v>
      </c>
      <c r="AA1477"/>
      <c r="AB1477"/>
      <c r="AC1477"/>
      <c r="AD1477"/>
      <c r="AE1477">
        <v>0</v>
      </c>
      <c r="AF1477"/>
      <c r="AG1477"/>
      <c r="AH1477"/>
    </row>
    <row r="1478" spans="1:34" x14ac:dyDescent="0.25">
      <c r="A1478" t="s">
        <v>3408</v>
      </c>
      <c r="B1478" t="s">
        <v>3409</v>
      </c>
      <c r="C1478"/>
      <c r="D1478" t="s">
        <v>1778</v>
      </c>
      <c r="E1478" t="s">
        <v>1916</v>
      </c>
      <c r="F1478" t="s">
        <v>1942</v>
      </c>
      <c r="G1478" t="s">
        <v>280</v>
      </c>
      <c r="H1478" t="s">
        <v>1943</v>
      </c>
      <c r="I1478" t="s">
        <v>35</v>
      </c>
      <c r="J1478"/>
      <c r="K1478">
        <v>1</v>
      </c>
      <c r="L1478">
        <v>1</v>
      </c>
      <c r="M1478" t="s">
        <v>33</v>
      </c>
      <c r="N1478">
        <v>1</v>
      </c>
      <c r="O1478"/>
      <c r="P1478">
        <v>0</v>
      </c>
      <c r="Q1478" t="s">
        <v>38</v>
      </c>
      <c r="R1478">
        <v>1</v>
      </c>
      <c r="S1478">
        <v>0</v>
      </c>
      <c r="T1478"/>
      <c r="U1478"/>
      <c r="V1478"/>
      <c r="W1478"/>
      <c r="X1478">
        <v>0</v>
      </c>
      <c r="Y1478"/>
      <c r="Z1478">
        <v>0</v>
      </c>
      <c r="AA1478"/>
      <c r="AB1478"/>
      <c r="AC1478"/>
      <c r="AD1478"/>
      <c r="AE1478">
        <v>0</v>
      </c>
      <c r="AF1478"/>
      <c r="AG1478"/>
      <c r="AH1478"/>
    </row>
    <row r="1479" spans="1:34" x14ac:dyDescent="0.25">
      <c r="A1479" t="s">
        <v>3440</v>
      </c>
      <c r="B1479" t="s">
        <v>3441</v>
      </c>
      <c r="C1479"/>
      <c r="D1479" t="s">
        <v>1778</v>
      </c>
      <c r="E1479" t="s">
        <v>1916</v>
      </c>
      <c r="F1479" t="s">
        <v>1942</v>
      </c>
      <c r="G1479" t="s">
        <v>280</v>
      </c>
      <c r="H1479" t="s">
        <v>1943</v>
      </c>
      <c r="I1479" t="s">
        <v>35</v>
      </c>
      <c r="J1479"/>
      <c r="K1479">
        <v>1</v>
      </c>
      <c r="L1479">
        <v>1</v>
      </c>
      <c r="M1479" t="s">
        <v>33</v>
      </c>
      <c r="N1479">
        <v>1</v>
      </c>
      <c r="O1479"/>
      <c r="P1479">
        <v>0</v>
      </c>
      <c r="Q1479" t="s">
        <v>38</v>
      </c>
      <c r="R1479">
        <v>1</v>
      </c>
      <c r="S1479">
        <v>0</v>
      </c>
      <c r="T1479"/>
      <c r="U1479"/>
      <c r="V1479"/>
      <c r="W1479"/>
      <c r="X1479">
        <v>0</v>
      </c>
      <c r="Y1479"/>
      <c r="Z1479">
        <v>0</v>
      </c>
      <c r="AA1479"/>
      <c r="AB1479"/>
      <c r="AC1479"/>
      <c r="AD1479"/>
      <c r="AE1479">
        <v>0</v>
      </c>
      <c r="AF1479"/>
      <c r="AG1479"/>
      <c r="AH1479"/>
    </row>
    <row r="1480" spans="1:34" x14ac:dyDescent="0.25">
      <c r="A1480" t="s">
        <v>3442</v>
      </c>
      <c r="B1480" t="s">
        <v>3443</v>
      </c>
      <c r="C1480"/>
      <c r="D1480" t="s">
        <v>1778</v>
      </c>
      <c r="E1480" t="s">
        <v>1916</v>
      </c>
      <c r="F1480" t="s">
        <v>1942</v>
      </c>
      <c r="G1480" t="s">
        <v>280</v>
      </c>
      <c r="H1480" t="s">
        <v>1943</v>
      </c>
      <c r="I1480" t="s">
        <v>35</v>
      </c>
      <c r="J1480"/>
      <c r="K1480">
        <v>1</v>
      </c>
      <c r="L1480">
        <v>1</v>
      </c>
      <c r="M1480" t="s">
        <v>33</v>
      </c>
      <c r="N1480">
        <v>1</v>
      </c>
      <c r="O1480"/>
      <c r="P1480">
        <v>0</v>
      </c>
      <c r="Q1480" t="s">
        <v>38</v>
      </c>
      <c r="R1480">
        <v>1</v>
      </c>
      <c r="S1480">
        <v>0</v>
      </c>
      <c r="T1480"/>
      <c r="U1480"/>
      <c r="V1480"/>
      <c r="W1480"/>
      <c r="X1480">
        <v>0</v>
      </c>
      <c r="Y1480"/>
      <c r="Z1480">
        <v>0</v>
      </c>
      <c r="AA1480"/>
      <c r="AB1480"/>
      <c r="AC1480"/>
      <c r="AD1480"/>
      <c r="AE1480">
        <v>0</v>
      </c>
      <c r="AF1480"/>
      <c r="AG1480"/>
      <c r="AH1480"/>
    </row>
    <row r="1481" spans="1:34" x14ac:dyDescent="0.25">
      <c r="A1481" t="s">
        <v>3406</v>
      </c>
      <c r="B1481" t="s">
        <v>3407</v>
      </c>
      <c r="C1481"/>
      <c r="D1481" t="s">
        <v>1778</v>
      </c>
      <c r="E1481" t="s">
        <v>1916</v>
      </c>
      <c r="F1481" t="s">
        <v>1944</v>
      </c>
      <c r="G1481" t="s">
        <v>280</v>
      </c>
      <c r="H1481" t="s">
        <v>1943</v>
      </c>
      <c r="I1481" t="s">
        <v>35</v>
      </c>
      <c r="J1481"/>
      <c r="K1481">
        <v>1</v>
      </c>
      <c r="L1481">
        <v>1</v>
      </c>
      <c r="M1481" t="s">
        <v>33</v>
      </c>
      <c r="N1481">
        <v>1</v>
      </c>
      <c r="O1481"/>
      <c r="P1481">
        <v>0</v>
      </c>
      <c r="Q1481" t="s">
        <v>38</v>
      </c>
      <c r="R1481">
        <v>1</v>
      </c>
      <c r="S1481">
        <v>0</v>
      </c>
      <c r="T1481"/>
      <c r="U1481"/>
      <c r="V1481"/>
      <c r="W1481"/>
      <c r="X1481">
        <v>0</v>
      </c>
      <c r="Y1481"/>
      <c r="Z1481">
        <v>0</v>
      </c>
      <c r="AA1481"/>
      <c r="AB1481"/>
      <c r="AC1481"/>
      <c r="AD1481"/>
      <c r="AE1481">
        <v>0</v>
      </c>
      <c r="AF1481"/>
      <c r="AG1481"/>
      <c r="AH1481"/>
    </row>
    <row r="1482" spans="1:34" x14ac:dyDescent="0.25">
      <c r="A1482" t="s">
        <v>3408</v>
      </c>
      <c r="B1482" t="s">
        <v>3409</v>
      </c>
      <c r="C1482"/>
      <c r="D1482" t="s">
        <v>1778</v>
      </c>
      <c r="E1482" t="s">
        <v>1916</v>
      </c>
      <c r="F1482" t="s">
        <v>1944</v>
      </c>
      <c r="G1482" t="s">
        <v>280</v>
      </c>
      <c r="H1482" t="s">
        <v>1943</v>
      </c>
      <c r="I1482" t="s">
        <v>35</v>
      </c>
      <c r="J1482"/>
      <c r="K1482">
        <v>1</v>
      </c>
      <c r="L1482">
        <v>1</v>
      </c>
      <c r="M1482" t="s">
        <v>33</v>
      </c>
      <c r="N1482">
        <v>1</v>
      </c>
      <c r="O1482"/>
      <c r="P1482">
        <v>0</v>
      </c>
      <c r="Q1482" t="s">
        <v>38</v>
      </c>
      <c r="R1482">
        <v>1</v>
      </c>
      <c r="S1482">
        <v>0</v>
      </c>
      <c r="T1482"/>
      <c r="U1482"/>
      <c r="V1482"/>
      <c r="W1482"/>
      <c r="X1482">
        <v>0</v>
      </c>
      <c r="Y1482"/>
      <c r="Z1482">
        <v>0</v>
      </c>
      <c r="AA1482"/>
      <c r="AB1482"/>
      <c r="AC1482"/>
      <c r="AD1482"/>
      <c r="AE1482">
        <v>0</v>
      </c>
      <c r="AF1482"/>
      <c r="AG1482"/>
      <c r="AH1482"/>
    </row>
    <row r="1483" spans="1:34" x14ac:dyDescent="0.25">
      <c r="A1483" t="s">
        <v>3440</v>
      </c>
      <c r="B1483" t="s">
        <v>3441</v>
      </c>
      <c r="C1483"/>
      <c r="D1483" t="s">
        <v>1778</v>
      </c>
      <c r="E1483" t="s">
        <v>1916</v>
      </c>
      <c r="F1483" t="s">
        <v>1944</v>
      </c>
      <c r="G1483" t="s">
        <v>280</v>
      </c>
      <c r="H1483" t="s">
        <v>1943</v>
      </c>
      <c r="I1483" t="s">
        <v>35</v>
      </c>
      <c r="J1483"/>
      <c r="K1483">
        <v>1</v>
      </c>
      <c r="L1483">
        <v>1</v>
      </c>
      <c r="M1483" t="s">
        <v>33</v>
      </c>
      <c r="N1483">
        <v>1</v>
      </c>
      <c r="O1483"/>
      <c r="P1483">
        <v>0</v>
      </c>
      <c r="Q1483" t="s">
        <v>38</v>
      </c>
      <c r="R1483">
        <v>1</v>
      </c>
      <c r="S1483">
        <v>0</v>
      </c>
      <c r="T1483"/>
      <c r="U1483"/>
      <c r="V1483"/>
      <c r="W1483"/>
      <c r="X1483">
        <v>0</v>
      </c>
      <c r="Y1483"/>
      <c r="Z1483">
        <v>0</v>
      </c>
      <c r="AA1483"/>
      <c r="AB1483"/>
      <c r="AC1483"/>
      <c r="AD1483"/>
      <c r="AE1483">
        <v>0</v>
      </c>
      <c r="AF1483"/>
      <c r="AG1483"/>
      <c r="AH1483"/>
    </row>
    <row r="1484" spans="1:34" x14ac:dyDescent="0.25">
      <c r="A1484" t="s">
        <v>3442</v>
      </c>
      <c r="B1484" t="s">
        <v>3443</v>
      </c>
      <c r="C1484"/>
      <c r="D1484" t="s">
        <v>1778</v>
      </c>
      <c r="E1484" t="s">
        <v>1916</v>
      </c>
      <c r="F1484" t="s">
        <v>1944</v>
      </c>
      <c r="G1484" t="s">
        <v>280</v>
      </c>
      <c r="H1484" t="s">
        <v>1943</v>
      </c>
      <c r="I1484" t="s">
        <v>35</v>
      </c>
      <c r="J1484"/>
      <c r="K1484">
        <v>1</v>
      </c>
      <c r="L1484">
        <v>1</v>
      </c>
      <c r="M1484" t="s">
        <v>33</v>
      </c>
      <c r="N1484">
        <v>1</v>
      </c>
      <c r="O1484"/>
      <c r="P1484">
        <v>0</v>
      </c>
      <c r="Q1484" t="s">
        <v>38</v>
      </c>
      <c r="R1484">
        <v>1</v>
      </c>
      <c r="S1484">
        <v>0</v>
      </c>
      <c r="T1484"/>
      <c r="U1484"/>
      <c r="V1484"/>
      <c r="W1484"/>
      <c r="X1484">
        <v>0</v>
      </c>
      <c r="Y1484"/>
      <c r="Z1484">
        <v>0</v>
      </c>
      <c r="AA1484"/>
      <c r="AB1484"/>
      <c r="AC1484"/>
      <c r="AD1484"/>
      <c r="AE1484">
        <v>0</v>
      </c>
      <c r="AF1484"/>
      <c r="AG1484"/>
      <c r="AH1484"/>
    </row>
    <row r="1485" spans="1:34" x14ac:dyDescent="0.25">
      <c r="A1485" t="s">
        <v>1945</v>
      </c>
      <c r="B1485" t="s">
        <v>1946</v>
      </c>
      <c r="C1485"/>
      <c r="D1485" t="s">
        <v>1778</v>
      </c>
      <c r="E1485" t="s">
        <v>1947</v>
      </c>
      <c r="F1485" t="s">
        <v>1948</v>
      </c>
      <c r="G1485" t="s">
        <v>280</v>
      </c>
      <c r="H1485" t="s">
        <v>1949</v>
      </c>
      <c r="I1485" t="s">
        <v>41</v>
      </c>
      <c r="J1485"/>
      <c r="K1485">
        <v>1</v>
      </c>
      <c r="L1485">
        <v>1</v>
      </c>
      <c r="M1485" t="s">
        <v>33</v>
      </c>
      <c r="N1485">
        <v>1</v>
      </c>
      <c r="O1485">
        <v>0.5</v>
      </c>
      <c r="P1485">
        <v>0.5</v>
      </c>
      <c r="Q1485"/>
      <c r="R1485">
        <v>0</v>
      </c>
      <c r="S1485">
        <v>0</v>
      </c>
      <c r="T1485"/>
      <c r="U1485"/>
      <c r="V1485"/>
      <c r="W1485"/>
      <c r="X1485">
        <v>0</v>
      </c>
      <c r="Y1485"/>
      <c r="Z1485">
        <v>0</v>
      </c>
      <c r="AA1485"/>
      <c r="AB1485"/>
      <c r="AC1485"/>
      <c r="AD1485"/>
      <c r="AE1485">
        <v>0</v>
      </c>
      <c r="AF1485"/>
      <c r="AG1485"/>
      <c r="AH1485"/>
    </row>
    <row r="1486" spans="1:34" x14ac:dyDescent="0.25">
      <c r="A1486" t="s">
        <v>1945</v>
      </c>
      <c r="B1486" t="s">
        <v>1946</v>
      </c>
      <c r="C1486"/>
      <c r="D1486" t="s">
        <v>1778</v>
      </c>
      <c r="E1486" t="s">
        <v>1947</v>
      </c>
      <c r="F1486" t="s">
        <v>1950</v>
      </c>
      <c r="G1486" t="s">
        <v>280</v>
      </c>
      <c r="H1486" t="s">
        <v>1951</v>
      </c>
      <c r="I1486" t="s">
        <v>41</v>
      </c>
      <c r="J1486"/>
      <c r="K1486">
        <v>1</v>
      </c>
      <c r="L1486">
        <v>1</v>
      </c>
      <c r="M1486" t="s">
        <v>33</v>
      </c>
      <c r="N1486">
        <v>1</v>
      </c>
      <c r="O1486">
        <v>0.5</v>
      </c>
      <c r="P1486">
        <v>0.5</v>
      </c>
      <c r="Q1486"/>
      <c r="R1486">
        <v>0</v>
      </c>
      <c r="S1486">
        <v>0</v>
      </c>
      <c r="T1486"/>
      <c r="U1486"/>
      <c r="V1486"/>
      <c r="W1486"/>
      <c r="X1486">
        <v>0</v>
      </c>
      <c r="Y1486"/>
      <c r="Z1486">
        <v>0</v>
      </c>
      <c r="AA1486"/>
      <c r="AB1486"/>
      <c r="AC1486"/>
      <c r="AD1486"/>
      <c r="AE1486">
        <v>0</v>
      </c>
      <c r="AF1486"/>
      <c r="AG1486"/>
      <c r="AH1486"/>
    </row>
    <row r="1487" spans="1:34" x14ac:dyDescent="0.25">
      <c r="A1487" t="s">
        <v>1945</v>
      </c>
      <c r="B1487" t="s">
        <v>1946</v>
      </c>
      <c r="C1487"/>
      <c r="D1487" t="s">
        <v>1778</v>
      </c>
      <c r="E1487" t="s">
        <v>1947</v>
      </c>
      <c r="F1487" t="s">
        <v>1952</v>
      </c>
      <c r="G1487" t="s">
        <v>280</v>
      </c>
      <c r="H1487" t="s">
        <v>1953</v>
      </c>
      <c r="I1487" t="s">
        <v>41</v>
      </c>
      <c r="J1487"/>
      <c r="K1487">
        <v>1</v>
      </c>
      <c r="L1487">
        <v>1</v>
      </c>
      <c r="M1487" t="s">
        <v>33</v>
      </c>
      <c r="N1487">
        <v>1</v>
      </c>
      <c r="O1487">
        <v>0.5</v>
      </c>
      <c r="P1487">
        <v>0.5</v>
      </c>
      <c r="Q1487"/>
      <c r="R1487">
        <v>0</v>
      </c>
      <c r="S1487">
        <v>0</v>
      </c>
      <c r="T1487"/>
      <c r="U1487"/>
      <c r="V1487"/>
      <c r="W1487"/>
      <c r="X1487">
        <v>0</v>
      </c>
      <c r="Y1487"/>
      <c r="Z1487">
        <v>0</v>
      </c>
      <c r="AA1487"/>
      <c r="AB1487"/>
      <c r="AC1487"/>
      <c r="AD1487"/>
      <c r="AE1487">
        <v>0</v>
      </c>
      <c r="AF1487"/>
      <c r="AG1487"/>
      <c r="AH1487"/>
    </row>
    <row r="1488" spans="1:34" x14ac:dyDescent="0.25">
      <c r="A1488" t="s">
        <v>1945</v>
      </c>
      <c r="B1488" t="s">
        <v>1946</v>
      </c>
      <c r="C1488"/>
      <c r="D1488" t="s">
        <v>1778</v>
      </c>
      <c r="E1488" t="s">
        <v>1947</v>
      </c>
      <c r="F1488" t="s">
        <v>1954</v>
      </c>
      <c r="G1488" t="s">
        <v>280</v>
      </c>
      <c r="H1488" t="s">
        <v>1955</v>
      </c>
      <c r="I1488" t="s">
        <v>41</v>
      </c>
      <c r="J1488"/>
      <c r="K1488">
        <v>1</v>
      </c>
      <c r="L1488">
        <v>1</v>
      </c>
      <c r="M1488" t="s">
        <v>33</v>
      </c>
      <c r="N1488">
        <v>1</v>
      </c>
      <c r="O1488">
        <v>0.5</v>
      </c>
      <c r="P1488">
        <v>0.5</v>
      </c>
      <c r="Q1488"/>
      <c r="R1488">
        <v>0</v>
      </c>
      <c r="S1488">
        <v>0</v>
      </c>
      <c r="T1488"/>
      <c r="U1488"/>
      <c r="V1488"/>
      <c r="W1488"/>
      <c r="X1488">
        <v>0</v>
      </c>
      <c r="Y1488"/>
      <c r="Z1488">
        <v>0</v>
      </c>
      <c r="AA1488"/>
      <c r="AB1488"/>
      <c r="AC1488"/>
      <c r="AD1488"/>
      <c r="AE1488">
        <v>0</v>
      </c>
      <c r="AF1488"/>
      <c r="AG1488"/>
      <c r="AH1488"/>
    </row>
    <row r="1489" spans="1:34" x14ac:dyDescent="0.25">
      <c r="A1489" t="s">
        <v>1945</v>
      </c>
      <c r="B1489" t="s">
        <v>1946</v>
      </c>
      <c r="C1489"/>
      <c r="D1489" t="s">
        <v>1778</v>
      </c>
      <c r="E1489" t="s">
        <v>1947</v>
      </c>
      <c r="F1489" t="s">
        <v>1956</v>
      </c>
      <c r="G1489" t="s">
        <v>280</v>
      </c>
      <c r="H1489" t="s">
        <v>1957</v>
      </c>
      <c r="I1489" t="s">
        <v>41</v>
      </c>
      <c r="J1489"/>
      <c r="K1489">
        <v>1</v>
      </c>
      <c r="L1489">
        <v>1</v>
      </c>
      <c r="M1489" t="s">
        <v>33</v>
      </c>
      <c r="N1489">
        <v>1</v>
      </c>
      <c r="O1489">
        <v>0.5</v>
      </c>
      <c r="P1489">
        <v>0.5</v>
      </c>
      <c r="Q1489"/>
      <c r="R1489">
        <v>0</v>
      </c>
      <c r="S1489">
        <v>0</v>
      </c>
      <c r="T1489"/>
      <c r="U1489"/>
      <c r="V1489"/>
      <c r="W1489"/>
      <c r="X1489">
        <v>0</v>
      </c>
      <c r="Y1489"/>
      <c r="Z1489">
        <v>0</v>
      </c>
      <c r="AA1489"/>
      <c r="AB1489"/>
      <c r="AC1489"/>
      <c r="AD1489"/>
      <c r="AE1489">
        <v>0</v>
      </c>
      <c r="AF1489"/>
      <c r="AG1489"/>
      <c r="AH1489"/>
    </row>
    <row r="1490" spans="1:34" x14ac:dyDescent="0.25">
      <c r="A1490" t="s">
        <v>1945</v>
      </c>
      <c r="B1490" t="s">
        <v>1946</v>
      </c>
      <c r="C1490"/>
      <c r="D1490" t="s">
        <v>1778</v>
      </c>
      <c r="E1490" t="s">
        <v>1947</v>
      </c>
      <c r="F1490" t="s">
        <v>1958</v>
      </c>
      <c r="G1490" t="s">
        <v>280</v>
      </c>
      <c r="H1490" t="s">
        <v>1959</v>
      </c>
      <c r="I1490" t="s">
        <v>41</v>
      </c>
      <c r="J1490"/>
      <c r="K1490">
        <v>1</v>
      </c>
      <c r="L1490">
        <v>1</v>
      </c>
      <c r="M1490" t="s">
        <v>33</v>
      </c>
      <c r="N1490">
        <v>1</v>
      </c>
      <c r="O1490">
        <v>0.5</v>
      </c>
      <c r="P1490">
        <v>0.5</v>
      </c>
      <c r="Q1490"/>
      <c r="R1490">
        <v>0</v>
      </c>
      <c r="S1490">
        <v>0</v>
      </c>
      <c r="T1490"/>
      <c r="U1490"/>
      <c r="V1490"/>
      <c r="W1490"/>
      <c r="X1490">
        <v>0</v>
      </c>
      <c r="Y1490"/>
      <c r="Z1490">
        <v>0</v>
      </c>
      <c r="AA1490"/>
      <c r="AB1490"/>
      <c r="AC1490"/>
      <c r="AD1490"/>
      <c r="AE1490">
        <v>0</v>
      </c>
      <c r="AF1490"/>
      <c r="AG1490"/>
      <c r="AH1490"/>
    </row>
    <row r="1491" spans="1:34" x14ac:dyDescent="0.25">
      <c r="A1491" t="s">
        <v>1945</v>
      </c>
      <c r="B1491" t="s">
        <v>1946</v>
      </c>
      <c r="C1491"/>
      <c r="D1491" t="s">
        <v>1778</v>
      </c>
      <c r="E1491" t="s">
        <v>1947</v>
      </c>
      <c r="F1491" t="s">
        <v>1960</v>
      </c>
      <c r="G1491" t="s">
        <v>280</v>
      </c>
      <c r="H1491" t="s">
        <v>1961</v>
      </c>
      <c r="I1491" t="s">
        <v>41</v>
      </c>
      <c r="J1491"/>
      <c r="K1491">
        <v>1</v>
      </c>
      <c r="L1491">
        <v>1</v>
      </c>
      <c r="M1491" t="s">
        <v>33</v>
      </c>
      <c r="N1491">
        <v>1</v>
      </c>
      <c r="O1491">
        <v>0.5</v>
      </c>
      <c r="P1491">
        <v>0.5</v>
      </c>
      <c r="Q1491"/>
      <c r="R1491">
        <v>0</v>
      </c>
      <c r="S1491">
        <v>0</v>
      </c>
      <c r="T1491"/>
      <c r="U1491"/>
      <c r="V1491"/>
      <c r="W1491"/>
      <c r="X1491">
        <v>0</v>
      </c>
      <c r="Y1491"/>
      <c r="Z1491">
        <v>0</v>
      </c>
      <c r="AA1491"/>
      <c r="AB1491"/>
      <c r="AC1491"/>
      <c r="AD1491"/>
      <c r="AE1491">
        <v>0</v>
      </c>
      <c r="AF1491"/>
      <c r="AG1491"/>
      <c r="AH1491"/>
    </row>
    <row r="1492" spans="1:34" x14ac:dyDescent="0.25">
      <c r="A1492" t="s">
        <v>1945</v>
      </c>
      <c r="B1492" t="s">
        <v>1946</v>
      </c>
      <c r="C1492"/>
      <c r="D1492" t="s">
        <v>1778</v>
      </c>
      <c r="E1492" t="s">
        <v>1947</v>
      </c>
      <c r="F1492" t="s">
        <v>1962</v>
      </c>
      <c r="G1492" t="s">
        <v>280</v>
      </c>
      <c r="H1492" t="s">
        <v>1963</v>
      </c>
      <c r="I1492" t="s">
        <v>41</v>
      </c>
      <c r="J1492"/>
      <c r="K1492">
        <v>1</v>
      </c>
      <c r="L1492">
        <v>1</v>
      </c>
      <c r="M1492" t="s">
        <v>33</v>
      </c>
      <c r="N1492">
        <v>1</v>
      </c>
      <c r="O1492">
        <v>0.5</v>
      </c>
      <c r="P1492">
        <v>0.5</v>
      </c>
      <c r="Q1492"/>
      <c r="R1492">
        <v>0</v>
      </c>
      <c r="S1492">
        <v>0</v>
      </c>
      <c r="T1492"/>
      <c r="U1492"/>
      <c r="V1492"/>
      <c r="W1492"/>
      <c r="X1492">
        <v>0</v>
      </c>
      <c r="Y1492"/>
      <c r="Z1492">
        <v>0</v>
      </c>
      <c r="AA1492"/>
      <c r="AB1492"/>
      <c r="AC1492"/>
      <c r="AD1492"/>
      <c r="AE1492">
        <v>0</v>
      </c>
      <c r="AF1492"/>
      <c r="AG1492"/>
      <c r="AH1492"/>
    </row>
    <row r="1493" spans="1:34" x14ac:dyDescent="0.25">
      <c r="A1493" t="s">
        <v>1945</v>
      </c>
      <c r="B1493" t="s">
        <v>1946</v>
      </c>
      <c r="C1493"/>
      <c r="D1493" t="s">
        <v>1778</v>
      </c>
      <c r="E1493" t="s">
        <v>1947</v>
      </c>
      <c r="F1493" t="s">
        <v>1964</v>
      </c>
      <c r="G1493" t="s">
        <v>280</v>
      </c>
      <c r="H1493" t="s">
        <v>1965</v>
      </c>
      <c r="I1493" t="s">
        <v>41</v>
      </c>
      <c r="J1493"/>
      <c r="K1493">
        <v>1</v>
      </c>
      <c r="L1493">
        <v>1</v>
      </c>
      <c r="M1493" t="s">
        <v>33</v>
      </c>
      <c r="N1493">
        <v>1</v>
      </c>
      <c r="O1493">
        <v>0.5</v>
      </c>
      <c r="P1493">
        <v>0.5</v>
      </c>
      <c r="Q1493"/>
      <c r="R1493">
        <v>0</v>
      </c>
      <c r="S1493">
        <v>0</v>
      </c>
      <c r="T1493"/>
      <c r="U1493"/>
      <c r="V1493"/>
      <c r="W1493"/>
      <c r="X1493">
        <v>0</v>
      </c>
      <c r="Y1493"/>
      <c r="Z1493">
        <v>0</v>
      </c>
      <c r="AA1493"/>
      <c r="AB1493"/>
      <c r="AC1493"/>
      <c r="AD1493"/>
      <c r="AE1493">
        <v>0</v>
      </c>
      <c r="AF1493"/>
      <c r="AG1493"/>
      <c r="AH1493"/>
    </row>
    <row r="1494" spans="1:34" x14ac:dyDescent="0.25">
      <c r="A1494" t="s">
        <v>1945</v>
      </c>
      <c r="B1494" t="s">
        <v>1946</v>
      </c>
      <c r="C1494"/>
      <c r="D1494" t="s">
        <v>1778</v>
      </c>
      <c r="E1494" t="s">
        <v>1947</v>
      </c>
      <c r="F1494" t="s">
        <v>1966</v>
      </c>
      <c r="G1494" t="s">
        <v>280</v>
      </c>
      <c r="H1494" t="s">
        <v>1967</v>
      </c>
      <c r="I1494" t="s">
        <v>41</v>
      </c>
      <c r="J1494"/>
      <c r="K1494">
        <v>1</v>
      </c>
      <c r="L1494">
        <v>1</v>
      </c>
      <c r="M1494" t="s">
        <v>33</v>
      </c>
      <c r="N1494">
        <v>1</v>
      </c>
      <c r="O1494">
        <v>0.5</v>
      </c>
      <c r="P1494">
        <v>0.5</v>
      </c>
      <c r="Q1494"/>
      <c r="R1494">
        <v>0</v>
      </c>
      <c r="S1494">
        <v>0</v>
      </c>
      <c r="T1494"/>
      <c r="U1494"/>
      <c r="V1494"/>
      <c r="W1494"/>
      <c r="X1494">
        <v>0</v>
      </c>
      <c r="Y1494"/>
      <c r="Z1494">
        <v>0</v>
      </c>
      <c r="AA1494"/>
      <c r="AB1494"/>
      <c r="AC1494"/>
      <c r="AD1494"/>
      <c r="AE1494">
        <v>0</v>
      </c>
      <c r="AF1494"/>
      <c r="AG1494"/>
      <c r="AH1494"/>
    </row>
    <row r="1495" spans="1:34" x14ac:dyDescent="0.25">
      <c r="A1495" t="s">
        <v>1945</v>
      </c>
      <c r="B1495" t="s">
        <v>1946</v>
      </c>
      <c r="C1495"/>
      <c r="D1495" t="s">
        <v>1778</v>
      </c>
      <c r="E1495" t="s">
        <v>1947</v>
      </c>
      <c r="F1495" t="s">
        <v>1968</v>
      </c>
      <c r="G1495" t="s">
        <v>280</v>
      </c>
      <c r="H1495" t="s">
        <v>1969</v>
      </c>
      <c r="I1495" t="s">
        <v>41</v>
      </c>
      <c r="J1495"/>
      <c r="K1495">
        <v>1</v>
      </c>
      <c r="L1495">
        <v>1</v>
      </c>
      <c r="M1495" t="s">
        <v>33</v>
      </c>
      <c r="N1495">
        <v>1</v>
      </c>
      <c r="O1495">
        <v>0.5</v>
      </c>
      <c r="P1495">
        <v>0.5</v>
      </c>
      <c r="Q1495"/>
      <c r="R1495">
        <v>0</v>
      </c>
      <c r="S1495">
        <v>0</v>
      </c>
      <c r="T1495"/>
      <c r="U1495"/>
      <c r="V1495"/>
      <c r="W1495"/>
      <c r="X1495">
        <v>0</v>
      </c>
      <c r="Y1495"/>
      <c r="Z1495">
        <v>0</v>
      </c>
      <c r="AA1495"/>
      <c r="AB1495"/>
      <c r="AC1495"/>
      <c r="AD1495"/>
      <c r="AE1495">
        <v>0</v>
      </c>
      <c r="AF1495"/>
      <c r="AG1495"/>
      <c r="AH1495"/>
    </row>
    <row r="1496" spans="1:34" x14ac:dyDescent="0.25">
      <c r="A1496" t="s">
        <v>1945</v>
      </c>
      <c r="B1496" t="s">
        <v>1946</v>
      </c>
      <c r="C1496"/>
      <c r="D1496" t="s">
        <v>1778</v>
      </c>
      <c r="E1496" t="s">
        <v>1947</v>
      </c>
      <c r="F1496" t="s">
        <v>1970</v>
      </c>
      <c r="G1496" t="s">
        <v>280</v>
      </c>
      <c r="H1496" t="s">
        <v>1971</v>
      </c>
      <c r="I1496" t="s">
        <v>41</v>
      </c>
      <c r="J1496"/>
      <c r="K1496">
        <v>1</v>
      </c>
      <c r="L1496">
        <v>1</v>
      </c>
      <c r="M1496" t="s">
        <v>33</v>
      </c>
      <c r="N1496">
        <v>1</v>
      </c>
      <c r="O1496">
        <v>0.5</v>
      </c>
      <c r="P1496">
        <v>0.5</v>
      </c>
      <c r="Q1496"/>
      <c r="R1496">
        <v>0</v>
      </c>
      <c r="S1496">
        <v>0</v>
      </c>
      <c r="T1496"/>
      <c r="U1496"/>
      <c r="V1496"/>
      <c r="W1496"/>
      <c r="X1496">
        <v>0</v>
      </c>
      <c r="Y1496"/>
      <c r="Z1496">
        <v>0</v>
      </c>
      <c r="AA1496"/>
      <c r="AB1496"/>
      <c r="AC1496"/>
      <c r="AD1496"/>
      <c r="AE1496">
        <v>0</v>
      </c>
      <c r="AF1496"/>
      <c r="AG1496"/>
      <c r="AH1496"/>
    </row>
    <row r="1497" spans="1:34" x14ac:dyDescent="0.25">
      <c r="A1497" t="s">
        <v>1945</v>
      </c>
      <c r="B1497" t="s">
        <v>1946</v>
      </c>
      <c r="C1497"/>
      <c r="D1497" t="s">
        <v>1778</v>
      </c>
      <c r="E1497" t="s">
        <v>1947</v>
      </c>
      <c r="F1497" t="s">
        <v>1972</v>
      </c>
      <c r="G1497" t="s">
        <v>280</v>
      </c>
      <c r="H1497" t="s">
        <v>1973</v>
      </c>
      <c r="I1497" t="s">
        <v>41</v>
      </c>
      <c r="J1497"/>
      <c r="K1497">
        <v>1</v>
      </c>
      <c r="L1497">
        <v>1</v>
      </c>
      <c r="M1497" t="s">
        <v>33</v>
      </c>
      <c r="N1497">
        <v>1</v>
      </c>
      <c r="O1497"/>
      <c r="P1497">
        <v>0</v>
      </c>
      <c r="Q1497"/>
      <c r="R1497">
        <v>0</v>
      </c>
      <c r="S1497">
        <v>0</v>
      </c>
      <c r="T1497"/>
      <c r="U1497"/>
      <c r="V1497"/>
      <c r="W1497"/>
      <c r="X1497">
        <v>0</v>
      </c>
      <c r="Y1497"/>
      <c r="Z1497">
        <v>0</v>
      </c>
      <c r="AA1497"/>
      <c r="AB1497"/>
      <c r="AC1497"/>
      <c r="AD1497"/>
      <c r="AE1497">
        <v>0</v>
      </c>
      <c r="AF1497"/>
      <c r="AG1497"/>
      <c r="AH1497"/>
    </row>
    <row r="1498" spans="1:34" x14ac:dyDescent="0.25">
      <c r="A1498" t="s">
        <v>3406</v>
      </c>
      <c r="B1498" t="s">
        <v>3407</v>
      </c>
      <c r="C1498"/>
      <c r="D1498" t="s">
        <v>1778</v>
      </c>
      <c r="E1498" t="s">
        <v>1974</v>
      </c>
      <c r="F1498" t="s">
        <v>1975</v>
      </c>
      <c r="G1498" t="s">
        <v>280</v>
      </c>
      <c r="H1498" t="s">
        <v>1976</v>
      </c>
      <c r="I1498" t="s">
        <v>35</v>
      </c>
      <c r="J1498"/>
      <c r="K1498">
        <v>1</v>
      </c>
      <c r="L1498">
        <v>1</v>
      </c>
      <c r="M1498" t="s">
        <v>33</v>
      </c>
      <c r="N1498">
        <v>1</v>
      </c>
      <c r="O1498"/>
      <c r="P1498">
        <v>0</v>
      </c>
      <c r="Q1498" t="s">
        <v>38</v>
      </c>
      <c r="R1498">
        <v>1</v>
      </c>
      <c r="S1498">
        <v>0</v>
      </c>
      <c r="T1498"/>
      <c r="U1498"/>
      <c r="V1498"/>
      <c r="W1498"/>
      <c r="X1498">
        <v>0</v>
      </c>
      <c r="Y1498"/>
      <c r="Z1498">
        <v>0</v>
      </c>
      <c r="AA1498"/>
      <c r="AB1498"/>
      <c r="AC1498"/>
      <c r="AD1498"/>
      <c r="AE1498">
        <v>0</v>
      </c>
      <c r="AF1498"/>
      <c r="AG1498"/>
      <c r="AH1498"/>
    </row>
    <row r="1499" spans="1:34" x14ac:dyDescent="0.25">
      <c r="A1499" t="s">
        <v>3408</v>
      </c>
      <c r="B1499" t="s">
        <v>3409</v>
      </c>
      <c r="C1499"/>
      <c r="D1499" t="s">
        <v>1778</v>
      </c>
      <c r="E1499" t="s">
        <v>1974</v>
      </c>
      <c r="F1499" t="s">
        <v>1975</v>
      </c>
      <c r="G1499" t="s">
        <v>280</v>
      </c>
      <c r="H1499" t="s">
        <v>1976</v>
      </c>
      <c r="I1499" t="s">
        <v>35</v>
      </c>
      <c r="J1499"/>
      <c r="K1499">
        <v>1</v>
      </c>
      <c r="L1499">
        <v>1</v>
      </c>
      <c r="M1499" t="s">
        <v>33</v>
      </c>
      <c r="N1499">
        <v>1</v>
      </c>
      <c r="O1499"/>
      <c r="P1499">
        <v>0</v>
      </c>
      <c r="Q1499" t="s">
        <v>38</v>
      </c>
      <c r="R1499">
        <v>1</v>
      </c>
      <c r="S1499">
        <v>0</v>
      </c>
      <c r="T1499"/>
      <c r="U1499"/>
      <c r="V1499"/>
      <c r="W1499"/>
      <c r="X1499">
        <v>0</v>
      </c>
      <c r="Y1499"/>
      <c r="Z1499">
        <v>0</v>
      </c>
      <c r="AA1499"/>
      <c r="AB1499"/>
      <c r="AC1499"/>
      <c r="AD1499"/>
      <c r="AE1499">
        <v>0</v>
      </c>
      <c r="AF1499"/>
      <c r="AG1499"/>
      <c r="AH1499"/>
    </row>
    <row r="1500" spans="1:34" x14ac:dyDescent="0.25">
      <c r="A1500" t="s">
        <v>3406</v>
      </c>
      <c r="B1500" t="s">
        <v>3407</v>
      </c>
      <c r="C1500"/>
      <c r="D1500" t="s">
        <v>1778</v>
      </c>
      <c r="E1500" t="s">
        <v>1974</v>
      </c>
      <c r="F1500" t="s">
        <v>1977</v>
      </c>
      <c r="G1500" t="s">
        <v>280</v>
      </c>
      <c r="H1500" t="s">
        <v>1978</v>
      </c>
      <c r="I1500" t="s">
        <v>35</v>
      </c>
      <c r="J1500"/>
      <c r="K1500">
        <v>1</v>
      </c>
      <c r="L1500">
        <v>1</v>
      </c>
      <c r="M1500" t="s">
        <v>33</v>
      </c>
      <c r="N1500">
        <v>1</v>
      </c>
      <c r="O1500"/>
      <c r="P1500">
        <v>0</v>
      </c>
      <c r="Q1500" t="s">
        <v>38</v>
      </c>
      <c r="R1500">
        <v>1</v>
      </c>
      <c r="S1500">
        <v>0</v>
      </c>
      <c r="T1500"/>
      <c r="U1500"/>
      <c r="V1500"/>
      <c r="W1500"/>
      <c r="X1500">
        <v>0</v>
      </c>
      <c r="Y1500"/>
      <c r="Z1500">
        <v>0</v>
      </c>
      <c r="AA1500"/>
      <c r="AB1500"/>
      <c r="AC1500"/>
      <c r="AD1500"/>
      <c r="AE1500">
        <v>0</v>
      </c>
      <c r="AF1500"/>
      <c r="AG1500"/>
      <c r="AH1500"/>
    </row>
    <row r="1501" spans="1:34" hidden="1" x14ac:dyDescent="0.25">
      <c r="A1501" t="s">
        <v>3408</v>
      </c>
      <c r="B1501" t="s">
        <v>3409</v>
      </c>
      <c r="C1501"/>
      <c r="D1501" t="s">
        <v>1778</v>
      </c>
      <c r="E1501" t="s">
        <v>1974</v>
      </c>
      <c r="F1501" t="s">
        <v>1977</v>
      </c>
      <c r="G1501" t="s">
        <v>280</v>
      </c>
      <c r="H1501" t="s">
        <v>1978</v>
      </c>
      <c r="I1501" t="s">
        <v>35</v>
      </c>
      <c r="J1501"/>
      <c r="K1501">
        <v>1</v>
      </c>
      <c r="L1501">
        <v>1</v>
      </c>
      <c r="M1501" t="s">
        <v>33</v>
      </c>
      <c r="N1501">
        <v>1</v>
      </c>
      <c r="O1501"/>
      <c r="P1501">
        <v>0</v>
      </c>
      <c r="Q1501" t="s">
        <v>38</v>
      </c>
      <c r="R1501">
        <v>1</v>
      </c>
      <c r="S1501">
        <v>0</v>
      </c>
      <c r="T1501"/>
      <c r="U1501"/>
      <c r="V1501"/>
      <c r="W1501"/>
      <c r="X1501">
        <v>0</v>
      </c>
      <c r="Y1501"/>
      <c r="Z1501">
        <v>0</v>
      </c>
      <c r="AA1501"/>
      <c r="AB1501"/>
      <c r="AC1501"/>
      <c r="AD1501"/>
      <c r="AE1501">
        <v>0</v>
      </c>
      <c r="AF1501"/>
      <c r="AG1501"/>
      <c r="AH1501"/>
    </row>
    <row r="1502" spans="1:34" hidden="1" x14ac:dyDescent="0.25">
      <c r="A1502" t="s">
        <v>3406</v>
      </c>
      <c r="B1502" t="s">
        <v>3407</v>
      </c>
      <c r="C1502"/>
      <c r="D1502" t="s">
        <v>1778</v>
      </c>
      <c r="E1502" t="s">
        <v>1974</v>
      </c>
      <c r="F1502" t="s">
        <v>1979</v>
      </c>
      <c r="G1502" t="s">
        <v>280</v>
      </c>
      <c r="H1502" t="s">
        <v>1980</v>
      </c>
      <c r="I1502" t="s">
        <v>35</v>
      </c>
      <c r="J1502"/>
      <c r="K1502">
        <v>1</v>
      </c>
      <c r="L1502">
        <v>1</v>
      </c>
      <c r="M1502" t="s">
        <v>33</v>
      </c>
      <c r="N1502">
        <v>1</v>
      </c>
      <c r="O1502"/>
      <c r="P1502">
        <v>0</v>
      </c>
      <c r="Q1502" t="s">
        <v>38</v>
      </c>
      <c r="R1502">
        <v>1</v>
      </c>
      <c r="S1502">
        <v>0</v>
      </c>
      <c r="T1502"/>
      <c r="U1502"/>
      <c r="V1502"/>
      <c r="W1502"/>
      <c r="X1502">
        <v>0</v>
      </c>
      <c r="Y1502"/>
      <c r="Z1502">
        <v>0</v>
      </c>
      <c r="AA1502"/>
      <c r="AB1502"/>
      <c r="AC1502"/>
      <c r="AD1502"/>
      <c r="AE1502">
        <v>0</v>
      </c>
      <c r="AF1502"/>
      <c r="AG1502"/>
      <c r="AH1502"/>
    </row>
    <row r="1503" spans="1:34" hidden="1" x14ac:dyDescent="0.25">
      <c r="A1503" t="s">
        <v>3408</v>
      </c>
      <c r="B1503" t="s">
        <v>3409</v>
      </c>
      <c r="C1503"/>
      <c r="D1503" t="s">
        <v>1778</v>
      </c>
      <c r="E1503" t="s">
        <v>1974</v>
      </c>
      <c r="F1503" t="s">
        <v>1979</v>
      </c>
      <c r="G1503" t="s">
        <v>280</v>
      </c>
      <c r="H1503" t="s">
        <v>1980</v>
      </c>
      <c r="I1503" t="s">
        <v>35</v>
      </c>
      <c r="J1503"/>
      <c r="K1503">
        <v>1</v>
      </c>
      <c r="L1503">
        <v>1</v>
      </c>
      <c r="M1503" t="s">
        <v>33</v>
      </c>
      <c r="N1503">
        <v>1</v>
      </c>
      <c r="O1503"/>
      <c r="P1503">
        <v>0</v>
      </c>
      <c r="Q1503" t="s">
        <v>38</v>
      </c>
      <c r="R1503">
        <v>1</v>
      </c>
      <c r="S1503">
        <v>0</v>
      </c>
      <c r="T1503"/>
      <c r="U1503"/>
      <c r="V1503"/>
      <c r="W1503"/>
      <c r="X1503">
        <v>0</v>
      </c>
      <c r="Y1503"/>
      <c r="Z1503">
        <v>0</v>
      </c>
      <c r="AA1503"/>
      <c r="AB1503"/>
      <c r="AC1503"/>
      <c r="AD1503"/>
      <c r="AE1503">
        <v>0</v>
      </c>
      <c r="AF1503"/>
      <c r="AG1503"/>
      <c r="AH1503"/>
    </row>
    <row r="1504" spans="1:34" hidden="1" x14ac:dyDescent="0.25">
      <c r="A1504" t="s">
        <v>3406</v>
      </c>
      <c r="B1504" t="s">
        <v>3407</v>
      </c>
      <c r="C1504"/>
      <c r="D1504" t="s">
        <v>1778</v>
      </c>
      <c r="E1504" t="s">
        <v>1974</v>
      </c>
      <c r="F1504" t="s">
        <v>1981</v>
      </c>
      <c r="G1504" t="s">
        <v>280</v>
      </c>
      <c r="H1504" t="s">
        <v>1982</v>
      </c>
      <c r="I1504" t="s">
        <v>35</v>
      </c>
      <c r="J1504"/>
      <c r="K1504">
        <v>1</v>
      </c>
      <c r="L1504">
        <v>1</v>
      </c>
      <c r="M1504" t="s">
        <v>33</v>
      </c>
      <c r="N1504">
        <v>1</v>
      </c>
      <c r="O1504"/>
      <c r="P1504">
        <v>0</v>
      </c>
      <c r="Q1504" t="s">
        <v>38</v>
      </c>
      <c r="R1504">
        <v>1</v>
      </c>
      <c r="S1504">
        <v>0</v>
      </c>
      <c r="T1504"/>
      <c r="U1504"/>
      <c r="V1504"/>
      <c r="W1504"/>
      <c r="X1504">
        <v>0</v>
      </c>
      <c r="Y1504"/>
      <c r="Z1504">
        <v>0</v>
      </c>
      <c r="AA1504"/>
      <c r="AB1504"/>
      <c r="AC1504"/>
      <c r="AD1504"/>
      <c r="AE1504">
        <v>0</v>
      </c>
      <c r="AF1504"/>
      <c r="AG1504"/>
      <c r="AH1504"/>
    </row>
    <row r="1505" spans="1:34" hidden="1" x14ac:dyDescent="0.25">
      <c r="A1505" t="s">
        <v>3408</v>
      </c>
      <c r="B1505" t="s">
        <v>3409</v>
      </c>
      <c r="C1505"/>
      <c r="D1505" t="s">
        <v>1778</v>
      </c>
      <c r="E1505" t="s">
        <v>1974</v>
      </c>
      <c r="F1505" t="s">
        <v>1981</v>
      </c>
      <c r="G1505" t="s">
        <v>280</v>
      </c>
      <c r="H1505" t="s">
        <v>1982</v>
      </c>
      <c r="I1505" t="s">
        <v>35</v>
      </c>
      <c r="J1505"/>
      <c r="K1505">
        <v>1</v>
      </c>
      <c r="L1505">
        <v>1</v>
      </c>
      <c r="M1505" t="s">
        <v>33</v>
      </c>
      <c r="N1505">
        <v>1</v>
      </c>
      <c r="O1505"/>
      <c r="P1505">
        <v>0</v>
      </c>
      <c r="Q1505" t="s">
        <v>38</v>
      </c>
      <c r="R1505">
        <v>1</v>
      </c>
      <c r="S1505">
        <v>0</v>
      </c>
      <c r="T1505"/>
      <c r="U1505"/>
      <c r="V1505"/>
      <c r="W1505"/>
      <c r="X1505">
        <v>0</v>
      </c>
      <c r="Y1505"/>
      <c r="Z1505">
        <v>0</v>
      </c>
      <c r="AA1505"/>
      <c r="AB1505"/>
      <c r="AC1505"/>
      <c r="AD1505"/>
      <c r="AE1505">
        <v>0</v>
      </c>
      <c r="AF1505"/>
      <c r="AG1505"/>
      <c r="AH1505"/>
    </row>
    <row r="1506" spans="1:34" hidden="1" x14ac:dyDescent="0.25">
      <c r="A1506" t="s">
        <v>3406</v>
      </c>
      <c r="B1506" t="s">
        <v>3407</v>
      </c>
      <c r="C1506"/>
      <c r="D1506" t="s">
        <v>1778</v>
      </c>
      <c r="E1506" t="s">
        <v>1974</v>
      </c>
      <c r="F1506" t="s">
        <v>1983</v>
      </c>
      <c r="G1506" t="s">
        <v>280</v>
      </c>
      <c r="H1506" t="s">
        <v>1984</v>
      </c>
      <c r="I1506" t="s">
        <v>35</v>
      </c>
      <c r="J1506"/>
      <c r="K1506">
        <v>1</v>
      </c>
      <c r="L1506">
        <v>1</v>
      </c>
      <c r="M1506" t="s">
        <v>33</v>
      </c>
      <c r="N1506">
        <v>1</v>
      </c>
      <c r="O1506"/>
      <c r="P1506">
        <v>0</v>
      </c>
      <c r="Q1506" t="s">
        <v>38</v>
      </c>
      <c r="R1506">
        <v>1</v>
      </c>
      <c r="S1506">
        <v>0</v>
      </c>
      <c r="T1506"/>
      <c r="U1506"/>
      <c r="V1506"/>
      <c r="W1506"/>
      <c r="X1506">
        <v>0</v>
      </c>
      <c r="Y1506"/>
      <c r="Z1506">
        <v>0</v>
      </c>
      <c r="AA1506"/>
      <c r="AB1506"/>
      <c r="AC1506"/>
      <c r="AD1506"/>
      <c r="AE1506">
        <v>0</v>
      </c>
      <c r="AF1506"/>
      <c r="AG1506"/>
      <c r="AH1506"/>
    </row>
    <row r="1507" spans="1:34" hidden="1" x14ac:dyDescent="0.25">
      <c r="A1507" t="s">
        <v>3408</v>
      </c>
      <c r="B1507" t="s">
        <v>3409</v>
      </c>
      <c r="C1507"/>
      <c r="D1507" t="s">
        <v>1778</v>
      </c>
      <c r="E1507" t="s">
        <v>1974</v>
      </c>
      <c r="F1507" t="s">
        <v>1983</v>
      </c>
      <c r="G1507" t="s">
        <v>280</v>
      </c>
      <c r="H1507" t="s">
        <v>1984</v>
      </c>
      <c r="I1507" t="s">
        <v>35</v>
      </c>
      <c r="J1507"/>
      <c r="K1507">
        <v>1</v>
      </c>
      <c r="L1507">
        <v>1</v>
      </c>
      <c r="M1507" t="s">
        <v>33</v>
      </c>
      <c r="N1507">
        <v>1</v>
      </c>
      <c r="O1507"/>
      <c r="P1507">
        <v>0</v>
      </c>
      <c r="Q1507" t="s">
        <v>38</v>
      </c>
      <c r="R1507">
        <v>1</v>
      </c>
      <c r="S1507">
        <v>0</v>
      </c>
      <c r="T1507"/>
      <c r="U1507"/>
      <c r="V1507"/>
      <c r="W1507"/>
      <c r="X1507">
        <v>0</v>
      </c>
      <c r="Y1507"/>
      <c r="Z1507">
        <v>0</v>
      </c>
      <c r="AA1507"/>
      <c r="AB1507"/>
      <c r="AC1507"/>
      <c r="AD1507"/>
      <c r="AE1507">
        <v>0</v>
      </c>
      <c r="AF1507"/>
      <c r="AG1507"/>
      <c r="AH1507"/>
    </row>
    <row r="1508" spans="1:34" hidden="1" x14ac:dyDescent="0.25">
      <c r="A1508" t="s">
        <v>3406</v>
      </c>
      <c r="B1508" t="s">
        <v>3407</v>
      </c>
      <c r="C1508"/>
      <c r="D1508" t="s">
        <v>1778</v>
      </c>
      <c r="E1508" t="s">
        <v>1974</v>
      </c>
      <c r="F1508" t="s">
        <v>1985</v>
      </c>
      <c r="G1508" t="s">
        <v>280</v>
      </c>
      <c r="H1508" t="s">
        <v>1986</v>
      </c>
      <c r="I1508" t="s">
        <v>35</v>
      </c>
      <c r="J1508"/>
      <c r="K1508">
        <v>1</v>
      </c>
      <c r="L1508">
        <v>1</v>
      </c>
      <c r="M1508" t="s">
        <v>33</v>
      </c>
      <c r="N1508">
        <v>1</v>
      </c>
      <c r="O1508"/>
      <c r="P1508">
        <v>0</v>
      </c>
      <c r="Q1508" t="s">
        <v>38</v>
      </c>
      <c r="R1508">
        <v>1</v>
      </c>
      <c r="S1508">
        <v>0</v>
      </c>
      <c r="T1508"/>
      <c r="U1508"/>
      <c r="V1508"/>
      <c r="W1508"/>
      <c r="X1508">
        <v>0</v>
      </c>
      <c r="Y1508"/>
      <c r="Z1508">
        <v>0</v>
      </c>
      <c r="AA1508"/>
      <c r="AB1508"/>
      <c r="AC1508"/>
      <c r="AD1508"/>
      <c r="AE1508">
        <v>0</v>
      </c>
      <c r="AF1508"/>
      <c r="AG1508"/>
      <c r="AH1508"/>
    </row>
    <row r="1509" spans="1:34" hidden="1" x14ac:dyDescent="0.25">
      <c r="A1509" t="s">
        <v>3408</v>
      </c>
      <c r="B1509" t="s">
        <v>3409</v>
      </c>
      <c r="C1509"/>
      <c r="D1509" t="s">
        <v>1778</v>
      </c>
      <c r="E1509" t="s">
        <v>1974</v>
      </c>
      <c r="F1509" t="s">
        <v>1985</v>
      </c>
      <c r="G1509" t="s">
        <v>280</v>
      </c>
      <c r="H1509" t="s">
        <v>1986</v>
      </c>
      <c r="I1509" t="s">
        <v>35</v>
      </c>
      <c r="J1509"/>
      <c r="K1509">
        <v>1</v>
      </c>
      <c r="L1509">
        <v>1</v>
      </c>
      <c r="M1509" t="s">
        <v>33</v>
      </c>
      <c r="N1509">
        <v>1</v>
      </c>
      <c r="O1509"/>
      <c r="P1509">
        <v>0</v>
      </c>
      <c r="Q1509" t="s">
        <v>38</v>
      </c>
      <c r="R1509">
        <v>1</v>
      </c>
      <c r="S1509">
        <v>0</v>
      </c>
      <c r="T1509"/>
      <c r="U1509"/>
      <c r="V1509"/>
      <c r="W1509"/>
      <c r="X1509">
        <v>0</v>
      </c>
      <c r="Y1509"/>
      <c r="Z1509">
        <v>0</v>
      </c>
      <c r="AA1509"/>
      <c r="AB1509"/>
      <c r="AC1509"/>
      <c r="AD1509"/>
      <c r="AE1509">
        <v>0</v>
      </c>
      <c r="AF1509"/>
      <c r="AG1509"/>
      <c r="AH1509"/>
    </row>
    <row r="1510" spans="1:34" hidden="1" x14ac:dyDescent="0.25">
      <c r="A1510" t="s">
        <v>3406</v>
      </c>
      <c r="B1510" t="s">
        <v>3407</v>
      </c>
      <c r="C1510"/>
      <c r="D1510" t="s">
        <v>1778</v>
      </c>
      <c r="E1510" t="s">
        <v>1974</v>
      </c>
      <c r="F1510" t="s">
        <v>1987</v>
      </c>
      <c r="G1510" t="s">
        <v>280</v>
      </c>
      <c r="H1510" t="s">
        <v>1988</v>
      </c>
      <c r="I1510" t="s">
        <v>35</v>
      </c>
      <c r="J1510"/>
      <c r="K1510">
        <v>1</v>
      </c>
      <c r="L1510">
        <v>1</v>
      </c>
      <c r="M1510" t="s">
        <v>33</v>
      </c>
      <c r="N1510">
        <v>1</v>
      </c>
      <c r="O1510"/>
      <c r="P1510">
        <v>0</v>
      </c>
      <c r="Q1510" t="s">
        <v>38</v>
      </c>
      <c r="R1510">
        <v>1</v>
      </c>
      <c r="S1510">
        <v>0</v>
      </c>
      <c r="T1510"/>
      <c r="U1510"/>
      <c r="V1510"/>
      <c r="W1510"/>
      <c r="X1510">
        <v>0</v>
      </c>
      <c r="Y1510"/>
      <c r="Z1510">
        <v>0</v>
      </c>
      <c r="AA1510"/>
      <c r="AB1510"/>
      <c r="AC1510"/>
      <c r="AD1510"/>
      <c r="AE1510">
        <v>0</v>
      </c>
      <c r="AF1510"/>
      <c r="AG1510"/>
      <c r="AH1510"/>
    </row>
    <row r="1511" spans="1:34" hidden="1" x14ac:dyDescent="0.25">
      <c r="A1511" t="s">
        <v>3408</v>
      </c>
      <c r="B1511" t="s">
        <v>3409</v>
      </c>
      <c r="C1511"/>
      <c r="D1511" t="s">
        <v>1778</v>
      </c>
      <c r="E1511" t="s">
        <v>1974</v>
      </c>
      <c r="F1511" t="s">
        <v>1987</v>
      </c>
      <c r="G1511" t="s">
        <v>280</v>
      </c>
      <c r="H1511" t="s">
        <v>1988</v>
      </c>
      <c r="I1511" t="s">
        <v>35</v>
      </c>
      <c r="J1511"/>
      <c r="K1511">
        <v>1</v>
      </c>
      <c r="L1511">
        <v>1</v>
      </c>
      <c r="M1511" t="s">
        <v>33</v>
      </c>
      <c r="N1511">
        <v>1</v>
      </c>
      <c r="O1511"/>
      <c r="P1511">
        <v>0</v>
      </c>
      <c r="Q1511" t="s">
        <v>38</v>
      </c>
      <c r="R1511">
        <v>1</v>
      </c>
      <c r="S1511">
        <v>0</v>
      </c>
      <c r="T1511"/>
      <c r="U1511"/>
      <c r="V1511"/>
      <c r="W1511"/>
      <c r="X1511">
        <v>0</v>
      </c>
      <c r="Y1511"/>
      <c r="Z1511">
        <v>0</v>
      </c>
      <c r="AA1511"/>
      <c r="AB1511"/>
      <c r="AC1511"/>
      <c r="AD1511"/>
      <c r="AE1511">
        <v>0</v>
      </c>
      <c r="AF1511"/>
      <c r="AG1511"/>
      <c r="AH1511"/>
    </row>
    <row r="1512" spans="1:34" hidden="1" x14ac:dyDescent="0.25">
      <c r="A1512" t="s">
        <v>3406</v>
      </c>
      <c r="B1512" t="s">
        <v>3407</v>
      </c>
      <c r="C1512"/>
      <c r="D1512" t="s">
        <v>1778</v>
      </c>
      <c r="E1512" t="s">
        <v>1974</v>
      </c>
      <c r="F1512" t="s">
        <v>1989</v>
      </c>
      <c r="G1512" t="s">
        <v>280</v>
      </c>
      <c r="H1512" t="s">
        <v>1990</v>
      </c>
      <c r="I1512" t="s">
        <v>35</v>
      </c>
      <c r="J1512"/>
      <c r="K1512">
        <v>1</v>
      </c>
      <c r="L1512">
        <v>1</v>
      </c>
      <c r="M1512" t="s">
        <v>33</v>
      </c>
      <c r="N1512">
        <v>1</v>
      </c>
      <c r="O1512"/>
      <c r="P1512">
        <v>0</v>
      </c>
      <c r="Q1512" t="s">
        <v>38</v>
      </c>
      <c r="R1512">
        <v>1</v>
      </c>
      <c r="S1512">
        <v>0</v>
      </c>
      <c r="T1512"/>
      <c r="U1512"/>
      <c r="V1512"/>
      <c r="W1512"/>
      <c r="X1512">
        <v>0</v>
      </c>
      <c r="Y1512"/>
      <c r="Z1512">
        <v>0</v>
      </c>
      <c r="AA1512"/>
      <c r="AB1512"/>
      <c r="AC1512"/>
      <c r="AD1512"/>
      <c r="AE1512">
        <v>0</v>
      </c>
      <c r="AF1512"/>
      <c r="AG1512"/>
      <c r="AH1512"/>
    </row>
    <row r="1513" spans="1:34" hidden="1" x14ac:dyDescent="0.25">
      <c r="A1513" t="s">
        <v>3408</v>
      </c>
      <c r="B1513" t="s">
        <v>3409</v>
      </c>
      <c r="C1513"/>
      <c r="D1513" t="s">
        <v>1778</v>
      </c>
      <c r="E1513" t="s">
        <v>1974</v>
      </c>
      <c r="F1513" t="s">
        <v>1989</v>
      </c>
      <c r="G1513" t="s">
        <v>280</v>
      </c>
      <c r="H1513" t="s">
        <v>1990</v>
      </c>
      <c r="I1513" t="s">
        <v>35</v>
      </c>
      <c r="J1513"/>
      <c r="K1513">
        <v>1</v>
      </c>
      <c r="L1513">
        <v>1</v>
      </c>
      <c r="M1513" t="s">
        <v>33</v>
      </c>
      <c r="N1513">
        <v>1</v>
      </c>
      <c r="O1513"/>
      <c r="P1513">
        <v>0</v>
      </c>
      <c r="Q1513" t="s">
        <v>38</v>
      </c>
      <c r="R1513">
        <v>1</v>
      </c>
      <c r="S1513">
        <v>0</v>
      </c>
      <c r="T1513"/>
      <c r="U1513"/>
      <c r="V1513"/>
      <c r="W1513"/>
      <c r="X1513">
        <v>0</v>
      </c>
      <c r="Y1513"/>
      <c r="Z1513">
        <v>0</v>
      </c>
      <c r="AA1513"/>
      <c r="AB1513"/>
      <c r="AC1513"/>
      <c r="AD1513"/>
      <c r="AE1513">
        <v>0</v>
      </c>
      <c r="AF1513"/>
      <c r="AG1513"/>
      <c r="AH1513"/>
    </row>
    <row r="1514" spans="1:34" hidden="1" x14ac:dyDescent="0.25">
      <c r="A1514" t="s">
        <v>3406</v>
      </c>
      <c r="B1514" t="s">
        <v>3407</v>
      </c>
      <c r="C1514"/>
      <c r="D1514" t="s">
        <v>1778</v>
      </c>
      <c r="E1514" t="s">
        <v>1974</v>
      </c>
      <c r="F1514" t="s">
        <v>1991</v>
      </c>
      <c r="G1514" t="s">
        <v>280</v>
      </c>
      <c r="H1514" t="s">
        <v>1992</v>
      </c>
      <c r="I1514" t="s">
        <v>35</v>
      </c>
      <c r="J1514"/>
      <c r="K1514">
        <v>1</v>
      </c>
      <c r="L1514">
        <v>1</v>
      </c>
      <c r="M1514" t="s">
        <v>33</v>
      </c>
      <c r="N1514">
        <v>1</v>
      </c>
      <c r="O1514"/>
      <c r="P1514">
        <v>0</v>
      </c>
      <c r="Q1514" t="s">
        <v>38</v>
      </c>
      <c r="R1514">
        <v>1</v>
      </c>
      <c r="S1514">
        <v>0</v>
      </c>
      <c r="T1514"/>
      <c r="U1514"/>
      <c r="V1514"/>
      <c r="W1514"/>
      <c r="X1514">
        <v>0</v>
      </c>
      <c r="Y1514"/>
      <c r="Z1514">
        <v>0</v>
      </c>
      <c r="AA1514"/>
      <c r="AB1514"/>
      <c r="AC1514"/>
      <c r="AD1514"/>
      <c r="AE1514">
        <v>0</v>
      </c>
      <c r="AF1514"/>
      <c r="AG1514"/>
      <c r="AH1514"/>
    </row>
    <row r="1515" spans="1:34" hidden="1" x14ac:dyDescent="0.25">
      <c r="A1515" t="s">
        <v>3408</v>
      </c>
      <c r="B1515" t="s">
        <v>3409</v>
      </c>
      <c r="C1515"/>
      <c r="D1515" t="s">
        <v>1778</v>
      </c>
      <c r="E1515" t="s">
        <v>1974</v>
      </c>
      <c r="F1515" t="s">
        <v>1991</v>
      </c>
      <c r="G1515" t="s">
        <v>280</v>
      </c>
      <c r="H1515" t="s">
        <v>1992</v>
      </c>
      <c r="I1515" t="s">
        <v>35</v>
      </c>
      <c r="J1515"/>
      <c r="K1515">
        <v>1</v>
      </c>
      <c r="L1515">
        <v>1</v>
      </c>
      <c r="M1515" t="s">
        <v>33</v>
      </c>
      <c r="N1515">
        <v>1</v>
      </c>
      <c r="O1515"/>
      <c r="P1515">
        <v>0</v>
      </c>
      <c r="Q1515" t="s">
        <v>38</v>
      </c>
      <c r="R1515">
        <v>1</v>
      </c>
      <c r="S1515">
        <v>0</v>
      </c>
      <c r="T1515"/>
      <c r="U1515"/>
      <c r="V1515"/>
      <c r="W1515"/>
      <c r="X1515">
        <v>0</v>
      </c>
      <c r="Y1515"/>
      <c r="Z1515">
        <v>0</v>
      </c>
      <c r="AA1515"/>
      <c r="AB1515"/>
      <c r="AC1515"/>
      <c r="AD1515"/>
      <c r="AE1515">
        <v>0</v>
      </c>
      <c r="AF1515"/>
      <c r="AG1515"/>
      <c r="AH1515"/>
    </row>
    <row r="1516" spans="1:34" hidden="1" x14ac:dyDescent="0.25">
      <c r="A1516" t="s">
        <v>3406</v>
      </c>
      <c r="B1516" t="s">
        <v>3407</v>
      </c>
      <c r="C1516"/>
      <c r="D1516" t="s">
        <v>1778</v>
      </c>
      <c r="E1516" t="s">
        <v>1974</v>
      </c>
      <c r="F1516" t="s">
        <v>1993</v>
      </c>
      <c r="G1516" t="s">
        <v>280</v>
      </c>
      <c r="H1516" t="s">
        <v>1994</v>
      </c>
      <c r="I1516" t="s">
        <v>35</v>
      </c>
      <c r="J1516"/>
      <c r="K1516">
        <v>1</v>
      </c>
      <c r="L1516">
        <v>1</v>
      </c>
      <c r="M1516" t="s">
        <v>33</v>
      </c>
      <c r="N1516">
        <v>1</v>
      </c>
      <c r="O1516"/>
      <c r="P1516">
        <v>0</v>
      </c>
      <c r="Q1516" t="s">
        <v>38</v>
      </c>
      <c r="R1516">
        <v>1</v>
      </c>
      <c r="S1516">
        <v>0</v>
      </c>
      <c r="T1516"/>
      <c r="U1516"/>
      <c r="V1516"/>
      <c r="W1516"/>
      <c r="X1516">
        <v>0</v>
      </c>
      <c r="Y1516"/>
      <c r="Z1516">
        <v>0</v>
      </c>
      <c r="AA1516"/>
      <c r="AB1516"/>
      <c r="AC1516"/>
      <c r="AD1516"/>
      <c r="AE1516">
        <v>0</v>
      </c>
      <c r="AF1516"/>
      <c r="AG1516"/>
      <c r="AH1516"/>
    </row>
    <row r="1517" spans="1:34" hidden="1" x14ac:dyDescent="0.25">
      <c r="A1517" t="s">
        <v>3408</v>
      </c>
      <c r="B1517" t="s">
        <v>3409</v>
      </c>
      <c r="C1517"/>
      <c r="D1517" t="s">
        <v>1778</v>
      </c>
      <c r="E1517" t="s">
        <v>1974</v>
      </c>
      <c r="F1517" t="s">
        <v>1993</v>
      </c>
      <c r="G1517" t="s">
        <v>280</v>
      </c>
      <c r="H1517" t="s">
        <v>1994</v>
      </c>
      <c r="I1517" t="s">
        <v>35</v>
      </c>
      <c r="J1517"/>
      <c r="K1517">
        <v>1</v>
      </c>
      <c r="L1517">
        <v>1</v>
      </c>
      <c r="M1517" t="s">
        <v>33</v>
      </c>
      <c r="N1517">
        <v>1</v>
      </c>
      <c r="O1517"/>
      <c r="P1517">
        <v>0</v>
      </c>
      <c r="Q1517" t="s">
        <v>38</v>
      </c>
      <c r="R1517">
        <v>1</v>
      </c>
      <c r="S1517">
        <v>0</v>
      </c>
      <c r="T1517"/>
      <c r="U1517"/>
      <c r="V1517"/>
      <c r="W1517"/>
      <c r="X1517">
        <v>0</v>
      </c>
      <c r="Y1517"/>
      <c r="Z1517">
        <v>0</v>
      </c>
      <c r="AA1517"/>
      <c r="AB1517"/>
      <c r="AC1517"/>
      <c r="AD1517"/>
      <c r="AE1517">
        <v>0</v>
      </c>
      <c r="AF1517"/>
      <c r="AG1517"/>
      <c r="AH1517"/>
    </row>
    <row r="1518" spans="1:34" hidden="1" x14ac:dyDescent="0.25">
      <c r="A1518" t="s">
        <v>3406</v>
      </c>
      <c r="B1518" t="s">
        <v>3407</v>
      </c>
      <c r="C1518"/>
      <c r="D1518" t="s">
        <v>1778</v>
      </c>
      <c r="E1518" t="s">
        <v>1974</v>
      </c>
      <c r="F1518" t="s">
        <v>1995</v>
      </c>
      <c r="G1518" t="s">
        <v>280</v>
      </c>
      <c r="H1518" t="s">
        <v>1996</v>
      </c>
      <c r="I1518" t="s">
        <v>35</v>
      </c>
      <c r="J1518"/>
      <c r="K1518">
        <v>1</v>
      </c>
      <c r="L1518">
        <v>1</v>
      </c>
      <c r="M1518" t="s">
        <v>33</v>
      </c>
      <c r="N1518">
        <v>1</v>
      </c>
      <c r="O1518"/>
      <c r="P1518">
        <v>0</v>
      </c>
      <c r="Q1518" t="s">
        <v>38</v>
      </c>
      <c r="R1518">
        <v>1</v>
      </c>
      <c r="S1518">
        <v>0</v>
      </c>
      <c r="T1518"/>
      <c r="U1518"/>
      <c r="V1518"/>
      <c r="W1518"/>
      <c r="X1518">
        <v>0</v>
      </c>
      <c r="Y1518"/>
      <c r="Z1518">
        <v>0</v>
      </c>
      <c r="AA1518"/>
      <c r="AB1518"/>
      <c r="AC1518"/>
      <c r="AD1518"/>
      <c r="AE1518">
        <v>0</v>
      </c>
      <c r="AF1518"/>
      <c r="AG1518"/>
      <c r="AH1518"/>
    </row>
    <row r="1519" spans="1:34" hidden="1" x14ac:dyDescent="0.25">
      <c r="A1519" t="s">
        <v>3408</v>
      </c>
      <c r="B1519" t="s">
        <v>3409</v>
      </c>
      <c r="C1519"/>
      <c r="D1519" t="s">
        <v>1778</v>
      </c>
      <c r="E1519" t="s">
        <v>1974</v>
      </c>
      <c r="F1519" t="s">
        <v>1995</v>
      </c>
      <c r="G1519" t="s">
        <v>280</v>
      </c>
      <c r="H1519" t="s">
        <v>1996</v>
      </c>
      <c r="I1519" t="s">
        <v>35</v>
      </c>
      <c r="J1519"/>
      <c r="K1519">
        <v>1</v>
      </c>
      <c r="L1519">
        <v>1</v>
      </c>
      <c r="M1519" t="s">
        <v>33</v>
      </c>
      <c r="N1519">
        <v>1</v>
      </c>
      <c r="O1519"/>
      <c r="P1519">
        <v>0</v>
      </c>
      <c r="Q1519" t="s">
        <v>38</v>
      </c>
      <c r="R1519">
        <v>1</v>
      </c>
      <c r="S1519">
        <v>0</v>
      </c>
      <c r="T1519"/>
      <c r="U1519"/>
      <c r="V1519"/>
      <c r="W1519"/>
      <c r="X1519">
        <v>0</v>
      </c>
      <c r="Y1519"/>
      <c r="Z1519">
        <v>0</v>
      </c>
      <c r="AA1519"/>
      <c r="AB1519"/>
      <c r="AC1519"/>
      <c r="AD1519"/>
      <c r="AE1519">
        <v>0</v>
      </c>
      <c r="AF1519"/>
      <c r="AG1519"/>
      <c r="AH1519"/>
    </row>
    <row r="1520" spans="1:34" hidden="1" x14ac:dyDescent="0.25">
      <c r="A1520" t="s">
        <v>3406</v>
      </c>
      <c r="B1520" t="s">
        <v>3407</v>
      </c>
      <c r="C1520"/>
      <c r="D1520" t="s">
        <v>1778</v>
      </c>
      <c r="E1520" t="s">
        <v>1974</v>
      </c>
      <c r="F1520" t="s">
        <v>1997</v>
      </c>
      <c r="G1520" t="s">
        <v>280</v>
      </c>
      <c r="H1520" t="s">
        <v>1998</v>
      </c>
      <c r="I1520" t="s">
        <v>35</v>
      </c>
      <c r="J1520"/>
      <c r="K1520">
        <v>1</v>
      </c>
      <c r="L1520">
        <v>1</v>
      </c>
      <c r="M1520" t="s">
        <v>33</v>
      </c>
      <c r="N1520">
        <v>1</v>
      </c>
      <c r="O1520"/>
      <c r="P1520">
        <v>0</v>
      </c>
      <c r="Q1520" t="s">
        <v>38</v>
      </c>
      <c r="R1520">
        <v>1</v>
      </c>
      <c r="S1520">
        <v>0</v>
      </c>
      <c r="T1520"/>
      <c r="U1520"/>
      <c r="V1520"/>
      <c r="W1520"/>
      <c r="X1520">
        <v>0</v>
      </c>
      <c r="Y1520"/>
      <c r="Z1520">
        <v>0</v>
      </c>
      <c r="AA1520"/>
      <c r="AB1520"/>
      <c r="AC1520"/>
      <c r="AD1520"/>
      <c r="AE1520">
        <v>0</v>
      </c>
      <c r="AF1520"/>
      <c r="AG1520"/>
      <c r="AH1520"/>
    </row>
    <row r="1521" spans="1:34" hidden="1" x14ac:dyDescent="0.25">
      <c r="A1521" t="s">
        <v>3408</v>
      </c>
      <c r="B1521" t="s">
        <v>3409</v>
      </c>
      <c r="C1521"/>
      <c r="D1521" t="s">
        <v>1778</v>
      </c>
      <c r="E1521" t="s">
        <v>1974</v>
      </c>
      <c r="F1521" t="s">
        <v>1997</v>
      </c>
      <c r="G1521" t="s">
        <v>280</v>
      </c>
      <c r="H1521" t="s">
        <v>1998</v>
      </c>
      <c r="I1521" t="s">
        <v>35</v>
      </c>
      <c r="J1521"/>
      <c r="K1521">
        <v>1</v>
      </c>
      <c r="L1521">
        <v>1</v>
      </c>
      <c r="M1521" t="s">
        <v>33</v>
      </c>
      <c r="N1521">
        <v>1</v>
      </c>
      <c r="O1521"/>
      <c r="P1521">
        <v>0</v>
      </c>
      <c r="Q1521" t="s">
        <v>38</v>
      </c>
      <c r="R1521">
        <v>1</v>
      </c>
      <c r="S1521">
        <v>0</v>
      </c>
      <c r="T1521"/>
      <c r="U1521"/>
      <c r="V1521"/>
      <c r="W1521"/>
      <c r="X1521">
        <v>0</v>
      </c>
      <c r="Y1521"/>
      <c r="Z1521">
        <v>0</v>
      </c>
      <c r="AA1521"/>
      <c r="AB1521"/>
      <c r="AC1521"/>
      <c r="AD1521"/>
      <c r="AE1521">
        <v>0</v>
      </c>
      <c r="AF1521"/>
      <c r="AG1521"/>
      <c r="AH1521"/>
    </row>
    <row r="1522" spans="1:34" hidden="1" x14ac:dyDescent="0.25">
      <c r="A1522" t="s">
        <v>3406</v>
      </c>
      <c r="B1522" t="s">
        <v>3407</v>
      </c>
      <c r="C1522"/>
      <c r="D1522" t="s">
        <v>1778</v>
      </c>
      <c r="E1522" t="s">
        <v>1974</v>
      </c>
      <c r="F1522" t="s">
        <v>1999</v>
      </c>
      <c r="G1522" t="s">
        <v>280</v>
      </c>
      <c r="H1522" t="s">
        <v>2000</v>
      </c>
      <c r="I1522" t="s">
        <v>35</v>
      </c>
      <c r="J1522"/>
      <c r="K1522">
        <v>1</v>
      </c>
      <c r="L1522">
        <v>1</v>
      </c>
      <c r="M1522" t="s">
        <v>33</v>
      </c>
      <c r="N1522">
        <v>1</v>
      </c>
      <c r="O1522"/>
      <c r="P1522">
        <v>0</v>
      </c>
      <c r="Q1522" t="s">
        <v>38</v>
      </c>
      <c r="R1522">
        <v>1</v>
      </c>
      <c r="S1522">
        <v>0</v>
      </c>
      <c r="T1522"/>
      <c r="U1522"/>
      <c r="V1522"/>
      <c r="W1522"/>
      <c r="X1522">
        <v>0</v>
      </c>
      <c r="Y1522"/>
      <c r="Z1522">
        <v>0</v>
      </c>
      <c r="AA1522"/>
      <c r="AB1522"/>
      <c r="AC1522"/>
      <c r="AD1522"/>
      <c r="AE1522">
        <v>0</v>
      </c>
      <c r="AF1522"/>
      <c r="AG1522"/>
      <c r="AH1522"/>
    </row>
    <row r="1523" spans="1:34" hidden="1" x14ac:dyDescent="0.25">
      <c r="A1523" t="s">
        <v>3408</v>
      </c>
      <c r="B1523" t="s">
        <v>3409</v>
      </c>
      <c r="C1523"/>
      <c r="D1523" t="s">
        <v>1778</v>
      </c>
      <c r="E1523" t="s">
        <v>1974</v>
      </c>
      <c r="F1523" t="s">
        <v>1999</v>
      </c>
      <c r="G1523" t="s">
        <v>280</v>
      </c>
      <c r="H1523" t="s">
        <v>2000</v>
      </c>
      <c r="I1523" t="s">
        <v>35</v>
      </c>
      <c r="J1523"/>
      <c r="K1523">
        <v>1</v>
      </c>
      <c r="L1523">
        <v>1</v>
      </c>
      <c r="M1523" t="s">
        <v>33</v>
      </c>
      <c r="N1523">
        <v>1</v>
      </c>
      <c r="O1523"/>
      <c r="P1523">
        <v>0</v>
      </c>
      <c r="Q1523" t="s">
        <v>38</v>
      </c>
      <c r="R1523">
        <v>1</v>
      </c>
      <c r="S1523">
        <v>0</v>
      </c>
      <c r="T1523"/>
      <c r="U1523"/>
      <c r="V1523"/>
      <c r="W1523"/>
      <c r="X1523">
        <v>0</v>
      </c>
      <c r="Y1523"/>
      <c r="Z1523">
        <v>0</v>
      </c>
      <c r="AA1523"/>
      <c r="AB1523"/>
      <c r="AC1523"/>
      <c r="AD1523"/>
      <c r="AE1523">
        <v>0</v>
      </c>
      <c r="AF1523"/>
      <c r="AG1523"/>
      <c r="AH1523"/>
    </row>
    <row r="1524" spans="1:34" hidden="1" x14ac:dyDescent="0.25">
      <c r="A1524" t="s">
        <v>3406</v>
      </c>
      <c r="B1524" t="s">
        <v>3407</v>
      </c>
      <c r="C1524"/>
      <c r="D1524" t="s">
        <v>1778</v>
      </c>
      <c r="E1524" t="s">
        <v>1974</v>
      </c>
      <c r="F1524" t="s">
        <v>2001</v>
      </c>
      <c r="G1524" t="s">
        <v>280</v>
      </c>
      <c r="H1524" t="s">
        <v>2002</v>
      </c>
      <c r="I1524" t="s">
        <v>35</v>
      </c>
      <c r="J1524"/>
      <c r="K1524">
        <v>1</v>
      </c>
      <c r="L1524">
        <v>1</v>
      </c>
      <c r="M1524" t="s">
        <v>33</v>
      </c>
      <c r="N1524">
        <v>1</v>
      </c>
      <c r="O1524"/>
      <c r="P1524">
        <v>0</v>
      </c>
      <c r="Q1524" t="s">
        <v>38</v>
      </c>
      <c r="R1524">
        <v>1</v>
      </c>
      <c r="S1524">
        <v>0</v>
      </c>
      <c r="T1524"/>
      <c r="U1524"/>
      <c r="V1524"/>
      <c r="W1524"/>
      <c r="X1524">
        <v>0</v>
      </c>
      <c r="Y1524"/>
      <c r="Z1524">
        <v>0</v>
      </c>
      <c r="AA1524"/>
      <c r="AB1524"/>
      <c r="AC1524"/>
      <c r="AD1524"/>
      <c r="AE1524">
        <v>0</v>
      </c>
      <c r="AF1524"/>
      <c r="AG1524"/>
      <c r="AH1524"/>
    </row>
    <row r="1525" spans="1:34" hidden="1" x14ac:dyDescent="0.25">
      <c r="A1525" t="s">
        <v>3408</v>
      </c>
      <c r="B1525" t="s">
        <v>3409</v>
      </c>
      <c r="C1525"/>
      <c r="D1525" t="s">
        <v>1778</v>
      </c>
      <c r="E1525" t="s">
        <v>1974</v>
      </c>
      <c r="F1525" t="s">
        <v>2001</v>
      </c>
      <c r="G1525" t="s">
        <v>280</v>
      </c>
      <c r="H1525" t="s">
        <v>2002</v>
      </c>
      <c r="I1525" t="s">
        <v>35</v>
      </c>
      <c r="J1525"/>
      <c r="K1525">
        <v>1</v>
      </c>
      <c r="L1525">
        <v>1</v>
      </c>
      <c r="M1525" t="s">
        <v>33</v>
      </c>
      <c r="N1525">
        <v>1</v>
      </c>
      <c r="O1525"/>
      <c r="P1525">
        <v>0</v>
      </c>
      <c r="Q1525" t="s">
        <v>38</v>
      </c>
      <c r="R1525">
        <v>1</v>
      </c>
      <c r="S1525">
        <v>0</v>
      </c>
      <c r="T1525"/>
      <c r="U1525"/>
      <c r="V1525"/>
      <c r="W1525"/>
      <c r="X1525">
        <v>0</v>
      </c>
      <c r="Y1525"/>
      <c r="Z1525">
        <v>0</v>
      </c>
      <c r="AA1525"/>
      <c r="AB1525"/>
      <c r="AC1525"/>
      <c r="AD1525"/>
      <c r="AE1525">
        <v>0</v>
      </c>
      <c r="AF1525"/>
      <c r="AG1525"/>
      <c r="AH1525"/>
    </row>
    <row r="1526" spans="1:34" hidden="1" x14ac:dyDescent="0.25">
      <c r="A1526" t="s">
        <v>3406</v>
      </c>
      <c r="B1526" t="s">
        <v>3407</v>
      </c>
      <c r="C1526"/>
      <c r="D1526" t="s">
        <v>1778</v>
      </c>
      <c r="E1526" t="s">
        <v>1974</v>
      </c>
      <c r="F1526" t="s">
        <v>2003</v>
      </c>
      <c r="G1526" t="s">
        <v>280</v>
      </c>
      <c r="H1526" t="s">
        <v>2004</v>
      </c>
      <c r="I1526" t="s">
        <v>35</v>
      </c>
      <c r="J1526"/>
      <c r="K1526">
        <v>1</v>
      </c>
      <c r="L1526">
        <v>1</v>
      </c>
      <c r="M1526" t="s">
        <v>33</v>
      </c>
      <c r="N1526">
        <v>1</v>
      </c>
      <c r="O1526"/>
      <c r="P1526">
        <v>0</v>
      </c>
      <c r="Q1526" t="s">
        <v>38</v>
      </c>
      <c r="R1526">
        <v>1</v>
      </c>
      <c r="S1526">
        <v>0</v>
      </c>
      <c r="T1526"/>
      <c r="U1526"/>
      <c r="V1526"/>
      <c r="W1526"/>
      <c r="X1526">
        <v>0</v>
      </c>
      <c r="Y1526"/>
      <c r="Z1526">
        <v>0</v>
      </c>
      <c r="AA1526"/>
      <c r="AB1526"/>
      <c r="AC1526"/>
      <c r="AD1526"/>
      <c r="AE1526">
        <v>0</v>
      </c>
      <c r="AF1526"/>
      <c r="AG1526"/>
      <c r="AH1526"/>
    </row>
    <row r="1527" spans="1:34" hidden="1" x14ac:dyDescent="0.25">
      <c r="A1527" t="s">
        <v>3408</v>
      </c>
      <c r="B1527" t="s">
        <v>3409</v>
      </c>
      <c r="C1527"/>
      <c r="D1527" t="s">
        <v>1778</v>
      </c>
      <c r="E1527" t="s">
        <v>1974</v>
      </c>
      <c r="F1527" t="s">
        <v>2003</v>
      </c>
      <c r="G1527" t="s">
        <v>280</v>
      </c>
      <c r="H1527" t="s">
        <v>2004</v>
      </c>
      <c r="I1527" t="s">
        <v>35</v>
      </c>
      <c r="J1527"/>
      <c r="K1527">
        <v>1</v>
      </c>
      <c r="L1527">
        <v>1</v>
      </c>
      <c r="M1527" t="s">
        <v>33</v>
      </c>
      <c r="N1527">
        <v>1</v>
      </c>
      <c r="O1527"/>
      <c r="P1527">
        <v>0</v>
      </c>
      <c r="Q1527" t="s">
        <v>38</v>
      </c>
      <c r="R1527">
        <v>1</v>
      </c>
      <c r="S1527">
        <v>0</v>
      </c>
      <c r="T1527"/>
      <c r="U1527"/>
      <c r="V1527"/>
      <c r="W1527"/>
      <c r="X1527">
        <v>0</v>
      </c>
      <c r="Y1527"/>
      <c r="Z1527">
        <v>0</v>
      </c>
      <c r="AA1527"/>
      <c r="AB1527"/>
      <c r="AC1527"/>
      <c r="AD1527"/>
      <c r="AE1527">
        <v>0</v>
      </c>
      <c r="AF1527"/>
      <c r="AG1527"/>
      <c r="AH1527"/>
    </row>
    <row r="1528" spans="1:34" hidden="1" x14ac:dyDescent="0.25">
      <c r="A1528" t="s">
        <v>1776</v>
      </c>
      <c r="B1528" t="s">
        <v>1777</v>
      </c>
      <c r="C1528"/>
      <c r="D1528" t="s">
        <v>1778</v>
      </c>
      <c r="E1528" t="s">
        <v>2005</v>
      </c>
      <c r="F1528" t="s">
        <v>2006</v>
      </c>
      <c r="G1528" t="s">
        <v>280</v>
      </c>
      <c r="H1528" t="s">
        <v>2007</v>
      </c>
      <c r="I1528" t="s">
        <v>35</v>
      </c>
      <c r="J1528"/>
      <c r="K1528">
        <v>1</v>
      </c>
      <c r="L1528">
        <v>1</v>
      </c>
      <c r="M1528" t="s">
        <v>33</v>
      </c>
      <c r="N1528">
        <v>1</v>
      </c>
      <c r="O1528"/>
      <c r="P1528">
        <v>0</v>
      </c>
      <c r="Q1528" t="s">
        <v>38</v>
      </c>
      <c r="R1528">
        <v>1</v>
      </c>
      <c r="S1528">
        <v>0</v>
      </c>
      <c r="T1528"/>
      <c r="U1528"/>
      <c r="V1528"/>
      <c r="W1528"/>
      <c r="X1528">
        <v>0</v>
      </c>
      <c r="Y1528"/>
      <c r="Z1528">
        <v>0</v>
      </c>
      <c r="AA1528"/>
      <c r="AB1528"/>
      <c r="AC1528"/>
      <c r="AD1528"/>
      <c r="AE1528">
        <v>0</v>
      </c>
      <c r="AF1528"/>
      <c r="AG1528" t="s">
        <v>3469</v>
      </c>
      <c r="AH1528"/>
    </row>
    <row r="1529" spans="1:34" hidden="1" x14ac:dyDescent="0.25">
      <c r="A1529" t="s">
        <v>1776</v>
      </c>
      <c r="B1529" t="s">
        <v>1777</v>
      </c>
      <c r="C1529"/>
      <c r="D1529" t="s">
        <v>1778</v>
      </c>
      <c r="E1529" t="s">
        <v>2005</v>
      </c>
      <c r="F1529" t="s">
        <v>2008</v>
      </c>
      <c r="G1529" t="s">
        <v>280</v>
      </c>
      <c r="H1529" t="s">
        <v>2009</v>
      </c>
      <c r="I1529" t="s">
        <v>35</v>
      </c>
      <c r="J1529"/>
      <c r="K1529">
        <v>1</v>
      </c>
      <c r="L1529">
        <v>1</v>
      </c>
      <c r="M1529" t="s">
        <v>33</v>
      </c>
      <c r="N1529">
        <v>1</v>
      </c>
      <c r="O1529"/>
      <c r="P1529">
        <v>0</v>
      </c>
      <c r="Q1529" t="s">
        <v>38</v>
      </c>
      <c r="R1529">
        <v>1</v>
      </c>
      <c r="S1529">
        <v>0</v>
      </c>
      <c r="T1529"/>
      <c r="U1529"/>
      <c r="V1529"/>
      <c r="W1529"/>
      <c r="X1529">
        <v>0</v>
      </c>
      <c r="Y1529"/>
      <c r="Z1529">
        <v>0</v>
      </c>
      <c r="AA1529"/>
      <c r="AB1529"/>
      <c r="AC1529"/>
      <c r="AD1529"/>
      <c r="AE1529">
        <v>0</v>
      </c>
      <c r="AF1529"/>
      <c r="AG1529" t="s">
        <v>3469</v>
      </c>
      <c r="AH1529"/>
    </row>
    <row r="1530" spans="1:34" hidden="1" x14ac:dyDescent="0.25">
      <c r="A1530" t="s">
        <v>1776</v>
      </c>
      <c r="B1530" t="s">
        <v>1777</v>
      </c>
      <c r="C1530"/>
      <c r="D1530" t="s">
        <v>1778</v>
      </c>
      <c r="E1530" t="s">
        <v>2005</v>
      </c>
      <c r="F1530" t="s">
        <v>2010</v>
      </c>
      <c r="G1530" t="s">
        <v>280</v>
      </c>
      <c r="H1530" t="s">
        <v>2011</v>
      </c>
      <c r="I1530" t="s">
        <v>35</v>
      </c>
      <c r="J1530"/>
      <c r="K1530">
        <v>1</v>
      </c>
      <c r="L1530">
        <v>1</v>
      </c>
      <c r="M1530" t="s">
        <v>33</v>
      </c>
      <c r="N1530">
        <v>1</v>
      </c>
      <c r="O1530"/>
      <c r="P1530">
        <v>0</v>
      </c>
      <c r="Q1530" t="s">
        <v>38</v>
      </c>
      <c r="R1530">
        <v>1</v>
      </c>
      <c r="S1530">
        <v>0</v>
      </c>
      <c r="T1530"/>
      <c r="U1530"/>
      <c r="V1530"/>
      <c r="W1530"/>
      <c r="X1530">
        <v>0</v>
      </c>
      <c r="Y1530"/>
      <c r="Z1530">
        <v>0</v>
      </c>
      <c r="AA1530"/>
      <c r="AB1530"/>
      <c r="AC1530"/>
      <c r="AD1530"/>
      <c r="AE1530">
        <v>0</v>
      </c>
      <c r="AF1530"/>
      <c r="AG1530" t="s">
        <v>3469</v>
      </c>
      <c r="AH1530"/>
    </row>
    <row r="1531" spans="1:34" hidden="1" x14ac:dyDescent="0.25">
      <c r="A1531" t="s">
        <v>1776</v>
      </c>
      <c r="B1531" t="s">
        <v>1777</v>
      </c>
      <c r="C1531"/>
      <c r="D1531" t="s">
        <v>1778</v>
      </c>
      <c r="E1531" t="s">
        <v>2005</v>
      </c>
      <c r="F1531" t="s">
        <v>2012</v>
      </c>
      <c r="G1531" t="s">
        <v>280</v>
      </c>
      <c r="H1531" t="s">
        <v>2013</v>
      </c>
      <c r="I1531" t="s">
        <v>35</v>
      </c>
      <c r="J1531"/>
      <c r="K1531">
        <v>1</v>
      </c>
      <c r="L1531">
        <v>1</v>
      </c>
      <c r="M1531" t="s">
        <v>33</v>
      </c>
      <c r="N1531">
        <v>1</v>
      </c>
      <c r="O1531"/>
      <c r="P1531">
        <v>0</v>
      </c>
      <c r="Q1531" t="s">
        <v>38</v>
      </c>
      <c r="R1531">
        <v>1</v>
      </c>
      <c r="S1531">
        <v>0</v>
      </c>
      <c r="T1531"/>
      <c r="U1531"/>
      <c r="V1531"/>
      <c r="W1531"/>
      <c r="X1531">
        <v>0</v>
      </c>
      <c r="Y1531"/>
      <c r="Z1531">
        <v>0</v>
      </c>
      <c r="AA1531"/>
      <c r="AB1531"/>
      <c r="AC1531"/>
      <c r="AD1531"/>
      <c r="AE1531">
        <v>0</v>
      </c>
      <c r="AF1531"/>
      <c r="AG1531" t="s">
        <v>3469</v>
      </c>
      <c r="AH1531"/>
    </row>
    <row r="1532" spans="1:34" hidden="1" x14ac:dyDescent="0.25">
      <c r="A1532" t="s">
        <v>1776</v>
      </c>
      <c r="B1532" t="s">
        <v>1777</v>
      </c>
      <c r="C1532"/>
      <c r="D1532" t="s">
        <v>1778</v>
      </c>
      <c r="E1532" t="s">
        <v>2005</v>
      </c>
      <c r="F1532" t="s">
        <v>2014</v>
      </c>
      <c r="G1532" t="s">
        <v>280</v>
      </c>
      <c r="H1532" t="s">
        <v>2015</v>
      </c>
      <c r="I1532" t="s">
        <v>35</v>
      </c>
      <c r="J1532"/>
      <c r="K1532">
        <v>1</v>
      </c>
      <c r="L1532">
        <v>1</v>
      </c>
      <c r="M1532" t="s">
        <v>33</v>
      </c>
      <c r="N1532">
        <v>1</v>
      </c>
      <c r="O1532"/>
      <c r="P1532">
        <v>0</v>
      </c>
      <c r="Q1532" t="s">
        <v>38</v>
      </c>
      <c r="R1532">
        <v>1</v>
      </c>
      <c r="S1532">
        <v>0</v>
      </c>
      <c r="T1532"/>
      <c r="U1532"/>
      <c r="V1532"/>
      <c r="W1532"/>
      <c r="X1532">
        <v>0</v>
      </c>
      <c r="Y1532"/>
      <c r="Z1532">
        <v>0</v>
      </c>
      <c r="AA1532"/>
      <c r="AB1532"/>
      <c r="AC1532"/>
      <c r="AD1532"/>
      <c r="AE1532">
        <v>0</v>
      </c>
      <c r="AF1532"/>
      <c r="AG1532" t="s">
        <v>3469</v>
      </c>
      <c r="AH1532"/>
    </row>
    <row r="1533" spans="1:34" hidden="1" x14ac:dyDescent="0.25">
      <c r="A1533" t="s">
        <v>1776</v>
      </c>
      <c r="B1533" t="s">
        <v>1777</v>
      </c>
      <c r="C1533"/>
      <c r="D1533" t="s">
        <v>1778</v>
      </c>
      <c r="E1533" t="s">
        <v>2005</v>
      </c>
      <c r="F1533" t="s">
        <v>2016</v>
      </c>
      <c r="G1533" t="s">
        <v>280</v>
      </c>
      <c r="H1533" t="s">
        <v>2017</v>
      </c>
      <c r="I1533" t="s">
        <v>35</v>
      </c>
      <c r="J1533"/>
      <c r="K1533">
        <v>1</v>
      </c>
      <c r="L1533">
        <v>1</v>
      </c>
      <c r="M1533" t="s">
        <v>33</v>
      </c>
      <c r="N1533">
        <v>1</v>
      </c>
      <c r="O1533"/>
      <c r="P1533">
        <v>0</v>
      </c>
      <c r="Q1533" t="s">
        <v>38</v>
      </c>
      <c r="R1533">
        <v>1</v>
      </c>
      <c r="S1533">
        <v>0</v>
      </c>
      <c r="T1533"/>
      <c r="U1533"/>
      <c r="V1533"/>
      <c r="W1533"/>
      <c r="X1533">
        <v>0</v>
      </c>
      <c r="Y1533"/>
      <c r="Z1533">
        <v>0</v>
      </c>
      <c r="AA1533"/>
      <c r="AB1533"/>
      <c r="AC1533"/>
      <c r="AD1533"/>
      <c r="AE1533">
        <v>0</v>
      </c>
      <c r="AF1533"/>
      <c r="AG1533" t="s">
        <v>3469</v>
      </c>
      <c r="AH1533"/>
    </row>
    <row r="1534" spans="1:34" hidden="1" x14ac:dyDescent="0.25">
      <c r="A1534" t="s">
        <v>1776</v>
      </c>
      <c r="B1534" t="s">
        <v>1777</v>
      </c>
      <c r="C1534"/>
      <c r="D1534" t="s">
        <v>1778</v>
      </c>
      <c r="E1534" t="s">
        <v>2005</v>
      </c>
      <c r="F1534" t="s">
        <v>2018</v>
      </c>
      <c r="G1534" t="s">
        <v>280</v>
      </c>
      <c r="H1534" t="s">
        <v>2019</v>
      </c>
      <c r="I1534" t="s">
        <v>35</v>
      </c>
      <c r="J1534"/>
      <c r="K1534">
        <v>1</v>
      </c>
      <c r="L1534">
        <v>1</v>
      </c>
      <c r="M1534" t="s">
        <v>33</v>
      </c>
      <c r="N1534">
        <v>1</v>
      </c>
      <c r="O1534"/>
      <c r="P1534">
        <v>0</v>
      </c>
      <c r="Q1534" t="s">
        <v>38</v>
      </c>
      <c r="R1534">
        <v>1</v>
      </c>
      <c r="S1534">
        <v>0</v>
      </c>
      <c r="T1534"/>
      <c r="U1534"/>
      <c r="V1534"/>
      <c r="W1534"/>
      <c r="X1534">
        <v>0</v>
      </c>
      <c r="Y1534"/>
      <c r="Z1534">
        <v>0</v>
      </c>
      <c r="AA1534"/>
      <c r="AB1534"/>
      <c r="AC1534"/>
      <c r="AD1534"/>
      <c r="AE1534">
        <v>0</v>
      </c>
      <c r="AF1534"/>
      <c r="AG1534" t="s">
        <v>3469</v>
      </c>
      <c r="AH1534"/>
    </row>
    <row r="1535" spans="1:34" hidden="1" x14ac:dyDescent="0.25">
      <c r="A1535" t="s">
        <v>1776</v>
      </c>
      <c r="B1535" t="s">
        <v>1777</v>
      </c>
      <c r="C1535"/>
      <c r="D1535" t="s">
        <v>1778</v>
      </c>
      <c r="E1535" t="s">
        <v>2005</v>
      </c>
      <c r="F1535" t="s">
        <v>2020</v>
      </c>
      <c r="G1535" t="s">
        <v>280</v>
      </c>
      <c r="H1535" t="s">
        <v>2021</v>
      </c>
      <c r="I1535" t="s">
        <v>35</v>
      </c>
      <c r="J1535"/>
      <c r="K1535">
        <v>1</v>
      </c>
      <c r="L1535">
        <v>1</v>
      </c>
      <c r="M1535" t="s">
        <v>33</v>
      </c>
      <c r="N1535">
        <v>1</v>
      </c>
      <c r="O1535"/>
      <c r="P1535">
        <v>0</v>
      </c>
      <c r="Q1535" t="s">
        <v>38</v>
      </c>
      <c r="R1535">
        <v>1</v>
      </c>
      <c r="S1535">
        <v>0</v>
      </c>
      <c r="T1535"/>
      <c r="U1535"/>
      <c r="V1535"/>
      <c r="W1535"/>
      <c r="X1535">
        <v>0</v>
      </c>
      <c r="Y1535"/>
      <c r="Z1535">
        <v>0</v>
      </c>
      <c r="AA1535"/>
      <c r="AB1535"/>
      <c r="AC1535"/>
      <c r="AD1535"/>
      <c r="AE1535">
        <v>0</v>
      </c>
      <c r="AF1535"/>
      <c r="AG1535" t="s">
        <v>3469</v>
      </c>
      <c r="AH1535"/>
    </row>
    <row r="1536" spans="1:34" hidden="1" x14ac:dyDescent="0.25">
      <c r="A1536" t="s">
        <v>1776</v>
      </c>
      <c r="B1536" t="s">
        <v>1777</v>
      </c>
      <c r="C1536"/>
      <c r="D1536" t="s">
        <v>1778</v>
      </c>
      <c r="E1536" t="s">
        <v>2005</v>
      </c>
      <c r="F1536" t="s">
        <v>2022</v>
      </c>
      <c r="G1536" t="s">
        <v>280</v>
      </c>
      <c r="H1536" t="s">
        <v>2023</v>
      </c>
      <c r="I1536" t="s">
        <v>35</v>
      </c>
      <c r="J1536"/>
      <c r="K1536">
        <v>1</v>
      </c>
      <c r="L1536">
        <v>1</v>
      </c>
      <c r="M1536" t="s">
        <v>33</v>
      </c>
      <c r="N1536">
        <v>1</v>
      </c>
      <c r="O1536"/>
      <c r="P1536">
        <v>0</v>
      </c>
      <c r="Q1536" t="s">
        <v>38</v>
      </c>
      <c r="R1536">
        <v>1</v>
      </c>
      <c r="S1536">
        <v>0</v>
      </c>
      <c r="T1536"/>
      <c r="U1536"/>
      <c r="V1536"/>
      <c r="W1536"/>
      <c r="X1536">
        <v>0</v>
      </c>
      <c r="Y1536"/>
      <c r="Z1536">
        <v>0</v>
      </c>
      <c r="AA1536"/>
      <c r="AB1536"/>
      <c r="AC1536"/>
      <c r="AD1536"/>
      <c r="AE1536">
        <v>0</v>
      </c>
      <c r="AF1536"/>
      <c r="AG1536" t="s">
        <v>3469</v>
      </c>
      <c r="AH1536"/>
    </row>
    <row r="1537" spans="1:34" hidden="1" x14ac:dyDescent="0.25">
      <c r="A1537" t="s">
        <v>2024</v>
      </c>
      <c r="B1537" t="s">
        <v>2025</v>
      </c>
      <c r="C1537"/>
      <c r="D1537" t="s">
        <v>1778</v>
      </c>
      <c r="E1537" t="s">
        <v>2026</v>
      </c>
      <c r="F1537" t="s">
        <v>2027</v>
      </c>
      <c r="G1537" t="s">
        <v>280</v>
      </c>
      <c r="H1537" t="s">
        <v>2028</v>
      </c>
      <c r="I1537" t="s">
        <v>35</v>
      </c>
      <c r="J1537"/>
      <c r="K1537">
        <v>1</v>
      </c>
      <c r="L1537">
        <v>1</v>
      </c>
      <c r="M1537" t="s">
        <v>33</v>
      </c>
      <c r="N1537">
        <v>1</v>
      </c>
      <c r="O1537"/>
      <c r="P1537">
        <v>0</v>
      </c>
      <c r="Q1537" t="s">
        <v>38</v>
      </c>
      <c r="R1537">
        <v>1</v>
      </c>
      <c r="S1537">
        <v>0</v>
      </c>
      <c r="T1537"/>
      <c r="U1537"/>
      <c r="V1537"/>
      <c r="W1537"/>
      <c r="X1537">
        <v>0</v>
      </c>
      <c r="Y1537"/>
      <c r="Z1537">
        <v>0</v>
      </c>
      <c r="AA1537"/>
      <c r="AB1537"/>
      <c r="AC1537"/>
      <c r="AD1537"/>
      <c r="AE1537">
        <v>0</v>
      </c>
      <c r="AF1537"/>
      <c r="AG1537" t="s">
        <v>3467</v>
      </c>
      <c r="AH1537"/>
    </row>
    <row r="1538" spans="1:34" hidden="1" x14ac:dyDescent="0.25">
      <c r="A1538" t="s">
        <v>2024</v>
      </c>
      <c r="B1538" t="s">
        <v>2025</v>
      </c>
      <c r="C1538"/>
      <c r="D1538" t="s">
        <v>1778</v>
      </c>
      <c r="E1538" t="s">
        <v>2026</v>
      </c>
      <c r="F1538" t="s">
        <v>2029</v>
      </c>
      <c r="G1538" t="s">
        <v>280</v>
      </c>
      <c r="H1538" t="s">
        <v>2030</v>
      </c>
      <c r="I1538" t="s">
        <v>35</v>
      </c>
      <c r="J1538"/>
      <c r="K1538">
        <v>1</v>
      </c>
      <c r="L1538">
        <v>1</v>
      </c>
      <c r="M1538" t="s">
        <v>33</v>
      </c>
      <c r="N1538">
        <v>1</v>
      </c>
      <c r="O1538"/>
      <c r="P1538">
        <v>0</v>
      </c>
      <c r="Q1538" t="s">
        <v>38</v>
      </c>
      <c r="R1538">
        <v>1</v>
      </c>
      <c r="S1538">
        <v>0</v>
      </c>
      <c r="T1538"/>
      <c r="U1538"/>
      <c r="V1538"/>
      <c r="W1538"/>
      <c r="X1538">
        <v>0</v>
      </c>
      <c r="Y1538"/>
      <c r="Z1538">
        <v>0</v>
      </c>
      <c r="AA1538"/>
      <c r="AB1538"/>
      <c r="AC1538"/>
      <c r="AD1538"/>
      <c r="AE1538">
        <v>0</v>
      </c>
      <c r="AF1538"/>
      <c r="AG1538" t="s">
        <v>3467</v>
      </c>
      <c r="AH1538"/>
    </row>
    <row r="1539" spans="1:34" x14ac:dyDescent="0.25">
      <c r="A1539" t="s">
        <v>2024</v>
      </c>
      <c r="B1539" t="s">
        <v>2025</v>
      </c>
      <c r="C1539"/>
      <c r="D1539" t="s">
        <v>1778</v>
      </c>
      <c r="E1539" t="s">
        <v>2026</v>
      </c>
      <c r="F1539" t="s">
        <v>2031</v>
      </c>
      <c r="G1539" t="s">
        <v>280</v>
      </c>
      <c r="H1539" t="s">
        <v>2032</v>
      </c>
      <c r="I1539" t="s">
        <v>35</v>
      </c>
      <c r="J1539"/>
      <c r="K1539">
        <v>1</v>
      </c>
      <c r="L1539">
        <v>1</v>
      </c>
      <c r="M1539" t="s">
        <v>33</v>
      </c>
      <c r="N1539">
        <v>1</v>
      </c>
      <c r="O1539"/>
      <c r="P1539">
        <v>0</v>
      </c>
      <c r="Q1539" t="s">
        <v>38</v>
      </c>
      <c r="R1539">
        <v>1</v>
      </c>
      <c r="S1539">
        <v>0</v>
      </c>
      <c r="T1539"/>
      <c r="U1539"/>
      <c r="V1539"/>
      <c r="W1539"/>
      <c r="X1539">
        <v>0</v>
      </c>
      <c r="Y1539"/>
      <c r="Z1539">
        <v>0</v>
      </c>
      <c r="AA1539"/>
      <c r="AB1539"/>
      <c r="AC1539"/>
      <c r="AD1539"/>
      <c r="AE1539">
        <v>0</v>
      </c>
      <c r="AF1539"/>
      <c r="AG1539" t="s">
        <v>3467</v>
      </c>
      <c r="AH1539"/>
    </row>
    <row r="1540" spans="1:34" x14ac:dyDescent="0.25">
      <c r="A1540" t="s">
        <v>2024</v>
      </c>
      <c r="B1540" t="s">
        <v>2025</v>
      </c>
      <c r="C1540"/>
      <c r="D1540" t="s">
        <v>1778</v>
      </c>
      <c r="E1540" t="s">
        <v>2026</v>
      </c>
      <c r="F1540" t="s">
        <v>2033</v>
      </c>
      <c r="G1540" t="s">
        <v>280</v>
      </c>
      <c r="H1540" t="s">
        <v>2034</v>
      </c>
      <c r="I1540" t="s">
        <v>35</v>
      </c>
      <c r="J1540"/>
      <c r="K1540">
        <v>1</v>
      </c>
      <c r="L1540">
        <v>1</v>
      </c>
      <c r="M1540" t="s">
        <v>33</v>
      </c>
      <c r="N1540">
        <v>1</v>
      </c>
      <c r="O1540"/>
      <c r="P1540">
        <v>0</v>
      </c>
      <c r="Q1540" t="s">
        <v>38</v>
      </c>
      <c r="R1540">
        <v>1</v>
      </c>
      <c r="S1540">
        <v>0</v>
      </c>
      <c r="T1540"/>
      <c r="U1540"/>
      <c r="V1540"/>
      <c r="W1540"/>
      <c r="X1540">
        <v>0</v>
      </c>
      <c r="Y1540"/>
      <c r="Z1540">
        <v>0</v>
      </c>
      <c r="AA1540"/>
      <c r="AB1540"/>
      <c r="AC1540"/>
      <c r="AD1540"/>
      <c r="AE1540">
        <v>0</v>
      </c>
      <c r="AF1540"/>
      <c r="AG1540" t="s">
        <v>3467</v>
      </c>
      <c r="AH1540"/>
    </row>
    <row r="1541" spans="1:34" x14ac:dyDescent="0.25">
      <c r="A1541" t="s">
        <v>2024</v>
      </c>
      <c r="B1541" t="s">
        <v>2025</v>
      </c>
      <c r="C1541"/>
      <c r="D1541" t="s">
        <v>1778</v>
      </c>
      <c r="E1541" t="s">
        <v>2026</v>
      </c>
      <c r="F1541" t="s">
        <v>2035</v>
      </c>
      <c r="G1541" t="s">
        <v>280</v>
      </c>
      <c r="H1541" t="s">
        <v>2036</v>
      </c>
      <c r="I1541" t="s">
        <v>35</v>
      </c>
      <c r="J1541"/>
      <c r="K1541">
        <v>1</v>
      </c>
      <c r="L1541">
        <v>1</v>
      </c>
      <c r="M1541" t="s">
        <v>33</v>
      </c>
      <c r="N1541">
        <v>1</v>
      </c>
      <c r="O1541"/>
      <c r="P1541">
        <v>0</v>
      </c>
      <c r="Q1541" t="s">
        <v>38</v>
      </c>
      <c r="R1541">
        <v>1</v>
      </c>
      <c r="S1541">
        <v>0</v>
      </c>
      <c r="T1541"/>
      <c r="U1541"/>
      <c r="V1541"/>
      <c r="W1541"/>
      <c r="X1541">
        <v>0</v>
      </c>
      <c r="Y1541"/>
      <c r="Z1541">
        <v>0</v>
      </c>
      <c r="AA1541"/>
      <c r="AB1541"/>
      <c r="AC1541"/>
      <c r="AD1541"/>
      <c r="AE1541">
        <v>0</v>
      </c>
      <c r="AF1541"/>
      <c r="AG1541" t="s">
        <v>3467</v>
      </c>
      <c r="AH1541"/>
    </row>
    <row r="1542" spans="1:34" x14ac:dyDescent="0.25">
      <c r="A1542" t="s">
        <v>2024</v>
      </c>
      <c r="B1542" t="s">
        <v>2025</v>
      </c>
      <c r="C1542"/>
      <c r="D1542" t="s">
        <v>1778</v>
      </c>
      <c r="E1542" t="s">
        <v>2026</v>
      </c>
      <c r="F1542" t="s">
        <v>2037</v>
      </c>
      <c r="G1542" t="s">
        <v>280</v>
      </c>
      <c r="H1542" t="s">
        <v>2038</v>
      </c>
      <c r="I1542" t="s">
        <v>35</v>
      </c>
      <c r="J1542"/>
      <c r="K1542">
        <v>1</v>
      </c>
      <c r="L1542">
        <v>1</v>
      </c>
      <c r="M1542" t="s">
        <v>33</v>
      </c>
      <c r="N1542">
        <v>1</v>
      </c>
      <c r="O1542"/>
      <c r="P1542">
        <v>0</v>
      </c>
      <c r="Q1542" t="s">
        <v>38</v>
      </c>
      <c r="R1542">
        <v>1</v>
      </c>
      <c r="S1542">
        <v>0</v>
      </c>
      <c r="T1542"/>
      <c r="U1542"/>
      <c r="V1542"/>
      <c r="W1542"/>
      <c r="X1542">
        <v>0</v>
      </c>
      <c r="Y1542"/>
      <c r="Z1542">
        <v>0</v>
      </c>
      <c r="AA1542"/>
      <c r="AB1542"/>
      <c r="AC1542"/>
      <c r="AD1542"/>
      <c r="AE1542">
        <v>0</v>
      </c>
      <c r="AF1542"/>
      <c r="AG1542" t="s">
        <v>3467</v>
      </c>
      <c r="AH1542"/>
    </row>
    <row r="1543" spans="1:34" x14ac:dyDescent="0.25">
      <c r="A1543" t="s">
        <v>2039</v>
      </c>
      <c r="B1543" t="s">
        <v>2040</v>
      </c>
      <c r="C1543"/>
      <c r="D1543" t="s">
        <v>1778</v>
      </c>
      <c r="E1543" t="s">
        <v>2041</v>
      </c>
      <c r="F1543" t="s">
        <v>2042</v>
      </c>
      <c r="G1543" t="s">
        <v>280</v>
      </c>
      <c r="H1543" t="s">
        <v>2043</v>
      </c>
      <c r="I1543" t="s">
        <v>35</v>
      </c>
      <c r="J1543"/>
      <c r="K1543">
        <v>1</v>
      </c>
      <c r="L1543">
        <v>1</v>
      </c>
      <c r="M1543" t="s">
        <v>33</v>
      </c>
      <c r="N1543">
        <v>0</v>
      </c>
      <c r="O1543"/>
      <c r="P1543">
        <v>0</v>
      </c>
      <c r="Q1543" t="s">
        <v>38</v>
      </c>
      <c r="R1543">
        <v>1</v>
      </c>
      <c r="S1543">
        <v>0</v>
      </c>
      <c r="T1543"/>
      <c r="U1543"/>
      <c r="V1543"/>
      <c r="W1543"/>
      <c r="X1543">
        <v>0</v>
      </c>
      <c r="Y1543"/>
      <c r="Z1543">
        <v>0</v>
      </c>
      <c r="AA1543"/>
      <c r="AB1543"/>
      <c r="AC1543"/>
      <c r="AD1543"/>
      <c r="AE1543">
        <v>0</v>
      </c>
      <c r="AF1543"/>
      <c r="AG1543" t="s">
        <v>3468</v>
      </c>
      <c r="AH1543"/>
    </row>
    <row r="1544" spans="1:34" x14ac:dyDescent="0.25">
      <c r="A1544" t="s">
        <v>2039</v>
      </c>
      <c r="B1544" t="s">
        <v>2040</v>
      </c>
      <c r="C1544"/>
      <c r="D1544" t="s">
        <v>1778</v>
      </c>
      <c r="E1544" t="s">
        <v>2041</v>
      </c>
      <c r="F1544" t="s">
        <v>2044</v>
      </c>
      <c r="G1544" t="s">
        <v>280</v>
      </c>
      <c r="H1544" t="s">
        <v>2045</v>
      </c>
      <c r="I1544" t="s">
        <v>35</v>
      </c>
      <c r="J1544"/>
      <c r="K1544">
        <v>1</v>
      </c>
      <c r="L1544">
        <v>1</v>
      </c>
      <c r="M1544" t="s">
        <v>33</v>
      </c>
      <c r="N1544">
        <v>0</v>
      </c>
      <c r="O1544"/>
      <c r="P1544">
        <v>0</v>
      </c>
      <c r="Q1544" t="s">
        <v>38</v>
      </c>
      <c r="R1544">
        <v>1</v>
      </c>
      <c r="S1544">
        <v>0</v>
      </c>
      <c r="T1544"/>
      <c r="U1544"/>
      <c r="V1544"/>
      <c r="W1544"/>
      <c r="X1544">
        <v>0</v>
      </c>
      <c r="Y1544"/>
      <c r="Z1544">
        <v>0</v>
      </c>
      <c r="AA1544"/>
      <c r="AB1544"/>
      <c r="AC1544"/>
      <c r="AD1544"/>
      <c r="AE1544">
        <v>0</v>
      </c>
      <c r="AF1544"/>
      <c r="AG1544" t="s">
        <v>3468</v>
      </c>
      <c r="AH1544"/>
    </row>
    <row r="1545" spans="1:34" hidden="1" x14ac:dyDescent="0.25">
      <c r="A1545" t="s">
        <v>2046</v>
      </c>
      <c r="B1545" t="s">
        <v>2047</v>
      </c>
      <c r="C1545"/>
      <c r="D1545" t="s">
        <v>1778</v>
      </c>
      <c r="E1545" t="s">
        <v>2048</v>
      </c>
      <c r="F1545" t="s">
        <v>1780</v>
      </c>
      <c r="G1545" t="s">
        <v>280</v>
      </c>
      <c r="H1545" t="s">
        <v>2049</v>
      </c>
      <c r="I1545" t="s">
        <v>35</v>
      </c>
      <c r="J1545"/>
      <c r="K1545">
        <v>1</v>
      </c>
      <c r="L1545">
        <v>1</v>
      </c>
      <c r="M1545" t="s">
        <v>33</v>
      </c>
      <c r="N1545">
        <v>1</v>
      </c>
      <c r="O1545"/>
      <c r="P1545">
        <v>0</v>
      </c>
      <c r="Q1545" t="s">
        <v>38</v>
      </c>
      <c r="R1545">
        <v>1</v>
      </c>
      <c r="S1545">
        <v>0</v>
      </c>
      <c r="T1545"/>
      <c r="U1545"/>
      <c r="V1545"/>
      <c r="W1545"/>
      <c r="X1545">
        <v>0</v>
      </c>
      <c r="Y1545"/>
      <c r="Z1545">
        <v>0</v>
      </c>
      <c r="AA1545"/>
      <c r="AB1545"/>
      <c r="AC1545"/>
      <c r="AD1545"/>
      <c r="AE1545">
        <v>0</v>
      </c>
      <c r="AF1545"/>
      <c r="AG1545" t="s">
        <v>277</v>
      </c>
      <c r="AH1545"/>
    </row>
    <row r="1546" spans="1:34" hidden="1" x14ac:dyDescent="0.25">
      <c r="A1546" t="s">
        <v>2046</v>
      </c>
      <c r="B1546" t="s">
        <v>2047</v>
      </c>
      <c r="C1546"/>
      <c r="D1546" t="s">
        <v>1778</v>
      </c>
      <c r="E1546" t="s">
        <v>2048</v>
      </c>
      <c r="F1546" t="s">
        <v>2050</v>
      </c>
      <c r="G1546" t="s">
        <v>280</v>
      </c>
      <c r="H1546" t="s">
        <v>2051</v>
      </c>
      <c r="I1546" t="s">
        <v>35</v>
      </c>
      <c r="J1546"/>
      <c r="K1546">
        <v>1</v>
      </c>
      <c r="L1546">
        <v>1</v>
      </c>
      <c r="M1546" t="s">
        <v>33</v>
      </c>
      <c r="N1546">
        <v>1</v>
      </c>
      <c r="O1546"/>
      <c r="P1546">
        <v>0</v>
      </c>
      <c r="Q1546" t="s">
        <v>38</v>
      </c>
      <c r="R1546">
        <v>1</v>
      </c>
      <c r="S1546">
        <v>0</v>
      </c>
      <c r="T1546"/>
      <c r="U1546"/>
      <c r="V1546"/>
      <c r="W1546"/>
      <c r="X1546">
        <v>0</v>
      </c>
      <c r="Y1546"/>
      <c r="Z1546">
        <v>0</v>
      </c>
      <c r="AA1546"/>
      <c r="AB1546"/>
      <c r="AC1546"/>
      <c r="AD1546"/>
      <c r="AE1546">
        <v>0</v>
      </c>
      <c r="AF1546"/>
      <c r="AG1546" t="s">
        <v>277</v>
      </c>
      <c r="AH1546"/>
    </row>
    <row r="1547" spans="1:34" hidden="1" x14ac:dyDescent="0.25">
      <c r="A1547" t="s">
        <v>2046</v>
      </c>
      <c r="B1547" t="s">
        <v>2047</v>
      </c>
      <c r="C1547"/>
      <c r="D1547" t="s">
        <v>1778</v>
      </c>
      <c r="E1547" t="s">
        <v>2048</v>
      </c>
      <c r="F1547" t="s">
        <v>1796</v>
      </c>
      <c r="G1547" t="s">
        <v>280</v>
      </c>
      <c r="H1547" t="s">
        <v>2052</v>
      </c>
      <c r="I1547" t="s">
        <v>35</v>
      </c>
      <c r="J1547"/>
      <c r="K1547">
        <v>1</v>
      </c>
      <c r="L1547">
        <v>1</v>
      </c>
      <c r="M1547" t="s">
        <v>33</v>
      </c>
      <c r="N1547">
        <v>1</v>
      </c>
      <c r="O1547"/>
      <c r="P1547">
        <v>0</v>
      </c>
      <c r="Q1547" t="s">
        <v>38</v>
      </c>
      <c r="R1547">
        <v>1</v>
      </c>
      <c r="S1547">
        <v>0</v>
      </c>
      <c r="T1547"/>
      <c r="U1547"/>
      <c r="V1547"/>
      <c r="W1547"/>
      <c r="X1547">
        <v>0</v>
      </c>
      <c r="Y1547"/>
      <c r="Z1547">
        <v>0</v>
      </c>
      <c r="AA1547"/>
      <c r="AB1547"/>
      <c r="AC1547"/>
      <c r="AD1547"/>
      <c r="AE1547">
        <v>0</v>
      </c>
      <c r="AF1547"/>
      <c r="AG1547" t="s">
        <v>277</v>
      </c>
      <c r="AH1547"/>
    </row>
    <row r="1548" spans="1:34" x14ac:dyDescent="0.25">
      <c r="A1548" t="s">
        <v>2046</v>
      </c>
      <c r="B1548" t="s">
        <v>2047</v>
      </c>
      <c r="C1548"/>
      <c r="D1548" t="s">
        <v>1778</v>
      </c>
      <c r="E1548" t="s">
        <v>2048</v>
      </c>
      <c r="F1548" t="s">
        <v>2053</v>
      </c>
      <c r="G1548" t="s">
        <v>280</v>
      </c>
      <c r="H1548" t="s">
        <v>2054</v>
      </c>
      <c r="I1548" t="s">
        <v>35</v>
      </c>
      <c r="J1548"/>
      <c r="K1548">
        <v>1</v>
      </c>
      <c r="L1548">
        <v>1</v>
      </c>
      <c r="M1548" t="s">
        <v>33</v>
      </c>
      <c r="N1548">
        <v>1</v>
      </c>
      <c r="O1548"/>
      <c r="P1548">
        <v>0</v>
      </c>
      <c r="Q1548" t="s">
        <v>38</v>
      </c>
      <c r="R1548">
        <v>1</v>
      </c>
      <c r="S1548">
        <v>0</v>
      </c>
      <c r="T1548"/>
      <c r="U1548"/>
      <c r="V1548"/>
      <c r="W1548"/>
      <c r="X1548">
        <v>0</v>
      </c>
      <c r="Y1548"/>
      <c r="Z1548">
        <v>0</v>
      </c>
      <c r="AA1548"/>
      <c r="AB1548"/>
      <c r="AC1548"/>
      <c r="AD1548"/>
      <c r="AE1548">
        <v>0</v>
      </c>
      <c r="AF1548"/>
      <c r="AG1548" t="s">
        <v>277</v>
      </c>
      <c r="AH1548"/>
    </row>
    <row r="1549" spans="1:34" x14ac:dyDescent="0.25">
      <c r="A1549" t="s">
        <v>2046</v>
      </c>
      <c r="B1549" t="s">
        <v>2047</v>
      </c>
      <c r="C1549"/>
      <c r="D1549" t="s">
        <v>1778</v>
      </c>
      <c r="E1549" t="s">
        <v>2048</v>
      </c>
      <c r="F1549" t="s">
        <v>1804</v>
      </c>
      <c r="G1549" t="s">
        <v>280</v>
      </c>
      <c r="H1549" t="s">
        <v>2055</v>
      </c>
      <c r="I1549" t="s">
        <v>35</v>
      </c>
      <c r="J1549"/>
      <c r="K1549">
        <v>1</v>
      </c>
      <c r="L1549">
        <v>1</v>
      </c>
      <c r="M1549" t="s">
        <v>33</v>
      </c>
      <c r="N1549">
        <v>1</v>
      </c>
      <c r="O1549"/>
      <c r="P1549">
        <v>0</v>
      </c>
      <c r="Q1549" t="s">
        <v>38</v>
      </c>
      <c r="R1549">
        <v>1</v>
      </c>
      <c r="S1549">
        <v>0</v>
      </c>
      <c r="T1549"/>
      <c r="U1549"/>
      <c r="V1549"/>
      <c r="W1549"/>
      <c r="X1549">
        <v>0</v>
      </c>
      <c r="Y1549"/>
      <c r="Z1549">
        <v>0</v>
      </c>
      <c r="AA1549"/>
      <c r="AB1549"/>
      <c r="AC1549"/>
      <c r="AD1549"/>
      <c r="AE1549">
        <v>0</v>
      </c>
      <c r="AF1549"/>
      <c r="AG1549" t="s">
        <v>277</v>
      </c>
      <c r="AH1549"/>
    </row>
    <row r="1550" spans="1:34" x14ac:dyDescent="0.25">
      <c r="A1550" t="s">
        <v>2046</v>
      </c>
      <c r="B1550" t="s">
        <v>2047</v>
      </c>
      <c r="C1550"/>
      <c r="D1550" t="s">
        <v>1778</v>
      </c>
      <c r="E1550" t="s">
        <v>2048</v>
      </c>
      <c r="F1550" t="s">
        <v>2056</v>
      </c>
      <c r="G1550" t="s">
        <v>280</v>
      </c>
      <c r="H1550" t="s">
        <v>2057</v>
      </c>
      <c r="I1550" t="s">
        <v>35</v>
      </c>
      <c r="J1550"/>
      <c r="K1550">
        <v>1</v>
      </c>
      <c r="L1550">
        <v>1</v>
      </c>
      <c r="M1550" t="s">
        <v>33</v>
      </c>
      <c r="N1550">
        <v>1</v>
      </c>
      <c r="O1550"/>
      <c r="P1550">
        <v>0</v>
      </c>
      <c r="Q1550" t="s">
        <v>38</v>
      </c>
      <c r="R1550">
        <v>1</v>
      </c>
      <c r="S1550">
        <v>0</v>
      </c>
      <c r="T1550"/>
      <c r="U1550"/>
      <c r="V1550"/>
      <c r="W1550"/>
      <c r="X1550">
        <v>0</v>
      </c>
      <c r="Y1550"/>
      <c r="Z1550">
        <v>0</v>
      </c>
      <c r="AA1550"/>
      <c r="AB1550"/>
      <c r="AC1550"/>
      <c r="AD1550"/>
      <c r="AE1550">
        <v>0</v>
      </c>
      <c r="AF1550"/>
      <c r="AG1550" t="s">
        <v>277</v>
      </c>
      <c r="AH1550"/>
    </row>
    <row r="1551" spans="1:34" x14ac:dyDescent="0.25">
      <c r="A1551" t="s">
        <v>2058</v>
      </c>
      <c r="B1551" t="s">
        <v>2059</v>
      </c>
      <c r="C1551"/>
      <c r="D1551" t="s">
        <v>1778</v>
      </c>
      <c r="E1551" t="s">
        <v>2060</v>
      </c>
      <c r="F1551" t="s">
        <v>1796</v>
      </c>
      <c r="G1551" t="s">
        <v>280</v>
      </c>
      <c r="H1551" t="s">
        <v>2061</v>
      </c>
      <c r="I1551" t="s">
        <v>35</v>
      </c>
      <c r="J1551"/>
      <c r="K1551">
        <v>1</v>
      </c>
      <c r="L1551">
        <v>1</v>
      </c>
      <c r="M1551" t="s">
        <v>33</v>
      </c>
      <c r="N1551">
        <v>1</v>
      </c>
      <c r="O1551"/>
      <c r="P1551">
        <v>0</v>
      </c>
      <c r="Q1551" t="s">
        <v>38</v>
      </c>
      <c r="R1551">
        <v>1</v>
      </c>
      <c r="S1551">
        <v>0</v>
      </c>
      <c r="T1551"/>
      <c r="U1551"/>
      <c r="V1551"/>
      <c r="W1551"/>
      <c r="X1551">
        <v>0</v>
      </c>
      <c r="Y1551"/>
      <c r="Z1551">
        <v>0</v>
      </c>
      <c r="AA1551"/>
      <c r="AB1551"/>
      <c r="AC1551"/>
      <c r="AD1551"/>
      <c r="AE1551">
        <v>0</v>
      </c>
      <c r="AF1551"/>
      <c r="AG1551" t="s">
        <v>3469</v>
      </c>
      <c r="AH1551"/>
    </row>
    <row r="1552" spans="1:34" x14ac:dyDescent="0.25">
      <c r="A1552" t="s">
        <v>2058</v>
      </c>
      <c r="B1552" t="s">
        <v>2059</v>
      </c>
      <c r="C1552"/>
      <c r="D1552" t="s">
        <v>1778</v>
      </c>
      <c r="E1552" t="s">
        <v>2060</v>
      </c>
      <c r="F1552" t="s">
        <v>1800</v>
      </c>
      <c r="G1552" t="s">
        <v>280</v>
      </c>
      <c r="H1552" t="s">
        <v>2062</v>
      </c>
      <c r="I1552" t="s">
        <v>35</v>
      </c>
      <c r="J1552"/>
      <c r="K1552">
        <v>1</v>
      </c>
      <c r="L1552">
        <v>1</v>
      </c>
      <c r="M1552" t="s">
        <v>33</v>
      </c>
      <c r="N1552">
        <v>1</v>
      </c>
      <c r="O1552"/>
      <c r="P1552">
        <v>0</v>
      </c>
      <c r="Q1552" t="s">
        <v>38</v>
      </c>
      <c r="R1552">
        <v>1</v>
      </c>
      <c r="S1552">
        <v>0</v>
      </c>
      <c r="T1552"/>
      <c r="U1552"/>
      <c r="V1552"/>
      <c r="W1552"/>
      <c r="X1552">
        <v>0</v>
      </c>
      <c r="Y1552"/>
      <c r="Z1552">
        <v>0</v>
      </c>
      <c r="AA1552"/>
      <c r="AB1552"/>
      <c r="AC1552"/>
      <c r="AD1552"/>
      <c r="AE1552">
        <v>0</v>
      </c>
      <c r="AF1552"/>
      <c r="AG1552" t="s">
        <v>3469</v>
      </c>
      <c r="AH1552"/>
    </row>
    <row r="1553" spans="1:34" x14ac:dyDescent="0.25">
      <c r="A1553" t="s">
        <v>3401</v>
      </c>
      <c r="B1553" t="s">
        <v>3402</v>
      </c>
      <c r="C1553"/>
      <c r="D1553" t="s">
        <v>1778</v>
      </c>
      <c r="E1553" t="s">
        <v>2063</v>
      </c>
      <c r="F1553" t="s">
        <v>1780</v>
      </c>
      <c r="G1553" t="s">
        <v>280</v>
      </c>
      <c r="H1553" t="s">
        <v>2064</v>
      </c>
      <c r="I1553" t="s">
        <v>35</v>
      </c>
      <c r="J1553"/>
      <c r="K1553">
        <v>1</v>
      </c>
      <c r="L1553">
        <v>1</v>
      </c>
      <c r="M1553" t="s">
        <v>33</v>
      </c>
      <c r="N1553">
        <v>1</v>
      </c>
      <c r="O1553"/>
      <c r="P1553">
        <v>0</v>
      </c>
      <c r="Q1553" t="s">
        <v>38</v>
      </c>
      <c r="R1553">
        <v>1</v>
      </c>
      <c r="S1553">
        <v>0</v>
      </c>
      <c r="T1553"/>
      <c r="U1553"/>
      <c r="V1553"/>
      <c r="W1553"/>
      <c r="X1553">
        <v>0</v>
      </c>
      <c r="Y1553"/>
      <c r="Z1553">
        <v>0</v>
      </c>
      <c r="AA1553"/>
      <c r="AB1553"/>
      <c r="AC1553"/>
      <c r="AD1553"/>
      <c r="AE1553">
        <v>0</v>
      </c>
      <c r="AF1553"/>
      <c r="AG1553"/>
      <c r="AH1553"/>
    </row>
    <row r="1554" spans="1:34" x14ac:dyDescent="0.25">
      <c r="A1554" t="s">
        <v>3410</v>
      </c>
      <c r="B1554" t="s">
        <v>3411</v>
      </c>
      <c r="C1554"/>
      <c r="D1554" t="s">
        <v>1778</v>
      </c>
      <c r="E1554" t="s">
        <v>2063</v>
      </c>
      <c r="F1554" t="s">
        <v>1780</v>
      </c>
      <c r="G1554" t="s">
        <v>280</v>
      </c>
      <c r="H1554" t="s">
        <v>2064</v>
      </c>
      <c r="I1554" t="s">
        <v>35</v>
      </c>
      <c r="J1554"/>
      <c r="K1554">
        <v>1</v>
      </c>
      <c r="L1554">
        <v>1</v>
      </c>
      <c r="M1554" t="s">
        <v>33</v>
      </c>
      <c r="N1554">
        <v>1</v>
      </c>
      <c r="O1554"/>
      <c r="P1554">
        <v>0</v>
      </c>
      <c r="Q1554" t="s">
        <v>38</v>
      </c>
      <c r="R1554">
        <v>1</v>
      </c>
      <c r="S1554">
        <v>0</v>
      </c>
      <c r="T1554"/>
      <c r="U1554"/>
      <c r="V1554"/>
      <c r="W1554"/>
      <c r="X1554">
        <v>0</v>
      </c>
      <c r="Y1554"/>
      <c r="Z1554">
        <v>0</v>
      </c>
      <c r="AA1554"/>
      <c r="AB1554"/>
      <c r="AC1554"/>
      <c r="AD1554"/>
      <c r="AE1554">
        <v>0</v>
      </c>
      <c r="AF1554"/>
      <c r="AG1554"/>
      <c r="AH1554"/>
    </row>
    <row r="1555" spans="1:34" x14ac:dyDescent="0.25">
      <c r="A1555" t="s">
        <v>3401</v>
      </c>
      <c r="B1555" t="s">
        <v>3402</v>
      </c>
      <c r="C1555"/>
      <c r="D1555" t="s">
        <v>1778</v>
      </c>
      <c r="E1555" t="s">
        <v>2063</v>
      </c>
      <c r="F1555" t="s">
        <v>1782</v>
      </c>
      <c r="G1555" t="s">
        <v>280</v>
      </c>
      <c r="H1555" t="s">
        <v>2065</v>
      </c>
      <c r="I1555" t="s">
        <v>35</v>
      </c>
      <c r="J1555"/>
      <c r="K1555">
        <v>1</v>
      </c>
      <c r="L1555">
        <v>1</v>
      </c>
      <c r="M1555" t="s">
        <v>33</v>
      </c>
      <c r="N1555">
        <v>1</v>
      </c>
      <c r="O1555"/>
      <c r="P1555">
        <v>0</v>
      </c>
      <c r="Q1555" t="s">
        <v>38</v>
      </c>
      <c r="R1555">
        <v>1</v>
      </c>
      <c r="S1555">
        <v>0</v>
      </c>
      <c r="T1555"/>
      <c r="U1555"/>
      <c r="V1555"/>
      <c r="W1555"/>
      <c r="X1555">
        <v>0</v>
      </c>
      <c r="Y1555"/>
      <c r="Z1555">
        <v>0</v>
      </c>
      <c r="AA1555"/>
      <c r="AB1555"/>
      <c r="AC1555"/>
      <c r="AD1555"/>
      <c r="AE1555">
        <v>0</v>
      </c>
      <c r="AF1555"/>
      <c r="AG1555"/>
      <c r="AH1555"/>
    </row>
    <row r="1556" spans="1:34" x14ac:dyDescent="0.25">
      <c r="A1556" t="s">
        <v>3410</v>
      </c>
      <c r="B1556" t="s">
        <v>3411</v>
      </c>
      <c r="C1556"/>
      <c r="D1556" t="s">
        <v>1778</v>
      </c>
      <c r="E1556" t="s">
        <v>2063</v>
      </c>
      <c r="F1556" t="s">
        <v>1782</v>
      </c>
      <c r="G1556" t="s">
        <v>280</v>
      </c>
      <c r="H1556" t="s">
        <v>2065</v>
      </c>
      <c r="I1556" t="s">
        <v>35</v>
      </c>
      <c r="J1556"/>
      <c r="K1556">
        <v>1</v>
      </c>
      <c r="L1556">
        <v>1</v>
      </c>
      <c r="M1556" t="s">
        <v>33</v>
      </c>
      <c r="N1556">
        <v>1</v>
      </c>
      <c r="O1556"/>
      <c r="P1556">
        <v>0</v>
      </c>
      <c r="Q1556" t="s">
        <v>38</v>
      </c>
      <c r="R1556">
        <v>1</v>
      </c>
      <c r="S1556">
        <v>0</v>
      </c>
      <c r="T1556"/>
      <c r="U1556"/>
      <c r="V1556"/>
      <c r="W1556"/>
      <c r="X1556">
        <v>0</v>
      </c>
      <c r="Y1556"/>
      <c r="Z1556">
        <v>0</v>
      </c>
      <c r="AA1556"/>
      <c r="AB1556"/>
      <c r="AC1556"/>
      <c r="AD1556"/>
      <c r="AE1556">
        <v>0</v>
      </c>
      <c r="AF1556"/>
      <c r="AG1556"/>
      <c r="AH1556"/>
    </row>
    <row r="1557" spans="1:34" x14ac:dyDescent="0.25">
      <c r="A1557" t="s">
        <v>3401</v>
      </c>
      <c r="B1557" t="s">
        <v>3402</v>
      </c>
      <c r="C1557"/>
      <c r="D1557" t="s">
        <v>1778</v>
      </c>
      <c r="E1557" t="s">
        <v>2063</v>
      </c>
      <c r="F1557" t="s">
        <v>1784</v>
      </c>
      <c r="G1557" t="s">
        <v>280</v>
      </c>
      <c r="H1557" t="s">
        <v>2066</v>
      </c>
      <c r="I1557" t="s">
        <v>35</v>
      </c>
      <c r="J1557"/>
      <c r="K1557">
        <v>1</v>
      </c>
      <c r="L1557">
        <v>1</v>
      </c>
      <c r="M1557" t="s">
        <v>33</v>
      </c>
      <c r="N1557">
        <v>1</v>
      </c>
      <c r="O1557"/>
      <c r="P1557">
        <v>0</v>
      </c>
      <c r="Q1557" t="s">
        <v>38</v>
      </c>
      <c r="R1557">
        <v>1</v>
      </c>
      <c r="S1557">
        <v>0</v>
      </c>
      <c r="T1557"/>
      <c r="U1557"/>
      <c r="V1557"/>
      <c r="W1557"/>
      <c r="X1557">
        <v>0</v>
      </c>
      <c r="Y1557"/>
      <c r="Z1557">
        <v>0</v>
      </c>
      <c r="AA1557"/>
      <c r="AB1557"/>
      <c r="AC1557"/>
      <c r="AD1557"/>
      <c r="AE1557">
        <v>0</v>
      </c>
      <c r="AF1557"/>
      <c r="AG1557"/>
      <c r="AH1557"/>
    </row>
    <row r="1558" spans="1:34" x14ac:dyDescent="0.25">
      <c r="A1558" t="s">
        <v>3410</v>
      </c>
      <c r="B1558" t="s">
        <v>3411</v>
      </c>
      <c r="C1558"/>
      <c r="D1558" t="s">
        <v>1778</v>
      </c>
      <c r="E1558" t="s">
        <v>2063</v>
      </c>
      <c r="F1558" t="s">
        <v>1784</v>
      </c>
      <c r="G1558" t="s">
        <v>280</v>
      </c>
      <c r="H1558" t="s">
        <v>2066</v>
      </c>
      <c r="I1558" t="s">
        <v>35</v>
      </c>
      <c r="J1558"/>
      <c r="K1558">
        <v>1</v>
      </c>
      <c r="L1558">
        <v>1</v>
      </c>
      <c r="M1558" t="s">
        <v>33</v>
      </c>
      <c r="N1558">
        <v>1</v>
      </c>
      <c r="O1558"/>
      <c r="P1558">
        <v>0</v>
      </c>
      <c r="Q1558" t="s">
        <v>38</v>
      </c>
      <c r="R1558">
        <v>1</v>
      </c>
      <c r="S1558">
        <v>0</v>
      </c>
      <c r="T1558"/>
      <c r="U1558"/>
      <c r="V1558"/>
      <c r="W1558"/>
      <c r="X1558">
        <v>0</v>
      </c>
      <c r="Y1558"/>
      <c r="Z1558">
        <v>0</v>
      </c>
      <c r="AA1558"/>
      <c r="AB1558"/>
      <c r="AC1558"/>
      <c r="AD1558"/>
      <c r="AE1558">
        <v>0</v>
      </c>
      <c r="AF1558"/>
      <c r="AG1558"/>
      <c r="AH1558"/>
    </row>
    <row r="1559" spans="1:34" x14ac:dyDescent="0.25">
      <c r="A1559" t="s">
        <v>3401</v>
      </c>
      <c r="B1559" t="s">
        <v>3402</v>
      </c>
      <c r="C1559"/>
      <c r="D1559" t="s">
        <v>1778</v>
      </c>
      <c r="E1559" t="s">
        <v>2063</v>
      </c>
      <c r="F1559" t="s">
        <v>1786</v>
      </c>
      <c r="G1559" t="s">
        <v>280</v>
      </c>
      <c r="H1559" t="s">
        <v>2067</v>
      </c>
      <c r="I1559" t="s">
        <v>35</v>
      </c>
      <c r="J1559"/>
      <c r="K1559">
        <v>1</v>
      </c>
      <c r="L1559">
        <v>1</v>
      </c>
      <c r="M1559" t="s">
        <v>33</v>
      </c>
      <c r="N1559">
        <v>1</v>
      </c>
      <c r="O1559"/>
      <c r="P1559">
        <v>0</v>
      </c>
      <c r="Q1559" t="s">
        <v>38</v>
      </c>
      <c r="R1559">
        <v>1</v>
      </c>
      <c r="S1559">
        <v>0</v>
      </c>
      <c r="T1559"/>
      <c r="U1559"/>
      <c r="V1559"/>
      <c r="W1559"/>
      <c r="X1559">
        <v>0</v>
      </c>
      <c r="Y1559"/>
      <c r="Z1559">
        <v>0</v>
      </c>
      <c r="AA1559"/>
      <c r="AB1559"/>
      <c r="AC1559"/>
      <c r="AD1559"/>
      <c r="AE1559">
        <v>0</v>
      </c>
      <c r="AF1559"/>
      <c r="AG1559"/>
      <c r="AH1559"/>
    </row>
    <row r="1560" spans="1:34" x14ac:dyDescent="0.25">
      <c r="A1560" t="s">
        <v>3410</v>
      </c>
      <c r="B1560" t="s">
        <v>3411</v>
      </c>
      <c r="C1560"/>
      <c r="D1560" t="s">
        <v>1778</v>
      </c>
      <c r="E1560" t="s">
        <v>2063</v>
      </c>
      <c r="F1560" t="s">
        <v>1786</v>
      </c>
      <c r="G1560" t="s">
        <v>280</v>
      </c>
      <c r="H1560" t="s">
        <v>2067</v>
      </c>
      <c r="I1560" t="s">
        <v>35</v>
      </c>
      <c r="J1560"/>
      <c r="K1560">
        <v>1</v>
      </c>
      <c r="L1560">
        <v>1</v>
      </c>
      <c r="M1560" t="s">
        <v>33</v>
      </c>
      <c r="N1560">
        <v>1</v>
      </c>
      <c r="O1560"/>
      <c r="P1560">
        <v>0</v>
      </c>
      <c r="Q1560" t="s">
        <v>38</v>
      </c>
      <c r="R1560">
        <v>1</v>
      </c>
      <c r="S1560">
        <v>0</v>
      </c>
      <c r="T1560"/>
      <c r="U1560"/>
      <c r="V1560"/>
      <c r="W1560"/>
      <c r="X1560">
        <v>0</v>
      </c>
      <c r="Y1560"/>
      <c r="Z1560">
        <v>0</v>
      </c>
      <c r="AA1560"/>
      <c r="AB1560"/>
      <c r="AC1560"/>
      <c r="AD1560"/>
      <c r="AE1560">
        <v>0</v>
      </c>
      <c r="AF1560"/>
      <c r="AG1560"/>
      <c r="AH1560"/>
    </row>
    <row r="1561" spans="1:34" x14ac:dyDescent="0.25">
      <c r="A1561" t="s">
        <v>3401</v>
      </c>
      <c r="B1561" t="s">
        <v>3402</v>
      </c>
      <c r="C1561"/>
      <c r="D1561" t="s">
        <v>1778</v>
      </c>
      <c r="E1561" t="s">
        <v>2063</v>
      </c>
      <c r="F1561" t="s">
        <v>1788</v>
      </c>
      <c r="G1561" t="s">
        <v>280</v>
      </c>
      <c r="H1561" t="s">
        <v>2068</v>
      </c>
      <c r="I1561" t="s">
        <v>35</v>
      </c>
      <c r="J1561"/>
      <c r="K1561">
        <v>1</v>
      </c>
      <c r="L1561">
        <v>1</v>
      </c>
      <c r="M1561" t="s">
        <v>33</v>
      </c>
      <c r="N1561">
        <v>1</v>
      </c>
      <c r="O1561"/>
      <c r="P1561">
        <v>0</v>
      </c>
      <c r="Q1561" t="s">
        <v>38</v>
      </c>
      <c r="R1561">
        <v>1</v>
      </c>
      <c r="S1561">
        <v>0</v>
      </c>
      <c r="T1561"/>
      <c r="U1561"/>
      <c r="V1561"/>
      <c r="W1561"/>
      <c r="X1561">
        <v>0</v>
      </c>
      <c r="Y1561"/>
      <c r="Z1561">
        <v>0</v>
      </c>
      <c r="AA1561"/>
      <c r="AB1561"/>
      <c r="AC1561"/>
      <c r="AD1561"/>
      <c r="AE1561">
        <v>0</v>
      </c>
      <c r="AF1561"/>
      <c r="AG1561"/>
      <c r="AH1561"/>
    </row>
    <row r="1562" spans="1:34" s="172" customFormat="1" x14ac:dyDescent="0.25">
      <c r="A1562" t="s">
        <v>3410</v>
      </c>
      <c r="B1562" t="s">
        <v>3411</v>
      </c>
      <c r="C1562"/>
      <c r="D1562" t="s">
        <v>1778</v>
      </c>
      <c r="E1562" t="s">
        <v>2063</v>
      </c>
      <c r="F1562" t="s">
        <v>1788</v>
      </c>
      <c r="G1562" t="s">
        <v>280</v>
      </c>
      <c r="H1562" t="s">
        <v>2068</v>
      </c>
      <c r="I1562" t="s">
        <v>35</v>
      </c>
      <c r="J1562"/>
      <c r="K1562">
        <v>1</v>
      </c>
      <c r="L1562">
        <v>1</v>
      </c>
      <c r="M1562" t="s">
        <v>33</v>
      </c>
      <c r="N1562">
        <v>1</v>
      </c>
      <c r="O1562"/>
      <c r="P1562">
        <v>0</v>
      </c>
      <c r="Q1562" t="s">
        <v>38</v>
      </c>
      <c r="R1562">
        <v>1</v>
      </c>
      <c r="S1562">
        <v>0</v>
      </c>
      <c r="T1562"/>
      <c r="U1562"/>
      <c r="V1562"/>
      <c r="W1562"/>
      <c r="X1562">
        <v>0</v>
      </c>
      <c r="Y1562"/>
      <c r="Z1562">
        <v>0</v>
      </c>
      <c r="AA1562"/>
      <c r="AB1562"/>
      <c r="AC1562"/>
      <c r="AD1562"/>
      <c r="AE1562">
        <v>0</v>
      </c>
      <c r="AF1562"/>
      <c r="AG1562"/>
      <c r="AH1562"/>
    </row>
    <row r="1563" spans="1:34" x14ac:dyDescent="0.25">
      <c r="A1563" t="s">
        <v>3401</v>
      </c>
      <c r="B1563" t="s">
        <v>3402</v>
      </c>
      <c r="C1563"/>
      <c r="D1563" t="s">
        <v>1778</v>
      </c>
      <c r="E1563" t="s">
        <v>2063</v>
      </c>
      <c r="F1563" t="s">
        <v>1790</v>
      </c>
      <c r="G1563" t="s">
        <v>280</v>
      </c>
      <c r="H1563" t="s">
        <v>2069</v>
      </c>
      <c r="I1563" t="s">
        <v>35</v>
      </c>
      <c r="J1563"/>
      <c r="K1563">
        <v>1</v>
      </c>
      <c r="L1563">
        <v>1</v>
      </c>
      <c r="M1563" t="s">
        <v>33</v>
      </c>
      <c r="N1563">
        <v>1</v>
      </c>
      <c r="O1563"/>
      <c r="P1563">
        <v>0</v>
      </c>
      <c r="Q1563" t="s">
        <v>38</v>
      </c>
      <c r="R1563">
        <v>1</v>
      </c>
      <c r="S1563">
        <v>0</v>
      </c>
      <c r="T1563"/>
      <c r="U1563"/>
      <c r="V1563"/>
      <c r="W1563"/>
      <c r="X1563">
        <v>0</v>
      </c>
      <c r="Y1563"/>
      <c r="Z1563">
        <v>0</v>
      </c>
      <c r="AA1563"/>
      <c r="AB1563"/>
      <c r="AC1563"/>
      <c r="AD1563"/>
      <c r="AE1563">
        <v>0</v>
      </c>
      <c r="AF1563"/>
      <c r="AG1563"/>
      <c r="AH1563"/>
    </row>
    <row r="1564" spans="1:34" x14ac:dyDescent="0.25">
      <c r="A1564" t="s">
        <v>3410</v>
      </c>
      <c r="B1564" t="s">
        <v>3411</v>
      </c>
      <c r="C1564"/>
      <c r="D1564" t="s">
        <v>1778</v>
      </c>
      <c r="E1564" t="s">
        <v>2063</v>
      </c>
      <c r="F1564" t="s">
        <v>1790</v>
      </c>
      <c r="G1564" t="s">
        <v>280</v>
      </c>
      <c r="H1564" t="s">
        <v>2069</v>
      </c>
      <c r="I1564" t="s">
        <v>35</v>
      </c>
      <c r="J1564"/>
      <c r="K1564">
        <v>1</v>
      </c>
      <c r="L1564">
        <v>1</v>
      </c>
      <c r="M1564" t="s">
        <v>33</v>
      </c>
      <c r="N1564">
        <v>1</v>
      </c>
      <c r="O1564"/>
      <c r="P1564">
        <v>0</v>
      </c>
      <c r="Q1564" t="s">
        <v>38</v>
      </c>
      <c r="R1564">
        <v>1</v>
      </c>
      <c r="S1564">
        <v>0</v>
      </c>
      <c r="T1564"/>
      <c r="U1564"/>
      <c r="V1564"/>
      <c r="W1564"/>
      <c r="X1564">
        <v>0</v>
      </c>
      <c r="Y1564"/>
      <c r="Z1564">
        <v>0</v>
      </c>
      <c r="AA1564"/>
      <c r="AB1564"/>
      <c r="AC1564"/>
      <c r="AD1564"/>
      <c r="AE1564">
        <v>0</v>
      </c>
      <c r="AF1564"/>
      <c r="AG1564"/>
      <c r="AH1564"/>
    </row>
    <row r="1565" spans="1:34" x14ac:dyDescent="0.25">
      <c r="A1565" t="s">
        <v>3401</v>
      </c>
      <c r="B1565" t="s">
        <v>3402</v>
      </c>
      <c r="C1565"/>
      <c r="D1565" t="s">
        <v>1778</v>
      </c>
      <c r="E1565" t="s">
        <v>2063</v>
      </c>
      <c r="F1565" t="s">
        <v>1792</v>
      </c>
      <c r="G1565" t="s">
        <v>280</v>
      </c>
      <c r="H1565" t="s">
        <v>2070</v>
      </c>
      <c r="I1565" t="s">
        <v>35</v>
      </c>
      <c r="J1565"/>
      <c r="K1565">
        <v>1</v>
      </c>
      <c r="L1565">
        <v>1</v>
      </c>
      <c r="M1565" t="s">
        <v>33</v>
      </c>
      <c r="N1565">
        <v>1</v>
      </c>
      <c r="O1565"/>
      <c r="P1565">
        <v>0</v>
      </c>
      <c r="Q1565" t="s">
        <v>38</v>
      </c>
      <c r="R1565">
        <v>1</v>
      </c>
      <c r="S1565">
        <v>0</v>
      </c>
      <c r="T1565"/>
      <c r="U1565"/>
      <c r="V1565"/>
      <c r="W1565"/>
      <c r="X1565">
        <v>0</v>
      </c>
      <c r="Y1565"/>
      <c r="Z1565">
        <v>0</v>
      </c>
      <c r="AA1565"/>
      <c r="AB1565"/>
      <c r="AC1565"/>
      <c r="AD1565"/>
      <c r="AE1565">
        <v>0</v>
      </c>
      <c r="AF1565"/>
      <c r="AG1565"/>
      <c r="AH1565"/>
    </row>
    <row r="1566" spans="1:34" x14ac:dyDescent="0.25">
      <c r="A1566" t="s">
        <v>3410</v>
      </c>
      <c r="B1566" t="s">
        <v>3411</v>
      </c>
      <c r="C1566"/>
      <c r="D1566" t="s">
        <v>1778</v>
      </c>
      <c r="E1566" t="s">
        <v>2063</v>
      </c>
      <c r="F1566" t="s">
        <v>1792</v>
      </c>
      <c r="G1566" t="s">
        <v>280</v>
      </c>
      <c r="H1566" t="s">
        <v>2070</v>
      </c>
      <c r="I1566" t="s">
        <v>35</v>
      </c>
      <c r="J1566"/>
      <c r="K1566">
        <v>1</v>
      </c>
      <c r="L1566">
        <v>1</v>
      </c>
      <c r="M1566" t="s">
        <v>33</v>
      </c>
      <c r="N1566">
        <v>1</v>
      </c>
      <c r="O1566"/>
      <c r="P1566">
        <v>0</v>
      </c>
      <c r="Q1566" t="s">
        <v>38</v>
      </c>
      <c r="R1566">
        <v>1</v>
      </c>
      <c r="S1566">
        <v>0</v>
      </c>
      <c r="T1566"/>
      <c r="U1566"/>
      <c r="V1566"/>
      <c r="W1566"/>
      <c r="X1566">
        <v>0</v>
      </c>
      <c r="Y1566"/>
      <c r="Z1566">
        <v>0</v>
      </c>
      <c r="AA1566"/>
      <c r="AB1566"/>
      <c r="AC1566"/>
      <c r="AD1566"/>
      <c r="AE1566">
        <v>0</v>
      </c>
      <c r="AF1566"/>
      <c r="AG1566"/>
      <c r="AH1566"/>
    </row>
    <row r="1567" spans="1:34" x14ac:dyDescent="0.25">
      <c r="A1567" t="s">
        <v>3401</v>
      </c>
      <c r="B1567" t="s">
        <v>3402</v>
      </c>
      <c r="C1567"/>
      <c r="D1567" t="s">
        <v>1778</v>
      </c>
      <c r="E1567" t="s">
        <v>2063</v>
      </c>
      <c r="F1567" t="s">
        <v>1794</v>
      </c>
      <c r="G1567" t="s">
        <v>280</v>
      </c>
      <c r="H1567" t="s">
        <v>2071</v>
      </c>
      <c r="I1567" t="s">
        <v>35</v>
      </c>
      <c r="J1567"/>
      <c r="K1567">
        <v>1</v>
      </c>
      <c r="L1567">
        <v>1</v>
      </c>
      <c r="M1567" t="s">
        <v>33</v>
      </c>
      <c r="N1567">
        <v>1</v>
      </c>
      <c r="O1567"/>
      <c r="P1567">
        <v>0</v>
      </c>
      <c r="Q1567" t="s">
        <v>38</v>
      </c>
      <c r="R1567">
        <v>1</v>
      </c>
      <c r="S1567">
        <v>0</v>
      </c>
      <c r="T1567"/>
      <c r="U1567"/>
      <c r="V1567"/>
      <c r="W1567"/>
      <c r="X1567">
        <v>0</v>
      </c>
      <c r="Y1567"/>
      <c r="Z1567">
        <v>0</v>
      </c>
      <c r="AA1567"/>
      <c r="AB1567"/>
      <c r="AC1567"/>
      <c r="AD1567"/>
      <c r="AE1567">
        <v>0</v>
      </c>
      <c r="AF1567"/>
      <c r="AG1567"/>
      <c r="AH1567"/>
    </row>
    <row r="1568" spans="1:34" x14ac:dyDescent="0.25">
      <c r="A1568" t="s">
        <v>3410</v>
      </c>
      <c r="B1568" t="s">
        <v>3411</v>
      </c>
      <c r="C1568"/>
      <c r="D1568" t="s">
        <v>1778</v>
      </c>
      <c r="E1568" t="s">
        <v>2063</v>
      </c>
      <c r="F1568" t="s">
        <v>1794</v>
      </c>
      <c r="G1568" t="s">
        <v>280</v>
      </c>
      <c r="H1568" t="s">
        <v>2071</v>
      </c>
      <c r="I1568" t="s">
        <v>35</v>
      </c>
      <c r="J1568"/>
      <c r="K1568">
        <v>1</v>
      </c>
      <c r="L1568">
        <v>1</v>
      </c>
      <c r="M1568" t="s">
        <v>33</v>
      </c>
      <c r="N1568">
        <v>1</v>
      </c>
      <c r="O1568"/>
      <c r="P1568">
        <v>0</v>
      </c>
      <c r="Q1568" t="s">
        <v>38</v>
      </c>
      <c r="R1568">
        <v>1</v>
      </c>
      <c r="S1568">
        <v>0</v>
      </c>
      <c r="T1568"/>
      <c r="U1568"/>
      <c r="V1568"/>
      <c r="W1568"/>
      <c r="X1568">
        <v>0</v>
      </c>
      <c r="Y1568"/>
      <c r="Z1568">
        <v>0</v>
      </c>
      <c r="AA1568"/>
      <c r="AB1568"/>
      <c r="AC1568"/>
      <c r="AD1568"/>
      <c r="AE1568">
        <v>0</v>
      </c>
      <c r="AF1568"/>
      <c r="AG1568"/>
      <c r="AH1568"/>
    </row>
    <row r="1569" spans="1:34" x14ac:dyDescent="0.25">
      <c r="A1569" t="s">
        <v>3401</v>
      </c>
      <c r="B1569" t="s">
        <v>3402</v>
      </c>
      <c r="C1569"/>
      <c r="D1569" t="s">
        <v>1778</v>
      </c>
      <c r="E1569" t="s">
        <v>2063</v>
      </c>
      <c r="F1569" t="s">
        <v>1796</v>
      </c>
      <c r="G1569" t="s">
        <v>280</v>
      </c>
      <c r="H1569" t="s">
        <v>2072</v>
      </c>
      <c r="I1569" t="s">
        <v>35</v>
      </c>
      <c r="J1569"/>
      <c r="K1569">
        <v>1</v>
      </c>
      <c r="L1569">
        <v>1</v>
      </c>
      <c r="M1569" t="s">
        <v>33</v>
      </c>
      <c r="N1569">
        <v>1</v>
      </c>
      <c r="O1569"/>
      <c r="P1569">
        <v>0</v>
      </c>
      <c r="Q1569" t="s">
        <v>38</v>
      </c>
      <c r="R1569">
        <v>1</v>
      </c>
      <c r="S1569">
        <v>0</v>
      </c>
      <c r="T1569"/>
      <c r="U1569"/>
      <c r="V1569"/>
      <c r="W1569"/>
      <c r="X1569">
        <v>0</v>
      </c>
      <c r="Y1569"/>
      <c r="Z1569">
        <v>0</v>
      </c>
      <c r="AA1569"/>
      <c r="AB1569"/>
      <c r="AC1569"/>
      <c r="AD1569"/>
      <c r="AE1569">
        <v>0</v>
      </c>
      <c r="AF1569"/>
      <c r="AG1569"/>
      <c r="AH1569"/>
    </row>
    <row r="1570" spans="1:34" x14ac:dyDescent="0.25">
      <c r="A1570" t="s">
        <v>3410</v>
      </c>
      <c r="B1570" t="s">
        <v>3411</v>
      </c>
      <c r="C1570"/>
      <c r="D1570" t="s">
        <v>1778</v>
      </c>
      <c r="E1570" t="s">
        <v>2063</v>
      </c>
      <c r="F1570" t="s">
        <v>1796</v>
      </c>
      <c r="G1570" t="s">
        <v>280</v>
      </c>
      <c r="H1570" t="s">
        <v>2072</v>
      </c>
      <c r="I1570" t="s">
        <v>35</v>
      </c>
      <c r="J1570"/>
      <c r="K1570">
        <v>1</v>
      </c>
      <c r="L1570">
        <v>1</v>
      </c>
      <c r="M1570" t="s">
        <v>33</v>
      </c>
      <c r="N1570">
        <v>1</v>
      </c>
      <c r="O1570"/>
      <c r="P1570">
        <v>0</v>
      </c>
      <c r="Q1570" t="s">
        <v>38</v>
      </c>
      <c r="R1570">
        <v>1</v>
      </c>
      <c r="S1570">
        <v>0</v>
      </c>
      <c r="T1570"/>
      <c r="U1570"/>
      <c r="V1570"/>
      <c r="W1570"/>
      <c r="X1570">
        <v>0</v>
      </c>
      <c r="Y1570"/>
      <c r="Z1570">
        <v>0</v>
      </c>
      <c r="AA1570"/>
      <c r="AB1570"/>
      <c r="AC1570"/>
      <c r="AD1570"/>
      <c r="AE1570">
        <v>0</v>
      </c>
      <c r="AF1570"/>
      <c r="AG1570"/>
      <c r="AH1570"/>
    </row>
    <row r="1571" spans="1:34" x14ac:dyDescent="0.25">
      <c r="A1571" t="s">
        <v>3401</v>
      </c>
      <c r="B1571" t="s">
        <v>3402</v>
      </c>
      <c r="C1571"/>
      <c r="D1571" t="s">
        <v>1778</v>
      </c>
      <c r="E1571" t="s">
        <v>2063</v>
      </c>
      <c r="F1571" t="s">
        <v>1798</v>
      </c>
      <c r="G1571" t="s">
        <v>280</v>
      </c>
      <c r="H1571" t="s">
        <v>2073</v>
      </c>
      <c r="I1571" t="s">
        <v>35</v>
      </c>
      <c r="J1571"/>
      <c r="K1571">
        <v>1</v>
      </c>
      <c r="L1571">
        <v>1</v>
      </c>
      <c r="M1571" t="s">
        <v>33</v>
      </c>
      <c r="N1571">
        <v>1</v>
      </c>
      <c r="O1571"/>
      <c r="P1571">
        <v>0</v>
      </c>
      <c r="Q1571" t="s">
        <v>38</v>
      </c>
      <c r="R1571">
        <v>1</v>
      </c>
      <c r="S1571">
        <v>0</v>
      </c>
      <c r="T1571"/>
      <c r="U1571"/>
      <c r="V1571"/>
      <c r="W1571"/>
      <c r="X1571">
        <v>0</v>
      </c>
      <c r="Y1571"/>
      <c r="Z1571">
        <v>0</v>
      </c>
      <c r="AA1571"/>
      <c r="AB1571"/>
      <c r="AC1571"/>
      <c r="AD1571"/>
      <c r="AE1571">
        <v>0</v>
      </c>
      <c r="AF1571"/>
      <c r="AG1571"/>
      <c r="AH1571"/>
    </row>
    <row r="1572" spans="1:34" x14ac:dyDescent="0.25">
      <c r="A1572" t="s">
        <v>3410</v>
      </c>
      <c r="B1572" t="s">
        <v>3411</v>
      </c>
      <c r="C1572"/>
      <c r="D1572" t="s">
        <v>1778</v>
      </c>
      <c r="E1572" t="s">
        <v>2063</v>
      </c>
      <c r="F1572" t="s">
        <v>1798</v>
      </c>
      <c r="G1572" t="s">
        <v>280</v>
      </c>
      <c r="H1572" t="s">
        <v>2073</v>
      </c>
      <c r="I1572" t="s">
        <v>35</v>
      </c>
      <c r="J1572"/>
      <c r="K1572">
        <v>1</v>
      </c>
      <c r="L1572">
        <v>1</v>
      </c>
      <c r="M1572" t="s">
        <v>33</v>
      </c>
      <c r="N1572">
        <v>1</v>
      </c>
      <c r="O1572"/>
      <c r="P1572">
        <v>0</v>
      </c>
      <c r="Q1572" t="s">
        <v>38</v>
      </c>
      <c r="R1572">
        <v>1</v>
      </c>
      <c r="S1572">
        <v>0</v>
      </c>
      <c r="T1572"/>
      <c r="U1572"/>
      <c r="V1572"/>
      <c r="W1572"/>
      <c r="X1572">
        <v>0</v>
      </c>
      <c r="Y1572"/>
      <c r="Z1572">
        <v>0</v>
      </c>
      <c r="AA1572"/>
      <c r="AB1572"/>
      <c r="AC1572"/>
      <c r="AD1572"/>
      <c r="AE1572">
        <v>0</v>
      </c>
      <c r="AF1572"/>
      <c r="AG1572"/>
      <c r="AH1572"/>
    </row>
    <row r="1573" spans="1:34" x14ac:dyDescent="0.25">
      <c r="A1573" t="s">
        <v>3401</v>
      </c>
      <c r="B1573" t="s">
        <v>3402</v>
      </c>
      <c r="C1573"/>
      <c r="D1573" t="s">
        <v>1778</v>
      </c>
      <c r="E1573" t="s">
        <v>2063</v>
      </c>
      <c r="F1573" t="s">
        <v>1800</v>
      </c>
      <c r="G1573" t="s">
        <v>280</v>
      </c>
      <c r="H1573" t="s">
        <v>2074</v>
      </c>
      <c r="I1573" t="s">
        <v>35</v>
      </c>
      <c r="J1573"/>
      <c r="K1573">
        <v>1</v>
      </c>
      <c r="L1573">
        <v>1</v>
      </c>
      <c r="M1573" t="s">
        <v>33</v>
      </c>
      <c r="N1573">
        <v>1</v>
      </c>
      <c r="O1573"/>
      <c r="P1573">
        <v>0</v>
      </c>
      <c r="Q1573" t="s">
        <v>38</v>
      </c>
      <c r="R1573">
        <v>1</v>
      </c>
      <c r="S1573">
        <v>0</v>
      </c>
      <c r="T1573"/>
      <c r="U1573"/>
      <c r="V1573"/>
      <c r="W1573"/>
      <c r="X1573">
        <v>0</v>
      </c>
      <c r="Y1573"/>
      <c r="Z1573">
        <v>0</v>
      </c>
      <c r="AA1573"/>
      <c r="AB1573"/>
      <c r="AC1573"/>
      <c r="AD1573"/>
      <c r="AE1573">
        <v>0</v>
      </c>
      <c r="AF1573"/>
      <c r="AG1573"/>
      <c r="AH1573"/>
    </row>
    <row r="1574" spans="1:34" x14ac:dyDescent="0.25">
      <c r="A1574" t="s">
        <v>3410</v>
      </c>
      <c r="B1574" t="s">
        <v>3411</v>
      </c>
      <c r="C1574"/>
      <c r="D1574" t="s">
        <v>1778</v>
      </c>
      <c r="E1574" t="s">
        <v>2063</v>
      </c>
      <c r="F1574" t="s">
        <v>1800</v>
      </c>
      <c r="G1574" t="s">
        <v>280</v>
      </c>
      <c r="H1574" t="s">
        <v>2074</v>
      </c>
      <c r="I1574" t="s">
        <v>35</v>
      </c>
      <c r="J1574"/>
      <c r="K1574">
        <v>1</v>
      </c>
      <c r="L1574">
        <v>1</v>
      </c>
      <c r="M1574" t="s">
        <v>33</v>
      </c>
      <c r="N1574">
        <v>1</v>
      </c>
      <c r="O1574"/>
      <c r="P1574">
        <v>0</v>
      </c>
      <c r="Q1574" t="s">
        <v>38</v>
      </c>
      <c r="R1574">
        <v>1</v>
      </c>
      <c r="S1574">
        <v>0</v>
      </c>
      <c r="T1574"/>
      <c r="U1574"/>
      <c r="V1574"/>
      <c r="W1574"/>
      <c r="X1574">
        <v>0</v>
      </c>
      <c r="Y1574"/>
      <c r="Z1574">
        <v>0</v>
      </c>
      <c r="AA1574"/>
      <c r="AB1574"/>
      <c r="AC1574"/>
      <c r="AD1574"/>
      <c r="AE1574">
        <v>0</v>
      </c>
      <c r="AF1574"/>
      <c r="AG1574"/>
      <c r="AH1574"/>
    </row>
    <row r="1575" spans="1:34" x14ac:dyDescent="0.25">
      <c r="A1575" t="s">
        <v>3401</v>
      </c>
      <c r="B1575" t="s">
        <v>3402</v>
      </c>
      <c r="C1575"/>
      <c r="D1575" t="s">
        <v>1778</v>
      </c>
      <c r="E1575" t="s">
        <v>2063</v>
      </c>
      <c r="F1575" t="s">
        <v>1802</v>
      </c>
      <c r="G1575" t="s">
        <v>280</v>
      </c>
      <c r="H1575" t="s">
        <v>2075</v>
      </c>
      <c r="I1575" t="s">
        <v>35</v>
      </c>
      <c r="J1575"/>
      <c r="K1575">
        <v>1</v>
      </c>
      <c r="L1575">
        <v>1</v>
      </c>
      <c r="M1575" t="s">
        <v>33</v>
      </c>
      <c r="N1575">
        <v>1</v>
      </c>
      <c r="O1575"/>
      <c r="P1575">
        <v>0</v>
      </c>
      <c r="Q1575" t="s">
        <v>38</v>
      </c>
      <c r="R1575">
        <v>1</v>
      </c>
      <c r="S1575">
        <v>0</v>
      </c>
      <c r="T1575"/>
      <c r="U1575"/>
      <c r="V1575"/>
      <c r="W1575"/>
      <c r="X1575">
        <v>0</v>
      </c>
      <c r="Y1575"/>
      <c r="Z1575">
        <v>0</v>
      </c>
      <c r="AA1575"/>
      <c r="AB1575"/>
      <c r="AC1575"/>
      <c r="AD1575"/>
      <c r="AE1575">
        <v>0</v>
      </c>
      <c r="AF1575"/>
      <c r="AG1575"/>
      <c r="AH1575"/>
    </row>
    <row r="1576" spans="1:34" x14ac:dyDescent="0.25">
      <c r="A1576" t="s">
        <v>3410</v>
      </c>
      <c r="B1576" t="s">
        <v>3411</v>
      </c>
      <c r="C1576"/>
      <c r="D1576" t="s">
        <v>1778</v>
      </c>
      <c r="E1576" t="s">
        <v>2063</v>
      </c>
      <c r="F1576" t="s">
        <v>1802</v>
      </c>
      <c r="G1576" t="s">
        <v>280</v>
      </c>
      <c r="H1576" t="s">
        <v>2075</v>
      </c>
      <c r="I1576" t="s">
        <v>35</v>
      </c>
      <c r="J1576"/>
      <c r="K1576">
        <v>1</v>
      </c>
      <c r="L1576">
        <v>1</v>
      </c>
      <c r="M1576" t="s">
        <v>33</v>
      </c>
      <c r="N1576">
        <v>1</v>
      </c>
      <c r="O1576"/>
      <c r="P1576">
        <v>0</v>
      </c>
      <c r="Q1576" t="s">
        <v>38</v>
      </c>
      <c r="R1576">
        <v>1</v>
      </c>
      <c r="S1576">
        <v>0</v>
      </c>
      <c r="T1576"/>
      <c r="U1576"/>
      <c r="V1576"/>
      <c r="W1576"/>
      <c r="X1576">
        <v>0</v>
      </c>
      <c r="Y1576"/>
      <c r="Z1576">
        <v>0</v>
      </c>
      <c r="AA1576"/>
      <c r="AB1576"/>
      <c r="AC1576"/>
      <c r="AD1576"/>
      <c r="AE1576">
        <v>0</v>
      </c>
      <c r="AF1576"/>
      <c r="AG1576"/>
      <c r="AH1576"/>
    </row>
    <row r="1577" spans="1:34" x14ac:dyDescent="0.25">
      <c r="A1577" t="s">
        <v>3401</v>
      </c>
      <c r="B1577" t="s">
        <v>3402</v>
      </c>
      <c r="C1577"/>
      <c r="D1577" t="s">
        <v>1778</v>
      </c>
      <c r="E1577" t="s">
        <v>2063</v>
      </c>
      <c r="F1577" t="s">
        <v>1804</v>
      </c>
      <c r="G1577" t="s">
        <v>280</v>
      </c>
      <c r="H1577" t="s">
        <v>2076</v>
      </c>
      <c r="I1577" t="s">
        <v>35</v>
      </c>
      <c r="J1577"/>
      <c r="K1577">
        <v>1</v>
      </c>
      <c r="L1577">
        <v>1</v>
      </c>
      <c r="M1577" t="s">
        <v>33</v>
      </c>
      <c r="N1577">
        <v>1</v>
      </c>
      <c r="O1577"/>
      <c r="P1577">
        <v>0</v>
      </c>
      <c r="Q1577" t="s">
        <v>38</v>
      </c>
      <c r="R1577">
        <v>1</v>
      </c>
      <c r="S1577">
        <v>0</v>
      </c>
      <c r="T1577"/>
      <c r="U1577"/>
      <c r="V1577"/>
      <c r="W1577"/>
      <c r="X1577">
        <v>0</v>
      </c>
      <c r="Y1577"/>
      <c r="Z1577">
        <v>0</v>
      </c>
      <c r="AA1577"/>
      <c r="AB1577"/>
      <c r="AC1577"/>
      <c r="AD1577"/>
      <c r="AE1577">
        <v>0</v>
      </c>
      <c r="AF1577"/>
      <c r="AG1577"/>
      <c r="AH1577"/>
    </row>
    <row r="1578" spans="1:34" x14ac:dyDescent="0.25">
      <c r="A1578" t="s">
        <v>3410</v>
      </c>
      <c r="B1578" t="s">
        <v>3411</v>
      </c>
      <c r="C1578"/>
      <c r="D1578" t="s">
        <v>1778</v>
      </c>
      <c r="E1578" t="s">
        <v>2063</v>
      </c>
      <c r="F1578" t="s">
        <v>1804</v>
      </c>
      <c r="G1578" t="s">
        <v>280</v>
      </c>
      <c r="H1578" t="s">
        <v>2076</v>
      </c>
      <c r="I1578" t="s">
        <v>35</v>
      </c>
      <c r="J1578"/>
      <c r="K1578">
        <v>1</v>
      </c>
      <c r="L1578">
        <v>1</v>
      </c>
      <c r="M1578" t="s">
        <v>33</v>
      </c>
      <c r="N1578">
        <v>1</v>
      </c>
      <c r="O1578"/>
      <c r="P1578">
        <v>0</v>
      </c>
      <c r="Q1578" t="s">
        <v>38</v>
      </c>
      <c r="R1578">
        <v>1</v>
      </c>
      <c r="S1578">
        <v>0</v>
      </c>
      <c r="T1578"/>
      <c r="U1578"/>
      <c r="V1578"/>
      <c r="W1578"/>
      <c r="X1578">
        <v>0</v>
      </c>
      <c r="Y1578"/>
      <c r="Z1578">
        <v>0</v>
      </c>
      <c r="AA1578"/>
      <c r="AB1578"/>
      <c r="AC1578"/>
      <c r="AD1578"/>
      <c r="AE1578">
        <v>0</v>
      </c>
      <c r="AF1578"/>
      <c r="AG1578"/>
      <c r="AH1578"/>
    </row>
    <row r="1579" spans="1:34" x14ac:dyDescent="0.25">
      <c r="A1579" t="s">
        <v>3401</v>
      </c>
      <c r="B1579" t="s">
        <v>3402</v>
      </c>
      <c r="C1579"/>
      <c r="D1579" t="s">
        <v>1778</v>
      </c>
      <c r="E1579" t="s">
        <v>2063</v>
      </c>
      <c r="F1579" t="s">
        <v>1806</v>
      </c>
      <c r="G1579" t="s">
        <v>280</v>
      </c>
      <c r="H1579" t="s">
        <v>2077</v>
      </c>
      <c r="I1579" t="s">
        <v>35</v>
      </c>
      <c r="J1579"/>
      <c r="K1579">
        <v>1</v>
      </c>
      <c r="L1579">
        <v>1</v>
      </c>
      <c r="M1579" t="s">
        <v>33</v>
      </c>
      <c r="N1579">
        <v>1</v>
      </c>
      <c r="O1579"/>
      <c r="P1579">
        <v>0</v>
      </c>
      <c r="Q1579" t="s">
        <v>38</v>
      </c>
      <c r="R1579">
        <v>1</v>
      </c>
      <c r="S1579">
        <v>0</v>
      </c>
      <c r="T1579"/>
      <c r="U1579"/>
      <c r="V1579"/>
      <c r="W1579"/>
      <c r="X1579">
        <v>0</v>
      </c>
      <c r="Y1579"/>
      <c r="Z1579">
        <v>0</v>
      </c>
      <c r="AA1579"/>
      <c r="AB1579"/>
      <c r="AC1579"/>
      <c r="AD1579"/>
      <c r="AE1579">
        <v>0</v>
      </c>
      <c r="AF1579"/>
      <c r="AG1579"/>
      <c r="AH1579"/>
    </row>
    <row r="1580" spans="1:34" x14ac:dyDescent="0.25">
      <c r="A1580" t="s">
        <v>3410</v>
      </c>
      <c r="B1580" t="s">
        <v>3411</v>
      </c>
      <c r="C1580"/>
      <c r="D1580" t="s">
        <v>1778</v>
      </c>
      <c r="E1580" t="s">
        <v>2063</v>
      </c>
      <c r="F1580" t="s">
        <v>1806</v>
      </c>
      <c r="G1580" t="s">
        <v>280</v>
      </c>
      <c r="H1580" t="s">
        <v>2077</v>
      </c>
      <c r="I1580" t="s">
        <v>35</v>
      </c>
      <c r="J1580"/>
      <c r="K1580">
        <v>1</v>
      </c>
      <c r="L1580">
        <v>1</v>
      </c>
      <c r="M1580" t="s">
        <v>33</v>
      </c>
      <c r="N1580">
        <v>1</v>
      </c>
      <c r="O1580"/>
      <c r="P1580">
        <v>0</v>
      </c>
      <c r="Q1580" t="s">
        <v>38</v>
      </c>
      <c r="R1580">
        <v>1</v>
      </c>
      <c r="S1580">
        <v>0</v>
      </c>
      <c r="T1580"/>
      <c r="U1580"/>
      <c r="V1580"/>
      <c r="W1580"/>
      <c r="X1580">
        <v>0</v>
      </c>
      <c r="Y1580"/>
      <c r="Z1580">
        <v>0</v>
      </c>
      <c r="AA1580"/>
      <c r="AB1580"/>
      <c r="AC1580"/>
      <c r="AD1580"/>
      <c r="AE1580">
        <v>0</v>
      </c>
      <c r="AF1580"/>
      <c r="AG1580"/>
      <c r="AH1580"/>
    </row>
    <row r="1581" spans="1:34" x14ac:dyDescent="0.25">
      <c r="A1581" t="s">
        <v>1776</v>
      </c>
      <c r="B1581" t="s">
        <v>1777</v>
      </c>
      <c r="C1581"/>
      <c r="D1581" t="s">
        <v>1778</v>
      </c>
      <c r="E1581" t="s">
        <v>2078</v>
      </c>
      <c r="F1581" t="s">
        <v>2079</v>
      </c>
      <c r="G1581" t="s">
        <v>280</v>
      </c>
      <c r="H1581" t="s">
        <v>2080</v>
      </c>
      <c r="I1581" t="s">
        <v>35</v>
      </c>
      <c r="J1581"/>
      <c r="K1581">
        <v>1</v>
      </c>
      <c r="L1581">
        <v>1</v>
      </c>
      <c r="M1581" t="s">
        <v>33</v>
      </c>
      <c r="N1581">
        <v>1</v>
      </c>
      <c r="O1581"/>
      <c r="P1581">
        <v>0</v>
      </c>
      <c r="Q1581" t="s">
        <v>38</v>
      </c>
      <c r="R1581">
        <v>1</v>
      </c>
      <c r="S1581">
        <v>0</v>
      </c>
      <c r="T1581"/>
      <c r="U1581"/>
      <c r="V1581"/>
      <c r="W1581"/>
      <c r="X1581">
        <v>0</v>
      </c>
      <c r="Y1581"/>
      <c r="Z1581">
        <v>0</v>
      </c>
      <c r="AA1581"/>
      <c r="AB1581"/>
      <c r="AC1581"/>
      <c r="AD1581"/>
      <c r="AE1581">
        <v>0</v>
      </c>
      <c r="AF1581"/>
      <c r="AG1581" t="s">
        <v>3469</v>
      </c>
      <c r="AH1581"/>
    </row>
    <row r="1582" spans="1:34" x14ac:dyDescent="0.25">
      <c r="A1582" t="s">
        <v>1776</v>
      </c>
      <c r="B1582" t="s">
        <v>1777</v>
      </c>
      <c r="C1582"/>
      <c r="D1582" t="s">
        <v>1778</v>
      </c>
      <c r="E1582" t="s">
        <v>2078</v>
      </c>
      <c r="F1582" t="s">
        <v>2081</v>
      </c>
      <c r="G1582" t="s">
        <v>280</v>
      </c>
      <c r="H1582" t="s">
        <v>2082</v>
      </c>
      <c r="I1582" t="s">
        <v>35</v>
      </c>
      <c r="J1582"/>
      <c r="K1582">
        <v>1</v>
      </c>
      <c r="L1582">
        <v>1</v>
      </c>
      <c r="M1582" t="s">
        <v>33</v>
      </c>
      <c r="N1582">
        <v>1</v>
      </c>
      <c r="O1582"/>
      <c r="P1582">
        <v>0</v>
      </c>
      <c r="Q1582" t="s">
        <v>38</v>
      </c>
      <c r="R1582">
        <v>1</v>
      </c>
      <c r="S1582">
        <v>0</v>
      </c>
      <c r="T1582"/>
      <c r="U1582"/>
      <c r="V1582"/>
      <c r="W1582"/>
      <c r="X1582">
        <v>0</v>
      </c>
      <c r="Y1582"/>
      <c r="Z1582">
        <v>0</v>
      </c>
      <c r="AA1582"/>
      <c r="AB1582"/>
      <c r="AC1582"/>
      <c r="AD1582"/>
      <c r="AE1582">
        <v>0</v>
      </c>
      <c r="AF1582"/>
      <c r="AG1582" t="s">
        <v>3469</v>
      </c>
      <c r="AH1582"/>
    </row>
    <row r="1583" spans="1:34" x14ac:dyDescent="0.25">
      <c r="A1583" t="s">
        <v>1776</v>
      </c>
      <c r="B1583" t="s">
        <v>1777</v>
      </c>
      <c r="C1583"/>
      <c r="D1583" t="s">
        <v>1778</v>
      </c>
      <c r="E1583" t="s">
        <v>2078</v>
      </c>
      <c r="F1583" t="s">
        <v>2083</v>
      </c>
      <c r="G1583" t="s">
        <v>280</v>
      </c>
      <c r="H1583" t="s">
        <v>2084</v>
      </c>
      <c r="I1583" t="s">
        <v>35</v>
      </c>
      <c r="J1583"/>
      <c r="K1583">
        <v>1</v>
      </c>
      <c r="L1583">
        <v>1</v>
      </c>
      <c r="M1583" t="s">
        <v>33</v>
      </c>
      <c r="N1583">
        <v>1</v>
      </c>
      <c r="O1583"/>
      <c r="P1583">
        <v>0</v>
      </c>
      <c r="Q1583" t="s">
        <v>38</v>
      </c>
      <c r="R1583">
        <v>1</v>
      </c>
      <c r="S1583">
        <v>0</v>
      </c>
      <c r="T1583"/>
      <c r="U1583"/>
      <c r="V1583"/>
      <c r="W1583"/>
      <c r="X1583">
        <v>0</v>
      </c>
      <c r="Y1583"/>
      <c r="Z1583">
        <v>0</v>
      </c>
      <c r="AA1583"/>
      <c r="AB1583"/>
      <c r="AC1583"/>
      <c r="AD1583"/>
      <c r="AE1583">
        <v>0</v>
      </c>
      <c r="AF1583"/>
      <c r="AG1583" t="s">
        <v>3469</v>
      </c>
      <c r="AH1583"/>
    </row>
    <row r="1584" spans="1:34" x14ac:dyDescent="0.25">
      <c r="A1584" t="s">
        <v>1776</v>
      </c>
      <c r="B1584" t="s">
        <v>1777</v>
      </c>
      <c r="C1584"/>
      <c r="D1584" t="s">
        <v>1778</v>
      </c>
      <c r="E1584" t="s">
        <v>2078</v>
      </c>
      <c r="F1584" t="s">
        <v>2085</v>
      </c>
      <c r="G1584" t="s">
        <v>280</v>
      </c>
      <c r="H1584" t="s">
        <v>2086</v>
      </c>
      <c r="I1584" t="s">
        <v>35</v>
      </c>
      <c r="J1584"/>
      <c r="K1584">
        <v>1</v>
      </c>
      <c r="L1584">
        <v>1</v>
      </c>
      <c r="M1584" t="s">
        <v>33</v>
      </c>
      <c r="N1584">
        <v>1</v>
      </c>
      <c r="O1584"/>
      <c r="P1584">
        <v>0</v>
      </c>
      <c r="Q1584" t="s">
        <v>38</v>
      </c>
      <c r="R1584">
        <v>1</v>
      </c>
      <c r="S1584">
        <v>0</v>
      </c>
      <c r="T1584"/>
      <c r="U1584"/>
      <c r="V1584"/>
      <c r="W1584"/>
      <c r="X1584">
        <v>0</v>
      </c>
      <c r="Y1584"/>
      <c r="Z1584">
        <v>0</v>
      </c>
      <c r="AA1584"/>
      <c r="AB1584"/>
      <c r="AC1584"/>
      <c r="AD1584"/>
      <c r="AE1584">
        <v>0</v>
      </c>
      <c r="AF1584"/>
      <c r="AG1584" t="s">
        <v>3469</v>
      </c>
      <c r="AH1584"/>
    </row>
    <row r="1585" spans="1:34" x14ac:dyDescent="0.25">
      <c r="A1585" t="s">
        <v>1776</v>
      </c>
      <c r="B1585" t="s">
        <v>1777</v>
      </c>
      <c r="C1585"/>
      <c r="D1585" t="s">
        <v>1778</v>
      </c>
      <c r="E1585" t="s">
        <v>2078</v>
      </c>
      <c r="F1585" t="s">
        <v>2087</v>
      </c>
      <c r="G1585" t="s">
        <v>280</v>
      </c>
      <c r="H1585" t="s">
        <v>2088</v>
      </c>
      <c r="I1585" t="s">
        <v>35</v>
      </c>
      <c r="J1585"/>
      <c r="K1585">
        <v>1</v>
      </c>
      <c r="L1585">
        <v>1</v>
      </c>
      <c r="M1585" t="s">
        <v>33</v>
      </c>
      <c r="N1585">
        <v>1</v>
      </c>
      <c r="O1585"/>
      <c r="P1585">
        <v>0</v>
      </c>
      <c r="Q1585" t="s">
        <v>38</v>
      </c>
      <c r="R1585">
        <v>1</v>
      </c>
      <c r="S1585">
        <v>0</v>
      </c>
      <c r="T1585"/>
      <c r="U1585"/>
      <c r="V1585"/>
      <c r="W1585"/>
      <c r="X1585">
        <v>0</v>
      </c>
      <c r="Y1585"/>
      <c r="Z1585">
        <v>0</v>
      </c>
      <c r="AA1585"/>
      <c r="AB1585"/>
      <c r="AC1585"/>
      <c r="AD1585"/>
      <c r="AE1585">
        <v>0</v>
      </c>
      <c r="AF1585"/>
      <c r="AG1585" t="s">
        <v>3469</v>
      </c>
      <c r="AH1585"/>
    </row>
    <row r="1586" spans="1:34" x14ac:dyDescent="0.25">
      <c r="A1586" t="s">
        <v>1776</v>
      </c>
      <c r="B1586" t="s">
        <v>1777</v>
      </c>
      <c r="C1586"/>
      <c r="D1586" t="s">
        <v>1778</v>
      </c>
      <c r="E1586" t="s">
        <v>2078</v>
      </c>
      <c r="F1586" t="s">
        <v>2089</v>
      </c>
      <c r="G1586" t="s">
        <v>280</v>
      </c>
      <c r="H1586" t="s">
        <v>2090</v>
      </c>
      <c r="I1586" t="s">
        <v>35</v>
      </c>
      <c r="J1586"/>
      <c r="K1586">
        <v>1</v>
      </c>
      <c r="L1586">
        <v>1</v>
      </c>
      <c r="M1586" t="s">
        <v>33</v>
      </c>
      <c r="N1586">
        <v>1</v>
      </c>
      <c r="O1586"/>
      <c r="P1586">
        <v>0</v>
      </c>
      <c r="Q1586" t="s">
        <v>38</v>
      </c>
      <c r="R1586">
        <v>1</v>
      </c>
      <c r="S1586">
        <v>0</v>
      </c>
      <c r="T1586"/>
      <c r="U1586"/>
      <c r="V1586"/>
      <c r="W1586"/>
      <c r="X1586">
        <v>0</v>
      </c>
      <c r="Y1586"/>
      <c r="Z1586">
        <v>0</v>
      </c>
      <c r="AA1586"/>
      <c r="AB1586"/>
      <c r="AC1586"/>
      <c r="AD1586"/>
      <c r="AE1586">
        <v>0</v>
      </c>
      <c r="AF1586"/>
      <c r="AG1586" t="s">
        <v>3469</v>
      </c>
      <c r="AH1586"/>
    </row>
    <row r="1587" spans="1:34" x14ac:dyDescent="0.25">
      <c r="A1587" t="s">
        <v>2091</v>
      </c>
      <c r="B1587" t="s">
        <v>2092</v>
      </c>
      <c r="C1587"/>
      <c r="D1587" t="s">
        <v>1778</v>
      </c>
      <c r="E1587" t="s">
        <v>2093</v>
      </c>
      <c r="F1587" t="s">
        <v>2094</v>
      </c>
      <c r="G1587" t="s">
        <v>280</v>
      </c>
      <c r="H1587" t="s">
        <v>2095</v>
      </c>
      <c r="I1587" t="s">
        <v>35</v>
      </c>
      <c r="J1587"/>
      <c r="K1587">
        <v>1</v>
      </c>
      <c r="L1587">
        <v>1</v>
      </c>
      <c r="M1587" t="s">
        <v>33</v>
      </c>
      <c r="N1587">
        <v>1</v>
      </c>
      <c r="O1587">
        <v>1</v>
      </c>
      <c r="P1587">
        <v>1</v>
      </c>
      <c r="Q1587" t="s">
        <v>38</v>
      </c>
      <c r="R1587">
        <v>1</v>
      </c>
      <c r="S1587">
        <v>0</v>
      </c>
      <c r="T1587"/>
      <c r="U1587"/>
      <c r="V1587"/>
      <c r="W1587"/>
      <c r="X1587">
        <v>0</v>
      </c>
      <c r="Y1587"/>
      <c r="Z1587">
        <v>0</v>
      </c>
      <c r="AA1587"/>
      <c r="AB1587"/>
      <c r="AC1587"/>
      <c r="AD1587"/>
      <c r="AE1587">
        <v>0</v>
      </c>
      <c r="AF1587"/>
      <c r="AG1587"/>
      <c r="AH1587"/>
    </row>
    <row r="1588" spans="1:34" x14ac:dyDescent="0.25">
      <c r="A1588" t="s">
        <v>2091</v>
      </c>
      <c r="B1588" t="s">
        <v>2092</v>
      </c>
      <c r="C1588"/>
      <c r="D1588" t="s">
        <v>1778</v>
      </c>
      <c r="E1588" t="s">
        <v>2093</v>
      </c>
      <c r="F1588" t="s">
        <v>2096</v>
      </c>
      <c r="G1588" t="s">
        <v>280</v>
      </c>
      <c r="H1588" t="s">
        <v>2097</v>
      </c>
      <c r="I1588" t="s">
        <v>35</v>
      </c>
      <c r="J1588"/>
      <c r="K1588">
        <v>1</v>
      </c>
      <c r="L1588">
        <v>1</v>
      </c>
      <c r="M1588" t="s">
        <v>33</v>
      </c>
      <c r="N1588">
        <v>1</v>
      </c>
      <c r="O1588">
        <v>1</v>
      </c>
      <c r="P1588">
        <v>1</v>
      </c>
      <c r="Q1588" t="s">
        <v>38</v>
      </c>
      <c r="R1588">
        <v>1</v>
      </c>
      <c r="S1588">
        <v>0</v>
      </c>
      <c r="T1588"/>
      <c r="U1588"/>
      <c r="V1588"/>
      <c r="W1588"/>
      <c r="X1588">
        <v>0</v>
      </c>
      <c r="Y1588"/>
      <c r="Z1588">
        <v>0</v>
      </c>
      <c r="AA1588"/>
      <c r="AB1588"/>
      <c r="AC1588"/>
      <c r="AD1588"/>
      <c r="AE1588">
        <v>0</v>
      </c>
      <c r="AF1588"/>
      <c r="AG1588"/>
      <c r="AH1588"/>
    </row>
    <row r="1589" spans="1:34" x14ac:dyDescent="0.25">
      <c r="A1589" t="s">
        <v>2091</v>
      </c>
      <c r="B1589" t="s">
        <v>2092</v>
      </c>
      <c r="C1589"/>
      <c r="D1589" t="s">
        <v>1778</v>
      </c>
      <c r="E1589" t="s">
        <v>2093</v>
      </c>
      <c r="F1589" t="s">
        <v>2098</v>
      </c>
      <c r="G1589" t="s">
        <v>280</v>
      </c>
      <c r="H1589" t="s">
        <v>2099</v>
      </c>
      <c r="I1589" t="s">
        <v>35</v>
      </c>
      <c r="J1589"/>
      <c r="K1589">
        <v>1</v>
      </c>
      <c r="L1589">
        <v>1</v>
      </c>
      <c r="M1589" t="s">
        <v>33</v>
      </c>
      <c r="N1589">
        <v>1</v>
      </c>
      <c r="O1589">
        <v>1</v>
      </c>
      <c r="P1589">
        <v>1</v>
      </c>
      <c r="Q1589" t="s">
        <v>38</v>
      </c>
      <c r="R1589">
        <v>1</v>
      </c>
      <c r="S1589">
        <v>0</v>
      </c>
      <c r="T1589"/>
      <c r="U1589"/>
      <c r="V1589"/>
      <c r="W1589"/>
      <c r="X1589">
        <v>0</v>
      </c>
      <c r="Y1589"/>
      <c r="Z1589">
        <v>0</v>
      </c>
      <c r="AA1589"/>
      <c r="AB1589"/>
      <c r="AC1589"/>
      <c r="AD1589"/>
      <c r="AE1589">
        <v>0</v>
      </c>
      <c r="AF1589"/>
      <c r="AG1589"/>
      <c r="AH1589"/>
    </row>
    <row r="1590" spans="1:34" x14ac:dyDescent="0.25">
      <c r="A1590" t="s">
        <v>2091</v>
      </c>
      <c r="B1590" t="s">
        <v>2092</v>
      </c>
      <c r="C1590"/>
      <c r="D1590" t="s">
        <v>1778</v>
      </c>
      <c r="E1590" t="s">
        <v>2093</v>
      </c>
      <c r="F1590" t="s">
        <v>2100</v>
      </c>
      <c r="G1590" t="s">
        <v>280</v>
      </c>
      <c r="H1590" t="s">
        <v>2101</v>
      </c>
      <c r="I1590" t="s">
        <v>35</v>
      </c>
      <c r="J1590"/>
      <c r="K1590">
        <v>1</v>
      </c>
      <c r="L1590">
        <v>1</v>
      </c>
      <c r="M1590" t="s">
        <v>33</v>
      </c>
      <c r="N1590">
        <v>1</v>
      </c>
      <c r="O1590">
        <v>1</v>
      </c>
      <c r="P1590">
        <v>1</v>
      </c>
      <c r="Q1590" t="s">
        <v>38</v>
      </c>
      <c r="R1590">
        <v>1</v>
      </c>
      <c r="S1590">
        <v>0</v>
      </c>
      <c r="T1590"/>
      <c r="U1590"/>
      <c r="V1590"/>
      <c r="W1590"/>
      <c r="X1590">
        <v>0</v>
      </c>
      <c r="Y1590"/>
      <c r="Z1590">
        <v>0</v>
      </c>
      <c r="AA1590"/>
      <c r="AB1590"/>
      <c r="AC1590"/>
      <c r="AD1590"/>
      <c r="AE1590">
        <v>0</v>
      </c>
      <c r="AF1590"/>
      <c r="AG1590"/>
      <c r="AH1590"/>
    </row>
    <row r="1591" spans="1:34" x14ac:dyDescent="0.25">
      <c r="A1591" t="s">
        <v>2091</v>
      </c>
      <c r="B1591" t="s">
        <v>2092</v>
      </c>
      <c r="C1591"/>
      <c r="D1591" t="s">
        <v>1778</v>
      </c>
      <c r="E1591" t="s">
        <v>2093</v>
      </c>
      <c r="F1591" t="s">
        <v>2102</v>
      </c>
      <c r="G1591" t="s">
        <v>280</v>
      </c>
      <c r="H1591" t="s">
        <v>2103</v>
      </c>
      <c r="I1591" t="s">
        <v>35</v>
      </c>
      <c r="J1591"/>
      <c r="K1591">
        <v>1</v>
      </c>
      <c r="L1591">
        <v>1</v>
      </c>
      <c r="M1591" t="s">
        <v>33</v>
      </c>
      <c r="N1591">
        <v>1</v>
      </c>
      <c r="O1591">
        <v>1</v>
      </c>
      <c r="P1591">
        <v>1</v>
      </c>
      <c r="Q1591" t="s">
        <v>38</v>
      </c>
      <c r="R1591">
        <v>1</v>
      </c>
      <c r="S1591">
        <v>0</v>
      </c>
      <c r="T1591"/>
      <c r="U1591"/>
      <c r="V1591"/>
      <c r="W1591"/>
      <c r="X1591">
        <v>0</v>
      </c>
      <c r="Y1591"/>
      <c r="Z1591">
        <v>0</v>
      </c>
      <c r="AA1591"/>
      <c r="AB1591"/>
      <c r="AC1591"/>
      <c r="AD1591"/>
      <c r="AE1591">
        <v>0</v>
      </c>
      <c r="AF1591"/>
      <c r="AG1591"/>
      <c r="AH1591"/>
    </row>
    <row r="1592" spans="1:34" x14ac:dyDescent="0.25">
      <c r="A1592" t="s">
        <v>2091</v>
      </c>
      <c r="B1592" t="s">
        <v>2092</v>
      </c>
      <c r="C1592"/>
      <c r="D1592" t="s">
        <v>1778</v>
      </c>
      <c r="E1592" t="s">
        <v>2093</v>
      </c>
      <c r="F1592" t="s">
        <v>2104</v>
      </c>
      <c r="G1592" t="s">
        <v>280</v>
      </c>
      <c r="H1592" t="s">
        <v>2105</v>
      </c>
      <c r="I1592" t="s">
        <v>35</v>
      </c>
      <c r="J1592"/>
      <c r="K1592">
        <v>1</v>
      </c>
      <c r="L1592">
        <v>1</v>
      </c>
      <c r="M1592" t="s">
        <v>33</v>
      </c>
      <c r="N1592">
        <v>1</v>
      </c>
      <c r="O1592">
        <v>1</v>
      </c>
      <c r="P1592">
        <v>1</v>
      </c>
      <c r="Q1592" t="s">
        <v>38</v>
      </c>
      <c r="R1592">
        <v>1</v>
      </c>
      <c r="S1592">
        <v>0</v>
      </c>
      <c r="T1592"/>
      <c r="U1592"/>
      <c r="V1592"/>
      <c r="W1592"/>
      <c r="X1592">
        <v>0</v>
      </c>
      <c r="Y1592"/>
      <c r="Z1592">
        <v>0</v>
      </c>
      <c r="AA1592"/>
      <c r="AB1592"/>
      <c r="AC1592"/>
      <c r="AD1592"/>
      <c r="AE1592">
        <v>0</v>
      </c>
      <c r="AF1592"/>
      <c r="AG1592"/>
      <c r="AH1592"/>
    </row>
    <row r="1593" spans="1:34" x14ac:dyDescent="0.25">
      <c r="A1593" t="s">
        <v>2091</v>
      </c>
      <c r="B1593" t="s">
        <v>2092</v>
      </c>
      <c r="C1593"/>
      <c r="D1593" t="s">
        <v>1778</v>
      </c>
      <c r="E1593" t="s">
        <v>2093</v>
      </c>
      <c r="F1593" t="s">
        <v>2106</v>
      </c>
      <c r="G1593" t="s">
        <v>280</v>
      </c>
      <c r="H1593" t="s">
        <v>2107</v>
      </c>
      <c r="I1593" t="s">
        <v>35</v>
      </c>
      <c r="J1593"/>
      <c r="K1593">
        <v>1</v>
      </c>
      <c r="L1593">
        <v>1</v>
      </c>
      <c r="M1593" t="s">
        <v>33</v>
      </c>
      <c r="N1593">
        <v>1</v>
      </c>
      <c r="O1593">
        <v>1</v>
      </c>
      <c r="P1593">
        <v>1</v>
      </c>
      <c r="Q1593" t="s">
        <v>38</v>
      </c>
      <c r="R1593">
        <v>1</v>
      </c>
      <c r="S1593">
        <v>0</v>
      </c>
      <c r="T1593"/>
      <c r="U1593"/>
      <c r="V1593"/>
      <c r="W1593"/>
      <c r="X1593">
        <v>0</v>
      </c>
      <c r="Y1593"/>
      <c r="Z1593">
        <v>0</v>
      </c>
      <c r="AA1593"/>
      <c r="AB1593"/>
      <c r="AC1593"/>
      <c r="AD1593"/>
      <c r="AE1593">
        <v>0</v>
      </c>
      <c r="AF1593"/>
      <c r="AG1593"/>
      <c r="AH1593"/>
    </row>
    <row r="1594" spans="1:34" x14ac:dyDescent="0.25">
      <c r="A1594" t="s">
        <v>2091</v>
      </c>
      <c r="B1594" t="s">
        <v>2092</v>
      </c>
      <c r="C1594"/>
      <c r="D1594" t="s">
        <v>1778</v>
      </c>
      <c r="E1594" t="s">
        <v>2093</v>
      </c>
      <c r="F1594" t="s">
        <v>2108</v>
      </c>
      <c r="G1594" t="s">
        <v>280</v>
      </c>
      <c r="H1594" t="s">
        <v>2109</v>
      </c>
      <c r="I1594" t="s">
        <v>35</v>
      </c>
      <c r="J1594"/>
      <c r="K1594">
        <v>1</v>
      </c>
      <c r="L1594">
        <v>1</v>
      </c>
      <c r="M1594" t="s">
        <v>33</v>
      </c>
      <c r="N1594">
        <v>1</v>
      </c>
      <c r="O1594">
        <v>1</v>
      </c>
      <c r="P1594">
        <v>1</v>
      </c>
      <c r="Q1594" t="s">
        <v>38</v>
      </c>
      <c r="R1594">
        <v>1</v>
      </c>
      <c r="S1594">
        <v>0</v>
      </c>
      <c r="T1594"/>
      <c r="U1594"/>
      <c r="V1594"/>
      <c r="W1594"/>
      <c r="X1594">
        <v>0</v>
      </c>
      <c r="Y1594"/>
      <c r="Z1594">
        <v>0</v>
      </c>
      <c r="AA1594"/>
      <c r="AB1594"/>
      <c r="AC1594"/>
      <c r="AD1594"/>
      <c r="AE1594">
        <v>0</v>
      </c>
      <c r="AF1594"/>
      <c r="AG1594"/>
      <c r="AH1594"/>
    </row>
    <row r="1595" spans="1:34" x14ac:dyDescent="0.25">
      <c r="A1595" t="s">
        <v>2091</v>
      </c>
      <c r="B1595" t="s">
        <v>2092</v>
      </c>
      <c r="C1595"/>
      <c r="D1595" t="s">
        <v>1778</v>
      </c>
      <c r="E1595" t="s">
        <v>2093</v>
      </c>
      <c r="F1595" t="s">
        <v>2110</v>
      </c>
      <c r="G1595" t="s">
        <v>280</v>
      </c>
      <c r="H1595" t="s">
        <v>2111</v>
      </c>
      <c r="I1595" t="s">
        <v>35</v>
      </c>
      <c r="J1595"/>
      <c r="K1595">
        <v>1</v>
      </c>
      <c r="L1595">
        <v>1</v>
      </c>
      <c r="M1595" t="s">
        <v>33</v>
      </c>
      <c r="N1595">
        <v>1</v>
      </c>
      <c r="O1595">
        <v>1</v>
      </c>
      <c r="P1595">
        <v>1</v>
      </c>
      <c r="Q1595" t="s">
        <v>38</v>
      </c>
      <c r="R1595">
        <v>1</v>
      </c>
      <c r="S1595">
        <v>0</v>
      </c>
      <c r="T1595"/>
      <c r="U1595"/>
      <c r="V1595"/>
      <c r="W1595"/>
      <c r="X1595">
        <v>0</v>
      </c>
      <c r="Y1595"/>
      <c r="Z1595">
        <v>0</v>
      </c>
      <c r="AA1595"/>
      <c r="AB1595"/>
      <c r="AC1595"/>
      <c r="AD1595"/>
      <c r="AE1595">
        <v>0</v>
      </c>
      <c r="AF1595"/>
      <c r="AG1595"/>
      <c r="AH1595"/>
    </row>
    <row r="1596" spans="1:34" x14ac:dyDescent="0.25">
      <c r="A1596" t="s">
        <v>2091</v>
      </c>
      <c r="B1596" t="s">
        <v>2092</v>
      </c>
      <c r="C1596"/>
      <c r="D1596" t="s">
        <v>1778</v>
      </c>
      <c r="E1596" t="s">
        <v>2093</v>
      </c>
      <c r="F1596" t="s">
        <v>2112</v>
      </c>
      <c r="G1596" t="s">
        <v>280</v>
      </c>
      <c r="H1596" t="s">
        <v>2113</v>
      </c>
      <c r="I1596" t="s">
        <v>35</v>
      </c>
      <c r="J1596"/>
      <c r="K1596">
        <v>1</v>
      </c>
      <c r="L1596">
        <v>1</v>
      </c>
      <c r="M1596" t="s">
        <v>33</v>
      </c>
      <c r="N1596">
        <v>1</v>
      </c>
      <c r="O1596">
        <v>1</v>
      </c>
      <c r="P1596">
        <v>1</v>
      </c>
      <c r="Q1596" t="s">
        <v>38</v>
      </c>
      <c r="R1596">
        <v>1</v>
      </c>
      <c r="S1596">
        <v>0</v>
      </c>
      <c r="T1596"/>
      <c r="U1596"/>
      <c r="V1596"/>
      <c r="W1596"/>
      <c r="X1596">
        <v>0</v>
      </c>
      <c r="Y1596"/>
      <c r="Z1596">
        <v>0</v>
      </c>
      <c r="AA1596"/>
      <c r="AB1596"/>
      <c r="AC1596"/>
      <c r="AD1596"/>
      <c r="AE1596">
        <v>0</v>
      </c>
      <c r="AF1596"/>
      <c r="AG1596"/>
      <c r="AH1596"/>
    </row>
    <row r="1597" spans="1:34" x14ac:dyDescent="0.25">
      <c r="A1597" t="s">
        <v>2091</v>
      </c>
      <c r="B1597" t="s">
        <v>2092</v>
      </c>
      <c r="C1597"/>
      <c r="D1597" t="s">
        <v>1778</v>
      </c>
      <c r="E1597" t="s">
        <v>2093</v>
      </c>
      <c r="F1597" t="s">
        <v>2114</v>
      </c>
      <c r="G1597" t="s">
        <v>280</v>
      </c>
      <c r="H1597" t="s">
        <v>2115</v>
      </c>
      <c r="I1597" t="s">
        <v>35</v>
      </c>
      <c r="J1597"/>
      <c r="K1597">
        <v>1</v>
      </c>
      <c r="L1597">
        <v>1</v>
      </c>
      <c r="M1597" t="s">
        <v>33</v>
      </c>
      <c r="N1597">
        <v>1</v>
      </c>
      <c r="O1597">
        <v>1</v>
      </c>
      <c r="P1597">
        <v>1</v>
      </c>
      <c r="Q1597" t="s">
        <v>38</v>
      </c>
      <c r="R1597">
        <v>1</v>
      </c>
      <c r="S1597">
        <v>0</v>
      </c>
      <c r="T1597"/>
      <c r="U1597"/>
      <c r="V1597"/>
      <c r="W1597"/>
      <c r="X1597">
        <v>0</v>
      </c>
      <c r="Y1597"/>
      <c r="Z1597">
        <v>0</v>
      </c>
      <c r="AA1597"/>
      <c r="AB1597"/>
      <c r="AC1597"/>
      <c r="AD1597"/>
      <c r="AE1597">
        <v>0</v>
      </c>
      <c r="AF1597"/>
      <c r="AG1597"/>
      <c r="AH1597"/>
    </row>
    <row r="1598" spans="1:34" x14ac:dyDescent="0.25">
      <c r="A1598" t="s">
        <v>2091</v>
      </c>
      <c r="B1598" t="s">
        <v>2092</v>
      </c>
      <c r="C1598"/>
      <c r="D1598" t="s">
        <v>1778</v>
      </c>
      <c r="E1598" t="s">
        <v>2093</v>
      </c>
      <c r="F1598" t="s">
        <v>2116</v>
      </c>
      <c r="G1598" t="s">
        <v>280</v>
      </c>
      <c r="H1598" t="s">
        <v>2117</v>
      </c>
      <c r="I1598" t="s">
        <v>35</v>
      </c>
      <c r="J1598"/>
      <c r="K1598">
        <v>1</v>
      </c>
      <c r="L1598">
        <v>1</v>
      </c>
      <c r="M1598" t="s">
        <v>33</v>
      </c>
      <c r="N1598">
        <v>1</v>
      </c>
      <c r="O1598">
        <v>1</v>
      </c>
      <c r="P1598">
        <v>1</v>
      </c>
      <c r="Q1598" t="s">
        <v>38</v>
      </c>
      <c r="R1598">
        <v>1</v>
      </c>
      <c r="S1598">
        <v>0</v>
      </c>
      <c r="T1598"/>
      <c r="U1598"/>
      <c r="V1598"/>
      <c r="W1598"/>
      <c r="X1598">
        <v>0</v>
      </c>
      <c r="Y1598"/>
      <c r="Z1598">
        <v>0</v>
      </c>
      <c r="AA1598"/>
      <c r="AB1598"/>
      <c r="AC1598"/>
      <c r="AD1598"/>
      <c r="AE1598">
        <v>0</v>
      </c>
      <c r="AF1598"/>
      <c r="AG1598"/>
      <c r="AH1598"/>
    </row>
    <row r="1599" spans="1:34" x14ac:dyDescent="0.25">
      <c r="A1599" t="s">
        <v>2091</v>
      </c>
      <c r="B1599" t="s">
        <v>2092</v>
      </c>
      <c r="C1599"/>
      <c r="D1599" t="s">
        <v>1778</v>
      </c>
      <c r="E1599" t="s">
        <v>2093</v>
      </c>
      <c r="F1599" t="s">
        <v>2118</v>
      </c>
      <c r="G1599" t="s">
        <v>280</v>
      </c>
      <c r="H1599" t="s">
        <v>2119</v>
      </c>
      <c r="I1599" t="s">
        <v>35</v>
      </c>
      <c r="J1599"/>
      <c r="K1599">
        <v>1</v>
      </c>
      <c r="L1599">
        <v>1</v>
      </c>
      <c r="M1599" t="s">
        <v>33</v>
      </c>
      <c r="N1599">
        <v>1</v>
      </c>
      <c r="O1599">
        <v>1</v>
      </c>
      <c r="P1599">
        <v>1</v>
      </c>
      <c r="Q1599" t="s">
        <v>38</v>
      </c>
      <c r="R1599">
        <v>1</v>
      </c>
      <c r="S1599">
        <v>0</v>
      </c>
      <c r="T1599"/>
      <c r="U1599"/>
      <c r="V1599"/>
      <c r="W1599"/>
      <c r="X1599">
        <v>0</v>
      </c>
      <c r="Y1599"/>
      <c r="Z1599">
        <v>0</v>
      </c>
      <c r="AA1599"/>
      <c r="AB1599"/>
      <c r="AC1599"/>
      <c r="AD1599"/>
      <c r="AE1599">
        <v>0</v>
      </c>
      <c r="AF1599"/>
      <c r="AG1599"/>
      <c r="AH1599"/>
    </row>
    <row r="1600" spans="1:34" x14ac:dyDescent="0.25">
      <c r="A1600" t="s">
        <v>3444</v>
      </c>
      <c r="B1600" t="s">
        <v>3445</v>
      </c>
      <c r="C1600"/>
      <c r="D1600" t="s">
        <v>1778</v>
      </c>
      <c r="E1600" t="s">
        <v>2093</v>
      </c>
      <c r="F1600" t="s">
        <v>2118</v>
      </c>
      <c r="G1600" t="s">
        <v>259</v>
      </c>
      <c r="H1600" t="s">
        <v>2119</v>
      </c>
      <c r="I1600" t="s">
        <v>35</v>
      </c>
      <c r="J1600"/>
      <c r="K1600">
        <v>1</v>
      </c>
      <c r="L1600">
        <v>1</v>
      </c>
      <c r="M1600" t="s">
        <v>33</v>
      </c>
      <c r="N1600">
        <v>1</v>
      </c>
      <c r="O1600">
        <v>1</v>
      </c>
      <c r="P1600">
        <v>1</v>
      </c>
      <c r="Q1600" t="s">
        <v>38</v>
      </c>
      <c r="R1600">
        <v>1</v>
      </c>
      <c r="S1600">
        <v>0</v>
      </c>
      <c r="T1600"/>
      <c r="U1600"/>
      <c r="V1600"/>
      <c r="W1600"/>
      <c r="X1600">
        <v>0</v>
      </c>
      <c r="Y1600"/>
      <c r="Z1600">
        <v>0</v>
      </c>
      <c r="AA1600"/>
      <c r="AB1600"/>
      <c r="AC1600"/>
      <c r="AD1600"/>
      <c r="AE1600">
        <v>0</v>
      </c>
      <c r="AF1600"/>
      <c r="AG1600"/>
      <c r="AH1600"/>
    </row>
    <row r="1601" spans="1:34" x14ac:dyDescent="0.25">
      <c r="A1601" t="s">
        <v>3446</v>
      </c>
      <c r="B1601" t="s">
        <v>3447</v>
      </c>
      <c r="C1601"/>
      <c r="D1601" t="s">
        <v>1778</v>
      </c>
      <c r="E1601" t="s">
        <v>2093</v>
      </c>
      <c r="F1601" t="s">
        <v>2118</v>
      </c>
      <c r="G1601" t="s">
        <v>259</v>
      </c>
      <c r="H1601" t="s">
        <v>2119</v>
      </c>
      <c r="I1601" t="s">
        <v>35</v>
      </c>
      <c r="J1601"/>
      <c r="K1601">
        <v>1</v>
      </c>
      <c r="L1601">
        <v>1</v>
      </c>
      <c r="M1601" t="s">
        <v>33</v>
      </c>
      <c r="N1601">
        <v>1</v>
      </c>
      <c r="O1601">
        <v>1</v>
      </c>
      <c r="P1601">
        <v>1</v>
      </c>
      <c r="Q1601" t="s">
        <v>38</v>
      </c>
      <c r="R1601">
        <v>1</v>
      </c>
      <c r="S1601">
        <v>0</v>
      </c>
      <c r="T1601"/>
      <c r="U1601"/>
      <c r="V1601"/>
      <c r="W1601"/>
      <c r="X1601">
        <v>0</v>
      </c>
      <c r="Y1601"/>
      <c r="Z1601">
        <v>0</v>
      </c>
      <c r="AA1601"/>
      <c r="AB1601"/>
      <c r="AC1601"/>
      <c r="AD1601"/>
      <c r="AE1601">
        <v>0</v>
      </c>
      <c r="AF1601"/>
      <c r="AG1601"/>
      <c r="AH1601"/>
    </row>
    <row r="1602" spans="1:34" x14ac:dyDescent="0.25">
      <c r="A1602" t="s">
        <v>3448</v>
      </c>
      <c r="B1602" t="s">
        <v>3449</v>
      </c>
      <c r="C1602"/>
      <c r="D1602" t="s">
        <v>1778</v>
      </c>
      <c r="E1602" t="s">
        <v>2093</v>
      </c>
      <c r="F1602" t="s">
        <v>2118</v>
      </c>
      <c r="G1602" t="s">
        <v>280</v>
      </c>
      <c r="H1602" t="s">
        <v>2119</v>
      </c>
      <c r="I1602" t="s">
        <v>35</v>
      </c>
      <c r="J1602"/>
      <c r="K1602">
        <v>1</v>
      </c>
      <c r="L1602">
        <v>1</v>
      </c>
      <c r="M1602" t="s">
        <v>33</v>
      </c>
      <c r="N1602">
        <v>1</v>
      </c>
      <c r="O1602">
        <v>1</v>
      </c>
      <c r="P1602">
        <v>1</v>
      </c>
      <c r="Q1602" t="s">
        <v>38</v>
      </c>
      <c r="R1602">
        <v>1</v>
      </c>
      <c r="S1602">
        <v>0</v>
      </c>
      <c r="T1602"/>
      <c r="U1602"/>
      <c r="V1602"/>
      <c r="W1602"/>
      <c r="X1602">
        <v>0</v>
      </c>
      <c r="Y1602"/>
      <c r="Z1602">
        <v>0</v>
      </c>
      <c r="AA1602"/>
      <c r="AB1602"/>
      <c r="AC1602"/>
      <c r="AD1602"/>
      <c r="AE1602">
        <v>0</v>
      </c>
      <c r="AF1602"/>
      <c r="AG1602"/>
      <c r="AH1602"/>
    </row>
    <row r="1603" spans="1:34" x14ac:dyDescent="0.25">
      <c r="A1603" t="s">
        <v>3454</v>
      </c>
      <c r="B1603" t="s">
        <v>3455</v>
      </c>
      <c r="C1603"/>
      <c r="D1603" t="s">
        <v>1778</v>
      </c>
      <c r="E1603" t="s">
        <v>2093</v>
      </c>
      <c r="F1603" t="s">
        <v>2118</v>
      </c>
      <c r="G1603" t="s">
        <v>259</v>
      </c>
      <c r="H1603" t="s">
        <v>2119</v>
      </c>
      <c r="I1603" t="s">
        <v>35</v>
      </c>
      <c r="J1603"/>
      <c r="K1603">
        <v>1</v>
      </c>
      <c r="L1603">
        <v>1</v>
      </c>
      <c r="M1603" t="s">
        <v>33</v>
      </c>
      <c r="N1603">
        <v>1</v>
      </c>
      <c r="O1603">
        <v>1</v>
      </c>
      <c r="P1603">
        <v>1</v>
      </c>
      <c r="Q1603" t="s">
        <v>38</v>
      </c>
      <c r="R1603">
        <v>1</v>
      </c>
      <c r="S1603">
        <v>0</v>
      </c>
      <c r="T1603"/>
      <c r="U1603"/>
      <c r="V1603"/>
      <c r="W1603"/>
      <c r="X1603">
        <v>0</v>
      </c>
      <c r="Y1603"/>
      <c r="Z1603">
        <v>0</v>
      </c>
      <c r="AA1603"/>
      <c r="AB1603"/>
      <c r="AC1603"/>
      <c r="AD1603"/>
      <c r="AE1603">
        <v>0</v>
      </c>
      <c r="AF1603"/>
      <c r="AG1603"/>
      <c r="AH1603"/>
    </row>
    <row r="1604" spans="1:34" x14ac:dyDescent="0.25">
      <c r="A1604" t="s">
        <v>2120</v>
      </c>
      <c r="B1604" t="s">
        <v>2121</v>
      </c>
      <c r="C1604"/>
      <c r="D1604" t="s">
        <v>1778</v>
      </c>
      <c r="E1604" t="s">
        <v>2093</v>
      </c>
      <c r="F1604" t="s">
        <v>2122</v>
      </c>
      <c r="G1604" t="s">
        <v>280</v>
      </c>
      <c r="H1604" t="s">
        <v>2123</v>
      </c>
      <c r="I1604" t="s">
        <v>35</v>
      </c>
      <c r="J1604"/>
      <c r="K1604">
        <v>1</v>
      </c>
      <c r="L1604">
        <v>1</v>
      </c>
      <c r="M1604" t="s">
        <v>33</v>
      </c>
      <c r="N1604">
        <v>1</v>
      </c>
      <c r="O1604">
        <v>1</v>
      </c>
      <c r="P1604">
        <v>1</v>
      </c>
      <c r="Q1604" t="s">
        <v>38</v>
      </c>
      <c r="R1604">
        <v>1</v>
      </c>
      <c r="S1604">
        <v>0</v>
      </c>
      <c r="T1604"/>
      <c r="U1604"/>
      <c r="V1604"/>
      <c r="W1604"/>
      <c r="X1604">
        <v>0</v>
      </c>
      <c r="Y1604"/>
      <c r="Z1604">
        <v>0</v>
      </c>
      <c r="AA1604"/>
      <c r="AB1604"/>
      <c r="AC1604"/>
      <c r="AD1604"/>
      <c r="AE1604">
        <v>0</v>
      </c>
      <c r="AF1604"/>
      <c r="AG1604" t="s">
        <v>3467</v>
      </c>
      <c r="AH1604"/>
    </row>
    <row r="1605" spans="1:34" x14ac:dyDescent="0.25">
      <c r="A1605" t="s">
        <v>2120</v>
      </c>
      <c r="B1605" t="s">
        <v>2121</v>
      </c>
      <c r="C1605"/>
      <c r="D1605" t="s">
        <v>1778</v>
      </c>
      <c r="E1605" t="s">
        <v>2093</v>
      </c>
      <c r="F1605" t="s">
        <v>2124</v>
      </c>
      <c r="G1605" t="s">
        <v>280</v>
      </c>
      <c r="H1605" t="s">
        <v>2125</v>
      </c>
      <c r="I1605" t="s">
        <v>35</v>
      </c>
      <c r="J1605"/>
      <c r="K1605">
        <v>1</v>
      </c>
      <c r="L1605">
        <v>1</v>
      </c>
      <c r="M1605" t="s">
        <v>33</v>
      </c>
      <c r="N1605">
        <v>1</v>
      </c>
      <c r="O1605">
        <v>1</v>
      </c>
      <c r="P1605">
        <v>1</v>
      </c>
      <c r="Q1605" t="s">
        <v>38</v>
      </c>
      <c r="R1605">
        <v>1</v>
      </c>
      <c r="S1605">
        <v>0</v>
      </c>
      <c r="T1605"/>
      <c r="U1605"/>
      <c r="V1605"/>
      <c r="W1605"/>
      <c r="X1605">
        <v>0</v>
      </c>
      <c r="Y1605"/>
      <c r="Z1605">
        <v>0</v>
      </c>
      <c r="AA1605"/>
      <c r="AB1605"/>
      <c r="AC1605"/>
      <c r="AD1605"/>
      <c r="AE1605">
        <v>0</v>
      </c>
      <c r="AF1605"/>
      <c r="AG1605" t="s">
        <v>3467</v>
      </c>
      <c r="AH1605"/>
    </row>
    <row r="1606" spans="1:34" x14ac:dyDescent="0.25">
      <c r="A1606" t="s">
        <v>2120</v>
      </c>
      <c r="B1606" t="s">
        <v>2121</v>
      </c>
      <c r="C1606"/>
      <c r="D1606" t="s">
        <v>1778</v>
      </c>
      <c r="E1606" t="s">
        <v>2093</v>
      </c>
      <c r="F1606" t="s">
        <v>2126</v>
      </c>
      <c r="G1606" t="s">
        <v>280</v>
      </c>
      <c r="H1606" t="s">
        <v>2127</v>
      </c>
      <c r="I1606" t="s">
        <v>35</v>
      </c>
      <c r="J1606"/>
      <c r="K1606">
        <v>1</v>
      </c>
      <c r="L1606">
        <v>1</v>
      </c>
      <c r="M1606" t="s">
        <v>33</v>
      </c>
      <c r="N1606">
        <v>1</v>
      </c>
      <c r="O1606">
        <v>1</v>
      </c>
      <c r="P1606">
        <v>1</v>
      </c>
      <c r="Q1606" t="s">
        <v>38</v>
      </c>
      <c r="R1606">
        <v>1</v>
      </c>
      <c r="S1606">
        <v>0</v>
      </c>
      <c r="T1606"/>
      <c r="U1606"/>
      <c r="V1606"/>
      <c r="W1606"/>
      <c r="X1606">
        <v>0</v>
      </c>
      <c r="Y1606"/>
      <c r="Z1606">
        <v>0</v>
      </c>
      <c r="AA1606"/>
      <c r="AB1606"/>
      <c r="AC1606"/>
      <c r="AD1606"/>
      <c r="AE1606">
        <v>0</v>
      </c>
      <c r="AF1606"/>
      <c r="AG1606" t="s">
        <v>3467</v>
      </c>
      <c r="AH1606"/>
    </row>
    <row r="1607" spans="1:34" x14ac:dyDescent="0.25">
      <c r="A1607" t="s">
        <v>2120</v>
      </c>
      <c r="B1607" t="s">
        <v>2121</v>
      </c>
      <c r="C1607"/>
      <c r="D1607" t="s">
        <v>1778</v>
      </c>
      <c r="E1607" t="s">
        <v>2093</v>
      </c>
      <c r="F1607" t="s">
        <v>2128</v>
      </c>
      <c r="G1607" t="s">
        <v>280</v>
      </c>
      <c r="H1607" t="s">
        <v>2129</v>
      </c>
      <c r="I1607" t="s">
        <v>35</v>
      </c>
      <c r="J1607"/>
      <c r="K1607">
        <v>1</v>
      </c>
      <c r="L1607">
        <v>1</v>
      </c>
      <c r="M1607" t="s">
        <v>33</v>
      </c>
      <c r="N1607">
        <v>1</v>
      </c>
      <c r="O1607">
        <v>1</v>
      </c>
      <c r="P1607">
        <v>1</v>
      </c>
      <c r="Q1607" t="s">
        <v>38</v>
      </c>
      <c r="R1607">
        <v>1</v>
      </c>
      <c r="S1607">
        <v>0</v>
      </c>
      <c r="T1607"/>
      <c r="U1607"/>
      <c r="V1607"/>
      <c r="W1607"/>
      <c r="X1607">
        <v>0</v>
      </c>
      <c r="Y1607"/>
      <c r="Z1607">
        <v>0</v>
      </c>
      <c r="AA1607"/>
      <c r="AB1607"/>
      <c r="AC1607"/>
      <c r="AD1607"/>
      <c r="AE1607">
        <v>0</v>
      </c>
      <c r="AF1607"/>
      <c r="AG1607" t="s">
        <v>3467</v>
      </c>
      <c r="AH1607"/>
    </row>
    <row r="1608" spans="1:34" x14ac:dyDescent="0.25">
      <c r="A1608" t="s">
        <v>2120</v>
      </c>
      <c r="B1608" t="s">
        <v>2121</v>
      </c>
      <c r="C1608"/>
      <c r="D1608" t="s">
        <v>1778</v>
      </c>
      <c r="E1608" t="s">
        <v>2093</v>
      </c>
      <c r="F1608" t="s">
        <v>2130</v>
      </c>
      <c r="G1608" t="s">
        <v>280</v>
      </c>
      <c r="H1608" t="s">
        <v>2131</v>
      </c>
      <c r="I1608" t="s">
        <v>35</v>
      </c>
      <c r="J1608"/>
      <c r="K1608">
        <v>1</v>
      </c>
      <c r="L1608">
        <v>1</v>
      </c>
      <c r="M1608" t="s">
        <v>33</v>
      </c>
      <c r="N1608">
        <v>1</v>
      </c>
      <c r="O1608">
        <v>1</v>
      </c>
      <c r="P1608">
        <v>1</v>
      </c>
      <c r="Q1608" t="s">
        <v>38</v>
      </c>
      <c r="R1608">
        <v>1</v>
      </c>
      <c r="S1608">
        <v>0</v>
      </c>
      <c r="T1608"/>
      <c r="U1608"/>
      <c r="V1608"/>
      <c r="W1608"/>
      <c r="X1608">
        <v>0</v>
      </c>
      <c r="Y1608"/>
      <c r="Z1608">
        <v>0</v>
      </c>
      <c r="AA1608"/>
      <c r="AB1608"/>
      <c r="AC1608"/>
      <c r="AD1608"/>
      <c r="AE1608">
        <v>0</v>
      </c>
      <c r="AF1608"/>
      <c r="AG1608" t="s">
        <v>3467</v>
      </c>
      <c r="AH1608"/>
    </row>
    <row r="1609" spans="1:34" x14ac:dyDescent="0.25">
      <c r="A1609" t="s">
        <v>2120</v>
      </c>
      <c r="B1609" t="s">
        <v>2121</v>
      </c>
      <c r="C1609"/>
      <c r="D1609" t="s">
        <v>1778</v>
      </c>
      <c r="E1609" t="s">
        <v>2093</v>
      </c>
      <c r="F1609" t="s">
        <v>2132</v>
      </c>
      <c r="G1609" t="s">
        <v>280</v>
      </c>
      <c r="H1609" t="s">
        <v>2133</v>
      </c>
      <c r="I1609" t="s">
        <v>35</v>
      </c>
      <c r="J1609"/>
      <c r="K1609">
        <v>1</v>
      </c>
      <c r="L1609">
        <v>1</v>
      </c>
      <c r="M1609" t="s">
        <v>33</v>
      </c>
      <c r="N1609">
        <v>1</v>
      </c>
      <c r="O1609">
        <v>1</v>
      </c>
      <c r="P1609">
        <v>1</v>
      </c>
      <c r="Q1609" t="s">
        <v>38</v>
      </c>
      <c r="R1609">
        <v>1</v>
      </c>
      <c r="S1609">
        <v>0</v>
      </c>
      <c r="T1609"/>
      <c r="U1609"/>
      <c r="V1609"/>
      <c r="W1609"/>
      <c r="X1609">
        <v>0</v>
      </c>
      <c r="Y1609"/>
      <c r="Z1609">
        <v>0</v>
      </c>
      <c r="AA1609"/>
      <c r="AB1609"/>
      <c r="AC1609"/>
      <c r="AD1609"/>
      <c r="AE1609">
        <v>0</v>
      </c>
      <c r="AF1609"/>
      <c r="AG1609" t="s">
        <v>3467</v>
      </c>
      <c r="AH1609"/>
    </row>
    <row r="1610" spans="1:34" x14ac:dyDescent="0.25">
      <c r="A1610" t="s">
        <v>2120</v>
      </c>
      <c r="B1610" t="s">
        <v>2121</v>
      </c>
      <c r="C1610"/>
      <c r="D1610" t="s">
        <v>1778</v>
      </c>
      <c r="E1610" t="s">
        <v>2093</v>
      </c>
      <c r="F1610" t="s">
        <v>2134</v>
      </c>
      <c r="G1610" t="s">
        <v>280</v>
      </c>
      <c r="H1610" t="s">
        <v>2135</v>
      </c>
      <c r="I1610" t="s">
        <v>35</v>
      </c>
      <c r="J1610"/>
      <c r="K1610">
        <v>1</v>
      </c>
      <c r="L1610">
        <v>1</v>
      </c>
      <c r="M1610" t="s">
        <v>33</v>
      </c>
      <c r="N1610">
        <v>1</v>
      </c>
      <c r="O1610">
        <v>1</v>
      </c>
      <c r="P1610">
        <v>1</v>
      </c>
      <c r="Q1610" t="s">
        <v>38</v>
      </c>
      <c r="R1610">
        <v>1</v>
      </c>
      <c r="S1610">
        <v>0</v>
      </c>
      <c r="T1610"/>
      <c r="U1610"/>
      <c r="V1610"/>
      <c r="W1610"/>
      <c r="X1610">
        <v>0</v>
      </c>
      <c r="Y1610"/>
      <c r="Z1610">
        <v>0</v>
      </c>
      <c r="AA1610"/>
      <c r="AB1610"/>
      <c r="AC1610"/>
      <c r="AD1610"/>
      <c r="AE1610">
        <v>0</v>
      </c>
      <c r="AF1610"/>
      <c r="AG1610" t="s">
        <v>3467</v>
      </c>
      <c r="AH1610"/>
    </row>
    <row r="1611" spans="1:34" x14ac:dyDescent="0.25">
      <c r="A1611" t="s">
        <v>2120</v>
      </c>
      <c r="B1611" t="s">
        <v>2121</v>
      </c>
      <c r="C1611"/>
      <c r="D1611" t="s">
        <v>1778</v>
      </c>
      <c r="E1611" t="s">
        <v>2093</v>
      </c>
      <c r="F1611" t="s">
        <v>2136</v>
      </c>
      <c r="G1611" t="s">
        <v>280</v>
      </c>
      <c r="H1611" t="s">
        <v>2137</v>
      </c>
      <c r="I1611" t="s">
        <v>35</v>
      </c>
      <c r="J1611"/>
      <c r="K1611">
        <v>1</v>
      </c>
      <c r="L1611">
        <v>1</v>
      </c>
      <c r="M1611" t="s">
        <v>33</v>
      </c>
      <c r="N1611">
        <v>1</v>
      </c>
      <c r="O1611">
        <v>1</v>
      </c>
      <c r="P1611">
        <v>1</v>
      </c>
      <c r="Q1611" t="s">
        <v>38</v>
      </c>
      <c r="R1611">
        <v>1</v>
      </c>
      <c r="S1611">
        <v>0</v>
      </c>
      <c r="T1611"/>
      <c r="U1611"/>
      <c r="V1611"/>
      <c r="W1611"/>
      <c r="X1611">
        <v>0</v>
      </c>
      <c r="Y1611"/>
      <c r="Z1611">
        <v>0</v>
      </c>
      <c r="AA1611"/>
      <c r="AB1611"/>
      <c r="AC1611"/>
      <c r="AD1611"/>
      <c r="AE1611">
        <v>0</v>
      </c>
      <c r="AF1611"/>
      <c r="AG1611" t="s">
        <v>3467</v>
      </c>
      <c r="AH1611"/>
    </row>
    <row r="1612" spans="1:34" x14ac:dyDescent="0.25">
      <c r="A1612" t="s">
        <v>2120</v>
      </c>
      <c r="B1612" t="s">
        <v>2121</v>
      </c>
      <c r="C1612"/>
      <c r="D1612" t="s">
        <v>1778</v>
      </c>
      <c r="E1612" t="s">
        <v>2093</v>
      </c>
      <c r="F1612" t="s">
        <v>2138</v>
      </c>
      <c r="G1612" t="s">
        <v>280</v>
      </c>
      <c r="H1612" t="s">
        <v>2139</v>
      </c>
      <c r="I1612" t="s">
        <v>35</v>
      </c>
      <c r="J1612"/>
      <c r="K1612">
        <v>1</v>
      </c>
      <c r="L1612">
        <v>1</v>
      </c>
      <c r="M1612" t="s">
        <v>33</v>
      </c>
      <c r="N1612">
        <v>1</v>
      </c>
      <c r="O1612">
        <v>1</v>
      </c>
      <c r="P1612">
        <v>1</v>
      </c>
      <c r="Q1612" t="s">
        <v>38</v>
      </c>
      <c r="R1612">
        <v>1</v>
      </c>
      <c r="S1612">
        <v>0</v>
      </c>
      <c r="T1612"/>
      <c r="U1612"/>
      <c r="V1612"/>
      <c r="W1612"/>
      <c r="X1612">
        <v>0</v>
      </c>
      <c r="Y1612"/>
      <c r="Z1612">
        <v>0</v>
      </c>
      <c r="AA1612"/>
      <c r="AB1612"/>
      <c r="AC1612"/>
      <c r="AD1612"/>
      <c r="AE1612">
        <v>0</v>
      </c>
      <c r="AF1612"/>
      <c r="AG1612" t="s">
        <v>3467</v>
      </c>
      <c r="AH1612"/>
    </row>
    <row r="1613" spans="1:34" x14ac:dyDescent="0.25">
      <c r="A1613" t="s">
        <v>2120</v>
      </c>
      <c r="B1613" t="s">
        <v>2121</v>
      </c>
      <c r="C1613"/>
      <c r="D1613" t="s">
        <v>1778</v>
      </c>
      <c r="E1613" t="s">
        <v>2093</v>
      </c>
      <c r="F1613" t="s">
        <v>2140</v>
      </c>
      <c r="G1613" t="s">
        <v>280</v>
      </c>
      <c r="H1613" t="s">
        <v>2141</v>
      </c>
      <c r="I1613" t="s">
        <v>35</v>
      </c>
      <c r="J1613"/>
      <c r="K1613">
        <v>1</v>
      </c>
      <c r="L1613">
        <v>1</v>
      </c>
      <c r="M1613" t="s">
        <v>33</v>
      </c>
      <c r="N1613">
        <v>1</v>
      </c>
      <c r="O1613">
        <v>1</v>
      </c>
      <c r="P1613">
        <v>1</v>
      </c>
      <c r="Q1613" t="s">
        <v>38</v>
      </c>
      <c r="R1613">
        <v>1</v>
      </c>
      <c r="S1613">
        <v>0</v>
      </c>
      <c r="T1613"/>
      <c r="U1613"/>
      <c r="V1613"/>
      <c r="W1613"/>
      <c r="X1613">
        <v>0</v>
      </c>
      <c r="Y1613"/>
      <c r="Z1613">
        <v>0</v>
      </c>
      <c r="AA1613"/>
      <c r="AB1613"/>
      <c r="AC1613"/>
      <c r="AD1613"/>
      <c r="AE1613">
        <v>0</v>
      </c>
      <c r="AF1613"/>
      <c r="AG1613" t="s">
        <v>3467</v>
      </c>
      <c r="AH1613"/>
    </row>
    <row r="1614" spans="1:34" x14ac:dyDescent="0.25">
      <c r="A1614" t="s">
        <v>2120</v>
      </c>
      <c r="B1614" t="s">
        <v>2121</v>
      </c>
      <c r="C1614"/>
      <c r="D1614" t="s">
        <v>1778</v>
      </c>
      <c r="E1614" t="s">
        <v>2093</v>
      </c>
      <c r="F1614" t="s">
        <v>2142</v>
      </c>
      <c r="G1614" t="s">
        <v>280</v>
      </c>
      <c r="H1614" t="s">
        <v>2143</v>
      </c>
      <c r="I1614" t="s">
        <v>35</v>
      </c>
      <c r="J1614"/>
      <c r="K1614">
        <v>1</v>
      </c>
      <c r="L1614">
        <v>1</v>
      </c>
      <c r="M1614" t="s">
        <v>33</v>
      </c>
      <c r="N1614">
        <v>1</v>
      </c>
      <c r="O1614">
        <v>1</v>
      </c>
      <c r="P1614">
        <v>1</v>
      </c>
      <c r="Q1614" t="s">
        <v>38</v>
      </c>
      <c r="R1614">
        <v>1</v>
      </c>
      <c r="S1614">
        <v>0</v>
      </c>
      <c r="T1614"/>
      <c r="U1614"/>
      <c r="V1614"/>
      <c r="W1614"/>
      <c r="X1614">
        <v>0</v>
      </c>
      <c r="Y1614"/>
      <c r="Z1614">
        <v>0</v>
      </c>
      <c r="AA1614"/>
      <c r="AB1614"/>
      <c r="AC1614"/>
      <c r="AD1614"/>
      <c r="AE1614">
        <v>0</v>
      </c>
      <c r="AF1614"/>
      <c r="AG1614" t="s">
        <v>3467</v>
      </c>
      <c r="AH1614"/>
    </row>
    <row r="1615" spans="1:34" x14ac:dyDescent="0.25">
      <c r="A1615" t="s">
        <v>2120</v>
      </c>
      <c r="B1615" t="s">
        <v>2121</v>
      </c>
      <c r="C1615"/>
      <c r="D1615" t="s">
        <v>1778</v>
      </c>
      <c r="E1615" t="s">
        <v>2093</v>
      </c>
      <c r="F1615" t="s">
        <v>2145</v>
      </c>
      <c r="G1615" t="s">
        <v>280</v>
      </c>
      <c r="H1615" t="s">
        <v>2146</v>
      </c>
      <c r="I1615" t="s">
        <v>35</v>
      </c>
      <c r="J1615"/>
      <c r="K1615">
        <v>1</v>
      </c>
      <c r="L1615">
        <v>1</v>
      </c>
      <c r="M1615" t="s">
        <v>33</v>
      </c>
      <c r="N1615">
        <v>1</v>
      </c>
      <c r="O1615">
        <v>1</v>
      </c>
      <c r="P1615">
        <v>1</v>
      </c>
      <c r="Q1615" t="s">
        <v>38</v>
      </c>
      <c r="R1615">
        <v>1</v>
      </c>
      <c r="S1615">
        <v>0</v>
      </c>
      <c r="T1615"/>
      <c r="U1615"/>
      <c r="V1615"/>
      <c r="W1615"/>
      <c r="X1615">
        <v>0</v>
      </c>
      <c r="Y1615"/>
      <c r="Z1615">
        <v>0</v>
      </c>
      <c r="AA1615"/>
      <c r="AB1615"/>
      <c r="AC1615"/>
      <c r="AD1615"/>
      <c r="AE1615">
        <v>0</v>
      </c>
      <c r="AF1615"/>
      <c r="AG1615"/>
      <c r="AH1615"/>
    </row>
    <row r="1616" spans="1:34" x14ac:dyDescent="0.25">
      <c r="A1616" t="s">
        <v>3595</v>
      </c>
      <c r="B1616" t="s">
        <v>2144</v>
      </c>
      <c r="C1616"/>
      <c r="D1616" t="s">
        <v>1778</v>
      </c>
      <c r="E1616" t="s">
        <v>2093</v>
      </c>
      <c r="F1616" t="s">
        <v>2145</v>
      </c>
      <c r="G1616"/>
      <c r="H1616" t="s">
        <v>2146</v>
      </c>
      <c r="I1616" t="s">
        <v>35</v>
      </c>
      <c r="J1616"/>
      <c r="K1616">
        <v>1</v>
      </c>
      <c r="L1616">
        <v>1</v>
      </c>
      <c r="M1616" t="s">
        <v>33</v>
      </c>
      <c r="N1616">
        <v>1</v>
      </c>
      <c r="O1616">
        <v>1</v>
      </c>
      <c r="P1616">
        <v>1</v>
      </c>
      <c r="Q1616" t="s">
        <v>38</v>
      </c>
      <c r="R1616">
        <v>1</v>
      </c>
      <c r="S1616">
        <v>0</v>
      </c>
      <c r="T1616"/>
      <c r="U1616"/>
      <c r="V1616"/>
      <c r="W1616"/>
      <c r="X1616">
        <v>0</v>
      </c>
      <c r="Y1616"/>
      <c r="Z1616">
        <v>0</v>
      </c>
      <c r="AA1616"/>
      <c r="AB1616"/>
      <c r="AC1616"/>
      <c r="AD1616"/>
      <c r="AE1616">
        <v>0</v>
      </c>
      <c r="AF1616"/>
      <c r="AG1616"/>
      <c r="AH1616"/>
    </row>
    <row r="1617" spans="1:34" x14ac:dyDescent="0.25">
      <c r="A1617" t="s">
        <v>2120</v>
      </c>
      <c r="B1617" t="s">
        <v>2121</v>
      </c>
      <c r="C1617"/>
      <c r="D1617" t="s">
        <v>1778</v>
      </c>
      <c r="E1617" t="s">
        <v>2093</v>
      </c>
      <c r="F1617" t="s">
        <v>2147</v>
      </c>
      <c r="G1617" t="s">
        <v>280</v>
      </c>
      <c r="H1617" t="s">
        <v>2148</v>
      </c>
      <c r="I1617" t="s">
        <v>35</v>
      </c>
      <c r="J1617"/>
      <c r="K1617">
        <v>1</v>
      </c>
      <c r="L1617">
        <v>1</v>
      </c>
      <c r="M1617" t="s">
        <v>33</v>
      </c>
      <c r="N1617">
        <v>1</v>
      </c>
      <c r="O1617">
        <v>1</v>
      </c>
      <c r="P1617">
        <v>1</v>
      </c>
      <c r="Q1617" t="s">
        <v>38</v>
      </c>
      <c r="R1617">
        <v>1</v>
      </c>
      <c r="S1617">
        <v>0</v>
      </c>
      <c r="T1617"/>
      <c r="U1617"/>
      <c r="V1617"/>
      <c r="W1617"/>
      <c r="X1617">
        <v>0</v>
      </c>
      <c r="Y1617"/>
      <c r="Z1617">
        <v>0</v>
      </c>
      <c r="AA1617"/>
      <c r="AB1617"/>
      <c r="AC1617"/>
      <c r="AD1617"/>
      <c r="AE1617">
        <v>0</v>
      </c>
      <c r="AF1617"/>
      <c r="AG1617"/>
      <c r="AH1617"/>
    </row>
    <row r="1618" spans="1:34" x14ac:dyDescent="0.25">
      <c r="A1618" t="s">
        <v>3444</v>
      </c>
      <c r="B1618" t="s">
        <v>3445</v>
      </c>
      <c r="C1618"/>
      <c r="D1618" t="s">
        <v>1778</v>
      </c>
      <c r="E1618" t="s">
        <v>2093</v>
      </c>
      <c r="F1618" t="s">
        <v>2147</v>
      </c>
      <c r="G1618" t="s">
        <v>259</v>
      </c>
      <c r="H1618" t="s">
        <v>2148</v>
      </c>
      <c r="I1618" t="s">
        <v>35</v>
      </c>
      <c r="J1618"/>
      <c r="K1618">
        <v>1</v>
      </c>
      <c r="L1618">
        <v>1</v>
      </c>
      <c r="M1618" t="s">
        <v>33</v>
      </c>
      <c r="N1618">
        <v>1</v>
      </c>
      <c r="O1618">
        <v>1</v>
      </c>
      <c r="P1618">
        <v>1</v>
      </c>
      <c r="Q1618" t="s">
        <v>38</v>
      </c>
      <c r="R1618">
        <v>1</v>
      </c>
      <c r="S1618">
        <v>0</v>
      </c>
      <c r="T1618"/>
      <c r="U1618"/>
      <c r="V1618"/>
      <c r="W1618"/>
      <c r="X1618">
        <v>0</v>
      </c>
      <c r="Y1618"/>
      <c r="Z1618">
        <v>0</v>
      </c>
      <c r="AA1618"/>
      <c r="AB1618"/>
      <c r="AC1618"/>
      <c r="AD1618"/>
      <c r="AE1618">
        <v>0</v>
      </c>
      <c r="AF1618"/>
      <c r="AG1618"/>
      <c r="AH1618"/>
    </row>
    <row r="1619" spans="1:34" x14ac:dyDescent="0.25">
      <c r="A1619" t="s">
        <v>3446</v>
      </c>
      <c r="B1619" t="s">
        <v>3447</v>
      </c>
      <c r="C1619"/>
      <c r="D1619" t="s">
        <v>1778</v>
      </c>
      <c r="E1619" t="s">
        <v>2093</v>
      </c>
      <c r="F1619" t="s">
        <v>2147</v>
      </c>
      <c r="G1619" t="s">
        <v>259</v>
      </c>
      <c r="H1619" t="s">
        <v>2148</v>
      </c>
      <c r="I1619" t="s">
        <v>35</v>
      </c>
      <c r="J1619"/>
      <c r="K1619">
        <v>1</v>
      </c>
      <c r="L1619">
        <v>1</v>
      </c>
      <c r="M1619" t="s">
        <v>33</v>
      </c>
      <c r="N1619">
        <v>1</v>
      </c>
      <c r="O1619">
        <v>1</v>
      </c>
      <c r="P1619">
        <v>1</v>
      </c>
      <c r="Q1619" t="s">
        <v>38</v>
      </c>
      <c r="R1619">
        <v>1</v>
      </c>
      <c r="S1619">
        <v>0</v>
      </c>
      <c r="T1619"/>
      <c r="U1619"/>
      <c r="V1619"/>
      <c r="W1619"/>
      <c r="X1619">
        <v>0</v>
      </c>
      <c r="Y1619"/>
      <c r="Z1619">
        <v>0</v>
      </c>
      <c r="AA1619"/>
      <c r="AB1619"/>
      <c r="AC1619"/>
      <c r="AD1619"/>
      <c r="AE1619">
        <v>0</v>
      </c>
      <c r="AF1619"/>
      <c r="AG1619"/>
      <c r="AH1619"/>
    </row>
    <row r="1620" spans="1:34" x14ac:dyDescent="0.25">
      <c r="A1620" t="s">
        <v>3448</v>
      </c>
      <c r="B1620" t="s">
        <v>3449</v>
      </c>
      <c r="C1620"/>
      <c r="D1620" t="s">
        <v>1778</v>
      </c>
      <c r="E1620" t="s">
        <v>2093</v>
      </c>
      <c r="F1620" t="s">
        <v>2147</v>
      </c>
      <c r="G1620" t="s">
        <v>280</v>
      </c>
      <c r="H1620" t="s">
        <v>2148</v>
      </c>
      <c r="I1620" t="s">
        <v>35</v>
      </c>
      <c r="J1620"/>
      <c r="K1620">
        <v>1</v>
      </c>
      <c r="L1620">
        <v>1</v>
      </c>
      <c r="M1620" t="s">
        <v>33</v>
      </c>
      <c r="N1620">
        <v>1</v>
      </c>
      <c r="O1620">
        <v>1</v>
      </c>
      <c r="P1620">
        <v>1</v>
      </c>
      <c r="Q1620" t="s">
        <v>38</v>
      </c>
      <c r="R1620">
        <v>1</v>
      </c>
      <c r="S1620">
        <v>0</v>
      </c>
      <c r="T1620"/>
      <c r="U1620"/>
      <c r="V1620"/>
      <c r="W1620"/>
      <c r="X1620">
        <v>0</v>
      </c>
      <c r="Y1620"/>
      <c r="Z1620">
        <v>0</v>
      </c>
      <c r="AA1620"/>
      <c r="AB1620"/>
      <c r="AC1620"/>
      <c r="AD1620"/>
      <c r="AE1620">
        <v>0</v>
      </c>
      <c r="AF1620"/>
      <c r="AG1620"/>
      <c r="AH1620"/>
    </row>
    <row r="1621" spans="1:34" x14ac:dyDescent="0.25">
      <c r="A1621" t="s">
        <v>3454</v>
      </c>
      <c r="B1621" t="s">
        <v>3455</v>
      </c>
      <c r="C1621"/>
      <c r="D1621" t="s">
        <v>1778</v>
      </c>
      <c r="E1621" t="s">
        <v>2093</v>
      </c>
      <c r="F1621" t="s">
        <v>2147</v>
      </c>
      <c r="G1621" t="s">
        <v>259</v>
      </c>
      <c r="H1621" t="s">
        <v>2148</v>
      </c>
      <c r="I1621" t="s">
        <v>35</v>
      </c>
      <c r="J1621"/>
      <c r="K1621">
        <v>1</v>
      </c>
      <c r="L1621">
        <v>1</v>
      </c>
      <c r="M1621" t="s">
        <v>33</v>
      </c>
      <c r="N1621">
        <v>1</v>
      </c>
      <c r="O1621">
        <v>1</v>
      </c>
      <c r="P1621">
        <v>1</v>
      </c>
      <c r="Q1621" t="s">
        <v>38</v>
      </c>
      <c r="R1621">
        <v>1</v>
      </c>
      <c r="S1621">
        <v>0</v>
      </c>
      <c r="T1621"/>
      <c r="U1621"/>
      <c r="V1621"/>
      <c r="W1621"/>
      <c r="X1621">
        <v>0</v>
      </c>
      <c r="Y1621"/>
      <c r="Z1621">
        <v>0</v>
      </c>
      <c r="AA1621"/>
      <c r="AB1621"/>
      <c r="AC1621"/>
      <c r="AD1621"/>
      <c r="AE1621">
        <v>0</v>
      </c>
      <c r="AF1621"/>
      <c r="AG1621"/>
      <c r="AH1621"/>
    </row>
    <row r="1622" spans="1:34" x14ac:dyDescent="0.25">
      <c r="A1622" t="s">
        <v>2091</v>
      </c>
      <c r="B1622" t="s">
        <v>2092</v>
      </c>
      <c r="C1622"/>
      <c r="D1622" t="s">
        <v>1778</v>
      </c>
      <c r="E1622" t="s">
        <v>2149</v>
      </c>
      <c r="F1622" t="s">
        <v>2150</v>
      </c>
      <c r="G1622" t="s">
        <v>280</v>
      </c>
      <c r="H1622" t="s">
        <v>2151</v>
      </c>
      <c r="I1622" t="s">
        <v>35</v>
      </c>
      <c r="J1622"/>
      <c r="K1622">
        <v>1</v>
      </c>
      <c r="L1622">
        <v>1</v>
      </c>
      <c r="M1622" t="s">
        <v>33</v>
      </c>
      <c r="N1622">
        <v>1</v>
      </c>
      <c r="O1622">
        <v>1</v>
      </c>
      <c r="P1622">
        <v>1</v>
      </c>
      <c r="Q1622" t="s">
        <v>38</v>
      </c>
      <c r="R1622">
        <v>1</v>
      </c>
      <c r="S1622">
        <v>0</v>
      </c>
      <c r="T1622"/>
      <c r="U1622"/>
      <c r="V1622"/>
      <c r="W1622"/>
      <c r="X1622">
        <v>0</v>
      </c>
      <c r="Y1622"/>
      <c r="Z1622">
        <v>0</v>
      </c>
      <c r="AA1622"/>
      <c r="AB1622"/>
      <c r="AC1622"/>
      <c r="AD1622"/>
      <c r="AE1622">
        <v>0</v>
      </c>
      <c r="AF1622"/>
      <c r="AG1622"/>
      <c r="AH1622"/>
    </row>
    <row r="1623" spans="1:34" x14ac:dyDescent="0.25">
      <c r="A1623" t="s">
        <v>2091</v>
      </c>
      <c r="B1623" t="s">
        <v>2092</v>
      </c>
      <c r="C1623"/>
      <c r="D1623" t="s">
        <v>1778</v>
      </c>
      <c r="E1623" t="s">
        <v>2149</v>
      </c>
      <c r="F1623" t="s">
        <v>2152</v>
      </c>
      <c r="G1623" t="s">
        <v>280</v>
      </c>
      <c r="H1623" t="s">
        <v>2153</v>
      </c>
      <c r="I1623" t="s">
        <v>35</v>
      </c>
      <c r="J1623"/>
      <c r="K1623">
        <v>1</v>
      </c>
      <c r="L1623">
        <v>1</v>
      </c>
      <c r="M1623" t="s">
        <v>33</v>
      </c>
      <c r="N1623">
        <v>1</v>
      </c>
      <c r="O1623">
        <v>1</v>
      </c>
      <c r="P1623">
        <v>1</v>
      </c>
      <c r="Q1623" t="s">
        <v>38</v>
      </c>
      <c r="R1623">
        <v>1</v>
      </c>
      <c r="S1623">
        <v>0</v>
      </c>
      <c r="T1623"/>
      <c r="U1623"/>
      <c r="V1623"/>
      <c r="W1623"/>
      <c r="X1623">
        <v>0</v>
      </c>
      <c r="Y1623"/>
      <c r="Z1623">
        <v>0</v>
      </c>
      <c r="AA1623"/>
      <c r="AB1623"/>
      <c r="AC1623"/>
      <c r="AD1623"/>
      <c r="AE1623">
        <v>0</v>
      </c>
      <c r="AF1623"/>
      <c r="AG1623"/>
      <c r="AH1623"/>
    </row>
    <row r="1624" spans="1:34" x14ac:dyDescent="0.25">
      <c r="A1624" t="s">
        <v>2091</v>
      </c>
      <c r="B1624" t="s">
        <v>2092</v>
      </c>
      <c r="C1624"/>
      <c r="D1624" t="s">
        <v>1778</v>
      </c>
      <c r="E1624" t="s">
        <v>2149</v>
      </c>
      <c r="F1624" t="s">
        <v>2154</v>
      </c>
      <c r="G1624" t="s">
        <v>280</v>
      </c>
      <c r="H1624" t="s">
        <v>2155</v>
      </c>
      <c r="I1624" t="s">
        <v>35</v>
      </c>
      <c r="J1624"/>
      <c r="K1624">
        <v>1</v>
      </c>
      <c r="L1624">
        <v>1</v>
      </c>
      <c r="M1624" t="s">
        <v>33</v>
      </c>
      <c r="N1624">
        <v>1</v>
      </c>
      <c r="O1624">
        <v>1</v>
      </c>
      <c r="P1624">
        <v>1</v>
      </c>
      <c r="Q1624" t="s">
        <v>38</v>
      </c>
      <c r="R1624">
        <v>1</v>
      </c>
      <c r="S1624">
        <v>0</v>
      </c>
      <c r="T1624"/>
      <c r="U1624"/>
      <c r="V1624"/>
      <c r="W1624"/>
      <c r="X1624">
        <v>0</v>
      </c>
      <c r="Y1624"/>
      <c r="Z1624">
        <v>0</v>
      </c>
      <c r="AA1624"/>
      <c r="AB1624"/>
      <c r="AC1624"/>
      <c r="AD1624"/>
      <c r="AE1624">
        <v>0</v>
      </c>
      <c r="AF1624"/>
      <c r="AG1624"/>
      <c r="AH1624"/>
    </row>
    <row r="1625" spans="1:34" x14ac:dyDescent="0.25">
      <c r="A1625" t="s">
        <v>2091</v>
      </c>
      <c r="B1625" t="s">
        <v>2092</v>
      </c>
      <c r="C1625"/>
      <c r="D1625" t="s">
        <v>1778</v>
      </c>
      <c r="E1625" t="s">
        <v>2149</v>
      </c>
      <c r="F1625" t="s">
        <v>2156</v>
      </c>
      <c r="G1625" t="s">
        <v>280</v>
      </c>
      <c r="H1625" t="s">
        <v>2157</v>
      </c>
      <c r="I1625" t="s">
        <v>35</v>
      </c>
      <c r="J1625"/>
      <c r="K1625">
        <v>1</v>
      </c>
      <c r="L1625">
        <v>1</v>
      </c>
      <c r="M1625" t="s">
        <v>33</v>
      </c>
      <c r="N1625">
        <v>1</v>
      </c>
      <c r="O1625">
        <v>1</v>
      </c>
      <c r="P1625">
        <v>1</v>
      </c>
      <c r="Q1625" t="s">
        <v>38</v>
      </c>
      <c r="R1625">
        <v>1</v>
      </c>
      <c r="S1625">
        <v>0</v>
      </c>
      <c r="T1625"/>
      <c r="U1625"/>
      <c r="V1625"/>
      <c r="W1625"/>
      <c r="X1625">
        <v>0</v>
      </c>
      <c r="Y1625"/>
      <c r="Z1625">
        <v>0</v>
      </c>
      <c r="AA1625"/>
      <c r="AB1625"/>
      <c r="AC1625"/>
      <c r="AD1625"/>
      <c r="AE1625">
        <v>0</v>
      </c>
      <c r="AF1625"/>
      <c r="AG1625"/>
      <c r="AH1625"/>
    </row>
    <row r="1626" spans="1:34" x14ac:dyDescent="0.25">
      <c r="A1626" t="s">
        <v>2091</v>
      </c>
      <c r="B1626" t="s">
        <v>2092</v>
      </c>
      <c r="C1626"/>
      <c r="D1626" t="s">
        <v>1778</v>
      </c>
      <c r="E1626" t="s">
        <v>2149</v>
      </c>
      <c r="F1626" t="s">
        <v>2158</v>
      </c>
      <c r="G1626" t="s">
        <v>280</v>
      </c>
      <c r="H1626" t="s">
        <v>2159</v>
      </c>
      <c r="I1626" t="s">
        <v>35</v>
      </c>
      <c r="J1626"/>
      <c r="K1626">
        <v>1</v>
      </c>
      <c r="L1626">
        <v>1</v>
      </c>
      <c r="M1626" t="s">
        <v>33</v>
      </c>
      <c r="N1626">
        <v>1</v>
      </c>
      <c r="O1626">
        <v>1</v>
      </c>
      <c r="P1626">
        <v>1</v>
      </c>
      <c r="Q1626" t="s">
        <v>38</v>
      </c>
      <c r="R1626">
        <v>1</v>
      </c>
      <c r="S1626">
        <v>0</v>
      </c>
      <c r="T1626"/>
      <c r="U1626"/>
      <c r="V1626"/>
      <c r="W1626"/>
      <c r="X1626">
        <v>0</v>
      </c>
      <c r="Y1626"/>
      <c r="Z1626">
        <v>0</v>
      </c>
      <c r="AA1626"/>
      <c r="AB1626"/>
      <c r="AC1626"/>
      <c r="AD1626"/>
      <c r="AE1626">
        <v>0</v>
      </c>
      <c r="AF1626"/>
      <c r="AG1626"/>
      <c r="AH1626"/>
    </row>
    <row r="1627" spans="1:34" x14ac:dyDescent="0.25">
      <c r="A1627" t="s">
        <v>2091</v>
      </c>
      <c r="B1627" t="s">
        <v>2092</v>
      </c>
      <c r="C1627"/>
      <c r="D1627" t="s">
        <v>1778</v>
      </c>
      <c r="E1627" t="s">
        <v>2149</v>
      </c>
      <c r="F1627" t="s">
        <v>2160</v>
      </c>
      <c r="G1627" t="s">
        <v>280</v>
      </c>
      <c r="H1627" t="s">
        <v>2161</v>
      </c>
      <c r="I1627" t="s">
        <v>35</v>
      </c>
      <c r="J1627"/>
      <c r="K1627">
        <v>1</v>
      </c>
      <c r="L1627">
        <v>1</v>
      </c>
      <c r="M1627" t="s">
        <v>33</v>
      </c>
      <c r="N1627">
        <v>1</v>
      </c>
      <c r="O1627">
        <v>1</v>
      </c>
      <c r="P1627">
        <v>1</v>
      </c>
      <c r="Q1627" t="s">
        <v>38</v>
      </c>
      <c r="R1627">
        <v>1</v>
      </c>
      <c r="S1627">
        <v>0</v>
      </c>
      <c r="T1627"/>
      <c r="U1627"/>
      <c r="V1627"/>
      <c r="W1627"/>
      <c r="X1627">
        <v>0</v>
      </c>
      <c r="Y1627"/>
      <c r="Z1627">
        <v>0</v>
      </c>
      <c r="AA1627"/>
      <c r="AB1627"/>
      <c r="AC1627"/>
      <c r="AD1627"/>
      <c r="AE1627">
        <v>0</v>
      </c>
      <c r="AF1627"/>
      <c r="AG1627"/>
      <c r="AH1627"/>
    </row>
    <row r="1628" spans="1:34" x14ac:dyDescent="0.25">
      <c r="A1628" t="s">
        <v>2091</v>
      </c>
      <c r="B1628" t="s">
        <v>2092</v>
      </c>
      <c r="C1628"/>
      <c r="D1628" t="s">
        <v>1778</v>
      </c>
      <c r="E1628" t="s">
        <v>2149</v>
      </c>
      <c r="F1628" t="s">
        <v>2162</v>
      </c>
      <c r="G1628" t="s">
        <v>280</v>
      </c>
      <c r="H1628" t="s">
        <v>2163</v>
      </c>
      <c r="I1628" t="s">
        <v>35</v>
      </c>
      <c r="J1628"/>
      <c r="K1628">
        <v>1</v>
      </c>
      <c r="L1628">
        <v>1</v>
      </c>
      <c r="M1628" t="s">
        <v>33</v>
      </c>
      <c r="N1628">
        <v>1</v>
      </c>
      <c r="O1628">
        <v>1</v>
      </c>
      <c r="P1628">
        <v>1</v>
      </c>
      <c r="Q1628" t="s">
        <v>38</v>
      </c>
      <c r="R1628">
        <v>1</v>
      </c>
      <c r="S1628">
        <v>0</v>
      </c>
      <c r="T1628"/>
      <c r="U1628"/>
      <c r="V1628"/>
      <c r="W1628"/>
      <c r="X1628">
        <v>0</v>
      </c>
      <c r="Y1628"/>
      <c r="Z1628">
        <v>0</v>
      </c>
      <c r="AA1628"/>
      <c r="AB1628"/>
      <c r="AC1628"/>
      <c r="AD1628"/>
      <c r="AE1628">
        <v>0</v>
      </c>
      <c r="AF1628"/>
      <c r="AG1628"/>
      <c r="AH1628"/>
    </row>
    <row r="1629" spans="1:34" x14ac:dyDescent="0.25">
      <c r="A1629" t="s">
        <v>2091</v>
      </c>
      <c r="B1629" t="s">
        <v>2092</v>
      </c>
      <c r="C1629"/>
      <c r="D1629" t="s">
        <v>1778</v>
      </c>
      <c r="E1629" t="s">
        <v>2149</v>
      </c>
      <c r="F1629" t="s">
        <v>2164</v>
      </c>
      <c r="G1629" t="s">
        <v>280</v>
      </c>
      <c r="H1629" t="s">
        <v>2165</v>
      </c>
      <c r="I1629" t="s">
        <v>35</v>
      </c>
      <c r="J1629"/>
      <c r="K1629">
        <v>1</v>
      </c>
      <c r="L1629">
        <v>1</v>
      </c>
      <c r="M1629" t="s">
        <v>33</v>
      </c>
      <c r="N1629">
        <v>1</v>
      </c>
      <c r="O1629">
        <v>1</v>
      </c>
      <c r="P1629">
        <v>1</v>
      </c>
      <c r="Q1629" t="s">
        <v>38</v>
      </c>
      <c r="R1629">
        <v>1</v>
      </c>
      <c r="S1629">
        <v>0</v>
      </c>
      <c r="T1629"/>
      <c r="U1629"/>
      <c r="V1629"/>
      <c r="W1629"/>
      <c r="X1629">
        <v>0</v>
      </c>
      <c r="Y1629"/>
      <c r="Z1629">
        <v>0</v>
      </c>
      <c r="AA1629"/>
      <c r="AB1629"/>
      <c r="AC1629"/>
      <c r="AD1629"/>
      <c r="AE1629">
        <v>0</v>
      </c>
      <c r="AF1629"/>
      <c r="AG1629"/>
      <c r="AH1629"/>
    </row>
    <row r="1630" spans="1:34" x14ac:dyDescent="0.25">
      <c r="A1630" t="s">
        <v>2091</v>
      </c>
      <c r="B1630" t="s">
        <v>2092</v>
      </c>
      <c r="C1630"/>
      <c r="D1630" t="s">
        <v>1778</v>
      </c>
      <c r="E1630" t="s">
        <v>2149</v>
      </c>
      <c r="F1630" t="s">
        <v>2166</v>
      </c>
      <c r="G1630" t="s">
        <v>280</v>
      </c>
      <c r="H1630" t="s">
        <v>2167</v>
      </c>
      <c r="I1630" t="s">
        <v>35</v>
      </c>
      <c r="J1630"/>
      <c r="K1630">
        <v>1</v>
      </c>
      <c r="L1630">
        <v>1</v>
      </c>
      <c r="M1630" t="s">
        <v>33</v>
      </c>
      <c r="N1630">
        <v>1</v>
      </c>
      <c r="O1630">
        <v>1</v>
      </c>
      <c r="P1630">
        <v>1</v>
      </c>
      <c r="Q1630" t="s">
        <v>38</v>
      </c>
      <c r="R1630">
        <v>1</v>
      </c>
      <c r="S1630">
        <v>0</v>
      </c>
      <c r="T1630"/>
      <c r="U1630"/>
      <c r="V1630"/>
      <c r="W1630"/>
      <c r="X1630">
        <v>0</v>
      </c>
      <c r="Y1630"/>
      <c r="Z1630">
        <v>0</v>
      </c>
      <c r="AA1630"/>
      <c r="AB1630"/>
      <c r="AC1630"/>
      <c r="AD1630"/>
      <c r="AE1630">
        <v>0</v>
      </c>
      <c r="AF1630"/>
      <c r="AG1630"/>
      <c r="AH1630"/>
    </row>
    <row r="1631" spans="1:34" x14ac:dyDescent="0.25">
      <c r="A1631" t="s">
        <v>2091</v>
      </c>
      <c r="B1631" t="s">
        <v>2092</v>
      </c>
      <c r="C1631"/>
      <c r="D1631" t="s">
        <v>1778</v>
      </c>
      <c r="E1631" t="s">
        <v>2149</v>
      </c>
      <c r="F1631" t="s">
        <v>2168</v>
      </c>
      <c r="G1631" t="s">
        <v>280</v>
      </c>
      <c r="H1631" t="s">
        <v>2169</v>
      </c>
      <c r="I1631" t="s">
        <v>35</v>
      </c>
      <c r="J1631"/>
      <c r="K1631">
        <v>1</v>
      </c>
      <c r="L1631">
        <v>1</v>
      </c>
      <c r="M1631" t="s">
        <v>33</v>
      </c>
      <c r="N1631">
        <v>1</v>
      </c>
      <c r="O1631">
        <v>1</v>
      </c>
      <c r="P1631">
        <v>1</v>
      </c>
      <c r="Q1631" t="s">
        <v>38</v>
      </c>
      <c r="R1631">
        <v>1</v>
      </c>
      <c r="S1631">
        <v>0</v>
      </c>
      <c r="T1631"/>
      <c r="U1631"/>
      <c r="V1631"/>
      <c r="W1631"/>
      <c r="X1631">
        <v>0</v>
      </c>
      <c r="Y1631"/>
      <c r="Z1631">
        <v>0</v>
      </c>
      <c r="AA1631"/>
      <c r="AB1631"/>
      <c r="AC1631"/>
      <c r="AD1631"/>
      <c r="AE1631">
        <v>0</v>
      </c>
      <c r="AF1631"/>
      <c r="AG1631"/>
      <c r="AH1631"/>
    </row>
    <row r="1632" spans="1:34" x14ac:dyDescent="0.25">
      <c r="A1632" t="s">
        <v>2091</v>
      </c>
      <c r="B1632" t="s">
        <v>2092</v>
      </c>
      <c r="C1632"/>
      <c r="D1632" t="s">
        <v>1778</v>
      </c>
      <c r="E1632" t="s">
        <v>2149</v>
      </c>
      <c r="F1632" t="s">
        <v>2170</v>
      </c>
      <c r="G1632" t="s">
        <v>280</v>
      </c>
      <c r="H1632" t="s">
        <v>2171</v>
      </c>
      <c r="I1632" t="s">
        <v>35</v>
      </c>
      <c r="J1632"/>
      <c r="K1632">
        <v>1</v>
      </c>
      <c r="L1632">
        <v>1</v>
      </c>
      <c r="M1632" t="s">
        <v>33</v>
      </c>
      <c r="N1632">
        <v>1</v>
      </c>
      <c r="O1632">
        <v>1</v>
      </c>
      <c r="P1632">
        <v>1</v>
      </c>
      <c r="Q1632" t="s">
        <v>38</v>
      </c>
      <c r="R1632">
        <v>1</v>
      </c>
      <c r="S1632">
        <v>0</v>
      </c>
      <c r="T1632"/>
      <c r="U1632"/>
      <c r="V1632"/>
      <c r="W1632"/>
      <c r="X1632">
        <v>0</v>
      </c>
      <c r="Y1632"/>
      <c r="Z1632">
        <v>0</v>
      </c>
      <c r="AA1632"/>
      <c r="AB1632"/>
      <c r="AC1632"/>
      <c r="AD1632"/>
      <c r="AE1632">
        <v>0</v>
      </c>
      <c r="AF1632"/>
      <c r="AG1632"/>
      <c r="AH1632"/>
    </row>
    <row r="1633" spans="1:34" x14ac:dyDescent="0.25">
      <c r="A1633" t="s">
        <v>2091</v>
      </c>
      <c r="B1633" t="s">
        <v>2092</v>
      </c>
      <c r="C1633"/>
      <c r="D1633" t="s">
        <v>1778</v>
      </c>
      <c r="E1633" t="s">
        <v>2149</v>
      </c>
      <c r="F1633" t="s">
        <v>2172</v>
      </c>
      <c r="G1633" t="s">
        <v>280</v>
      </c>
      <c r="H1633" t="s">
        <v>2173</v>
      </c>
      <c r="I1633" t="s">
        <v>35</v>
      </c>
      <c r="J1633"/>
      <c r="K1633">
        <v>1</v>
      </c>
      <c r="L1633">
        <v>1</v>
      </c>
      <c r="M1633" t="s">
        <v>33</v>
      </c>
      <c r="N1633">
        <v>1</v>
      </c>
      <c r="O1633">
        <v>1</v>
      </c>
      <c r="P1633">
        <v>1</v>
      </c>
      <c r="Q1633" t="s">
        <v>38</v>
      </c>
      <c r="R1633">
        <v>1</v>
      </c>
      <c r="S1633">
        <v>0</v>
      </c>
      <c r="T1633"/>
      <c r="U1633"/>
      <c r="V1633"/>
      <c r="W1633"/>
      <c r="X1633">
        <v>0</v>
      </c>
      <c r="Y1633"/>
      <c r="Z1633">
        <v>0</v>
      </c>
      <c r="AA1633"/>
      <c r="AB1633"/>
      <c r="AC1633"/>
      <c r="AD1633"/>
      <c r="AE1633">
        <v>0</v>
      </c>
      <c r="AF1633"/>
      <c r="AG1633"/>
      <c r="AH1633"/>
    </row>
    <row r="1634" spans="1:34" x14ac:dyDescent="0.25">
      <c r="A1634" t="s">
        <v>2120</v>
      </c>
      <c r="B1634" t="s">
        <v>2121</v>
      </c>
      <c r="C1634"/>
      <c r="D1634" t="s">
        <v>1778</v>
      </c>
      <c r="E1634" t="s">
        <v>2149</v>
      </c>
      <c r="F1634" t="s">
        <v>2174</v>
      </c>
      <c r="G1634" t="s">
        <v>280</v>
      </c>
      <c r="H1634" t="s">
        <v>2175</v>
      </c>
      <c r="I1634" t="s">
        <v>35</v>
      </c>
      <c r="J1634"/>
      <c r="K1634">
        <v>1</v>
      </c>
      <c r="L1634">
        <v>1</v>
      </c>
      <c r="M1634" t="s">
        <v>33</v>
      </c>
      <c r="N1634">
        <v>1</v>
      </c>
      <c r="O1634">
        <v>1</v>
      </c>
      <c r="P1634">
        <v>1</v>
      </c>
      <c r="Q1634" t="s">
        <v>38</v>
      </c>
      <c r="R1634">
        <v>1</v>
      </c>
      <c r="S1634">
        <v>0</v>
      </c>
      <c r="T1634"/>
      <c r="U1634"/>
      <c r="V1634"/>
      <c r="W1634"/>
      <c r="X1634">
        <v>0</v>
      </c>
      <c r="Y1634"/>
      <c r="Z1634">
        <v>0</v>
      </c>
      <c r="AA1634"/>
      <c r="AB1634"/>
      <c r="AC1634"/>
      <c r="AD1634"/>
      <c r="AE1634">
        <v>0</v>
      </c>
      <c r="AF1634"/>
      <c r="AG1634" t="s">
        <v>3467</v>
      </c>
      <c r="AH1634"/>
    </row>
    <row r="1635" spans="1:34" x14ac:dyDescent="0.25">
      <c r="A1635" t="s">
        <v>2120</v>
      </c>
      <c r="B1635" t="s">
        <v>2121</v>
      </c>
      <c r="C1635"/>
      <c r="D1635" t="s">
        <v>1778</v>
      </c>
      <c r="E1635" t="s">
        <v>2149</v>
      </c>
      <c r="F1635" t="s">
        <v>2176</v>
      </c>
      <c r="G1635" t="s">
        <v>280</v>
      </c>
      <c r="H1635" t="s">
        <v>2177</v>
      </c>
      <c r="I1635" t="s">
        <v>35</v>
      </c>
      <c r="J1635"/>
      <c r="K1635">
        <v>1</v>
      </c>
      <c r="L1635">
        <v>1</v>
      </c>
      <c r="M1635" t="s">
        <v>33</v>
      </c>
      <c r="N1635">
        <v>1</v>
      </c>
      <c r="O1635">
        <v>1</v>
      </c>
      <c r="P1635">
        <v>1</v>
      </c>
      <c r="Q1635" t="s">
        <v>38</v>
      </c>
      <c r="R1635">
        <v>1</v>
      </c>
      <c r="S1635">
        <v>0</v>
      </c>
      <c r="T1635"/>
      <c r="U1635"/>
      <c r="V1635"/>
      <c r="W1635"/>
      <c r="X1635">
        <v>0</v>
      </c>
      <c r="Y1635"/>
      <c r="Z1635">
        <v>0</v>
      </c>
      <c r="AA1635"/>
      <c r="AB1635"/>
      <c r="AC1635"/>
      <c r="AD1635"/>
      <c r="AE1635">
        <v>0</v>
      </c>
      <c r="AF1635"/>
      <c r="AG1635" t="s">
        <v>3467</v>
      </c>
      <c r="AH1635"/>
    </row>
    <row r="1636" spans="1:34" x14ac:dyDescent="0.25">
      <c r="A1636" t="s">
        <v>2120</v>
      </c>
      <c r="B1636" t="s">
        <v>2121</v>
      </c>
      <c r="C1636"/>
      <c r="D1636" t="s">
        <v>1778</v>
      </c>
      <c r="E1636" t="s">
        <v>2149</v>
      </c>
      <c r="F1636" t="s">
        <v>2178</v>
      </c>
      <c r="G1636" t="s">
        <v>280</v>
      </c>
      <c r="H1636" t="s">
        <v>2179</v>
      </c>
      <c r="I1636" t="s">
        <v>35</v>
      </c>
      <c r="J1636"/>
      <c r="K1636">
        <v>1</v>
      </c>
      <c r="L1636">
        <v>1</v>
      </c>
      <c r="M1636" t="s">
        <v>33</v>
      </c>
      <c r="N1636">
        <v>1</v>
      </c>
      <c r="O1636">
        <v>1</v>
      </c>
      <c r="P1636">
        <v>1</v>
      </c>
      <c r="Q1636" t="s">
        <v>38</v>
      </c>
      <c r="R1636">
        <v>1</v>
      </c>
      <c r="S1636">
        <v>0</v>
      </c>
      <c r="T1636"/>
      <c r="U1636"/>
      <c r="V1636"/>
      <c r="W1636"/>
      <c r="X1636">
        <v>0</v>
      </c>
      <c r="Y1636"/>
      <c r="Z1636">
        <v>0</v>
      </c>
      <c r="AA1636"/>
      <c r="AB1636"/>
      <c r="AC1636"/>
      <c r="AD1636"/>
      <c r="AE1636">
        <v>0</v>
      </c>
      <c r="AF1636"/>
      <c r="AG1636" t="s">
        <v>3467</v>
      </c>
      <c r="AH1636"/>
    </row>
    <row r="1637" spans="1:34" x14ac:dyDescent="0.25">
      <c r="A1637" t="s">
        <v>2120</v>
      </c>
      <c r="B1637" t="s">
        <v>2121</v>
      </c>
      <c r="C1637"/>
      <c r="D1637" t="s">
        <v>1778</v>
      </c>
      <c r="E1637" t="s">
        <v>2149</v>
      </c>
      <c r="F1637" t="s">
        <v>2180</v>
      </c>
      <c r="G1637" t="s">
        <v>280</v>
      </c>
      <c r="H1637" t="s">
        <v>2181</v>
      </c>
      <c r="I1637" t="s">
        <v>35</v>
      </c>
      <c r="J1637"/>
      <c r="K1637">
        <v>1</v>
      </c>
      <c r="L1637">
        <v>1</v>
      </c>
      <c r="M1637" t="s">
        <v>33</v>
      </c>
      <c r="N1637">
        <v>1</v>
      </c>
      <c r="O1637">
        <v>1</v>
      </c>
      <c r="P1637">
        <v>1</v>
      </c>
      <c r="Q1637" t="s">
        <v>38</v>
      </c>
      <c r="R1637">
        <v>1</v>
      </c>
      <c r="S1637">
        <v>0</v>
      </c>
      <c r="T1637"/>
      <c r="U1637"/>
      <c r="V1637"/>
      <c r="W1637"/>
      <c r="X1637">
        <v>0</v>
      </c>
      <c r="Y1637"/>
      <c r="Z1637">
        <v>0</v>
      </c>
      <c r="AA1637"/>
      <c r="AB1637"/>
      <c r="AC1637"/>
      <c r="AD1637"/>
      <c r="AE1637">
        <v>0</v>
      </c>
      <c r="AF1637"/>
      <c r="AG1637" t="s">
        <v>3467</v>
      </c>
      <c r="AH1637"/>
    </row>
    <row r="1638" spans="1:34" x14ac:dyDescent="0.25">
      <c r="A1638" t="s">
        <v>2120</v>
      </c>
      <c r="B1638" t="s">
        <v>2121</v>
      </c>
      <c r="C1638"/>
      <c r="D1638" t="s">
        <v>1778</v>
      </c>
      <c r="E1638" t="s">
        <v>2149</v>
      </c>
      <c r="F1638" t="s">
        <v>2182</v>
      </c>
      <c r="G1638" t="s">
        <v>280</v>
      </c>
      <c r="H1638" t="s">
        <v>2183</v>
      </c>
      <c r="I1638" t="s">
        <v>35</v>
      </c>
      <c r="J1638"/>
      <c r="K1638">
        <v>1</v>
      </c>
      <c r="L1638">
        <v>1</v>
      </c>
      <c r="M1638" t="s">
        <v>33</v>
      </c>
      <c r="N1638">
        <v>1</v>
      </c>
      <c r="O1638">
        <v>1</v>
      </c>
      <c r="P1638">
        <v>1</v>
      </c>
      <c r="Q1638" t="s">
        <v>38</v>
      </c>
      <c r="R1638">
        <v>1</v>
      </c>
      <c r="S1638">
        <v>0</v>
      </c>
      <c r="T1638"/>
      <c r="U1638"/>
      <c r="V1638"/>
      <c r="W1638"/>
      <c r="X1638">
        <v>0</v>
      </c>
      <c r="Y1638"/>
      <c r="Z1638">
        <v>0</v>
      </c>
      <c r="AA1638"/>
      <c r="AB1638"/>
      <c r="AC1638"/>
      <c r="AD1638"/>
      <c r="AE1638">
        <v>0</v>
      </c>
      <c r="AF1638"/>
      <c r="AG1638" t="s">
        <v>3467</v>
      </c>
      <c r="AH1638"/>
    </row>
    <row r="1639" spans="1:34" x14ac:dyDescent="0.25">
      <c r="A1639" t="s">
        <v>2120</v>
      </c>
      <c r="B1639" t="s">
        <v>2121</v>
      </c>
      <c r="C1639"/>
      <c r="D1639" t="s">
        <v>1778</v>
      </c>
      <c r="E1639" t="s">
        <v>2149</v>
      </c>
      <c r="F1639" t="s">
        <v>2184</v>
      </c>
      <c r="G1639" t="s">
        <v>280</v>
      </c>
      <c r="H1639" t="s">
        <v>2185</v>
      </c>
      <c r="I1639" t="s">
        <v>35</v>
      </c>
      <c r="J1639"/>
      <c r="K1639">
        <v>1</v>
      </c>
      <c r="L1639">
        <v>1</v>
      </c>
      <c r="M1639" t="s">
        <v>33</v>
      </c>
      <c r="N1639">
        <v>1</v>
      </c>
      <c r="O1639">
        <v>1</v>
      </c>
      <c r="P1639">
        <v>1</v>
      </c>
      <c r="Q1639" t="s">
        <v>38</v>
      </c>
      <c r="R1639">
        <v>1</v>
      </c>
      <c r="S1639">
        <v>0</v>
      </c>
      <c r="T1639"/>
      <c r="U1639"/>
      <c r="V1639"/>
      <c r="W1639"/>
      <c r="X1639">
        <v>0</v>
      </c>
      <c r="Y1639"/>
      <c r="Z1639">
        <v>0</v>
      </c>
      <c r="AA1639"/>
      <c r="AB1639"/>
      <c r="AC1639"/>
      <c r="AD1639"/>
      <c r="AE1639">
        <v>0</v>
      </c>
      <c r="AF1639"/>
      <c r="AG1639" t="s">
        <v>3467</v>
      </c>
      <c r="AH1639"/>
    </row>
    <row r="1640" spans="1:34" x14ac:dyDescent="0.25">
      <c r="A1640" t="s">
        <v>2120</v>
      </c>
      <c r="B1640" t="s">
        <v>2121</v>
      </c>
      <c r="C1640"/>
      <c r="D1640" t="s">
        <v>1778</v>
      </c>
      <c r="E1640" t="s">
        <v>2149</v>
      </c>
      <c r="F1640" t="s">
        <v>2186</v>
      </c>
      <c r="G1640" t="s">
        <v>280</v>
      </c>
      <c r="H1640" t="s">
        <v>2187</v>
      </c>
      <c r="I1640" t="s">
        <v>35</v>
      </c>
      <c r="J1640"/>
      <c r="K1640">
        <v>1</v>
      </c>
      <c r="L1640">
        <v>1</v>
      </c>
      <c r="M1640" t="s">
        <v>33</v>
      </c>
      <c r="N1640">
        <v>1</v>
      </c>
      <c r="O1640">
        <v>1</v>
      </c>
      <c r="P1640">
        <v>1</v>
      </c>
      <c r="Q1640" t="s">
        <v>38</v>
      </c>
      <c r="R1640">
        <v>1</v>
      </c>
      <c r="S1640">
        <v>0</v>
      </c>
      <c r="T1640"/>
      <c r="U1640"/>
      <c r="V1640"/>
      <c r="W1640"/>
      <c r="X1640">
        <v>0</v>
      </c>
      <c r="Y1640"/>
      <c r="Z1640">
        <v>0</v>
      </c>
      <c r="AA1640"/>
      <c r="AB1640"/>
      <c r="AC1640"/>
      <c r="AD1640"/>
      <c r="AE1640">
        <v>0</v>
      </c>
      <c r="AF1640"/>
      <c r="AG1640" t="s">
        <v>3467</v>
      </c>
      <c r="AH1640"/>
    </row>
    <row r="1641" spans="1:34" x14ac:dyDescent="0.25">
      <c r="A1641" t="s">
        <v>2120</v>
      </c>
      <c r="B1641" t="s">
        <v>2121</v>
      </c>
      <c r="C1641"/>
      <c r="D1641" t="s">
        <v>1778</v>
      </c>
      <c r="E1641" t="s">
        <v>2149</v>
      </c>
      <c r="F1641" t="s">
        <v>2188</v>
      </c>
      <c r="G1641" t="s">
        <v>280</v>
      </c>
      <c r="H1641" t="s">
        <v>2189</v>
      </c>
      <c r="I1641" t="s">
        <v>35</v>
      </c>
      <c r="J1641"/>
      <c r="K1641">
        <v>1</v>
      </c>
      <c r="L1641">
        <v>1</v>
      </c>
      <c r="M1641" t="s">
        <v>33</v>
      </c>
      <c r="N1641">
        <v>1</v>
      </c>
      <c r="O1641">
        <v>1</v>
      </c>
      <c r="P1641">
        <v>1</v>
      </c>
      <c r="Q1641" t="s">
        <v>38</v>
      </c>
      <c r="R1641">
        <v>1</v>
      </c>
      <c r="S1641">
        <v>0</v>
      </c>
      <c r="T1641"/>
      <c r="U1641"/>
      <c r="V1641"/>
      <c r="W1641"/>
      <c r="X1641">
        <v>0</v>
      </c>
      <c r="Y1641"/>
      <c r="Z1641">
        <v>0</v>
      </c>
      <c r="AA1641"/>
      <c r="AB1641"/>
      <c r="AC1641"/>
      <c r="AD1641"/>
      <c r="AE1641">
        <v>0</v>
      </c>
      <c r="AF1641"/>
      <c r="AG1641" t="s">
        <v>3467</v>
      </c>
      <c r="AH1641"/>
    </row>
    <row r="1642" spans="1:34" x14ac:dyDescent="0.25">
      <c r="A1642" t="s">
        <v>2120</v>
      </c>
      <c r="B1642" t="s">
        <v>2121</v>
      </c>
      <c r="C1642"/>
      <c r="D1642" t="s">
        <v>1778</v>
      </c>
      <c r="E1642" t="s">
        <v>2149</v>
      </c>
      <c r="F1642" t="s">
        <v>2190</v>
      </c>
      <c r="G1642" t="s">
        <v>280</v>
      </c>
      <c r="H1642" t="s">
        <v>2191</v>
      </c>
      <c r="I1642" t="s">
        <v>35</v>
      </c>
      <c r="J1642"/>
      <c r="K1642">
        <v>1</v>
      </c>
      <c r="L1642">
        <v>1</v>
      </c>
      <c r="M1642" t="s">
        <v>33</v>
      </c>
      <c r="N1642">
        <v>1</v>
      </c>
      <c r="O1642">
        <v>1</v>
      </c>
      <c r="P1642">
        <v>1</v>
      </c>
      <c r="Q1642" t="s">
        <v>38</v>
      </c>
      <c r="R1642">
        <v>1</v>
      </c>
      <c r="S1642">
        <v>0</v>
      </c>
      <c r="T1642"/>
      <c r="U1642"/>
      <c r="V1642"/>
      <c r="W1642"/>
      <c r="X1642">
        <v>0</v>
      </c>
      <c r="Y1642"/>
      <c r="Z1642">
        <v>0</v>
      </c>
      <c r="AA1642"/>
      <c r="AB1642"/>
      <c r="AC1642"/>
      <c r="AD1642"/>
      <c r="AE1642">
        <v>0</v>
      </c>
      <c r="AF1642"/>
      <c r="AG1642" t="s">
        <v>3467</v>
      </c>
      <c r="AH1642"/>
    </row>
    <row r="1643" spans="1:34" x14ac:dyDescent="0.25">
      <c r="A1643" t="s">
        <v>2120</v>
      </c>
      <c r="B1643" t="s">
        <v>2121</v>
      </c>
      <c r="C1643"/>
      <c r="D1643" t="s">
        <v>1778</v>
      </c>
      <c r="E1643" t="s">
        <v>2149</v>
      </c>
      <c r="F1643" t="s">
        <v>2192</v>
      </c>
      <c r="G1643" t="s">
        <v>280</v>
      </c>
      <c r="H1643" t="s">
        <v>2193</v>
      </c>
      <c r="I1643" t="s">
        <v>35</v>
      </c>
      <c r="J1643"/>
      <c r="K1643">
        <v>1</v>
      </c>
      <c r="L1643">
        <v>1</v>
      </c>
      <c r="M1643" t="s">
        <v>33</v>
      </c>
      <c r="N1643">
        <v>1</v>
      </c>
      <c r="O1643">
        <v>1</v>
      </c>
      <c r="P1643">
        <v>1</v>
      </c>
      <c r="Q1643" t="s">
        <v>38</v>
      </c>
      <c r="R1643">
        <v>1</v>
      </c>
      <c r="S1643">
        <v>0</v>
      </c>
      <c r="T1643"/>
      <c r="U1643"/>
      <c r="V1643"/>
      <c r="W1643"/>
      <c r="X1643">
        <v>0</v>
      </c>
      <c r="Y1643"/>
      <c r="Z1643">
        <v>0</v>
      </c>
      <c r="AA1643"/>
      <c r="AB1643"/>
      <c r="AC1643"/>
      <c r="AD1643"/>
      <c r="AE1643">
        <v>0</v>
      </c>
      <c r="AF1643"/>
      <c r="AG1643" t="s">
        <v>3467</v>
      </c>
      <c r="AH1643"/>
    </row>
    <row r="1644" spans="1:34" x14ac:dyDescent="0.25">
      <c r="A1644" t="s">
        <v>2120</v>
      </c>
      <c r="B1644" t="s">
        <v>2121</v>
      </c>
      <c r="C1644"/>
      <c r="D1644" t="s">
        <v>1778</v>
      </c>
      <c r="E1644" t="s">
        <v>2149</v>
      </c>
      <c r="F1644" t="s">
        <v>2194</v>
      </c>
      <c r="G1644" t="s">
        <v>280</v>
      </c>
      <c r="H1644" t="s">
        <v>2195</v>
      </c>
      <c r="I1644" t="s">
        <v>35</v>
      </c>
      <c r="J1644"/>
      <c r="K1644">
        <v>1</v>
      </c>
      <c r="L1644">
        <v>1</v>
      </c>
      <c r="M1644" t="s">
        <v>33</v>
      </c>
      <c r="N1644">
        <v>1</v>
      </c>
      <c r="O1644">
        <v>1</v>
      </c>
      <c r="P1644">
        <v>1</v>
      </c>
      <c r="Q1644" t="s">
        <v>38</v>
      </c>
      <c r="R1644">
        <v>1</v>
      </c>
      <c r="S1644">
        <v>0</v>
      </c>
      <c r="T1644"/>
      <c r="U1644"/>
      <c r="V1644"/>
      <c r="W1644"/>
      <c r="X1644">
        <v>0</v>
      </c>
      <c r="Y1644"/>
      <c r="Z1644">
        <v>0</v>
      </c>
      <c r="AA1644"/>
      <c r="AB1644"/>
      <c r="AC1644"/>
      <c r="AD1644"/>
      <c r="AE1644">
        <v>0</v>
      </c>
      <c r="AF1644"/>
      <c r="AG1644" t="s">
        <v>3467</v>
      </c>
      <c r="AH1644"/>
    </row>
    <row r="1645" spans="1:34" x14ac:dyDescent="0.25">
      <c r="A1645" t="s">
        <v>2120</v>
      </c>
      <c r="B1645" t="s">
        <v>2121</v>
      </c>
      <c r="C1645"/>
      <c r="D1645" t="s">
        <v>1778</v>
      </c>
      <c r="E1645" t="s">
        <v>2149</v>
      </c>
      <c r="F1645" t="s">
        <v>2196</v>
      </c>
      <c r="G1645" t="s">
        <v>280</v>
      </c>
      <c r="H1645" t="s">
        <v>2197</v>
      </c>
      <c r="I1645" t="s">
        <v>35</v>
      </c>
      <c r="J1645"/>
      <c r="K1645">
        <v>1</v>
      </c>
      <c r="L1645">
        <v>1</v>
      </c>
      <c r="M1645" t="s">
        <v>33</v>
      </c>
      <c r="N1645">
        <v>1</v>
      </c>
      <c r="O1645">
        <v>1</v>
      </c>
      <c r="P1645">
        <v>1</v>
      </c>
      <c r="Q1645" t="s">
        <v>38</v>
      </c>
      <c r="R1645">
        <v>1</v>
      </c>
      <c r="S1645">
        <v>0</v>
      </c>
      <c r="T1645"/>
      <c r="U1645"/>
      <c r="V1645"/>
      <c r="W1645"/>
      <c r="X1645">
        <v>0</v>
      </c>
      <c r="Y1645"/>
      <c r="Z1645">
        <v>0</v>
      </c>
      <c r="AA1645"/>
      <c r="AB1645"/>
      <c r="AC1645"/>
      <c r="AD1645"/>
      <c r="AE1645">
        <v>0</v>
      </c>
      <c r="AF1645"/>
      <c r="AG1645" t="s">
        <v>3467</v>
      </c>
      <c r="AH1645"/>
    </row>
    <row r="1646" spans="1:34" x14ac:dyDescent="0.25">
      <c r="A1646" t="s">
        <v>2091</v>
      </c>
      <c r="B1646" t="s">
        <v>2092</v>
      </c>
      <c r="C1646"/>
      <c r="D1646" t="s">
        <v>1778</v>
      </c>
      <c r="E1646" t="s">
        <v>2198</v>
      </c>
      <c r="F1646" t="s">
        <v>2199</v>
      </c>
      <c r="G1646" t="s">
        <v>280</v>
      </c>
      <c r="H1646" t="s">
        <v>2200</v>
      </c>
      <c r="I1646" t="s">
        <v>35</v>
      </c>
      <c r="J1646"/>
      <c r="K1646">
        <v>1</v>
      </c>
      <c r="L1646">
        <v>1</v>
      </c>
      <c r="M1646" t="s">
        <v>33</v>
      </c>
      <c r="N1646">
        <v>1</v>
      </c>
      <c r="O1646"/>
      <c r="P1646">
        <v>0</v>
      </c>
      <c r="Q1646" t="s">
        <v>38</v>
      </c>
      <c r="R1646">
        <v>1</v>
      </c>
      <c r="S1646">
        <v>0</v>
      </c>
      <c r="T1646"/>
      <c r="U1646"/>
      <c r="V1646"/>
      <c r="W1646"/>
      <c r="X1646">
        <v>0</v>
      </c>
      <c r="Y1646"/>
      <c r="Z1646">
        <v>0</v>
      </c>
      <c r="AA1646"/>
      <c r="AB1646"/>
      <c r="AC1646"/>
      <c r="AD1646"/>
      <c r="AE1646">
        <v>0</v>
      </c>
      <c r="AF1646"/>
      <c r="AG1646"/>
      <c r="AH1646"/>
    </row>
    <row r="1647" spans="1:34" x14ac:dyDescent="0.25">
      <c r="A1647" t="s">
        <v>2091</v>
      </c>
      <c r="B1647" t="s">
        <v>2092</v>
      </c>
      <c r="C1647"/>
      <c r="D1647" t="s">
        <v>1778</v>
      </c>
      <c r="E1647" t="s">
        <v>2198</v>
      </c>
      <c r="F1647" t="s">
        <v>2199</v>
      </c>
      <c r="G1647" t="s">
        <v>280</v>
      </c>
      <c r="H1647" t="s">
        <v>2201</v>
      </c>
      <c r="I1647" t="s">
        <v>35</v>
      </c>
      <c r="J1647"/>
      <c r="K1647">
        <v>1</v>
      </c>
      <c r="L1647">
        <v>1</v>
      </c>
      <c r="M1647" t="s">
        <v>33</v>
      </c>
      <c r="N1647">
        <v>1</v>
      </c>
      <c r="O1647"/>
      <c r="P1647">
        <v>0</v>
      </c>
      <c r="Q1647" t="s">
        <v>38</v>
      </c>
      <c r="R1647">
        <v>1</v>
      </c>
      <c r="S1647">
        <v>0</v>
      </c>
      <c r="T1647"/>
      <c r="U1647"/>
      <c r="V1647"/>
      <c r="W1647"/>
      <c r="X1647">
        <v>0</v>
      </c>
      <c r="Y1647"/>
      <c r="Z1647">
        <v>0</v>
      </c>
      <c r="AA1647"/>
      <c r="AB1647"/>
      <c r="AC1647"/>
      <c r="AD1647"/>
      <c r="AE1647">
        <v>0</v>
      </c>
      <c r="AF1647"/>
      <c r="AG1647"/>
      <c r="AH1647"/>
    </row>
    <row r="1648" spans="1:34" x14ac:dyDescent="0.25">
      <c r="A1648" t="s">
        <v>2091</v>
      </c>
      <c r="B1648" t="s">
        <v>2092</v>
      </c>
      <c r="C1648"/>
      <c r="D1648" t="s">
        <v>1778</v>
      </c>
      <c r="E1648" t="s">
        <v>2198</v>
      </c>
      <c r="F1648" t="s">
        <v>2202</v>
      </c>
      <c r="G1648" t="s">
        <v>280</v>
      </c>
      <c r="H1648" t="s">
        <v>2203</v>
      </c>
      <c r="I1648" t="s">
        <v>35</v>
      </c>
      <c r="J1648"/>
      <c r="K1648">
        <v>1</v>
      </c>
      <c r="L1648">
        <v>1</v>
      </c>
      <c r="M1648" t="s">
        <v>33</v>
      </c>
      <c r="N1648">
        <v>1</v>
      </c>
      <c r="O1648"/>
      <c r="P1648">
        <v>0</v>
      </c>
      <c r="Q1648" t="s">
        <v>38</v>
      </c>
      <c r="R1648">
        <v>1</v>
      </c>
      <c r="S1648">
        <v>0</v>
      </c>
      <c r="T1648"/>
      <c r="U1648"/>
      <c r="V1648"/>
      <c r="W1648"/>
      <c r="X1648">
        <v>0</v>
      </c>
      <c r="Y1648"/>
      <c r="Z1648">
        <v>0</v>
      </c>
      <c r="AA1648"/>
      <c r="AB1648"/>
      <c r="AC1648"/>
      <c r="AD1648"/>
      <c r="AE1648">
        <v>0</v>
      </c>
      <c r="AF1648"/>
      <c r="AG1648"/>
      <c r="AH1648"/>
    </row>
    <row r="1649" spans="1:34" x14ac:dyDescent="0.25">
      <c r="A1649" t="s">
        <v>2091</v>
      </c>
      <c r="B1649" t="s">
        <v>2092</v>
      </c>
      <c r="C1649"/>
      <c r="D1649" t="s">
        <v>1778</v>
      </c>
      <c r="E1649" t="s">
        <v>2198</v>
      </c>
      <c r="F1649" t="s">
        <v>2204</v>
      </c>
      <c r="G1649" t="s">
        <v>280</v>
      </c>
      <c r="H1649" t="s">
        <v>2205</v>
      </c>
      <c r="I1649" t="s">
        <v>35</v>
      </c>
      <c r="J1649"/>
      <c r="K1649">
        <v>1</v>
      </c>
      <c r="L1649">
        <v>1</v>
      </c>
      <c r="M1649" t="s">
        <v>33</v>
      </c>
      <c r="N1649">
        <v>1</v>
      </c>
      <c r="O1649"/>
      <c r="P1649">
        <v>0</v>
      </c>
      <c r="Q1649" t="s">
        <v>38</v>
      </c>
      <c r="R1649">
        <v>1</v>
      </c>
      <c r="S1649">
        <v>0</v>
      </c>
      <c r="T1649"/>
      <c r="U1649"/>
      <c r="V1649"/>
      <c r="W1649"/>
      <c r="X1649">
        <v>0</v>
      </c>
      <c r="Y1649"/>
      <c r="Z1649">
        <v>0</v>
      </c>
      <c r="AA1649"/>
      <c r="AB1649"/>
      <c r="AC1649"/>
      <c r="AD1649"/>
      <c r="AE1649">
        <v>0</v>
      </c>
      <c r="AF1649"/>
      <c r="AG1649"/>
      <c r="AH1649"/>
    </row>
    <row r="1650" spans="1:34" x14ac:dyDescent="0.25">
      <c r="A1650" t="s">
        <v>2091</v>
      </c>
      <c r="B1650" t="s">
        <v>2092</v>
      </c>
      <c r="C1650"/>
      <c r="D1650" t="s">
        <v>1778</v>
      </c>
      <c r="E1650" t="s">
        <v>2198</v>
      </c>
      <c r="F1650" t="s">
        <v>2204</v>
      </c>
      <c r="G1650" t="s">
        <v>280</v>
      </c>
      <c r="H1650" t="s">
        <v>2206</v>
      </c>
      <c r="I1650" t="s">
        <v>35</v>
      </c>
      <c r="J1650"/>
      <c r="K1650">
        <v>1</v>
      </c>
      <c r="L1650">
        <v>1</v>
      </c>
      <c r="M1650" t="s">
        <v>33</v>
      </c>
      <c r="N1650">
        <v>1</v>
      </c>
      <c r="O1650"/>
      <c r="P1650">
        <v>0</v>
      </c>
      <c r="Q1650" t="s">
        <v>38</v>
      </c>
      <c r="R1650">
        <v>1</v>
      </c>
      <c r="S1650">
        <v>0</v>
      </c>
      <c r="T1650"/>
      <c r="U1650"/>
      <c r="V1650"/>
      <c r="W1650"/>
      <c r="X1650">
        <v>0</v>
      </c>
      <c r="Y1650"/>
      <c r="Z1650">
        <v>0</v>
      </c>
      <c r="AA1650"/>
      <c r="AB1650"/>
      <c r="AC1650"/>
      <c r="AD1650"/>
      <c r="AE1650">
        <v>0</v>
      </c>
      <c r="AF1650"/>
      <c r="AG1650"/>
      <c r="AH1650"/>
    </row>
    <row r="1651" spans="1:34" x14ac:dyDescent="0.25">
      <c r="A1651" t="s">
        <v>2091</v>
      </c>
      <c r="B1651" t="s">
        <v>2092</v>
      </c>
      <c r="C1651"/>
      <c r="D1651" t="s">
        <v>1778</v>
      </c>
      <c r="E1651" t="s">
        <v>2198</v>
      </c>
      <c r="F1651" t="s">
        <v>2207</v>
      </c>
      <c r="G1651" t="s">
        <v>280</v>
      </c>
      <c r="H1651" t="s">
        <v>2208</v>
      </c>
      <c r="I1651" t="s">
        <v>35</v>
      </c>
      <c r="J1651"/>
      <c r="K1651">
        <v>1</v>
      </c>
      <c r="L1651">
        <v>1</v>
      </c>
      <c r="M1651" t="s">
        <v>33</v>
      </c>
      <c r="N1651">
        <v>1</v>
      </c>
      <c r="O1651"/>
      <c r="P1651">
        <v>0</v>
      </c>
      <c r="Q1651" t="s">
        <v>38</v>
      </c>
      <c r="R1651">
        <v>1</v>
      </c>
      <c r="S1651">
        <v>0</v>
      </c>
      <c r="T1651"/>
      <c r="U1651"/>
      <c r="V1651"/>
      <c r="W1651"/>
      <c r="X1651">
        <v>0</v>
      </c>
      <c r="Y1651"/>
      <c r="Z1651">
        <v>0</v>
      </c>
      <c r="AA1651"/>
      <c r="AB1651"/>
      <c r="AC1651"/>
      <c r="AD1651"/>
      <c r="AE1651">
        <v>0</v>
      </c>
      <c r="AF1651"/>
      <c r="AG1651"/>
      <c r="AH1651"/>
    </row>
    <row r="1652" spans="1:34" x14ac:dyDescent="0.25">
      <c r="A1652" t="s">
        <v>2091</v>
      </c>
      <c r="B1652" t="s">
        <v>2092</v>
      </c>
      <c r="C1652"/>
      <c r="D1652" t="s">
        <v>1778</v>
      </c>
      <c r="E1652" t="s">
        <v>2198</v>
      </c>
      <c r="F1652" t="s">
        <v>2209</v>
      </c>
      <c r="G1652" t="s">
        <v>280</v>
      </c>
      <c r="H1652" t="s">
        <v>2210</v>
      </c>
      <c r="I1652" t="s">
        <v>35</v>
      </c>
      <c r="J1652"/>
      <c r="K1652">
        <v>1</v>
      </c>
      <c r="L1652">
        <v>1</v>
      </c>
      <c r="M1652" t="s">
        <v>33</v>
      </c>
      <c r="N1652">
        <v>1</v>
      </c>
      <c r="O1652"/>
      <c r="P1652">
        <v>0</v>
      </c>
      <c r="Q1652" t="s">
        <v>38</v>
      </c>
      <c r="R1652">
        <v>1</v>
      </c>
      <c r="S1652">
        <v>0</v>
      </c>
      <c r="T1652"/>
      <c r="U1652"/>
      <c r="V1652"/>
      <c r="W1652"/>
      <c r="X1652">
        <v>0</v>
      </c>
      <c r="Y1652"/>
      <c r="Z1652">
        <v>0</v>
      </c>
      <c r="AA1652"/>
      <c r="AB1652"/>
      <c r="AC1652"/>
      <c r="AD1652"/>
      <c r="AE1652">
        <v>0</v>
      </c>
      <c r="AF1652"/>
      <c r="AG1652"/>
      <c r="AH1652"/>
    </row>
    <row r="1653" spans="1:34" x14ac:dyDescent="0.25">
      <c r="A1653" t="s">
        <v>2091</v>
      </c>
      <c r="B1653" t="s">
        <v>2092</v>
      </c>
      <c r="C1653"/>
      <c r="D1653" t="s">
        <v>1778</v>
      </c>
      <c r="E1653" t="s">
        <v>2198</v>
      </c>
      <c r="F1653" t="s">
        <v>2209</v>
      </c>
      <c r="G1653" t="s">
        <v>280</v>
      </c>
      <c r="H1653" t="s">
        <v>2211</v>
      </c>
      <c r="I1653" t="s">
        <v>35</v>
      </c>
      <c r="J1653"/>
      <c r="K1653">
        <v>1</v>
      </c>
      <c r="L1653">
        <v>1</v>
      </c>
      <c r="M1653" t="s">
        <v>33</v>
      </c>
      <c r="N1653">
        <v>1</v>
      </c>
      <c r="O1653"/>
      <c r="P1653">
        <v>0</v>
      </c>
      <c r="Q1653" t="s">
        <v>38</v>
      </c>
      <c r="R1653">
        <v>1</v>
      </c>
      <c r="S1653">
        <v>0</v>
      </c>
      <c r="T1653"/>
      <c r="U1653"/>
      <c r="V1653"/>
      <c r="W1653"/>
      <c r="X1653">
        <v>0</v>
      </c>
      <c r="Y1653"/>
      <c r="Z1653">
        <v>0</v>
      </c>
      <c r="AA1653"/>
      <c r="AB1653"/>
      <c r="AC1653"/>
      <c r="AD1653"/>
      <c r="AE1653">
        <v>0</v>
      </c>
      <c r="AF1653"/>
      <c r="AG1653"/>
      <c r="AH1653"/>
    </row>
    <row r="1654" spans="1:34" x14ac:dyDescent="0.25">
      <c r="A1654" t="s">
        <v>2091</v>
      </c>
      <c r="B1654" t="s">
        <v>2092</v>
      </c>
      <c r="C1654"/>
      <c r="D1654" t="s">
        <v>1778</v>
      </c>
      <c r="E1654" t="s">
        <v>2198</v>
      </c>
      <c r="F1654" t="s">
        <v>2212</v>
      </c>
      <c r="G1654" t="s">
        <v>280</v>
      </c>
      <c r="H1654" t="s">
        <v>2213</v>
      </c>
      <c r="I1654" t="s">
        <v>35</v>
      </c>
      <c r="J1654"/>
      <c r="K1654">
        <v>1</v>
      </c>
      <c r="L1654">
        <v>1</v>
      </c>
      <c r="M1654" t="s">
        <v>33</v>
      </c>
      <c r="N1654">
        <v>1</v>
      </c>
      <c r="O1654"/>
      <c r="P1654">
        <v>0</v>
      </c>
      <c r="Q1654" t="s">
        <v>38</v>
      </c>
      <c r="R1654">
        <v>1</v>
      </c>
      <c r="S1654">
        <v>0</v>
      </c>
      <c r="T1654"/>
      <c r="U1654"/>
      <c r="V1654"/>
      <c r="W1654"/>
      <c r="X1654">
        <v>0</v>
      </c>
      <c r="Y1654"/>
      <c r="Z1654">
        <v>0</v>
      </c>
      <c r="AA1654"/>
      <c r="AB1654"/>
      <c r="AC1654"/>
      <c r="AD1654"/>
      <c r="AE1654">
        <v>0</v>
      </c>
      <c r="AF1654"/>
      <c r="AG1654"/>
      <c r="AH1654"/>
    </row>
    <row r="1655" spans="1:34" x14ac:dyDescent="0.25">
      <c r="A1655" t="s">
        <v>2091</v>
      </c>
      <c r="B1655" t="s">
        <v>2092</v>
      </c>
      <c r="C1655"/>
      <c r="D1655" t="s">
        <v>1778</v>
      </c>
      <c r="E1655" t="s">
        <v>2198</v>
      </c>
      <c r="F1655" t="s">
        <v>2212</v>
      </c>
      <c r="G1655" t="s">
        <v>280</v>
      </c>
      <c r="H1655" t="s">
        <v>2214</v>
      </c>
      <c r="I1655" t="s">
        <v>35</v>
      </c>
      <c r="J1655"/>
      <c r="K1655">
        <v>1</v>
      </c>
      <c r="L1655">
        <v>1</v>
      </c>
      <c r="M1655" t="s">
        <v>33</v>
      </c>
      <c r="N1655">
        <v>1</v>
      </c>
      <c r="O1655"/>
      <c r="P1655">
        <v>0</v>
      </c>
      <c r="Q1655" t="s">
        <v>38</v>
      </c>
      <c r="R1655">
        <v>1</v>
      </c>
      <c r="S1655">
        <v>0</v>
      </c>
      <c r="T1655"/>
      <c r="U1655"/>
      <c r="V1655"/>
      <c r="W1655"/>
      <c r="X1655">
        <v>0</v>
      </c>
      <c r="Y1655"/>
      <c r="Z1655">
        <v>0</v>
      </c>
      <c r="AA1655"/>
      <c r="AB1655"/>
      <c r="AC1655"/>
      <c r="AD1655"/>
      <c r="AE1655">
        <v>0</v>
      </c>
      <c r="AF1655"/>
      <c r="AG1655"/>
      <c r="AH1655"/>
    </row>
    <row r="1656" spans="1:34" x14ac:dyDescent="0.25">
      <c r="A1656" t="s">
        <v>2120</v>
      </c>
      <c r="B1656" t="s">
        <v>2121</v>
      </c>
      <c r="C1656"/>
      <c r="D1656" t="s">
        <v>1778</v>
      </c>
      <c r="E1656" t="s">
        <v>2198</v>
      </c>
      <c r="F1656" t="s">
        <v>2215</v>
      </c>
      <c r="G1656" t="s">
        <v>280</v>
      </c>
      <c r="H1656" t="s">
        <v>2216</v>
      </c>
      <c r="I1656" t="s">
        <v>35</v>
      </c>
      <c r="J1656"/>
      <c r="K1656">
        <v>1</v>
      </c>
      <c r="L1656">
        <v>1</v>
      </c>
      <c r="M1656" t="s">
        <v>33</v>
      </c>
      <c r="N1656">
        <v>1</v>
      </c>
      <c r="O1656"/>
      <c r="P1656">
        <v>0</v>
      </c>
      <c r="Q1656" t="s">
        <v>38</v>
      </c>
      <c r="R1656">
        <v>1</v>
      </c>
      <c r="S1656">
        <v>0</v>
      </c>
      <c r="T1656"/>
      <c r="U1656"/>
      <c r="V1656"/>
      <c r="W1656"/>
      <c r="X1656">
        <v>0</v>
      </c>
      <c r="Y1656"/>
      <c r="Z1656">
        <v>0</v>
      </c>
      <c r="AA1656"/>
      <c r="AB1656"/>
      <c r="AC1656"/>
      <c r="AD1656"/>
      <c r="AE1656">
        <v>0</v>
      </c>
      <c r="AF1656"/>
      <c r="AG1656" t="s">
        <v>3467</v>
      </c>
      <c r="AH1656"/>
    </row>
    <row r="1657" spans="1:34" x14ac:dyDescent="0.25">
      <c r="A1657" t="s">
        <v>2120</v>
      </c>
      <c r="B1657" t="s">
        <v>2121</v>
      </c>
      <c r="C1657"/>
      <c r="D1657" t="s">
        <v>1778</v>
      </c>
      <c r="E1657" t="s">
        <v>2198</v>
      </c>
      <c r="F1657" t="s">
        <v>2215</v>
      </c>
      <c r="G1657" t="s">
        <v>280</v>
      </c>
      <c r="H1657" t="s">
        <v>2217</v>
      </c>
      <c r="I1657" t="s">
        <v>35</v>
      </c>
      <c r="J1657"/>
      <c r="K1657">
        <v>1</v>
      </c>
      <c r="L1657">
        <v>1</v>
      </c>
      <c r="M1657" t="s">
        <v>33</v>
      </c>
      <c r="N1657">
        <v>1</v>
      </c>
      <c r="O1657"/>
      <c r="P1657">
        <v>0</v>
      </c>
      <c r="Q1657" t="s">
        <v>38</v>
      </c>
      <c r="R1657">
        <v>1</v>
      </c>
      <c r="S1657">
        <v>0</v>
      </c>
      <c r="T1657"/>
      <c r="U1657"/>
      <c r="V1657"/>
      <c r="W1657"/>
      <c r="X1657">
        <v>0</v>
      </c>
      <c r="Y1657"/>
      <c r="Z1657">
        <v>0</v>
      </c>
      <c r="AA1657"/>
      <c r="AB1657"/>
      <c r="AC1657"/>
      <c r="AD1657"/>
      <c r="AE1657">
        <v>0</v>
      </c>
      <c r="AF1657"/>
      <c r="AG1657" t="s">
        <v>3467</v>
      </c>
      <c r="AH1657"/>
    </row>
    <row r="1658" spans="1:34" x14ac:dyDescent="0.25">
      <c r="A1658" t="s">
        <v>2120</v>
      </c>
      <c r="B1658" t="s">
        <v>2121</v>
      </c>
      <c r="C1658"/>
      <c r="D1658" t="s">
        <v>1778</v>
      </c>
      <c r="E1658" t="s">
        <v>2198</v>
      </c>
      <c r="F1658" t="s">
        <v>2218</v>
      </c>
      <c r="G1658" t="s">
        <v>280</v>
      </c>
      <c r="H1658" t="s">
        <v>2219</v>
      </c>
      <c r="I1658" t="s">
        <v>35</v>
      </c>
      <c r="J1658"/>
      <c r="K1658">
        <v>1</v>
      </c>
      <c r="L1658">
        <v>1</v>
      </c>
      <c r="M1658" t="s">
        <v>33</v>
      </c>
      <c r="N1658">
        <v>1</v>
      </c>
      <c r="O1658"/>
      <c r="P1658">
        <v>0</v>
      </c>
      <c r="Q1658" t="s">
        <v>38</v>
      </c>
      <c r="R1658">
        <v>1</v>
      </c>
      <c r="S1658">
        <v>0</v>
      </c>
      <c r="T1658"/>
      <c r="U1658"/>
      <c r="V1658"/>
      <c r="W1658"/>
      <c r="X1658">
        <v>0</v>
      </c>
      <c r="Y1658"/>
      <c r="Z1658">
        <v>0</v>
      </c>
      <c r="AA1658"/>
      <c r="AB1658"/>
      <c r="AC1658"/>
      <c r="AD1658"/>
      <c r="AE1658">
        <v>0</v>
      </c>
      <c r="AF1658"/>
      <c r="AG1658" t="s">
        <v>3467</v>
      </c>
      <c r="AH1658"/>
    </row>
    <row r="1659" spans="1:34" x14ac:dyDescent="0.25">
      <c r="A1659" t="s">
        <v>2120</v>
      </c>
      <c r="B1659" t="s">
        <v>2121</v>
      </c>
      <c r="C1659"/>
      <c r="D1659" t="s">
        <v>1778</v>
      </c>
      <c r="E1659" t="s">
        <v>2198</v>
      </c>
      <c r="F1659" t="s">
        <v>2220</v>
      </c>
      <c r="G1659" t="s">
        <v>280</v>
      </c>
      <c r="H1659" t="s">
        <v>2221</v>
      </c>
      <c r="I1659" t="s">
        <v>35</v>
      </c>
      <c r="J1659"/>
      <c r="K1659">
        <v>1</v>
      </c>
      <c r="L1659">
        <v>1</v>
      </c>
      <c r="M1659" t="s">
        <v>33</v>
      </c>
      <c r="N1659">
        <v>1</v>
      </c>
      <c r="O1659"/>
      <c r="P1659">
        <v>0</v>
      </c>
      <c r="Q1659" t="s">
        <v>38</v>
      </c>
      <c r="R1659">
        <v>1</v>
      </c>
      <c r="S1659">
        <v>0</v>
      </c>
      <c r="T1659"/>
      <c r="U1659"/>
      <c r="V1659"/>
      <c r="W1659"/>
      <c r="X1659">
        <v>0</v>
      </c>
      <c r="Y1659"/>
      <c r="Z1659">
        <v>0</v>
      </c>
      <c r="AA1659"/>
      <c r="AB1659"/>
      <c r="AC1659"/>
      <c r="AD1659"/>
      <c r="AE1659">
        <v>0</v>
      </c>
      <c r="AF1659"/>
      <c r="AG1659" t="s">
        <v>3467</v>
      </c>
      <c r="AH1659"/>
    </row>
    <row r="1660" spans="1:34" x14ac:dyDescent="0.25">
      <c r="A1660" t="s">
        <v>2120</v>
      </c>
      <c r="B1660" t="s">
        <v>2121</v>
      </c>
      <c r="C1660"/>
      <c r="D1660" t="s">
        <v>1778</v>
      </c>
      <c r="E1660" t="s">
        <v>2198</v>
      </c>
      <c r="F1660" t="s">
        <v>2220</v>
      </c>
      <c r="G1660" t="s">
        <v>280</v>
      </c>
      <c r="H1660" t="s">
        <v>2222</v>
      </c>
      <c r="I1660" t="s">
        <v>35</v>
      </c>
      <c r="J1660"/>
      <c r="K1660">
        <v>1</v>
      </c>
      <c r="L1660">
        <v>1</v>
      </c>
      <c r="M1660" t="s">
        <v>33</v>
      </c>
      <c r="N1660">
        <v>1</v>
      </c>
      <c r="O1660"/>
      <c r="P1660">
        <v>0</v>
      </c>
      <c r="Q1660" t="s">
        <v>38</v>
      </c>
      <c r="R1660">
        <v>1</v>
      </c>
      <c r="S1660">
        <v>0</v>
      </c>
      <c r="T1660"/>
      <c r="U1660"/>
      <c r="V1660"/>
      <c r="W1660"/>
      <c r="X1660">
        <v>0</v>
      </c>
      <c r="Y1660"/>
      <c r="Z1660">
        <v>0</v>
      </c>
      <c r="AA1660"/>
      <c r="AB1660"/>
      <c r="AC1660"/>
      <c r="AD1660"/>
      <c r="AE1660">
        <v>0</v>
      </c>
      <c r="AF1660"/>
      <c r="AG1660" t="s">
        <v>3467</v>
      </c>
      <c r="AH1660"/>
    </row>
    <row r="1661" spans="1:34" x14ac:dyDescent="0.25">
      <c r="A1661" t="s">
        <v>2120</v>
      </c>
      <c r="B1661" t="s">
        <v>2121</v>
      </c>
      <c r="C1661"/>
      <c r="D1661" t="s">
        <v>1778</v>
      </c>
      <c r="E1661" t="s">
        <v>2198</v>
      </c>
      <c r="F1661" t="s">
        <v>2223</v>
      </c>
      <c r="G1661" t="s">
        <v>280</v>
      </c>
      <c r="H1661" t="s">
        <v>2224</v>
      </c>
      <c r="I1661" t="s">
        <v>35</v>
      </c>
      <c r="J1661"/>
      <c r="K1661">
        <v>1</v>
      </c>
      <c r="L1661">
        <v>1</v>
      </c>
      <c r="M1661" t="s">
        <v>33</v>
      </c>
      <c r="N1661">
        <v>1</v>
      </c>
      <c r="O1661"/>
      <c r="P1661">
        <v>0</v>
      </c>
      <c r="Q1661" t="s">
        <v>38</v>
      </c>
      <c r="R1661">
        <v>1</v>
      </c>
      <c r="S1661">
        <v>0</v>
      </c>
      <c r="T1661"/>
      <c r="U1661"/>
      <c r="V1661"/>
      <c r="W1661"/>
      <c r="X1661">
        <v>0</v>
      </c>
      <c r="Y1661"/>
      <c r="Z1661">
        <v>0</v>
      </c>
      <c r="AA1661"/>
      <c r="AB1661"/>
      <c r="AC1661"/>
      <c r="AD1661"/>
      <c r="AE1661">
        <v>0</v>
      </c>
      <c r="AF1661"/>
      <c r="AG1661" t="s">
        <v>3467</v>
      </c>
      <c r="AH1661"/>
    </row>
    <row r="1662" spans="1:34" x14ac:dyDescent="0.25">
      <c r="A1662" t="s">
        <v>2120</v>
      </c>
      <c r="B1662" t="s">
        <v>2121</v>
      </c>
      <c r="C1662"/>
      <c r="D1662" t="s">
        <v>1778</v>
      </c>
      <c r="E1662" t="s">
        <v>2198</v>
      </c>
      <c r="F1662" t="s">
        <v>2225</v>
      </c>
      <c r="G1662" t="s">
        <v>280</v>
      </c>
      <c r="H1662" t="s">
        <v>2226</v>
      </c>
      <c r="I1662" t="s">
        <v>35</v>
      </c>
      <c r="J1662"/>
      <c r="K1662">
        <v>1</v>
      </c>
      <c r="L1662">
        <v>1</v>
      </c>
      <c r="M1662" t="s">
        <v>33</v>
      </c>
      <c r="N1662">
        <v>1</v>
      </c>
      <c r="O1662"/>
      <c r="P1662">
        <v>0</v>
      </c>
      <c r="Q1662" t="s">
        <v>38</v>
      </c>
      <c r="R1662">
        <v>1</v>
      </c>
      <c r="S1662">
        <v>0</v>
      </c>
      <c r="T1662"/>
      <c r="U1662"/>
      <c r="V1662"/>
      <c r="W1662"/>
      <c r="X1662">
        <v>0</v>
      </c>
      <c r="Y1662"/>
      <c r="Z1662">
        <v>0</v>
      </c>
      <c r="AA1662"/>
      <c r="AB1662"/>
      <c r="AC1662"/>
      <c r="AD1662"/>
      <c r="AE1662">
        <v>0</v>
      </c>
      <c r="AF1662"/>
      <c r="AG1662" t="s">
        <v>3467</v>
      </c>
      <c r="AH1662"/>
    </row>
    <row r="1663" spans="1:34" x14ac:dyDescent="0.25">
      <c r="A1663" t="s">
        <v>2120</v>
      </c>
      <c r="B1663" t="s">
        <v>2121</v>
      </c>
      <c r="C1663"/>
      <c r="D1663" t="s">
        <v>1778</v>
      </c>
      <c r="E1663" t="s">
        <v>2198</v>
      </c>
      <c r="F1663" t="s">
        <v>2225</v>
      </c>
      <c r="G1663" t="s">
        <v>280</v>
      </c>
      <c r="H1663" t="s">
        <v>2227</v>
      </c>
      <c r="I1663" t="s">
        <v>35</v>
      </c>
      <c r="J1663"/>
      <c r="K1663">
        <v>1</v>
      </c>
      <c r="L1663">
        <v>1</v>
      </c>
      <c r="M1663" t="s">
        <v>33</v>
      </c>
      <c r="N1663">
        <v>1</v>
      </c>
      <c r="O1663"/>
      <c r="P1663">
        <v>0</v>
      </c>
      <c r="Q1663" t="s">
        <v>38</v>
      </c>
      <c r="R1663">
        <v>1</v>
      </c>
      <c r="S1663">
        <v>0</v>
      </c>
      <c r="T1663"/>
      <c r="U1663"/>
      <c r="V1663"/>
      <c r="W1663"/>
      <c r="X1663">
        <v>0</v>
      </c>
      <c r="Y1663"/>
      <c r="Z1663">
        <v>0</v>
      </c>
      <c r="AA1663"/>
      <c r="AB1663"/>
      <c r="AC1663"/>
      <c r="AD1663"/>
      <c r="AE1663">
        <v>0</v>
      </c>
      <c r="AF1663"/>
      <c r="AG1663" t="s">
        <v>3467</v>
      </c>
      <c r="AH1663"/>
    </row>
    <row r="1664" spans="1:34" x14ac:dyDescent="0.25">
      <c r="A1664" t="s">
        <v>2120</v>
      </c>
      <c r="B1664" t="s">
        <v>2121</v>
      </c>
      <c r="C1664"/>
      <c r="D1664" t="s">
        <v>1778</v>
      </c>
      <c r="E1664" t="s">
        <v>2198</v>
      </c>
      <c r="F1664" t="s">
        <v>2228</v>
      </c>
      <c r="G1664" t="s">
        <v>280</v>
      </c>
      <c r="H1664" t="s">
        <v>2229</v>
      </c>
      <c r="I1664" t="s">
        <v>35</v>
      </c>
      <c r="J1664"/>
      <c r="K1664">
        <v>1</v>
      </c>
      <c r="L1664">
        <v>1</v>
      </c>
      <c r="M1664" t="s">
        <v>33</v>
      </c>
      <c r="N1664">
        <v>1</v>
      </c>
      <c r="O1664"/>
      <c r="P1664">
        <v>0</v>
      </c>
      <c r="Q1664" t="s">
        <v>38</v>
      </c>
      <c r="R1664">
        <v>1</v>
      </c>
      <c r="S1664">
        <v>0</v>
      </c>
      <c r="T1664"/>
      <c r="U1664"/>
      <c r="V1664"/>
      <c r="W1664"/>
      <c r="X1664">
        <v>0</v>
      </c>
      <c r="Y1664"/>
      <c r="Z1664">
        <v>0</v>
      </c>
      <c r="AA1664"/>
      <c r="AB1664"/>
      <c r="AC1664"/>
      <c r="AD1664"/>
      <c r="AE1664">
        <v>0</v>
      </c>
      <c r="AF1664"/>
      <c r="AG1664" t="s">
        <v>3467</v>
      </c>
      <c r="AH1664"/>
    </row>
    <row r="1665" spans="1:34" x14ac:dyDescent="0.25">
      <c r="A1665" t="s">
        <v>2120</v>
      </c>
      <c r="B1665" t="s">
        <v>2121</v>
      </c>
      <c r="C1665"/>
      <c r="D1665" t="s">
        <v>1778</v>
      </c>
      <c r="E1665" t="s">
        <v>2198</v>
      </c>
      <c r="F1665" t="s">
        <v>2228</v>
      </c>
      <c r="G1665" t="s">
        <v>280</v>
      </c>
      <c r="H1665" t="s">
        <v>2230</v>
      </c>
      <c r="I1665" t="s">
        <v>35</v>
      </c>
      <c r="J1665"/>
      <c r="K1665">
        <v>1</v>
      </c>
      <c r="L1665">
        <v>1</v>
      </c>
      <c r="M1665" t="s">
        <v>33</v>
      </c>
      <c r="N1665">
        <v>1</v>
      </c>
      <c r="O1665"/>
      <c r="P1665">
        <v>0</v>
      </c>
      <c r="Q1665" t="s">
        <v>38</v>
      </c>
      <c r="R1665">
        <v>1</v>
      </c>
      <c r="S1665">
        <v>0</v>
      </c>
      <c r="T1665"/>
      <c r="U1665"/>
      <c r="V1665"/>
      <c r="W1665"/>
      <c r="X1665">
        <v>0</v>
      </c>
      <c r="Y1665"/>
      <c r="Z1665">
        <v>0</v>
      </c>
      <c r="AA1665"/>
      <c r="AB1665"/>
      <c r="AC1665"/>
      <c r="AD1665"/>
      <c r="AE1665">
        <v>0</v>
      </c>
      <c r="AF1665"/>
      <c r="AG1665" t="s">
        <v>3467</v>
      </c>
      <c r="AH1665"/>
    </row>
    <row r="1666" spans="1:34" x14ac:dyDescent="0.25">
      <c r="A1666" t="s">
        <v>2091</v>
      </c>
      <c r="B1666" t="s">
        <v>2092</v>
      </c>
      <c r="C1666"/>
      <c r="D1666" t="s">
        <v>1778</v>
      </c>
      <c r="E1666" t="s">
        <v>2231</v>
      </c>
      <c r="F1666" t="s">
        <v>2232</v>
      </c>
      <c r="G1666" t="s">
        <v>280</v>
      </c>
      <c r="H1666" t="s">
        <v>2233</v>
      </c>
      <c r="I1666" t="s">
        <v>35</v>
      </c>
      <c r="J1666"/>
      <c r="K1666">
        <v>1</v>
      </c>
      <c r="L1666">
        <v>1</v>
      </c>
      <c r="M1666" t="s">
        <v>33</v>
      </c>
      <c r="N1666">
        <v>1</v>
      </c>
      <c r="O1666"/>
      <c r="P1666">
        <v>0</v>
      </c>
      <c r="Q1666" t="s">
        <v>38</v>
      </c>
      <c r="R1666">
        <v>1</v>
      </c>
      <c r="S1666">
        <v>0</v>
      </c>
      <c r="T1666"/>
      <c r="U1666"/>
      <c r="V1666"/>
      <c r="W1666"/>
      <c r="X1666">
        <v>0</v>
      </c>
      <c r="Y1666"/>
      <c r="Z1666">
        <v>0</v>
      </c>
      <c r="AA1666"/>
      <c r="AB1666"/>
      <c r="AC1666"/>
      <c r="AD1666"/>
      <c r="AE1666">
        <v>0</v>
      </c>
      <c r="AF1666"/>
      <c r="AG1666"/>
      <c r="AH1666"/>
    </row>
    <row r="1667" spans="1:34" x14ac:dyDescent="0.25">
      <c r="A1667" t="s">
        <v>2091</v>
      </c>
      <c r="B1667" t="s">
        <v>2092</v>
      </c>
      <c r="C1667"/>
      <c r="D1667" t="s">
        <v>1778</v>
      </c>
      <c r="E1667" t="s">
        <v>2231</v>
      </c>
      <c r="F1667" t="s">
        <v>2234</v>
      </c>
      <c r="G1667" t="s">
        <v>280</v>
      </c>
      <c r="H1667" t="s">
        <v>2235</v>
      </c>
      <c r="I1667" t="s">
        <v>35</v>
      </c>
      <c r="J1667"/>
      <c r="K1667">
        <v>1</v>
      </c>
      <c r="L1667">
        <v>1</v>
      </c>
      <c r="M1667" t="s">
        <v>33</v>
      </c>
      <c r="N1667">
        <v>1</v>
      </c>
      <c r="O1667"/>
      <c r="P1667">
        <v>0</v>
      </c>
      <c r="Q1667" t="s">
        <v>38</v>
      </c>
      <c r="R1667">
        <v>1</v>
      </c>
      <c r="S1667">
        <v>0</v>
      </c>
      <c r="T1667"/>
      <c r="U1667"/>
      <c r="V1667"/>
      <c r="W1667"/>
      <c r="X1667">
        <v>0</v>
      </c>
      <c r="Y1667"/>
      <c r="Z1667">
        <v>0</v>
      </c>
      <c r="AA1667"/>
      <c r="AB1667"/>
      <c r="AC1667"/>
      <c r="AD1667"/>
      <c r="AE1667">
        <v>0</v>
      </c>
      <c r="AF1667"/>
      <c r="AG1667"/>
      <c r="AH1667"/>
    </row>
    <row r="1668" spans="1:34" x14ac:dyDescent="0.25">
      <c r="A1668" t="s">
        <v>2091</v>
      </c>
      <c r="B1668" t="s">
        <v>2092</v>
      </c>
      <c r="C1668"/>
      <c r="D1668" t="s">
        <v>1778</v>
      </c>
      <c r="E1668" t="s">
        <v>2231</v>
      </c>
      <c r="F1668" t="s">
        <v>2236</v>
      </c>
      <c r="G1668" t="s">
        <v>280</v>
      </c>
      <c r="H1668" t="s">
        <v>2237</v>
      </c>
      <c r="I1668" t="s">
        <v>35</v>
      </c>
      <c r="J1668"/>
      <c r="K1668">
        <v>1</v>
      </c>
      <c r="L1668">
        <v>1</v>
      </c>
      <c r="M1668" t="s">
        <v>33</v>
      </c>
      <c r="N1668">
        <v>1</v>
      </c>
      <c r="O1668"/>
      <c r="P1668">
        <v>0</v>
      </c>
      <c r="Q1668" t="s">
        <v>38</v>
      </c>
      <c r="R1668">
        <v>1</v>
      </c>
      <c r="S1668">
        <v>0</v>
      </c>
      <c r="T1668"/>
      <c r="U1668"/>
      <c r="V1668"/>
      <c r="W1668"/>
      <c r="X1668">
        <v>0</v>
      </c>
      <c r="Y1668"/>
      <c r="Z1668">
        <v>0</v>
      </c>
      <c r="AA1668"/>
      <c r="AB1668"/>
      <c r="AC1668"/>
      <c r="AD1668"/>
      <c r="AE1668">
        <v>0</v>
      </c>
      <c r="AF1668"/>
      <c r="AG1668"/>
      <c r="AH1668"/>
    </row>
    <row r="1669" spans="1:34" x14ac:dyDescent="0.25">
      <c r="A1669" t="s">
        <v>2091</v>
      </c>
      <c r="B1669" t="s">
        <v>2092</v>
      </c>
      <c r="C1669"/>
      <c r="D1669" t="s">
        <v>1778</v>
      </c>
      <c r="E1669" t="s">
        <v>2231</v>
      </c>
      <c r="F1669" t="s">
        <v>2238</v>
      </c>
      <c r="G1669" t="s">
        <v>280</v>
      </c>
      <c r="H1669" t="s">
        <v>2239</v>
      </c>
      <c r="I1669" t="s">
        <v>35</v>
      </c>
      <c r="J1669"/>
      <c r="K1669">
        <v>1</v>
      </c>
      <c r="L1669">
        <v>1</v>
      </c>
      <c r="M1669" t="s">
        <v>33</v>
      </c>
      <c r="N1669">
        <v>1</v>
      </c>
      <c r="O1669"/>
      <c r="P1669">
        <v>0</v>
      </c>
      <c r="Q1669" t="s">
        <v>38</v>
      </c>
      <c r="R1669">
        <v>1</v>
      </c>
      <c r="S1669">
        <v>0</v>
      </c>
      <c r="T1669"/>
      <c r="U1669"/>
      <c r="V1669"/>
      <c r="W1669"/>
      <c r="X1669">
        <v>0</v>
      </c>
      <c r="Y1669"/>
      <c r="Z1669">
        <v>0</v>
      </c>
      <c r="AA1669"/>
      <c r="AB1669"/>
      <c r="AC1669"/>
      <c r="AD1669"/>
      <c r="AE1669">
        <v>0</v>
      </c>
      <c r="AF1669"/>
      <c r="AG1669"/>
      <c r="AH1669"/>
    </row>
    <row r="1670" spans="1:34" x14ac:dyDescent="0.25">
      <c r="A1670" t="s">
        <v>2091</v>
      </c>
      <c r="B1670" t="s">
        <v>2092</v>
      </c>
      <c r="C1670"/>
      <c r="D1670" t="s">
        <v>1778</v>
      </c>
      <c r="E1670" t="s">
        <v>2231</v>
      </c>
      <c r="F1670" t="s">
        <v>2240</v>
      </c>
      <c r="G1670" t="s">
        <v>280</v>
      </c>
      <c r="H1670" t="s">
        <v>2241</v>
      </c>
      <c r="I1670" t="s">
        <v>35</v>
      </c>
      <c r="J1670"/>
      <c r="K1670">
        <v>1</v>
      </c>
      <c r="L1670">
        <v>1</v>
      </c>
      <c r="M1670" t="s">
        <v>33</v>
      </c>
      <c r="N1670">
        <v>1</v>
      </c>
      <c r="O1670"/>
      <c r="P1670">
        <v>0</v>
      </c>
      <c r="Q1670" t="s">
        <v>38</v>
      </c>
      <c r="R1670">
        <v>1</v>
      </c>
      <c r="S1670">
        <v>0</v>
      </c>
      <c r="T1670"/>
      <c r="U1670"/>
      <c r="V1670"/>
      <c r="W1670"/>
      <c r="X1670">
        <v>0</v>
      </c>
      <c r="Y1670"/>
      <c r="Z1670">
        <v>0</v>
      </c>
      <c r="AA1670"/>
      <c r="AB1670"/>
      <c r="AC1670"/>
      <c r="AD1670"/>
      <c r="AE1670">
        <v>0</v>
      </c>
      <c r="AF1670"/>
      <c r="AG1670"/>
      <c r="AH1670"/>
    </row>
    <row r="1671" spans="1:34" x14ac:dyDescent="0.25">
      <c r="A1671" t="s">
        <v>2091</v>
      </c>
      <c r="B1671" t="s">
        <v>2092</v>
      </c>
      <c r="C1671"/>
      <c r="D1671" t="s">
        <v>1778</v>
      </c>
      <c r="E1671" t="s">
        <v>2231</v>
      </c>
      <c r="F1671" t="s">
        <v>2242</v>
      </c>
      <c r="G1671" t="s">
        <v>280</v>
      </c>
      <c r="H1671" t="s">
        <v>2243</v>
      </c>
      <c r="I1671" t="s">
        <v>35</v>
      </c>
      <c r="J1671"/>
      <c r="K1671">
        <v>1</v>
      </c>
      <c r="L1671">
        <v>1</v>
      </c>
      <c r="M1671" t="s">
        <v>33</v>
      </c>
      <c r="N1671">
        <v>1</v>
      </c>
      <c r="O1671"/>
      <c r="P1671">
        <v>0</v>
      </c>
      <c r="Q1671" t="s">
        <v>38</v>
      </c>
      <c r="R1671">
        <v>1</v>
      </c>
      <c r="S1671">
        <v>0</v>
      </c>
      <c r="T1671"/>
      <c r="U1671"/>
      <c r="V1671"/>
      <c r="W1671"/>
      <c r="X1671">
        <v>0</v>
      </c>
      <c r="Y1671"/>
      <c r="Z1671">
        <v>0</v>
      </c>
      <c r="AA1671"/>
      <c r="AB1671"/>
      <c r="AC1671"/>
      <c r="AD1671"/>
      <c r="AE1671">
        <v>0</v>
      </c>
      <c r="AF1671"/>
      <c r="AG1671"/>
      <c r="AH1671"/>
    </row>
    <row r="1672" spans="1:34" x14ac:dyDescent="0.25">
      <c r="A1672" t="s">
        <v>2091</v>
      </c>
      <c r="B1672" t="s">
        <v>2092</v>
      </c>
      <c r="C1672"/>
      <c r="D1672" t="s">
        <v>1778</v>
      </c>
      <c r="E1672" t="s">
        <v>2231</v>
      </c>
      <c r="F1672" t="s">
        <v>2244</v>
      </c>
      <c r="G1672" t="s">
        <v>280</v>
      </c>
      <c r="H1672" t="s">
        <v>2245</v>
      </c>
      <c r="I1672" t="s">
        <v>35</v>
      </c>
      <c r="J1672"/>
      <c r="K1672">
        <v>1</v>
      </c>
      <c r="L1672">
        <v>1</v>
      </c>
      <c r="M1672" t="s">
        <v>33</v>
      </c>
      <c r="N1672">
        <v>1</v>
      </c>
      <c r="O1672"/>
      <c r="P1672">
        <v>0</v>
      </c>
      <c r="Q1672" t="s">
        <v>38</v>
      </c>
      <c r="R1672">
        <v>1</v>
      </c>
      <c r="S1672">
        <v>0</v>
      </c>
      <c r="T1672"/>
      <c r="U1672"/>
      <c r="V1672"/>
      <c r="W1672"/>
      <c r="X1672">
        <v>0</v>
      </c>
      <c r="Y1672"/>
      <c r="Z1672">
        <v>0</v>
      </c>
      <c r="AA1672"/>
      <c r="AB1672"/>
      <c r="AC1672"/>
      <c r="AD1672"/>
      <c r="AE1672">
        <v>0</v>
      </c>
      <c r="AF1672"/>
      <c r="AG1672"/>
      <c r="AH1672"/>
    </row>
    <row r="1673" spans="1:34" x14ac:dyDescent="0.25">
      <c r="A1673" t="s">
        <v>2091</v>
      </c>
      <c r="B1673" t="s">
        <v>2092</v>
      </c>
      <c r="C1673"/>
      <c r="D1673" t="s">
        <v>1778</v>
      </c>
      <c r="E1673" t="s">
        <v>2231</v>
      </c>
      <c r="F1673" t="s">
        <v>2246</v>
      </c>
      <c r="G1673" t="s">
        <v>280</v>
      </c>
      <c r="H1673" t="s">
        <v>2247</v>
      </c>
      <c r="I1673" t="s">
        <v>35</v>
      </c>
      <c r="J1673"/>
      <c r="K1673">
        <v>1</v>
      </c>
      <c r="L1673">
        <v>1</v>
      </c>
      <c r="M1673" t="s">
        <v>33</v>
      </c>
      <c r="N1673">
        <v>1</v>
      </c>
      <c r="O1673"/>
      <c r="P1673">
        <v>0</v>
      </c>
      <c r="Q1673" t="s">
        <v>38</v>
      </c>
      <c r="R1673">
        <v>1</v>
      </c>
      <c r="S1673">
        <v>0</v>
      </c>
      <c r="T1673"/>
      <c r="U1673"/>
      <c r="V1673"/>
      <c r="W1673"/>
      <c r="X1673">
        <v>0</v>
      </c>
      <c r="Y1673"/>
      <c r="Z1673">
        <v>0</v>
      </c>
      <c r="AA1673"/>
      <c r="AB1673"/>
      <c r="AC1673"/>
      <c r="AD1673"/>
      <c r="AE1673">
        <v>0</v>
      </c>
      <c r="AF1673"/>
      <c r="AG1673"/>
      <c r="AH1673"/>
    </row>
    <row r="1674" spans="1:34" x14ac:dyDescent="0.25">
      <c r="A1674" t="s">
        <v>2091</v>
      </c>
      <c r="B1674" t="s">
        <v>2092</v>
      </c>
      <c r="C1674"/>
      <c r="D1674" t="s">
        <v>1778</v>
      </c>
      <c r="E1674" t="s">
        <v>2231</v>
      </c>
      <c r="F1674" t="s">
        <v>2248</v>
      </c>
      <c r="G1674" t="s">
        <v>280</v>
      </c>
      <c r="H1674" t="s">
        <v>2249</v>
      </c>
      <c r="I1674" t="s">
        <v>35</v>
      </c>
      <c r="J1674"/>
      <c r="K1674">
        <v>1</v>
      </c>
      <c r="L1674">
        <v>1</v>
      </c>
      <c r="M1674" t="s">
        <v>33</v>
      </c>
      <c r="N1674">
        <v>1</v>
      </c>
      <c r="O1674"/>
      <c r="P1674">
        <v>0</v>
      </c>
      <c r="Q1674" t="s">
        <v>38</v>
      </c>
      <c r="R1674">
        <v>1</v>
      </c>
      <c r="S1674">
        <v>0</v>
      </c>
      <c r="T1674"/>
      <c r="U1674"/>
      <c r="V1674"/>
      <c r="W1674"/>
      <c r="X1674">
        <v>0</v>
      </c>
      <c r="Y1674"/>
      <c r="Z1674">
        <v>0</v>
      </c>
      <c r="AA1674"/>
      <c r="AB1674"/>
      <c r="AC1674"/>
      <c r="AD1674"/>
      <c r="AE1674">
        <v>0</v>
      </c>
      <c r="AF1674"/>
      <c r="AG1674"/>
      <c r="AH1674"/>
    </row>
    <row r="1675" spans="1:34" x14ac:dyDescent="0.25">
      <c r="A1675" t="s">
        <v>2091</v>
      </c>
      <c r="B1675" t="s">
        <v>2092</v>
      </c>
      <c r="C1675"/>
      <c r="D1675" t="s">
        <v>1778</v>
      </c>
      <c r="E1675" t="s">
        <v>2231</v>
      </c>
      <c r="F1675" t="s">
        <v>2250</v>
      </c>
      <c r="G1675" t="s">
        <v>280</v>
      </c>
      <c r="H1675" t="s">
        <v>2251</v>
      </c>
      <c r="I1675" t="s">
        <v>35</v>
      </c>
      <c r="J1675"/>
      <c r="K1675">
        <v>1</v>
      </c>
      <c r="L1675">
        <v>1</v>
      </c>
      <c r="M1675" t="s">
        <v>33</v>
      </c>
      <c r="N1675">
        <v>1</v>
      </c>
      <c r="O1675"/>
      <c r="P1675">
        <v>0</v>
      </c>
      <c r="Q1675" t="s">
        <v>38</v>
      </c>
      <c r="R1675">
        <v>1</v>
      </c>
      <c r="S1675">
        <v>0</v>
      </c>
      <c r="T1675"/>
      <c r="U1675"/>
      <c r="V1675"/>
      <c r="W1675"/>
      <c r="X1675">
        <v>0</v>
      </c>
      <c r="Y1675"/>
      <c r="Z1675">
        <v>0</v>
      </c>
      <c r="AA1675"/>
      <c r="AB1675"/>
      <c r="AC1675"/>
      <c r="AD1675"/>
      <c r="AE1675">
        <v>0</v>
      </c>
      <c r="AF1675"/>
      <c r="AG1675"/>
      <c r="AH1675"/>
    </row>
    <row r="1676" spans="1:34" x14ac:dyDescent="0.25">
      <c r="A1676" t="s">
        <v>2091</v>
      </c>
      <c r="B1676" t="s">
        <v>2092</v>
      </c>
      <c r="C1676"/>
      <c r="D1676" t="s">
        <v>1778</v>
      </c>
      <c r="E1676" t="s">
        <v>2231</v>
      </c>
      <c r="F1676" t="s">
        <v>2252</v>
      </c>
      <c r="G1676" t="s">
        <v>280</v>
      </c>
      <c r="H1676" t="s">
        <v>2253</v>
      </c>
      <c r="I1676" t="s">
        <v>35</v>
      </c>
      <c r="J1676"/>
      <c r="K1676">
        <v>1</v>
      </c>
      <c r="L1676">
        <v>1</v>
      </c>
      <c r="M1676" t="s">
        <v>33</v>
      </c>
      <c r="N1676">
        <v>1</v>
      </c>
      <c r="O1676"/>
      <c r="P1676">
        <v>0</v>
      </c>
      <c r="Q1676" t="s">
        <v>38</v>
      </c>
      <c r="R1676">
        <v>1</v>
      </c>
      <c r="S1676">
        <v>0</v>
      </c>
      <c r="T1676"/>
      <c r="U1676"/>
      <c r="V1676"/>
      <c r="W1676"/>
      <c r="X1676">
        <v>0</v>
      </c>
      <c r="Y1676"/>
      <c r="Z1676">
        <v>0</v>
      </c>
      <c r="AA1676"/>
      <c r="AB1676"/>
      <c r="AC1676"/>
      <c r="AD1676"/>
      <c r="AE1676">
        <v>0</v>
      </c>
      <c r="AF1676"/>
      <c r="AG1676"/>
      <c r="AH1676"/>
    </row>
    <row r="1677" spans="1:34" x14ac:dyDescent="0.25">
      <c r="A1677" t="s">
        <v>2091</v>
      </c>
      <c r="B1677" t="s">
        <v>2092</v>
      </c>
      <c r="C1677"/>
      <c r="D1677" t="s">
        <v>1778</v>
      </c>
      <c r="E1677" t="s">
        <v>2231</v>
      </c>
      <c r="F1677" t="s">
        <v>2254</v>
      </c>
      <c r="G1677" t="s">
        <v>280</v>
      </c>
      <c r="H1677" t="s">
        <v>2255</v>
      </c>
      <c r="I1677" t="s">
        <v>35</v>
      </c>
      <c r="J1677"/>
      <c r="K1677">
        <v>1</v>
      </c>
      <c r="L1677">
        <v>1</v>
      </c>
      <c r="M1677" t="s">
        <v>33</v>
      </c>
      <c r="N1677">
        <v>1</v>
      </c>
      <c r="O1677"/>
      <c r="P1677">
        <v>0</v>
      </c>
      <c r="Q1677" t="s">
        <v>38</v>
      </c>
      <c r="R1677">
        <v>1</v>
      </c>
      <c r="S1677">
        <v>0</v>
      </c>
      <c r="T1677"/>
      <c r="U1677"/>
      <c r="V1677"/>
      <c r="W1677"/>
      <c r="X1677">
        <v>0</v>
      </c>
      <c r="Y1677"/>
      <c r="Z1677">
        <v>0</v>
      </c>
      <c r="AA1677"/>
      <c r="AB1677"/>
      <c r="AC1677"/>
      <c r="AD1677"/>
      <c r="AE1677">
        <v>0</v>
      </c>
      <c r="AF1677"/>
      <c r="AG1677"/>
      <c r="AH1677"/>
    </row>
    <row r="1678" spans="1:34" x14ac:dyDescent="0.25">
      <c r="A1678" t="s">
        <v>2091</v>
      </c>
      <c r="B1678" t="s">
        <v>2092</v>
      </c>
      <c r="C1678"/>
      <c r="D1678" t="s">
        <v>1778</v>
      </c>
      <c r="E1678" t="s">
        <v>2231</v>
      </c>
      <c r="F1678" t="s">
        <v>2256</v>
      </c>
      <c r="G1678" t="s">
        <v>280</v>
      </c>
      <c r="H1678" t="s">
        <v>2257</v>
      </c>
      <c r="I1678" t="s">
        <v>35</v>
      </c>
      <c r="J1678"/>
      <c r="K1678">
        <v>1</v>
      </c>
      <c r="L1678">
        <v>1</v>
      </c>
      <c r="M1678" t="s">
        <v>33</v>
      </c>
      <c r="N1678">
        <v>1</v>
      </c>
      <c r="O1678"/>
      <c r="P1678">
        <v>0</v>
      </c>
      <c r="Q1678" t="s">
        <v>38</v>
      </c>
      <c r="R1678">
        <v>1</v>
      </c>
      <c r="S1678">
        <v>0</v>
      </c>
      <c r="T1678"/>
      <c r="U1678"/>
      <c r="V1678"/>
      <c r="W1678"/>
      <c r="X1678">
        <v>0</v>
      </c>
      <c r="Y1678"/>
      <c r="Z1678">
        <v>0</v>
      </c>
      <c r="AA1678"/>
      <c r="AB1678"/>
      <c r="AC1678"/>
      <c r="AD1678"/>
      <c r="AE1678">
        <v>0</v>
      </c>
      <c r="AF1678"/>
      <c r="AG1678"/>
      <c r="AH1678"/>
    </row>
    <row r="1679" spans="1:34" x14ac:dyDescent="0.25">
      <c r="A1679" t="s">
        <v>2091</v>
      </c>
      <c r="B1679" t="s">
        <v>2092</v>
      </c>
      <c r="C1679"/>
      <c r="D1679" t="s">
        <v>1778</v>
      </c>
      <c r="E1679" t="s">
        <v>2231</v>
      </c>
      <c r="F1679" t="s">
        <v>2258</v>
      </c>
      <c r="G1679" t="s">
        <v>280</v>
      </c>
      <c r="H1679" t="s">
        <v>2259</v>
      </c>
      <c r="I1679" t="s">
        <v>35</v>
      </c>
      <c r="J1679"/>
      <c r="K1679">
        <v>1</v>
      </c>
      <c r="L1679">
        <v>1</v>
      </c>
      <c r="M1679" t="s">
        <v>33</v>
      </c>
      <c r="N1679">
        <v>1</v>
      </c>
      <c r="O1679"/>
      <c r="P1679">
        <v>0</v>
      </c>
      <c r="Q1679" t="s">
        <v>38</v>
      </c>
      <c r="R1679">
        <v>1</v>
      </c>
      <c r="S1679">
        <v>0</v>
      </c>
      <c r="T1679"/>
      <c r="U1679"/>
      <c r="V1679"/>
      <c r="W1679"/>
      <c r="X1679">
        <v>0</v>
      </c>
      <c r="Y1679"/>
      <c r="Z1679">
        <v>0</v>
      </c>
      <c r="AA1679"/>
      <c r="AB1679"/>
      <c r="AC1679"/>
      <c r="AD1679"/>
      <c r="AE1679">
        <v>0</v>
      </c>
      <c r="AF1679"/>
      <c r="AG1679"/>
      <c r="AH1679"/>
    </row>
    <row r="1680" spans="1:34" x14ac:dyDescent="0.25">
      <c r="A1680" t="s">
        <v>2091</v>
      </c>
      <c r="B1680" t="s">
        <v>2092</v>
      </c>
      <c r="C1680"/>
      <c r="D1680" t="s">
        <v>1778</v>
      </c>
      <c r="E1680" t="s">
        <v>2231</v>
      </c>
      <c r="F1680" t="s">
        <v>2260</v>
      </c>
      <c r="G1680" t="s">
        <v>280</v>
      </c>
      <c r="H1680" t="s">
        <v>2261</v>
      </c>
      <c r="I1680" t="s">
        <v>35</v>
      </c>
      <c r="J1680"/>
      <c r="K1680">
        <v>1</v>
      </c>
      <c r="L1680">
        <v>1</v>
      </c>
      <c r="M1680" t="s">
        <v>33</v>
      </c>
      <c r="N1680">
        <v>1</v>
      </c>
      <c r="O1680"/>
      <c r="P1680">
        <v>0</v>
      </c>
      <c r="Q1680" t="s">
        <v>38</v>
      </c>
      <c r="R1680">
        <v>1</v>
      </c>
      <c r="S1680">
        <v>0</v>
      </c>
      <c r="T1680"/>
      <c r="U1680"/>
      <c r="V1680"/>
      <c r="W1680"/>
      <c r="X1680">
        <v>0</v>
      </c>
      <c r="Y1680"/>
      <c r="Z1680">
        <v>0</v>
      </c>
      <c r="AA1680"/>
      <c r="AB1680"/>
      <c r="AC1680"/>
      <c r="AD1680"/>
      <c r="AE1680">
        <v>0</v>
      </c>
      <c r="AF1680"/>
      <c r="AG1680"/>
      <c r="AH1680"/>
    </row>
    <row r="1681" spans="1:34" x14ac:dyDescent="0.25">
      <c r="A1681" t="s">
        <v>2091</v>
      </c>
      <c r="B1681" t="s">
        <v>2092</v>
      </c>
      <c r="C1681"/>
      <c r="D1681" t="s">
        <v>1778</v>
      </c>
      <c r="E1681" t="s">
        <v>2231</v>
      </c>
      <c r="F1681" t="s">
        <v>2262</v>
      </c>
      <c r="G1681" t="s">
        <v>280</v>
      </c>
      <c r="H1681" t="s">
        <v>2263</v>
      </c>
      <c r="I1681" t="s">
        <v>35</v>
      </c>
      <c r="J1681"/>
      <c r="K1681">
        <v>1</v>
      </c>
      <c r="L1681">
        <v>1</v>
      </c>
      <c r="M1681" t="s">
        <v>33</v>
      </c>
      <c r="N1681">
        <v>1</v>
      </c>
      <c r="O1681"/>
      <c r="P1681">
        <v>0</v>
      </c>
      <c r="Q1681" t="s">
        <v>38</v>
      </c>
      <c r="R1681">
        <v>1</v>
      </c>
      <c r="S1681">
        <v>0</v>
      </c>
      <c r="T1681"/>
      <c r="U1681"/>
      <c r="V1681"/>
      <c r="W1681"/>
      <c r="X1681">
        <v>0</v>
      </c>
      <c r="Y1681"/>
      <c r="Z1681">
        <v>0</v>
      </c>
      <c r="AA1681"/>
      <c r="AB1681"/>
      <c r="AC1681"/>
      <c r="AD1681"/>
      <c r="AE1681">
        <v>0</v>
      </c>
      <c r="AF1681"/>
      <c r="AG1681"/>
      <c r="AH1681"/>
    </row>
    <row r="1682" spans="1:34" x14ac:dyDescent="0.25">
      <c r="A1682" t="s">
        <v>2091</v>
      </c>
      <c r="B1682" t="s">
        <v>2092</v>
      </c>
      <c r="C1682"/>
      <c r="D1682" t="s">
        <v>1778</v>
      </c>
      <c r="E1682" t="s">
        <v>2231</v>
      </c>
      <c r="F1682" t="s">
        <v>2264</v>
      </c>
      <c r="G1682" t="s">
        <v>280</v>
      </c>
      <c r="H1682" t="s">
        <v>2265</v>
      </c>
      <c r="I1682" t="s">
        <v>35</v>
      </c>
      <c r="J1682"/>
      <c r="K1682">
        <v>1</v>
      </c>
      <c r="L1682">
        <v>1</v>
      </c>
      <c r="M1682" t="s">
        <v>33</v>
      </c>
      <c r="N1682">
        <v>1</v>
      </c>
      <c r="O1682"/>
      <c r="P1682">
        <v>0</v>
      </c>
      <c r="Q1682" t="s">
        <v>38</v>
      </c>
      <c r="R1682">
        <v>1</v>
      </c>
      <c r="S1682">
        <v>0</v>
      </c>
      <c r="T1682"/>
      <c r="U1682"/>
      <c r="V1682"/>
      <c r="W1682"/>
      <c r="X1682">
        <v>0</v>
      </c>
      <c r="Y1682"/>
      <c r="Z1682">
        <v>0</v>
      </c>
      <c r="AA1682"/>
      <c r="AB1682"/>
      <c r="AC1682"/>
      <c r="AD1682"/>
      <c r="AE1682">
        <v>0</v>
      </c>
      <c r="AF1682"/>
      <c r="AG1682"/>
      <c r="AH1682"/>
    </row>
    <row r="1683" spans="1:34" x14ac:dyDescent="0.25">
      <c r="A1683" t="s">
        <v>2091</v>
      </c>
      <c r="B1683" t="s">
        <v>2092</v>
      </c>
      <c r="C1683"/>
      <c r="D1683" t="s">
        <v>1778</v>
      </c>
      <c r="E1683" t="s">
        <v>2231</v>
      </c>
      <c r="F1683" t="s">
        <v>2266</v>
      </c>
      <c r="G1683" t="s">
        <v>280</v>
      </c>
      <c r="H1683" t="s">
        <v>2267</v>
      </c>
      <c r="I1683" t="s">
        <v>35</v>
      </c>
      <c r="J1683"/>
      <c r="K1683">
        <v>1</v>
      </c>
      <c r="L1683">
        <v>1</v>
      </c>
      <c r="M1683" t="s">
        <v>33</v>
      </c>
      <c r="N1683">
        <v>1</v>
      </c>
      <c r="O1683"/>
      <c r="P1683">
        <v>0</v>
      </c>
      <c r="Q1683" t="s">
        <v>38</v>
      </c>
      <c r="R1683">
        <v>1</v>
      </c>
      <c r="S1683">
        <v>0</v>
      </c>
      <c r="T1683"/>
      <c r="U1683"/>
      <c r="V1683"/>
      <c r="W1683"/>
      <c r="X1683">
        <v>0</v>
      </c>
      <c r="Y1683"/>
      <c r="Z1683">
        <v>0</v>
      </c>
      <c r="AA1683"/>
      <c r="AB1683"/>
      <c r="AC1683"/>
      <c r="AD1683"/>
      <c r="AE1683">
        <v>0</v>
      </c>
      <c r="AF1683"/>
      <c r="AG1683"/>
      <c r="AH1683"/>
    </row>
    <row r="1684" spans="1:34" x14ac:dyDescent="0.25">
      <c r="A1684" t="s">
        <v>2091</v>
      </c>
      <c r="B1684" t="s">
        <v>2092</v>
      </c>
      <c r="C1684"/>
      <c r="D1684" t="s">
        <v>1778</v>
      </c>
      <c r="E1684" t="s">
        <v>2231</v>
      </c>
      <c r="F1684" t="s">
        <v>2268</v>
      </c>
      <c r="G1684" t="s">
        <v>280</v>
      </c>
      <c r="H1684" t="s">
        <v>2269</v>
      </c>
      <c r="I1684" t="s">
        <v>35</v>
      </c>
      <c r="J1684"/>
      <c r="K1684">
        <v>1</v>
      </c>
      <c r="L1684">
        <v>1</v>
      </c>
      <c r="M1684" t="s">
        <v>33</v>
      </c>
      <c r="N1684">
        <v>1</v>
      </c>
      <c r="O1684"/>
      <c r="P1684">
        <v>0</v>
      </c>
      <c r="Q1684" t="s">
        <v>38</v>
      </c>
      <c r="R1684">
        <v>1</v>
      </c>
      <c r="S1684">
        <v>0</v>
      </c>
      <c r="T1684"/>
      <c r="U1684"/>
      <c r="V1684"/>
      <c r="W1684"/>
      <c r="X1684">
        <v>0</v>
      </c>
      <c r="Y1684"/>
      <c r="Z1684">
        <v>0</v>
      </c>
      <c r="AA1684"/>
      <c r="AB1684"/>
      <c r="AC1684"/>
      <c r="AD1684"/>
      <c r="AE1684">
        <v>0</v>
      </c>
      <c r="AF1684"/>
      <c r="AG1684"/>
      <c r="AH1684"/>
    </row>
    <row r="1685" spans="1:34" x14ac:dyDescent="0.25">
      <c r="A1685" t="s">
        <v>2091</v>
      </c>
      <c r="B1685" t="s">
        <v>2092</v>
      </c>
      <c r="C1685"/>
      <c r="D1685" t="s">
        <v>1778</v>
      </c>
      <c r="E1685" t="s">
        <v>2231</v>
      </c>
      <c r="F1685" t="s">
        <v>2270</v>
      </c>
      <c r="G1685" t="s">
        <v>280</v>
      </c>
      <c r="H1685" t="s">
        <v>2271</v>
      </c>
      <c r="I1685" t="s">
        <v>35</v>
      </c>
      <c r="J1685"/>
      <c r="K1685">
        <v>1</v>
      </c>
      <c r="L1685">
        <v>1</v>
      </c>
      <c r="M1685" t="s">
        <v>33</v>
      </c>
      <c r="N1685">
        <v>1</v>
      </c>
      <c r="O1685"/>
      <c r="P1685">
        <v>0</v>
      </c>
      <c r="Q1685" t="s">
        <v>38</v>
      </c>
      <c r="R1685">
        <v>1</v>
      </c>
      <c r="S1685">
        <v>0</v>
      </c>
      <c r="T1685"/>
      <c r="U1685"/>
      <c r="V1685"/>
      <c r="W1685"/>
      <c r="X1685">
        <v>0</v>
      </c>
      <c r="Y1685"/>
      <c r="Z1685">
        <v>0</v>
      </c>
      <c r="AA1685"/>
      <c r="AB1685"/>
      <c r="AC1685"/>
      <c r="AD1685"/>
      <c r="AE1685">
        <v>0</v>
      </c>
      <c r="AF1685"/>
      <c r="AG1685"/>
      <c r="AH1685"/>
    </row>
    <row r="1686" spans="1:34" x14ac:dyDescent="0.25">
      <c r="A1686" t="s">
        <v>2091</v>
      </c>
      <c r="B1686" t="s">
        <v>2092</v>
      </c>
      <c r="C1686"/>
      <c r="D1686" t="s">
        <v>1778</v>
      </c>
      <c r="E1686" t="s">
        <v>2231</v>
      </c>
      <c r="F1686" t="s">
        <v>2272</v>
      </c>
      <c r="G1686" t="s">
        <v>280</v>
      </c>
      <c r="H1686" t="s">
        <v>2273</v>
      </c>
      <c r="I1686" t="s">
        <v>35</v>
      </c>
      <c r="J1686"/>
      <c r="K1686">
        <v>1</v>
      </c>
      <c r="L1686">
        <v>1</v>
      </c>
      <c r="M1686" t="s">
        <v>33</v>
      </c>
      <c r="N1686">
        <v>1</v>
      </c>
      <c r="O1686"/>
      <c r="P1686">
        <v>0</v>
      </c>
      <c r="Q1686" t="s">
        <v>38</v>
      </c>
      <c r="R1686">
        <v>1</v>
      </c>
      <c r="S1686">
        <v>0</v>
      </c>
      <c r="T1686"/>
      <c r="U1686"/>
      <c r="V1686"/>
      <c r="W1686"/>
      <c r="X1686">
        <v>0</v>
      </c>
      <c r="Y1686"/>
      <c r="Z1686">
        <v>0</v>
      </c>
      <c r="AA1686"/>
      <c r="AB1686"/>
      <c r="AC1686"/>
      <c r="AD1686"/>
      <c r="AE1686">
        <v>0</v>
      </c>
      <c r="AF1686"/>
      <c r="AG1686"/>
      <c r="AH1686"/>
    </row>
    <row r="1687" spans="1:34" x14ac:dyDescent="0.25">
      <c r="A1687" t="s">
        <v>2091</v>
      </c>
      <c r="B1687" t="s">
        <v>2092</v>
      </c>
      <c r="C1687"/>
      <c r="D1687" t="s">
        <v>1778</v>
      </c>
      <c r="E1687" t="s">
        <v>2231</v>
      </c>
      <c r="F1687" t="s">
        <v>2274</v>
      </c>
      <c r="G1687" t="s">
        <v>280</v>
      </c>
      <c r="H1687" t="s">
        <v>2275</v>
      </c>
      <c r="I1687" t="s">
        <v>35</v>
      </c>
      <c r="J1687"/>
      <c r="K1687">
        <v>1</v>
      </c>
      <c r="L1687">
        <v>1</v>
      </c>
      <c r="M1687" t="s">
        <v>33</v>
      </c>
      <c r="N1687">
        <v>1</v>
      </c>
      <c r="O1687"/>
      <c r="P1687">
        <v>0</v>
      </c>
      <c r="Q1687" t="s">
        <v>38</v>
      </c>
      <c r="R1687">
        <v>1</v>
      </c>
      <c r="S1687">
        <v>0</v>
      </c>
      <c r="T1687"/>
      <c r="U1687"/>
      <c r="V1687"/>
      <c r="W1687"/>
      <c r="X1687">
        <v>0</v>
      </c>
      <c r="Y1687"/>
      <c r="Z1687">
        <v>0</v>
      </c>
      <c r="AA1687"/>
      <c r="AB1687"/>
      <c r="AC1687"/>
      <c r="AD1687"/>
      <c r="AE1687">
        <v>0</v>
      </c>
      <c r="AF1687"/>
      <c r="AG1687"/>
      <c r="AH1687"/>
    </row>
    <row r="1688" spans="1:34" x14ac:dyDescent="0.25">
      <c r="A1688" t="s">
        <v>2091</v>
      </c>
      <c r="B1688" t="s">
        <v>2092</v>
      </c>
      <c r="C1688"/>
      <c r="D1688" t="s">
        <v>1778</v>
      </c>
      <c r="E1688" t="s">
        <v>2231</v>
      </c>
      <c r="F1688" t="s">
        <v>2276</v>
      </c>
      <c r="G1688" t="s">
        <v>280</v>
      </c>
      <c r="H1688" t="s">
        <v>2277</v>
      </c>
      <c r="I1688" t="s">
        <v>35</v>
      </c>
      <c r="J1688"/>
      <c r="K1688">
        <v>1</v>
      </c>
      <c r="L1688">
        <v>1</v>
      </c>
      <c r="M1688" t="s">
        <v>33</v>
      </c>
      <c r="N1688">
        <v>1</v>
      </c>
      <c r="O1688"/>
      <c r="P1688">
        <v>0</v>
      </c>
      <c r="Q1688" t="s">
        <v>38</v>
      </c>
      <c r="R1688">
        <v>1</v>
      </c>
      <c r="S1688">
        <v>0</v>
      </c>
      <c r="T1688"/>
      <c r="U1688"/>
      <c r="V1688"/>
      <c r="W1688"/>
      <c r="X1688">
        <v>0</v>
      </c>
      <c r="Y1688"/>
      <c r="Z1688">
        <v>0</v>
      </c>
      <c r="AA1688"/>
      <c r="AB1688"/>
      <c r="AC1688"/>
      <c r="AD1688"/>
      <c r="AE1688">
        <v>0</v>
      </c>
      <c r="AF1688"/>
      <c r="AG1688"/>
      <c r="AH1688"/>
    </row>
    <row r="1689" spans="1:34" x14ac:dyDescent="0.25">
      <c r="A1689" t="s">
        <v>2120</v>
      </c>
      <c r="B1689" t="s">
        <v>2121</v>
      </c>
      <c r="C1689"/>
      <c r="D1689" t="s">
        <v>1778</v>
      </c>
      <c r="E1689" t="s">
        <v>2231</v>
      </c>
      <c r="F1689" t="s">
        <v>2278</v>
      </c>
      <c r="G1689" t="s">
        <v>280</v>
      </c>
      <c r="H1689" t="s">
        <v>2279</v>
      </c>
      <c r="I1689" t="s">
        <v>35</v>
      </c>
      <c r="J1689"/>
      <c r="K1689">
        <v>1</v>
      </c>
      <c r="L1689">
        <v>1</v>
      </c>
      <c r="M1689" t="s">
        <v>33</v>
      </c>
      <c r="N1689">
        <v>1</v>
      </c>
      <c r="O1689"/>
      <c r="P1689">
        <v>0</v>
      </c>
      <c r="Q1689" t="s">
        <v>38</v>
      </c>
      <c r="R1689">
        <v>1</v>
      </c>
      <c r="S1689">
        <v>0</v>
      </c>
      <c r="T1689"/>
      <c r="U1689"/>
      <c r="V1689"/>
      <c r="W1689"/>
      <c r="X1689">
        <v>0</v>
      </c>
      <c r="Y1689"/>
      <c r="Z1689">
        <v>0</v>
      </c>
      <c r="AA1689"/>
      <c r="AB1689"/>
      <c r="AC1689"/>
      <c r="AD1689"/>
      <c r="AE1689">
        <v>0</v>
      </c>
      <c r="AF1689"/>
      <c r="AG1689" t="s">
        <v>3467</v>
      </c>
      <c r="AH1689"/>
    </row>
    <row r="1690" spans="1:34" x14ac:dyDescent="0.25">
      <c r="A1690" t="s">
        <v>2120</v>
      </c>
      <c r="B1690" t="s">
        <v>2121</v>
      </c>
      <c r="C1690"/>
      <c r="D1690" t="s">
        <v>1778</v>
      </c>
      <c r="E1690" t="s">
        <v>2231</v>
      </c>
      <c r="F1690" t="s">
        <v>2280</v>
      </c>
      <c r="G1690" t="s">
        <v>280</v>
      </c>
      <c r="H1690" t="s">
        <v>2281</v>
      </c>
      <c r="I1690" t="s">
        <v>35</v>
      </c>
      <c r="J1690"/>
      <c r="K1690">
        <v>1</v>
      </c>
      <c r="L1690">
        <v>1</v>
      </c>
      <c r="M1690" t="s">
        <v>33</v>
      </c>
      <c r="N1690">
        <v>1</v>
      </c>
      <c r="O1690"/>
      <c r="P1690">
        <v>0</v>
      </c>
      <c r="Q1690" t="s">
        <v>38</v>
      </c>
      <c r="R1690">
        <v>1</v>
      </c>
      <c r="S1690">
        <v>0</v>
      </c>
      <c r="T1690"/>
      <c r="U1690"/>
      <c r="V1690"/>
      <c r="W1690"/>
      <c r="X1690">
        <v>0</v>
      </c>
      <c r="Y1690"/>
      <c r="Z1690">
        <v>0</v>
      </c>
      <c r="AA1690"/>
      <c r="AB1690"/>
      <c r="AC1690"/>
      <c r="AD1690"/>
      <c r="AE1690">
        <v>0</v>
      </c>
      <c r="AF1690"/>
      <c r="AG1690" t="s">
        <v>3467</v>
      </c>
      <c r="AH1690"/>
    </row>
    <row r="1691" spans="1:34" x14ac:dyDescent="0.25">
      <c r="A1691" t="s">
        <v>2120</v>
      </c>
      <c r="B1691" t="s">
        <v>2121</v>
      </c>
      <c r="C1691"/>
      <c r="D1691" t="s">
        <v>1778</v>
      </c>
      <c r="E1691" t="s">
        <v>2231</v>
      </c>
      <c r="F1691" t="s">
        <v>2282</v>
      </c>
      <c r="G1691" t="s">
        <v>280</v>
      </c>
      <c r="H1691" t="s">
        <v>2283</v>
      </c>
      <c r="I1691" t="s">
        <v>35</v>
      </c>
      <c r="J1691"/>
      <c r="K1691">
        <v>1</v>
      </c>
      <c r="L1691">
        <v>1</v>
      </c>
      <c r="M1691" t="s">
        <v>33</v>
      </c>
      <c r="N1691">
        <v>1</v>
      </c>
      <c r="O1691"/>
      <c r="P1691">
        <v>0</v>
      </c>
      <c r="Q1691" t="s">
        <v>38</v>
      </c>
      <c r="R1691">
        <v>1</v>
      </c>
      <c r="S1691">
        <v>0</v>
      </c>
      <c r="T1691"/>
      <c r="U1691"/>
      <c r="V1691"/>
      <c r="W1691"/>
      <c r="X1691">
        <v>0</v>
      </c>
      <c r="Y1691"/>
      <c r="Z1691">
        <v>0</v>
      </c>
      <c r="AA1691"/>
      <c r="AB1691"/>
      <c r="AC1691"/>
      <c r="AD1691"/>
      <c r="AE1691">
        <v>0</v>
      </c>
      <c r="AF1691"/>
      <c r="AG1691" t="s">
        <v>3467</v>
      </c>
      <c r="AH1691"/>
    </row>
    <row r="1692" spans="1:34" x14ac:dyDescent="0.25">
      <c r="A1692" t="s">
        <v>2120</v>
      </c>
      <c r="B1692" t="s">
        <v>2121</v>
      </c>
      <c r="C1692"/>
      <c r="D1692" t="s">
        <v>1778</v>
      </c>
      <c r="E1692" t="s">
        <v>2231</v>
      </c>
      <c r="F1692" t="s">
        <v>2284</v>
      </c>
      <c r="G1692" t="s">
        <v>280</v>
      </c>
      <c r="H1692" t="s">
        <v>2285</v>
      </c>
      <c r="I1692" t="s">
        <v>35</v>
      </c>
      <c r="J1692"/>
      <c r="K1692">
        <v>1</v>
      </c>
      <c r="L1692">
        <v>1</v>
      </c>
      <c r="M1692" t="s">
        <v>33</v>
      </c>
      <c r="N1692">
        <v>1</v>
      </c>
      <c r="O1692"/>
      <c r="P1692">
        <v>0</v>
      </c>
      <c r="Q1692" t="s">
        <v>38</v>
      </c>
      <c r="R1692">
        <v>1</v>
      </c>
      <c r="S1692">
        <v>0</v>
      </c>
      <c r="T1692"/>
      <c r="U1692"/>
      <c r="V1692"/>
      <c r="W1692"/>
      <c r="X1692">
        <v>0</v>
      </c>
      <c r="Y1692"/>
      <c r="Z1692">
        <v>0</v>
      </c>
      <c r="AA1692"/>
      <c r="AB1692"/>
      <c r="AC1692"/>
      <c r="AD1692"/>
      <c r="AE1692">
        <v>0</v>
      </c>
      <c r="AF1692"/>
      <c r="AG1692" t="s">
        <v>3467</v>
      </c>
      <c r="AH1692"/>
    </row>
    <row r="1693" spans="1:34" x14ac:dyDescent="0.25">
      <c r="A1693" t="s">
        <v>2120</v>
      </c>
      <c r="B1693" t="s">
        <v>2121</v>
      </c>
      <c r="C1693"/>
      <c r="D1693" t="s">
        <v>1778</v>
      </c>
      <c r="E1693" t="s">
        <v>2231</v>
      </c>
      <c r="F1693" t="s">
        <v>2286</v>
      </c>
      <c r="G1693" t="s">
        <v>280</v>
      </c>
      <c r="H1693" t="s">
        <v>2287</v>
      </c>
      <c r="I1693" t="s">
        <v>35</v>
      </c>
      <c r="J1693"/>
      <c r="K1693">
        <v>1</v>
      </c>
      <c r="L1693">
        <v>1</v>
      </c>
      <c r="M1693" t="s">
        <v>33</v>
      </c>
      <c r="N1693">
        <v>1</v>
      </c>
      <c r="O1693"/>
      <c r="P1693">
        <v>0</v>
      </c>
      <c r="Q1693" t="s">
        <v>38</v>
      </c>
      <c r="R1693">
        <v>1</v>
      </c>
      <c r="S1693">
        <v>0</v>
      </c>
      <c r="T1693"/>
      <c r="U1693"/>
      <c r="V1693"/>
      <c r="W1693"/>
      <c r="X1693">
        <v>0</v>
      </c>
      <c r="Y1693"/>
      <c r="Z1693">
        <v>0</v>
      </c>
      <c r="AA1693"/>
      <c r="AB1693"/>
      <c r="AC1693"/>
      <c r="AD1693"/>
      <c r="AE1693">
        <v>0</v>
      </c>
      <c r="AF1693"/>
      <c r="AG1693" t="s">
        <v>3467</v>
      </c>
      <c r="AH1693"/>
    </row>
    <row r="1694" spans="1:34" x14ac:dyDescent="0.25">
      <c r="A1694" t="s">
        <v>2120</v>
      </c>
      <c r="B1694" t="s">
        <v>2121</v>
      </c>
      <c r="C1694"/>
      <c r="D1694" t="s">
        <v>1778</v>
      </c>
      <c r="E1694" t="s">
        <v>2231</v>
      </c>
      <c r="F1694" t="s">
        <v>2288</v>
      </c>
      <c r="G1694" t="s">
        <v>280</v>
      </c>
      <c r="H1694" t="s">
        <v>2289</v>
      </c>
      <c r="I1694" t="s">
        <v>35</v>
      </c>
      <c r="J1694"/>
      <c r="K1694">
        <v>1</v>
      </c>
      <c r="L1694">
        <v>1</v>
      </c>
      <c r="M1694" t="s">
        <v>33</v>
      </c>
      <c r="N1694">
        <v>1</v>
      </c>
      <c r="O1694"/>
      <c r="P1694">
        <v>0</v>
      </c>
      <c r="Q1694" t="s">
        <v>38</v>
      </c>
      <c r="R1694">
        <v>1</v>
      </c>
      <c r="S1694">
        <v>0</v>
      </c>
      <c r="T1694"/>
      <c r="U1694"/>
      <c r="V1694"/>
      <c r="W1694"/>
      <c r="X1694">
        <v>0</v>
      </c>
      <c r="Y1694"/>
      <c r="Z1694">
        <v>0</v>
      </c>
      <c r="AA1694"/>
      <c r="AB1694"/>
      <c r="AC1694"/>
      <c r="AD1694"/>
      <c r="AE1694">
        <v>0</v>
      </c>
      <c r="AF1694"/>
      <c r="AG1694" t="s">
        <v>3467</v>
      </c>
      <c r="AH1694"/>
    </row>
    <row r="1695" spans="1:34" x14ac:dyDescent="0.25">
      <c r="A1695" t="s">
        <v>2120</v>
      </c>
      <c r="B1695" t="s">
        <v>2121</v>
      </c>
      <c r="C1695"/>
      <c r="D1695" t="s">
        <v>1778</v>
      </c>
      <c r="E1695" t="s">
        <v>2231</v>
      </c>
      <c r="F1695" t="s">
        <v>2290</v>
      </c>
      <c r="G1695" t="s">
        <v>280</v>
      </c>
      <c r="H1695" t="s">
        <v>2291</v>
      </c>
      <c r="I1695" t="s">
        <v>35</v>
      </c>
      <c r="J1695"/>
      <c r="K1695">
        <v>1</v>
      </c>
      <c r="L1695">
        <v>1</v>
      </c>
      <c r="M1695" t="s">
        <v>33</v>
      </c>
      <c r="N1695">
        <v>1</v>
      </c>
      <c r="O1695"/>
      <c r="P1695">
        <v>0</v>
      </c>
      <c r="Q1695" t="s">
        <v>38</v>
      </c>
      <c r="R1695">
        <v>1</v>
      </c>
      <c r="S1695">
        <v>0</v>
      </c>
      <c r="T1695"/>
      <c r="U1695"/>
      <c r="V1695"/>
      <c r="W1695"/>
      <c r="X1695">
        <v>0</v>
      </c>
      <c r="Y1695"/>
      <c r="Z1695">
        <v>0</v>
      </c>
      <c r="AA1695"/>
      <c r="AB1695"/>
      <c r="AC1695"/>
      <c r="AD1695"/>
      <c r="AE1695">
        <v>0</v>
      </c>
      <c r="AF1695"/>
      <c r="AG1695" t="s">
        <v>3467</v>
      </c>
      <c r="AH1695"/>
    </row>
    <row r="1696" spans="1:34" x14ac:dyDescent="0.25">
      <c r="A1696" t="s">
        <v>2120</v>
      </c>
      <c r="B1696" t="s">
        <v>2121</v>
      </c>
      <c r="C1696"/>
      <c r="D1696" t="s">
        <v>1778</v>
      </c>
      <c r="E1696" t="s">
        <v>2231</v>
      </c>
      <c r="F1696" t="s">
        <v>2292</v>
      </c>
      <c r="G1696" t="s">
        <v>280</v>
      </c>
      <c r="H1696" t="s">
        <v>2293</v>
      </c>
      <c r="I1696" t="s">
        <v>35</v>
      </c>
      <c r="J1696"/>
      <c r="K1696">
        <v>1</v>
      </c>
      <c r="L1696">
        <v>1</v>
      </c>
      <c r="M1696" t="s">
        <v>33</v>
      </c>
      <c r="N1696">
        <v>1</v>
      </c>
      <c r="O1696"/>
      <c r="P1696">
        <v>0</v>
      </c>
      <c r="Q1696" t="s">
        <v>38</v>
      </c>
      <c r="R1696">
        <v>1</v>
      </c>
      <c r="S1696">
        <v>0</v>
      </c>
      <c r="T1696"/>
      <c r="U1696"/>
      <c r="V1696"/>
      <c r="W1696"/>
      <c r="X1696">
        <v>0</v>
      </c>
      <c r="Y1696"/>
      <c r="Z1696">
        <v>0</v>
      </c>
      <c r="AA1696"/>
      <c r="AB1696"/>
      <c r="AC1696"/>
      <c r="AD1696"/>
      <c r="AE1696">
        <v>0</v>
      </c>
      <c r="AF1696"/>
      <c r="AG1696" t="s">
        <v>3467</v>
      </c>
      <c r="AH1696"/>
    </row>
    <row r="1697" spans="1:34" x14ac:dyDescent="0.25">
      <c r="A1697" t="s">
        <v>2120</v>
      </c>
      <c r="B1697" t="s">
        <v>2121</v>
      </c>
      <c r="C1697"/>
      <c r="D1697" t="s">
        <v>1778</v>
      </c>
      <c r="E1697" t="s">
        <v>2231</v>
      </c>
      <c r="F1697" t="s">
        <v>2294</v>
      </c>
      <c r="G1697" t="s">
        <v>280</v>
      </c>
      <c r="H1697" t="s">
        <v>2295</v>
      </c>
      <c r="I1697" t="s">
        <v>35</v>
      </c>
      <c r="J1697"/>
      <c r="K1697">
        <v>1</v>
      </c>
      <c r="L1697">
        <v>1</v>
      </c>
      <c r="M1697" t="s">
        <v>33</v>
      </c>
      <c r="N1697">
        <v>1</v>
      </c>
      <c r="O1697"/>
      <c r="P1697">
        <v>0</v>
      </c>
      <c r="Q1697" t="s">
        <v>38</v>
      </c>
      <c r="R1697">
        <v>1</v>
      </c>
      <c r="S1697">
        <v>0</v>
      </c>
      <c r="T1697"/>
      <c r="U1697"/>
      <c r="V1697"/>
      <c r="W1697"/>
      <c r="X1697">
        <v>0</v>
      </c>
      <c r="Y1697"/>
      <c r="Z1697">
        <v>0</v>
      </c>
      <c r="AA1697"/>
      <c r="AB1697"/>
      <c r="AC1697"/>
      <c r="AD1697"/>
      <c r="AE1697">
        <v>0</v>
      </c>
      <c r="AF1697"/>
      <c r="AG1697" t="s">
        <v>3467</v>
      </c>
      <c r="AH1697"/>
    </row>
    <row r="1698" spans="1:34" x14ac:dyDescent="0.25">
      <c r="A1698" t="s">
        <v>2120</v>
      </c>
      <c r="B1698" t="s">
        <v>2121</v>
      </c>
      <c r="C1698"/>
      <c r="D1698" t="s">
        <v>1778</v>
      </c>
      <c r="E1698" t="s">
        <v>2231</v>
      </c>
      <c r="F1698" t="s">
        <v>2296</v>
      </c>
      <c r="G1698" t="s">
        <v>280</v>
      </c>
      <c r="H1698" t="s">
        <v>2297</v>
      </c>
      <c r="I1698" t="s">
        <v>35</v>
      </c>
      <c r="J1698"/>
      <c r="K1698">
        <v>1</v>
      </c>
      <c r="L1698">
        <v>1</v>
      </c>
      <c r="M1698" t="s">
        <v>33</v>
      </c>
      <c r="N1698">
        <v>1</v>
      </c>
      <c r="O1698"/>
      <c r="P1698">
        <v>0</v>
      </c>
      <c r="Q1698" t="s">
        <v>38</v>
      </c>
      <c r="R1698">
        <v>1</v>
      </c>
      <c r="S1698">
        <v>0</v>
      </c>
      <c r="T1698"/>
      <c r="U1698"/>
      <c r="V1698"/>
      <c r="W1698"/>
      <c r="X1698">
        <v>0</v>
      </c>
      <c r="Y1698"/>
      <c r="Z1698">
        <v>0</v>
      </c>
      <c r="AA1698"/>
      <c r="AB1698"/>
      <c r="AC1698"/>
      <c r="AD1698"/>
      <c r="AE1698">
        <v>0</v>
      </c>
      <c r="AF1698"/>
      <c r="AG1698" t="s">
        <v>3467</v>
      </c>
      <c r="AH1698"/>
    </row>
    <row r="1699" spans="1:34" x14ac:dyDescent="0.25">
      <c r="A1699" t="s">
        <v>2120</v>
      </c>
      <c r="B1699" t="s">
        <v>2121</v>
      </c>
      <c r="C1699"/>
      <c r="D1699" t="s">
        <v>1778</v>
      </c>
      <c r="E1699" t="s">
        <v>2231</v>
      </c>
      <c r="F1699" t="s">
        <v>2298</v>
      </c>
      <c r="G1699" t="s">
        <v>280</v>
      </c>
      <c r="H1699" t="s">
        <v>2299</v>
      </c>
      <c r="I1699" t="s">
        <v>35</v>
      </c>
      <c r="J1699"/>
      <c r="K1699">
        <v>1</v>
      </c>
      <c r="L1699">
        <v>1</v>
      </c>
      <c r="M1699" t="s">
        <v>33</v>
      </c>
      <c r="N1699">
        <v>1</v>
      </c>
      <c r="O1699"/>
      <c r="P1699">
        <v>0</v>
      </c>
      <c r="Q1699" t="s">
        <v>38</v>
      </c>
      <c r="R1699">
        <v>1</v>
      </c>
      <c r="S1699">
        <v>0</v>
      </c>
      <c r="T1699"/>
      <c r="U1699"/>
      <c r="V1699"/>
      <c r="W1699"/>
      <c r="X1699">
        <v>0</v>
      </c>
      <c r="Y1699"/>
      <c r="Z1699">
        <v>0</v>
      </c>
      <c r="AA1699"/>
      <c r="AB1699"/>
      <c r="AC1699"/>
      <c r="AD1699"/>
      <c r="AE1699">
        <v>0</v>
      </c>
      <c r="AF1699"/>
      <c r="AG1699" t="s">
        <v>3467</v>
      </c>
      <c r="AH1699"/>
    </row>
    <row r="1700" spans="1:34" x14ac:dyDescent="0.25">
      <c r="A1700" t="s">
        <v>2120</v>
      </c>
      <c r="B1700" t="s">
        <v>2121</v>
      </c>
      <c r="C1700"/>
      <c r="D1700" t="s">
        <v>1778</v>
      </c>
      <c r="E1700" t="s">
        <v>2231</v>
      </c>
      <c r="F1700" t="s">
        <v>2300</v>
      </c>
      <c r="G1700" t="s">
        <v>280</v>
      </c>
      <c r="H1700" t="s">
        <v>2301</v>
      </c>
      <c r="I1700" t="s">
        <v>35</v>
      </c>
      <c r="J1700"/>
      <c r="K1700">
        <v>1</v>
      </c>
      <c r="L1700">
        <v>1</v>
      </c>
      <c r="M1700" t="s">
        <v>33</v>
      </c>
      <c r="N1700">
        <v>1</v>
      </c>
      <c r="O1700"/>
      <c r="P1700">
        <v>0</v>
      </c>
      <c r="Q1700" t="s">
        <v>38</v>
      </c>
      <c r="R1700">
        <v>1</v>
      </c>
      <c r="S1700">
        <v>0</v>
      </c>
      <c r="T1700"/>
      <c r="U1700"/>
      <c r="V1700"/>
      <c r="W1700"/>
      <c r="X1700">
        <v>0</v>
      </c>
      <c r="Y1700"/>
      <c r="Z1700">
        <v>0</v>
      </c>
      <c r="AA1700"/>
      <c r="AB1700"/>
      <c r="AC1700"/>
      <c r="AD1700"/>
      <c r="AE1700">
        <v>0</v>
      </c>
      <c r="AF1700"/>
      <c r="AG1700" t="s">
        <v>3467</v>
      </c>
      <c r="AH1700"/>
    </row>
    <row r="1701" spans="1:34" x14ac:dyDescent="0.25">
      <c r="A1701" t="s">
        <v>2120</v>
      </c>
      <c r="B1701" t="s">
        <v>2121</v>
      </c>
      <c r="C1701"/>
      <c r="D1701" t="s">
        <v>1778</v>
      </c>
      <c r="E1701" t="s">
        <v>2231</v>
      </c>
      <c r="F1701" t="s">
        <v>2302</v>
      </c>
      <c r="G1701" t="s">
        <v>280</v>
      </c>
      <c r="H1701" t="s">
        <v>2303</v>
      </c>
      <c r="I1701" t="s">
        <v>35</v>
      </c>
      <c r="J1701"/>
      <c r="K1701">
        <v>1</v>
      </c>
      <c r="L1701">
        <v>1</v>
      </c>
      <c r="M1701" t="s">
        <v>33</v>
      </c>
      <c r="N1701">
        <v>1</v>
      </c>
      <c r="O1701"/>
      <c r="P1701">
        <v>0</v>
      </c>
      <c r="Q1701" t="s">
        <v>38</v>
      </c>
      <c r="R1701">
        <v>1</v>
      </c>
      <c r="S1701">
        <v>0</v>
      </c>
      <c r="T1701"/>
      <c r="U1701"/>
      <c r="V1701"/>
      <c r="W1701"/>
      <c r="X1701">
        <v>0</v>
      </c>
      <c r="Y1701"/>
      <c r="Z1701">
        <v>0</v>
      </c>
      <c r="AA1701"/>
      <c r="AB1701"/>
      <c r="AC1701"/>
      <c r="AD1701"/>
      <c r="AE1701">
        <v>0</v>
      </c>
      <c r="AF1701"/>
      <c r="AG1701" t="s">
        <v>3467</v>
      </c>
      <c r="AH1701"/>
    </row>
    <row r="1702" spans="1:34" x14ac:dyDescent="0.25">
      <c r="A1702" t="s">
        <v>2120</v>
      </c>
      <c r="B1702" t="s">
        <v>2121</v>
      </c>
      <c r="C1702"/>
      <c r="D1702" t="s">
        <v>1778</v>
      </c>
      <c r="E1702" t="s">
        <v>2231</v>
      </c>
      <c r="F1702" t="s">
        <v>2304</v>
      </c>
      <c r="G1702" t="s">
        <v>280</v>
      </c>
      <c r="H1702" t="s">
        <v>2305</v>
      </c>
      <c r="I1702" t="s">
        <v>35</v>
      </c>
      <c r="J1702"/>
      <c r="K1702">
        <v>1</v>
      </c>
      <c r="L1702">
        <v>1</v>
      </c>
      <c r="M1702" t="s">
        <v>33</v>
      </c>
      <c r="N1702">
        <v>1</v>
      </c>
      <c r="O1702"/>
      <c r="P1702">
        <v>0</v>
      </c>
      <c r="Q1702" t="s">
        <v>38</v>
      </c>
      <c r="R1702">
        <v>1</v>
      </c>
      <c r="S1702">
        <v>0</v>
      </c>
      <c r="T1702"/>
      <c r="U1702"/>
      <c r="V1702"/>
      <c r="W1702"/>
      <c r="X1702">
        <v>0</v>
      </c>
      <c r="Y1702"/>
      <c r="Z1702">
        <v>0</v>
      </c>
      <c r="AA1702"/>
      <c r="AB1702"/>
      <c r="AC1702"/>
      <c r="AD1702"/>
      <c r="AE1702">
        <v>0</v>
      </c>
      <c r="AF1702"/>
      <c r="AG1702" t="s">
        <v>3467</v>
      </c>
      <c r="AH1702"/>
    </row>
    <row r="1703" spans="1:34" x14ac:dyDescent="0.25">
      <c r="A1703" t="s">
        <v>2120</v>
      </c>
      <c r="B1703" t="s">
        <v>2121</v>
      </c>
      <c r="C1703"/>
      <c r="D1703" t="s">
        <v>1778</v>
      </c>
      <c r="E1703" t="s">
        <v>2231</v>
      </c>
      <c r="F1703" t="s">
        <v>2306</v>
      </c>
      <c r="G1703" t="s">
        <v>280</v>
      </c>
      <c r="H1703" t="s">
        <v>2307</v>
      </c>
      <c r="I1703" t="s">
        <v>35</v>
      </c>
      <c r="J1703"/>
      <c r="K1703">
        <v>1</v>
      </c>
      <c r="L1703">
        <v>1</v>
      </c>
      <c r="M1703" t="s">
        <v>33</v>
      </c>
      <c r="N1703">
        <v>1</v>
      </c>
      <c r="O1703"/>
      <c r="P1703">
        <v>0</v>
      </c>
      <c r="Q1703" t="s">
        <v>38</v>
      </c>
      <c r="R1703">
        <v>1</v>
      </c>
      <c r="S1703">
        <v>0</v>
      </c>
      <c r="T1703"/>
      <c r="U1703"/>
      <c r="V1703"/>
      <c r="W1703"/>
      <c r="X1703">
        <v>0</v>
      </c>
      <c r="Y1703"/>
      <c r="Z1703">
        <v>0</v>
      </c>
      <c r="AA1703"/>
      <c r="AB1703"/>
      <c r="AC1703"/>
      <c r="AD1703"/>
      <c r="AE1703">
        <v>0</v>
      </c>
      <c r="AF1703"/>
      <c r="AG1703" t="s">
        <v>3467</v>
      </c>
      <c r="AH1703"/>
    </row>
    <row r="1704" spans="1:34" x14ac:dyDescent="0.25">
      <c r="A1704" t="s">
        <v>2120</v>
      </c>
      <c r="B1704" t="s">
        <v>2121</v>
      </c>
      <c r="C1704"/>
      <c r="D1704" t="s">
        <v>1778</v>
      </c>
      <c r="E1704" t="s">
        <v>2231</v>
      </c>
      <c r="F1704" t="s">
        <v>2308</v>
      </c>
      <c r="G1704" t="s">
        <v>280</v>
      </c>
      <c r="H1704" t="s">
        <v>2309</v>
      </c>
      <c r="I1704" t="s">
        <v>35</v>
      </c>
      <c r="J1704"/>
      <c r="K1704">
        <v>1</v>
      </c>
      <c r="L1704">
        <v>1</v>
      </c>
      <c r="M1704" t="s">
        <v>33</v>
      </c>
      <c r="N1704">
        <v>1</v>
      </c>
      <c r="O1704"/>
      <c r="P1704">
        <v>0</v>
      </c>
      <c r="Q1704" t="s">
        <v>38</v>
      </c>
      <c r="R1704">
        <v>1</v>
      </c>
      <c r="S1704">
        <v>0</v>
      </c>
      <c r="T1704"/>
      <c r="U1704"/>
      <c r="V1704"/>
      <c r="W1704"/>
      <c r="X1704">
        <v>0</v>
      </c>
      <c r="Y1704"/>
      <c r="Z1704">
        <v>0</v>
      </c>
      <c r="AA1704"/>
      <c r="AB1704"/>
      <c r="AC1704"/>
      <c r="AD1704"/>
      <c r="AE1704">
        <v>0</v>
      </c>
      <c r="AF1704"/>
      <c r="AG1704" t="s">
        <v>3467</v>
      </c>
      <c r="AH1704"/>
    </row>
    <row r="1705" spans="1:34" x14ac:dyDescent="0.25">
      <c r="A1705" t="s">
        <v>2120</v>
      </c>
      <c r="B1705" t="s">
        <v>2121</v>
      </c>
      <c r="C1705"/>
      <c r="D1705" t="s">
        <v>1778</v>
      </c>
      <c r="E1705" t="s">
        <v>2231</v>
      </c>
      <c r="F1705" t="s">
        <v>2310</v>
      </c>
      <c r="G1705" t="s">
        <v>280</v>
      </c>
      <c r="H1705" t="s">
        <v>2311</v>
      </c>
      <c r="I1705" t="s">
        <v>35</v>
      </c>
      <c r="J1705"/>
      <c r="K1705">
        <v>1</v>
      </c>
      <c r="L1705">
        <v>1</v>
      </c>
      <c r="M1705" t="s">
        <v>33</v>
      </c>
      <c r="N1705">
        <v>1</v>
      </c>
      <c r="O1705"/>
      <c r="P1705">
        <v>0</v>
      </c>
      <c r="Q1705" t="s">
        <v>38</v>
      </c>
      <c r="R1705">
        <v>1</v>
      </c>
      <c r="S1705">
        <v>0</v>
      </c>
      <c r="T1705"/>
      <c r="U1705"/>
      <c r="V1705"/>
      <c r="W1705"/>
      <c r="X1705">
        <v>0</v>
      </c>
      <c r="Y1705"/>
      <c r="Z1705">
        <v>0</v>
      </c>
      <c r="AA1705"/>
      <c r="AB1705"/>
      <c r="AC1705"/>
      <c r="AD1705"/>
      <c r="AE1705">
        <v>0</v>
      </c>
      <c r="AF1705"/>
      <c r="AG1705" t="s">
        <v>3467</v>
      </c>
      <c r="AH1705"/>
    </row>
    <row r="1706" spans="1:34" x14ac:dyDescent="0.25">
      <c r="A1706" t="s">
        <v>2120</v>
      </c>
      <c r="B1706" t="s">
        <v>2121</v>
      </c>
      <c r="C1706"/>
      <c r="D1706" t="s">
        <v>1778</v>
      </c>
      <c r="E1706" t="s">
        <v>2231</v>
      </c>
      <c r="F1706" t="s">
        <v>2312</v>
      </c>
      <c r="G1706" t="s">
        <v>280</v>
      </c>
      <c r="H1706" t="s">
        <v>2313</v>
      </c>
      <c r="I1706" t="s">
        <v>35</v>
      </c>
      <c r="J1706"/>
      <c r="K1706">
        <v>1</v>
      </c>
      <c r="L1706">
        <v>1</v>
      </c>
      <c r="M1706" t="s">
        <v>33</v>
      </c>
      <c r="N1706">
        <v>1</v>
      </c>
      <c r="O1706"/>
      <c r="P1706">
        <v>0</v>
      </c>
      <c r="Q1706" t="s">
        <v>38</v>
      </c>
      <c r="R1706">
        <v>1</v>
      </c>
      <c r="S1706">
        <v>0</v>
      </c>
      <c r="T1706"/>
      <c r="U1706"/>
      <c r="V1706"/>
      <c r="W1706"/>
      <c r="X1706">
        <v>0</v>
      </c>
      <c r="Y1706"/>
      <c r="Z1706">
        <v>0</v>
      </c>
      <c r="AA1706"/>
      <c r="AB1706"/>
      <c r="AC1706"/>
      <c r="AD1706"/>
      <c r="AE1706">
        <v>0</v>
      </c>
      <c r="AF1706"/>
      <c r="AG1706" t="s">
        <v>3467</v>
      </c>
      <c r="AH1706"/>
    </row>
    <row r="1707" spans="1:34" x14ac:dyDescent="0.25">
      <c r="A1707" t="s">
        <v>2120</v>
      </c>
      <c r="B1707" t="s">
        <v>2121</v>
      </c>
      <c r="C1707"/>
      <c r="D1707" t="s">
        <v>1778</v>
      </c>
      <c r="E1707" t="s">
        <v>2231</v>
      </c>
      <c r="F1707" t="s">
        <v>2314</v>
      </c>
      <c r="G1707" t="s">
        <v>280</v>
      </c>
      <c r="H1707" t="s">
        <v>2315</v>
      </c>
      <c r="I1707" t="s">
        <v>35</v>
      </c>
      <c r="J1707"/>
      <c r="K1707">
        <v>1</v>
      </c>
      <c r="L1707">
        <v>1</v>
      </c>
      <c r="M1707" t="s">
        <v>33</v>
      </c>
      <c r="N1707">
        <v>1</v>
      </c>
      <c r="O1707"/>
      <c r="P1707">
        <v>0</v>
      </c>
      <c r="Q1707" t="s">
        <v>38</v>
      </c>
      <c r="R1707">
        <v>1</v>
      </c>
      <c r="S1707">
        <v>0</v>
      </c>
      <c r="T1707"/>
      <c r="U1707"/>
      <c r="V1707"/>
      <c r="W1707"/>
      <c r="X1707">
        <v>0</v>
      </c>
      <c r="Y1707"/>
      <c r="Z1707">
        <v>0</v>
      </c>
      <c r="AA1707"/>
      <c r="AB1707"/>
      <c r="AC1707"/>
      <c r="AD1707"/>
      <c r="AE1707">
        <v>0</v>
      </c>
      <c r="AF1707"/>
      <c r="AG1707" t="s">
        <v>3467</v>
      </c>
      <c r="AH1707"/>
    </row>
    <row r="1708" spans="1:34" x14ac:dyDescent="0.25">
      <c r="A1708" t="s">
        <v>2120</v>
      </c>
      <c r="B1708" t="s">
        <v>2121</v>
      </c>
      <c r="C1708"/>
      <c r="D1708" t="s">
        <v>1778</v>
      </c>
      <c r="E1708" t="s">
        <v>2231</v>
      </c>
      <c r="F1708" t="s">
        <v>2316</v>
      </c>
      <c r="G1708" t="s">
        <v>280</v>
      </c>
      <c r="H1708" t="s">
        <v>2317</v>
      </c>
      <c r="I1708" t="s">
        <v>35</v>
      </c>
      <c r="J1708"/>
      <c r="K1708">
        <v>1</v>
      </c>
      <c r="L1708">
        <v>1</v>
      </c>
      <c r="M1708" t="s">
        <v>33</v>
      </c>
      <c r="N1708">
        <v>1</v>
      </c>
      <c r="O1708"/>
      <c r="P1708">
        <v>0</v>
      </c>
      <c r="Q1708" t="s">
        <v>38</v>
      </c>
      <c r="R1708">
        <v>1</v>
      </c>
      <c r="S1708">
        <v>0</v>
      </c>
      <c r="T1708"/>
      <c r="U1708"/>
      <c r="V1708"/>
      <c r="W1708"/>
      <c r="X1708">
        <v>0</v>
      </c>
      <c r="Y1708"/>
      <c r="Z1708">
        <v>0</v>
      </c>
      <c r="AA1708"/>
      <c r="AB1708"/>
      <c r="AC1708"/>
      <c r="AD1708"/>
      <c r="AE1708">
        <v>0</v>
      </c>
      <c r="AF1708"/>
      <c r="AG1708" t="s">
        <v>3467</v>
      </c>
      <c r="AH1708"/>
    </row>
    <row r="1709" spans="1:34" x14ac:dyDescent="0.25">
      <c r="A1709" t="s">
        <v>2120</v>
      </c>
      <c r="B1709" t="s">
        <v>2121</v>
      </c>
      <c r="C1709"/>
      <c r="D1709" t="s">
        <v>1778</v>
      </c>
      <c r="E1709" t="s">
        <v>2231</v>
      </c>
      <c r="F1709" t="s">
        <v>2318</v>
      </c>
      <c r="G1709" t="s">
        <v>280</v>
      </c>
      <c r="H1709" t="s">
        <v>2319</v>
      </c>
      <c r="I1709" t="s">
        <v>35</v>
      </c>
      <c r="J1709"/>
      <c r="K1709">
        <v>1</v>
      </c>
      <c r="L1709">
        <v>1</v>
      </c>
      <c r="M1709" t="s">
        <v>33</v>
      </c>
      <c r="N1709">
        <v>1</v>
      </c>
      <c r="O1709"/>
      <c r="P1709">
        <v>0</v>
      </c>
      <c r="Q1709" t="s">
        <v>38</v>
      </c>
      <c r="R1709">
        <v>1</v>
      </c>
      <c r="S1709">
        <v>0</v>
      </c>
      <c r="T1709"/>
      <c r="U1709"/>
      <c r="V1709"/>
      <c r="W1709"/>
      <c r="X1709">
        <v>0</v>
      </c>
      <c r="Y1709"/>
      <c r="Z1709">
        <v>0</v>
      </c>
      <c r="AA1709"/>
      <c r="AB1709"/>
      <c r="AC1709"/>
      <c r="AD1709"/>
      <c r="AE1709">
        <v>0</v>
      </c>
      <c r="AF1709"/>
      <c r="AG1709" t="s">
        <v>3467</v>
      </c>
      <c r="AH1709"/>
    </row>
    <row r="1710" spans="1:34" x14ac:dyDescent="0.25">
      <c r="A1710" t="s">
        <v>2120</v>
      </c>
      <c r="B1710" t="s">
        <v>2121</v>
      </c>
      <c r="C1710"/>
      <c r="D1710" t="s">
        <v>1778</v>
      </c>
      <c r="E1710" t="s">
        <v>2231</v>
      </c>
      <c r="F1710" t="s">
        <v>2320</v>
      </c>
      <c r="G1710" t="s">
        <v>280</v>
      </c>
      <c r="H1710" t="s">
        <v>2321</v>
      </c>
      <c r="I1710" t="s">
        <v>35</v>
      </c>
      <c r="J1710"/>
      <c r="K1710">
        <v>1</v>
      </c>
      <c r="L1710">
        <v>1</v>
      </c>
      <c r="M1710" t="s">
        <v>33</v>
      </c>
      <c r="N1710">
        <v>1</v>
      </c>
      <c r="O1710"/>
      <c r="P1710">
        <v>0</v>
      </c>
      <c r="Q1710" t="s">
        <v>38</v>
      </c>
      <c r="R1710">
        <v>1</v>
      </c>
      <c r="S1710">
        <v>0</v>
      </c>
      <c r="T1710"/>
      <c r="U1710"/>
      <c r="V1710"/>
      <c r="W1710"/>
      <c r="X1710">
        <v>0</v>
      </c>
      <c r="Y1710"/>
      <c r="Z1710">
        <v>0</v>
      </c>
      <c r="AA1710"/>
      <c r="AB1710"/>
      <c r="AC1710"/>
      <c r="AD1710"/>
      <c r="AE1710">
        <v>0</v>
      </c>
      <c r="AF1710"/>
      <c r="AG1710" t="s">
        <v>3467</v>
      </c>
      <c r="AH1710"/>
    </row>
    <row r="1711" spans="1:34" x14ac:dyDescent="0.25">
      <c r="A1711" t="s">
        <v>2120</v>
      </c>
      <c r="B1711" t="s">
        <v>2121</v>
      </c>
      <c r="C1711"/>
      <c r="D1711" t="s">
        <v>1778</v>
      </c>
      <c r="E1711" t="s">
        <v>2231</v>
      </c>
      <c r="F1711" t="s">
        <v>2322</v>
      </c>
      <c r="G1711" t="s">
        <v>280</v>
      </c>
      <c r="H1711" t="s">
        <v>2323</v>
      </c>
      <c r="I1711" t="s">
        <v>35</v>
      </c>
      <c r="J1711"/>
      <c r="K1711">
        <v>1</v>
      </c>
      <c r="L1711">
        <v>1</v>
      </c>
      <c r="M1711" t="s">
        <v>33</v>
      </c>
      <c r="N1711">
        <v>1</v>
      </c>
      <c r="O1711"/>
      <c r="P1711">
        <v>0</v>
      </c>
      <c r="Q1711" t="s">
        <v>38</v>
      </c>
      <c r="R1711">
        <v>1</v>
      </c>
      <c r="S1711">
        <v>0</v>
      </c>
      <c r="T1711"/>
      <c r="U1711"/>
      <c r="V1711"/>
      <c r="W1711"/>
      <c r="X1711">
        <v>0</v>
      </c>
      <c r="Y1711"/>
      <c r="Z1711">
        <v>0</v>
      </c>
      <c r="AA1711"/>
      <c r="AB1711"/>
      <c r="AC1711"/>
      <c r="AD1711"/>
      <c r="AE1711">
        <v>0</v>
      </c>
      <c r="AF1711"/>
      <c r="AG1711" t="s">
        <v>3467</v>
      </c>
      <c r="AH1711"/>
    </row>
    <row r="1712" spans="1:34" x14ac:dyDescent="0.25">
      <c r="A1712" t="s">
        <v>2091</v>
      </c>
      <c r="B1712" t="s">
        <v>2092</v>
      </c>
      <c r="C1712"/>
      <c r="D1712" t="s">
        <v>1778</v>
      </c>
      <c r="E1712" t="s">
        <v>2324</v>
      </c>
      <c r="F1712" t="s">
        <v>2325</v>
      </c>
      <c r="G1712" t="s">
        <v>280</v>
      </c>
      <c r="H1712" t="s">
        <v>2326</v>
      </c>
      <c r="I1712" t="s">
        <v>35</v>
      </c>
      <c r="J1712"/>
      <c r="K1712">
        <v>1</v>
      </c>
      <c r="L1712">
        <v>1</v>
      </c>
      <c r="M1712" t="s">
        <v>33</v>
      </c>
      <c r="N1712">
        <v>1</v>
      </c>
      <c r="O1712"/>
      <c r="P1712">
        <v>0</v>
      </c>
      <c r="Q1712" t="s">
        <v>38</v>
      </c>
      <c r="R1712">
        <v>1</v>
      </c>
      <c r="S1712">
        <v>0</v>
      </c>
      <c r="T1712"/>
      <c r="U1712"/>
      <c r="V1712"/>
      <c r="W1712"/>
      <c r="X1712">
        <v>0</v>
      </c>
      <c r="Y1712"/>
      <c r="Z1712">
        <v>0</v>
      </c>
      <c r="AA1712"/>
      <c r="AB1712"/>
      <c r="AC1712"/>
      <c r="AD1712"/>
      <c r="AE1712">
        <v>0</v>
      </c>
      <c r="AF1712"/>
      <c r="AG1712"/>
      <c r="AH1712"/>
    </row>
    <row r="1713" spans="1:34" x14ac:dyDescent="0.25">
      <c r="A1713" t="s">
        <v>2091</v>
      </c>
      <c r="B1713" t="s">
        <v>2092</v>
      </c>
      <c r="C1713"/>
      <c r="D1713" t="s">
        <v>1778</v>
      </c>
      <c r="E1713" t="s">
        <v>2324</v>
      </c>
      <c r="F1713" t="s">
        <v>2327</v>
      </c>
      <c r="G1713" t="s">
        <v>280</v>
      </c>
      <c r="H1713" t="s">
        <v>2328</v>
      </c>
      <c r="I1713" t="s">
        <v>35</v>
      </c>
      <c r="J1713"/>
      <c r="K1713">
        <v>1</v>
      </c>
      <c r="L1713">
        <v>1</v>
      </c>
      <c r="M1713" t="s">
        <v>33</v>
      </c>
      <c r="N1713">
        <v>1</v>
      </c>
      <c r="O1713"/>
      <c r="P1713">
        <v>0</v>
      </c>
      <c r="Q1713" t="s">
        <v>38</v>
      </c>
      <c r="R1713">
        <v>1</v>
      </c>
      <c r="S1713">
        <v>0</v>
      </c>
      <c r="T1713"/>
      <c r="U1713"/>
      <c r="V1713"/>
      <c r="W1713"/>
      <c r="X1713">
        <v>0</v>
      </c>
      <c r="Y1713"/>
      <c r="Z1713">
        <v>0</v>
      </c>
      <c r="AA1713"/>
      <c r="AB1713"/>
      <c r="AC1713"/>
      <c r="AD1713"/>
      <c r="AE1713">
        <v>0</v>
      </c>
      <c r="AF1713"/>
      <c r="AG1713"/>
      <c r="AH1713"/>
    </row>
    <row r="1714" spans="1:34" x14ac:dyDescent="0.25">
      <c r="A1714" t="s">
        <v>2091</v>
      </c>
      <c r="B1714" t="s">
        <v>2092</v>
      </c>
      <c r="C1714"/>
      <c r="D1714" t="s">
        <v>1778</v>
      </c>
      <c r="E1714" t="s">
        <v>2324</v>
      </c>
      <c r="F1714" t="s">
        <v>2329</v>
      </c>
      <c r="G1714" t="s">
        <v>280</v>
      </c>
      <c r="H1714" t="s">
        <v>2330</v>
      </c>
      <c r="I1714" t="s">
        <v>35</v>
      </c>
      <c r="J1714"/>
      <c r="K1714">
        <v>1</v>
      </c>
      <c r="L1714">
        <v>1</v>
      </c>
      <c r="M1714" t="s">
        <v>33</v>
      </c>
      <c r="N1714">
        <v>1</v>
      </c>
      <c r="O1714"/>
      <c r="P1714">
        <v>0</v>
      </c>
      <c r="Q1714" t="s">
        <v>38</v>
      </c>
      <c r="R1714">
        <v>1</v>
      </c>
      <c r="S1714">
        <v>0</v>
      </c>
      <c r="T1714"/>
      <c r="U1714"/>
      <c r="V1714"/>
      <c r="W1714"/>
      <c r="X1714">
        <v>0</v>
      </c>
      <c r="Y1714"/>
      <c r="Z1714">
        <v>0</v>
      </c>
      <c r="AA1714"/>
      <c r="AB1714"/>
      <c r="AC1714"/>
      <c r="AD1714"/>
      <c r="AE1714">
        <v>0</v>
      </c>
      <c r="AF1714"/>
      <c r="AG1714"/>
      <c r="AH1714"/>
    </row>
    <row r="1715" spans="1:34" x14ac:dyDescent="0.25">
      <c r="A1715" t="s">
        <v>2120</v>
      </c>
      <c r="B1715" t="s">
        <v>2121</v>
      </c>
      <c r="C1715"/>
      <c r="D1715" t="s">
        <v>1778</v>
      </c>
      <c r="E1715" t="s">
        <v>2324</v>
      </c>
      <c r="F1715" t="s">
        <v>2331</v>
      </c>
      <c r="G1715" t="s">
        <v>280</v>
      </c>
      <c r="H1715" t="s">
        <v>2332</v>
      </c>
      <c r="I1715" t="s">
        <v>35</v>
      </c>
      <c r="J1715"/>
      <c r="K1715">
        <v>1</v>
      </c>
      <c r="L1715">
        <v>1</v>
      </c>
      <c r="M1715" t="s">
        <v>33</v>
      </c>
      <c r="N1715">
        <v>1</v>
      </c>
      <c r="O1715"/>
      <c r="P1715">
        <v>0</v>
      </c>
      <c r="Q1715" t="s">
        <v>38</v>
      </c>
      <c r="R1715">
        <v>1</v>
      </c>
      <c r="S1715">
        <v>0</v>
      </c>
      <c r="T1715"/>
      <c r="U1715"/>
      <c r="V1715"/>
      <c r="W1715"/>
      <c r="X1715">
        <v>0</v>
      </c>
      <c r="Y1715"/>
      <c r="Z1715">
        <v>0</v>
      </c>
      <c r="AA1715"/>
      <c r="AB1715"/>
      <c r="AC1715"/>
      <c r="AD1715"/>
      <c r="AE1715">
        <v>0</v>
      </c>
      <c r="AF1715"/>
      <c r="AG1715" t="s">
        <v>3467</v>
      </c>
      <c r="AH1715"/>
    </row>
    <row r="1716" spans="1:34" x14ac:dyDescent="0.25">
      <c r="A1716" t="s">
        <v>2120</v>
      </c>
      <c r="B1716" t="s">
        <v>2121</v>
      </c>
      <c r="C1716"/>
      <c r="D1716" t="s">
        <v>1778</v>
      </c>
      <c r="E1716" t="s">
        <v>2324</v>
      </c>
      <c r="F1716" t="s">
        <v>2333</v>
      </c>
      <c r="G1716" t="s">
        <v>280</v>
      </c>
      <c r="H1716" t="s">
        <v>2334</v>
      </c>
      <c r="I1716" t="s">
        <v>35</v>
      </c>
      <c r="J1716"/>
      <c r="K1716">
        <v>1</v>
      </c>
      <c r="L1716">
        <v>1</v>
      </c>
      <c r="M1716" t="s">
        <v>33</v>
      </c>
      <c r="N1716">
        <v>1</v>
      </c>
      <c r="O1716"/>
      <c r="P1716">
        <v>0</v>
      </c>
      <c r="Q1716" t="s">
        <v>38</v>
      </c>
      <c r="R1716">
        <v>1</v>
      </c>
      <c r="S1716">
        <v>0</v>
      </c>
      <c r="T1716"/>
      <c r="U1716"/>
      <c r="V1716"/>
      <c r="W1716"/>
      <c r="X1716">
        <v>0</v>
      </c>
      <c r="Y1716"/>
      <c r="Z1716">
        <v>0</v>
      </c>
      <c r="AA1716"/>
      <c r="AB1716"/>
      <c r="AC1716"/>
      <c r="AD1716"/>
      <c r="AE1716">
        <v>0</v>
      </c>
      <c r="AF1716"/>
      <c r="AG1716" t="s">
        <v>3467</v>
      </c>
      <c r="AH1716"/>
    </row>
    <row r="1717" spans="1:34" x14ac:dyDescent="0.25">
      <c r="A1717" t="s">
        <v>2120</v>
      </c>
      <c r="B1717" t="s">
        <v>2121</v>
      </c>
      <c r="C1717"/>
      <c r="D1717" t="s">
        <v>1778</v>
      </c>
      <c r="E1717" t="s">
        <v>2324</v>
      </c>
      <c r="F1717" t="s">
        <v>2335</v>
      </c>
      <c r="G1717" t="s">
        <v>280</v>
      </c>
      <c r="H1717" t="s">
        <v>2336</v>
      </c>
      <c r="I1717" t="s">
        <v>35</v>
      </c>
      <c r="J1717"/>
      <c r="K1717">
        <v>1</v>
      </c>
      <c r="L1717">
        <v>1</v>
      </c>
      <c r="M1717" t="s">
        <v>33</v>
      </c>
      <c r="N1717">
        <v>1</v>
      </c>
      <c r="O1717"/>
      <c r="P1717">
        <v>0</v>
      </c>
      <c r="Q1717" t="s">
        <v>38</v>
      </c>
      <c r="R1717">
        <v>1</v>
      </c>
      <c r="S1717">
        <v>0</v>
      </c>
      <c r="T1717"/>
      <c r="U1717"/>
      <c r="V1717"/>
      <c r="W1717"/>
      <c r="X1717">
        <v>0</v>
      </c>
      <c r="Y1717"/>
      <c r="Z1717">
        <v>0</v>
      </c>
      <c r="AA1717"/>
      <c r="AB1717"/>
      <c r="AC1717"/>
      <c r="AD1717"/>
      <c r="AE1717">
        <v>0</v>
      </c>
      <c r="AF1717"/>
      <c r="AG1717" t="s">
        <v>3467</v>
      </c>
      <c r="AH1717"/>
    </row>
    <row r="1718" spans="1:34" x14ac:dyDescent="0.25">
      <c r="A1718" t="s">
        <v>3440</v>
      </c>
      <c r="B1718" t="s">
        <v>3441</v>
      </c>
      <c r="C1718"/>
      <c r="D1718" t="s">
        <v>1778</v>
      </c>
      <c r="E1718" t="s">
        <v>2337</v>
      </c>
      <c r="F1718" t="s">
        <v>2338</v>
      </c>
      <c r="G1718" t="s">
        <v>280</v>
      </c>
      <c r="H1718" t="s">
        <v>2339</v>
      </c>
      <c r="I1718" t="s">
        <v>35</v>
      </c>
      <c r="J1718"/>
      <c r="K1718">
        <v>1</v>
      </c>
      <c r="L1718">
        <v>1</v>
      </c>
      <c r="M1718" t="s">
        <v>33</v>
      </c>
      <c r="N1718">
        <v>1</v>
      </c>
      <c r="O1718"/>
      <c r="P1718">
        <v>0</v>
      </c>
      <c r="Q1718" t="s">
        <v>38</v>
      </c>
      <c r="R1718">
        <v>1</v>
      </c>
      <c r="S1718">
        <v>0</v>
      </c>
      <c r="T1718"/>
      <c r="U1718"/>
      <c r="V1718"/>
      <c r="W1718"/>
      <c r="X1718">
        <v>0</v>
      </c>
      <c r="Y1718"/>
      <c r="Z1718">
        <v>0</v>
      </c>
      <c r="AA1718"/>
      <c r="AB1718"/>
      <c r="AC1718"/>
      <c r="AD1718"/>
      <c r="AE1718">
        <v>0</v>
      </c>
      <c r="AF1718"/>
      <c r="AG1718"/>
      <c r="AH1718"/>
    </row>
    <row r="1719" spans="1:34" x14ac:dyDescent="0.25">
      <c r="A1719" t="s">
        <v>3442</v>
      </c>
      <c r="B1719" t="s">
        <v>3443</v>
      </c>
      <c r="C1719"/>
      <c r="D1719" t="s">
        <v>1778</v>
      </c>
      <c r="E1719" t="s">
        <v>2337</v>
      </c>
      <c r="F1719" t="s">
        <v>2338</v>
      </c>
      <c r="G1719" t="s">
        <v>280</v>
      </c>
      <c r="H1719" t="s">
        <v>2339</v>
      </c>
      <c r="I1719" t="s">
        <v>35</v>
      </c>
      <c r="J1719"/>
      <c r="K1719">
        <v>1</v>
      </c>
      <c r="L1719">
        <v>1</v>
      </c>
      <c r="M1719" t="s">
        <v>33</v>
      </c>
      <c r="N1719">
        <v>1</v>
      </c>
      <c r="O1719"/>
      <c r="P1719">
        <v>0</v>
      </c>
      <c r="Q1719" t="s">
        <v>38</v>
      </c>
      <c r="R1719">
        <v>1</v>
      </c>
      <c r="S1719">
        <v>0</v>
      </c>
      <c r="T1719"/>
      <c r="U1719"/>
      <c r="V1719"/>
      <c r="W1719"/>
      <c r="X1719">
        <v>0</v>
      </c>
      <c r="Y1719"/>
      <c r="Z1719">
        <v>0</v>
      </c>
      <c r="AA1719"/>
      <c r="AB1719"/>
      <c r="AC1719"/>
      <c r="AD1719"/>
      <c r="AE1719">
        <v>0</v>
      </c>
      <c r="AF1719"/>
      <c r="AG1719"/>
      <c r="AH1719"/>
    </row>
    <row r="1720" spans="1:34" x14ac:dyDescent="0.25">
      <c r="A1720" t="s">
        <v>3440</v>
      </c>
      <c r="B1720" t="s">
        <v>3441</v>
      </c>
      <c r="C1720"/>
      <c r="D1720" t="s">
        <v>1778</v>
      </c>
      <c r="E1720" t="s">
        <v>2337</v>
      </c>
      <c r="F1720" t="s">
        <v>2340</v>
      </c>
      <c r="G1720" t="s">
        <v>280</v>
      </c>
      <c r="H1720" t="s">
        <v>2341</v>
      </c>
      <c r="I1720" t="s">
        <v>35</v>
      </c>
      <c r="J1720"/>
      <c r="K1720">
        <v>1</v>
      </c>
      <c r="L1720">
        <v>1</v>
      </c>
      <c r="M1720" t="s">
        <v>33</v>
      </c>
      <c r="N1720">
        <v>1</v>
      </c>
      <c r="O1720"/>
      <c r="P1720">
        <v>0</v>
      </c>
      <c r="Q1720" t="s">
        <v>38</v>
      </c>
      <c r="R1720">
        <v>1</v>
      </c>
      <c r="S1720">
        <v>0</v>
      </c>
      <c r="T1720"/>
      <c r="U1720"/>
      <c r="V1720"/>
      <c r="W1720"/>
      <c r="X1720">
        <v>0</v>
      </c>
      <c r="Y1720"/>
      <c r="Z1720">
        <v>0</v>
      </c>
      <c r="AA1720"/>
      <c r="AB1720"/>
      <c r="AC1720"/>
      <c r="AD1720"/>
      <c r="AE1720">
        <v>0</v>
      </c>
      <c r="AF1720"/>
      <c r="AG1720"/>
      <c r="AH1720"/>
    </row>
    <row r="1721" spans="1:34" x14ac:dyDescent="0.25">
      <c r="A1721" t="s">
        <v>3442</v>
      </c>
      <c r="B1721" t="s">
        <v>3443</v>
      </c>
      <c r="C1721"/>
      <c r="D1721" t="s">
        <v>1778</v>
      </c>
      <c r="E1721" t="s">
        <v>2337</v>
      </c>
      <c r="F1721" t="s">
        <v>2340</v>
      </c>
      <c r="G1721" t="s">
        <v>280</v>
      </c>
      <c r="H1721" t="s">
        <v>2341</v>
      </c>
      <c r="I1721" t="s">
        <v>35</v>
      </c>
      <c r="J1721"/>
      <c r="K1721">
        <v>1</v>
      </c>
      <c r="L1721">
        <v>1</v>
      </c>
      <c r="M1721" t="s">
        <v>33</v>
      </c>
      <c r="N1721">
        <v>1</v>
      </c>
      <c r="O1721"/>
      <c r="P1721">
        <v>0</v>
      </c>
      <c r="Q1721" t="s">
        <v>38</v>
      </c>
      <c r="R1721">
        <v>1</v>
      </c>
      <c r="S1721">
        <v>0</v>
      </c>
      <c r="T1721"/>
      <c r="U1721"/>
      <c r="V1721"/>
      <c r="W1721"/>
      <c r="X1721">
        <v>0</v>
      </c>
      <c r="Y1721"/>
      <c r="Z1721">
        <v>0</v>
      </c>
      <c r="AA1721"/>
      <c r="AB1721"/>
      <c r="AC1721"/>
      <c r="AD1721"/>
      <c r="AE1721">
        <v>0</v>
      </c>
      <c r="AF1721"/>
      <c r="AG1721"/>
      <c r="AH1721"/>
    </row>
    <row r="1722" spans="1:34" x14ac:dyDescent="0.25">
      <c r="A1722" t="s">
        <v>3440</v>
      </c>
      <c r="B1722" t="s">
        <v>3441</v>
      </c>
      <c r="C1722"/>
      <c r="D1722" t="s">
        <v>1778</v>
      </c>
      <c r="E1722" t="s">
        <v>2337</v>
      </c>
      <c r="F1722" t="s">
        <v>2342</v>
      </c>
      <c r="G1722" t="s">
        <v>280</v>
      </c>
      <c r="H1722" t="s">
        <v>2343</v>
      </c>
      <c r="I1722" t="s">
        <v>35</v>
      </c>
      <c r="J1722"/>
      <c r="K1722">
        <v>1</v>
      </c>
      <c r="L1722">
        <v>1</v>
      </c>
      <c r="M1722" t="s">
        <v>33</v>
      </c>
      <c r="N1722">
        <v>1</v>
      </c>
      <c r="O1722"/>
      <c r="P1722">
        <v>0</v>
      </c>
      <c r="Q1722" t="s">
        <v>38</v>
      </c>
      <c r="R1722">
        <v>1</v>
      </c>
      <c r="S1722">
        <v>0</v>
      </c>
      <c r="T1722"/>
      <c r="U1722"/>
      <c r="V1722"/>
      <c r="W1722"/>
      <c r="X1722">
        <v>0</v>
      </c>
      <c r="Y1722"/>
      <c r="Z1722">
        <v>0</v>
      </c>
      <c r="AA1722"/>
      <c r="AB1722"/>
      <c r="AC1722"/>
      <c r="AD1722"/>
      <c r="AE1722">
        <v>0</v>
      </c>
      <c r="AF1722"/>
      <c r="AG1722"/>
      <c r="AH1722"/>
    </row>
    <row r="1723" spans="1:34" x14ac:dyDescent="0.25">
      <c r="A1723" t="s">
        <v>3442</v>
      </c>
      <c r="B1723" t="s">
        <v>3443</v>
      </c>
      <c r="C1723"/>
      <c r="D1723" t="s">
        <v>1778</v>
      </c>
      <c r="E1723" t="s">
        <v>2337</v>
      </c>
      <c r="F1723" t="s">
        <v>2342</v>
      </c>
      <c r="G1723" t="s">
        <v>280</v>
      </c>
      <c r="H1723" t="s">
        <v>2343</v>
      </c>
      <c r="I1723" t="s">
        <v>35</v>
      </c>
      <c r="J1723"/>
      <c r="K1723">
        <v>1</v>
      </c>
      <c r="L1723">
        <v>1</v>
      </c>
      <c r="M1723" t="s">
        <v>33</v>
      </c>
      <c r="N1723">
        <v>1</v>
      </c>
      <c r="O1723"/>
      <c r="P1723">
        <v>0</v>
      </c>
      <c r="Q1723" t="s">
        <v>38</v>
      </c>
      <c r="R1723">
        <v>1</v>
      </c>
      <c r="S1723">
        <v>0</v>
      </c>
      <c r="T1723"/>
      <c r="U1723"/>
      <c r="V1723"/>
      <c r="W1723"/>
      <c r="X1723">
        <v>0</v>
      </c>
      <c r="Y1723"/>
      <c r="Z1723">
        <v>0</v>
      </c>
      <c r="AA1723"/>
      <c r="AB1723"/>
      <c r="AC1723"/>
      <c r="AD1723"/>
      <c r="AE1723">
        <v>0</v>
      </c>
      <c r="AF1723"/>
      <c r="AG1723"/>
      <c r="AH1723"/>
    </row>
    <row r="1724" spans="1:34" x14ac:dyDescent="0.25">
      <c r="A1724" t="s">
        <v>3440</v>
      </c>
      <c r="B1724" t="s">
        <v>3441</v>
      </c>
      <c r="C1724"/>
      <c r="D1724" t="s">
        <v>1778</v>
      </c>
      <c r="E1724" t="s">
        <v>2337</v>
      </c>
      <c r="F1724" t="s">
        <v>2344</v>
      </c>
      <c r="G1724" t="s">
        <v>280</v>
      </c>
      <c r="H1724" t="s">
        <v>2345</v>
      </c>
      <c r="I1724" t="s">
        <v>35</v>
      </c>
      <c r="J1724"/>
      <c r="K1724">
        <v>1</v>
      </c>
      <c r="L1724">
        <v>1</v>
      </c>
      <c r="M1724" t="s">
        <v>33</v>
      </c>
      <c r="N1724">
        <v>1</v>
      </c>
      <c r="O1724"/>
      <c r="P1724">
        <v>0</v>
      </c>
      <c r="Q1724" t="s">
        <v>38</v>
      </c>
      <c r="R1724">
        <v>1</v>
      </c>
      <c r="S1724">
        <v>0</v>
      </c>
      <c r="T1724"/>
      <c r="U1724"/>
      <c r="V1724"/>
      <c r="W1724"/>
      <c r="X1724">
        <v>0</v>
      </c>
      <c r="Y1724"/>
      <c r="Z1724">
        <v>0</v>
      </c>
      <c r="AA1724"/>
      <c r="AB1724"/>
      <c r="AC1724"/>
      <c r="AD1724"/>
      <c r="AE1724">
        <v>0</v>
      </c>
      <c r="AF1724"/>
      <c r="AG1724"/>
      <c r="AH1724"/>
    </row>
    <row r="1725" spans="1:34" x14ac:dyDescent="0.25">
      <c r="A1725" t="s">
        <v>3442</v>
      </c>
      <c r="B1725" t="s">
        <v>3443</v>
      </c>
      <c r="C1725"/>
      <c r="D1725" t="s">
        <v>1778</v>
      </c>
      <c r="E1725" t="s">
        <v>2337</v>
      </c>
      <c r="F1725" t="s">
        <v>2344</v>
      </c>
      <c r="G1725" t="s">
        <v>280</v>
      </c>
      <c r="H1725" t="s">
        <v>2345</v>
      </c>
      <c r="I1725" t="s">
        <v>35</v>
      </c>
      <c r="J1725"/>
      <c r="K1725">
        <v>1</v>
      </c>
      <c r="L1725">
        <v>1</v>
      </c>
      <c r="M1725" t="s">
        <v>33</v>
      </c>
      <c r="N1725">
        <v>1</v>
      </c>
      <c r="O1725"/>
      <c r="P1725">
        <v>0</v>
      </c>
      <c r="Q1725" t="s">
        <v>38</v>
      </c>
      <c r="R1725">
        <v>1</v>
      </c>
      <c r="S1725">
        <v>0</v>
      </c>
      <c r="T1725"/>
      <c r="U1725"/>
      <c r="V1725"/>
      <c r="W1725"/>
      <c r="X1725">
        <v>0</v>
      </c>
      <c r="Y1725"/>
      <c r="Z1725">
        <v>0</v>
      </c>
      <c r="AA1725"/>
      <c r="AB1725"/>
      <c r="AC1725"/>
      <c r="AD1725"/>
      <c r="AE1725">
        <v>0</v>
      </c>
      <c r="AF1725"/>
      <c r="AG1725"/>
      <c r="AH1725"/>
    </row>
    <row r="1726" spans="1:34" x14ac:dyDescent="0.25">
      <c r="A1726" t="s">
        <v>3440</v>
      </c>
      <c r="B1726" t="s">
        <v>3441</v>
      </c>
      <c r="C1726"/>
      <c r="D1726" t="s">
        <v>1778</v>
      </c>
      <c r="E1726" t="s">
        <v>2337</v>
      </c>
      <c r="F1726" t="s">
        <v>2346</v>
      </c>
      <c r="G1726" t="s">
        <v>280</v>
      </c>
      <c r="H1726" t="s">
        <v>2345</v>
      </c>
      <c r="I1726" t="s">
        <v>35</v>
      </c>
      <c r="J1726"/>
      <c r="K1726">
        <v>1</v>
      </c>
      <c r="L1726">
        <v>1</v>
      </c>
      <c r="M1726" t="s">
        <v>33</v>
      </c>
      <c r="N1726">
        <v>1</v>
      </c>
      <c r="O1726"/>
      <c r="P1726">
        <v>0</v>
      </c>
      <c r="Q1726" t="s">
        <v>38</v>
      </c>
      <c r="R1726">
        <v>1</v>
      </c>
      <c r="S1726">
        <v>0</v>
      </c>
      <c r="T1726"/>
      <c r="U1726"/>
      <c r="V1726"/>
      <c r="W1726"/>
      <c r="X1726">
        <v>0</v>
      </c>
      <c r="Y1726"/>
      <c r="Z1726">
        <v>0</v>
      </c>
      <c r="AA1726"/>
      <c r="AB1726"/>
      <c r="AC1726"/>
      <c r="AD1726"/>
      <c r="AE1726">
        <v>0</v>
      </c>
      <c r="AF1726"/>
      <c r="AG1726"/>
      <c r="AH1726"/>
    </row>
    <row r="1727" spans="1:34" x14ac:dyDescent="0.25">
      <c r="A1727" t="s">
        <v>3442</v>
      </c>
      <c r="B1727" t="s">
        <v>3443</v>
      </c>
      <c r="C1727"/>
      <c r="D1727" t="s">
        <v>1778</v>
      </c>
      <c r="E1727" t="s">
        <v>2337</v>
      </c>
      <c r="F1727" t="s">
        <v>2346</v>
      </c>
      <c r="G1727" t="s">
        <v>280</v>
      </c>
      <c r="H1727" t="s">
        <v>2345</v>
      </c>
      <c r="I1727" t="s">
        <v>35</v>
      </c>
      <c r="J1727"/>
      <c r="K1727">
        <v>1</v>
      </c>
      <c r="L1727">
        <v>1</v>
      </c>
      <c r="M1727" t="s">
        <v>33</v>
      </c>
      <c r="N1727">
        <v>1</v>
      </c>
      <c r="O1727"/>
      <c r="P1727">
        <v>0</v>
      </c>
      <c r="Q1727" t="s">
        <v>38</v>
      </c>
      <c r="R1727">
        <v>1</v>
      </c>
      <c r="S1727">
        <v>0</v>
      </c>
      <c r="T1727"/>
      <c r="U1727"/>
      <c r="V1727"/>
      <c r="W1727"/>
      <c r="X1727">
        <v>0</v>
      </c>
      <c r="Y1727"/>
      <c r="Z1727">
        <v>0</v>
      </c>
      <c r="AA1727"/>
      <c r="AB1727"/>
      <c r="AC1727"/>
      <c r="AD1727"/>
      <c r="AE1727">
        <v>0</v>
      </c>
      <c r="AF1727"/>
      <c r="AG1727"/>
      <c r="AH1727"/>
    </row>
    <row r="1728" spans="1:34" x14ac:dyDescent="0.25">
      <c r="A1728" t="s">
        <v>3440</v>
      </c>
      <c r="B1728" t="s">
        <v>3441</v>
      </c>
      <c r="C1728"/>
      <c r="D1728" t="s">
        <v>1778</v>
      </c>
      <c r="E1728" t="s">
        <v>2337</v>
      </c>
      <c r="F1728" t="s">
        <v>2347</v>
      </c>
      <c r="G1728" t="s">
        <v>280</v>
      </c>
      <c r="H1728" t="s">
        <v>2348</v>
      </c>
      <c r="I1728" t="s">
        <v>35</v>
      </c>
      <c r="J1728"/>
      <c r="K1728">
        <v>1</v>
      </c>
      <c r="L1728">
        <v>1</v>
      </c>
      <c r="M1728" t="s">
        <v>33</v>
      </c>
      <c r="N1728">
        <v>1</v>
      </c>
      <c r="O1728"/>
      <c r="P1728">
        <v>0</v>
      </c>
      <c r="Q1728" t="s">
        <v>38</v>
      </c>
      <c r="R1728">
        <v>1</v>
      </c>
      <c r="S1728">
        <v>0</v>
      </c>
      <c r="T1728"/>
      <c r="U1728"/>
      <c r="V1728"/>
      <c r="W1728"/>
      <c r="X1728">
        <v>0</v>
      </c>
      <c r="Y1728"/>
      <c r="Z1728">
        <v>0</v>
      </c>
      <c r="AA1728"/>
      <c r="AB1728"/>
      <c r="AC1728"/>
      <c r="AD1728"/>
      <c r="AE1728">
        <v>0</v>
      </c>
      <c r="AF1728"/>
      <c r="AG1728"/>
      <c r="AH1728"/>
    </row>
    <row r="1729" spans="1:34" x14ac:dyDescent="0.25">
      <c r="A1729" t="s">
        <v>3442</v>
      </c>
      <c r="B1729" t="s">
        <v>3443</v>
      </c>
      <c r="C1729"/>
      <c r="D1729" t="s">
        <v>1778</v>
      </c>
      <c r="E1729" t="s">
        <v>2337</v>
      </c>
      <c r="F1729" t="s">
        <v>2347</v>
      </c>
      <c r="G1729" t="s">
        <v>280</v>
      </c>
      <c r="H1729" t="s">
        <v>2348</v>
      </c>
      <c r="I1729" t="s">
        <v>35</v>
      </c>
      <c r="J1729"/>
      <c r="K1729">
        <v>1</v>
      </c>
      <c r="L1729">
        <v>1</v>
      </c>
      <c r="M1729" t="s">
        <v>33</v>
      </c>
      <c r="N1729">
        <v>1</v>
      </c>
      <c r="O1729"/>
      <c r="P1729">
        <v>0</v>
      </c>
      <c r="Q1729" t="s">
        <v>38</v>
      </c>
      <c r="R1729">
        <v>1</v>
      </c>
      <c r="S1729">
        <v>0</v>
      </c>
      <c r="T1729"/>
      <c r="U1729"/>
      <c r="V1729"/>
      <c r="W1729"/>
      <c r="X1729">
        <v>0</v>
      </c>
      <c r="Y1729"/>
      <c r="Z1729">
        <v>0</v>
      </c>
      <c r="AA1729"/>
      <c r="AB1729"/>
      <c r="AC1729"/>
      <c r="AD1729"/>
      <c r="AE1729">
        <v>0</v>
      </c>
      <c r="AF1729"/>
      <c r="AG1729"/>
      <c r="AH1729"/>
    </row>
    <row r="1730" spans="1:34" x14ac:dyDescent="0.25">
      <c r="A1730" t="s">
        <v>3440</v>
      </c>
      <c r="B1730" t="s">
        <v>3441</v>
      </c>
      <c r="C1730"/>
      <c r="D1730" t="s">
        <v>1778</v>
      </c>
      <c r="E1730" t="s">
        <v>2337</v>
      </c>
      <c r="F1730" t="s">
        <v>2349</v>
      </c>
      <c r="G1730" t="s">
        <v>280</v>
      </c>
      <c r="H1730" t="s">
        <v>2350</v>
      </c>
      <c r="I1730" t="s">
        <v>35</v>
      </c>
      <c r="J1730"/>
      <c r="K1730">
        <v>1</v>
      </c>
      <c r="L1730">
        <v>1</v>
      </c>
      <c r="M1730" t="s">
        <v>33</v>
      </c>
      <c r="N1730">
        <v>1</v>
      </c>
      <c r="O1730"/>
      <c r="P1730">
        <v>0</v>
      </c>
      <c r="Q1730" t="s">
        <v>38</v>
      </c>
      <c r="R1730">
        <v>1</v>
      </c>
      <c r="S1730">
        <v>0</v>
      </c>
      <c r="T1730"/>
      <c r="U1730"/>
      <c r="V1730"/>
      <c r="W1730"/>
      <c r="X1730">
        <v>0</v>
      </c>
      <c r="Y1730"/>
      <c r="Z1730">
        <v>0</v>
      </c>
      <c r="AA1730"/>
      <c r="AB1730"/>
      <c r="AC1730"/>
      <c r="AD1730"/>
      <c r="AE1730">
        <v>0</v>
      </c>
      <c r="AF1730"/>
      <c r="AG1730"/>
      <c r="AH1730"/>
    </row>
    <row r="1731" spans="1:34" x14ac:dyDescent="0.25">
      <c r="A1731" t="s">
        <v>3442</v>
      </c>
      <c r="B1731" t="s">
        <v>3443</v>
      </c>
      <c r="C1731"/>
      <c r="D1731" t="s">
        <v>1778</v>
      </c>
      <c r="E1731" t="s">
        <v>2337</v>
      </c>
      <c r="F1731" t="s">
        <v>2349</v>
      </c>
      <c r="G1731" t="s">
        <v>280</v>
      </c>
      <c r="H1731" t="s">
        <v>2350</v>
      </c>
      <c r="I1731" t="s">
        <v>35</v>
      </c>
      <c r="J1731"/>
      <c r="K1731">
        <v>1</v>
      </c>
      <c r="L1731">
        <v>1</v>
      </c>
      <c r="M1731" t="s">
        <v>33</v>
      </c>
      <c r="N1731">
        <v>1</v>
      </c>
      <c r="O1731"/>
      <c r="P1731">
        <v>0</v>
      </c>
      <c r="Q1731" t="s">
        <v>38</v>
      </c>
      <c r="R1731">
        <v>1</v>
      </c>
      <c r="S1731">
        <v>0</v>
      </c>
      <c r="T1731"/>
      <c r="U1731"/>
      <c r="V1731"/>
      <c r="W1731"/>
      <c r="X1731">
        <v>0</v>
      </c>
      <c r="Y1731"/>
      <c r="Z1731">
        <v>0</v>
      </c>
      <c r="AA1731"/>
      <c r="AB1731"/>
      <c r="AC1731"/>
      <c r="AD1731"/>
      <c r="AE1731">
        <v>0</v>
      </c>
      <c r="AF1731"/>
      <c r="AG1731"/>
      <c r="AH1731"/>
    </row>
    <row r="1732" spans="1:34" x14ac:dyDescent="0.25">
      <c r="A1732" t="s">
        <v>3440</v>
      </c>
      <c r="B1732" t="s">
        <v>3441</v>
      </c>
      <c r="C1732"/>
      <c r="D1732" t="s">
        <v>1778</v>
      </c>
      <c r="E1732" t="s">
        <v>2337</v>
      </c>
      <c r="F1732" t="s">
        <v>2351</v>
      </c>
      <c r="G1732" t="s">
        <v>280</v>
      </c>
      <c r="H1732" t="s">
        <v>2352</v>
      </c>
      <c r="I1732" t="s">
        <v>35</v>
      </c>
      <c r="J1732"/>
      <c r="K1732">
        <v>1</v>
      </c>
      <c r="L1732">
        <v>1</v>
      </c>
      <c r="M1732" t="s">
        <v>33</v>
      </c>
      <c r="N1732">
        <v>1</v>
      </c>
      <c r="O1732"/>
      <c r="P1732">
        <v>0</v>
      </c>
      <c r="Q1732" t="s">
        <v>38</v>
      </c>
      <c r="R1732">
        <v>1</v>
      </c>
      <c r="S1732">
        <v>0</v>
      </c>
      <c r="T1732"/>
      <c r="U1732"/>
      <c r="V1732"/>
      <c r="W1732"/>
      <c r="X1732">
        <v>0</v>
      </c>
      <c r="Y1732"/>
      <c r="Z1732">
        <v>0</v>
      </c>
      <c r="AA1732"/>
      <c r="AB1732"/>
      <c r="AC1732"/>
      <c r="AD1732"/>
      <c r="AE1732">
        <v>0</v>
      </c>
      <c r="AF1732"/>
      <c r="AG1732"/>
      <c r="AH1732"/>
    </row>
    <row r="1733" spans="1:34" x14ac:dyDescent="0.25">
      <c r="A1733" t="s">
        <v>3442</v>
      </c>
      <c r="B1733" t="s">
        <v>3443</v>
      </c>
      <c r="C1733"/>
      <c r="D1733" t="s">
        <v>1778</v>
      </c>
      <c r="E1733" t="s">
        <v>2337</v>
      </c>
      <c r="F1733" t="s">
        <v>2351</v>
      </c>
      <c r="G1733" t="s">
        <v>280</v>
      </c>
      <c r="H1733" t="s">
        <v>2352</v>
      </c>
      <c r="I1733" t="s">
        <v>35</v>
      </c>
      <c r="J1733"/>
      <c r="K1733">
        <v>1</v>
      </c>
      <c r="L1733">
        <v>1</v>
      </c>
      <c r="M1733" t="s">
        <v>33</v>
      </c>
      <c r="N1733">
        <v>1</v>
      </c>
      <c r="O1733"/>
      <c r="P1733">
        <v>0</v>
      </c>
      <c r="Q1733" t="s">
        <v>38</v>
      </c>
      <c r="R1733">
        <v>1</v>
      </c>
      <c r="S1733">
        <v>0</v>
      </c>
      <c r="T1733"/>
      <c r="U1733"/>
      <c r="V1733"/>
      <c r="W1733"/>
      <c r="X1733">
        <v>0</v>
      </c>
      <c r="Y1733"/>
      <c r="Z1733">
        <v>0</v>
      </c>
      <c r="AA1733"/>
      <c r="AB1733"/>
      <c r="AC1733"/>
      <c r="AD1733"/>
      <c r="AE1733">
        <v>0</v>
      </c>
      <c r="AF1733"/>
      <c r="AG1733"/>
      <c r="AH1733"/>
    </row>
    <row r="1734" spans="1:34" x14ac:dyDescent="0.25">
      <c r="A1734" t="s">
        <v>3440</v>
      </c>
      <c r="B1734" t="s">
        <v>3441</v>
      </c>
      <c r="C1734"/>
      <c r="D1734" t="s">
        <v>1778</v>
      </c>
      <c r="E1734" t="s">
        <v>2337</v>
      </c>
      <c r="F1734" t="s">
        <v>2353</v>
      </c>
      <c r="G1734" t="s">
        <v>280</v>
      </c>
      <c r="H1734" t="s">
        <v>2354</v>
      </c>
      <c r="I1734" t="s">
        <v>35</v>
      </c>
      <c r="J1734"/>
      <c r="K1734">
        <v>1</v>
      </c>
      <c r="L1734">
        <v>1</v>
      </c>
      <c r="M1734" t="s">
        <v>33</v>
      </c>
      <c r="N1734">
        <v>1</v>
      </c>
      <c r="O1734"/>
      <c r="P1734">
        <v>0</v>
      </c>
      <c r="Q1734" t="s">
        <v>38</v>
      </c>
      <c r="R1734">
        <v>1</v>
      </c>
      <c r="S1734">
        <v>0</v>
      </c>
      <c r="T1734"/>
      <c r="U1734"/>
      <c r="V1734"/>
      <c r="W1734"/>
      <c r="X1734">
        <v>0</v>
      </c>
      <c r="Y1734"/>
      <c r="Z1734">
        <v>0</v>
      </c>
      <c r="AA1734"/>
      <c r="AB1734"/>
      <c r="AC1734"/>
      <c r="AD1734"/>
      <c r="AE1734">
        <v>0</v>
      </c>
      <c r="AF1734"/>
      <c r="AG1734"/>
      <c r="AH1734"/>
    </row>
    <row r="1735" spans="1:34" x14ac:dyDescent="0.25">
      <c r="A1735" t="s">
        <v>3442</v>
      </c>
      <c r="B1735" t="s">
        <v>3443</v>
      </c>
      <c r="C1735"/>
      <c r="D1735" t="s">
        <v>1778</v>
      </c>
      <c r="E1735" t="s">
        <v>2337</v>
      </c>
      <c r="F1735" t="s">
        <v>2353</v>
      </c>
      <c r="G1735" t="s">
        <v>280</v>
      </c>
      <c r="H1735" t="s">
        <v>2354</v>
      </c>
      <c r="I1735" t="s">
        <v>35</v>
      </c>
      <c r="J1735"/>
      <c r="K1735">
        <v>1</v>
      </c>
      <c r="L1735">
        <v>1</v>
      </c>
      <c r="M1735" t="s">
        <v>33</v>
      </c>
      <c r="N1735">
        <v>1</v>
      </c>
      <c r="O1735"/>
      <c r="P1735">
        <v>0</v>
      </c>
      <c r="Q1735" t="s">
        <v>38</v>
      </c>
      <c r="R1735">
        <v>1</v>
      </c>
      <c r="S1735">
        <v>0</v>
      </c>
      <c r="T1735"/>
      <c r="U1735"/>
      <c r="V1735"/>
      <c r="W1735"/>
      <c r="X1735">
        <v>0</v>
      </c>
      <c r="Y1735"/>
      <c r="Z1735">
        <v>0</v>
      </c>
      <c r="AA1735"/>
      <c r="AB1735"/>
      <c r="AC1735"/>
      <c r="AD1735"/>
      <c r="AE1735">
        <v>0</v>
      </c>
      <c r="AF1735"/>
      <c r="AG1735"/>
      <c r="AH1735"/>
    </row>
    <row r="1736" spans="1:34" x14ac:dyDescent="0.25">
      <c r="A1736" t="s">
        <v>3440</v>
      </c>
      <c r="B1736" t="s">
        <v>3441</v>
      </c>
      <c r="C1736"/>
      <c r="D1736" t="s">
        <v>1778</v>
      </c>
      <c r="E1736" t="s">
        <v>2337</v>
      </c>
      <c r="F1736" t="s">
        <v>2355</v>
      </c>
      <c r="G1736" t="s">
        <v>280</v>
      </c>
      <c r="H1736" t="s">
        <v>2356</v>
      </c>
      <c r="I1736" t="s">
        <v>35</v>
      </c>
      <c r="J1736"/>
      <c r="K1736">
        <v>1</v>
      </c>
      <c r="L1736">
        <v>1</v>
      </c>
      <c r="M1736" t="s">
        <v>33</v>
      </c>
      <c r="N1736">
        <v>1</v>
      </c>
      <c r="O1736"/>
      <c r="P1736">
        <v>0</v>
      </c>
      <c r="Q1736" t="s">
        <v>38</v>
      </c>
      <c r="R1736">
        <v>1</v>
      </c>
      <c r="S1736">
        <v>0</v>
      </c>
      <c r="T1736"/>
      <c r="U1736"/>
      <c r="V1736"/>
      <c r="W1736"/>
      <c r="X1736">
        <v>0</v>
      </c>
      <c r="Y1736"/>
      <c r="Z1736">
        <v>0</v>
      </c>
      <c r="AA1736"/>
      <c r="AB1736"/>
      <c r="AC1736"/>
      <c r="AD1736"/>
      <c r="AE1736">
        <v>0</v>
      </c>
      <c r="AF1736"/>
      <c r="AG1736"/>
      <c r="AH1736"/>
    </row>
    <row r="1737" spans="1:34" x14ac:dyDescent="0.25">
      <c r="A1737" t="s">
        <v>3442</v>
      </c>
      <c r="B1737" t="s">
        <v>3443</v>
      </c>
      <c r="C1737"/>
      <c r="D1737" t="s">
        <v>1778</v>
      </c>
      <c r="E1737" t="s">
        <v>2337</v>
      </c>
      <c r="F1737" t="s">
        <v>2355</v>
      </c>
      <c r="G1737" t="s">
        <v>280</v>
      </c>
      <c r="H1737" t="s">
        <v>2356</v>
      </c>
      <c r="I1737" t="s">
        <v>35</v>
      </c>
      <c r="J1737"/>
      <c r="K1737">
        <v>1</v>
      </c>
      <c r="L1737">
        <v>1</v>
      </c>
      <c r="M1737" t="s">
        <v>33</v>
      </c>
      <c r="N1737">
        <v>1</v>
      </c>
      <c r="O1737"/>
      <c r="P1737">
        <v>0</v>
      </c>
      <c r="Q1737" t="s">
        <v>38</v>
      </c>
      <c r="R1737">
        <v>1</v>
      </c>
      <c r="S1737">
        <v>0</v>
      </c>
      <c r="T1737"/>
      <c r="U1737"/>
      <c r="V1737"/>
      <c r="W1737"/>
      <c r="X1737">
        <v>0</v>
      </c>
      <c r="Y1737"/>
      <c r="Z1737">
        <v>0</v>
      </c>
      <c r="AA1737"/>
      <c r="AB1737"/>
      <c r="AC1737"/>
      <c r="AD1737"/>
      <c r="AE1737">
        <v>0</v>
      </c>
      <c r="AF1737"/>
      <c r="AG1737"/>
      <c r="AH1737"/>
    </row>
    <row r="1738" spans="1:34" x14ac:dyDescent="0.25">
      <c r="A1738" t="s">
        <v>3440</v>
      </c>
      <c r="B1738" t="s">
        <v>3441</v>
      </c>
      <c r="C1738"/>
      <c r="D1738" t="s">
        <v>1778</v>
      </c>
      <c r="E1738" t="s">
        <v>2337</v>
      </c>
      <c r="F1738" t="s">
        <v>2357</v>
      </c>
      <c r="G1738" t="s">
        <v>280</v>
      </c>
      <c r="H1738" t="s">
        <v>2358</v>
      </c>
      <c r="I1738" t="s">
        <v>35</v>
      </c>
      <c r="J1738"/>
      <c r="K1738">
        <v>1</v>
      </c>
      <c r="L1738">
        <v>1</v>
      </c>
      <c r="M1738" t="s">
        <v>33</v>
      </c>
      <c r="N1738">
        <v>1</v>
      </c>
      <c r="O1738"/>
      <c r="P1738">
        <v>0</v>
      </c>
      <c r="Q1738" t="s">
        <v>38</v>
      </c>
      <c r="R1738">
        <v>1</v>
      </c>
      <c r="S1738">
        <v>0</v>
      </c>
      <c r="T1738"/>
      <c r="U1738"/>
      <c r="V1738"/>
      <c r="W1738"/>
      <c r="X1738">
        <v>0</v>
      </c>
      <c r="Y1738"/>
      <c r="Z1738">
        <v>0</v>
      </c>
      <c r="AA1738"/>
      <c r="AB1738"/>
      <c r="AC1738"/>
      <c r="AD1738"/>
      <c r="AE1738">
        <v>0</v>
      </c>
      <c r="AF1738"/>
      <c r="AG1738"/>
      <c r="AH1738"/>
    </row>
    <row r="1739" spans="1:34" x14ac:dyDescent="0.25">
      <c r="A1739" t="s">
        <v>3442</v>
      </c>
      <c r="B1739" t="s">
        <v>3443</v>
      </c>
      <c r="C1739"/>
      <c r="D1739" t="s">
        <v>1778</v>
      </c>
      <c r="E1739" t="s">
        <v>2337</v>
      </c>
      <c r="F1739" t="s">
        <v>2357</v>
      </c>
      <c r="G1739" t="s">
        <v>280</v>
      </c>
      <c r="H1739" t="s">
        <v>2358</v>
      </c>
      <c r="I1739" t="s">
        <v>35</v>
      </c>
      <c r="J1739"/>
      <c r="K1739">
        <v>1</v>
      </c>
      <c r="L1739">
        <v>1</v>
      </c>
      <c r="M1739" t="s">
        <v>33</v>
      </c>
      <c r="N1739">
        <v>1</v>
      </c>
      <c r="O1739"/>
      <c r="P1739">
        <v>0</v>
      </c>
      <c r="Q1739" t="s">
        <v>38</v>
      </c>
      <c r="R1739">
        <v>1</v>
      </c>
      <c r="S1739">
        <v>0</v>
      </c>
      <c r="T1739"/>
      <c r="U1739"/>
      <c r="V1739"/>
      <c r="W1739"/>
      <c r="X1739">
        <v>0</v>
      </c>
      <c r="Y1739"/>
      <c r="Z1739">
        <v>0</v>
      </c>
      <c r="AA1739"/>
      <c r="AB1739"/>
      <c r="AC1739"/>
      <c r="AD1739"/>
      <c r="AE1739">
        <v>0</v>
      </c>
      <c r="AF1739"/>
      <c r="AG1739"/>
      <c r="AH1739"/>
    </row>
    <row r="1740" spans="1:34" x14ac:dyDescent="0.25">
      <c r="A1740" t="s">
        <v>3440</v>
      </c>
      <c r="B1740" t="s">
        <v>3441</v>
      </c>
      <c r="C1740"/>
      <c r="D1740" t="s">
        <v>1778</v>
      </c>
      <c r="E1740" t="s">
        <v>2337</v>
      </c>
      <c r="F1740" t="s">
        <v>2359</v>
      </c>
      <c r="G1740" t="s">
        <v>280</v>
      </c>
      <c r="H1740" t="s">
        <v>2358</v>
      </c>
      <c r="I1740" t="s">
        <v>35</v>
      </c>
      <c r="J1740"/>
      <c r="K1740">
        <v>1</v>
      </c>
      <c r="L1740">
        <v>1</v>
      </c>
      <c r="M1740" t="s">
        <v>33</v>
      </c>
      <c r="N1740">
        <v>1</v>
      </c>
      <c r="O1740"/>
      <c r="P1740">
        <v>0</v>
      </c>
      <c r="Q1740" t="s">
        <v>38</v>
      </c>
      <c r="R1740">
        <v>1</v>
      </c>
      <c r="S1740">
        <v>0</v>
      </c>
      <c r="T1740"/>
      <c r="U1740"/>
      <c r="V1740"/>
      <c r="W1740"/>
      <c r="X1740">
        <v>0</v>
      </c>
      <c r="Y1740"/>
      <c r="Z1740">
        <v>0</v>
      </c>
      <c r="AA1740"/>
      <c r="AB1740"/>
      <c r="AC1740"/>
      <c r="AD1740"/>
      <c r="AE1740">
        <v>0</v>
      </c>
      <c r="AF1740"/>
      <c r="AG1740"/>
      <c r="AH1740"/>
    </row>
    <row r="1741" spans="1:34" x14ac:dyDescent="0.25">
      <c r="A1741" t="s">
        <v>3442</v>
      </c>
      <c r="B1741" t="s">
        <v>3443</v>
      </c>
      <c r="C1741"/>
      <c r="D1741" t="s">
        <v>1778</v>
      </c>
      <c r="E1741" t="s">
        <v>2337</v>
      </c>
      <c r="F1741" t="s">
        <v>2359</v>
      </c>
      <c r="G1741" t="s">
        <v>280</v>
      </c>
      <c r="H1741" t="s">
        <v>2358</v>
      </c>
      <c r="I1741" t="s">
        <v>35</v>
      </c>
      <c r="J1741"/>
      <c r="K1741">
        <v>1</v>
      </c>
      <c r="L1741">
        <v>1</v>
      </c>
      <c r="M1741" t="s">
        <v>33</v>
      </c>
      <c r="N1741">
        <v>1</v>
      </c>
      <c r="O1741"/>
      <c r="P1741">
        <v>0</v>
      </c>
      <c r="Q1741" t="s">
        <v>38</v>
      </c>
      <c r="R1741">
        <v>1</v>
      </c>
      <c r="S1741">
        <v>0</v>
      </c>
      <c r="T1741"/>
      <c r="U1741"/>
      <c r="V1741"/>
      <c r="W1741"/>
      <c r="X1741">
        <v>0</v>
      </c>
      <c r="Y1741"/>
      <c r="Z1741">
        <v>0</v>
      </c>
      <c r="AA1741"/>
      <c r="AB1741"/>
      <c r="AC1741"/>
      <c r="AD1741"/>
      <c r="AE1741">
        <v>0</v>
      </c>
      <c r="AF1741"/>
      <c r="AG1741"/>
      <c r="AH1741"/>
    </row>
    <row r="1742" spans="1:34" x14ac:dyDescent="0.25">
      <c r="A1742" t="s">
        <v>3406</v>
      </c>
      <c r="B1742" t="s">
        <v>3407</v>
      </c>
      <c r="C1742"/>
      <c r="D1742" t="s">
        <v>1778</v>
      </c>
      <c r="E1742" t="s">
        <v>2360</v>
      </c>
      <c r="F1742" t="s">
        <v>2361</v>
      </c>
      <c r="G1742" t="s">
        <v>280</v>
      </c>
      <c r="H1742" t="s">
        <v>2362</v>
      </c>
      <c r="I1742" t="s">
        <v>35</v>
      </c>
      <c r="J1742"/>
      <c r="K1742">
        <v>1</v>
      </c>
      <c r="L1742">
        <v>1</v>
      </c>
      <c r="M1742" t="s">
        <v>33</v>
      </c>
      <c r="N1742">
        <v>1</v>
      </c>
      <c r="O1742"/>
      <c r="P1742">
        <v>0</v>
      </c>
      <c r="Q1742" t="s">
        <v>38</v>
      </c>
      <c r="R1742">
        <v>1</v>
      </c>
      <c r="S1742">
        <v>0</v>
      </c>
      <c r="T1742"/>
      <c r="U1742"/>
      <c r="V1742"/>
      <c r="W1742"/>
      <c r="X1742">
        <v>0</v>
      </c>
      <c r="Y1742"/>
      <c r="Z1742">
        <v>0</v>
      </c>
      <c r="AA1742"/>
      <c r="AB1742"/>
      <c r="AC1742"/>
      <c r="AD1742"/>
      <c r="AE1742">
        <v>0</v>
      </c>
      <c r="AF1742"/>
      <c r="AG1742"/>
      <c r="AH1742"/>
    </row>
    <row r="1743" spans="1:34" x14ac:dyDescent="0.25">
      <c r="A1743" t="s">
        <v>3408</v>
      </c>
      <c r="B1743" t="s">
        <v>3409</v>
      </c>
      <c r="C1743"/>
      <c r="D1743" t="s">
        <v>1778</v>
      </c>
      <c r="E1743" t="s">
        <v>2360</v>
      </c>
      <c r="F1743" t="s">
        <v>2361</v>
      </c>
      <c r="G1743" t="s">
        <v>280</v>
      </c>
      <c r="H1743" t="s">
        <v>2362</v>
      </c>
      <c r="I1743" t="s">
        <v>35</v>
      </c>
      <c r="J1743"/>
      <c r="K1743">
        <v>1</v>
      </c>
      <c r="L1743">
        <v>1</v>
      </c>
      <c r="M1743" t="s">
        <v>33</v>
      </c>
      <c r="N1743">
        <v>1</v>
      </c>
      <c r="O1743"/>
      <c r="P1743">
        <v>0</v>
      </c>
      <c r="Q1743" t="s">
        <v>38</v>
      </c>
      <c r="R1743">
        <v>1</v>
      </c>
      <c r="S1743">
        <v>0</v>
      </c>
      <c r="T1743"/>
      <c r="U1743"/>
      <c r="V1743"/>
      <c r="W1743"/>
      <c r="X1743">
        <v>0</v>
      </c>
      <c r="Y1743"/>
      <c r="Z1743">
        <v>0</v>
      </c>
      <c r="AA1743"/>
      <c r="AB1743"/>
      <c r="AC1743"/>
      <c r="AD1743"/>
      <c r="AE1743">
        <v>0</v>
      </c>
      <c r="AF1743"/>
      <c r="AG1743"/>
      <c r="AH1743"/>
    </row>
    <row r="1744" spans="1:34" x14ac:dyDescent="0.25">
      <c r="A1744" t="s">
        <v>3440</v>
      </c>
      <c r="B1744" t="s">
        <v>3441</v>
      </c>
      <c r="C1744"/>
      <c r="D1744" t="s">
        <v>1778</v>
      </c>
      <c r="E1744" t="s">
        <v>2360</v>
      </c>
      <c r="F1744" t="s">
        <v>2361</v>
      </c>
      <c r="G1744" t="s">
        <v>280</v>
      </c>
      <c r="H1744" t="s">
        <v>2362</v>
      </c>
      <c r="I1744" t="s">
        <v>35</v>
      </c>
      <c r="J1744"/>
      <c r="K1744">
        <v>1</v>
      </c>
      <c r="L1744">
        <v>1</v>
      </c>
      <c r="M1744" t="s">
        <v>33</v>
      </c>
      <c r="N1744">
        <v>1</v>
      </c>
      <c r="O1744"/>
      <c r="P1744">
        <v>0</v>
      </c>
      <c r="Q1744" t="s">
        <v>38</v>
      </c>
      <c r="R1744">
        <v>1</v>
      </c>
      <c r="S1744">
        <v>0</v>
      </c>
      <c r="T1744"/>
      <c r="U1744"/>
      <c r="V1744"/>
      <c r="W1744"/>
      <c r="X1744">
        <v>0</v>
      </c>
      <c r="Y1744"/>
      <c r="Z1744">
        <v>0</v>
      </c>
      <c r="AA1744"/>
      <c r="AB1744"/>
      <c r="AC1744"/>
      <c r="AD1744"/>
      <c r="AE1744">
        <v>0</v>
      </c>
      <c r="AF1744"/>
      <c r="AG1744"/>
      <c r="AH1744"/>
    </row>
    <row r="1745" spans="1:34" x14ac:dyDescent="0.25">
      <c r="A1745" t="s">
        <v>3442</v>
      </c>
      <c r="B1745" t="s">
        <v>3443</v>
      </c>
      <c r="C1745"/>
      <c r="D1745" t="s">
        <v>1778</v>
      </c>
      <c r="E1745" t="s">
        <v>2360</v>
      </c>
      <c r="F1745" t="s">
        <v>2361</v>
      </c>
      <c r="G1745" t="s">
        <v>280</v>
      </c>
      <c r="H1745" t="s">
        <v>2362</v>
      </c>
      <c r="I1745" t="s">
        <v>35</v>
      </c>
      <c r="J1745"/>
      <c r="K1745">
        <v>1</v>
      </c>
      <c r="L1745">
        <v>1</v>
      </c>
      <c r="M1745" t="s">
        <v>33</v>
      </c>
      <c r="N1745">
        <v>1</v>
      </c>
      <c r="O1745"/>
      <c r="P1745">
        <v>0</v>
      </c>
      <c r="Q1745" t="s">
        <v>38</v>
      </c>
      <c r="R1745">
        <v>1</v>
      </c>
      <c r="S1745">
        <v>0</v>
      </c>
      <c r="T1745"/>
      <c r="U1745"/>
      <c r="V1745"/>
      <c r="W1745"/>
      <c r="X1745">
        <v>0</v>
      </c>
      <c r="Y1745"/>
      <c r="Z1745">
        <v>0</v>
      </c>
      <c r="AA1745"/>
      <c r="AB1745"/>
      <c r="AC1745"/>
      <c r="AD1745"/>
      <c r="AE1745">
        <v>0</v>
      </c>
      <c r="AF1745"/>
      <c r="AG1745"/>
      <c r="AH1745"/>
    </row>
    <row r="1746" spans="1:34" x14ac:dyDescent="0.25">
      <c r="A1746" t="s">
        <v>3406</v>
      </c>
      <c r="B1746" t="s">
        <v>3407</v>
      </c>
      <c r="C1746"/>
      <c r="D1746" t="s">
        <v>1778</v>
      </c>
      <c r="E1746" t="s">
        <v>2360</v>
      </c>
      <c r="F1746" t="s">
        <v>2363</v>
      </c>
      <c r="G1746" t="s">
        <v>280</v>
      </c>
      <c r="H1746" t="s">
        <v>2364</v>
      </c>
      <c r="I1746" t="s">
        <v>35</v>
      </c>
      <c r="J1746"/>
      <c r="K1746">
        <v>1</v>
      </c>
      <c r="L1746">
        <v>1</v>
      </c>
      <c r="M1746" t="s">
        <v>33</v>
      </c>
      <c r="N1746">
        <v>1</v>
      </c>
      <c r="O1746"/>
      <c r="P1746">
        <v>0</v>
      </c>
      <c r="Q1746" t="s">
        <v>38</v>
      </c>
      <c r="R1746">
        <v>1</v>
      </c>
      <c r="S1746">
        <v>0</v>
      </c>
      <c r="T1746"/>
      <c r="U1746"/>
      <c r="V1746"/>
      <c r="W1746"/>
      <c r="X1746">
        <v>0</v>
      </c>
      <c r="Y1746"/>
      <c r="Z1746">
        <v>0</v>
      </c>
      <c r="AA1746"/>
      <c r="AB1746"/>
      <c r="AC1746"/>
      <c r="AD1746"/>
      <c r="AE1746">
        <v>0</v>
      </c>
      <c r="AF1746"/>
      <c r="AG1746"/>
      <c r="AH1746"/>
    </row>
    <row r="1747" spans="1:34" x14ac:dyDescent="0.25">
      <c r="A1747" t="s">
        <v>3408</v>
      </c>
      <c r="B1747" t="s">
        <v>3409</v>
      </c>
      <c r="C1747"/>
      <c r="D1747" t="s">
        <v>1778</v>
      </c>
      <c r="E1747" t="s">
        <v>2360</v>
      </c>
      <c r="F1747" t="s">
        <v>2363</v>
      </c>
      <c r="G1747" t="s">
        <v>280</v>
      </c>
      <c r="H1747" t="s">
        <v>2364</v>
      </c>
      <c r="I1747" t="s">
        <v>35</v>
      </c>
      <c r="J1747"/>
      <c r="K1747">
        <v>1</v>
      </c>
      <c r="L1747">
        <v>1</v>
      </c>
      <c r="M1747" t="s">
        <v>33</v>
      </c>
      <c r="N1747">
        <v>1</v>
      </c>
      <c r="O1747"/>
      <c r="P1747">
        <v>0</v>
      </c>
      <c r="Q1747" t="s">
        <v>38</v>
      </c>
      <c r="R1747">
        <v>1</v>
      </c>
      <c r="S1747">
        <v>0</v>
      </c>
      <c r="T1747"/>
      <c r="U1747"/>
      <c r="V1747"/>
      <c r="W1747"/>
      <c r="X1747">
        <v>0</v>
      </c>
      <c r="Y1747"/>
      <c r="Z1747">
        <v>0</v>
      </c>
      <c r="AA1747"/>
      <c r="AB1747"/>
      <c r="AC1747"/>
      <c r="AD1747"/>
      <c r="AE1747">
        <v>0</v>
      </c>
      <c r="AF1747"/>
      <c r="AG1747"/>
      <c r="AH1747"/>
    </row>
    <row r="1748" spans="1:34" x14ac:dyDescent="0.25">
      <c r="A1748" t="s">
        <v>3440</v>
      </c>
      <c r="B1748" t="s">
        <v>3441</v>
      </c>
      <c r="C1748"/>
      <c r="D1748" t="s">
        <v>1778</v>
      </c>
      <c r="E1748" t="s">
        <v>2360</v>
      </c>
      <c r="F1748" t="s">
        <v>2363</v>
      </c>
      <c r="G1748" t="s">
        <v>280</v>
      </c>
      <c r="H1748" t="s">
        <v>2364</v>
      </c>
      <c r="I1748" t="s">
        <v>35</v>
      </c>
      <c r="J1748"/>
      <c r="K1748">
        <v>1</v>
      </c>
      <c r="L1748">
        <v>1</v>
      </c>
      <c r="M1748" t="s">
        <v>33</v>
      </c>
      <c r="N1748">
        <v>1</v>
      </c>
      <c r="O1748"/>
      <c r="P1748">
        <v>0</v>
      </c>
      <c r="Q1748" t="s">
        <v>38</v>
      </c>
      <c r="R1748">
        <v>1</v>
      </c>
      <c r="S1748">
        <v>0</v>
      </c>
      <c r="T1748"/>
      <c r="U1748"/>
      <c r="V1748"/>
      <c r="W1748"/>
      <c r="X1748">
        <v>0</v>
      </c>
      <c r="Y1748"/>
      <c r="Z1748">
        <v>0</v>
      </c>
      <c r="AA1748"/>
      <c r="AB1748"/>
      <c r="AC1748"/>
      <c r="AD1748"/>
      <c r="AE1748">
        <v>0</v>
      </c>
      <c r="AF1748"/>
      <c r="AG1748"/>
      <c r="AH1748"/>
    </row>
    <row r="1749" spans="1:34" x14ac:dyDescent="0.25">
      <c r="A1749" t="s">
        <v>3442</v>
      </c>
      <c r="B1749" t="s">
        <v>3443</v>
      </c>
      <c r="C1749"/>
      <c r="D1749" t="s">
        <v>1778</v>
      </c>
      <c r="E1749" t="s">
        <v>2360</v>
      </c>
      <c r="F1749" t="s">
        <v>2363</v>
      </c>
      <c r="G1749" t="s">
        <v>280</v>
      </c>
      <c r="H1749" t="s">
        <v>2364</v>
      </c>
      <c r="I1749" t="s">
        <v>35</v>
      </c>
      <c r="J1749"/>
      <c r="K1749">
        <v>1</v>
      </c>
      <c r="L1749">
        <v>1</v>
      </c>
      <c r="M1749" t="s">
        <v>33</v>
      </c>
      <c r="N1749">
        <v>1</v>
      </c>
      <c r="O1749"/>
      <c r="P1749">
        <v>0</v>
      </c>
      <c r="Q1749" t="s">
        <v>38</v>
      </c>
      <c r="R1749">
        <v>1</v>
      </c>
      <c r="S1749">
        <v>0</v>
      </c>
      <c r="T1749"/>
      <c r="U1749"/>
      <c r="V1749"/>
      <c r="W1749"/>
      <c r="X1749">
        <v>0</v>
      </c>
      <c r="Y1749"/>
      <c r="Z1749">
        <v>0</v>
      </c>
      <c r="AA1749"/>
      <c r="AB1749"/>
      <c r="AC1749"/>
      <c r="AD1749"/>
      <c r="AE1749">
        <v>0</v>
      </c>
      <c r="AF1749"/>
      <c r="AG1749"/>
      <c r="AH1749"/>
    </row>
    <row r="1750" spans="1:34" x14ac:dyDescent="0.25">
      <c r="A1750" t="s">
        <v>3406</v>
      </c>
      <c r="B1750" t="s">
        <v>3407</v>
      </c>
      <c r="C1750"/>
      <c r="D1750" t="s">
        <v>1778</v>
      </c>
      <c r="E1750" t="s">
        <v>2360</v>
      </c>
      <c r="F1750" t="s">
        <v>2365</v>
      </c>
      <c r="G1750" t="s">
        <v>280</v>
      </c>
      <c r="H1750" t="s">
        <v>2366</v>
      </c>
      <c r="I1750" t="s">
        <v>35</v>
      </c>
      <c r="J1750"/>
      <c r="K1750">
        <v>1</v>
      </c>
      <c r="L1750">
        <v>1</v>
      </c>
      <c r="M1750" t="s">
        <v>33</v>
      </c>
      <c r="N1750">
        <v>1</v>
      </c>
      <c r="O1750"/>
      <c r="P1750">
        <v>0</v>
      </c>
      <c r="Q1750" t="s">
        <v>38</v>
      </c>
      <c r="R1750">
        <v>1</v>
      </c>
      <c r="S1750">
        <v>0</v>
      </c>
      <c r="T1750"/>
      <c r="U1750"/>
      <c r="V1750"/>
      <c r="W1750"/>
      <c r="X1750">
        <v>0</v>
      </c>
      <c r="Y1750"/>
      <c r="Z1750">
        <v>0</v>
      </c>
      <c r="AA1750"/>
      <c r="AB1750"/>
      <c r="AC1750"/>
      <c r="AD1750"/>
      <c r="AE1750">
        <v>0</v>
      </c>
      <c r="AF1750"/>
      <c r="AG1750"/>
      <c r="AH1750"/>
    </row>
    <row r="1751" spans="1:34" x14ac:dyDescent="0.25">
      <c r="A1751" t="s">
        <v>3408</v>
      </c>
      <c r="B1751" t="s">
        <v>3409</v>
      </c>
      <c r="C1751"/>
      <c r="D1751" t="s">
        <v>1778</v>
      </c>
      <c r="E1751" t="s">
        <v>2360</v>
      </c>
      <c r="F1751" t="s">
        <v>2365</v>
      </c>
      <c r="G1751" t="s">
        <v>280</v>
      </c>
      <c r="H1751" t="s">
        <v>2366</v>
      </c>
      <c r="I1751" t="s">
        <v>35</v>
      </c>
      <c r="J1751"/>
      <c r="K1751">
        <v>1</v>
      </c>
      <c r="L1751">
        <v>1</v>
      </c>
      <c r="M1751" t="s">
        <v>33</v>
      </c>
      <c r="N1751">
        <v>1</v>
      </c>
      <c r="O1751"/>
      <c r="P1751">
        <v>0</v>
      </c>
      <c r="Q1751" t="s">
        <v>38</v>
      </c>
      <c r="R1751">
        <v>1</v>
      </c>
      <c r="S1751">
        <v>0</v>
      </c>
      <c r="T1751"/>
      <c r="U1751"/>
      <c r="V1751"/>
      <c r="W1751"/>
      <c r="X1751">
        <v>0</v>
      </c>
      <c r="Y1751"/>
      <c r="Z1751">
        <v>0</v>
      </c>
      <c r="AA1751"/>
      <c r="AB1751"/>
      <c r="AC1751"/>
      <c r="AD1751"/>
      <c r="AE1751">
        <v>0</v>
      </c>
      <c r="AF1751"/>
      <c r="AG1751"/>
      <c r="AH1751"/>
    </row>
    <row r="1752" spans="1:34" x14ac:dyDescent="0.25">
      <c r="A1752" t="s">
        <v>3440</v>
      </c>
      <c r="B1752" t="s">
        <v>3441</v>
      </c>
      <c r="C1752"/>
      <c r="D1752" t="s">
        <v>1778</v>
      </c>
      <c r="E1752" t="s">
        <v>2360</v>
      </c>
      <c r="F1752" t="s">
        <v>2365</v>
      </c>
      <c r="G1752" t="s">
        <v>280</v>
      </c>
      <c r="H1752" t="s">
        <v>2366</v>
      </c>
      <c r="I1752" t="s">
        <v>35</v>
      </c>
      <c r="J1752"/>
      <c r="K1752">
        <v>1</v>
      </c>
      <c r="L1752">
        <v>1</v>
      </c>
      <c r="M1752" t="s">
        <v>33</v>
      </c>
      <c r="N1752">
        <v>1</v>
      </c>
      <c r="O1752"/>
      <c r="P1752">
        <v>0</v>
      </c>
      <c r="Q1752" t="s">
        <v>38</v>
      </c>
      <c r="R1752">
        <v>1</v>
      </c>
      <c r="S1752">
        <v>0</v>
      </c>
      <c r="T1752"/>
      <c r="U1752"/>
      <c r="V1752"/>
      <c r="W1752"/>
      <c r="X1752">
        <v>0</v>
      </c>
      <c r="Y1752"/>
      <c r="Z1752">
        <v>0</v>
      </c>
      <c r="AA1752"/>
      <c r="AB1752"/>
      <c r="AC1752"/>
      <c r="AD1752"/>
      <c r="AE1752">
        <v>0</v>
      </c>
      <c r="AF1752"/>
      <c r="AG1752"/>
      <c r="AH1752"/>
    </row>
    <row r="1753" spans="1:34" x14ac:dyDescent="0.25">
      <c r="A1753" t="s">
        <v>3442</v>
      </c>
      <c r="B1753" t="s">
        <v>3443</v>
      </c>
      <c r="C1753"/>
      <c r="D1753" t="s">
        <v>1778</v>
      </c>
      <c r="E1753" t="s">
        <v>2360</v>
      </c>
      <c r="F1753" t="s">
        <v>2365</v>
      </c>
      <c r="G1753" t="s">
        <v>280</v>
      </c>
      <c r="H1753" t="s">
        <v>2366</v>
      </c>
      <c r="I1753" t="s">
        <v>35</v>
      </c>
      <c r="J1753"/>
      <c r="K1753">
        <v>1</v>
      </c>
      <c r="L1753">
        <v>1</v>
      </c>
      <c r="M1753" t="s">
        <v>33</v>
      </c>
      <c r="N1753">
        <v>1</v>
      </c>
      <c r="O1753"/>
      <c r="P1753">
        <v>0</v>
      </c>
      <c r="Q1753" t="s">
        <v>38</v>
      </c>
      <c r="R1753">
        <v>1</v>
      </c>
      <c r="S1753">
        <v>0</v>
      </c>
      <c r="T1753"/>
      <c r="U1753"/>
      <c r="V1753"/>
      <c r="W1753"/>
      <c r="X1753">
        <v>0</v>
      </c>
      <c r="Y1753"/>
      <c r="Z1753">
        <v>0</v>
      </c>
      <c r="AA1753"/>
      <c r="AB1753"/>
      <c r="AC1753"/>
      <c r="AD1753"/>
      <c r="AE1753">
        <v>0</v>
      </c>
      <c r="AF1753"/>
      <c r="AG1753"/>
      <c r="AH1753"/>
    </row>
    <row r="1754" spans="1:34" x14ac:dyDescent="0.25">
      <c r="A1754" t="s">
        <v>3406</v>
      </c>
      <c r="B1754" t="s">
        <v>3407</v>
      </c>
      <c r="C1754"/>
      <c r="D1754" t="s">
        <v>1778</v>
      </c>
      <c r="E1754" t="s">
        <v>2360</v>
      </c>
      <c r="F1754" t="s">
        <v>2367</v>
      </c>
      <c r="G1754" t="s">
        <v>280</v>
      </c>
      <c r="H1754" t="s">
        <v>2368</v>
      </c>
      <c r="I1754" t="s">
        <v>35</v>
      </c>
      <c r="J1754"/>
      <c r="K1754">
        <v>1</v>
      </c>
      <c r="L1754">
        <v>1</v>
      </c>
      <c r="M1754" t="s">
        <v>33</v>
      </c>
      <c r="N1754">
        <v>1</v>
      </c>
      <c r="O1754"/>
      <c r="P1754">
        <v>0</v>
      </c>
      <c r="Q1754" t="s">
        <v>38</v>
      </c>
      <c r="R1754">
        <v>1</v>
      </c>
      <c r="S1754">
        <v>0</v>
      </c>
      <c r="T1754"/>
      <c r="U1754"/>
      <c r="V1754"/>
      <c r="W1754"/>
      <c r="X1754">
        <v>0</v>
      </c>
      <c r="Y1754"/>
      <c r="Z1754">
        <v>0</v>
      </c>
      <c r="AA1754"/>
      <c r="AB1754"/>
      <c r="AC1754"/>
      <c r="AD1754"/>
      <c r="AE1754">
        <v>0</v>
      </c>
      <c r="AF1754"/>
      <c r="AG1754"/>
      <c r="AH1754"/>
    </row>
    <row r="1755" spans="1:34" x14ac:dyDescent="0.25">
      <c r="A1755" t="s">
        <v>3408</v>
      </c>
      <c r="B1755" t="s">
        <v>3409</v>
      </c>
      <c r="C1755"/>
      <c r="D1755" t="s">
        <v>1778</v>
      </c>
      <c r="E1755" t="s">
        <v>2360</v>
      </c>
      <c r="F1755" t="s">
        <v>2367</v>
      </c>
      <c r="G1755" t="s">
        <v>280</v>
      </c>
      <c r="H1755" t="s">
        <v>2368</v>
      </c>
      <c r="I1755" t="s">
        <v>35</v>
      </c>
      <c r="J1755"/>
      <c r="K1755">
        <v>1</v>
      </c>
      <c r="L1755">
        <v>1</v>
      </c>
      <c r="M1755" t="s">
        <v>33</v>
      </c>
      <c r="N1755">
        <v>1</v>
      </c>
      <c r="O1755"/>
      <c r="P1755">
        <v>0</v>
      </c>
      <c r="Q1755" t="s">
        <v>38</v>
      </c>
      <c r="R1755">
        <v>1</v>
      </c>
      <c r="S1755">
        <v>0</v>
      </c>
      <c r="T1755"/>
      <c r="U1755"/>
      <c r="V1755"/>
      <c r="W1755"/>
      <c r="X1755">
        <v>0</v>
      </c>
      <c r="Y1755"/>
      <c r="Z1755">
        <v>0</v>
      </c>
      <c r="AA1755"/>
      <c r="AB1755"/>
      <c r="AC1755"/>
      <c r="AD1755"/>
      <c r="AE1755">
        <v>0</v>
      </c>
      <c r="AF1755"/>
      <c r="AG1755"/>
      <c r="AH1755"/>
    </row>
    <row r="1756" spans="1:34" x14ac:dyDescent="0.25">
      <c r="A1756" t="s">
        <v>3440</v>
      </c>
      <c r="B1756" t="s">
        <v>3441</v>
      </c>
      <c r="C1756"/>
      <c r="D1756" t="s">
        <v>1778</v>
      </c>
      <c r="E1756" t="s">
        <v>2360</v>
      </c>
      <c r="F1756" t="s">
        <v>2367</v>
      </c>
      <c r="G1756" t="s">
        <v>280</v>
      </c>
      <c r="H1756" t="s">
        <v>2368</v>
      </c>
      <c r="I1756" t="s">
        <v>35</v>
      </c>
      <c r="J1756"/>
      <c r="K1756">
        <v>1</v>
      </c>
      <c r="L1756">
        <v>1</v>
      </c>
      <c r="M1756" t="s">
        <v>33</v>
      </c>
      <c r="N1756">
        <v>1</v>
      </c>
      <c r="O1756"/>
      <c r="P1756">
        <v>0</v>
      </c>
      <c r="Q1756" t="s">
        <v>38</v>
      </c>
      <c r="R1756">
        <v>1</v>
      </c>
      <c r="S1756">
        <v>0</v>
      </c>
      <c r="T1756"/>
      <c r="U1756"/>
      <c r="V1756"/>
      <c r="W1756"/>
      <c r="X1756">
        <v>0</v>
      </c>
      <c r="Y1756"/>
      <c r="Z1756">
        <v>0</v>
      </c>
      <c r="AA1756"/>
      <c r="AB1756"/>
      <c r="AC1756"/>
      <c r="AD1756"/>
      <c r="AE1756">
        <v>0</v>
      </c>
      <c r="AF1756"/>
      <c r="AG1756"/>
      <c r="AH1756"/>
    </row>
    <row r="1757" spans="1:34" x14ac:dyDescent="0.25">
      <c r="A1757" t="s">
        <v>3442</v>
      </c>
      <c r="B1757" t="s">
        <v>3443</v>
      </c>
      <c r="C1757"/>
      <c r="D1757" t="s">
        <v>1778</v>
      </c>
      <c r="E1757" t="s">
        <v>2360</v>
      </c>
      <c r="F1757" t="s">
        <v>2367</v>
      </c>
      <c r="G1757" t="s">
        <v>280</v>
      </c>
      <c r="H1757" t="s">
        <v>2368</v>
      </c>
      <c r="I1757" t="s">
        <v>35</v>
      </c>
      <c r="J1757"/>
      <c r="K1757">
        <v>1</v>
      </c>
      <c r="L1757">
        <v>1</v>
      </c>
      <c r="M1757" t="s">
        <v>33</v>
      </c>
      <c r="N1757">
        <v>1</v>
      </c>
      <c r="O1757"/>
      <c r="P1757">
        <v>0</v>
      </c>
      <c r="Q1757" t="s">
        <v>38</v>
      </c>
      <c r="R1757">
        <v>1</v>
      </c>
      <c r="S1757">
        <v>0</v>
      </c>
      <c r="T1757"/>
      <c r="U1757"/>
      <c r="V1757"/>
      <c r="W1757"/>
      <c r="X1757">
        <v>0</v>
      </c>
      <c r="Y1757"/>
      <c r="Z1757">
        <v>0</v>
      </c>
      <c r="AA1757"/>
      <c r="AB1757"/>
      <c r="AC1757"/>
      <c r="AD1757"/>
      <c r="AE1757">
        <v>0</v>
      </c>
      <c r="AF1757"/>
      <c r="AG1757"/>
      <c r="AH1757"/>
    </row>
    <row r="1758" spans="1:34" x14ac:dyDescent="0.25">
      <c r="A1758" t="s">
        <v>3406</v>
      </c>
      <c r="B1758" t="s">
        <v>3407</v>
      </c>
      <c r="C1758"/>
      <c r="D1758" t="s">
        <v>1778</v>
      </c>
      <c r="E1758" t="s">
        <v>2360</v>
      </c>
      <c r="F1758" t="s">
        <v>2369</v>
      </c>
      <c r="G1758" t="s">
        <v>280</v>
      </c>
      <c r="H1758" t="s">
        <v>2368</v>
      </c>
      <c r="I1758" t="s">
        <v>35</v>
      </c>
      <c r="J1758"/>
      <c r="K1758">
        <v>1</v>
      </c>
      <c r="L1758">
        <v>1</v>
      </c>
      <c r="M1758" t="s">
        <v>33</v>
      </c>
      <c r="N1758">
        <v>1</v>
      </c>
      <c r="O1758"/>
      <c r="P1758">
        <v>0</v>
      </c>
      <c r="Q1758" t="s">
        <v>38</v>
      </c>
      <c r="R1758">
        <v>1</v>
      </c>
      <c r="S1758">
        <v>0</v>
      </c>
      <c r="T1758"/>
      <c r="U1758"/>
      <c r="V1758"/>
      <c r="W1758"/>
      <c r="X1758">
        <v>0</v>
      </c>
      <c r="Y1758"/>
      <c r="Z1758">
        <v>0</v>
      </c>
      <c r="AA1758"/>
      <c r="AB1758"/>
      <c r="AC1758"/>
      <c r="AD1758"/>
      <c r="AE1758">
        <v>0</v>
      </c>
      <c r="AF1758"/>
      <c r="AG1758"/>
      <c r="AH1758"/>
    </row>
    <row r="1759" spans="1:34" x14ac:dyDescent="0.25">
      <c r="A1759" t="s">
        <v>3408</v>
      </c>
      <c r="B1759" t="s">
        <v>3409</v>
      </c>
      <c r="C1759"/>
      <c r="D1759" t="s">
        <v>1778</v>
      </c>
      <c r="E1759" t="s">
        <v>2360</v>
      </c>
      <c r="F1759" t="s">
        <v>2369</v>
      </c>
      <c r="G1759" t="s">
        <v>280</v>
      </c>
      <c r="H1759" t="s">
        <v>2368</v>
      </c>
      <c r="I1759" t="s">
        <v>35</v>
      </c>
      <c r="J1759"/>
      <c r="K1759">
        <v>1</v>
      </c>
      <c r="L1759">
        <v>1</v>
      </c>
      <c r="M1759" t="s">
        <v>33</v>
      </c>
      <c r="N1759">
        <v>1</v>
      </c>
      <c r="O1759"/>
      <c r="P1759">
        <v>0</v>
      </c>
      <c r="Q1759" t="s">
        <v>38</v>
      </c>
      <c r="R1759">
        <v>1</v>
      </c>
      <c r="S1759">
        <v>0</v>
      </c>
      <c r="T1759"/>
      <c r="U1759"/>
      <c r="V1759"/>
      <c r="W1759"/>
      <c r="X1759">
        <v>0</v>
      </c>
      <c r="Y1759"/>
      <c r="Z1759">
        <v>0</v>
      </c>
      <c r="AA1759"/>
      <c r="AB1759"/>
      <c r="AC1759"/>
      <c r="AD1759"/>
      <c r="AE1759">
        <v>0</v>
      </c>
      <c r="AF1759"/>
      <c r="AG1759"/>
      <c r="AH1759"/>
    </row>
    <row r="1760" spans="1:34" x14ac:dyDescent="0.25">
      <c r="A1760" t="s">
        <v>3440</v>
      </c>
      <c r="B1760" t="s">
        <v>3441</v>
      </c>
      <c r="C1760"/>
      <c r="D1760" t="s">
        <v>1778</v>
      </c>
      <c r="E1760" t="s">
        <v>2360</v>
      </c>
      <c r="F1760" t="s">
        <v>2369</v>
      </c>
      <c r="G1760" t="s">
        <v>280</v>
      </c>
      <c r="H1760" t="s">
        <v>2368</v>
      </c>
      <c r="I1760" t="s">
        <v>35</v>
      </c>
      <c r="J1760"/>
      <c r="K1760">
        <v>1</v>
      </c>
      <c r="L1760">
        <v>1</v>
      </c>
      <c r="M1760" t="s">
        <v>33</v>
      </c>
      <c r="N1760">
        <v>1</v>
      </c>
      <c r="O1760"/>
      <c r="P1760">
        <v>0</v>
      </c>
      <c r="Q1760" t="s">
        <v>38</v>
      </c>
      <c r="R1760">
        <v>1</v>
      </c>
      <c r="S1760">
        <v>0</v>
      </c>
      <c r="T1760"/>
      <c r="U1760"/>
      <c r="V1760"/>
      <c r="W1760"/>
      <c r="X1760">
        <v>0</v>
      </c>
      <c r="Y1760"/>
      <c r="Z1760">
        <v>0</v>
      </c>
      <c r="AA1760"/>
      <c r="AB1760"/>
      <c r="AC1760"/>
      <c r="AD1760"/>
      <c r="AE1760">
        <v>0</v>
      </c>
      <c r="AF1760"/>
      <c r="AG1760"/>
      <c r="AH1760"/>
    </row>
    <row r="1761" spans="1:34" x14ac:dyDescent="0.25">
      <c r="A1761" t="s">
        <v>3442</v>
      </c>
      <c r="B1761" t="s">
        <v>3443</v>
      </c>
      <c r="C1761"/>
      <c r="D1761" t="s">
        <v>1778</v>
      </c>
      <c r="E1761" t="s">
        <v>2360</v>
      </c>
      <c r="F1761" t="s">
        <v>2369</v>
      </c>
      <c r="G1761" t="s">
        <v>280</v>
      </c>
      <c r="H1761" t="s">
        <v>2368</v>
      </c>
      <c r="I1761" t="s">
        <v>35</v>
      </c>
      <c r="J1761"/>
      <c r="K1761">
        <v>1</v>
      </c>
      <c r="L1761">
        <v>1</v>
      </c>
      <c r="M1761" t="s">
        <v>33</v>
      </c>
      <c r="N1761">
        <v>1</v>
      </c>
      <c r="O1761"/>
      <c r="P1761">
        <v>0</v>
      </c>
      <c r="Q1761" t="s">
        <v>38</v>
      </c>
      <c r="R1761">
        <v>1</v>
      </c>
      <c r="S1761">
        <v>0</v>
      </c>
      <c r="T1761"/>
      <c r="U1761"/>
      <c r="V1761"/>
      <c r="W1761"/>
      <c r="X1761">
        <v>0</v>
      </c>
      <c r="Y1761"/>
      <c r="Z1761">
        <v>0</v>
      </c>
      <c r="AA1761"/>
      <c r="AB1761"/>
      <c r="AC1761"/>
      <c r="AD1761"/>
      <c r="AE1761">
        <v>0</v>
      </c>
      <c r="AF1761"/>
      <c r="AG1761"/>
      <c r="AH1761"/>
    </row>
    <row r="1762" spans="1:34" x14ac:dyDescent="0.25">
      <c r="A1762" t="s">
        <v>3406</v>
      </c>
      <c r="B1762" t="s">
        <v>3407</v>
      </c>
      <c r="C1762"/>
      <c r="D1762" t="s">
        <v>1778</v>
      </c>
      <c r="E1762" t="s">
        <v>2360</v>
      </c>
      <c r="F1762" t="s">
        <v>2370</v>
      </c>
      <c r="G1762" t="s">
        <v>280</v>
      </c>
      <c r="H1762" t="s">
        <v>2371</v>
      </c>
      <c r="I1762" t="s">
        <v>35</v>
      </c>
      <c r="J1762"/>
      <c r="K1762">
        <v>1</v>
      </c>
      <c r="L1762">
        <v>1</v>
      </c>
      <c r="M1762" t="s">
        <v>33</v>
      </c>
      <c r="N1762">
        <v>1</v>
      </c>
      <c r="O1762"/>
      <c r="P1762">
        <v>0</v>
      </c>
      <c r="Q1762" t="s">
        <v>38</v>
      </c>
      <c r="R1762">
        <v>1</v>
      </c>
      <c r="S1762">
        <v>0</v>
      </c>
      <c r="T1762"/>
      <c r="U1762"/>
      <c r="V1762"/>
      <c r="W1762"/>
      <c r="X1762">
        <v>0</v>
      </c>
      <c r="Y1762"/>
      <c r="Z1762">
        <v>0</v>
      </c>
      <c r="AA1762"/>
      <c r="AB1762"/>
      <c r="AC1762"/>
      <c r="AD1762"/>
      <c r="AE1762">
        <v>0</v>
      </c>
      <c r="AF1762"/>
      <c r="AG1762"/>
      <c r="AH1762"/>
    </row>
    <row r="1763" spans="1:34" x14ac:dyDescent="0.25">
      <c r="A1763" t="s">
        <v>3408</v>
      </c>
      <c r="B1763" t="s">
        <v>3409</v>
      </c>
      <c r="C1763"/>
      <c r="D1763" t="s">
        <v>1778</v>
      </c>
      <c r="E1763" t="s">
        <v>2360</v>
      </c>
      <c r="F1763" t="s">
        <v>2370</v>
      </c>
      <c r="G1763" t="s">
        <v>280</v>
      </c>
      <c r="H1763" t="s">
        <v>2371</v>
      </c>
      <c r="I1763" t="s">
        <v>35</v>
      </c>
      <c r="J1763"/>
      <c r="K1763">
        <v>1</v>
      </c>
      <c r="L1763">
        <v>1</v>
      </c>
      <c r="M1763" t="s">
        <v>33</v>
      </c>
      <c r="N1763">
        <v>1</v>
      </c>
      <c r="O1763"/>
      <c r="P1763">
        <v>0</v>
      </c>
      <c r="Q1763" t="s">
        <v>38</v>
      </c>
      <c r="R1763">
        <v>1</v>
      </c>
      <c r="S1763">
        <v>0</v>
      </c>
      <c r="T1763"/>
      <c r="U1763"/>
      <c r="V1763"/>
      <c r="W1763"/>
      <c r="X1763">
        <v>0</v>
      </c>
      <c r="Y1763"/>
      <c r="Z1763">
        <v>0</v>
      </c>
      <c r="AA1763"/>
      <c r="AB1763"/>
      <c r="AC1763"/>
      <c r="AD1763"/>
      <c r="AE1763">
        <v>0</v>
      </c>
      <c r="AF1763"/>
      <c r="AG1763"/>
      <c r="AH1763"/>
    </row>
    <row r="1764" spans="1:34" x14ac:dyDescent="0.25">
      <c r="A1764" t="s">
        <v>3440</v>
      </c>
      <c r="B1764" t="s">
        <v>3441</v>
      </c>
      <c r="C1764"/>
      <c r="D1764" t="s">
        <v>1778</v>
      </c>
      <c r="E1764" t="s">
        <v>2360</v>
      </c>
      <c r="F1764" t="s">
        <v>2370</v>
      </c>
      <c r="G1764" t="s">
        <v>280</v>
      </c>
      <c r="H1764" t="s">
        <v>2371</v>
      </c>
      <c r="I1764" t="s">
        <v>35</v>
      </c>
      <c r="J1764"/>
      <c r="K1764">
        <v>1</v>
      </c>
      <c r="L1764">
        <v>1</v>
      </c>
      <c r="M1764" t="s">
        <v>33</v>
      </c>
      <c r="N1764">
        <v>1</v>
      </c>
      <c r="O1764"/>
      <c r="P1764">
        <v>0</v>
      </c>
      <c r="Q1764" t="s">
        <v>38</v>
      </c>
      <c r="R1764">
        <v>1</v>
      </c>
      <c r="S1764">
        <v>0</v>
      </c>
      <c r="T1764"/>
      <c r="U1764"/>
      <c r="V1764"/>
      <c r="W1764"/>
      <c r="X1764">
        <v>0</v>
      </c>
      <c r="Y1764"/>
      <c r="Z1764">
        <v>0</v>
      </c>
      <c r="AA1764"/>
      <c r="AB1764"/>
      <c r="AC1764"/>
      <c r="AD1764"/>
      <c r="AE1764">
        <v>0</v>
      </c>
      <c r="AF1764"/>
      <c r="AG1764"/>
      <c r="AH1764"/>
    </row>
    <row r="1765" spans="1:34" x14ac:dyDescent="0.25">
      <c r="A1765" t="s">
        <v>3442</v>
      </c>
      <c r="B1765" t="s">
        <v>3443</v>
      </c>
      <c r="C1765"/>
      <c r="D1765" t="s">
        <v>1778</v>
      </c>
      <c r="E1765" t="s">
        <v>2360</v>
      </c>
      <c r="F1765" t="s">
        <v>2370</v>
      </c>
      <c r="G1765" t="s">
        <v>280</v>
      </c>
      <c r="H1765" t="s">
        <v>2371</v>
      </c>
      <c r="I1765" t="s">
        <v>35</v>
      </c>
      <c r="J1765"/>
      <c r="K1765">
        <v>1</v>
      </c>
      <c r="L1765">
        <v>1</v>
      </c>
      <c r="M1765" t="s">
        <v>33</v>
      </c>
      <c r="N1765">
        <v>1</v>
      </c>
      <c r="O1765"/>
      <c r="P1765">
        <v>0</v>
      </c>
      <c r="Q1765" t="s">
        <v>38</v>
      </c>
      <c r="R1765">
        <v>1</v>
      </c>
      <c r="S1765">
        <v>0</v>
      </c>
      <c r="T1765"/>
      <c r="U1765"/>
      <c r="V1765"/>
      <c r="W1765"/>
      <c r="X1765">
        <v>0</v>
      </c>
      <c r="Y1765"/>
      <c r="Z1765">
        <v>0</v>
      </c>
      <c r="AA1765"/>
      <c r="AB1765"/>
      <c r="AC1765"/>
      <c r="AD1765"/>
      <c r="AE1765">
        <v>0</v>
      </c>
      <c r="AF1765"/>
      <c r="AG1765"/>
      <c r="AH1765"/>
    </row>
    <row r="1766" spans="1:34" x14ac:dyDescent="0.25">
      <c r="A1766" t="s">
        <v>3406</v>
      </c>
      <c r="B1766" t="s">
        <v>3407</v>
      </c>
      <c r="C1766"/>
      <c r="D1766" t="s">
        <v>1778</v>
      </c>
      <c r="E1766" t="s">
        <v>2360</v>
      </c>
      <c r="F1766" t="s">
        <v>2372</v>
      </c>
      <c r="G1766" t="s">
        <v>280</v>
      </c>
      <c r="H1766" t="s">
        <v>2373</v>
      </c>
      <c r="I1766" t="s">
        <v>35</v>
      </c>
      <c r="J1766"/>
      <c r="K1766">
        <v>1</v>
      </c>
      <c r="L1766">
        <v>1</v>
      </c>
      <c r="M1766" t="s">
        <v>33</v>
      </c>
      <c r="N1766">
        <v>1</v>
      </c>
      <c r="O1766"/>
      <c r="P1766">
        <v>0</v>
      </c>
      <c r="Q1766" t="s">
        <v>38</v>
      </c>
      <c r="R1766">
        <v>1</v>
      </c>
      <c r="S1766">
        <v>0</v>
      </c>
      <c r="T1766"/>
      <c r="U1766"/>
      <c r="V1766"/>
      <c r="W1766"/>
      <c r="X1766">
        <v>0</v>
      </c>
      <c r="Y1766"/>
      <c r="Z1766">
        <v>0</v>
      </c>
      <c r="AA1766"/>
      <c r="AB1766"/>
      <c r="AC1766"/>
      <c r="AD1766"/>
      <c r="AE1766">
        <v>0</v>
      </c>
      <c r="AF1766"/>
      <c r="AG1766"/>
      <c r="AH1766"/>
    </row>
    <row r="1767" spans="1:34" x14ac:dyDescent="0.25">
      <c r="A1767" t="s">
        <v>3408</v>
      </c>
      <c r="B1767" t="s">
        <v>3409</v>
      </c>
      <c r="C1767"/>
      <c r="D1767" t="s">
        <v>1778</v>
      </c>
      <c r="E1767" t="s">
        <v>2360</v>
      </c>
      <c r="F1767" t="s">
        <v>2372</v>
      </c>
      <c r="G1767" t="s">
        <v>280</v>
      </c>
      <c r="H1767" t="s">
        <v>2373</v>
      </c>
      <c r="I1767" t="s">
        <v>35</v>
      </c>
      <c r="J1767"/>
      <c r="K1767">
        <v>1</v>
      </c>
      <c r="L1767">
        <v>1</v>
      </c>
      <c r="M1767" t="s">
        <v>33</v>
      </c>
      <c r="N1767">
        <v>1</v>
      </c>
      <c r="O1767"/>
      <c r="P1767">
        <v>0</v>
      </c>
      <c r="Q1767" t="s">
        <v>38</v>
      </c>
      <c r="R1767">
        <v>1</v>
      </c>
      <c r="S1767">
        <v>0</v>
      </c>
      <c r="T1767"/>
      <c r="U1767"/>
      <c r="V1767"/>
      <c r="W1767"/>
      <c r="X1767">
        <v>0</v>
      </c>
      <c r="Y1767"/>
      <c r="Z1767">
        <v>0</v>
      </c>
      <c r="AA1767"/>
      <c r="AB1767"/>
      <c r="AC1767"/>
      <c r="AD1767"/>
      <c r="AE1767">
        <v>0</v>
      </c>
      <c r="AF1767"/>
      <c r="AG1767"/>
      <c r="AH1767"/>
    </row>
    <row r="1768" spans="1:34" x14ac:dyDescent="0.25">
      <c r="A1768" t="s">
        <v>3440</v>
      </c>
      <c r="B1768" t="s">
        <v>3441</v>
      </c>
      <c r="C1768"/>
      <c r="D1768" t="s">
        <v>1778</v>
      </c>
      <c r="E1768" t="s">
        <v>2360</v>
      </c>
      <c r="F1768" t="s">
        <v>2372</v>
      </c>
      <c r="G1768" t="s">
        <v>280</v>
      </c>
      <c r="H1768" t="s">
        <v>2373</v>
      </c>
      <c r="I1768" t="s">
        <v>35</v>
      </c>
      <c r="J1768"/>
      <c r="K1768">
        <v>1</v>
      </c>
      <c r="L1768">
        <v>1</v>
      </c>
      <c r="M1768" t="s">
        <v>33</v>
      </c>
      <c r="N1768">
        <v>1</v>
      </c>
      <c r="O1768"/>
      <c r="P1768">
        <v>0</v>
      </c>
      <c r="Q1768" t="s">
        <v>38</v>
      </c>
      <c r="R1768">
        <v>1</v>
      </c>
      <c r="S1768">
        <v>0</v>
      </c>
      <c r="T1768"/>
      <c r="U1768"/>
      <c r="V1768"/>
      <c r="W1768"/>
      <c r="X1768">
        <v>0</v>
      </c>
      <c r="Y1768"/>
      <c r="Z1768">
        <v>0</v>
      </c>
      <c r="AA1768"/>
      <c r="AB1768"/>
      <c r="AC1768"/>
      <c r="AD1768"/>
      <c r="AE1768">
        <v>0</v>
      </c>
      <c r="AF1768"/>
      <c r="AG1768"/>
      <c r="AH1768"/>
    </row>
    <row r="1769" spans="1:34" x14ac:dyDescent="0.25">
      <c r="A1769" t="s">
        <v>3442</v>
      </c>
      <c r="B1769" t="s">
        <v>3443</v>
      </c>
      <c r="C1769"/>
      <c r="D1769" t="s">
        <v>1778</v>
      </c>
      <c r="E1769" t="s">
        <v>2360</v>
      </c>
      <c r="F1769" t="s">
        <v>2372</v>
      </c>
      <c r="G1769" t="s">
        <v>280</v>
      </c>
      <c r="H1769" t="s">
        <v>2373</v>
      </c>
      <c r="I1769" t="s">
        <v>35</v>
      </c>
      <c r="J1769"/>
      <c r="K1769">
        <v>1</v>
      </c>
      <c r="L1769">
        <v>1</v>
      </c>
      <c r="M1769" t="s">
        <v>33</v>
      </c>
      <c r="N1769">
        <v>1</v>
      </c>
      <c r="O1769"/>
      <c r="P1769">
        <v>0</v>
      </c>
      <c r="Q1769" t="s">
        <v>38</v>
      </c>
      <c r="R1769">
        <v>1</v>
      </c>
      <c r="S1769">
        <v>0</v>
      </c>
      <c r="T1769"/>
      <c r="U1769"/>
      <c r="V1769"/>
      <c r="W1769"/>
      <c r="X1769">
        <v>0</v>
      </c>
      <c r="Y1769"/>
      <c r="Z1769">
        <v>0</v>
      </c>
      <c r="AA1769"/>
      <c r="AB1769"/>
      <c r="AC1769"/>
      <c r="AD1769"/>
      <c r="AE1769">
        <v>0</v>
      </c>
      <c r="AF1769"/>
      <c r="AG1769"/>
      <c r="AH1769"/>
    </row>
    <row r="1770" spans="1:34" x14ac:dyDescent="0.25">
      <c r="A1770" t="s">
        <v>3406</v>
      </c>
      <c r="B1770" t="s">
        <v>3407</v>
      </c>
      <c r="C1770"/>
      <c r="D1770" t="s">
        <v>1778</v>
      </c>
      <c r="E1770" t="s">
        <v>2360</v>
      </c>
      <c r="F1770" t="s">
        <v>2374</v>
      </c>
      <c r="G1770" t="s">
        <v>280</v>
      </c>
      <c r="H1770" t="s">
        <v>2375</v>
      </c>
      <c r="I1770" t="s">
        <v>35</v>
      </c>
      <c r="J1770"/>
      <c r="K1770">
        <v>1</v>
      </c>
      <c r="L1770">
        <v>1</v>
      </c>
      <c r="M1770" t="s">
        <v>33</v>
      </c>
      <c r="N1770">
        <v>1</v>
      </c>
      <c r="O1770"/>
      <c r="P1770">
        <v>0</v>
      </c>
      <c r="Q1770" t="s">
        <v>38</v>
      </c>
      <c r="R1770">
        <v>1</v>
      </c>
      <c r="S1770">
        <v>0</v>
      </c>
      <c r="T1770"/>
      <c r="U1770"/>
      <c r="V1770"/>
      <c r="W1770"/>
      <c r="X1770">
        <v>0</v>
      </c>
      <c r="Y1770"/>
      <c r="Z1770">
        <v>0</v>
      </c>
      <c r="AA1770"/>
      <c r="AB1770"/>
      <c r="AC1770"/>
      <c r="AD1770"/>
      <c r="AE1770">
        <v>0</v>
      </c>
      <c r="AF1770"/>
      <c r="AG1770"/>
      <c r="AH1770"/>
    </row>
    <row r="1771" spans="1:34" x14ac:dyDescent="0.25">
      <c r="A1771" t="s">
        <v>3408</v>
      </c>
      <c r="B1771" t="s">
        <v>3409</v>
      </c>
      <c r="C1771"/>
      <c r="D1771" t="s">
        <v>1778</v>
      </c>
      <c r="E1771" t="s">
        <v>2360</v>
      </c>
      <c r="F1771" t="s">
        <v>2374</v>
      </c>
      <c r="G1771" t="s">
        <v>280</v>
      </c>
      <c r="H1771" t="s">
        <v>2375</v>
      </c>
      <c r="I1771" t="s">
        <v>35</v>
      </c>
      <c r="J1771"/>
      <c r="K1771">
        <v>1</v>
      </c>
      <c r="L1771">
        <v>1</v>
      </c>
      <c r="M1771" t="s">
        <v>33</v>
      </c>
      <c r="N1771">
        <v>1</v>
      </c>
      <c r="O1771"/>
      <c r="P1771">
        <v>0</v>
      </c>
      <c r="Q1771" t="s">
        <v>38</v>
      </c>
      <c r="R1771">
        <v>1</v>
      </c>
      <c r="S1771">
        <v>0</v>
      </c>
      <c r="T1771"/>
      <c r="U1771"/>
      <c r="V1771"/>
      <c r="W1771"/>
      <c r="X1771">
        <v>0</v>
      </c>
      <c r="Y1771"/>
      <c r="Z1771">
        <v>0</v>
      </c>
      <c r="AA1771"/>
      <c r="AB1771"/>
      <c r="AC1771"/>
      <c r="AD1771"/>
      <c r="AE1771">
        <v>0</v>
      </c>
      <c r="AF1771"/>
      <c r="AG1771"/>
      <c r="AH1771"/>
    </row>
    <row r="1772" spans="1:34" x14ac:dyDescent="0.25">
      <c r="A1772" t="s">
        <v>3440</v>
      </c>
      <c r="B1772" t="s">
        <v>3441</v>
      </c>
      <c r="C1772"/>
      <c r="D1772" t="s">
        <v>1778</v>
      </c>
      <c r="E1772" t="s">
        <v>2360</v>
      </c>
      <c r="F1772" t="s">
        <v>2374</v>
      </c>
      <c r="G1772" t="s">
        <v>280</v>
      </c>
      <c r="H1772" t="s">
        <v>2375</v>
      </c>
      <c r="I1772" t="s">
        <v>35</v>
      </c>
      <c r="J1772"/>
      <c r="K1772">
        <v>1</v>
      </c>
      <c r="L1772">
        <v>1</v>
      </c>
      <c r="M1772" t="s">
        <v>33</v>
      </c>
      <c r="N1772">
        <v>1</v>
      </c>
      <c r="O1772"/>
      <c r="P1772">
        <v>0</v>
      </c>
      <c r="Q1772" t="s">
        <v>38</v>
      </c>
      <c r="R1772">
        <v>1</v>
      </c>
      <c r="S1772">
        <v>0</v>
      </c>
      <c r="T1772"/>
      <c r="U1772"/>
      <c r="V1772"/>
      <c r="W1772"/>
      <c r="X1772">
        <v>0</v>
      </c>
      <c r="Y1772"/>
      <c r="Z1772">
        <v>0</v>
      </c>
      <c r="AA1772"/>
      <c r="AB1772"/>
      <c r="AC1772"/>
      <c r="AD1772"/>
      <c r="AE1772">
        <v>0</v>
      </c>
      <c r="AF1772"/>
      <c r="AG1772"/>
      <c r="AH1772"/>
    </row>
    <row r="1773" spans="1:34" x14ac:dyDescent="0.25">
      <c r="A1773" t="s">
        <v>3442</v>
      </c>
      <c r="B1773" t="s">
        <v>3443</v>
      </c>
      <c r="C1773"/>
      <c r="D1773" t="s">
        <v>1778</v>
      </c>
      <c r="E1773" t="s">
        <v>2360</v>
      </c>
      <c r="F1773" t="s">
        <v>2374</v>
      </c>
      <c r="G1773" t="s">
        <v>280</v>
      </c>
      <c r="H1773" t="s">
        <v>2375</v>
      </c>
      <c r="I1773" t="s">
        <v>35</v>
      </c>
      <c r="J1773"/>
      <c r="K1773">
        <v>1</v>
      </c>
      <c r="L1773">
        <v>1</v>
      </c>
      <c r="M1773" t="s">
        <v>33</v>
      </c>
      <c r="N1773">
        <v>1</v>
      </c>
      <c r="O1773"/>
      <c r="P1773">
        <v>0</v>
      </c>
      <c r="Q1773" t="s">
        <v>38</v>
      </c>
      <c r="R1773">
        <v>1</v>
      </c>
      <c r="S1773">
        <v>0</v>
      </c>
      <c r="T1773"/>
      <c r="U1773"/>
      <c r="V1773"/>
      <c r="W1773"/>
      <c r="X1773">
        <v>0</v>
      </c>
      <c r="Y1773"/>
      <c r="Z1773">
        <v>0</v>
      </c>
      <c r="AA1773"/>
      <c r="AB1773"/>
      <c r="AC1773"/>
      <c r="AD1773"/>
      <c r="AE1773">
        <v>0</v>
      </c>
      <c r="AF1773"/>
      <c r="AG1773"/>
      <c r="AH1773"/>
    </row>
    <row r="1774" spans="1:34" x14ac:dyDescent="0.25">
      <c r="A1774" t="s">
        <v>3406</v>
      </c>
      <c r="B1774" t="s">
        <v>3407</v>
      </c>
      <c r="C1774"/>
      <c r="D1774" t="s">
        <v>1778</v>
      </c>
      <c r="E1774" t="s">
        <v>2360</v>
      </c>
      <c r="F1774" t="s">
        <v>2376</v>
      </c>
      <c r="G1774" t="s">
        <v>280</v>
      </c>
      <c r="H1774" t="s">
        <v>2377</v>
      </c>
      <c r="I1774" t="s">
        <v>35</v>
      </c>
      <c r="J1774"/>
      <c r="K1774">
        <v>1</v>
      </c>
      <c r="L1774">
        <v>1</v>
      </c>
      <c r="M1774" t="s">
        <v>33</v>
      </c>
      <c r="N1774">
        <v>1</v>
      </c>
      <c r="O1774"/>
      <c r="P1774">
        <v>0</v>
      </c>
      <c r="Q1774" t="s">
        <v>38</v>
      </c>
      <c r="R1774">
        <v>1</v>
      </c>
      <c r="S1774">
        <v>0</v>
      </c>
      <c r="T1774"/>
      <c r="U1774"/>
      <c r="V1774"/>
      <c r="W1774"/>
      <c r="X1774">
        <v>0</v>
      </c>
      <c r="Y1774"/>
      <c r="Z1774">
        <v>0</v>
      </c>
      <c r="AA1774"/>
      <c r="AB1774"/>
      <c r="AC1774"/>
      <c r="AD1774"/>
      <c r="AE1774">
        <v>0</v>
      </c>
      <c r="AF1774"/>
      <c r="AG1774"/>
      <c r="AH1774"/>
    </row>
    <row r="1775" spans="1:34" x14ac:dyDescent="0.25">
      <c r="A1775" t="s">
        <v>3408</v>
      </c>
      <c r="B1775" t="s">
        <v>3409</v>
      </c>
      <c r="C1775"/>
      <c r="D1775" t="s">
        <v>1778</v>
      </c>
      <c r="E1775" t="s">
        <v>2360</v>
      </c>
      <c r="F1775" t="s">
        <v>2376</v>
      </c>
      <c r="G1775" t="s">
        <v>280</v>
      </c>
      <c r="H1775" t="s">
        <v>2377</v>
      </c>
      <c r="I1775" t="s">
        <v>35</v>
      </c>
      <c r="J1775"/>
      <c r="K1775">
        <v>1</v>
      </c>
      <c r="L1775">
        <v>1</v>
      </c>
      <c r="M1775" t="s">
        <v>33</v>
      </c>
      <c r="N1775">
        <v>1</v>
      </c>
      <c r="O1775"/>
      <c r="P1775">
        <v>0</v>
      </c>
      <c r="Q1775" t="s">
        <v>38</v>
      </c>
      <c r="R1775">
        <v>1</v>
      </c>
      <c r="S1775">
        <v>0</v>
      </c>
      <c r="T1775"/>
      <c r="U1775"/>
      <c r="V1775"/>
      <c r="W1775"/>
      <c r="X1775">
        <v>0</v>
      </c>
      <c r="Y1775"/>
      <c r="Z1775">
        <v>0</v>
      </c>
      <c r="AA1775"/>
      <c r="AB1775"/>
      <c r="AC1775"/>
      <c r="AD1775"/>
      <c r="AE1775">
        <v>0</v>
      </c>
      <c r="AF1775"/>
      <c r="AG1775"/>
      <c r="AH1775"/>
    </row>
    <row r="1776" spans="1:34" x14ac:dyDescent="0.25">
      <c r="A1776" t="s">
        <v>3440</v>
      </c>
      <c r="B1776" t="s">
        <v>3441</v>
      </c>
      <c r="C1776"/>
      <c r="D1776" t="s">
        <v>1778</v>
      </c>
      <c r="E1776" t="s">
        <v>2360</v>
      </c>
      <c r="F1776" t="s">
        <v>2376</v>
      </c>
      <c r="G1776" t="s">
        <v>280</v>
      </c>
      <c r="H1776" t="s">
        <v>2377</v>
      </c>
      <c r="I1776" t="s">
        <v>35</v>
      </c>
      <c r="J1776"/>
      <c r="K1776">
        <v>1</v>
      </c>
      <c r="L1776">
        <v>1</v>
      </c>
      <c r="M1776" t="s">
        <v>33</v>
      </c>
      <c r="N1776">
        <v>1</v>
      </c>
      <c r="O1776"/>
      <c r="P1776">
        <v>0</v>
      </c>
      <c r="Q1776" t="s">
        <v>38</v>
      </c>
      <c r="R1776">
        <v>1</v>
      </c>
      <c r="S1776">
        <v>0</v>
      </c>
      <c r="T1776"/>
      <c r="U1776"/>
      <c r="V1776"/>
      <c r="W1776"/>
      <c r="X1776">
        <v>0</v>
      </c>
      <c r="Y1776"/>
      <c r="Z1776">
        <v>0</v>
      </c>
      <c r="AA1776"/>
      <c r="AB1776"/>
      <c r="AC1776"/>
      <c r="AD1776"/>
      <c r="AE1776">
        <v>0</v>
      </c>
      <c r="AF1776"/>
      <c r="AG1776"/>
      <c r="AH1776"/>
    </row>
    <row r="1777" spans="1:34" x14ac:dyDescent="0.25">
      <c r="A1777" t="s">
        <v>3442</v>
      </c>
      <c r="B1777" t="s">
        <v>3443</v>
      </c>
      <c r="C1777"/>
      <c r="D1777" t="s">
        <v>1778</v>
      </c>
      <c r="E1777" t="s">
        <v>2360</v>
      </c>
      <c r="F1777" t="s">
        <v>2376</v>
      </c>
      <c r="G1777" t="s">
        <v>280</v>
      </c>
      <c r="H1777" t="s">
        <v>2377</v>
      </c>
      <c r="I1777" t="s">
        <v>35</v>
      </c>
      <c r="J1777"/>
      <c r="K1777">
        <v>1</v>
      </c>
      <c r="L1777">
        <v>1</v>
      </c>
      <c r="M1777" t="s">
        <v>33</v>
      </c>
      <c r="N1777">
        <v>1</v>
      </c>
      <c r="O1777"/>
      <c r="P1777">
        <v>0</v>
      </c>
      <c r="Q1777" t="s">
        <v>38</v>
      </c>
      <c r="R1777">
        <v>1</v>
      </c>
      <c r="S1777">
        <v>0</v>
      </c>
      <c r="T1777"/>
      <c r="U1777"/>
      <c r="V1777"/>
      <c r="W1777"/>
      <c r="X1777">
        <v>0</v>
      </c>
      <c r="Y1777"/>
      <c r="Z1777">
        <v>0</v>
      </c>
      <c r="AA1777"/>
      <c r="AB1777"/>
      <c r="AC1777"/>
      <c r="AD1777"/>
      <c r="AE1777">
        <v>0</v>
      </c>
      <c r="AF1777"/>
      <c r="AG1777"/>
      <c r="AH1777"/>
    </row>
    <row r="1778" spans="1:34" x14ac:dyDescent="0.25">
      <c r="A1778" t="s">
        <v>3406</v>
      </c>
      <c r="B1778" t="s">
        <v>3407</v>
      </c>
      <c r="C1778"/>
      <c r="D1778" t="s">
        <v>1778</v>
      </c>
      <c r="E1778" t="s">
        <v>2360</v>
      </c>
      <c r="F1778" t="s">
        <v>2378</v>
      </c>
      <c r="G1778" t="s">
        <v>280</v>
      </c>
      <c r="H1778" t="s">
        <v>2377</v>
      </c>
      <c r="I1778" t="s">
        <v>35</v>
      </c>
      <c r="J1778"/>
      <c r="K1778">
        <v>1</v>
      </c>
      <c r="L1778">
        <v>1</v>
      </c>
      <c r="M1778" t="s">
        <v>33</v>
      </c>
      <c r="N1778">
        <v>1</v>
      </c>
      <c r="O1778"/>
      <c r="P1778">
        <v>0</v>
      </c>
      <c r="Q1778" t="s">
        <v>38</v>
      </c>
      <c r="R1778">
        <v>1</v>
      </c>
      <c r="S1778">
        <v>0</v>
      </c>
      <c r="T1778"/>
      <c r="U1778"/>
      <c r="V1778"/>
      <c r="W1778"/>
      <c r="X1778">
        <v>0</v>
      </c>
      <c r="Y1778"/>
      <c r="Z1778">
        <v>0</v>
      </c>
      <c r="AA1778"/>
      <c r="AB1778"/>
      <c r="AC1778"/>
      <c r="AD1778"/>
      <c r="AE1778">
        <v>0</v>
      </c>
      <c r="AF1778"/>
      <c r="AG1778"/>
      <c r="AH1778"/>
    </row>
    <row r="1779" spans="1:34" x14ac:dyDescent="0.25">
      <c r="A1779" t="s">
        <v>3408</v>
      </c>
      <c r="B1779" t="s">
        <v>3409</v>
      </c>
      <c r="C1779"/>
      <c r="D1779" t="s">
        <v>1778</v>
      </c>
      <c r="E1779" t="s">
        <v>2360</v>
      </c>
      <c r="F1779" t="s">
        <v>2378</v>
      </c>
      <c r="G1779" t="s">
        <v>280</v>
      </c>
      <c r="H1779" t="s">
        <v>2377</v>
      </c>
      <c r="I1779" t="s">
        <v>35</v>
      </c>
      <c r="J1779"/>
      <c r="K1779">
        <v>1</v>
      </c>
      <c r="L1779">
        <v>1</v>
      </c>
      <c r="M1779" t="s">
        <v>33</v>
      </c>
      <c r="N1779">
        <v>1</v>
      </c>
      <c r="O1779"/>
      <c r="P1779">
        <v>0</v>
      </c>
      <c r="Q1779" t="s">
        <v>38</v>
      </c>
      <c r="R1779">
        <v>1</v>
      </c>
      <c r="S1779">
        <v>0</v>
      </c>
      <c r="T1779"/>
      <c r="U1779"/>
      <c r="V1779"/>
      <c r="W1779"/>
      <c r="X1779">
        <v>0</v>
      </c>
      <c r="Y1779"/>
      <c r="Z1779">
        <v>0</v>
      </c>
      <c r="AA1779"/>
      <c r="AB1779"/>
      <c r="AC1779"/>
      <c r="AD1779"/>
      <c r="AE1779">
        <v>0</v>
      </c>
      <c r="AF1779"/>
      <c r="AG1779"/>
      <c r="AH1779"/>
    </row>
    <row r="1780" spans="1:34" x14ac:dyDescent="0.25">
      <c r="A1780" t="s">
        <v>3440</v>
      </c>
      <c r="B1780" t="s">
        <v>3441</v>
      </c>
      <c r="C1780"/>
      <c r="D1780" t="s">
        <v>1778</v>
      </c>
      <c r="E1780" t="s">
        <v>2360</v>
      </c>
      <c r="F1780" t="s">
        <v>2378</v>
      </c>
      <c r="G1780" t="s">
        <v>280</v>
      </c>
      <c r="H1780" t="s">
        <v>2377</v>
      </c>
      <c r="I1780" t="s">
        <v>35</v>
      </c>
      <c r="J1780"/>
      <c r="K1780">
        <v>1</v>
      </c>
      <c r="L1780">
        <v>1</v>
      </c>
      <c r="M1780" t="s">
        <v>33</v>
      </c>
      <c r="N1780">
        <v>1</v>
      </c>
      <c r="O1780"/>
      <c r="P1780">
        <v>0</v>
      </c>
      <c r="Q1780" t="s">
        <v>38</v>
      </c>
      <c r="R1780">
        <v>1</v>
      </c>
      <c r="S1780">
        <v>0</v>
      </c>
      <c r="T1780"/>
      <c r="U1780"/>
      <c r="V1780"/>
      <c r="W1780"/>
      <c r="X1780">
        <v>0</v>
      </c>
      <c r="Y1780"/>
      <c r="Z1780">
        <v>0</v>
      </c>
      <c r="AA1780"/>
      <c r="AB1780"/>
      <c r="AC1780"/>
      <c r="AD1780"/>
      <c r="AE1780">
        <v>0</v>
      </c>
      <c r="AF1780"/>
      <c r="AG1780"/>
      <c r="AH1780"/>
    </row>
    <row r="1781" spans="1:34" x14ac:dyDescent="0.25">
      <c r="A1781" t="s">
        <v>3442</v>
      </c>
      <c r="B1781" t="s">
        <v>3443</v>
      </c>
      <c r="C1781"/>
      <c r="D1781" t="s">
        <v>1778</v>
      </c>
      <c r="E1781" t="s">
        <v>2360</v>
      </c>
      <c r="F1781" t="s">
        <v>2378</v>
      </c>
      <c r="G1781" t="s">
        <v>280</v>
      </c>
      <c r="H1781" t="s">
        <v>2377</v>
      </c>
      <c r="I1781" t="s">
        <v>35</v>
      </c>
      <c r="J1781"/>
      <c r="K1781">
        <v>1</v>
      </c>
      <c r="L1781">
        <v>1</v>
      </c>
      <c r="M1781" t="s">
        <v>33</v>
      </c>
      <c r="N1781">
        <v>1</v>
      </c>
      <c r="O1781"/>
      <c r="P1781">
        <v>0</v>
      </c>
      <c r="Q1781" t="s">
        <v>38</v>
      </c>
      <c r="R1781">
        <v>1</v>
      </c>
      <c r="S1781">
        <v>0</v>
      </c>
      <c r="T1781"/>
      <c r="U1781"/>
      <c r="V1781"/>
      <c r="W1781"/>
      <c r="X1781">
        <v>0</v>
      </c>
      <c r="Y1781"/>
      <c r="Z1781">
        <v>0</v>
      </c>
      <c r="AA1781"/>
      <c r="AB1781"/>
      <c r="AC1781"/>
      <c r="AD1781"/>
      <c r="AE1781">
        <v>0</v>
      </c>
      <c r="AF1781"/>
      <c r="AG1781"/>
      <c r="AH1781"/>
    </row>
    <row r="1782" spans="1:34" x14ac:dyDescent="0.25">
      <c r="A1782" t="s">
        <v>3406</v>
      </c>
      <c r="B1782" t="s">
        <v>3407</v>
      </c>
      <c r="C1782"/>
      <c r="D1782" t="s">
        <v>1778</v>
      </c>
      <c r="E1782" t="s">
        <v>2360</v>
      </c>
      <c r="F1782" t="s">
        <v>2379</v>
      </c>
      <c r="G1782" t="s">
        <v>280</v>
      </c>
      <c r="H1782" t="s">
        <v>2380</v>
      </c>
      <c r="I1782" t="s">
        <v>35</v>
      </c>
      <c r="J1782"/>
      <c r="K1782">
        <v>1</v>
      </c>
      <c r="L1782">
        <v>1</v>
      </c>
      <c r="M1782" t="s">
        <v>33</v>
      </c>
      <c r="N1782">
        <v>1</v>
      </c>
      <c r="O1782"/>
      <c r="P1782">
        <v>0</v>
      </c>
      <c r="Q1782" t="s">
        <v>38</v>
      </c>
      <c r="R1782">
        <v>1</v>
      </c>
      <c r="S1782">
        <v>0</v>
      </c>
      <c r="T1782"/>
      <c r="U1782"/>
      <c r="V1782"/>
      <c r="W1782"/>
      <c r="X1782">
        <v>0</v>
      </c>
      <c r="Y1782"/>
      <c r="Z1782">
        <v>0</v>
      </c>
      <c r="AA1782"/>
      <c r="AB1782"/>
      <c r="AC1782"/>
      <c r="AD1782"/>
      <c r="AE1782">
        <v>0</v>
      </c>
      <c r="AF1782"/>
      <c r="AG1782"/>
      <c r="AH1782"/>
    </row>
    <row r="1783" spans="1:34" x14ac:dyDescent="0.25">
      <c r="A1783" t="s">
        <v>3408</v>
      </c>
      <c r="B1783" t="s">
        <v>3409</v>
      </c>
      <c r="C1783"/>
      <c r="D1783" t="s">
        <v>1778</v>
      </c>
      <c r="E1783" t="s">
        <v>2360</v>
      </c>
      <c r="F1783" t="s">
        <v>2379</v>
      </c>
      <c r="G1783" t="s">
        <v>280</v>
      </c>
      <c r="H1783" t="s">
        <v>2380</v>
      </c>
      <c r="I1783" t="s">
        <v>35</v>
      </c>
      <c r="J1783"/>
      <c r="K1783">
        <v>1</v>
      </c>
      <c r="L1783">
        <v>1</v>
      </c>
      <c r="M1783" t="s">
        <v>33</v>
      </c>
      <c r="N1783">
        <v>1</v>
      </c>
      <c r="O1783"/>
      <c r="P1783">
        <v>0</v>
      </c>
      <c r="Q1783" t="s">
        <v>38</v>
      </c>
      <c r="R1783">
        <v>1</v>
      </c>
      <c r="S1783">
        <v>0</v>
      </c>
      <c r="T1783"/>
      <c r="U1783"/>
      <c r="V1783"/>
      <c r="W1783"/>
      <c r="X1783">
        <v>0</v>
      </c>
      <c r="Y1783"/>
      <c r="Z1783">
        <v>0</v>
      </c>
      <c r="AA1783"/>
      <c r="AB1783"/>
      <c r="AC1783"/>
      <c r="AD1783"/>
      <c r="AE1783">
        <v>0</v>
      </c>
      <c r="AF1783"/>
      <c r="AG1783"/>
      <c r="AH1783"/>
    </row>
    <row r="1784" spans="1:34" x14ac:dyDescent="0.25">
      <c r="A1784" t="s">
        <v>3440</v>
      </c>
      <c r="B1784" t="s">
        <v>3441</v>
      </c>
      <c r="C1784"/>
      <c r="D1784" t="s">
        <v>1778</v>
      </c>
      <c r="E1784" t="s">
        <v>2360</v>
      </c>
      <c r="F1784" t="s">
        <v>2379</v>
      </c>
      <c r="G1784" t="s">
        <v>280</v>
      </c>
      <c r="H1784" t="s">
        <v>2380</v>
      </c>
      <c r="I1784" t="s">
        <v>35</v>
      </c>
      <c r="J1784"/>
      <c r="K1784">
        <v>1</v>
      </c>
      <c r="L1784">
        <v>1</v>
      </c>
      <c r="M1784" t="s">
        <v>33</v>
      </c>
      <c r="N1784">
        <v>1</v>
      </c>
      <c r="O1784"/>
      <c r="P1784">
        <v>0</v>
      </c>
      <c r="Q1784" t="s">
        <v>38</v>
      </c>
      <c r="R1784">
        <v>1</v>
      </c>
      <c r="S1784">
        <v>0</v>
      </c>
      <c r="T1784"/>
      <c r="U1784"/>
      <c r="V1784"/>
      <c r="W1784"/>
      <c r="X1784">
        <v>0</v>
      </c>
      <c r="Y1784"/>
      <c r="Z1784">
        <v>0</v>
      </c>
      <c r="AA1784"/>
      <c r="AB1784"/>
      <c r="AC1784"/>
      <c r="AD1784"/>
      <c r="AE1784">
        <v>0</v>
      </c>
      <c r="AF1784"/>
      <c r="AG1784"/>
      <c r="AH1784"/>
    </row>
    <row r="1785" spans="1:34" x14ac:dyDescent="0.25">
      <c r="A1785" t="s">
        <v>3442</v>
      </c>
      <c r="B1785" t="s">
        <v>3443</v>
      </c>
      <c r="C1785"/>
      <c r="D1785" t="s">
        <v>1778</v>
      </c>
      <c r="E1785" t="s">
        <v>2360</v>
      </c>
      <c r="F1785" t="s">
        <v>2379</v>
      </c>
      <c r="G1785" t="s">
        <v>280</v>
      </c>
      <c r="H1785" t="s">
        <v>2380</v>
      </c>
      <c r="I1785" t="s">
        <v>35</v>
      </c>
      <c r="J1785"/>
      <c r="K1785">
        <v>1</v>
      </c>
      <c r="L1785">
        <v>1</v>
      </c>
      <c r="M1785" t="s">
        <v>33</v>
      </c>
      <c r="N1785">
        <v>1</v>
      </c>
      <c r="O1785"/>
      <c r="P1785">
        <v>0</v>
      </c>
      <c r="Q1785" t="s">
        <v>38</v>
      </c>
      <c r="R1785">
        <v>1</v>
      </c>
      <c r="S1785">
        <v>0</v>
      </c>
      <c r="T1785"/>
      <c r="U1785"/>
      <c r="V1785"/>
      <c r="W1785"/>
      <c r="X1785">
        <v>0</v>
      </c>
      <c r="Y1785"/>
      <c r="Z1785">
        <v>0</v>
      </c>
      <c r="AA1785"/>
      <c r="AB1785"/>
      <c r="AC1785"/>
      <c r="AD1785"/>
      <c r="AE1785">
        <v>0</v>
      </c>
      <c r="AF1785"/>
      <c r="AG1785"/>
      <c r="AH1785"/>
    </row>
    <row r="1786" spans="1:34" x14ac:dyDescent="0.25">
      <c r="A1786" t="s">
        <v>3406</v>
      </c>
      <c r="B1786" t="s">
        <v>3407</v>
      </c>
      <c r="C1786"/>
      <c r="D1786" t="s">
        <v>1778</v>
      </c>
      <c r="E1786" t="s">
        <v>2360</v>
      </c>
      <c r="F1786" t="s">
        <v>2381</v>
      </c>
      <c r="G1786" t="s">
        <v>280</v>
      </c>
      <c r="H1786" t="s">
        <v>2382</v>
      </c>
      <c r="I1786" t="s">
        <v>35</v>
      </c>
      <c r="J1786"/>
      <c r="K1786">
        <v>1</v>
      </c>
      <c r="L1786">
        <v>1</v>
      </c>
      <c r="M1786" t="s">
        <v>33</v>
      </c>
      <c r="N1786">
        <v>1</v>
      </c>
      <c r="O1786"/>
      <c r="P1786">
        <v>0</v>
      </c>
      <c r="Q1786" t="s">
        <v>38</v>
      </c>
      <c r="R1786">
        <v>1</v>
      </c>
      <c r="S1786">
        <v>0</v>
      </c>
      <c r="T1786"/>
      <c r="U1786"/>
      <c r="V1786"/>
      <c r="W1786"/>
      <c r="X1786">
        <v>0</v>
      </c>
      <c r="Y1786"/>
      <c r="Z1786">
        <v>0</v>
      </c>
      <c r="AA1786"/>
      <c r="AB1786"/>
      <c r="AC1786"/>
      <c r="AD1786"/>
      <c r="AE1786">
        <v>0</v>
      </c>
      <c r="AF1786"/>
      <c r="AG1786"/>
      <c r="AH1786"/>
    </row>
    <row r="1787" spans="1:34" x14ac:dyDescent="0.25">
      <c r="A1787" t="s">
        <v>3408</v>
      </c>
      <c r="B1787" t="s">
        <v>3409</v>
      </c>
      <c r="C1787"/>
      <c r="D1787" t="s">
        <v>1778</v>
      </c>
      <c r="E1787" t="s">
        <v>2360</v>
      </c>
      <c r="F1787" t="s">
        <v>2381</v>
      </c>
      <c r="G1787" t="s">
        <v>280</v>
      </c>
      <c r="H1787" t="s">
        <v>2382</v>
      </c>
      <c r="I1787" t="s">
        <v>35</v>
      </c>
      <c r="J1787"/>
      <c r="K1787">
        <v>1</v>
      </c>
      <c r="L1787">
        <v>1</v>
      </c>
      <c r="M1787" t="s">
        <v>33</v>
      </c>
      <c r="N1787">
        <v>1</v>
      </c>
      <c r="O1787"/>
      <c r="P1787">
        <v>0</v>
      </c>
      <c r="Q1787" t="s">
        <v>38</v>
      </c>
      <c r="R1787">
        <v>1</v>
      </c>
      <c r="S1787">
        <v>0</v>
      </c>
      <c r="T1787"/>
      <c r="U1787"/>
      <c r="V1787"/>
      <c r="W1787"/>
      <c r="X1787">
        <v>0</v>
      </c>
      <c r="Y1787"/>
      <c r="Z1787">
        <v>0</v>
      </c>
      <c r="AA1787"/>
      <c r="AB1787"/>
      <c r="AC1787"/>
      <c r="AD1787"/>
      <c r="AE1787">
        <v>0</v>
      </c>
      <c r="AF1787"/>
      <c r="AG1787"/>
      <c r="AH1787"/>
    </row>
    <row r="1788" spans="1:34" x14ac:dyDescent="0.25">
      <c r="A1788" t="s">
        <v>3440</v>
      </c>
      <c r="B1788" t="s">
        <v>3441</v>
      </c>
      <c r="C1788"/>
      <c r="D1788" t="s">
        <v>1778</v>
      </c>
      <c r="E1788" t="s">
        <v>2360</v>
      </c>
      <c r="F1788" t="s">
        <v>2381</v>
      </c>
      <c r="G1788" t="s">
        <v>280</v>
      </c>
      <c r="H1788" t="s">
        <v>2382</v>
      </c>
      <c r="I1788" t="s">
        <v>35</v>
      </c>
      <c r="J1788"/>
      <c r="K1788">
        <v>1</v>
      </c>
      <c r="L1788">
        <v>1</v>
      </c>
      <c r="M1788" t="s">
        <v>33</v>
      </c>
      <c r="N1788">
        <v>1</v>
      </c>
      <c r="O1788"/>
      <c r="P1788">
        <v>0</v>
      </c>
      <c r="Q1788" t="s">
        <v>38</v>
      </c>
      <c r="R1788">
        <v>1</v>
      </c>
      <c r="S1788">
        <v>0</v>
      </c>
      <c r="T1788"/>
      <c r="U1788"/>
      <c r="V1788"/>
      <c r="W1788"/>
      <c r="X1788">
        <v>0</v>
      </c>
      <c r="Y1788"/>
      <c r="Z1788">
        <v>0</v>
      </c>
      <c r="AA1788"/>
      <c r="AB1788"/>
      <c r="AC1788"/>
      <c r="AD1788"/>
      <c r="AE1788">
        <v>0</v>
      </c>
      <c r="AF1788"/>
      <c r="AG1788"/>
      <c r="AH1788"/>
    </row>
    <row r="1789" spans="1:34" x14ac:dyDescent="0.25">
      <c r="A1789" t="s">
        <v>3442</v>
      </c>
      <c r="B1789" t="s">
        <v>3443</v>
      </c>
      <c r="C1789"/>
      <c r="D1789" t="s">
        <v>1778</v>
      </c>
      <c r="E1789" t="s">
        <v>2360</v>
      </c>
      <c r="F1789" t="s">
        <v>2381</v>
      </c>
      <c r="G1789" t="s">
        <v>280</v>
      </c>
      <c r="H1789" t="s">
        <v>2382</v>
      </c>
      <c r="I1789" t="s">
        <v>35</v>
      </c>
      <c r="J1789"/>
      <c r="K1789">
        <v>1</v>
      </c>
      <c r="L1789">
        <v>1</v>
      </c>
      <c r="M1789" t="s">
        <v>33</v>
      </c>
      <c r="N1789">
        <v>1</v>
      </c>
      <c r="O1789"/>
      <c r="P1789">
        <v>0</v>
      </c>
      <c r="Q1789" t="s">
        <v>38</v>
      </c>
      <c r="R1789">
        <v>1</v>
      </c>
      <c r="S1789">
        <v>0</v>
      </c>
      <c r="T1789"/>
      <c r="U1789"/>
      <c r="V1789"/>
      <c r="W1789"/>
      <c r="X1789">
        <v>0</v>
      </c>
      <c r="Y1789"/>
      <c r="Z1789">
        <v>0</v>
      </c>
      <c r="AA1789"/>
      <c r="AB1789"/>
      <c r="AC1789"/>
      <c r="AD1789"/>
      <c r="AE1789">
        <v>0</v>
      </c>
      <c r="AF1789"/>
      <c r="AG1789"/>
      <c r="AH1789"/>
    </row>
    <row r="1790" spans="1:34" x14ac:dyDescent="0.25">
      <c r="A1790" t="s">
        <v>3406</v>
      </c>
      <c r="B1790" t="s">
        <v>3407</v>
      </c>
      <c r="C1790"/>
      <c r="D1790" t="s">
        <v>1778</v>
      </c>
      <c r="E1790" t="s">
        <v>2360</v>
      </c>
      <c r="F1790" t="s">
        <v>2383</v>
      </c>
      <c r="G1790" t="s">
        <v>280</v>
      </c>
      <c r="H1790" t="s">
        <v>2384</v>
      </c>
      <c r="I1790" t="s">
        <v>35</v>
      </c>
      <c r="J1790"/>
      <c r="K1790">
        <v>1</v>
      </c>
      <c r="L1790">
        <v>1</v>
      </c>
      <c r="M1790" t="s">
        <v>33</v>
      </c>
      <c r="N1790">
        <v>1</v>
      </c>
      <c r="O1790"/>
      <c r="P1790">
        <v>0</v>
      </c>
      <c r="Q1790" t="s">
        <v>38</v>
      </c>
      <c r="R1790">
        <v>1</v>
      </c>
      <c r="S1790">
        <v>0</v>
      </c>
      <c r="T1790"/>
      <c r="U1790"/>
      <c r="V1790"/>
      <c r="W1790"/>
      <c r="X1790">
        <v>0</v>
      </c>
      <c r="Y1790"/>
      <c r="Z1790">
        <v>0</v>
      </c>
      <c r="AA1790"/>
      <c r="AB1790"/>
      <c r="AC1790"/>
      <c r="AD1790"/>
      <c r="AE1790">
        <v>0</v>
      </c>
      <c r="AF1790"/>
      <c r="AG1790"/>
      <c r="AH1790"/>
    </row>
    <row r="1791" spans="1:34" x14ac:dyDescent="0.25">
      <c r="A1791" t="s">
        <v>3408</v>
      </c>
      <c r="B1791" t="s">
        <v>3409</v>
      </c>
      <c r="C1791"/>
      <c r="D1791" t="s">
        <v>1778</v>
      </c>
      <c r="E1791" t="s">
        <v>2360</v>
      </c>
      <c r="F1791" t="s">
        <v>2383</v>
      </c>
      <c r="G1791" t="s">
        <v>280</v>
      </c>
      <c r="H1791" t="s">
        <v>2384</v>
      </c>
      <c r="I1791" t="s">
        <v>35</v>
      </c>
      <c r="J1791"/>
      <c r="K1791">
        <v>1</v>
      </c>
      <c r="L1791">
        <v>1</v>
      </c>
      <c r="M1791" t="s">
        <v>33</v>
      </c>
      <c r="N1791">
        <v>1</v>
      </c>
      <c r="O1791"/>
      <c r="P1791">
        <v>0</v>
      </c>
      <c r="Q1791" t="s">
        <v>38</v>
      </c>
      <c r="R1791">
        <v>1</v>
      </c>
      <c r="S1791">
        <v>0</v>
      </c>
      <c r="T1791"/>
      <c r="U1791"/>
      <c r="V1791"/>
      <c r="W1791"/>
      <c r="X1791">
        <v>0</v>
      </c>
      <c r="Y1791"/>
      <c r="Z1791">
        <v>0</v>
      </c>
      <c r="AA1791"/>
      <c r="AB1791"/>
      <c r="AC1791"/>
      <c r="AD1791"/>
      <c r="AE1791">
        <v>0</v>
      </c>
      <c r="AF1791"/>
      <c r="AG1791"/>
      <c r="AH1791"/>
    </row>
    <row r="1792" spans="1:34" x14ac:dyDescent="0.25">
      <c r="A1792" t="s">
        <v>3440</v>
      </c>
      <c r="B1792" t="s">
        <v>3441</v>
      </c>
      <c r="C1792"/>
      <c r="D1792" t="s">
        <v>1778</v>
      </c>
      <c r="E1792" t="s">
        <v>2360</v>
      </c>
      <c r="F1792" t="s">
        <v>2383</v>
      </c>
      <c r="G1792" t="s">
        <v>280</v>
      </c>
      <c r="H1792" t="s">
        <v>2384</v>
      </c>
      <c r="I1792" t="s">
        <v>35</v>
      </c>
      <c r="J1792"/>
      <c r="K1792">
        <v>1</v>
      </c>
      <c r="L1792">
        <v>1</v>
      </c>
      <c r="M1792" t="s">
        <v>33</v>
      </c>
      <c r="N1792">
        <v>1</v>
      </c>
      <c r="O1792"/>
      <c r="P1792">
        <v>0</v>
      </c>
      <c r="Q1792" t="s">
        <v>38</v>
      </c>
      <c r="R1792">
        <v>1</v>
      </c>
      <c r="S1792">
        <v>0</v>
      </c>
      <c r="T1792"/>
      <c r="U1792"/>
      <c r="V1792"/>
      <c r="W1792"/>
      <c r="X1792">
        <v>0</v>
      </c>
      <c r="Y1792"/>
      <c r="Z1792">
        <v>0</v>
      </c>
      <c r="AA1792"/>
      <c r="AB1792"/>
      <c r="AC1792"/>
      <c r="AD1792"/>
      <c r="AE1792">
        <v>0</v>
      </c>
      <c r="AF1792"/>
      <c r="AG1792"/>
      <c r="AH1792"/>
    </row>
    <row r="1793" spans="1:34" x14ac:dyDescent="0.25">
      <c r="A1793" t="s">
        <v>3442</v>
      </c>
      <c r="B1793" t="s">
        <v>3443</v>
      </c>
      <c r="C1793"/>
      <c r="D1793" t="s">
        <v>1778</v>
      </c>
      <c r="E1793" t="s">
        <v>2360</v>
      </c>
      <c r="F1793" t="s">
        <v>2383</v>
      </c>
      <c r="G1793" t="s">
        <v>280</v>
      </c>
      <c r="H1793" t="s">
        <v>2384</v>
      </c>
      <c r="I1793" t="s">
        <v>35</v>
      </c>
      <c r="J1793"/>
      <c r="K1793">
        <v>1</v>
      </c>
      <c r="L1793">
        <v>1</v>
      </c>
      <c r="M1793" t="s">
        <v>33</v>
      </c>
      <c r="N1793">
        <v>1</v>
      </c>
      <c r="O1793"/>
      <c r="P1793">
        <v>0</v>
      </c>
      <c r="Q1793" t="s">
        <v>38</v>
      </c>
      <c r="R1793">
        <v>1</v>
      </c>
      <c r="S1793">
        <v>0</v>
      </c>
      <c r="T1793"/>
      <c r="U1793"/>
      <c r="V1793"/>
      <c r="W1793"/>
      <c r="X1793">
        <v>0</v>
      </c>
      <c r="Y1793"/>
      <c r="Z1793">
        <v>0</v>
      </c>
      <c r="AA1793"/>
      <c r="AB1793"/>
      <c r="AC1793"/>
      <c r="AD1793"/>
      <c r="AE1793">
        <v>0</v>
      </c>
      <c r="AF1793"/>
      <c r="AG1793"/>
      <c r="AH1793"/>
    </row>
    <row r="1794" spans="1:34" x14ac:dyDescent="0.25">
      <c r="A1794" t="s">
        <v>3406</v>
      </c>
      <c r="B1794" t="s">
        <v>3407</v>
      </c>
      <c r="C1794"/>
      <c r="D1794" t="s">
        <v>1778</v>
      </c>
      <c r="E1794" t="s">
        <v>2360</v>
      </c>
      <c r="F1794" t="s">
        <v>2385</v>
      </c>
      <c r="G1794" t="s">
        <v>280</v>
      </c>
      <c r="H1794" t="s">
        <v>2386</v>
      </c>
      <c r="I1794" t="s">
        <v>35</v>
      </c>
      <c r="J1794"/>
      <c r="K1794">
        <v>1</v>
      </c>
      <c r="L1794">
        <v>1</v>
      </c>
      <c r="M1794" t="s">
        <v>33</v>
      </c>
      <c r="N1794">
        <v>1</v>
      </c>
      <c r="O1794"/>
      <c r="P1794">
        <v>0</v>
      </c>
      <c r="Q1794" t="s">
        <v>38</v>
      </c>
      <c r="R1794">
        <v>1</v>
      </c>
      <c r="S1794">
        <v>0</v>
      </c>
      <c r="T1794"/>
      <c r="U1794"/>
      <c r="V1794"/>
      <c r="W1794"/>
      <c r="X1794">
        <v>0</v>
      </c>
      <c r="Y1794"/>
      <c r="Z1794">
        <v>0</v>
      </c>
      <c r="AA1794"/>
      <c r="AB1794"/>
      <c r="AC1794"/>
      <c r="AD1794"/>
      <c r="AE1794">
        <v>0</v>
      </c>
      <c r="AF1794"/>
      <c r="AG1794"/>
      <c r="AH1794"/>
    </row>
    <row r="1795" spans="1:34" x14ac:dyDescent="0.25">
      <c r="A1795" t="s">
        <v>3408</v>
      </c>
      <c r="B1795" t="s">
        <v>3409</v>
      </c>
      <c r="C1795"/>
      <c r="D1795" t="s">
        <v>1778</v>
      </c>
      <c r="E1795" t="s">
        <v>2360</v>
      </c>
      <c r="F1795" t="s">
        <v>2385</v>
      </c>
      <c r="G1795" t="s">
        <v>280</v>
      </c>
      <c r="H1795" t="s">
        <v>2386</v>
      </c>
      <c r="I1795" t="s">
        <v>35</v>
      </c>
      <c r="J1795"/>
      <c r="K1795">
        <v>1</v>
      </c>
      <c r="L1795">
        <v>1</v>
      </c>
      <c r="M1795" t="s">
        <v>33</v>
      </c>
      <c r="N1795">
        <v>1</v>
      </c>
      <c r="O1795"/>
      <c r="P1795">
        <v>0</v>
      </c>
      <c r="Q1795" t="s">
        <v>38</v>
      </c>
      <c r="R1795">
        <v>1</v>
      </c>
      <c r="S1795">
        <v>0</v>
      </c>
      <c r="T1795"/>
      <c r="U1795"/>
      <c r="V1795"/>
      <c r="W1795"/>
      <c r="X1795">
        <v>0</v>
      </c>
      <c r="Y1795"/>
      <c r="Z1795">
        <v>0</v>
      </c>
      <c r="AA1795"/>
      <c r="AB1795"/>
      <c r="AC1795"/>
      <c r="AD1795"/>
      <c r="AE1795">
        <v>0</v>
      </c>
      <c r="AF1795"/>
      <c r="AG1795"/>
      <c r="AH1795"/>
    </row>
    <row r="1796" spans="1:34" x14ac:dyDescent="0.25">
      <c r="A1796" t="s">
        <v>3440</v>
      </c>
      <c r="B1796" t="s">
        <v>3441</v>
      </c>
      <c r="C1796"/>
      <c r="D1796" t="s">
        <v>1778</v>
      </c>
      <c r="E1796" t="s">
        <v>2360</v>
      </c>
      <c r="F1796" t="s">
        <v>2385</v>
      </c>
      <c r="G1796" t="s">
        <v>280</v>
      </c>
      <c r="H1796" t="s">
        <v>2386</v>
      </c>
      <c r="I1796" t="s">
        <v>35</v>
      </c>
      <c r="J1796"/>
      <c r="K1796">
        <v>1</v>
      </c>
      <c r="L1796">
        <v>1</v>
      </c>
      <c r="M1796" t="s">
        <v>33</v>
      </c>
      <c r="N1796">
        <v>1</v>
      </c>
      <c r="O1796"/>
      <c r="P1796">
        <v>0</v>
      </c>
      <c r="Q1796" t="s">
        <v>38</v>
      </c>
      <c r="R1796">
        <v>1</v>
      </c>
      <c r="S1796">
        <v>0</v>
      </c>
      <c r="T1796"/>
      <c r="U1796"/>
      <c r="V1796"/>
      <c r="W1796"/>
      <c r="X1796">
        <v>0</v>
      </c>
      <c r="Y1796"/>
      <c r="Z1796">
        <v>0</v>
      </c>
      <c r="AA1796"/>
      <c r="AB1796"/>
      <c r="AC1796"/>
      <c r="AD1796"/>
      <c r="AE1796">
        <v>0</v>
      </c>
      <c r="AF1796"/>
      <c r="AG1796"/>
      <c r="AH1796"/>
    </row>
    <row r="1797" spans="1:34" x14ac:dyDescent="0.25">
      <c r="A1797" t="s">
        <v>3442</v>
      </c>
      <c r="B1797" t="s">
        <v>3443</v>
      </c>
      <c r="C1797"/>
      <c r="D1797" t="s">
        <v>1778</v>
      </c>
      <c r="E1797" t="s">
        <v>2360</v>
      </c>
      <c r="F1797" t="s">
        <v>2385</v>
      </c>
      <c r="G1797" t="s">
        <v>280</v>
      </c>
      <c r="H1797" t="s">
        <v>2386</v>
      </c>
      <c r="I1797" t="s">
        <v>35</v>
      </c>
      <c r="J1797"/>
      <c r="K1797">
        <v>1</v>
      </c>
      <c r="L1797">
        <v>1</v>
      </c>
      <c r="M1797" t="s">
        <v>33</v>
      </c>
      <c r="N1797">
        <v>1</v>
      </c>
      <c r="O1797"/>
      <c r="P1797">
        <v>0</v>
      </c>
      <c r="Q1797" t="s">
        <v>38</v>
      </c>
      <c r="R1797">
        <v>1</v>
      </c>
      <c r="S1797">
        <v>0</v>
      </c>
      <c r="T1797"/>
      <c r="U1797"/>
      <c r="V1797"/>
      <c r="W1797"/>
      <c r="X1797">
        <v>0</v>
      </c>
      <c r="Y1797"/>
      <c r="Z1797">
        <v>0</v>
      </c>
      <c r="AA1797"/>
      <c r="AB1797"/>
      <c r="AC1797"/>
      <c r="AD1797"/>
      <c r="AE1797">
        <v>0</v>
      </c>
      <c r="AF1797"/>
      <c r="AG1797"/>
      <c r="AH1797"/>
    </row>
    <row r="1798" spans="1:34" x14ac:dyDescent="0.25">
      <c r="A1798" t="s">
        <v>3406</v>
      </c>
      <c r="B1798" t="s">
        <v>3407</v>
      </c>
      <c r="C1798"/>
      <c r="D1798" t="s">
        <v>1778</v>
      </c>
      <c r="E1798" t="s">
        <v>2360</v>
      </c>
      <c r="F1798" t="s">
        <v>2387</v>
      </c>
      <c r="G1798" t="s">
        <v>280</v>
      </c>
      <c r="H1798" t="s">
        <v>2386</v>
      </c>
      <c r="I1798" t="s">
        <v>35</v>
      </c>
      <c r="J1798"/>
      <c r="K1798">
        <v>1</v>
      </c>
      <c r="L1798">
        <v>1</v>
      </c>
      <c r="M1798" t="s">
        <v>33</v>
      </c>
      <c r="N1798">
        <v>1</v>
      </c>
      <c r="O1798"/>
      <c r="P1798">
        <v>0</v>
      </c>
      <c r="Q1798" t="s">
        <v>38</v>
      </c>
      <c r="R1798">
        <v>1</v>
      </c>
      <c r="S1798">
        <v>0</v>
      </c>
      <c r="T1798"/>
      <c r="U1798"/>
      <c r="V1798"/>
      <c r="W1798"/>
      <c r="X1798">
        <v>0</v>
      </c>
      <c r="Y1798"/>
      <c r="Z1798">
        <v>0</v>
      </c>
      <c r="AA1798"/>
      <c r="AB1798"/>
      <c r="AC1798"/>
      <c r="AD1798"/>
      <c r="AE1798">
        <v>0</v>
      </c>
      <c r="AF1798"/>
      <c r="AG1798"/>
      <c r="AH1798"/>
    </row>
    <row r="1799" spans="1:34" x14ac:dyDescent="0.25">
      <c r="A1799" t="s">
        <v>3408</v>
      </c>
      <c r="B1799" t="s">
        <v>3409</v>
      </c>
      <c r="C1799"/>
      <c r="D1799" t="s">
        <v>1778</v>
      </c>
      <c r="E1799" t="s">
        <v>2360</v>
      </c>
      <c r="F1799" t="s">
        <v>2387</v>
      </c>
      <c r="G1799" t="s">
        <v>280</v>
      </c>
      <c r="H1799" t="s">
        <v>2386</v>
      </c>
      <c r="I1799" t="s">
        <v>35</v>
      </c>
      <c r="J1799"/>
      <c r="K1799">
        <v>1</v>
      </c>
      <c r="L1799">
        <v>1</v>
      </c>
      <c r="M1799" t="s">
        <v>33</v>
      </c>
      <c r="N1799">
        <v>1</v>
      </c>
      <c r="O1799"/>
      <c r="P1799">
        <v>0</v>
      </c>
      <c r="Q1799" t="s">
        <v>38</v>
      </c>
      <c r="R1799">
        <v>1</v>
      </c>
      <c r="S1799">
        <v>0</v>
      </c>
      <c r="T1799"/>
      <c r="U1799"/>
      <c r="V1799"/>
      <c r="W1799"/>
      <c r="X1799">
        <v>0</v>
      </c>
      <c r="Y1799"/>
      <c r="Z1799">
        <v>0</v>
      </c>
      <c r="AA1799"/>
      <c r="AB1799"/>
      <c r="AC1799"/>
      <c r="AD1799"/>
      <c r="AE1799">
        <v>0</v>
      </c>
      <c r="AF1799"/>
      <c r="AG1799"/>
      <c r="AH1799"/>
    </row>
    <row r="1800" spans="1:34" x14ac:dyDescent="0.25">
      <c r="A1800" t="s">
        <v>3440</v>
      </c>
      <c r="B1800" t="s">
        <v>3441</v>
      </c>
      <c r="C1800"/>
      <c r="D1800" t="s">
        <v>1778</v>
      </c>
      <c r="E1800" t="s">
        <v>2360</v>
      </c>
      <c r="F1800" t="s">
        <v>2387</v>
      </c>
      <c r="G1800" t="s">
        <v>280</v>
      </c>
      <c r="H1800" t="s">
        <v>2386</v>
      </c>
      <c r="I1800" t="s">
        <v>35</v>
      </c>
      <c r="J1800"/>
      <c r="K1800">
        <v>1</v>
      </c>
      <c r="L1800">
        <v>1</v>
      </c>
      <c r="M1800" t="s">
        <v>33</v>
      </c>
      <c r="N1800">
        <v>1</v>
      </c>
      <c r="O1800"/>
      <c r="P1800">
        <v>0</v>
      </c>
      <c r="Q1800" t="s">
        <v>38</v>
      </c>
      <c r="R1800">
        <v>1</v>
      </c>
      <c r="S1800">
        <v>0</v>
      </c>
      <c r="T1800"/>
      <c r="U1800"/>
      <c r="V1800"/>
      <c r="W1800"/>
      <c r="X1800">
        <v>0</v>
      </c>
      <c r="Y1800"/>
      <c r="Z1800">
        <v>0</v>
      </c>
      <c r="AA1800"/>
      <c r="AB1800"/>
      <c r="AC1800"/>
      <c r="AD1800"/>
      <c r="AE1800">
        <v>0</v>
      </c>
      <c r="AF1800"/>
      <c r="AG1800"/>
      <c r="AH1800"/>
    </row>
    <row r="1801" spans="1:34" x14ac:dyDescent="0.25">
      <c r="A1801" t="s">
        <v>3442</v>
      </c>
      <c r="B1801" t="s">
        <v>3443</v>
      </c>
      <c r="C1801"/>
      <c r="D1801" t="s">
        <v>1778</v>
      </c>
      <c r="E1801" t="s">
        <v>2360</v>
      </c>
      <c r="F1801" t="s">
        <v>2387</v>
      </c>
      <c r="G1801" t="s">
        <v>280</v>
      </c>
      <c r="H1801" t="s">
        <v>2386</v>
      </c>
      <c r="I1801" t="s">
        <v>35</v>
      </c>
      <c r="J1801"/>
      <c r="K1801">
        <v>1</v>
      </c>
      <c r="L1801">
        <v>1</v>
      </c>
      <c r="M1801" t="s">
        <v>33</v>
      </c>
      <c r="N1801">
        <v>1</v>
      </c>
      <c r="O1801"/>
      <c r="P1801">
        <v>0</v>
      </c>
      <c r="Q1801" t="s">
        <v>38</v>
      </c>
      <c r="R1801">
        <v>1</v>
      </c>
      <c r="S1801">
        <v>0</v>
      </c>
      <c r="T1801"/>
      <c r="U1801"/>
      <c r="V1801"/>
      <c r="W1801"/>
      <c r="X1801">
        <v>0</v>
      </c>
      <c r="Y1801"/>
      <c r="Z1801">
        <v>0</v>
      </c>
      <c r="AA1801"/>
      <c r="AB1801"/>
      <c r="AC1801"/>
      <c r="AD1801"/>
      <c r="AE1801">
        <v>0</v>
      </c>
      <c r="AF1801"/>
      <c r="AG1801"/>
      <c r="AH1801"/>
    </row>
    <row r="1802" spans="1:34" x14ac:dyDescent="0.25">
      <c r="A1802" t="s">
        <v>3406</v>
      </c>
      <c r="B1802" t="s">
        <v>3407</v>
      </c>
      <c r="C1802"/>
      <c r="D1802" t="s">
        <v>1778</v>
      </c>
      <c r="E1802" t="s">
        <v>2360</v>
      </c>
      <c r="F1802" t="s">
        <v>2388</v>
      </c>
      <c r="G1802" t="s">
        <v>280</v>
      </c>
      <c r="H1802" t="s">
        <v>2389</v>
      </c>
      <c r="I1802" t="s">
        <v>35</v>
      </c>
      <c r="J1802"/>
      <c r="K1802">
        <v>1</v>
      </c>
      <c r="L1802">
        <v>1</v>
      </c>
      <c r="M1802" t="s">
        <v>33</v>
      </c>
      <c r="N1802">
        <v>1</v>
      </c>
      <c r="O1802"/>
      <c r="P1802">
        <v>0</v>
      </c>
      <c r="Q1802" t="s">
        <v>38</v>
      </c>
      <c r="R1802">
        <v>1</v>
      </c>
      <c r="S1802">
        <v>0</v>
      </c>
      <c r="T1802"/>
      <c r="U1802"/>
      <c r="V1802"/>
      <c r="W1802"/>
      <c r="X1802">
        <v>0</v>
      </c>
      <c r="Y1802"/>
      <c r="Z1802">
        <v>0</v>
      </c>
      <c r="AA1802"/>
      <c r="AB1802"/>
      <c r="AC1802"/>
      <c r="AD1802"/>
      <c r="AE1802">
        <v>0</v>
      </c>
      <c r="AF1802"/>
      <c r="AG1802"/>
      <c r="AH1802"/>
    </row>
    <row r="1803" spans="1:34" x14ac:dyDescent="0.25">
      <c r="A1803" t="s">
        <v>3408</v>
      </c>
      <c r="B1803" t="s">
        <v>3409</v>
      </c>
      <c r="C1803"/>
      <c r="D1803" t="s">
        <v>1778</v>
      </c>
      <c r="E1803" t="s">
        <v>2360</v>
      </c>
      <c r="F1803" t="s">
        <v>2388</v>
      </c>
      <c r="G1803" t="s">
        <v>280</v>
      </c>
      <c r="H1803" t="s">
        <v>2389</v>
      </c>
      <c r="I1803" t="s">
        <v>35</v>
      </c>
      <c r="J1803"/>
      <c r="K1803">
        <v>1</v>
      </c>
      <c r="L1803">
        <v>1</v>
      </c>
      <c r="M1803" t="s">
        <v>33</v>
      </c>
      <c r="N1803">
        <v>1</v>
      </c>
      <c r="O1803"/>
      <c r="P1803">
        <v>0</v>
      </c>
      <c r="Q1803" t="s">
        <v>38</v>
      </c>
      <c r="R1803">
        <v>1</v>
      </c>
      <c r="S1803">
        <v>0</v>
      </c>
      <c r="T1803"/>
      <c r="U1803"/>
      <c r="V1803"/>
      <c r="W1803"/>
      <c r="X1803">
        <v>0</v>
      </c>
      <c r="Y1803"/>
      <c r="Z1803">
        <v>0</v>
      </c>
      <c r="AA1803"/>
      <c r="AB1803"/>
      <c r="AC1803"/>
      <c r="AD1803"/>
      <c r="AE1803">
        <v>0</v>
      </c>
      <c r="AF1803"/>
      <c r="AG1803"/>
      <c r="AH1803"/>
    </row>
    <row r="1804" spans="1:34" x14ac:dyDescent="0.25">
      <c r="A1804" t="s">
        <v>3440</v>
      </c>
      <c r="B1804" t="s">
        <v>3441</v>
      </c>
      <c r="C1804"/>
      <c r="D1804" t="s">
        <v>1778</v>
      </c>
      <c r="E1804" t="s">
        <v>2360</v>
      </c>
      <c r="F1804" t="s">
        <v>2388</v>
      </c>
      <c r="G1804" t="s">
        <v>280</v>
      </c>
      <c r="H1804" t="s">
        <v>2389</v>
      </c>
      <c r="I1804" t="s">
        <v>35</v>
      </c>
      <c r="J1804"/>
      <c r="K1804">
        <v>1</v>
      </c>
      <c r="L1804">
        <v>1</v>
      </c>
      <c r="M1804" t="s">
        <v>33</v>
      </c>
      <c r="N1804">
        <v>1</v>
      </c>
      <c r="O1804"/>
      <c r="P1804">
        <v>0</v>
      </c>
      <c r="Q1804" t="s">
        <v>38</v>
      </c>
      <c r="R1804">
        <v>1</v>
      </c>
      <c r="S1804">
        <v>0</v>
      </c>
      <c r="T1804"/>
      <c r="U1804"/>
      <c r="V1804"/>
      <c r="W1804"/>
      <c r="X1804">
        <v>0</v>
      </c>
      <c r="Y1804"/>
      <c r="Z1804">
        <v>0</v>
      </c>
      <c r="AA1804"/>
      <c r="AB1804"/>
      <c r="AC1804"/>
      <c r="AD1804"/>
      <c r="AE1804">
        <v>0</v>
      </c>
      <c r="AF1804"/>
      <c r="AG1804"/>
      <c r="AH1804"/>
    </row>
    <row r="1805" spans="1:34" x14ac:dyDescent="0.25">
      <c r="A1805" t="s">
        <v>3442</v>
      </c>
      <c r="B1805" t="s">
        <v>3443</v>
      </c>
      <c r="C1805"/>
      <c r="D1805" t="s">
        <v>1778</v>
      </c>
      <c r="E1805" t="s">
        <v>2360</v>
      </c>
      <c r="F1805" t="s">
        <v>2388</v>
      </c>
      <c r="G1805" t="s">
        <v>280</v>
      </c>
      <c r="H1805" t="s">
        <v>2389</v>
      </c>
      <c r="I1805" t="s">
        <v>35</v>
      </c>
      <c r="J1805"/>
      <c r="K1805">
        <v>1</v>
      </c>
      <c r="L1805">
        <v>1</v>
      </c>
      <c r="M1805" t="s">
        <v>33</v>
      </c>
      <c r="N1805">
        <v>1</v>
      </c>
      <c r="O1805"/>
      <c r="P1805">
        <v>0</v>
      </c>
      <c r="Q1805" t="s">
        <v>38</v>
      </c>
      <c r="R1805">
        <v>1</v>
      </c>
      <c r="S1805">
        <v>0</v>
      </c>
      <c r="T1805"/>
      <c r="U1805"/>
      <c r="V1805"/>
      <c r="W1805"/>
      <c r="X1805">
        <v>0</v>
      </c>
      <c r="Y1805"/>
      <c r="Z1805">
        <v>0</v>
      </c>
      <c r="AA1805"/>
      <c r="AB1805"/>
      <c r="AC1805"/>
      <c r="AD1805"/>
      <c r="AE1805">
        <v>0</v>
      </c>
      <c r="AF1805"/>
      <c r="AG1805"/>
      <c r="AH1805"/>
    </row>
    <row r="1806" spans="1:34" x14ac:dyDescent="0.25">
      <c r="A1806" t="s">
        <v>3406</v>
      </c>
      <c r="B1806" t="s">
        <v>3407</v>
      </c>
      <c r="C1806"/>
      <c r="D1806" t="s">
        <v>1778</v>
      </c>
      <c r="E1806" t="s">
        <v>2360</v>
      </c>
      <c r="F1806" t="s">
        <v>2390</v>
      </c>
      <c r="G1806" t="s">
        <v>280</v>
      </c>
      <c r="H1806" t="s">
        <v>2391</v>
      </c>
      <c r="I1806" t="s">
        <v>35</v>
      </c>
      <c r="J1806"/>
      <c r="K1806">
        <v>1</v>
      </c>
      <c r="L1806">
        <v>1</v>
      </c>
      <c r="M1806" t="s">
        <v>33</v>
      </c>
      <c r="N1806">
        <v>1</v>
      </c>
      <c r="O1806"/>
      <c r="P1806">
        <v>0</v>
      </c>
      <c r="Q1806" t="s">
        <v>38</v>
      </c>
      <c r="R1806">
        <v>1</v>
      </c>
      <c r="S1806">
        <v>0</v>
      </c>
      <c r="T1806"/>
      <c r="U1806"/>
      <c r="V1806"/>
      <c r="W1806"/>
      <c r="X1806">
        <v>0</v>
      </c>
      <c r="Y1806"/>
      <c r="Z1806">
        <v>0</v>
      </c>
      <c r="AA1806"/>
      <c r="AB1806"/>
      <c r="AC1806"/>
      <c r="AD1806"/>
      <c r="AE1806">
        <v>0</v>
      </c>
      <c r="AF1806"/>
      <c r="AG1806"/>
      <c r="AH1806"/>
    </row>
    <row r="1807" spans="1:34" x14ac:dyDescent="0.25">
      <c r="A1807" t="s">
        <v>3408</v>
      </c>
      <c r="B1807" t="s">
        <v>3409</v>
      </c>
      <c r="C1807"/>
      <c r="D1807" t="s">
        <v>1778</v>
      </c>
      <c r="E1807" t="s">
        <v>2360</v>
      </c>
      <c r="F1807" t="s">
        <v>2390</v>
      </c>
      <c r="G1807" t="s">
        <v>280</v>
      </c>
      <c r="H1807" t="s">
        <v>2391</v>
      </c>
      <c r="I1807" t="s">
        <v>35</v>
      </c>
      <c r="J1807"/>
      <c r="K1807">
        <v>1</v>
      </c>
      <c r="L1807">
        <v>1</v>
      </c>
      <c r="M1807" t="s">
        <v>33</v>
      </c>
      <c r="N1807">
        <v>1</v>
      </c>
      <c r="O1807"/>
      <c r="P1807">
        <v>0</v>
      </c>
      <c r="Q1807" t="s">
        <v>38</v>
      </c>
      <c r="R1807">
        <v>1</v>
      </c>
      <c r="S1807">
        <v>0</v>
      </c>
      <c r="T1807"/>
      <c r="U1807"/>
      <c r="V1807"/>
      <c r="W1807"/>
      <c r="X1807">
        <v>0</v>
      </c>
      <c r="Y1807"/>
      <c r="Z1807">
        <v>0</v>
      </c>
      <c r="AA1807"/>
      <c r="AB1807"/>
      <c r="AC1807"/>
      <c r="AD1807"/>
      <c r="AE1807">
        <v>0</v>
      </c>
      <c r="AF1807"/>
      <c r="AG1807"/>
      <c r="AH1807"/>
    </row>
    <row r="1808" spans="1:34" x14ac:dyDescent="0.25">
      <c r="A1808" t="s">
        <v>3440</v>
      </c>
      <c r="B1808" t="s">
        <v>3441</v>
      </c>
      <c r="C1808"/>
      <c r="D1808" t="s">
        <v>1778</v>
      </c>
      <c r="E1808" t="s">
        <v>2360</v>
      </c>
      <c r="F1808" t="s">
        <v>2390</v>
      </c>
      <c r="G1808" t="s">
        <v>280</v>
      </c>
      <c r="H1808" t="s">
        <v>2391</v>
      </c>
      <c r="I1808" t="s">
        <v>35</v>
      </c>
      <c r="J1808"/>
      <c r="K1808">
        <v>1</v>
      </c>
      <c r="L1808">
        <v>1</v>
      </c>
      <c r="M1808" t="s">
        <v>33</v>
      </c>
      <c r="N1808">
        <v>1</v>
      </c>
      <c r="O1808"/>
      <c r="P1808">
        <v>0</v>
      </c>
      <c r="Q1808" t="s">
        <v>38</v>
      </c>
      <c r="R1808">
        <v>1</v>
      </c>
      <c r="S1808">
        <v>0</v>
      </c>
      <c r="T1808"/>
      <c r="U1808"/>
      <c r="V1808"/>
      <c r="W1808"/>
      <c r="X1808">
        <v>0</v>
      </c>
      <c r="Y1808"/>
      <c r="Z1808">
        <v>0</v>
      </c>
      <c r="AA1808"/>
      <c r="AB1808"/>
      <c r="AC1808"/>
      <c r="AD1808"/>
      <c r="AE1808">
        <v>0</v>
      </c>
      <c r="AF1808"/>
      <c r="AG1808"/>
      <c r="AH1808"/>
    </row>
    <row r="1809" spans="1:34" x14ac:dyDescent="0.25">
      <c r="A1809" t="s">
        <v>3442</v>
      </c>
      <c r="B1809" t="s">
        <v>3443</v>
      </c>
      <c r="C1809"/>
      <c r="D1809" t="s">
        <v>1778</v>
      </c>
      <c r="E1809" t="s">
        <v>2360</v>
      </c>
      <c r="F1809" t="s">
        <v>2390</v>
      </c>
      <c r="G1809" t="s">
        <v>280</v>
      </c>
      <c r="H1809" t="s">
        <v>2391</v>
      </c>
      <c r="I1809" t="s">
        <v>35</v>
      </c>
      <c r="J1809"/>
      <c r="K1809">
        <v>1</v>
      </c>
      <c r="L1809">
        <v>1</v>
      </c>
      <c r="M1809" t="s">
        <v>33</v>
      </c>
      <c r="N1809">
        <v>1</v>
      </c>
      <c r="O1809"/>
      <c r="P1809">
        <v>0</v>
      </c>
      <c r="Q1809" t="s">
        <v>38</v>
      </c>
      <c r="R1809">
        <v>1</v>
      </c>
      <c r="S1809">
        <v>0</v>
      </c>
      <c r="T1809"/>
      <c r="U1809"/>
      <c r="V1809"/>
      <c r="W1809"/>
      <c r="X1809">
        <v>0</v>
      </c>
      <c r="Y1809"/>
      <c r="Z1809">
        <v>0</v>
      </c>
      <c r="AA1809"/>
      <c r="AB1809"/>
      <c r="AC1809"/>
      <c r="AD1809"/>
      <c r="AE1809">
        <v>0</v>
      </c>
      <c r="AF1809"/>
      <c r="AG1809"/>
      <c r="AH1809"/>
    </row>
    <row r="1810" spans="1:34" x14ac:dyDescent="0.25">
      <c r="A1810" t="s">
        <v>3406</v>
      </c>
      <c r="B1810" t="s">
        <v>3407</v>
      </c>
      <c r="C1810"/>
      <c r="D1810" t="s">
        <v>1778</v>
      </c>
      <c r="E1810" t="s">
        <v>2360</v>
      </c>
      <c r="F1810" t="s">
        <v>2392</v>
      </c>
      <c r="G1810" t="s">
        <v>280</v>
      </c>
      <c r="H1810" t="s">
        <v>2393</v>
      </c>
      <c r="I1810" t="s">
        <v>35</v>
      </c>
      <c r="J1810"/>
      <c r="K1810">
        <v>1</v>
      </c>
      <c r="L1810">
        <v>1</v>
      </c>
      <c r="M1810" t="s">
        <v>33</v>
      </c>
      <c r="N1810">
        <v>1</v>
      </c>
      <c r="O1810"/>
      <c r="P1810">
        <v>0</v>
      </c>
      <c r="Q1810" t="s">
        <v>38</v>
      </c>
      <c r="R1810">
        <v>1</v>
      </c>
      <c r="S1810">
        <v>0</v>
      </c>
      <c r="T1810"/>
      <c r="U1810"/>
      <c r="V1810"/>
      <c r="W1810"/>
      <c r="X1810">
        <v>0</v>
      </c>
      <c r="Y1810"/>
      <c r="Z1810">
        <v>0</v>
      </c>
      <c r="AA1810"/>
      <c r="AB1810"/>
      <c r="AC1810"/>
      <c r="AD1810"/>
      <c r="AE1810">
        <v>0</v>
      </c>
      <c r="AF1810"/>
      <c r="AG1810"/>
      <c r="AH1810"/>
    </row>
    <row r="1811" spans="1:34" x14ac:dyDescent="0.25">
      <c r="A1811" t="s">
        <v>3408</v>
      </c>
      <c r="B1811" t="s">
        <v>3409</v>
      </c>
      <c r="C1811"/>
      <c r="D1811" t="s">
        <v>1778</v>
      </c>
      <c r="E1811" t="s">
        <v>2360</v>
      </c>
      <c r="F1811" t="s">
        <v>2392</v>
      </c>
      <c r="G1811" t="s">
        <v>280</v>
      </c>
      <c r="H1811" t="s">
        <v>2393</v>
      </c>
      <c r="I1811" t="s">
        <v>35</v>
      </c>
      <c r="J1811"/>
      <c r="K1811">
        <v>1</v>
      </c>
      <c r="L1811">
        <v>1</v>
      </c>
      <c r="M1811" t="s">
        <v>33</v>
      </c>
      <c r="N1811">
        <v>1</v>
      </c>
      <c r="O1811"/>
      <c r="P1811">
        <v>0</v>
      </c>
      <c r="Q1811" t="s">
        <v>38</v>
      </c>
      <c r="R1811">
        <v>1</v>
      </c>
      <c r="S1811">
        <v>0</v>
      </c>
      <c r="T1811"/>
      <c r="U1811"/>
      <c r="V1811"/>
      <c r="W1811"/>
      <c r="X1811">
        <v>0</v>
      </c>
      <c r="Y1811"/>
      <c r="Z1811">
        <v>0</v>
      </c>
      <c r="AA1811"/>
      <c r="AB1811"/>
      <c r="AC1811"/>
      <c r="AD1811"/>
      <c r="AE1811">
        <v>0</v>
      </c>
      <c r="AF1811"/>
      <c r="AG1811"/>
      <c r="AH1811"/>
    </row>
    <row r="1812" spans="1:34" x14ac:dyDescent="0.25">
      <c r="A1812" t="s">
        <v>3440</v>
      </c>
      <c r="B1812" t="s">
        <v>3441</v>
      </c>
      <c r="C1812"/>
      <c r="D1812" t="s">
        <v>1778</v>
      </c>
      <c r="E1812" t="s">
        <v>2360</v>
      </c>
      <c r="F1812" t="s">
        <v>2392</v>
      </c>
      <c r="G1812" t="s">
        <v>280</v>
      </c>
      <c r="H1812" t="s">
        <v>2393</v>
      </c>
      <c r="I1812" t="s">
        <v>35</v>
      </c>
      <c r="J1812"/>
      <c r="K1812">
        <v>1</v>
      </c>
      <c r="L1812">
        <v>1</v>
      </c>
      <c r="M1812" t="s">
        <v>33</v>
      </c>
      <c r="N1812">
        <v>1</v>
      </c>
      <c r="O1812"/>
      <c r="P1812">
        <v>0</v>
      </c>
      <c r="Q1812" t="s">
        <v>38</v>
      </c>
      <c r="R1812">
        <v>1</v>
      </c>
      <c r="S1812">
        <v>0</v>
      </c>
      <c r="T1812"/>
      <c r="U1812"/>
      <c r="V1812"/>
      <c r="W1812"/>
      <c r="X1812">
        <v>0</v>
      </c>
      <c r="Y1812"/>
      <c r="Z1812">
        <v>0</v>
      </c>
      <c r="AA1812"/>
      <c r="AB1812"/>
      <c r="AC1812"/>
      <c r="AD1812"/>
      <c r="AE1812">
        <v>0</v>
      </c>
      <c r="AF1812"/>
      <c r="AG1812"/>
      <c r="AH1812"/>
    </row>
    <row r="1813" spans="1:34" x14ac:dyDescent="0.25">
      <c r="A1813" t="s">
        <v>3442</v>
      </c>
      <c r="B1813" t="s">
        <v>3443</v>
      </c>
      <c r="C1813"/>
      <c r="D1813" t="s">
        <v>1778</v>
      </c>
      <c r="E1813" t="s">
        <v>2360</v>
      </c>
      <c r="F1813" t="s">
        <v>2392</v>
      </c>
      <c r="G1813" t="s">
        <v>280</v>
      </c>
      <c r="H1813" t="s">
        <v>2393</v>
      </c>
      <c r="I1813" t="s">
        <v>35</v>
      </c>
      <c r="J1813"/>
      <c r="K1813">
        <v>1</v>
      </c>
      <c r="L1813">
        <v>1</v>
      </c>
      <c r="M1813" t="s">
        <v>33</v>
      </c>
      <c r="N1813">
        <v>1</v>
      </c>
      <c r="O1813"/>
      <c r="P1813">
        <v>0</v>
      </c>
      <c r="Q1813" t="s">
        <v>38</v>
      </c>
      <c r="R1813">
        <v>1</v>
      </c>
      <c r="S1813">
        <v>0</v>
      </c>
      <c r="T1813"/>
      <c r="U1813"/>
      <c r="V1813"/>
      <c r="W1813"/>
      <c r="X1813">
        <v>0</v>
      </c>
      <c r="Y1813"/>
      <c r="Z1813">
        <v>0</v>
      </c>
      <c r="AA1813"/>
      <c r="AB1813"/>
      <c r="AC1813"/>
      <c r="AD1813"/>
      <c r="AE1813">
        <v>0</v>
      </c>
      <c r="AF1813"/>
      <c r="AG1813"/>
      <c r="AH1813"/>
    </row>
    <row r="1814" spans="1:34" x14ac:dyDescent="0.25">
      <c r="A1814" t="s">
        <v>3406</v>
      </c>
      <c r="B1814" t="s">
        <v>3407</v>
      </c>
      <c r="C1814"/>
      <c r="D1814" t="s">
        <v>1778</v>
      </c>
      <c r="E1814" t="s">
        <v>2360</v>
      </c>
      <c r="F1814" t="s">
        <v>2394</v>
      </c>
      <c r="G1814" t="s">
        <v>280</v>
      </c>
      <c r="H1814" t="s">
        <v>2393</v>
      </c>
      <c r="I1814" t="s">
        <v>35</v>
      </c>
      <c r="J1814"/>
      <c r="K1814">
        <v>1</v>
      </c>
      <c r="L1814">
        <v>1</v>
      </c>
      <c r="M1814" t="s">
        <v>33</v>
      </c>
      <c r="N1814">
        <v>1</v>
      </c>
      <c r="O1814"/>
      <c r="P1814">
        <v>0</v>
      </c>
      <c r="Q1814" t="s">
        <v>38</v>
      </c>
      <c r="R1814">
        <v>1</v>
      </c>
      <c r="S1814">
        <v>0</v>
      </c>
      <c r="T1814"/>
      <c r="U1814"/>
      <c r="V1814"/>
      <c r="W1814"/>
      <c r="X1814">
        <v>0</v>
      </c>
      <c r="Y1814"/>
      <c r="Z1814">
        <v>0</v>
      </c>
      <c r="AA1814"/>
      <c r="AB1814"/>
      <c r="AC1814"/>
      <c r="AD1814"/>
      <c r="AE1814">
        <v>0</v>
      </c>
      <c r="AF1814"/>
      <c r="AG1814"/>
      <c r="AH1814"/>
    </row>
    <row r="1815" spans="1:34" x14ac:dyDescent="0.25">
      <c r="A1815" t="s">
        <v>3408</v>
      </c>
      <c r="B1815" t="s">
        <v>3409</v>
      </c>
      <c r="C1815"/>
      <c r="D1815" t="s">
        <v>1778</v>
      </c>
      <c r="E1815" t="s">
        <v>2360</v>
      </c>
      <c r="F1815" t="s">
        <v>2394</v>
      </c>
      <c r="G1815" t="s">
        <v>280</v>
      </c>
      <c r="H1815" t="s">
        <v>2393</v>
      </c>
      <c r="I1815" t="s">
        <v>35</v>
      </c>
      <c r="J1815"/>
      <c r="K1815">
        <v>1</v>
      </c>
      <c r="L1815">
        <v>1</v>
      </c>
      <c r="M1815" t="s">
        <v>33</v>
      </c>
      <c r="N1815">
        <v>1</v>
      </c>
      <c r="O1815"/>
      <c r="P1815">
        <v>0</v>
      </c>
      <c r="Q1815" t="s">
        <v>38</v>
      </c>
      <c r="R1815">
        <v>1</v>
      </c>
      <c r="S1815">
        <v>0</v>
      </c>
      <c r="T1815"/>
      <c r="U1815"/>
      <c r="V1815"/>
      <c r="W1815"/>
      <c r="X1815">
        <v>0</v>
      </c>
      <c r="Y1815"/>
      <c r="Z1815">
        <v>0</v>
      </c>
      <c r="AA1815"/>
      <c r="AB1815"/>
      <c r="AC1815"/>
      <c r="AD1815"/>
      <c r="AE1815">
        <v>0</v>
      </c>
      <c r="AF1815"/>
      <c r="AG1815"/>
      <c r="AH1815"/>
    </row>
    <row r="1816" spans="1:34" x14ac:dyDescent="0.25">
      <c r="A1816" t="s">
        <v>3440</v>
      </c>
      <c r="B1816" t="s">
        <v>3441</v>
      </c>
      <c r="C1816"/>
      <c r="D1816" t="s">
        <v>1778</v>
      </c>
      <c r="E1816" t="s">
        <v>2360</v>
      </c>
      <c r="F1816" t="s">
        <v>2394</v>
      </c>
      <c r="G1816" t="s">
        <v>280</v>
      </c>
      <c r="H1816" t="s">
        <v>2393</v>
      </c>
      <c r="I1816" t="s">
        <v>35</v>
      </c>
      <c r="J1816"/>
      <c r="K1816">
        <v>1</v>
      </c>
      <c r="L1816">
        <v>1</v>
      </c>
      <c r="M1816" t="s">
        <v>33</v>
      </c>
      <c r="N1816">
        <v>1</v>
      </c>
      <c r="O1816"/>
      <c r="P1816">
        <v>0</v>
      </c>
      <c r="Q1816" t="s">
        <v>38</v>
      </c>
      <c r="R1816">
        <v>1</v>
      </c>
      <c r="S1816">
        <v>0</v>
      </c>
      <c r="T1816"/>
      <c r="U1816"/>
      <c r="V1816"/>
      <c r="W1816"/>
      <c r="X1816">
        <v>0</v>
      </c>
      <c r="Y1816"/>
      <c r="Z1816">
        <v>0</v>
      </c>
      <c r="AA1816"/>
      <c r="AB1816"/>
      <c r="AC1816"/>
      <c r="AD1816"/>
      <c r="AE1816">
        <v>0</v>
      </c>
      <c r="AF1816"/>
      <c r="AG1816"/>
      <c r="AH1816"/>
    </row>
    <row r="1817" spans="1:34" x14ac:dyDescent="0.25">
      <c r="A1817" t="s">
        <v>3442</v>
      </c>
      <c r="B1817" t="s">
        <v>3443</v>
      </c>
      <c r="C1817"/>
      <c r="D1817" t="s">
        <v>1778</v>
      </c>
      <c r="E1817" t="s">
        <v>2360</v>
      </c>
      <c r="F1817" t="s">
        <v>2394</v>
      </c>
      <c r="G1817" t="s">
        <v>280</v>
      </c>
      <c r="H1817" t="s">
        <v>2393</v>
      </c>
      <c r="I1817" t="s">
        <v>35</v>
      </c>
      <c r="J1817"/>
      <c r="K1817">
        <v>1</v>
      </c>
      <c r="L1817">
        <v>1</v>
      </c>
      <c r="M1817" t="s">
        <v>33</v>
      </c>
      <c r="N1817">
        <v>1</v>
      </c>
      <c r="O1817"/>
      <c r="P1817">
        <v>0</v>
      </c>
      <c r="Q1817" t="s">
        <v>38</v>
      </c>
      <c r="R1817">
        <v>1</v>
      </c>
      <c r="S1817">
        <v>0</v>
      </c>
      <c r="T1817"/>
      <c r="U1817"/>
      <c r="V1817"/>
      <c r="W1817"/>
      <c r="X1817">
        <v>0</v>
      </c>
      <c r="Y1817"/>
      <c r="Z1817">
        <v>0</v>
      </c>
      <c r="AA1817"/>
      <c r="AB1817"/>
      <c r="AC1817"/>
      <c r="AD1817"/>
      <c r="AE1817">
        <v>0</v>
      </c>
      <c r="AF1817"/>
      <c r="AG1817"/>
      <c r="AH1817"/>
    </row>
    <row r="1818" spans="1:34" x14ac:dyDescent="0.25">
      <c r="A1818" t="s">
        <v>3406</v>
      </c>
      <c r="B1818" t="s">
        <v>3407</v>
      </c>
      <c r="C1818"/>
      <c r="D1818" t="s">
        <v>1778</v>
      </c>
      <c r="E1818" t="s">
        <v>2360</v>
      </c>
      <c r="F1818" t="s">
        <v>2395</v>
      </c>
      <c r="G1818" t="s">
        <v>280</v>
      </c>
      <c r="H1818" t="s">
        <v>2396</v>
      </c>
      <c r="I1818" t="s">
        <v>35</v>
      </c>
      <c r="J1818"/>
      <c r="K1818">
        <v>1</v>
      </c>
      <c r="L1818">
        <v>1</v>
      </c>
      <c r="M1818" t="s">
        <v>33</v>
      </c>
      <c r="N1818">
        <v>1</v>
      </c>
      <c r="O1818"/>
      <c r="P1818">
        <v>0</v>
      </c>
      <c r="Q1818" t="s">
        <v>38</v>
      </c>
      <c r="R1818">
        <v>1</v>
      </c>
      <c r="S1818">
        <v>0</v>
      </c>
      <c r="T1818"/>
      <c r="U1818"/>
      <c r="V1818"/>
      <c r="W1818"/>
      <c r="X1818">
        <v>0</v>
      </c>
      <c r="Y1818"/>
      <c r="Z1818">
        <v>0</v>
      </c>
      <c r="AA1818"/>
      <c r="AB1818"/>
      <c r="AC1818"/>
      <c r="AD1818"/>
      <c r="AE1818">
        <v>0</v>
      </c>
      <c r="AF1818"/>
      <c r="AG1818"/>
      <c r="AH1818"/>
    </row>
    <row r="1819" spans="1:34" x14ac:dyDescent="0.25">
      <c r="A1819" t="s">
        <v>3408</v>
      </c>
      <c r="B1819" t="s">
        <v>3409</v>
      </c>
      <c r="C1819"/>
      <c r="D1819" t="s">
        <v>1778</v>
      </c>
      <c r="E1819" t="s">
        <v>2360</v>
      </c>
      <c r="F1819" t="s">
        <v>2395</v>
      </c>
      <c r="G1819" t="s">
        <v>280</v>
      </c>
      <c r="H1819" t="s">
        <v>2396</v>
      </c>
      <c r="I1819" t="s">
        <v>35</v>
      </c>
      <c r="J1819"/>
      <c r="K1819">
        <v>1</v>
      </c>
      <c r="L1819">
        <v>1</v>
      </c>
      <c r="M1819" t="s">
        <v>33</v>
      </c>
      <c r="N1819">
        <v>1</v>
      </c>
      <c r="O1819"/>
      <c r="P1819">
        <v>0</v>
      </c>
      <c r="Q1819" t="s">
        <v>38</v>
      </c>
      <c r="R1819">
        <v>1</v>
      </c>
      <c r="S1819">
        <v>0</v>
      </c>
      <c r="T1819"/>
      <c r="U1819"/>
      <c r="V1819"/>
      <c r="W1819"/>
      <c r="X1819">
        <v>0</v>
      </c>
      <c r="Y1819"/>
      <c r="Z1819">
        <v>0</v>
      </c>
      <c r="AA1819"/>
      <c r="AB1819"/>
      <c r="AC1819"/>
      <c r="AD1819"/>
      <c r="AE1819">
        <v>0</v>
      </c>
      <c r="AF1819"/>
      <c r="AG1819"/>
      <c r="AH1819"/>
    </row>
    <row r="1820" spans="1:34" x14ac:dyDescent="0.25">
      <c r="A1820" t="s">
        <v>3440</v>
      </c>
      <c r="B1820" t="s">
        <v>3441</v>
      </c>
      <c r="C1820"/>
      <c r="D1820" t="s">
        <v>1778</v>
      </c>
      <c r="E1820" t="s">
        <v>2360</v>
      </c>
      <c r="F1820" t="s">
        <v>2395</v>
      </c>
      <c r="G1820" t="s">
        <v>280</v>
      </c>
      <c r="H1820" t="s">
        <v>2396</v>
      </c>
      <c r="I1820" t="s">
        <v>35</v>
      </c>
      <c r="J1820"/>
      <c r="K1820">
        <v>1</v>
      </c>
      <c r="L1820">
        <v>1</v>
      </c>
      <c r="M1820" t="s">
        <v>33</v>
      </c>
      <c r="N1820">
        <v>1</v>
      </c>
      <c r="O1820"/>
      <c r="P1820">
        <v>0</v>
      </c>
      <c r="Q1820" t="s">
        <v>38</v>
      </c>
      <c r="R1820">
        <v>1</v>
      </c>
      <c r="S1820">
        <v>0</v>
      </c>
      <c r="T1820"/>
      <c r="U1820"/>
      <c r="V1820"/>
      <c r="W1820"/>
      <c r="X1820">
        <v>0</v>
      </c>
      <c r="Y1820"/>
      <c r="Z1820">
        <v>0</v>
      </c>
      <c r="AA1820"/>
      <c r="AB1820"/>
      <c r="AC1820"/>
      <c r="AD1820"/>
      <c r="AE1820">
        <v>0</v>
      </c>
      <c r="AF1820"/>
      <c r="AG1820"/>
      <c r="AH1820"/>
    </row>
    <row r="1821" spans="1:34" x14ac:dyDescent="0.25">
      <c r="A1821" t="s">
        <v>3442</v>
      </c>
      <c r="B1821" t="s">
        <v>3443</v>
      </c>
      <c r="C1821"/>
      <c r="D1821" t="s">
        <v>1778</v>
      </c>
      <c r="E1821" t="s">
        <v>2360</v>
      </c>
      <c r="F1821" t="s">
        <v>2395</v>
      </c>
      <c r="G1821" t="s">
        <v>280</v>
      </c>
      <c r="H1821" t="s">
        <v>2396</v>
      </c>
      <c r="I1821" t="s">
        <v>35</v>
      </c>
      <c r="J1821"/>
      <c r="K1821">
        <v>1</v>
      </c>
      <c r="L1821">
        <v>1</v>
      </c>
      <c r="M1821" t="s">
        <v>33</v>
      </c>
      <c r="N1821">
        <v>1</v>
      </c>
      <c r="O1821"/>
      <c r="P1821">
        <v>0</v>
      </c>
      <c r="Q1821" t="s">
        <v>38</v>
      </c>
      <c r="R1821">
        <v>1</v>
      </c>
      <c r="S1821">
        <v>0</v>
      </c>
      <c r="T1821"/>
      <c r="U1821"/>
      <c r="V1821"/>
      <c r="W1821"/>
      <c r="X1821">
        <v>0</v>
      </c>
      <c r="Y1821"/>
      <c r="Z1821">
        <v>0</v>
      </c>
      <c r="AA1821"/>
      <c r="AB1821"/>
      <c r="AC1821"/>
      <c r="AD1821"/>
      <c r="AE1821">
        <v>0</v>
      </c>
      <c r="AF1821"/>
      <c r="AG1821"/>
      <c r="AH1821"/>
    </row>
    <row r="1822" spans="1:34" x14ac:dyDescent="0.25">
      <c r="A1822" t="s">
        <v>3406</v>
      </c>
      <c r="B1822" t="s">
        <v>3407</v>
      </c>
      <c r="C1822"/>
      <c r="D1822" t="s">
        <v>1778</v>
      </c>
      <c r="E1822" t="s">
        <v>2360</v>
      </c>
      <c r="F1822" t="s">
        <v>2397</v>
      </c>
      <c r="G1822" t="s">
        <v>280</v>
      </c>
      <c r="H1822" t="s">
        <v>2398</v>
      </c>
      <c r="I1822" t="s">
        <v>35</v>
      </c>
      <c r="J1822"/>
      <c r="K1822">
        <v>1</v>
      </c>
      <c r="L1822">
        <v>1</v>
      </c>
      <c r="M1822" t="s">
        <v>33</v>
      </c>
      <c r="N1822">
        <v>1</v>
      </c>
      <c r="O1822"/>
      <c r="P1822">
        <v>0</v>
      </c>
      <c r="Q1822" t="s">
        <v>38</v>
      </c>
      <c r="R1822">
        <v>1</v>
      </c>
      <c r="S1822">
        <v>0</v>
      </c>
      <c r="T1822"/>
      <c r="U1822"/>
      <c r="V1822"/>
      <c r="W1822"/>
      <c r="X1822">
        <v>0</v>
      </c>
      <c r="Y1822"/>
      <c r="Z1822">
        <v>0</v>
      </c>
      <c r="AA1822"/>
      <c r="AB1822"/>
      <c r="AC1822"/>
      <c r="AD1822"/>
      <c r="AE1822">
        <v>0</v>
      </c>
      <c r="AF1822"/>
      <c r="AG1822"/>
      <c r="AH1822"/>
    </row>
    <row r="1823" spans="1:34" x14ac:dyDescent="0.25">
      <c r="A1823" t="s">
        <v>3408</v>
      </c>
      <c r="B1823" t="s">
        <v>3409</v>
      </c>
      <c r="C1823"/>
      <c r="D1823" t="s">
        <v>1778</v>
      </c>
      <c r="E1823" t="s">
        <v>2360</v>
      </c>
      <c r="F1823" t="s">
        <v>2397</v>
      </c>
      <c r="G1823" t="s">
        <v>280</v>
      </c>
      <c r="H1823" t="s">
        <v>2398</v>
      </c>
      <c r="I1823" t="s">
        <v>35</v>
      </c>
      <c r="J1823"/>
      <c r="K1823">
        <v>1</v>
      </c>
      <c r="L1823">
        <v>1</v>
      </c>
      <c r="M1823" t="s">
        <v>33</v>
      </c>
      <c r="N1823">
        <v>1</v>
      </c>
      <c r="O1823"/>
      <c r="P1823">
        <v>0</v>
      </c>
      <c r="Q1823" t="s">
        <v>38</v>
      </c>
      <c r="R1823">
        <v>1</v>
      </c>
      <c r="S1823">
        <v>0</v>
      </c>
      <c r="T1823"/>
      <c r="U1823"/>
      <c r="V1823"/>
      <c r="W1823"/>
      <c r="X1823">
        <v>0</v>
      </c>
      <c r="Y1823"/>
      <c r="Z1823">
        <v>0</v>
      </c>
      <c r="AA1823"/>
      <c r="AB1823"/>
      <c r="AC1823"/>
      <c r="AD1823"/>
      <c r="AE1823">
        <v>0</v>
      </c>
      <c r="AF1823"/>
      <c r="AG1823"/>
      <c r="AH1823"/>
    </row>
    <row r="1824" spans="1:34" x14ac:dyDescent="0.25">
      <c r="A1824" t="s">
        <v>3440</v>
      </c>
      <c r="B1824" t="s">
        <v>3441</v>
      </c>
      <c r="C1824"/>
      <c r="D1824" t="s">
        <v>1778</v>
      </c>
      <c r="E1824" t="s">
        <v>2360</v>
      </c>
      <c r="F1824" t="s">
        <v>2397</v>
      </c>
      <c r="G1824" t="s">
        <v>280</v>
      </c>
      <c r="H1824" t="s">
        <v>2398</v>
      </c>
      <c r="I1824" t="s">
        <v>35</v>
      </c>
      <c r="J1824"/>
      <c r="K1824">
        <v>1</v>
      </c>
      <c r="L1824">
        <v>1</v>
      </c>
      <c r="M1824" t="s">
        <v>33</v>
      </c>
      <c r="N1824">
        <v>1</v>
      </c>
      <c r="O1824"/>
      <c r="P1824">
        <v>0</v>
      </c>
      <c r="Q1824" t="s">
        <v>38</v>
      </c>
      <c r="R1824">
        <v>1</v>
      </c>
      <c r="S1824">
        <v>0</v>
      </c>
      <c r="T1824"/>
      <c r="U1824"/>
      <c r="V1824"/>
      <c r="W1824"/>
      <c r="X1824">
        <v>0</v>
      </c>
      <c r="Y1824"/>
      <c r="Z1824">
        <v>0</v>
      </c>
      <c r="AA1824"/>
      <c r="AB1824"/>
      <c r="AC1824"/>
      <c r="AD1824"/>
      <c r="AE1824">
        <v>0</v>
      </c>
      <c r="AF1824"/>
      <c r="AG1824"/>
      <c r="AH1824"/>
    </row>
    <row r="1825" spans="1:34" x14ac:dyDescent="0.25">
      <c r="A1825" t="s">
        <v>3442</v>
      </c>
      <c r="B1825" t="s">
        <v>3443</v>
      </c>
      <c r="C1825"/>
      <c r="D1825" t="s">
        <v>1778</v>
      </c>
      <c r="E1825" t="s">
        <v>2360</v>
      </c>
      <c r="F1825" t="s">
        <v>2397</v>
      </c>
      <c r="G1825" t="s">
        <v>280</v>
      </c>
      <c r="H1825" t="s">
        <v>2398</v>
      </c>
      <c r="I1825" t="s">
        <v>35</v>
      </c>
      <c r="J1825"/>
      <c r="K1825">
        <v>1</v>
      </c>
      <c r="L1825">
        <v>1</v>
      </c>
      <c r="M1825" t="s">
        <v>33</v>
      </c>
      <c r="N1825">
        <v>1</v>
      </c>
      <c r="O1825"/>
      <c r="P1825">
        <v>0</v>
      </c>
      <c r="Q1825" t="s">
        <v>38</v>
      </c>
      <c r="R1825">
        <v>1</v>
      </c>
      <c r="S1825">
        <v>0</v>
      </c>
      <c r="T1825"/>
      <c r="U1825"/>
      <c r="V1825"/>
      <c r="W1825"/>
      <c r="X1825">
        <v>0</v>
      </c>
      <c r="Y1825"/>
      <c r="Z1825">
        <v>0</v>
      </c>
      <c r="AA1825"/>
      <c r="AB1825"/>
      <c r="AC1825"/>
      <c r="AD1825"/>
      <c r="AE1825">
        <v>0</v>
      </c>
      <c r="AF1825"/>
      <c r="AG1825"/>
      <c r="AH1825"/>
    </row>
    <row r="1826" spans="1:34" x14ac:dyDescent="0.25">
      <c r="A1826" t="s">
        <v>3406</v>
      </c>
      <c r="B1826" t="s">
        <v>3407</v>
      </c>
      <c r="C1826"/>
      <c r="D1826" t="s">
        <v>1778</v>
      </c>
      <c r="E1826" t="s">
        <v>2360</v>
      </c>
      <c r="F1826" t="s">
        <v>2399</v>
      </c>
      <c r="G1826" t="s">
        <v>280</v>
      </c>
      <c r="H1826" t="s">
        <v>2400</v>
      </c>
      <c r="I1826" t="s">
        <v>35</v>
      </c>
      <c r="J1826"/>
      <c r="K1826">
        <v>1</v>
      </c>
      <c r="L1826">
        <v>1</v>
      </c>
      <c r="M1826" t="s">
        <v>33</v>
      </c>
      <c r="N1826">
        <v>1</v>
      </c>
      <c r="O1826"/>
      <c r="P1826">
        <v>0</v>
      </c>
      <c r="Q1826" t="s">
        <v>38</v>
      </c>
      <c r="R1826">
        <v>1</v>
      </c>
      <c r="S1826">
        <v>0</v>
      </c>
      <c r="T1826"/>
      <c r="U1826"/>
      <c r="V1826"/>
      <c r="W1826"/>
      <c r="X1826">
        <v>0</v>
      </c>
      <c r="Y1826"/>
      <c r="Z1826">
        <v>0</v>
      </c>
      <c r="AA1826"/>
      <c r="AB1826"/>
      <c r="AC1826"/>
      <c r="AD1826"/>
      <c r="AE1826">
        <v>0</v>
      </c>
      <c r="AF1826"/>
      <c r="AG1826"/>
      <c r="AH1826"/>
    </row>
    <row r="1827" spans="1:34" x14ac:dyDescent="0.25">
      <c r="A1827" t="s">
        <v>3408</v>
      </c>
      <c r="B1827" t="s">
        <v>3409</v>
      </c>
      <c r="C1827"/>
      <c r="D1827" t="s">
        <v>1778</v>
      </c>
      <c r="E1827" t="s">
        <v>2360</v>
      </c>
      <c r="F1827" t="s">
        <v>2399</v>
      </c>
      <c r="G1827" t="s">
        <v>280</v>
      </c>
      <c r="H1827" t="s">
        <v>2400</v>
      </c>
      <c r="I1827" t="s">
        <v>35</v>
      </c>
      <c r="J1827"/>
      <c r="K1827">
        <v>1</v>
      </c>
      <c r="L1827">
        <v>1</v>
      </c>
      <c r="M1827" t="s">
        <v>33</v>
      </c>
      <c r="N1827">
        <v>1</v>
      </c>
      <c r="O1827"/>
      <c r="P1827">
        <v>0</v>
      </c>
      <c r="Q1827" t="s">
        <v>38</v>
      </c>
      <c r="R1827">
        <v>1</v>
      </c>
      <c r="S1827">
        <v>0</v>
      </c>
      <c r="T1827"/>
      <c r="U1827"/>
      <c r="V1827"/>
      <c r="W1827"/>
      <c r="X1827">
        <v>0</v>
      </c>
      <c r="Y1827"/>
      <c r="Z1827">
        <v>0</v>
      </c>
      <c r="AA1827"/>
      <c r="AB1827"/>
      <c r="AC1827"/>
      <c r="AD1827"/>
      <c r="AE1827">
        <v>0</v>
      </c>
      <c r="AF1827"/>
      <c r="AG1827"/>
      <c r="AH1827"/>
    </row>
    <row r="1828" spans="1:34" x14ac:dyDescent="0.25">
      <c r="A1828" t="s">
        <v>3440</v>
      </c>
      <c r="B1828" t="s">
        <v>3441</v>
      </c>
      <c r="C1828"/>
      <c r="D1828" t="s">
        <v>1778</v>
      </c>
      <c r="E1828" t="s">
        <v>2360</v>
      </c>
      <c r="F1828" t="s">
        <v>2399</v>
      </c>
      <c r="G1828" t="s">
        <v>280</v>
      </c>
      <c r="H1828" t="s">
        <v>2400</v>
      </c>
      <c r="I1828" t="s">
        <v>35</v>
      </c>
      <c r="J1828"/>
      <c r="K1828">
        <v>1</v>
      </c>
      <c r="L1828">
        <v>1</v>
      </c>
      <c r="M1828" t="s">
        <v>33</v>
      </c>
      <c r="N1828">
        <v>1</v>
      </c>
      <c r="O1828"/>
      <c r="P1828">
        <v>0</v>
      </c>
      <c r="Q1828" t="s">
        <v>38</v>
      </c>
      <c r="R1828">
        <v>1</v>
      </c>
      <c r="S1828">
        <v>0</v>
      </c>
      <c r="T1828"/>
      <c r="U1828"/>
      <c r="V1828"/>
      <c r="W1828"/>
      <c r="X1828">
        <v>0</v>
      </c>
      <c r="Y1828"/>
      <c r="Z1828">
        <v>0</v>
      </c>
      <c r="AA1828"/>
      <c r="AB1828"/>
      <c r="AC1828"/>
      <c r="AD1828"/>
      <c r="AE1828">
        <v>0</v>
      </c>
      <c r="AF1828"/>
      <c r="AG1828"/>
      <c r="AH1828"/>
    </row>
    <row r="1829" spans="1:34" x14ac:dyDescent="0.25">
      <c r="A1829" t="s">
        <v>3442</v>
      </c>
      <c r="B1829" t="s">
        <v>3443</v>
      </c>
      <c r="C1829"/>
      <c r="D1829" t="s">
        <v>1778</v>
      </c>
      <c r="E1829" t="s">
        <v>2360</v>
      </c>
      <c r="F1829" t="s">
        <v>2399</v>
      </c>
      <c r="G1829" t="s">
        <v>280</v>
      </c>
      <c r="H1829" t="s">
        <v>2400</v>
      </c>
      <c r="I1829" t="s">
        <v>35</v>
      </c>
      <c r="J1829"/>
      <c r="K1829">
        <v>1</v>
      </c>
      <c r="L1829">
        <v>1</v>
      </c>
      <c r="M1829" t="s">
        <v>33</v>
      </c>
      <c r="N1829">
        <v>1</v>
      </c>
      <c r="O1829"/>
      <c r="P1829">
        <v>0</v>
      </c>
      <c r="Q1829" t="s">
        <v>38</v>
      </c>
      <c r="R1829">
        <v>1</v>
      </c>
      <c r="S1829">
        <v>0</v>
      </c>
      <c r="T1829"/>
      <c r="U1829"/>
      <c r="V1829"/>
      <c r="W1829"/>
      <c r="X1829">
        <v>0</v>
      </c>
      <c r="Y1829"/>
      <c r="Z1829">
        <v>0</v>
      </c>
      <c r="AA1829"/>
      <c r="AB1829"/>
      <c r="AC1829"/>
      <c r="AD1829"/>
      <c r="AE1829">
        <v>0</v>
      </c>
      <c r="AF1829"/>
      <c r="AG1829"/>
      <c r="AH1829"/>
    </row>
    <row r="1830" spans="1:34" x14ac:dyDescent="0.25">
      <c r="A1830" t="s">
        <v>3406</v>
      </c>
      <c r="B1830" t="s">
        <v>3407</v>
      </c>
      <c r="C1830"/>
      <c r="D1830" t="s">
        <v>1778</v>
      </c>
      <c r="E1830" t="s">
        <v>2360</v>
      </c>
      <c r="F1830" t="s">
        <v>2401</v>
      </c>
      <c r="G1830" t="s">
        <v>280</v>
      </c>
      <c r="H1830" t="s">
        <v>2400</v>
      </c>
      <c r="I1830" t="s">
        <v>35</v>
      </c>
      <c r="J1830"/>
      <c r="K1830">
        <v>1</v>
      </c>
      <c r="L1830">
        <v>1</v>
      </c>
      <c r="M1830" t="s">
        <v>33</v>
      </c>
      <c r="N1830">
        <v>1</v>
      </c>
      <c r="O1830"/>
      <c r="P1830">
        <v>0</v>
      </c>
      <c r="Q1830" t="s">
        <v>38</v>
      </c>
      <c r="R1830">
        <v>1</v>
      </c>
      <c r="S1830">
        <v>0</v>
      </c>
      <c r="T1830"/>
      <c r="U1830"/>
      <c r="V1830"/>
      <c r="W1830"/>
      <c r="X1830">
        <v>0</v>
      </c>
      <c r="Y1830"/>
      <c r="Z1830">
        <v>0</v>
      </c>
      <c r="AA1830"/>
      <c r="AB1830"/>
      <c r="AC1830"/>
      <c r="AD1830"/>
      <c r="AE1830">
        <v>0</v>
      </c>
      <c r="AF1830"/>
      <c r="AG1830"/>
      <c r="AH1830"/>
    </row>
    <row r="1831" spans="1:34" x14ac:dyDescent="0.25">
      <c r="A1831" t="s">
        <v>3408</v>
      </c>
      <c r="B1831" t="s">
        <v>3409</v>
      </c>
      <c r="C1831"/>
      <c r="D1831" t="s">
        <v>1778</v>
      </c>
      <c r="E1831" t="s">
        <v>2360</v>
      </c>
      <c r="F1831" t="s">
        <v>2401</v>
      </c>
      <c r="G1831" t="s">
        <v>280</v>
      </c>
      <c r="H1831" t="s">
        <v>2400</v>
      </c>
      <c r="I1831" t="s">
        <v>35</v>
      </c>
      <c r="J1831"/>
      <c r="K1831">
        <v>1</v>
      </c>
      <c r="L1831">
        <v>1</v>
      </c>
      <c r="M1831" t="s">
        <v>33</v>
      </c>
      <c r="N1831">
        <v>1</v>
      </c>
      <c r="O1831"/>
      <c r="P1831">
        <v>0</v>
      </c>
      <c r="Q1831" t="s">
        <v>38</v>
      </c>
      <c r="R1831">
        <v>1</v>
      </c>
      <c r="S1831">
        <v>0</v>
      </c>
      <c r="T1831"/>
      <c r="U1831"/>
      <c r="V1831"/>
      <c r="W1831"/>
      <c r="X1831">
        <v>0</v>
      </c>
      <c r="Y1831"/>
      <c r="Z1831">
        <v>0</v>
      </c>
      <c r="AA1831"/>
      <c r="AB1831"/>
      <c r="AC1831"/>
      <c r="AD1831"/>
      <c r="AE1831">
        <v>0</v>
      </c>
      <c r="AF1831"/>
      <c r="AG1831"/>
      <c r="AH1831"/>
    </row>
    <row r="1832" spans="1:34" x14ac:dyDescent="0.25">
      <c r="A1832" t="s">
        <v>3440</v>
      </c>
      <c r="B1832" t="s">
        <v>3441</v>
      </c>
      <c r="C1832"/>
      <c r="D1832" t="s">
        <v>1778</v>
      </c>
      <c r="E1832" t="s">
        <v>2360</v>
      </c>
      <c r="F1832" t="s">
        <v>2401</v>
      </c>
      <c r="G1832" t="s">
        <v>280</v>
      </c>
      <c r="H1832" t="s">
        <v>2400</v>
      </c>
      <c r="I1832" t="s">
        <v>35</v>
      </c>
      <c r="J1832"/>
      <c r="K1832">
        <v>1</v>
      </c>
      <c r="L1832">
        <v>1</v>
      </c>
      <c r="M1832" t="s">
        <v>33</v>
      </c>
      <c r="N1832">
        <v>1</v>
      </c>
      <c r="O1832"/>
      <c r="P1832">
        <v>0</v>
      </c>
      <c r="Q1832" t="s">
        <v>38</v>
      </c>
      <c r="R1832">
        <v>1</v>
      </c>
      <c r="S1832">
        <v>0</v>
      </c>
      <c r="T1832"/>
      <c r="U1832"/>
      <c r="V1832"/>
      <c r="W1832"/>
      <c r="X1832">
        <v>0</v>
      </c>
      <c r="Y1832"/>
      <c r="Z1832">
        <v>0</v>
      </c>
      <c r="AA1832"/>
      <c r="AB1832"/>
      <c r="AC1832"/>
      <c r="AD1832"/>
      <c r="AE1832">
        <v>0</v>
      </c>
      <c r="AF1832"/>
      <c r="AG1832"/>
      <c r="AH1832"/>
    </row>
    <row r="1833" spans="1:34" x14ac:dyDescent="0.25">
      <c r="A1833" t="s">
        <v>3442</v>
      </c>
      <c r="B1833" t="s">
        <v>3443</v>
      </c>
      <c r="C1833"/>
      <c r="D1833" t="s">
        <v>1778</v>
      </c>
      <c r="E1833" t="s">
        <v>2360</v>
      </c>
      <c r="F1833" t="s">
        <v>2401</v>
      </c>
      <c r="G1833" t="s">
        <v>280</v>
      </c>
      <c r="H1833" t="s">
        <v>2400</v>
      </c>
      <c r="I1833" t="s">
        <v>35</v>
      </c>
      <c r="J1833"/>
      <c r="K1833">
        <v>1</v>
      </c>
      <c r="L1833">
        <v>1</v>
      </c>
      <c r="M1833" t="s">
        <v>33</v>
      </c>
      <c r="N1833">
        <v>1</v>
      </c>
      <c r="O1833"/>
      <c r="P1833">
        <v>0</v>
      </c>
      <c r="Q1833" t="s">
        <v>38</v>
      </c>
      <c r="R1833">
        <v>1</v>
      </c>
      <c r="S1833">
        <v>0</v>
      </c>
      <c r="T1833"/>
      <c r="U1833"/>
      <c r="V1833"/>
      <c r="W1833"/>
      <c r="X1833">
        <v>0</v>
      </c>
      <c r="Y1833"/>
      <c r="Z1833">
        <v>0</v>
      </c>
      <c r="AA1833"/>
      <c r="AB1833"/>
      <c r="AC1833"/>
      <c r="AD1833"/>
      <c r="AE1833">
        <v>0</v>
      </c>
      <c r="AF1833"/>
      <c r="AG1833"/>
      <c r="AH1833"/>
    </row>
    <row r="1834" spans="1:34" x14ac:dyDescent="0.25">
      <c r="A1834" t="s">
        <v>3406</v>
      </c>
      <c r="B1834" t="s">
        <v>3407</v>
      </c>
      <c r="C1834"/>
      <c r="D1834" t="s">
        <v>1778</v>
      </c>
      <c r="E1834" t="s">
        <v>2360</v>
      </c>
      <c r="F1834" t="s">
        <v>2402</v>
      </c>
      <c r="G1834" t="s">
        <v>280</v>
      </c>
      <c r="H1834" t="s">
        <v>2403</v>
      </c>
      <c r="I1834" t="s">
        <v>35</v>
      </c>
      <c r="J1834"/>
      <c r="K1834">
        <v>1</v>
      </c>
      <c r="L1834">
        <v>1</v>
      </c>
      <c r="M1834" t="s">
        <v>33</v>
      </c>
      <c r="N1834">
        <v>1</v>
      </c>
      <c r="O1834"/>
      <c r="P1834">
        <v>0</v>
      </c>
      <c r="Q1834" t="s">
        <v>38</v>
      </c>
      <c r="R1834">
        <v>1</v>
      </c>
      <c r="S1834">
        <v>0</v>
      </c>
      <c r="T1834"/>
      <c r="U1834"/>
      <c r="V1834"/>
      <c r="W1834"/>
      <c r="X1834">
        <v>0</v>
      </c>
      <c r="Y1834"/>
      <c r="Z1834">
        <v>0</v>
      </c>
      <c r="AA1834"/>
      <c r="AB1834"/>
      <c r="AC1834"/>
      <c r="AD1834"/>
      <c r="AE1834">
        <v>0</v>
      </c>
      <c r="AF1834"/>
      <c r="AG1834"/>
      <c r="AH1834"/>
    </row>
    <row r="1835" spans="1:34" x14ac:dyDescent="0.25">
      <c r="A1835" t="s">
        <v>3408</v>
      </c>
      <c r="B1835" t="s">
        <v>3409</v>
      </c>
      <c r="C1835"/>
      <c r="D1835" t="s">
        <v>1778</v>
      </c>
      <c r="E1835" t="s">
        <v>2360</v>
      </c>
      <c r="F1835" t="s">
        <v>2402</v>
      </c>
      <c r="G1835" t="s">
        <v>280</v>
      </c>
      <c r="H1835" t="s">
        <v>2403</v>
      </c>
      <c r="I1835" t="s">
        <v>35</v>
      </c>
      <c r="J1835"/>
      <c r="K1835">
        <v>1</v>
      </c>
      <c r="L1835">
        <v>1</v>
      </c>
      <c r="M1835" t="s">
        <v>33</v>
      </c>
      <c r="N1835">
        <v>1</v>
      </c>
      <c r="O1835"/>
      <c r="P1835">
        <v>0</v>
      </c>
      <c r="Q1835" t="s">
        <v>38</v>
      </c>
      <c r="R1835">
        <v>1</v>
      </c>
      <c r="S1835">
        <v>0</v>
      </c>
      <c r="T1835"/>
      <c r="U1835"/>
      <c r="V1835"/>
      <c r="W1835"/>
      <c r="X1835">
        <v>0</v>
      </c>
      <c r="Y1835"/>
      <c r="Z1835">
        <v>0</v>
      </c>
      <c r="AA1835"/>
      <c r="AB1835"/>
      <c r="AC1835"/>
      <c r="AD1835"/>
      <c r="AE1835">
        <v>0</v>
      </c>
      <c r="AF1835"/>
      <c r="AG1835"/>
      <c r="AH1835"/>
    </row>
    <row r="1836" spans="1:34" x14ac:dyDescent="0.25">
      <c r="A1836" t="s">
        <v>3440</v>
      </c>
      <c r="B1836" t="s">
        <v>3441</v>
      </c>
      <c r="C1836"/>
      <c r="D1836" t="s">
        <v>1778</v>
      </c>
      <c r="E1836" t="s">
        <v>2360</v>
      </c>
      <c r="F1836" t="s">
        <v>2402</v>
      </c>
      <c r="G1836" t="s">
        <v>280</v>
      </c>
      <c r="H1836" t="s">
        <v>2403</v>
      </c>
      <c r="I1836" t="s">
        <v>35</v>
      </c>
      <c r="J1836"/>
      <c r="K1836">
        <v>1</v>
      </c>
      <c r="L1836">
        <v>1</v>
      </c>
      <c r="M1836" t="s">
        <v>33</v>
      </c>
      <c r="N1836">
        <v>1</v>
      </c>
      <c r="O1836"/>
      <c r="P1836">
        <v>0</v>
      </c>
      <c r="Q1836" t="s">
        <v>38</v>
      </c>
      <c r="R1836">
        <v>1</v>
      </c>
      <c r="S1836">
        <v>0</v>
      </c>
      <c r="T1836"/>
      <c r="U1836"/>
      <c r="V1836"/>
      <c r="W1836"/>
      <c r="X1836">
        <v>0</v>
      </c>
      <c r="Y1836"/>
      <c r="Z1836">
        <v>0</v>
      </c>
      <c r="AA1836"/>
      <c r="AB1836"/>
      <c r="AC1836"/>
      <c r="AD1836"/>
      <c r="AE1836">
        <v>0</v>
      </c>
      <c r="AF1836"/>
      <c r="AG1836"/>
      <c r="AH1836"/>
    </row>
    <row r="1837" spans="1:34" x14ac:dyDescent="0.25">
      <c r="A1837" t="s">
        <v>3442</v>
      </c>
      <c r="B1837" t="s">
        <v>3443</v>
      </c>
      <c r="C1837"/>
      <c r="D1837" t="s">
        <v>1778</v>
      </c>
      <c r="E1837" t="s">
        <v>2360</v>
      </c>
      <c r="F1837" t="s">
        <v>2402</v>
      </c>
      <c r="G1837" t="s">
        <v>280</v>
      </c>
      <c r="H1837" t="s">
        <v>2403</v>
      </c>
      <c r="I1837" t="s">
        <v>35</v>
      </c>
      <c r="J1837"/>
      <c r="K1837">
        <v>1</v>
      </c>
      <c r="L1837">
        <v>1</v>
      </c>
      <c r="M1837" t="s">
        <v>33</v>
      </c>
      <c r="N1837">
        <v>1</v>
      </c>
      <c r="O1837"/>
      <c r="P1837">
        <v>0</v>
      </c>
      <c r="Q1837" t="s">
        <v>38</v>
      </c>
      <c r="R1837">
        <v>1</v>
      </c>
      <c r="S1837">
        <v>0</v>
      </c>
      <c r="T1837"/>
      <c r="U1837"/>
      <c r="V1837"/>
      <c r="W1837"/>
      <c r="X1837">
        <v>0</v>
      </c>
      <c r="Y1837"/>
      <c r="Z1837">
        <v>0</v>
      </c>
      <c r="AA1837"/>
      <c r="AB1837"/>
      <c r="AC1837"/>
      <c r="AD1837"/>
      <c r="AE1837">
        <v>0</v>
      </c>
      <c r="AF1837"/>
      <c r="AG1837"/>
      <c r="AH1837"/>
    </row>
    <row r="1838" spans="1:34" x14ac:dyDescent="0.25">
      <c r="A1838" t="s">
        <v>3406</v>
      </c>
      <c r="B1838" t="s">
        <v>3407</v>
      </c>
      <c r="C1838"/>
      <c r="D1838" t="s">
        <v>1778</v>
      </c>
      <c r="E1838" t="s">
        <v>2360</v>
      </c>
      <c r="F1838" t="s">
        <v>2404</v>
      </c>
      <c r="G1838" t="s">
        <v>280</v>
      </c>
      <c r="H1838" t="s">
        <v>2405</v>
      </c>
      <c r="I1838" t="s">
        <v>35</v>
      </c>
      <c r="J1838"/>
      <c r="K1838">
        <v>1</v>
      </c>
      <c r="L1838">
        <v>1</v>
      </c>
      <c r="M1838" t="s">
        <v>33</v>
      </c>
      <c r="N1838">
        <v>1</v>
      </c>
      <c r="O1838"/>
      <c r="P1838">
        <v>0</v>
      </c>
      <c r="Q1838" t="s">
        <v>38</v>
      </c>
      <c r="R1838">
        <v>1</v>
      </c>
      <c r="S1838">
        <v>0</v>
      </c>
      <c r="T1838"/>
      <c r="U1838"/>
      <c r="V1838"/>
      <c r="W1838"/>
      <c r="X1838">
        <v>0</v>
      </c>
      <c r="Y1838"/>
      <c r="Z1838">
        <v>0</v>
      </c>
      <c r="AA1838"/>
      <c r="AB1838"/>
      <c r="AC1838"/>
      <c r="AD1838"/>
      <c r="AE1838">
        <v>0</v>
      </c>
      <c r="AF1838"/>
      <c r="AG1838"/>
      <c r="AH1838"/>
    </row>
    <row r="1839" spans="1:34" x14ac:dyDescent="0.25">
      <c r="A1839" t="s">
        <v>3408</v>
      </c>
      <c r="B1839" t="s">
        <v>3409</v>
      </c>
      <c r="C1839"/>
      <c r="D1839" t="s">
        <v>1778</v>
      </c>
      <c r="E1839" t="s">
        <v>2360</v>
      </c>
      <c r="F1839" t="s">
        <v>2404</v>
      </c>
      <c r="G1839" t="s">
        <v>280</v>
      </c>
      <c r="H1839" t="s">
        <v>2405</v>
      </c>
      <c r="I1839" t="s">
        <v>35</v>
      </c>
      <c r="J1839"/>
      <c r="K1839">
        <v>1</v>
      </c>
      <c r="L1839">
        <v>1</v>
      </c>
      <c r="M1839" t="s">
        <v>33</v>
      </c>
      <c r="N1839">
        <v>1</v>
      </c>
      <c r="O1839"/>
      <c r="P1839">
        <v>0</v>
      </c>
      <c r="Q1839" t="s">
        <v>38</v>
      </c>
      <c r="R1839">
        <v>1</v>
      </c>
      <c r="S1839">
        <v>0</v>
      </c>
      <c r="T1839"/>
      <c r="U1839"/>
      <c r="V1839"/>
      <c r="W1839"/>
      <c r="X1839">
        <v>0</v>
      </c>
      <c r="Y1839"/>
      <c r="Z1839">
        <v>0</v>
      </c>
      <c r="AA1839"/>
      <c r="AB1839"/>
      <c r="AC1839"/>
      <c r="AD1839"/>
      <c r="AE1839">
        <v>0</v>
      </c>
      <c r="AF1839"/>
      <c r="AG1839"/>
      <c r="AH1839"/>
    </row>
    <row r="1840" spans="1:34" x14ac:dyDescent="0.25">
      <c r="A1840" t="s">
        <v>3440</v>
      </c>
      <c r="B1840" t="s">
        <v>3441</v>
      </c>
      <c r="C1840"/>
      <c r="D1840" t="s">
        <v>1778</v>
      </c>
      <c r="E1840" t="s">
        <v>2360</v>
      </c>
      <c r="F1840" t="s">
        <v>2404</v>
      </c>
      <c r="G1840" t="s">
        <v>280</v>
      </c>
      <c r="H1840" t="s">
        <v>2405</v>
      </c>
      <c r="I1840" t="s">
        <v>35</v>
      </c>
      <c r="J1840"/>
      <c r="K1840">
        <v>1</v>
      </c>
      <c r="L1840">
        <v>1</v>
      </c>
      <c r="M1840" t="s">
        <v>33</v>
      </c>
      <c r="N1840">
        <v>1</v>
      </c>
      <c r="O1840"/>
      <c r="P1840">
        <v>0</v>
      </c>
      <c r="Q1840" t="s">
        <v>38</v>
      </c>
      <c r="R1840">
        <v>1</v>
      </c>
      <c r="S1840">
        <v>0</v>
      </c>
      <c r="T1840"/>
      <c r="U1840"/>
      <c r="V1840"/>
      <c r="W1840"/>
      <c r="X1840">
        <v>0</v>
      </c>
      <c r="Y1840"/>
      <c r="Z1840">
        <v>0</v>
      </c>
      <c r="AA1840"/>
      <c r="AB1840"/>
      <c r="AC1840"/>
      <c r="AD1840"/>
      <c r="AE1840">
        <v>0</v>
      </c>
      <c r="AF1840"/>
      <c r="AG1840"/>
      <c r="AH1840"/>
    </row>
    <row r="1841" spans="1:34" x14ac:dyDescent="0.25">
      <c r="A1841" t="s">
        <v>3442</v>
      </c>
      <c r="B1841" t="s">
        <v>3443</v>
      </c>
      <c r="C1841"/>
      <c r="D1841" t="s">
        <v>1778</v>
      </c>
      <c r="E1841" t="s">
        <v>2360</v>
      </c>
      <c r="F1841" t="s">
        <v>2404</v>
      </c>
      <c r="G1841" t="s">
        <v>280</v>
      </c>
      <c r="H1841" t="s">
        <v>2405</v>
      </c>
      <c r="I1841" t="s">
        <v>35</v>
      </c>
      <c r="J1841"/>
      <c r="K1841">
        <v>1</v>
      </c>
      <c r="L1841">
        <v>1</v>
      </c>
      <c r="M1841" t="s">
        <v>33</v>
      </c>
      <c r="N1841">
        <v>1</v>
      </c>
      <c r="O1841"/>
      <c r="P1841">
        <v>0</v>
      </c>
      <c r="Q1841" t="s">
        <v>38</v>
      </c>
      <c r="R1841">
        <v>1</v>
      </c>
      <c r="S1841">
        <v>0</v>
      </c>
      <c r="T1841"/>
      <c r="U1841"/>
      <c r="V1841"/>
      <c r="W1841"/>
      <c r="X1841">
        <v>0</v>
      </c>
      <c r="Y1841"/>
      <c r="Z1841">
        <v>0</v>
      </c>
      <c r="AA1841"/>
      <c r="AB1841"/>
      <c r="AC1841"/>
      <c r="AD1841"/>
      <c r="AE1841">
        <v>0</v>
      </c>
      <c r="AF1841"/>
      <c r="AG1841"/>
      <c r="AH1841"/>
    </row>
    <row r="1842" spans="1:34" x14ac:dyDescent="0.25">
      <c r="A1842" t="s">
        <v>3406</v>
      </c>
      <c r="B1842" t="s">
        <v>3407</v>
      </c>
      <c r="C1842"/>
      <c r="D1842" t="s">
        <v>1778</v>
      </c>
      <c r="E1842" t="s">
        <v>2360</v>
      </c>
      <c r="F1842" t="s">
        <v>2406</v>
      </c>
      <c r="G1842" t="s">
        <v>280</v>
      </c>
      <c r="H1842" t="s">
        <v>2407</v>
      </c>
      <c r="I1842" t="s">
        <v>35</v>
      </c>
      <c r="J1842"/>
      <c r="K1842">
        <v>1</v>
      </c>
      <c r="L1842">
        <v>1</v>
      </c>
      <c r="M1842" t="s">
        <v>33</v>
      </c>
      <c r="N1842">
        <v>1</v>
      </c>
      <c r="O1842"/>
      <c r="P1842">
        <v>0</v>
      </c>
      <c r="Q1842" t="s">
        <v>38</v>
      </c>
      <c r="R1842">
        <v>1</v>
      </c>
      <c r="S1842">
        <v>0</v>
      </c>
      <c r="T1842"/>
      <c r="U1842"/>
      <c r="V1842"/>
      <c r="W1842"/>
      <c r="X1842">
        <v>0</v>
      </c>
      <c r="Y1842"/>
      <c r="Z1842">
        <v>0</v>
      </c>
      <c r="AA1842"/>
      <c r="AB1842"/>
      <c r="AC1842"/>
      <c r="AD1842"/>
      <c r="AE1842">
        <v>0</v>
      </c>
      <c r="AF1842"/>
      <c r="AG1842"/>
      <c r="AH1842"/>
    </row>
    <row r="1843" spans="1:34" x14ac:dyDescent="0.25">
      <c r="A1843" t="s">
        <v>3408</v>
      </c>
      <c r="B1843" t="s">
        <v>3409</v>
      </c>
      <c r="C1843"/>
      <c r="D1843" t="s">
        <v>1778</v>
      </c>
      <c r="E1843" t="s">
        <v>2360</v>
      </c>
      <c r="F1843" t="s">
        <v>2406</v>
      </c>
      <c r="G1843" t="s">
        <v>280</v>
      </c>
      <c r="H1843" t="s">
        <v>2407</v>
      </c>
      <c r="I1843" t="s">
        <v>35</v>
      </c>
      <c r="J1843"/>
      <c r="K1843">
        <v>1</v>
      </c>
      <c r="L1843">
        <v>1</v>
      </c>
      <c r="M1843" t="s">
        <v>33</v>
      </c>
      <c r="N1843">
        <v>1</v>
      </c>
      <c r="O1843"/>
      <c r="P1843">
        <v>0</v>
      </c>
      <c r="Q1843" t="s">
        <v>38</v>
      </c>
      <c r="R1843">
        <v>1</v>
      </c>
      <c r="S1843">
        <v>0</v>
      </c>
      <c r="T1843"/>
      <c r="U1843"/>
      <c r="V1843"/>
      <c r="W1843"/>
      <c r="X1843">
        <v>0</v>
      </c>
      <c r="Y1843"/>
      <c r="Z1843">
        <v>0</v>
      </c>
      <c r="AA1843"/>
      <c r="AB1843"/>
      <c r="AC1843"/>
      <c r="AD1843"/>
      <c r="AE1843">
        <v>0</v>
      </c>
      <c r="AF1843"/>
      <c r="AG1843"/>
      <c r="AH1843"/>
    </row>
    <row r="1844" spans="1:34" x14ac:dyDescent="0.25">
      <c r="A1844" t="s">
        <v>3440</v>
      </c>
      <c r="B1844" t="s">
        <v>3441</v>
      </c>
      <c r="C1844"/>
      <c r="D1844" t="s">
        <v>1778</v>
      </c>
      <c r="E1844" t="s">
        <v>2360</v>
      </c>
      <c r="F1844" t="s">
        <v>2406</v>
      </c>
      <c r="G1844" t="s">
        <v>280</v>
      </c>
      <c r="H1844" t="s">
        <v>2407</v>
      </c>
      <c r="I1844" t="s">
        <v>35</v>
      </c>
      <c r="J1844"/>
      <c r="K1844">
        <v>1</v>
      </c>
      <c r="L1844">
        <v>1</v>
      </c>
      <c r="M1844" t="s">
        <v>33</v>
      </c>
      <c r="N1844">
        <v>1</v>
      </c>
      <c r="O1844"/>
      <c r="P1844">
        <v>0</v>
      </c>
      <c r="Q1844" t="s">
        <v>38</v>
      </c>
      <c r="R1844">
        <v>1</v>
      </c>
      <c r="S1844">
        <v>0</v>
      </c>
      <c r="T1844"/>
      <c r="U1844"/>
      <c r="V1844"/>
      <c r="W1844"/>
      <c r="X1844">
        <v>0</v>
      </c>
      <c r="Y1844"/>
      <c r="Z1844">
        <v>0</v>
      </c>
      <c r="AA1844"/>
      <c r="AB1844"/>
      <c r="AC1844"/>
      <c r="AD1844"/>
      <c r="AE1844">
        <v>0</v>
      </c>
      <c r="AF1844"/>
      <c r="AG1844"/>
      <c r="AH1844"/>
    </row>
    <row r="1845" spans="1:34" x14ac:dyDescent="0.25">
      <c r="A1845" t="s">
        <v>3442</v>
      </c>
      <c r="B1845" t="s">
        <v>3443</v>
      </c>
      <c r="C1845"/>
      <c r="D1845" t="s">
        <v>1778</v>
      </c>
      <c r="E1845" t="s">
        <v>2360</v>
      </c>
      <c r="F1845" t="s">
        <v>2406</v>
      </c>
      <c r="G1845" t="s">
        <v>280</v>
      </c>
      <c r="H1845" t="s">
        <v>2407</v>
      </c>
      <c r="I1845" t="s">
        <v>35</v>
      </c>
      <c r="J1845"/>
      <c r="K1845">
        <v>1</v>
      </c>
      <c r="L1845">
        <v>1</v>
      </c>
      <c r="M1845" t="s">
        <v>33</v>
      </c>
      <c r="N1845">
        <v>1</v>
      </c>
      <c r="O1845"/>
      <c r="P1845">
        <v>0</v>
      </c>
      <c r="Q1845" t="s">
        <v>38</v>
      </c>
      <c r="R1845">
        <v>1</v>
      </c>
      <c r="S1845">
        <v>0</v>
      </c>
      <c r="T1845"/>
      <c r="U1845"/>
      <c r="V1845"/>
      <c r="W1845"/>
      <c r="X1845">
        <v>0</v>
      </c>
      <c r="Y1845"/>
      <c r="Z1845">
        <v>0</v>
      </c>
      <c r="AA1845"/>
      <c r="AB1845"/>
      <c r="AC1845"/>
      <c r="AD1845"/>
      <c r="AE1845">
        <v>0</v>
      </c>
      <c r="AF1845"/>
      <c r="AG1845"/>
      <c r="AH1845"/>
    </row>
    <row r="1846" spans="1:34" x14ac:dyDescent="0.25">
      <c r="A1846" t="s">
        <v>3406</v>
      </c>
      <c r="B1846" t="s">
        <v>3407</v>
      </c>
      <c r="C1846"/>
      <c r="D1846" t="s">
        <v>1778</v>
      </c>
      <c r="E1846" t="s">
        <v>2360</v>
      </c>
      <c r="F1846" t="s">
        <v>2408</v>
      </c>
      <c r="G1846" t="s">
        <v>280</v>
      </c>
      <c r="H1846" t="s">
        <v>2407</v>
      </c>
      <c r="I1846" t="s">
        <v>35</v>
      </c>
      <c r="J1846"/>
      <c r="K1846">
        <v>1</v>
      </c>
      <c r="L1846">
        <v>1</v>
      </c>
      <c r="M1846" t="s">
        <v>33</v>
      </c>
      <c r="N1846">
        <v>1</v>
      </c>
      <c r="O1846"/>
      <c r="P1846">
        <v>0</v>
      </c>
      <c r="Q1846" t="s">
        <v>38</v>
      </c>
      <c r="R1846">
        <v>1</v>
      </c>
      <c r="S1846">
        <v>0</v>
      </c>
      <c r="T1846"/>
      <c r="U1846"/>
      <c r="V1846"/>
      <c r="W1846"/>
      <c r="X1846">
        <v>0</v>
      </c>
      <c r="Y1846"/>
      <c r="Z1846">
        <v>0</v>
      </c>
      <c r="AA1846"/>
      <c r="AB1846"/>
      <c r="AC1846"/>
      <c r="AD1846"/>
      <c r="AE1846">
        <v>0</v>
      </c>
      <c r="AF1846"/>
      <c r="AG1846"/>
      <c r="AH1846"/>
    </row>
    <row r="1847" spans="1:34" x14ac:dyDescent="0.25">
      <c r="A1847" t="s">
        <v>3408</v>
      </c>
      <c r="B1847" t="s">
        <v>3409</v>
      </c>
      <c r="C1847"/>
      <c r="D1847" t="s">
        <v>1778</v>
      </c>
      <c r="E1847" t="s">
        <v>2360</v>
      </c>
      <c r="F1847" t="s">
        <v>2408</v>
      </c>
      <c r="G1847" t="s">
        <v>280</v>
      </c>
      <c r="H1847" t="s">
        <v>2407</v>
      </c>
      <c r="I1847" t="s">
        <v>35</v>
      </c>
      <c r="J1847"/>
      <c r="K1847">
        <v>1</v>
      </c>
      <c r="L1847">
        <v>1</v>
      </c>
      <c r="M1847" t="s">
        <v>33</v>
      </c>
      <c r="N1847">
        <v>1</v>
      </c>
      <c r="O1847"/>
      <c r="P1847">
        <v>0</v>
      </c>
      <c r="Q1847" t="s">
        <v>38</v>
      </c>
      <c r="R1847">
        <v>1</v>
      </c>
      <c r="S1847">
        <v>0</v>
      </c>
      <c r="T1847"/>
      <c r="U1847"/>
      <c r="V1847"/>
      <c r="W1847"/>
      <c r="X1847">
        <v>0</v>
      </c>
      <c r="Y1847"/>
      <c r="Z1847">
        <v>0</v>
      </c>
      <c r="AA1847"/>
      <c r="AB1847"/>
      <c r="AC1847"/>
      <c r="AD1847"/>
      <c r="AE1847">
        <v>0</v>
      </c>
      <c r="AF1847"/>
      <c r="AG1847"/>
      <c r="AH1847"/>
    </row>
    <row r="1848" spans="1:34" x14ac:dyDescent="0.25">
      <c r="A1848" t="s">
        <v>3440</v>
      </c>
      <c r="B1848" t="s">
        <v>3441</v>
      </c>
      <c r="C1848"/>
      <c r="D1848" t="s">
        <v>1778</v>
      </c>
      <c r="E1848" t="s">
        <v>2360</v>
      </c>
      <c r="F1848" t="s">
        <v>2408</v>
      </c>
      <c r="G1848" t="s">
        <v>280</v>
      </c>
      <c r="H1848" t="s">
        <v>2407</v>
      </c>
      <c r="I1848" t="s">
        <v>35</v>
      </c>
      <c r="J1848"/>
      <c r="K1848">
        <v>1</v>
      </c>
      <c r="L1848">
        <v>1</v>
      </c>
      <c r="M1848" t="s">
        <v>33</v>
      </c>
      <c r="N1848">
        <v>1</v>
      </c>
      <c r="O1848"/>
      <c r="P1848">
        <v>0</v>
      </c>
      <c r="Q1848" t="s">
        <v>38</v>
      </c>
      <c r="R1848">
        <v>1</v>
      </c>
      <c r="S1848">
        <v>0</v>
      </c>
      <c r="T1848"/>
      <c r="U1848"/>
      <c r="V1848"/>
      <c r="W1848"/>
      <c r="X1848">
        <v>0</v>
      </c>
      <c r="Y1848"/>
      <c r="Z1848">
        <v>0</v>
      </c>
      <c r="AA1848"/>
      <c r="AB1848"/>
      <c r="AC1848"/>
      <c r="AD1848"/>
      <c r="AE1848">
        <v>0</v>
      </c>
      <c r="AF1848"/>
      <c r="AG1848"/>
      <c r="AH1848"/>
    </row>
    <row r="1849" spans="1:34" x14ac:dyDescent="0.25">
      <c r="A1849" t="s">
        <v>3442</v>
      </c>
      <c r="B1849" t="s">
        <v>3443</v>
      </c>
      <c r="C1849"/>
      <c r="D1849" t="s">
        <v>1778</v>
      </c>
      <c r="E1849" t="s">
        <v>2360</v>
      </c>
      <c r="F1849" t="s">
        <v>2408</v>
      </c>
      <c r="G1849" t="s">
        <v>280</v>
      </c>
      <c r="H1849" t="s">
        <v>2407</v>
      </c>
      <c r="I1849" t="s">
        <v>35</v>
      </c>
      <c r="J1849"/>
      <c r="K1849">
        <v>1</v>
      </c>
      <c r="L1849">
        <v>1</v>
      </c>
      <c r="M1849" t="s">
        <v>33</v>
      </c>
      <c r="N1849">
        <v>1</v>
      </c>
      <c r="O1849"/>
      <c r="P1849">
        <v>0</v>
      </c>
      <c r="Q1849" t="s">
        <v>38</v>
      </c>
      <c r="R1849">
        <v>1</v>
      </c>
      <c r="S1849">
        <v>0</v>
      </c>
      <c r="T1849"/>
      <c r="U1849"/>
      <c r="V1849"/>
      <c r="W1849"/>
      <c r="X1849">
        <v>0</v>
      </c>
      <c r="Y1849"/>
      <c r="Z1849">
        <v>0</v>
      </c>
      <c r="AA1849"/>
      <c r="AB1849"/>
      <c r="AC1849"/>
      <c r="AD1849"/>
      <c r="AE1849">
        <v>0</v>
      </c>
      <c r="AF1849"/>
      <c r="AG1849"/>
      <c r="AH1849"/>
    </row>
    <row r="1850" spans="1:34" x14ac:dyDescent="0.25">
      <c r="A1850" t="s">
        <v>3406</v>
      </c>
      <c r="B1850" t="s">
        <v>3407</v>
      </c>
      <c r="C1850"/>
      <c r="D1850" t="s">
        <v>1778</v>
      </c>
      <c r="E1850" t="s">
        <v>2360</v>
      </c>
      <c r="F1850" t="s">
        <v>2409</v>
      </c>
      <c r="G1850" t="s">
        <v>280</v>
      </c>
      <c r="H1850" t="s">
        <v>2410</v>
      </c>
      <c r="I1850" t="s">
        <v>35</v>
      </c>
      <c r="J1850"/>
      <c r="K1850">
        <v>1</v>
      </c>
      <c r="L1850">
        <v>1</v>
      </c>
      <c r="M1850" t="s">
        <v>33</v>
      </c>
      <c r="N1850">
        <v>1</v>
      </c>
      <c r="O1850"/>
      <c r="P1850">
        <v>0</v>
      </c>
      <c r="Q1850" t="s">
        <v>38</v>
      </c>
      <c r="R1850">
        <v>1</v>
      </c>
      <c r="S1850">
        <v>0</v>
      </c>
      <c r="T1850"/>
      <c r="U1850"/>
      <c r="V1850"/>
      <c r="W1850"/>
      <c r="X1850">
        <v>0</v>
      </c>
      <c r="Y1850"/>
      <c r="Z1850">
        <v>0</v>
      </c>
      <c r="AA1850"/>
      <c r="AB1850"/>
      <c r="AC1850"/>
      <c r="AD1850"/>
      <c r="AE1850">
        <v>0</v>
      </c>
      <c r="AF1850"/>
      <c r="AG1850"/>
      <c r="AH1850"/>
    </row>
    <row r="1851" spans="1:34" x14ac:dyDescent="0.25">
      <c r="A1851" t="s">
        <v>3408</v>
      </c>
      <c r="B1851" t="s">
        <v>3409</v>
      </c>
      <c r="C1851"/>
      <c r="D1851" t="s">
        <v>1778</v>
      </c>
      <c r="E1851" t="s">
        <v>2360</v>
      </c>
      <c r="F1851" t="s">
        <v>2409</v>
      </c>
      <c r="G1851" t="s">
        <v>280</v>
      </c>
      <c r="H1851" t="s">
        <v>2410</v>
      </c>
      <c r="I1851" t="s">
        <v>35</v>
      </c>
      <c r="J1851"/>
      <c r="K1851">
        <v>1</v>
      </c>
      <c r="L1851">
        <v>1</v>
      </c>
      <c r="M1851" t="s">
        <v>33</v>
      </c>
      <c r="N1851">
        <v>1</v>
      </c>
      <c r="O1851"/>
      <c r="P1851">
        <v>0</v>
      </c>
      <c r="Q1851" t="s">
        <v>38</v>
      </c>
      <c r="R1851">
        <v>1</v>
      </c>
      <c r="S1851">
        <v>0</v>
      </c>
      <c r="T1851"/>
      <c r="U1851"/>
      <c r="V1851"/>
      <c r="W1851"/>
      <c r="X1851">
        <v>0</v>
      </c>
      <c r="Y1851"/>
      <c r="Z1851">
        <v>0</v>
      </c>
      <c r="AA1851"/>
      <c r="AB1851"/>
      <c r="AC1851"/>
      <c r="AD1851"/>
      <c r="AE1851">
        <v>0</v>
      </c>
      <c r="AF1851"/>
      <c r="AG1851"/>
      <c r="AH1851"/>
    </row>
    <row r="1852" spans="1:34" x14ac:dyDescent="0.25">
      <c r="A1852" t="s">
        <v>3440</v>
      </c>
      <c r="B1852" t="s">
        <v>3441</v>
      </c>
      <c r="C1852"/>
      <c r="D1852" t="s">
        <v>1778</v>
      </c>
      <c r="E1852" t="s">
        <v>2360</v>
      </c>
      <c r="F1852" t="s">
        <v>2409</v>
      </c>
      <c r="G1852" t="s">
        <v>280</v>
      </c>
      <c r="H1852" t="s">
        <v>2410</v>
      </c>
      <c r="I1852" t="s">
        <v>35</v>
      </c>
      <c r="J1852"/>
      <c r="K1852">
        <v>1</v>
      </c>
      <c r="L1852">
        <v>1</v>
      </c>
      <c r="M1852" t="s">
        <v>33</v>
      </c>
      <c r="N1852">
        <v>1</v>
      </c>
      <c r="O1852"/>
      <c r="P1852">
        <v>0</v>
      </c>
      <c r="Q1852" t="s">
        <v>38</v>
      </c>
      <c r="R1852">
        <v>1</v>
      </c>
      <c r="S1852">
        <v>0</v>
      </c>
      <c r="T1852"/>
      <c r="U1852"/>
      <c r="V1852"/>
      <c r="W1852"/>
      <c r="X1852">
        <v>0</v>
      </c>
      <c r="Y1852"/>
      <c r="Z1852">
        <v>0</v>
      </c>
      <c r="AA1852"/>
      <c r="AB1852"/>
      <c r="AC1852"/>
      <c r="AD1852"/>
      <c r="AE1852">
        <v>0</v>
      </c>
      <c r="AF1852"/>
      <c r="AG1852"/>
      <c r="AH1852"/>
    </row>
    <row r="1853" spans="1:34" x14ac:dyDescent="0.25">
      <c r="A1853" t="s">
        <v>3442</v>
      </c>
      <c r="B1853" t="s">
        <v>3443</v>
      </c>
      <c r="C1853"/>
      <c r="D1853" t="s">
        <v>1778</v>
      </c>
      <c r="E1853" t="s">
        <v>2360</v>
      </c>
      <c r="F1853" t="s">
        <v>2409</v>
      </c>
      <c r="G1853" t="s">
        <v>280</v>
      </c>
      <c r="H1853" t="s">
        <v>2410</v>
      </c>
      <c r="I1853" t="s">
        <v>35</v>
      </c>
      <c r="J1853"/>
      <c r="K1853">
        <v>1</v>
      </c>
      <c r="L1853">
        <v>1</v>
      </c>
      <c r="M1853" t="s">
        <v>33</v>
      </c>
      <c r="N1853">
        <v>1</v>
      </c>
      <c r="O1853"/>
      <c r="P1853">
        <v>0</v>
      </c>
      <c r="Q1853" t="s">
        <v>38</v>
      </c>
      <c r="R1853">
        <v>1</v>
      </c>
      <c r="S1853">
        <v>0</v>
      </c>
      <c r="T1853"/>
      <c r="U1853"/>
      <c r="V1853"/>
      <c r="W1853"/>
      <c r="X1853">
        <v>0</v>
      </c>
      <c r="Y1853"/>
      <c r="Z1853">
        <v>0</v>
      </c>
      <c r="AA1853"/>
      <c r="AB1853"/>
      <c r="AC1853"/>
      <c r="AD1853"/>
      <c r="AE1853">
        <v>0</v>
      </c>
      <c r="AF1853"/>
      <c r="AG1853"/>
      <c r="AH1853"/>
    </row>
    <row r="1854" spans="1:34" x14ac:dyDescent="0.25">
      <c r="A1854" t="s">
        <v>3406</v>
      </c>
      <c r="B1854" t="s">
        <v>3407</v>
      </c>
      <c r="C1854"/>
      <c r="D1854" t="s">
        <v>1778</v>
      </c>
      <c r="E1854" t="s">
        <v>2360</v>
      </c>
      <c r="F1854" t="s">
        <v>2411</v>
      </c>
      <c r="G1854" t="s">
        <v>280</v>
      </c>
      <c r="H1854" t="s">
        <v>2412</v>
      </c>
      <c r="I1854" t="s">
        <v>35</v>
      </c>
      <c r="J1854"/>
      <c r="K1854">
        <v>1</v>
      </c>
      <c r="L1854">
        <v>1</v>
      </c>
      <c r="M1854" t="s">
        <v>33</v>
      </c>
      <c r="N1854">
        <v>1</v>
      </c>
      <c r="O1854"/>
      <c r="P1854">
        <v>0</v>
      </c>
      <c r="Q1854" t="s">
        <v>38</v>
      </c>
      <c r="R1854">
        <v>1</v>
      </c>
      <c r="S1854">
        <v>0</v>
      </c>
      <c r="T1854"/>
      <c r="U1854"/>
      <c r="V1854"/>
      <c r="W1854"/>
      <c r="X1854">
        <v>0</v>
      </c>
      <c r="Y1854"/>
      <c r="Z1854">
        <v>0</v>
      </c>
      <c r="AA1854"/>
      <c r="AB1854"/>
      <c r="AC1854"/>
      <c r="AD1854"/>
      <c r="AE1854">
        <v>0</v>
      </c>
      <c r="AF1854"/>
      <c r="AG1854"/>
      <c r="AH1854"/>
    </row>
    <row r="1855" spans="1:34" x14ac:dyDescent="0.25">
      <c r="A1855" t="s">
        <v>3408</v>
      </c>
      <c r="B1855" t="s">
        <v>3409</v>
      </c>
      <c r="C1855"/>
      <c r="D1855" t="s">
        <v>1778</v>
      </c>
      <c r="E1855" t="s">
        <v>2360</v>
      </c>
      <c r="F1855" t="s">
        <v>2411</v>
      </c>
      <c r="G1855" t="s">
        <v>280</v>
      </c>
      <c r="H1855" t="s">
        <v>2412</v>
      </c>
      <c r="I1855" t="s">
        <v>35</v>
      </c>
      <c r="J1855"/>
      <c r="K1855">
        <v>1</v>
      </c>
      <c r="L1855">
        <v>1</v>
      </c>
      <c r="M1855" t="s">
        <v>33</v>
      </c>
      <c r="N1855">
        <v>1</v>
      </c>
      <c r="O1855"/>
      <c r="P1855">
        <v>0</v>
      </c>
      <c r="Q1855" t="s">
        <v>38</v>
      </c>
      <c r="R1855">
        <v>1</v>
      </c>
      <c r="S1855">
        <v>0</v>
      </c>
      <c r="T1855"/>
      <c r="U1855"/>
      <c r="V1855"/>
      <c r="W1855"/>
      <c r="X1855">
        <v>0</v>
      </c>
      <c r="Y1855"/>
      <c r="Z1855">
        <v>0</v>
      </c>
      <c r="AA1855"/>
      <c r="AB1855"/>
      <c r="AC1855"/>
      <c r="AD1855"/>
      <c r="AE1855">
        <v>0</v>
      </c>
      <c r="AF1855"/>
      <c r="AG1855"/>
      <c r="AH1855"/>
    </row>
    <row r="1856" spans="1:34" x14ac:dyDescent="0.25">
      <c r="A1856" t="s">
        <v>3440</v>
      </c>
      <c r="B1856" t="s">
        <v>3441</v>
      </c>
      <c r="C1856"/>
      <c r="D1856" t="s">
        <v>1778</v>
      </c>
      <c r="E1856" t="s">
        <v>2360</v>
      </c>
      <c r="F1856" t="s">
        <v>2411</v>
      </c>
      <c r="G1856" t="s">
        <v>280</v>
      </c>
      <c r="H1856" t="s">
        <v>2412</v>
      </c>
      <c r="I1856" t="s">
        <v>35</v>
      </c>
      <c r="J1856"/>
      <c r="K1856">
        <v>1</v>
      </c>
      <c r="L1856">
        <v>1</v>
      </c>
      <c r="M1856" t="s">
        <v>33</v>
      </c>
      <c r="N1856">
        <v>1</v>
      </c>
      <c r="O1856"/>
      <c r="P1856">
        <v>0</v>
      </c>
      <c r="Q1856" t="s">
        <v>38</v>
      </c>
      <c r="R1856">
        <v>1</v>
      </c>
      <c r="S1856">
        <v>0</v>
      </c>
      <c r="T1856"/>
      <c r="U1856"/>
      <c r="V1856"/>
      <c r="W1856"/>
      <c r="X1856">
        <v>0</v>
      </c>
      <c r="Y1856"/>
      <c r="Z1856">
        <v>0</v>
      </c>
      <c r="AA1856"/>
      <c r="AB1856"/>
      <c r="AC1856"/>
      <c r="AD1856"/>
      <c r="AE1856">
        <v>0</v>
      </c>
      <c r="AF1856"/>
      <c r="AG1856"/>
      <c r="AH1856"/>
    </row>
    <row r="1857" spans="1:34" x14ac:dyDescent="0.25">
      <c r="A1857" t="s">
        <v>3442</v>
      </c>
      <c r="B1857" t="s">
        <v>3443</v>
      </c>
      <c r="C1857"/>
      <c r="D1857" t="s">
        <v>1778</v>
      </c>
      <c r="E1857" t="s">
        <v>2360</v>
      </c>
      <c r="F1857" t="s">
        <v>2411</v>
      </c>
      <c r="G1857" t="s">
        <v>280</v>
      </c>
      <c r="H1857" t="s">
        <v>2412</v>
      </c>
      <c r="I1857" t="s">
        <v>35</v>
      </c>
      <c r="J1857"/>
      <c r="K1857">
        <v>1</v>
      </c>
      <c r="L1857">
        <v>1</v>
      </c>
      <c r="M1857" t="s">
        <v>33</v>
      </c>
      <c r="N1857">
        <v>1</v>
      </c>
      <c r="O1857"/>
      <c r="P1857">
        <v>0</v>
      </c>
      <c r="Q1857" t="s">
        <v>38</v>
      </c>
      <c r="R1857">
        <v>1</v>
      </c>
      <c r="S1857">
        <v>0</v>
      </c>
      <c r="T1857"/>
      <c r="U1857"/>
      <c r="V1857"/>
      <c r="W1857"/>
      <c r="X1857">
        <v>0</v>
      </c>
      <c r="Y1857"/>
      <c r="Z1857">
        <v>0</v>
      </c>
      <c r="AA1857"/>
      <c r="AB1857"/>
      <c r="AC1857"/>
      <c r="AD1857"/>
      <c r="AE1857">
        <v>0</v>
      </c>
      <c r="AF1857"/>
      <c r="AG1857"/>
      <c r="AH1857"/>
    </row>
    <row r="1858" spans="1:34" x14ac:dyDescent="0.25">
      <c r="A1858" t="s">
        <v>3406</v>
      </c>
      <c r="B1858" t="s">
        <v>3407</v>
      </c>
      <c r="C1858"/>
      <c r="D1858" t="s">
        <v>1778</v>
      </c>
      <c r="E1858" t="s">
        <v>2360</v>
      </c>
      <c r="F1858" t="s">
        <v>2413</v>
      </c>
      <c r="G1858" t="s">
        <v>280</v>
      </c>
      <c r="H1858" t="s">
        <v>2414</v>
      </c>
      <c r="I1858" t="s">
        <v>35</v>
      </c>
      <c r="J1858"/>
      <c r="K1858">
        <v>1</v>
      </c>
      <c r="L1858">
        <v>1</v>
      </c>
      <c r="M1858" t="s">
        <v>33</v>
      </c>
      <c r="N1858">
        <v>1</v>
      </c>
      <c r="O1858"/>
      <c r="P1858">
        <v>0</v>
      </c>
      <c r="Q1858" t="s">
        <v>38</v>
      </c>
      <c r="R1858">
        <v>1</v>
      </c>
      <c r="S1858">
        <v>0</v>
      </c>
      <c r="T1858"/>
      <c r="U1858"/>
      <c r="V1858"/>
      <c r="W1858"/>
      <c r="X1858">
        <v>0</v>
      </c>
      <c r="Y1858"/>
      <c r="Z1858">
        <v>0</v>
      </c>
      <c r="AA1858"/>
      <c r="AB1858"/>
      <c r="AC1858"/>
      <c r="AD1858"/>
      <c r="AE1858">
        <v>0</v>
      </c>
      <c r="AF1858"/>
      <c r="AG1858"/>
      <c r="AH1858"/>
    </row>
    <row r="1859" spans="1:34" x14ac:dyDescent="0.25">
      <c r="A1859" t="s">
        <v>3408</v>
      </c>
      <c r="B1859" t="s">
        <v>3409</v>
      </c>
      <c r="C1859"/>
      <c r="D1859" t="s">
        <v>1778</v>
      </c>
      <c r="E1859" t="s">
        <v>2360</v>
      </c>
      <c r="F1859" t="s">
        <v>2413</v>
      </c>
      <c r="G1859" t="s">
        <v>280</v>
      </c>
      <c r="H1859" t="s">
        <v>2414</v>
      </c>
      <c r="I1859" t="s">
        <v>35</v>
      </c>
      <c r="J1859"/>
      <c r="K1859">
        <v>1</v>
      </c>
      <c r="L1859">
        <v>1</v>
      </c>
      <c r="M1859" t="s">
        <v>33</v>
      </c>
      <c r="N1859">
        <v>1</v>
      </c>
      <c r="O1859"/>
      <c r="P1859">
        <v>0</v>
      </c>
      <c r="Q1859" t="s">
        <v>38</v>
      </c>
      <c r="R1859">
        <v>1</v>
      </c>
      <c r="S1859">
        <v>0</v>
      </c>
      <c r="T1859"/>
      <c r="U1859"/>
      <c r="V1859"/>
      <c r="W1859"/>
      <c r="X1859">
        <v>0</v>
      </c>
      <c r="Y1859"/>
      <c r="Z1859">
        <v>0</v>
      </c>
      <c r="AA1859"/>
      <c r="AB1859"/>
      <c r="AC1859"/>
      <c r="AD1859"/>
      <c r="AE1859">
        <v>0</v>
      </c>
      <c r="AF1859"/>
      <c r="AG1859"/>
      <c r="AH1859"/>
    </row>
    <row r="1860" spans="1:34" x14ac:dyDescent="0.25">
      <c r="A1860" t="s">
        <v>3440</v>
      </c>
      <c r="B1860" t="s">
        <v>3441</v>
      </c>
      <c r="C1860"/>
      <c r="D1860" t="s">
        <v>1778</v>
      </c>
      <c r="E1860" t="s">
        <v>2360</v>
      </c>
      <c r="F1860" t="s">
        <v>2413</v>
      </c>
      <c r="G1860" t="s">
        <v>280</v>
      </c>
      <c r="H1860" t="s">
        <v>2414</v>
      </c>
      <c r="I1860" t="s">
        <v>35</v>
      </c>
      <c r="J1860"/>
      <c r="K1860">
        <v>1</v>
      </c>
      <c r="L1860">
        <v>1</v>
      </c>
      <c r="M1860" t="s">
        <v>33</v>
      </c>
      <c r="N1860">
        <v>1</v>
      </c>
      <c r="O1860"/>
      <c r="P1860">
        <v>0</v>
      </c>
      <c r="Q1860" t="s">
        <v>38</v>
      </c>
      <c r="R1860">
        <v>1</v>
      </c>
      <c r="S1860">
        <v>0</v>
      </c>
      <c r="T1860"/>
      <c r="U1860"/>
      <c r="V1860"/>
      <c r="W1860"/>
      <c r="X1860">
        <v>0</v>
      </c>
      <c r="Y1860"/>
      <c r="Z1860">
        <v>0</v>
      </c>
      <c r="AA1860"/>
      <c r="AB1860"/>
      <c r="AC1860"/>
      <c r="AD1860"/>
      <c r="AE1860">
        <v>0</v>
      </c>
      <c r="AF1860"/>
      <c r="AG1860"/>
      <c r="AH1860"/>
    </row>
    <row r="1861" spans="1:34" x14ac:dyDescent="0.25">
      <c r="A1861" t="s">
        <v>3442</v>
      </c>
      <c r="B1861" t="s">
        <v>3443</v>
      </c>
      <c r="C1861"/>
      <c r="D1861" t="s">
        <v>1778</v>
      </c>
      <c r="E1861" t="s">
        <v>2360</v>
      </c>
      <c r="F1861" t="s">
        <v>2413</v>
      </c>
      <c r="G1861" t="s">
        <v>280</v>
      </c>
      <c r="H1861" t="s">
        <v>2414</v>
      </c>
      <c r="I1861" t="s">
        <v>35</v>
      </c>
      <c r="J1861"/>
      <c r="K1861">
        <v>1</v>
      </c>
      <c r="L1861">
        <v>1</v>
      </c>
      <c r="M1861" t="s">
        <v>33</v>
      </c>
      <c r="N1861">
        <v>1</v>
      </c>
      <c r="O1861"/>
      <c r="P1861">
        <v>0</v>
      </c>
      <c r="Q1861" t="s">
        <v>38</v>
      </c>
      <c r="R1861">
        <v>1</v>
      </c>
      <c r="S1861">
        <v>0</v>
      </c>
      <c r="T1861"/>
      <c r="U1861"/>
      <c r="V1861"/>
      <c r="W1861"/>
      <c r="X1861">
        <v>0</v>
      </c>
      <c r="Y1861"/>
      <c r="Z1861">
        <v>0</v>
      </c>
      <c r="AA1861"/>
      <c r="AB1861"/>
      <c r="AC1861"/>
      <c r="AD1861"/>
      <c r="AE1861">
        <v>0</v>
      </c>
      <c r="AF1861"/>
      <c r="AG1861"/>
      <c r="AH1861"/>
    </row>
    <row r="1862" spans="1:34" x14ac:dyDescent="0.25">
      <c r="A1862" t="s">
        <v>3406</v>
      </c>
      <c r="B1862" t="s">
        <v>3407</v>
      </c>
      <c r="C1862"/>
      <c r="D1862" t="s">
        <v>1778</v>
      </c>
      <c r="E1862" t="s">
        <v>2360</v>
      </c>
      <c r="F1862" t="s">
        <v>2415</v>
      </c>
      <c r="G1862" t="s">
        <v>280</v>
      </c>
      <c r="H1862" t="s">
        <v>2414</v>
      </c>
      <c r="I1862" t="s">
        <v>35</v>
      </c>
      <c r="J1862"/>
      <c r="K1862">
        <v>1</v>
      </c>
      <c r="L1862">
        <v>1</v>
      </c>
      <c r="M1862" t="s">
        <v>33</v>
      </c>
      <c r="N1862">
        <v>1</v>
      </c>
      <c r="O1862"/>
      <c r="P1862">
        <v>0</v>
      </c>
      <c r="Q1862" t="s">
        <v>38</v>
      </c>
      <c r="R1862">
        <v>1</v>
      </c>
      <c r="S1862">
        <v>0</v>
      </c>
      <c r="T1862"/>
      <c r="U1862"/>
      <c r="V1862"/>
      <c r="W1862"/>
      <c r="X1862">
        <v>0</v>
      </c>
      <c r="Y1862"/>
      <c r="Z1862">
        <v>0</v>
      </c>
      <c r="AA1862"/>
      <c r="AB1862"/>
      <c r="AC1862"/>
      <c r="AD1862"/>
      <c r="AE1862">
        <v>0</v>
      </c>
      <c r="AF1862"/>
      <c r="AG1862"/>
      <c r="AH1862"/>
    </row>
    <row r="1863" spans="1:34" x14ac:dyDescent="0.25">
      <c r="A1863" t="s">
        <v>3408</v>
      </c>
      <c r="B1863" t="s">
        <v>3409</v>
      </c>
      <c r="C1863"/>
      <c r="D1863" t="s">
        <v>1778</v>
      </c>
      <c r="E1863" t="s">
        <v>2360</v>
      </c>
      <c r="F1863" t="s">
        <v>2415</v>
      </c>
      <c r="G1863" t="s">
        <v>280</v>
      </c>
      <c r="H1863" t="s">
        <v>2414</v>
      </c>
      <c r="I1863" t="s">
        <v>35</v>
      </c>
      <c r="J1863"/>
      <c r="K1863">
        <v>1</v>
      </c>
      <c r="L1863">
        <v>1</v>
      </c>
      <c r="M1863" t="s">
        <v>33</v>
      </c>
      <c r="N1863">
        <v>1</v>
      </c>
      <c r="O1863"/>
      <c r="P1863">
        <v>0</v>
      </c>
      <c r="Q1863" t="s">
        <v>38</v>
      </c>
      <c r="R1863">
        <v>1</v>
      </c>
      <c r="S1863">
        <v>0</v>
      </c>
      <c r="T1863"/>
      <c r="U1863"/>
      <c r="V1863"/>
      <c r="W1863"/>
      <c r="X1863">
        <v>0</v>
      </c>
      <c r="Y1863"/>
      <c r="Z1863">
        <v>0</v>
      </c>
      <c r="AA1863"/>
      <c r="AB1863"/>
      <c r="AC1863"/>
      <c r="AD1863"/>
      <c r="AE1863">
        <v>0</v>
      </c>
      <c r="AF1863"/>
      <c r="AG1863"/>
      <c r="AH1863"/>
    </row>
    <row r="1864" spans="1:34" x14ac:dyDescent="0.25">
      <c r="A1864" t="s">
        <v>3440</v>
      </c>
      <c r="B1864" t="s">
        <v>3441</v>
      </c>
      <c r="C1864"/>
      <c r="D1864" t="s">
        <v>1778</v>
      </c>
      <c r="E1864" t="s">
        <v>2360</v>
      </c>
      <c r="F1864" t="s">
        <v>2415</v>
      </c>
      <c r="G1864" t="s">
        <v>280</v>
      </c>
      <c r="H1864" t="s">
        <v>2414</v>
      </c>
      <c r="I1864" t="s">
        <v>35</v>
      </c>
      <c r="J1864"/>
      <c r="K1864">
        <v>1</v>
      </c>
      <c r="L1864">
        <v>1</v>
      </c>
      <c r="M1864" t="s">
        <v>33</v>
      </c>
      <c r="N1864">
        <v>1</v>
      </c>
      <c r="O1864"/>
      <c r="P1864">
        <v>0</v>
      </c>
      <c r="Q1864" t="s">
        <v>38</v>
      </c>
      <c r="R1864">
        <v>1</v>
      </c>
      <c r="S1864">
        <v>0</v>
      </c>
      <c r="T1864"/>
      <c r="U1864"/>
      <c r="V1864"/>
      <c r="W1864"/>
      <c r="X1864">
        <v>0</v>
      </c>
      <c r="Y1864"/>
      <c r="Z1864">
        <v>0</v>
      </c>
      <c r="AA1864"/>
      <c r="AB1864"/>
      <c r="AC1864"/>
      <c r="AD1864"/>
      <c r="AE1864">
        <v>0</v>
      </c>
      <c r="AF1864"/>
      <c r="AG1864"/>
      <c r="AH1864"/>
    </row>
    <row r="1865" spans="1:34" x14ac:dyDescent="0.25">
      <c r="A1865" t="s">
        <v>3442</v>
      </c>
      <c r="B1865" t="s">
        <v>3443</v>
      </c>
      <c r="C1865"/>
      <c r="D1865" t="s">
        <v>1778</v>
      </c>
      <c r="E1865" t="s">
        <v>2360</v>
      </c>
      <c r="F1865" t="s">
        <v>2415</v>
      </c>
      <c r="G1865" t="s">
        <v>280</v>
      </c>
      <c r="H1865" t="s">
        <v>2414</v>
      </c>
      <c r="I1865" t="s">
        <v>35</v>
      </c>
      <c r="J1865"/>
      <c r="K1865">
        <v>1</v>
      </c>
      <c r="L1865">
        <v>1</v>
      </c>
      <c r="M1865" t="s">
        <v>33</v>
      </c>
      <c r="N1865">
        <v>1</v>
      </c>
      <c r="O1865"/>
      <c r="P1865">
        <v>0</v>
      </c>
      <c r="Q1865" t="s">
        <v>38</v>
      </c>
      <c r="R1865">
        <v>1</v>
      </c>
      <c r="S1865">
        <v>0</v>
      </c>
      <c r="T1865"/>
      <c r="U1865"/>
      <c r="V1865"/>
      <c r="W1865"/>
      <c r="X1865">
        <v>0</v>
      </c>
      <c r="Y1865"/>
      <c r="Z1865">
        <v>0</v>
      </c>
      <c r="AA1865"/>
      <c r="AB1865"/>
      <c r="AC1865"/>
      <c r="AD1865"/>
      <c r="AE1865">
        <v>0</v>
      </c>
      <c r="AF1865"/>
      <c r="AG1865"/>
      <c r="AH1865"/>
    </row>
    <row r="1866" spans="1:34" x14ac:dyDescent="0.25">
      <c r="A1866" t="s">
        <v>2091</v>
      </c>
      <c r="B1866" t="s">
        <v>2092</v>
      </c>
      <c r="C1866"/>
      <c r="D1866" t="s">
        <v>1778</v>
      </c>
      <c r="E1866" t="s">
        <v>2416</v>
      </c>
      <c r="F1866" t="s">
        <v>2417</v>
      </c>
      <c r="G1866" t="s">
        <v>280</v>
      </c>
      <c r="H1866" t="s">
        <v>2418</v>
      </c>
      <c r="I1866" t="s">
        <v>35</v>
      </c>
      <c r="J1866"/>
      <c r="K1866">
        <v>1</v>
      </c>
      <c r="L1866">
        <v>1</v>
      </c>
      <c r="M1866" t="s">
        <v>33</v>
      </c>
      <c r="N1866">
        <v>1</v>
      </c>
      <c r="O1866"/>
      <c r="P1866">
        <v>0</v>
      </c>
      <c r="Q1866" t="s">
        <v>38</v>
      </c>
      <c r="R1866">
        <v>1</v>
      </c>
      <c r="S1866">
        <v>0</v>
      </c>
      <c r="T1866"/>
      <c r="U1866"/>
      <c r="V1866"/>
      <c r="W1866"/>
      <c r="X1866">
        <v>0</v>
      </c>
      <c r="Y1866"/>
      <c r="Z1866">
        <v>0</v>
      </c>
      <c r="AA1866"/>
      <c r="AB1866"/>
      <c r="AC1866"/>
      <c r="AD1866"/>
      <c r="AE1866">
        <v>0</v>
      </c>
      <c r="AF1866"/>
      <c r="AG1866"/>
      <c r="AH1866"/>
    </row>
    <row r="1867" spans="1:34" x14ac:dyDescent="0.25">
      <c r="A1867" t="s">
        <v>2091</v>
      </c>
      <c r="B1867" t="s">
        <v>2092</v>
      </c>
      <c r="C1867"/>
      <c r="D1867" t="s">
        <v>1778</v>
      </c>
      <c r="E1867" t="s">
        <v>2416</v>
      </c>
      <c r="F1867" t="s">
        <v>2419</v>
      </c>
      <c r="G1867" t="s">
        <v>280</v>
      </c>
      <c r="H1867" t="s">
        <v>2420</v>
      </c>
      <c r="I1867" t="s">
        <v>35</v>
      </c>
      <c r="J1867"/>
      <c r="K1867">
        <v>1</v>
      </c>
      <c r="L1867">
        <v>1</v>
      </c>
      <c r="M1867" t="s">
        <v>33</v>
      </c>
      <c r="N1867">
        <v>1</v>
      </c>
      <c r="O1867"/>
      <c r="P1867">
        <v>0</v>
      </c>
      <c r="Q1867" t="s">
        <v>38</v>
      </c>
      <c r="R1867">
        <v>1</v>
      </c>
      <c r="S1867">
        <v>0</v>
      </c>
      <c r="T1867"/>
      <c r="U1867"/>
      <c r="V1867"/>
      <c r="W1867"/>
      <c r="X1867">
        <v>0</v>
      </c>
      <c r="Y1867"/>
      <c r="Z1867">
        <v>0</v>
      </c>
      <c r="AA1867"/>
      <c r="AB1867"/>
      <c r="AC1867"/>
      <c r="AD1867"/>
      <c r="AE1867">
        <v>0</v>
      </c>
      <c r="AF1867"/>
      <c r="AG1867"/>
      <c r="AH1867"/>
    </row>
    <row r="1868" spans="1:34" x14ac:dyDescent="0.25">
      <c r="A1868" t="s">
        <v>2091</v>
      </c>
      <c r="B1868" t="s">
        <v>2092</v>
      </c>
      <c r="C1868"/>
      <c r="D1868" t="s">
        <v>1778</v>
      </c>
      <c r="E1868" t="s">
        <v>2416</v>
      </c>
      <c r="F1868" t="s">
        <v>2421</v>
      </c>
      <c r="G1868" t="s">
        <v>280</v>
      </c>
      <c r="H1868" t="s">
        <v>2422</v>
      </c>
      <c r="I1868" t="s">
        <v>35</v>
      </c>
      <c r="J1868"/>
      <c r="K1868">
        <v>1</v>
      </c>
      <c r="L1868">
        <v>1</v>
      </c>
      <c r="M1868" t="s">
        <v>33</v>
      </c>
      <c r="N1868">
        <v>1</v>
      </c>
      <c r="O1868"/>
      <c r="P1868">
        <v>0</v>
      </c>
      <c r="Q1868" t="s">
        <v>38</v>
      </c>
      <c r="R1868">
        <v>1</v>
      </c>
      <c r="S1868">
        <v>0</v>
      </c>
      <c r="T1868"/>
      <c r="U1868"/>
      <c r="V1868"/>
      <c r="W1868"/>
      <c r="X1868">
        <v>0</v>
      </c>
      <c r="Y1868"/>
      <c r="Z1868">
        <v>0</v>
      </c>
      <c r="AA1868"/>
      <c r="AB1868"/>
      <c r="AC1868"/>
      <c r="AD1868"/>
      <c r="AE1868">
        <v>0</v>
      </c>
      <c r="AF1868"/>
      <c r="AG1868"/>
      <c r="AH1868"/>
    </row>
    <row r="1869" spans="1:34" x14ac:dyDescent="0.25">
      <c r="A1869" t="s">
        <v>2091</v>
      </c>
      <c r="B1869" t="s">
        <v>2092</v>
      </c>
      <c r="C1869"/>
      <c r="D1869" t="s">
        <v>1778</v>
      </c>
      <c r="E1869" t="s">
        <v>2416</v>
      </c>
      <c r="F1869" t="s">
        <v>2423</v>
      </c>
      <c r="G1869" t="s">
        <v>280</v>
      </c>
      <c r="H1869" t="s">
        <v>2424</v>
      </c>
      <c r="I1869" t="s">
        <v>35</v>
      </c>
      <c r="J1869"/>
      <c r="K1869">
        <v>1</v>
      </c>
      <c r="L1869">
        <v>1</v>
      </c>
      <c r="M1869" t="s">
        <v>33</v>
      </c>
      <c r="N1869">
        <v>1</v>
      </c>
      <c r="O1869"/>
      <c r="P1869">
        <v>0</v>
      </c>
      <c r="Q1869" t="s">
        <v>38</v>
      </c>
      <c r="R1869">
        <v>1</v>
      </c>
      <c r="S1869">
        <v>0</v>
      </c>
      <c r="T1869"/>
      <c r="U1869"/>
      <c r="V1869"/>
      <c r="W1869"/>
      <c r="X1869">
        <v>0</v>
      </c>
      <c r="Y1869"/>
      <c r="Z1869">
        <v>0</v>
      </c>
      <c r="AA1869"/>
      <c r="AB1869"/>
      <c r="AC1869"/>
      <c r="AD1869"/>
      <c r="AE1869">
        <v>0</v>
      </c>
      <c r="AF1869"/>
      <c r="AG1869"/>
      <c r="AH1869"/>
    </row>
    <row r="1870" spans="1:34" x14ac:dyDescent="0.25">
      <c r="A1870" t="s">
        <v>2091</v>
      </c>
      <c r="B1870" t="s">
        <v>2092</v>
      </c>
      <c r="C1870"/>
      <c r="D1870" t="s">
        <v>1778</v>
      </c>
      <c r="E1870" t="s">
        <v>2416</v>
      </c>
      <c r="F1870" t="s">
        <v>2425</v>
      </c>
      <c r="G1870" t="s">
        <v>280</v>
      </c>
      <c r="H1870" t="s">
        <v>2426</v>
      </c>
      <c r="I1870" t="s">
        <v>35</v>
      </c>
      <c r="J1870"/>
      <c r="K1870">
        <v>1</v>
      </c>
      <c r="L1870">
        <v>1</v>
      </c>
      <c r="M1870" t="s">
        <v>33</v>
      </c>
      <c r="N1870">
        <v>1</v>
      </c>
      <c r="O1870"/>
      <c r="P1870">
        <v>0</v>
      </c>
      <c r="Q1870" t="s">
        <v>38</v>
      </c>
      <c r="R1870">
        <v>1</v>
      </c>
      <c r="S1870">
        <v>0</v>
      </c>
      <c r="T1870"/>
      <c r="U1870"/>
      <c r="V1870"/>
      <c r="W1870"/>
      <c r="X1870">
        <v>0</v>
      </c>
      <c r="Y1870"/>
      <c r="Z1870">
        <v>0</v>
      </c>
      <c r="AA1870"/>
      <c r="AB1870"/>
      <c r="AC1870"/>
      <c r="AD1870"/>
      <c r="AE1870">
        <v>0</v>
      </c>
      <c r="AF1870"/>
      <c r="AG1870"/>
      <c r="AH1870"/>
    </row>
    <row r="1871" spans="1:34" x14ac:dyDescent="0.25">
      <c r="A1871" t="s">
        <v>2091</v>
      </c>
      <c r="B1871" t="s">
        <v>2092</v>
      </c>
      <c r="C1871"/>
      <c r="D1871" t="s">
        <v>1778</v>
      </c>
      <c r="E1871" t="s">
        <v>2416</v>
      </c>
      <c r="F1871" t="s">
        <v>2427</v>
      </c>
      <c r="G1871" t="s">
        <v>280</v>
      </c>
      <c r="H1871" t="s">
        <v>2428</v>
      </c>
      <c r="I1871" t="s">
        <v>35</v>
      </c>
      <c r="J1871"/>
      <c r="K1871">
        <v>1</v>
      </c>
      <c r="L1871">
        <v>1</v>
      </c>
      <c r="M1871" t="s">
        <v>33</v>
      </c>
      <c r="N1871">
        <v>1</v>
      </c>
      <c r="O1871"/>
      <c r="P1871">
        <v>0</v>
      </c>
      <c r="Q1871" t="s">
        <v>38</v>
      </c>
      <c r="R1871">
        <v>1</v>
      </c>
      <c r="S1871">
        <v>0</v>
      </c>
      <c r="T1871"/>
      <c r="U1871"/>
      <c r="V1871"/>
      <c r="W1871"/>
      <c r="X1871">
        <v>0</v>
      </c>
      <c r="Y1871"/>
      <c r="Z1871">
        <v>0</v>
      </c>
      <c r="AA1871"/>
      <c r="AB1871"/>
      <c r="AC1871"/>
      <c r="AD1871"/>
      <c r="AE1871">
        <v>0</v>
      </c>
      <c r="AF1871"/>
      <c r="AG1871"/>
      <c r="AH1871"/>
    </row>
    <row r="1872" spans="1:34" x14ac:dyDescent="0.25">
      <c r="A1872" t="s">
        <v>2091</v>
      </c>
      <c r="B1872" t="s">
        <v>2092</v>
      </c>
      <c r="C1872"/>
      <c r="D1872" t="s">
        <v>1778</v>
      </c>
      <c r="E1872" t="s">
        <v>2416</v>
      </c>
      <c r="F1872" t="s">
        <v>2429</v>
      </c>
      <c r="G1872" t="s">
        <v>280</v>
      </c>
      <c r="H1872" t="s">
        <v>2430</v>
      </c>
      <c r="I1872" t="s">
        <v>35</v>
      </c>
      <c r="J1872"/>
      <c r="K1872">
        <v>1</v>
      </c>
      <c r="L1872">
        <v>1</v>
      </c>
      <c r="M1872" t="s">
        <v>33</v>
      </c>
      <c r="N1872">
        <v>1</v>
      </c>
      <c r="O1872"/>
      <c r="P1872">
        <v>0</v>
      </c>
      <c r="Q1872" t="s">
        <v>38</v>
      </c>
      <c r="R1872">
        <v>1</v>
      </c>
      <c r="S1872">
        <v>0</v>
      </c>
      <c r="T1872"/>
      <c r="U1872"/>
      <c r="V1872"/>
      <c r="W1872"/>
      <c r="X1872">
        <v>0</v>
      </c>
      <c r="Y1872"/>
      <c r="Z1872">
        <v>0</v>
      </c>
      <c r="AA1872"/>
      <c r="AB1872"/>
      <c r="AC1872"/>
      <c r="AD1872"/>
      <c r="AE1872">
        <v>0</v>
      </c>
      <c r="AF1872"/>
      <c r="AG1872"/>
      <c r="AH1872"/>
    </row>
    <row r="1873" spans="1:34" x14ac:dyDescent="0.25">
      <c r="A1873" t="s">
        <v>2091</v>
      </c>
      <c r="B1873" t="s">
        <v>2092</v>
      </c>
      <c r="C1873"/>
      <c r="D1873" t="s">
        <v>1778</v>
      </c>
      <c r="E1873" t="s">
        <v>2416</v>
      </c>
      <c r="F1873" t="s">
        <v>2431</v>
      </c>
      <c r="G1873" t="s">
        <v>280</v>
      </c>
      <c r="H1873" t="s">
        <v>2432</v>
      </c>
      <c r="I1873" t="s">
        <v>35</v>
      </c>
      <c r="J1873"/>
      <c r="K1873">
        <v>1</v>
      </c>
      <c r="L1873">
        <v>1</v>
      </c>
      <c r="M1873" t="s">
        <v>33</v>
      </c>
      <c r="N1873">
        <v>1</v>
      </c>
      <c r="O1873"/>
      <c r="P1873">
        <v>0</v>
      </c>
      <c r="Q1873" t="s">
        <v>38</v>
      </c>
      <c r="R1873">
        <v>1</v>
      </c>
      <c r="S1873">
        <v>0</v>
      </c>
      <c r="T1873"/>
      <c r="U1873"/>
      <c r="V1873"/>
      <c r="W1873"/>
      <c r="X1873">
        <v>0</v>
      </c>
      <c r="Y1873"/>
      <c r="Z1873">
        <v>0</v>
      </c>
      <c r="AA1873"/>
      <c r="AB1873"/>
      <c r="AC1873"/>
      <c r="AD1873"/>
      <c r="AE1873">
        <v>0</v>
      </c>
      <c r="AF1873"/>
      <c r="AG1873"/>
      <c r="AH1873"/>
    </row>
    <row r="1874" spans="1:34" x14ac:dyDescent="0.25">
      <c r="A1874" t="s">
        <v>2120</v>
      </c>
      <c r="B1874" t="s">
        <v>2121</v>
      </c>
      <c r="C1874"/>
      <c r="D1874" t="s">
        <v>1778</v>
      </c>
      <c r="E1874" t="s">
        <v>2416</v>
      </c>
      <c r="F1874" t="s">
        <v>2433</v>
      </c>
      <c r="G1874" t="s">
        <v>280</v>
      </c>
      <c r="H1874" t="s">
        <v>2434</v>
      </c>
      <c r="I1874" t="s">
        <v>35</v>
      </c>
      <c r="J1874"/>
      <c r="K1874">
        <v>1</v>
      </c>
      <c r="L1874">
        <v>1</v>
      </c>
      <c r="M1874" t="s">
        <v>33</v>
      </c>
      <c r="N1874">
        <v>1</v>
      </c>
      <c r="O1874"/>
      <c r="P1874">
        <v>0</v>
      </c>
      <c r="Q1874" t="s">
        <v>38</v>
      </c>
      <c r="R1874">
        <v>1</v>
      </c>
      <c r="S1874">
        <v>0</v>
      </c>
      <c r="T1874"/>
      <c r="U1874"/>
      <c r="V1874"/>
      <c r="W1874"/>
      <c r="X1874">
        <v>0</v>
      </c>
      <c r="Y1874"/>
      <c r="Z1874">
        <v>0</v>
      </c>
      <c r="AA1874"/>
      <c r="AB1874"/>
      <c r="AC1874"/>
      <c r="AD1874"/>
      <c r="AE1874">
        <v>0</v>
      </c>
      <c r="AF1874"/>
      <c r="AG1874" t="s">
        <v>3467</v>
      </c>
      <c r="AH1874"/>
    </row>
    <row r="1875" spans="1:34" x14ac:dyDescent="0.25">
      <c r="A1875" t="s">
        <v>2120</v>
      </c>
      <c r="B1875" t="s">
        <v>2121</v>
      </c>
      <c r="C1875"/>
      <c r="D1875" t="s">
        <v>1778</v>
      </c>
      <c r="E1875" t="s">
        <v>2416</v>
      </c>
      <c r="F1875" t="s">
        <v>2435</v>
      </c>
      <c r="G1875" t="s">
        <v>280</v>
      </c>
      <c r="H1875" t="s">
        <v>2436</v>
      </c>
      <c r="I1875" t="s">
        <v>35</v>
      </c>
      <c r="J1875"/>
      <c r="K1875">
        <v>1</v>
      </c>
      <c r="L1875">
        <v>1</v>
      </c>
      <c r="M1875" t="s">
        <v>33</v>
      </c>
      <c r="N1875">
        <v>1</v>
      </c>
      <c r="O1875"/>
      <c r="P1875">
        <v>0</v>
      </c>
      <c r="Q1875" t="s">
        <v>38</v>
      </c>
      <c r="R1875">
        <v>1</v>
      </c>
      <c r="S1875">
        <v>0</v>
      </c>
      <c r="T1875"/>
      <c r="U1875"/>
      <c r="V1875"/>
      <c r="W1875"/>
      <c r="X1875">
        <v>0</v>
      </c>
      <c r="Y1875"/>
      <c r="Z1875">
        <v>0</v>
      </c>
      <c r="AA1875"/>
      <c r="AB1875"/>
      <c r="AC1875"/>
      <c r="AD1875"/>
      <c r="AE1875">
        <v>0</v>
      </c>
      <c r="AF1875"/>
      <c r="AG1875" t="s">
        <v>3467</v>
      </c>
      <c r="AH1875"/>
    </row>
    <row r="1876" spans="1:34" x14ac:dyDescent="0.25">
      <c r="A1876" t="s">
        <v>2120</v>
      </c>
      <c r="B1876" t="s">
        <v>2121</v>
      </c>
      <c r="C1876"/>
      <c r="D1876" t="s">
        <v>1778</v>
      </c>
      <c r="E1876" t="s">
        <v>2416</v>
      </c>
      <c r="F1876" t="s">
        <v>2437</v>
      </c>
      <c r="G1876" t="s">
        <v>280</v>
      </c>
      <c r="H1876" t="s">
        <v>2438</v>
      </c>
      <c r="I1876" t="s">
        <v>35</v>
      </c>
      <c r="J1876"/>
      <c r="K1876">
        <v>1</v>
      </c>
      <c r="L1876">
        <v>1</v>
      </c>
      <c r="M1876" t="s">
        <v>33</v>
      </c>
      <c r="N1876">
        <v>1</v>
      </c>
      <c r="O1876"/>
      <c r="P1876">
        <v>0</v>
      </c>
      <c r="Q1876" t="s">
        <v>38</v>
      </c>
      <c r="R1876">
        <v>1</v>
      </c>
      <c r="S1876">
        <v>0</v>
      </c>
      <c r="T1876"/>
      <c r="U1876"/>
      <c r="V1876"/>
      <c r="W1876"/>
      <c r="X1876">
        <v>0</v>
      </c>
      <c r="Y1876"/>
      <c r="Z1876">
        <v>0</v>
      </c>
      <c r="AA1876"/>
      <c r="AB1876"/>
      <c r="AC1876"/>
      <c r="AD1876"/>
      <c r="AE1876">
        <v>0</v>
      </c>
      <c r="AF1876"/>
      <c r="AG1876" t="s">
        <v>3467</v>
      </c>
      <c r="AH1876"/>
    </row>
    <row r="1877" spans="1:34" x14ac:dyDescent="0.25">
      <c r="A1877" t="s">
        <v>2120</v>
      </c>
      <c r="B1877" t="s">
        <v>2121</v>
      </c>
      <c r="C1877"/>
      <c r="D1877" t="s">
        <v>1778</v>
      </c>
      <c r="E1877" t="s">
        <v>2416</v>
      </c>
      <c r="F1877" t="s">
        <v>2439</v>
      </c>
      <c r="G1877" t="s">
        <v>280</v>
      </c>
      <c r="H1877" t="s">
        <v>2440</v>
      </c>
      <c r="I1877" t="s">
        <v>35</v>
      </c>
      <c r="J1877"/>
      <c r="K1877">
        <v>1</v>
      </c>
      <c r="L1877">
        <v>1</v>
      </c>
      <c r="M1877" t="s">
        <v>33</v>
      </c>
      <c r="N1877">
        <v>1</v>
      </c>
      <c r="O1877"/>
      <c r="P1877">
        <v>0</v>
      </c>
      <c r="Q1877" t="s">
        <v>38</v>
      </c>
      <c r="R1877">
        <v>1</v>
      </c>
      <c r="S1877">
        <v>0</v>
      </c>
      <c r="T1877"/>
      <c r="U1877"/>
      <c r="V1877"/>
      <c r="W1877"/>
      <c r="X1877">
        <v>0</v>
      </c>
      <c r="Y1877"/>
      <c r="Z1877">
        <v>0</v>
      </c>
      <c r="AA1877"/>
      <c r="AB1877"/>
      <c r="AC1877"/>
      <c r="AD1877"/>
      <c r="AE1877">
        <v>0</v>
      </c>
      <c r="AF1877"/>
      <c r="AG1877" t="s">
        <v>3467</v>
      </c>
      <c r="AH1877"/>
    </row>
    <row r="1878" spans="1:34" x14ac:dyDescent="0.25">
      <c r="A1878" t="s">
        <v>2120</v>
      </c>
      <c r="B1878" t="s">
        <v>2121</v>
      </c>
      <c r="C1878"/>
      <c r="D1878" t="s">
        <v>1778</v>
      </c>
      <c r="E1878" t="s">
        <v>2416</v>
      </c>
      <c r="F1878" t="s">
        <v>2441</v>
      </c>
      <c r="G1878" t="s">
        <v>280</v>
      </c>
      <c r="H1878" t="s">
        <v>2442</v>
      </c>
      <c r="I1878" t="s">
        <v>35</v>
      </c>
      <c r="J1878"/>
      <c r="K1878">
        <v>1</v>
      </c>
      <c r="L1878">
        <v>1</v>
      </c>
      <c r="M1878" t="s">
        <v>33</v>
      </c>
      <c r="N1878">
        <v>1</v>
      </c>
      <c r="O1878"/>
      <c r="P1878">
        <v>0</v>
      </c>
      <c r="Q1878" t="s">
        <v>38</v>
      </c>
      <c r="R1878">
        <v>1</v>
      </c>
      <c r="S1878">
        <v>0</v>
      </c>
      <c r="T1878"/>
      <c r="U1878"/>
      <c r="V1878"/>
      <c r="W1878"/>
      <c r="X1878">
        <v>0</v>
      </c>
      <c r="Y1878"/>
      <c r="Z1878">
        <v>0</v>
      </c>
      <c r="AA1878"/>
      <c r="AB1878"/>
      <c r="AC1878"/>
      <c r="AD1878"/>
      <c r="AE1878">
        <v>0</v>
      </c>
      <c r="AF1878"/>
      <c r="AG1878" t="s">
        <v>3467</v>
      </c>
      <c r="AH1878"/>
    </row>
    <row r="1879" spans="1:34" x14ac:dyDescent="0.25">
      <c r="A1879" t="s">
        <v>2120</v>
      </c>
      <c r="B1879" t="s">
        <v>2121</v>
      </c>
      <c r="C1879"/>
      <c r="D1879" t="s">
        <v>1778</v>
      </c>
      <c r="E1879" t="s">
        <v>2416</v>
      </c>
      <c r="F1879" t="s">
        <v>2443</v>
      </c>
      <c r="G1879" t="s">
        <v>280</v>
      </c>
      <c r="H1879" t="s">
        <v>2444</v>
      </c>
      <c r="I1879" t="s">
        <v>35</v>
      </c>
      <c r="J1879"/>
      <c r="K1879">
        <v>1</v>
      </c>
      <c r="L1879">
        <v>1</v>
      </c>
      <c r="M1879" t="s">
        <v>33</v>
      </c>
      <c r="N1879">
        <v>1</v>
      </c>
      <c r="O1879"/>
      <c r="P1879">
        <v>0</v>
      </c>
      <c r="Q1879" t="s">
        <v>38</v>
      </c>
      <c r="R1879">
        <v>1</v>
      </c>
      <c r="S1879">
        <v>0</v>
      </c>
      <c r="T1879"/>
      <c r="U1879"/>
      <c r="V1879"/>
      <c r="W1879"/>
      <c r="X1879">
        <v>0</v>
      </c>
      <c r="Y1879"/>
      <c r="Z1879">
        <v>0</v>
      </c>
      <c r="AA1879"/>
      <c r="AB1879"/>
      <c r="AC1879"/>
      <c r="AD1879"/>
      <c r="AE1879">
        <v>0</v>
      </c>
      <c r="AF1879"/>
      <c r="AG1879" t="s">
        <v>3467</v>
      </c>
      <c r="AH1879"/>
    </row>
    <row r="1880" spans="1:34" x14ac:dyDescent="0.25">
      <c r="A1880" t="s">
        <v>2120</v>
      </c>
      <c r="B1880" t="s">
        <v>2121</v>
      </c>
      <c r="C1880"/>
      <c r="D1880" t="s">
        <v>1778</v>
      </c>
      <c r="E1880" t="s">
        <v>2416</v>
      </c>
      <c r="F1880" t="s">
        <v>2445</v>
      </c>
      <c r="G1880" t="s">
        <v>280</v>
      </c>
      <c r="H1880" t="s">
        <v>2446</v>
      </c>
      <c r="I1880" t="s">
        <v>35</v>
      </c>
      <c r="J1880"/>
      <c r="K1880">
        <v>1</v>
      </c>
      <c r="L1880">
        <v>1</v>
      </c>
      <c r="M1880" t="s">
        <v>33</v>
      </c>
      <c r="N1880">
        <v>1</v>
      </c>
      <c r="O1880"/>
      <c r="P1880">
        <v>0</v>
      </c>
      <c r="Q1880" t="s">
        <v>38</v>
      </c>
      <c r="R1880">
        <v>1</v>
      </c>
      <c r="S1880">
        <v>0</v>
      </c>
      <c r="T1880"/>
      <c r="U1880"/>
      <c r="V1880"/>
      <c r="W1880"/>
      <c r="X1880">
        <v>0</v>
      </c>
      <c r="Y1880"/>
      <c r="Z1880">
        <v>0</v>
      </c>
      <c r="AA1880"/>
      <c r="AB1880"/>
      <c r="AC1880"/>
      <c r="AD1880"/>
      <c r="AE1880">
        <v>0</v>
      </c>
      <c r="AF1880"/>
      <c r="AG1880" t="s">
        <v>3467</v>
      </c>
      <c r="AH1880"/>
    </row>
    <row r="1881" spans="1:34" x14ac:dyDescent="0.25">
      <c r="A1881" t="s">
        <v>2120</v>
      </c>
      <c r="B1881" t="s">
        <v>2121</v>
      </c>
      <c r="C1881"/>
      <c r="D1881" t="s">
        <v>1778</v>
      </c>
      <c r="E1881" t="s">
        <v>2416</v>
      </c>
      <c r="F1881" t="s">
        <v>2447</v>
      </c>
      <c r="G1881" t="s">
        <v>280</v>
      </c>
      <c r="H1881" t="s">
        <v>2448</v>
      </c>
      <c r="I1881" t="s">
        <v>35</v>
      </c>
      <c r="J1881"/>
      <c r="K1881">
        <v>1</v>
      </c>
      <c r="L1881">
        <v>1</v>
      </c>
      <c r="M1881" t="s">
        <v>33</v>
      </c>
      <c r="N1881">
        <v>1</v>
      </c>
      <c r="O1881"/>
      <c r="P1881">
        <v>0</v>
      </c>
      <c r="Q1881" t="s">
        <v>38</v>
      </c>
      <c r="R1881">
        <v>1</v>
      </c>
      <c r="S1881">
        <v>0</v>
      </c>
      <c r="T1881"/>
      <c r="U1881"/>
      <c r="V1881"/>
      <c r="W1881"/>
      <c r="X1881">
        <v>0</v>
      </c>
      <c r="Y1881"/>
      <c r="Z1881">
        <v>0</v>
      </c>
      <c r="AA1881"/>
      <c r="AB1881"/>
      <c r="AC1881"/>
      <c r="AD1881"/>
      <c r="AE1881">
        <v>0</v>
      </c>
      <c r="AF1881"/>
      <c r="AG1881" t="s">
        <v>3467</v>
      </c>
      <c r="AH1881"/>
    </row>
    <row r="1882" spans="1:34" x14ac:dyDescent="0.25">
      <c r="A1882" t="s">
        <v>3406</v>
      </c>
      <c r="B1882" t="s">
        <v>3407</v>
      </c>
      <c r="C1882"/>
      <c r="D1882" t="s">
        <v>1778</v>
      </c>
      <c r="E1882" t="s">
        <v>2449</v>
      </c>
      <c r="F1882" t="s">
        <v>2450</v>
      </c>
      <c r="G1882" t="s">
        <v>280</v>
      </c>
      <c r="H1882" t="s">
        <v>2451</v>
      </c>
      <c r="I1882" t="s">
        <v>35</v>
      </c>
      <c r="J1882"/>
      <c r="K1882">
        <v>1</v>
      </c>
      <c r="L1882">
        <v>1</v>
      </c>
      <c r="M1882" t="s">
        <v>33</v>
      </c>
      <c r="N1882">
        <v>1</v>
      </c>
      <c r="O1882"/>
      <c r="P1882">
        <v>0</v>
      </c>
      <c r="Q1882" t="s">
        <v>38</v>
      </c>
      <c r="R1882">
        <v>1</v>
      </c>
      <c r="S1882">
        <v>0</v>
      </c>
      <c r="T1882"/>
      <c r="U1882"/>
      <c r="V1882"/>
      <c r="W1882"/>
      <c r="X1882">
        <v>0</v>
      </c>
      <c r="Y1882"/>
      <c r="Z1882">
        <v>0</v>
      </c>
      <c r="AA1882"/>
      <c r="AB1882"/>
      <c r="AC1882"/>
      <c r="AD1882"/>
      <c r="AE1882">
        <v>0</v>
      </c>
      <c r="AF1882"/>
      <c r="AG1882"/>
      <c r="AH1882"/>
    </row>
    <row r="1883" spans="1:34" x14ac:dyDescent="0.25">
      <c r="A1883" t="s">
        <v>3408</v>
      </c>
      <c r="B1883" t="s">
        <v>3409</v>
      </c>
      <c r="C1883"/>
      <c r="D1883" t="s">
        <v>1778</v>
      </c>
      <c r="E1883" t="s">
        <v>2449</v>
      </c>
      <c r="F1883" t="s">
        <v>2450</v>
      </c>
      <c r="G1883" t="s">
        <v>280</v>
      </c>
      <c r="H1883" t="s">
        <v>2451</v>
      </c>
      <c r="I1883" t="s">
        <v>35</v>
      </c>
      <c r="J1883"/>
      <c r="K1883">
        <v>1</v>
      </c>
      <c r="L1883">
        <v>1</v>
      </c>
      <c r="M1883" t="s">
        <v>33</v>
      </c>
      <c r="N1883">
        <v>1</v>
      </c>
      <c r="O1883"/>
      <c r="P1883">
        <v>0</v>
      </c>
      <c r="Q1883" t="s">
        <v>38</v>
      </c>
      <c r="R1883">
        <v>1</v>
      </c>
      <c r="S1883">
        <v>0</v>
      </c>
      <c r="T1883"/>
      <c r="U1883"/>
      <c r="V1883"/>
      <c r="W1883"/>
      <c r="X1883">
        <v>0</v>
      </c>
      <c r="Y1883"/>
      <c r="Z1883">
        <v>0</v>
      </c>
      <c r="AA1883"/>
      <c r="AB1883"/>
      <c r="AC1883"/>
      <c r="AD1883"/>
      <c r="AE1883">
        <v>0</v>
      </c>
      <c r="AF1883"/>
      <c r="AG1883"/>
      <c r="AH1883"/>
    </row>
    <row r="1884" spans="1:34" x14ac:dyDescent="0.25">
      <c r="A1884" t="s">
        <v>3406</v>
      </c>
      <c r="B1884" t="s">
        <v>3407</v>
      </c>
      <c r="C1884"/>
      <c r="D1884" t="s">
        <v>1778</v>
      </c>
      <c r="E1884" t="s">
        <v>2449</v>
      </c>
      <c r="F1884" t="s">
        <v>2452</v>
      </c>
      <c r="G1884" t="s">
        <v>280</v>
      </c>
      <c r="H1884" t="s">
        <v>2453</v>
      </c>
      <c r="I1884" t="s">
        <v>35</v>
      </c>
      <c r="J1884"/>
      <c r="K1884">
        <v>1</v>
      </c>
      <c r="L1884">
        <v>1</v>
      </c>
      <c r="M1884" t="s">
        <v>33</v>
      </c>
      <c r="N1884">
        <v>1</v>
      </c>
      <c r="O1884"/>
      <c r="P1884">
        <v>0</v>
      </c>
      <c r="Q1884" t="s">
        <v>38</v>
      </c>
      <c r="R1884">
        <v>1</v>
      </c>
      <c r="S1884">
        <v>0</v>
      </c>
      <c r="T1884"/>
      <c r="U1884"/>
      <c r="V1884"/>
      <c r="W1884"/>
      <c r="X1884">
        <v>0</v>
      </c>
      <c r="Y1884"/>
      <c r="Z1884">
        <v>0</v>
      </c>
      <c r="AA1884"/>
      <c r="AB1884"/>
      <c r="AC1884"/>
      <c r="AD1884"/>
      <c r="AE1884">
        <v>0</v>
      </c>
      <c r="AF1884"/>
      <c r="AG1884"/>
      <c r="AH1884"/>
    </row>
    <row r="1885" spans="1:34" x14ac:dyDescent="0.25">
      <c r="A1885" t="s">
        <v>3408</v>
      </c>
      <c r="B1885" t="s">
        <v>3409</v>
      </c>
      <c r="C1885"/>
      <c r="D1885" t="s">
        <v>1778</v>
      </c>
      <c r="E1885" t="s">
        <v>2449</v>
      </c>
      <c r="F1885" t="s">
        <v>2452</v>
      </c>
      <c r="G1885" t="s">
        <v>280</v>
      </c>
      <c r="H1885" t="s">
        <v>2453</v>
      </c>
      <c r="I1885" t="s">
        <v>35</v>
      </c>
      <c r="J1885"/>
      <c r="K1885">
        <v>1</v>
      </c>
      <c r="L1885">
        <v>1</v>
      </c>
      <c r="M1885" t="s">
        <v>33</v>
      </c>
      <c r="N1885">
        <v>1</v>
      </c>
      <c r="O1885"/>
      <c r="P1885">
        <v>0</v>
      </c>
      <c r="Q1885" t="s">
        <v>38</v>
      </c>
      <c r="R1885">
        <v>1</v>
      </c>
      <c r="S1885">
        <v>0</v>
      </c>
      <c r="T1885"/>
      <c r="U1885"/>
      <c r="V1885"/>
      <c r="W1885"/>
      <c r="X1885">
        <v>0</v>
      </c>
      <c r="Y1885"/>
      <c r="Z1885">
        <v>0</v>
      </c>
      <c r="AA1885"/>
      <c r="AB1885"/>
      <c r="AC1885"/>
      <c r="AD1885"/>
      <c r="AE1885">
        <v>0</v>
      </c>
      <c r="AF1885"/>
      <c r="AG1885"/>
      <c r="AH1885"/>
    </row>
    <row r="1886" spans="1:34" x14ac:dyDescent="0.25">
      <c r="A1886" t="s">
        <v>3406</v>
      </c>
      <c r="B1886" t="s">
        <v>3407</v>
      </c>
      <c r="C1886"/>
      <c r="D1886" t="s">
        <v>1778</v>
      </c>
      <c r="E1886" t="s">
        <v>2449</v>
      </c>
      <c r="F1886" t="s">
        <v>2454</v>
      </c>
      <c r="G1886" t="s">
        <v>280</v>
      </c>
      <c r="H1886" t="s">
        <v>2455</v>
      </c>
      <c r="I1886" t="s">
        <v>35</v>
      </c>
      <c r="J1886"/>
      <c r="K1886">
        <v>1</v>
      </c>
      <c r="L1886">
        <v>1</v>
      </c>
      <c r="M1886" t="s">
        <v>33</v>
      </c>
      <c r="N1886">
        <v>1</v>
      </c>
      <c r="O1886"/>
      <c r="P1886">
        <v>0</v>
      </c>
      <c r="Q1886" t="s">
        <v>38</v>
      </c>
      <c r="R1886">
        <v>1</v>
      </c>
      <c r="S1886">
        <v>0</v>
      </c>
      <c r="T1886"/>
      <c r="U1886"/>
      <c r="V1886"/>
      <c r="W1886"/>
      <c r="X1886">
        <v>0</v>
      </c>
      <c r="Y1886"/>
      <c r="Z1886">
        <v>0</v>
      </c>
      <c r="AA1886"/>
      <c r="AB1886"/>
      <c r="AC1886"/>
      <c r="AD1886"/>
      <c r="AE1886">
        <v>0</v>
      </c>
      <c r="AF1886"/>
      <c r="AG1886"/>
      <c r="AH1886"/>
    </row>
    <row r="1887" spans="1:34" x14ac:dyDescent="0.25">
      <c r="A1887" t="s">
        <v>3408</v>
      </c>
      <c r="B1887" t="s">
        <v>3409</v>
      </c>
      <c r="C1887"/>
      <c r="D1887" t="s">
        <v>1778</v>
      </c>
      <c r="E1887" t="s">
        <v>2449</v>
      </c>
      <c r="F1887" t="s">
        <v>2454</v>
      </c>
      <c r="G1887" t="s">
        <v>280</v>
      </c>
      <c r="H1887" t="s">
        <v>2455</v>
      </c>
      <c r="I1887" t="s">
        <v>35</v>
      </c>
      <c r="J1887"/>
      <c r="K1887">
        <v>1</v>
      </c>
      <c r="L1887">
        <v>1</v>
      </c>
      <c r="M1887" t="s">
        <v>33</v>
      </c>
      <c r="N1887">
        <v>1</v>
      </c>
      <c r="O1887"/>
      <c r="P1887">
        <v>0</v>
      </c>
      <c r="Q1887" t="s">
        <v>38</v>
      </c>
      <c r="R1887">
        <v>1</v>
      </c>
      <c r="S1887">
        <v>0</v>
      </c>
      <c r="T1887"/>
      <c r="U1887"/>
      <c r="V1887"/>
      <c r="W1887"/>
      <c r="X1887">
        <v>0</v>
      </c>
      <c r="Y1887"/>
      <c r="Z1887">
        <v>0</v>
      </c>
      <c r="AA1887"/>
      <c r="AB1887"/>
      <c r="AC1887"/>
      <c r="AD1887"/>
      <c r="AE1887">
        <v>0</v>
      </c>
      <c r="AF1887"/>
      <c r="AG1887"/>
      <c r="AH1887"/>
    </row>
    <row r="1888" spans="1:34" x14ac:dyDescent="0.25">
      <c r="A1888" t="s">
        <v>3406</v>
      </c>
      <c r="B1888" t="s">
        <v>3407</v>
      </c>
      <c r="C1888"/>
      <c r="D1888" t="s">
        <v>1778</v>
      </c>
      <c r="E1888" t="s">
        <v>2449</v>
      </c>
      <c r="F1888" t="s">
        <v>2456</v>
      </c>
      <c r="G1888" t="s">
        <v>280</v>
      </c>
      <c r="H1888" t="s">
        <v>2457</v>
      </c>
      <c r="I1888" t="s">
        <v>35</v>
      </c>
      <c r="J1888"/>
      <c r="K1888">
        <v>1</v>
      </c>
      <c r="L1888">
        <v>1</v>
      </c>
      <c r="M1888" t="s">
        <v>33</v>
      </c>
      <c r="N1888">
        <v>1</v>
      </c>
      <c r="O1888"/>
      <c r="P1888">
        <v>0</v>
      </c>
      <c r="Q1888" t="s">
        <v>38</v>
      </c>
      <c r="R1888">
        <v>1</v>
      </c>
      <c r="S1888">
        <v>0</v>
      </c>
      <c r="T1888"/>
      <c r="U1888"/>
      <c r="V1888"/>
      <c r="W1888"/>
      <c r="X1888">
        <v>0</v>
      </c>
      <c r="Y1888"/>
      <c r="Z1888">
        <v>0</v>
      </c>
      <c r="AA1888"/>
      <c r="AB1888"/>
      <c r="AC1888"/>
      <c r="AD1888"/>
      <c r="AE1888">
        <v>0</v>
      </c>
      <c r="AF1888"/>
      <c r="AG1888"/>
      <c r="AH1888"/>
    </row>
    <row r="1889" spans="1:34" x14ac:dyDescent="0.25">
      <c r="A1889" t="s">
        <v>3408</v>
      </c>
      <c r="B1889" t="s">
        <v>3409</v>
      </c>
      <c r="C1889"/>
      <c r="D1889" t="s">
        <v>1778</v>
      </c>
      <c r="E1889" t="s">
        <v>2449</v>
      </c>
      <c r="F1889" t="s">
        <v>2456</v>
      </c>
      <c r="G1889" t="s">
        <v>280</v>
      </c>
      <c r="H1889" t="s">
        <v>2457</v>
      </c>
      <c r="I1889" t="s">
        <v>35</v>
      </c>
      <c r="J1889"/>
      <c r="K1889">
        <v>1</v>
      </c>
      <c r="L1889">
        <v>1</v>
      </c>
      <c r="M1889" t="s">
        <v>33</v>
      </c>
      <c r="N1889">
        <v>1</v>
      </c>
      <c r="O1889"/>
      <c r="P1889">
        <v>0</v>
      </c>
      <c r="Q1889" t="s">
        <v>38</v>
      </c>
      <c r="R1889">
        <v>1</v>
      </c>
      <c r="S1889">
        <v>0</v>
      </c>
      <c r="T1889"/>
      <c r="U1889"/>
      <c r="V1889"/>
      <c r="W1889"/>
      <c r="X1889">
        <v>0</v>
      </c>
      <c r="Y1889"/>
      <c r="Z1889">
        <v>0</v>
      </c>
      <c r="AA1889"/>
      <c r="AB1889"/>
      <c r="AC1889"/>
      <c r="AD1889"/>
      <c r="AE1889">
        <v>0</v>
      </c>
      <c r="AF1889"/>
      <c r="AG1889"/>
      <c r="AH1889"/>
    </row>
    <row r="1890" spans="1:34" x14ac:dyDescent="0.25">
      <c r="A1890" t="s">
        <v>3406</v>
      </c>
      <c r="B1890" t="s">
        <v>3407</v>
      </c>
      <c r="C1890"/>
      <c r="D1890" t="s">
        <v>1778</v>
      </c>
      <c r="E1890" t="s">
        <v>2449</v>
      </c>
      <c r="F1890" t="s">
        <v>2458</v>
      </c>
      <c r="G1890" t="s">
        <v>280</v>
      </c>
      <c r="H1890" t="s">
        <v>2459</v>
      </c>
      <c r="I1890" t="s">
        <v>35</v>
      </c>
      <c r="J1890"/>
      <c r="K1890">
        <v>1</v>
      </c>
      <c r="L1890">
        <v>1</v>
      </c>
      <c r="M1890" t="s">
        <v>33</v>
      </c>
      <c r="N1890">
        <v>1</v>
      </c>
      <c r="O1890"/>
      <c r="P1890">
        <v>0</v>
      </c>
      <c r="Q1890" t="s">
        <v>38</v>
      </c>
      <c r="R1890">
        <v>1</v>
      </c>
      <c r="S1890">
        <v>0</v>
      </c>
      <c r="T1890"/>
      <c r="U1890"/>
      <c r="V1890"/>
      <c r="W1890"/>
      <c r="X1890">
        <v>0</v>
      </c>
      <c r="Y1890"/>
      <c r="Z1890">
        <v>0</v>
      </c>
      <c r="AA1890"/>
      <c r="AB1890"/>
      <c r="AC1890"/>
      <c r="AD1890"/>
      <c r="AE1890">
        <v>0</v>
      </c>
      <c r="AF1890"/>
      <c r="AG1890"/>
      <c r="AH1890"/>
    </row>
    <row r="1891" spans="1:34" x14ac:dyDescent="0.25">
      <c r="A1891" t="s">
        <v>3408</v>
      </c>
      <c r="B1891" t="s">
        <v>3409</v>
      </c>
      <c r="C1891"/>
      <c r="D1891" t="s">
        <v>1778</v>
      </c>
      <c r="E1891" t="s">
        <v>2449</v>
      </c>
      <c r="F1891" t="s">
        <v>2458</v>
      </c>
      <c r="G1891" t="s">
        <v>280</v>
      </c>
      <c r="H1891" t="s">
        <v>2459</v>
      </c>
      <c r="I1891" t="s">
        <v>35</v>
      </c>
      <c r="J1891"/>
      <c r="K1891">
        <v>1</v>
      </c>
      <c r="L1891">
        <v>1</v>
      </c>
      <c r="M1891" t="s">
        <v>33</v>
      </c>
      <c r="N1891">
        <v>1</v>
      </c>
      <c r="O1891"/>
      <c r="P1891">
        <v>0</v>
      </c>
      <c r="Q1891" t="s">
        <v>38</v>
      </c>
      <c r="R1891">
        <v>1</v>
      </c>
      <c r="S1891">
        <v>0</v>
      </c>
      <c r="T1891"/>
      <c r="U1891"/>
      <c r="V1891"/>
      <c r="W1891"/>
      <c r="X1891">
        <v>0</v>
      </c>
      <c r="Y1891"/>
      <c r="Z1891">
        <v>0</v>
      </c>
      <c r="AA1891"/>
      <c r="AB1891"/>
      <c r="AC1891"/>
      <c r="AD1891"/>
      <c r="AE1891">
        <v>0</v>
      </c>
      <c r="AF1891"/>
      <c r="AG1891"/>
      <c r="AH1891"/>
    </row>
    <row r="1892" spans="1:34" x14ac:dyDescent="0.25">
      <c r="A1892" t="s">
        <v>3406</v>
      </c>
      <c r="B1892" t="s">
        <v>3407</v>
      </c>
      <c r="C1892"/>
      <c r="D1892" t="s">
        <v>1778</v>
      </c>
      <c r="E1892" t="s">
        <v>2449</v>
      </c>
      <c r="F1892" t="s">
        <v>2460</v>
      </c>
      <c r="G1892" t="s">
        <v>280</v>
      </c>
      <c r="H1892" t="s">
        <v>2461</v>
      </c>
      <c r="I1892" t="s">
        <v>35</v>
      </c>
      <c r="J1892"/>
      <c r="K1892">
        <v>1</v>
      </c>
      <c r="L1892">
        <v>1</v>
      </c>
      <c r="M1892" t="s">
        <v>33</v>
      </c>
      <c r="N1892">
        <v>1</v>
      </c>
      <c r="O1892"/>
      <c r="P1892">
        <v>0</v>
      </c>
      <c r="Q1892" t="s">
        <v>38</v>
      </c>
      <c r="R1892">
        <v>1</v>
      </c>
      <c r="S1892">
        <v>0</v>
      </c>
      <c r="T1892"/>
      <c r="U1892"/>
      <c r="V1892"/>
      <c r="W1892"/>
      <c r="X1892">
        <v>0</v>
      </c>
      <c r="Y1892"/>
      <c r="Z1892">
        <v>0</v>
      </c>
      <c r="AA1892"/>
      <c r="AB1892"/>
      <c r="AC1892"/>
      <c r="AD1892"/>
      <c r="AE1892">
        <v>0</v>
      </c>
      <c r="AF1892"/>
      <c r="AG1892"/>
      <c r="AH1892"/>
    </row>
    <row r="1893" spans="1:34" x14ac:dyDescent="0.25">
      <c r="A1893" t="s">
        <v>3408</v>
      </c>
      <c r="B1893" t="s">
        <v>3409</v>
      </c>
      <c r="C1893"/>
      <c r="D1893" t="s">
        <v>1778</v>
      </c>
      <c r="E1893" t="s">
        <v>2449</v>
      </c>
      <c r="F1893" t="s">
        <v>2460</v>
      </c>
      <c r="G1893" t="s">
        <v>280</v>
      </c>
      <c r="H1893" t="s">
        <v>2461</v>
      </c>
      <c r="I1893" t="s">
        <v>35</v>
      </c>
      <c r="J1893"/>
      <c r="K1893">
        <v>1</v>
      </c>
      <c r="L1893">
        <v>1</v>
      </c>
      <c r="M1893" t="s">
        <v>33</v>
      </c>
      <c r="N1893">
        <v>1</v>
      </c>
      <c r="O1893"/>
      <c r="P1893">
        <v>0</v>
      </c>
      <c r="Q1893" t="s">
        <v>38</v>
      </c>
      <c r="R1893">
        <v>1</v>
      </c>
      <c r="S1893">
        <v>0</v>
      </c>
      <c r="T1893"/>
      <c r="U1893"/>
      <c r="V1893"/>
      <c r="W1893"/>
      <c r="X1893">
        <v>0</v>
      </c>
      <c r="Y1893"/>
      <c r="Z1893">
        <v>0</v>
      </c>
      <c r="AA1893"/>
      <c r="AB1893"/>
      <c r="AC1893"/>
      <c r="AD1893"/>
      <c r="AE1893">
        <v>0</v>
      </c>
      <c r="AF1893"/>
      <c r="AG1893"/>
      <c r="AH1893"/>
    </row>
    <row r="1894" spans="1:34" x14ac:dyDescent="0.25">
      <c r="A1894" t="s">
        <v>3406</v>
      </c>
      <c r="B1894" t="s">
        <v>3407</v>
      </c>
      <c r="C1894"/>
      <c r="D1894" t="s">
        <v>1778</v>
      </c>
      <c r="E1894" t="s">
        <v>2449</v>
      </c>
      <c r="F1894" t="s">
        <v>2462</v>
      </c>
      <c r="G1894" t="s">
        <v>280</v>
      </c>
      <c r="H1894" t="s">
        <v>2463</v>
      </c>
      <c r="I1894" t="s">
        <v>35</v>
      </c>
      <c r="J1894"/>
      <c r="K1894">
        <v>1</v>
      </c>
      <c r="L1894">
        <v>1</v>
      </c>
      <c r="M1894" t="s">
        <v>33</v>
      </c>
      <c r="N1894">
        <v>1</v>
      </c>
      <c r="O1894"/>
      <c r="P1894">
        <v>0</v>
      </c>
      <c r="Q1894" t="s">
        <v>38</v>
      </c>
      <c r="R1894">
        <v>1</v>
      </c>
      <c r="S1894">
        <v>0</v>
      </c>
      <c r="T1894"/>
      <c r="U1894"/>
      <c r="V1894"/>
      <c r="W1894"/>
      <c r="X1894">
        <v>0</v>
      </c>
      <c r="Y1894"/>
      <c r="Z1894">
        <v>0</v>
      </c>
      <c r="AA1894"/>
      <c r="AB1894"/>
      <c r="AC1894"/>
      <c r="AD1894"/>
      <c r="AE1894">
        <v>0</v>
      </c>
      <c r="AF1894"/>
      <c r="AG1894"/>
      <c r="AH1894"/>
    </row>
    <row r="1895" spans="1:34" x14ac:dyDescent="0.25">
      <c r="A1895" t="s">
        <v>3408</v>
      </c>
      <c r="B1895" t="s">
        <v>3409</v>
      </c>
      <c r="C1895"/>
      <c r="D1895" t="s">
        <v>1778</v>
      </c>
      <c r="E1895" t="s">
        <v>2449</v>
      </c>
      <c r="F1895" t="s">
        <v>2462</v>
      </c>
      <c r="G1895" t="s">
        <v>280</v>
      </c>
      <c r="H1895" t="s">
        <v>2463</v>
      </c>
      <c r="I1895" t="s">
        <v>35</v>
      </c>
      <c r="J1895"/>
      <c r="K1895">
        <v>1</v>
      </c>
      <c r="L1895">
        <v>1</v>
      </c>
      <c r="M1895" t="s">
        <v>33</v>
      </c>
      <c r="N1895">
        <v>1</v>
      </c>
      <c r="O1895"/>
      <c r="P1895">
        <v>0</v>
      </c>
      <c r="Q1895" t="s">
        <v>38</v>
      </c>
      <c r="R1895">
        <v>1</v>
      </c>
      <c r="S1895">
        <v>0</v>
      </c>
      <c r="T1895"/>
      <c r="U1895"/>
      <c r="V1895"/>
      <c r="W1895"/>
      <c r="X1895">
        <v>0</v>
      </c>
      <c r="Y1895"/>
      <c r="Z1895">
        <v>0</v>
      </c>
      <c r="AA1895"/>
      <c r="AB1895"/>
      <c r="AC1895"/>
      <c r="AD1895"/>
      <c r="AE1895">
        <v>0</v>
      </c>
      <c r="AF1895"/>
      <c r="AG1895"/>
      <c r="AH1895"/>
    </row>
    <row r="1896" spans="1:34" x14ac:dyDescent="0.25">
      <c r="A1896" t="s">
        <v>3406</v>
      </c>
      <c r="B1896" t="s">
        <v>3407</v>
      </c>
      <c r="C1896"/>
      <c r="D1896" t="s">
        <v>1778</v>
      </c>
      <c r="E1896" t="s">
        <v>2449</v>
      </c>
      <c r="F1896" t="s">
        <v>2464</v>
      </c>
      <c r="G1896" t="s">
        <v>280</v>
      </c>
      <c r="H1896" t="s">
        <v>2465</v>
      </c>
      <c r="I1896" t="s">
        <v>35</v>
      </c>
      <c r="J1896"/>
      <c r="K1896">
        <v>1</v>
      </c>
      <c r="L1896">
        <v>1</v>
      </c>
      <c r="M1896" t="s">
        <v>33</v>
      </c>
      <c r="N1896">
        <v>1</v>
      </c>
      <c r="O1896"/>
      <c r="P1896">
        <v>0</v>
      </c>
      <c r="Q1896" t="s">
        <v>38</v>
      </c>
      <c r="R1896">
        <v>1</v>
      </c>
      <c r="S1896">
        <v>0</v>
      </c>
      <c r="T1896"/>
      <c r="U1896"/>
      <c r="V1896"/>
      <c r="W1896"/>
      <c r="X1896">
        <v>0</v>
      </c>
      <c r="Y1896"/>
      <c r="Z1896">
        <v>0</v>
      </c>
      <c r="AA1896"/>
      <c r="AB1896"/>
      <c r="AC1896"/>
      <c r="AD1896"/>
      <c r="AE1896">
        <v>0</v>
      </c>
      <c r="AF1896"/>
      <c r="AG1896"/>
      <c r="AH1896"/>
    </row>
    <row r="1897" spans="1:34" x14ac:dyDescent="0.25">
      <c r="A1897" t="s">
        <v>3408</v>
      </c>
      <c r="B1897" t="s">
        <v>3409</v>
      </c>
      <c r="C1897"/>
      <c r="D1897" t="s">
        <v>1778</v>
      </c>
      <c r="E1897" t="s">
        <v>2449</v>
      </c>
      <c r="F1897" t="s">
        <v>2464</v>
      </c>
      <c r="G1897" t="s">
        <v>280</v>
      </c>
      <c r="H1897" t="s">
        <v>2465</v>
      </c>
      <c r="I1897" t="s">
        <v>35</v>
      </c>
      <c r="J1897"/>
      <c r="K1897">
        <v>1</v>
      </c>
      <c r="L1897">
        <v>1</v>
      </c>
      <c r="M1897" t="s">
        <v>33</v>
      </c>
      <c r="N1897">
        <v>1</v>
      </c>
      <c r="O1897"/>
      <c r="P1897">
        <v>0</v>
      </c>
      <c r="Q1897" t="s">
        <v>38</v>
      </c>
      <c r="R1897">
        <v>1</v>
      </c>
      <c r="S1897">
        <v>0</v>
      </c>
      <c r="T1897"/>
      <c r="U1897"/>
      <c r="V1897"/>
      <c r="W1897"/>
      <c r="X1897">
        <v>0</v>
      </c>
      <c r="Y1897"/>
      <c r="Z1897">
        <v>0</v>
      </c>
      <c r="AA1897"/>
      <c r="AB1897"/>
      <c r="AC1897"/>
      <c r="AD1897"/>
      <c r="AE1897">
        <v>0</v>
      </c>
      <c r="AF1897"/>
      <c r="AG1897"/>
      <c r="AH1897"/>
    </row>
    <row r="1898" spans="1:34" x14ac:dyDescent="0.25">
      <c r="A1898" t="s">
        <v>3406</v>
      </c>
      <c r="B1898" t="s">
        <v>3407</v>
      </c>
      <c r="C1898"/>
      <c r="D1898" t="s">
        <v>1778</v>
      </c>
      <c r="E1898" t="s">
        <v>2449</v>
      </c>
      <c r="F1898" t="s">
        <v>2466</v>
      </c>
      <c r="G1898" t="s">
        <v>280</v>
      </c>
      <c r="H1898" t="s">
        <v>2467</v>
      </c>
      <c r="I1898" t="s">
        <v>35</v>
      </c>
      <c r="J1898"/>
      <c r="K1898">
        <v>1</v>
      </c>
      <c r="L1898">
        <v>1</v>
      </c>
      <c r="M1898" t="s">
        <v>33</v>
      </c>
      <c r="N1898">
        <v>1</v>
      </c>
      <c r="O1898"/>
      <c r="P1898">
        <v>0</v>
      </c>
      <c r="Q1898" t="s">
        <v>38</v>
      </c>
      <c r="R1898">
        <v>1</v>
      </c>
      <c r="S1898">
        <v>0</v>
      </c>
      <c r="T1898"/>
      <c r="U1898"/>
      <c r="V1898"/>
      <c r="W1898"/>
      <c r="X1898">
        <v>0</v>
      </c>
      <c r="Y1898"/>
      <c r="Z1898">
        <v>0</v>
      </c>
      <c r="AA1898"/>
      <c r="AB1898"/>
      <c r="AC1898"/>
      <c r="AD1898"/>
      <c r="AE1898">
        <v>0</v>
      </c>
      <c r="AF1898"/>
      <c r="AG1898"/>
      <c r="AH1898"/>
    </row>
    <row r="1899" spans="1:34" x14ac:dyDescent="0.25">
      <c r="A1899" t="s">
        <v>3408</v>
      </c>
      <c r="B1899" t="s">
        <v>3409</v>
      </c>
      <c r="C1899"/>
      <c r="D1899" t="s">
        <v>1778</v>
      </c>
      <c r="E1899" t="s">
        <v>2449</v>
      </c>
      <c r="F1899" t="s">
        <v>2466</v>
      </c>
      <c r="G1899" t="s">
        <v>280</v>
      </c>
      <c r="H1899" t="s">
        <v>2467</v>
      </c>
      <c r="I1899" t="s">
        <v>35</v>
      </c>
      <c r="J1899"/>
      <c r="K1899">
        <v>1</v>
      </c>
      <c r="L1899">
        <v>1</v>
      </c>
      <c r="M1899" t="s">
        <v>33</v>
      </c>
      <c r="N1899">
        <v>1</v>
      </c>
      <c r="O1899"/>
      <c r="P1899">
        <v>0</v>
      </c>
      <c r="Q1899" t="s">
        <v>38</v>
      </c>
      <c r="R1899">
        <v>1</v>
      </c>
      <c r="S1899">
        <v>0</v>
      </c>
      <c r="T1899"/>
      <c r="U1899"/>
      <c r="V1899"/>
      <c r="W1899"/>
      <c r="X1899">
        <v>0</v>
      </c>
      <c r="Y1899"/>
      <c r="Z1899">
        <v>0</v>
      </c>
      <c r="AA1899"/>
      <c r="AB1899"/>
      <c r="AC1899"/>
      <c r="AD1899"/>
      <c r="AE1899">
        <v>0</v>
      </c>
      <c r="AF1899"/>
      <c r="AG1899"/>
      <c r="AH1899"/>
    </row>
    <row r="1900" spans="1:34" x14ac:dyDescent="0.25">
      <c r="A1900" t="s">
        <v>3406</v>
      </c>
      <c r="B1900" t="s">
        <v>3407</v>
      </c>
      <c r="C1900"/>
      <c r="D1900" t="s">
        <v>1778</v>
      </c>
      <c r="E1900" t="s">
        <v>2449</v>
      </c>
      <c r="F1900" t="s">
        <v>2468</v>
      </c>
      <c r="G1900" t="s">
        <v>280</v>
      </c>
      <c r="H1900" t="s">
        <v>2469</v>
      </c>
      <c r="I1900" t="s">
        <v>35</v>
      </c>
      <c r="J1900"/>
      <c r="K1900">
        <v>1</v>
      </c>
      <c r="L1900">
        <v>1</v>
      </c>
      <c r="M1900" t="s">
        <v>33</v>
      </c>
      <c r="N1900">
        <v>1</v>
      </c>
      <c r="O1900"/>
      <c r="P1900">
        <v>0</v>
      </c>
      <c r="Q1900" t="s">
        <v>38</v>
      </c>
      <c r="R1900">
        <v>1</v>
      </c>
      <c r="S1900">
        <v>0</v>
      </c>
      <c r="T1900"/>
      <c r="U1900"/>
      <c r="V1900"/>
      <c r="W1900"/>
      <c r="X1900">
        <v>0</v>
      </c>
      <c r="Y1900"/>
      <c r="Z1900">
        <v>0</v>
      </c>
      <c r="AA1900"/>
      <c r="AB1900"/>
      <c r="AC1900"/>
      <c r="AD1900"/>
      <c r="AE1900">
        <v>0</v>
      </c>
      <c r="AF1900"/>
      <c r="AG1900"/>
      <c r="AH1900"/>
    </row>
    <row r="1901" spans="1:34" x14ac:dyDescent="0.25">
      <c r="A1901" t="s">
        <v>3408</v>
      </c>
      <c r="B1901" t="s">
        <v>3409</v>
      </c>
      <c r="C1901"/>
      <c r="D1901" t="s">
        <v>1778</v>
      </c>
      <c r="E1901" t="s">
        <v>2449</v>
      </c>
      <c r="F1901" t="s">
        <v>2468</v>
      </c>
      <c r="G1901" t="s">
        <v>280</v>
      </c>
      <c r="H1901" t="s">
        <v>2469</v>
      </c>
      <c r="I1901" t="s">
        <v>35</v>
      </c>
      <c r="J1901"/>
      <c r="K1901">
        <v>1</v>
      </c>
      <c r="L1901">
        <v>1</v>
      </c>
      <c r="M1901" t="s">
        <v>33</v>
      </c>
      <c r="N1901">
        <v>1</v>
      </c>
      <c r="O1901"/>
      <c r="P1901">
        <v>0</v>
      </c>
      <c r="Q1901" t="s">
        <v>38</v>
      </c>
      <c r="R1901">
        <v>1</v>
      </c>
      <c r="S1901">
        <v>0</v>
      </c>
      <c r="T1901"/>
      <c r="U1901"/>
      <c r="V1901"/>
      <c r="W1901"/>
      <c r="X1901">
        <v>0</v>
      </c>
      <c r="Y1901"/>
      <c r="Z1901">
        <v>0</v>
      </c>
      <c r="AA1901"/>
      <c r="AB1901"/>
      <c r="AC1901"/>
      <c r="AD1901"/>
      <c r="AE1901">
        <v>0</v>
      </c>
      <c r="AF1901"/>
      <c r="AG1901"/>
      <c r="AH1901"/>
    </row>
    <row r="1902" spans="1:34" x14ac:dyDescent="0.25">
      <c r="A1902" t="s">
        <v>3406</v>
      </c>
      <c r="B1902" t="s">
        <v>3407</v>
      </c>
      <c r="C1902"/>
      <c r="D1902" t="s">
        <v>1778</v>
      </c>
      <c r="E1902" t="s">
        <v>2449</v>
      </c>
      <c r="F1902" t="s">
        <v>2470</v>
      </c>
      <c r="G1902" t="s">
        <v>280</v>
      </c>
      <c r="H1902" t="s">
        <v>2471</v>
      </c>
      <c r="I1902" t="s">
        <v>35</v>
      </c>
      <c r="J1902"/>
      <c r="K1902">
        <v>1</v>
      </c>
      <c r="L1902">
        <v>1</v>
      </c>
      <c r="M1902" t="s">
        <v>33</v>
      </c>
      <c r="N1902">
        <v>1</v>
      </c>
      <c r="O1902"/>
      <c r="P1902">
        <v>0</v>
      </c>
      <c r="Q1902" t="s">
        <v>38</v>
      </c>
      <c r="R1902">
        <v>1</v>
      </c>
      <c r="S1902">
        <v>0</v>
      </c>
      <c r="T1902"/>
      <c r="U1902"/>
      <c r="V1902"/>
      <c r="W1902"/>
      <c r="X1902">
        <v>0</v>
      </c>
      <c r="Y1902"/>
      <c r="Z1902">
        <v>0</v>
      </c>
      <c r="AA1902"/>
      <c r="AB1902"/>
      <c r="AC1902"/>
      <c r="AD1902"/>
      <c r="AE1902">
        <v>0</v>
      </c>
      <c r="AF1902"/>
      <c r="AG1902"/>
      <c r="AH1902"/>
    </row>
    <row r="1903" spans="1:34" x14ac:dyDescent="0.25">
      <c r="A1903" t="s">
        <v>3408</v>
      </c>
      <c r="B1903" t="s">
        <v>3409</v>
      </c>
      <c r="C1903"/>
      <c r="D1903" t="s">
        <v>1778</v>
      </c>
      <c r="E1903" t="s">
        <v>2449</v>
      </c>
      <c r="F1903" t="s">
        <v>2470</v>
      </c>
      <c r="G1903" t="s">
        <v>280</v>
      </c>
      <c r="H1903" t="s">
        <v>2471</v>
      </c>
      <c r="I1903" t="s">
        <v>35</v>
      </c>
      <c r="J1903"/>
      <c r="K1903">
        <v>1</v>
      </c>
      <c r="L1903">
        <v>1</v>
      </c>
      <c r="M1903" t="s">
        <v>33</v>
      </c>
      <c r="N1903">
        <v>1</v>
      </c>
      <c r="O1903"/>
      <c r="P1903">
        <v>0</v>
      </c>
      <c r="Q1903" t="s">
        <v>38</v>
      </c>
      <c r="R1903">
        <v>1</v>
      </c>
      <c r="S1903">
        <v>0</v>
      </c>
      <c r="T1903"/>
      <c r="U1903"/>
      <c r="V1903"/>
      <c r="W1903"/>
      <c r="X1903">
        <v>0</v>
      </c>
      <c r="Y1903"/>
      <c r="Z1903">
        <v>0</v>
      </c>
      <c r="AA1903"/>
      <c r="AB1903"/>
      <c r="AC1903"/>
      <c r="AD1903"/>
      <c r="AE1903">
        <v>0</v>
      </c>
      <c r="AF1903"/>
      <c r="AG1903"/>
      <c r="AH1903"/>
    </row>
    <row r="1904" spans="1:34" x14ac:dyDescent="0.25">
      <c r="A1904" t="s">
        <v>3406</v>
      </c>
      <c r="B1904" t="s">
        <v>3407</v>
      </c>
      <c r="C1904"/>
      <c r="D1904" t="s">
        <v>1778</v>
      </c>
      <c r="E1904" t="s">
        <v>2449</v>
      </c>
      <c r="F1904" t="s">
        <v>2472</v>
      </c>
      <c r="G1904" t="s">
        <v>280</v>
      </c>
      <c r="H1904" t="s">
        <v>2473</v>
      </c>
      <c r="I1904" t="s">
        <v>35</v>
      </c>
      <c r="J1904"/>
      <c r="K1904">
        <v>1</v>
      </c>
      <c r="L1904">
        <v>1</v>
      </c>
      <c r="M1904" t="s">
        <v>33</v>
      </c>
      <c r="N1904">
        <v>1</v>
      </c>
      <c r="O1904"/>
      <c r="P1904">
        <v>0</v>
      </c>
      <c r="Q1904" t="s">
        <v>38</v>
      </c>
      <c r="R1904">
        <v>1</v>
      </c>
      <c r="S1904">
        <v>0</v>
      </c>
      <c r="T1904"/>
      <c r="U1904"/>
      <c r="V1904"/>
      <c r="W1904"/>
      <c r="X1904">
        <v>0</v>
      </c>
      <c r="Y1904"/>
      <c r="Z1904">
        <v>0</v>
      </c>
      <c r="AA1904"/>
      <c r="AB1904"/>
      <c r="AC1904"/>
      <c r="AD1904"/>
      <c r="AE1904">
        <v>0</v>
      </c>
      <c r="AF1904"/>
      <c r="AG1904"/>
      <c r="AH1904"/>
    </row>
    <row r="1905" spans="1:34" x14ac:dyDescent="0.25">
      <c r="A1905" t="s">
        <v>3408</v>
      </c>
      <c r="B1905" t="s">
        <v>3409</v>
      </c>
      <c r="C1905"/>
      <c r="D1905" t="s">
        <v>1778</v>
      </c>
      <c r="E1905" t="s">
        <v>2449</v>
      </c>
      <c r="F1905" t="s">
        <v>2472</v>
      </c>
      <c r="G1905" t="s">
        <v>280</v>
      </c>
      <c r="H1905" t="s">
        <v>2473</v>
      </c>
      <c r="I1905" t="s">
        <v>35</v>
      </c>
      <c r="J1905"/>
      <c r="K1905">
        <v>1</v>
      </c>
      <c r="L1905">
        <v>1</v>
      </c>
      <c r="M1905" t="s">
        <v>33</v>
      </c>
      <c r="N1905">
        <v>1</v>
      </c>
      <c r="O1905"/>
      <c r="P1905">
        <v>0</v>
      </c>
      <c r="Q1905" t="s">
        <v>38</v>
      </c>
      <c r="R1905">
        <v>1</v>
      </c>
      <c r="S1905">
        <v>0</v>
      </c>
      <c r="T1905"/>
      <c r="U1905"/>
      <c r="V1905"/>
      <c r="W1905"/>
      <c r="X1905">
        <v>0</v>
      </c>
      <c r="Y1905"/>
      <c r="Z1905">
        <v>0</v>
      </c>
      <c r="AA1905"/>
      <c r="AB1905"/>
      <c r="AC1905"/>
      <c r="AD1905"/>
      <c r="AE1905">
        <v>0</v>
      </c>
      <c r="AF1905"/>
      <c r="AG1905"/>
      <c r="AH1905"/>
    </row>
    <row r="1906" spans="1:34" x14ac:dyDescent="0.25">
      <c r="A1906" t="s">
        <v>3406</v>
      </c>
      <c r="B1906" t="s">
        <v>3407</v>
      </c>
      <c r="C1906"/>
      <c r="D1906" t="s">
        <v>1778</v>
      </c>
      <c r="E1906" t="s">
        <v>2449</v>
      </c>
      <c r="F1906" t="s">
        <v>2474</v>
      </c>
      <c r="G1906" t="s">
        <v>280</v>
      </c>
      <c r="H1906" t="s">
        <v>2475</v>
      </c>
      <c r="I1906" t="s">
        <v>35</v>
      </c>
      <c r="J1906"/>
      <c r="K1906">
        <v>1</v>
      </c>
      <c r="L1906">
        <v>1</v>
      </c>
      <c r="M1906" t="s">
        <v>33</v>
      </c>
      <c r="N1906">
        <v>1</v>
      </c>
      <c r="O1906"/>
      <c r="P1906">
        <v>0</v>
      </c>
      <c r="Q1906" t="s">
        <v>38</v>
      </c>
      <c r="R1906">
        <v>1</v>
      </c>
      <c r="S1906">
        <v>0</v>
      </c>
      <c r="T1906"/>
      <c r="U1906"/>
      <c r="V1906"/>
      <c r="W1906"/>
      <c r="X1906">
        <v>0</v>
      </c>
      <c r="Y1906"/>
      <c r="Z1906">
        <v>0</v>
      </c>
      <c r="AA1906"/>
      <c r="AB1906"/>
      <c r="AC1906"/>
      <c r="AD1906"/>
      <c r="AE1906">
        <v>0</v>
      </c>
      <c r="AF1906"/>
      <c r="AG1906"/>
      <c r="AH1906"/>
    </row>
    <row r="1907" spans="1:34" x14ac:dyDescent="0.25">
      <c r="A1907" t="s">
        <v>3408</v>
      </c>
      <c r="B1907" t="s">
        <v>3409</v>
      </c>
      <c r="C1907"/>
      <c r="D1907" t="s">
        <v>1778</v>
      </c>
      <c r="E1907" t="s">
        <v>2449</v>
      </c>
      <c r="F1907" t="s">
        <v>2474</v>
      </c>
      <c r="G1907" t="s">
        <v>280</v>
      </c>
      <c r="H1907" t="s">
        <v>2475</v>
      </c>
      <c r="I1907" t="s">
        <v>35</v>
      </c>
      <c r="J1907"/>
      <c r="K1907">
        <v>1</v>
      </c>
      <c r="L1907">
        <v>1</v>
      </c>
      <c r="M1907" t="s">
        <v>33</v>
      </c>
      <c r="N1907">
        <v>1</v>
      </c>
      <c r="O1907"/>
      <c r="P1907">
        <v>0</v>
      </c>
      <c r="Q1907" t="s">
        <v>38</v>
      </c>
      <c r="R1907">
        <v>1</v>
      </c>
      <c r="S1907">
        <v>0</v>
      </c>
      <c r="T1907"/>
      <c r="U1907"/>
      <c r="V1907"/>
      <c r="W1907"/>
      <c r="X1907">
        <v>0</v>
      </c>
      <c r="Y1907"/>
      <c r="Z1907">
        <v>0</v>
      </c>
      <c r="AA1907"/>
      <c r="AB1907"/>
      <c r="AC1907"/>
      <c r="AD1907"/>
      <c r="AE1907">
        <v>0</v>
      </c>
      <c r="AF1907"/>
      <c r="AG1907"/>
      <c r="AH1907"/>
    </row>
    <row r="1908" spans="1:34" x14ac:dyDescent="0.25">
      <c r="A1908" t="s">
        <v>3406</v>
      </c>
      <c r="B1908" t="s">
        <v>3407</v>
      </c>
      <c r="C1908"/>
      <c r="D1908" t="s">
        <v>1778</v>
      </c>
      <c r="E1908" t="s">
        <v>2449</v>
      </c>
      <c r="F1908" t="s">
        <v>2476</v>
      </c>
      <c r="G1908" t="s">
        <v>280</v>
      </c>
      <c r="H1908" t="s">
        <v>2477</v>
      </c>
      <c r="I1908" t="s">
        <v>35</v>
      </c>
      <c r="J1908"/>
      <c r="K1908">
        <v>1</v>
      </c>
      <c r="L1908">
        <v>1</v>
      </c>
      <c r="M1908" t="s">
        <v>33</v>
      </c>
      <c r="N1908">
        <v>1</v>
      </c>
      <c r="O1908"/>
      <c r="P1908">
        <v>0</v>
      </c>
      <c r="Q1908" t="s">
        <v>38</v>
      </c>
      <c r="R1908">
        <v>1</v>
      </c>
      <c r="S1908">
        <v>0</v>
      </c>
      <c r="T1908"/>
      <c r="U1908"/>
      <c r="V1908"/>
      <c r="W1908"/>
      <c r="X1908">
        <v>0</v>
      </c>
      <c r="Y1908"/>
      <c r="Z1908">
        <v>0</v>
      </c>
      <c r="AA1908"/>
      <c r="AB1908"/>
      <c r="AC1908"/>
      <c r="AD1908"/>
      <c r="AE1908">
        <v>0</v>
      </c>
      <c r="AF1908"/>
      <c r="AG1908"/>
      <c r="AH1908"/>
    </row>
    <row r="1909" spans="1:34" x14ac:dyDescent="0.25">
      <c r="A1909" t="s">
        <v>3408</v>
      </c>
      <c r="B1909" t="s">
        <v>3409</v>
      </c>
      <c r="C1909"/>
      <c r="D1909" t="s">
        <v>1778</v>
      </c>
      <c r="E1909" t="s">
        <v>2449</v>
      </c>
      <c r="F1909" t="s">
        <v>2476</v>
      </c>
      <c r="G1909" t="s">
        <v>280</v>
      </c>
      <c r="H1909" t="s">
        <v>2477</v>
      </c>
      <c r="I1909" t="s">
        <v>35</v>
      </c>
      <c r="J1909"/>
      <c r="K1909">
        <v>1</v>
      </c>
      <c r="L1909">
        <v>1</v>
      </c>
      <c r="M1909" t="s">
        <v>33</v>
      </c>
      <c r="N1909">
        <v>1</v>
      </c>
      <c r="O1909"/>
      <c r="P1909">
        <v>0</v>
      </c>
      <c r="Q1909" t="s">
        <v>38</v>
      </c>
      <c r="R1909">
        <v>1</v>
      </c>
      <c r="S1909">
        <v>0</v>
      </c>
      <c r="T1909"/>
      <c r="U1909"/>
      <c r="V1909"/>
      <c r="W1909"/>
      <c r="X1909">
        <v>0</v>
      </c>
      <c r="Y1909"/>
      <c r="Z1909">
        <v>0</v>
      </c>
      <c r="AA1909"/>
      <c r="AB1909"/>
      <c r="AC1909"/>
      <c r="AD1909"/>
      <c r="AE1909">
        <v>0</v>
      </c>
      <c r="AF1909"/>
      <c r="AG1909"/>
      <c r="AH1909"/>
    </row>
    <row r="1910" spans="1:34" x14ac:dyDescent="0.25">
      <c r="A1910" t="s">
        <v>3406</v>
      </c>
      <c r="B1910" t="s">
        <v>3407</v>
      </c>
      <c r="C1910"/>
      <c r="D1910" t="s">
        <v>1778</v>
      </c>
      <c r="E1910" t="s">
        <v>2449</v>
      </c>
      <c r="F1910" t="s">
        <v>2478</v>
      </c>
      <c r="G1910" t="s">
        <v>280</v>
      </c>
      <c r="H1910" t="s">
        <v>2479</v>
      </c>
      <c r="I1910" t="s">
        <v>35</v>
      </c>
      <c r="J1910"/>
      <c r="K1910">
        <v>1</v>
      </c>
      <c r="L1910">
        <v>1</v>
      </c>
      <c r="M1910" t="s">
        <v>33</v>
      </c>
      <c r="N1910">
        <v>1</v>
      </c>
      <c r="O1910"/>
      <c r="P1910">
        <v>0</v>
      </c>
      <c r="Q1910" t="s">
        <v>38</v>
      </c>
      <c r="R1910">
        <v>1</v>
      </c>
      <c r="S1910">
        <v>0</v>
      </c>
      <c r="T1910"/>
      <c r="U1910"/>
      <c r="V1910"/>
      <c r="W1910"/>
      <c r="X1910">
        <v>0</v>
      </c>
      <c r="Y1910"/>
      <c r="Z1910">
        <v>0</v>
      </c>
      <c r="AA1910"/>
      <c r="AB1910"/>
      <c r="AC1910"/>
      <c r="AD1910"/>
      <c r="AE1910">
        <v>0</v>
      </c>
      <c r="AF1910"/>
      <c r="AG1910"/>
      <c r="AH1910"/>
    </row>
    <row r="1911" spans="1:34" x14ac:dyDescent="0.25">
      <c r="A1911" t="s">
        <v>3408</v>
      </c>
      <c r="B1911" t="s">
        <v>3409</v>
      </c>
      <c r="C1911"/>
      <c r="D1911" t="s">
        <v>1778</v>
      </c>
      <c r="E1911" t="s">
        <v>2449</v>
      </c>
      <c r="F1911" t="s">
        <v>2478</v>
      </c>
      <c r="G1911" t="s">
        <v>280</v>
      </c>
      <c r="H1911" t="s">
        <v>2479</v>
      </c>
      <c r="I1911" t="s">
        <v>35</v>
      </c>
      <c r="J1911"/>
      <c r="K1911">
        <v>1</v>
      </c>
      <c r="L1911">
        <v>1</v>
      </c>
      <c r="M1911" t="s">
        <v>33</v>
      </c>
      <c r="N1911">
        <v>1</v>
      </c>
      <c r="O1911"/>
      <c r="P1911">
        <v>0</v>
      </c>
      <c r="Q1911" t="s">
        <v>38</v>
      </c>
      <c r="R1911">
        <v>1</v>
      </c>
      <c r="S1911">
        <v>0</v>
      </c>
      <c r="T1911"/>
      <c r="U1911"/>
      <c r="V1911"/>
      <c r="W1911"/>
      <c r="X1911">
        <v>0</v>
      </c>
      <c r="Y1911"/>
      <c r="Z1911">
        <v>0</v>
      </c>
      <c r="AA1911"/>
      <c r="AB1911"/>
      <c r="AC1911"/>
      <c r="AD1911"/>
      <c r="AE1911">
        <v>0</v>
      </c>
      <c r="AF1911"/>
      <c r="AG1911"/>
      <c r="AH1911"/>
    </row>
    <row r="1912" spans="1:34" x14ac:dyDescent="0.25">
      <c r="A1912" t="s">
        <v>3406</v>
      </c>
      <c r="B1912" t="s">
        <v>3407</v>
      </c>
      <c r="C1912"/>
      <c r="D1912" t="s">
        <v>1778</v>
      </c>
      <c r="E1912" t="s">
        <v>2449</v>
      </c>
      <c r="F1912" t="s">
        <v>2480</v>
      </c>
      <c r="G1912" t="s">
        <v>280</v>
      </c>
      <c r="H1912" t="s">
        <v>2481</v>
      </c>
      <c r="I1912" t="s">
        <v>35</v>
      </c>
      <c r="J1912"/>
      <c r="K1912">
        <v>1</v>
      </c>
      <c r="L1912">
        <v>1</v>
      </c>
      <c r="M1912" t="s">
        <v>33</v>
      </c>
      <c r="N1912">
        <v>1</v>
      </c>
      <c r="O1912"/>
      <c r="P1912">
        <v>0</v>
      </c>
      <c r="Q1912" t="s">
        <v>38</v>
      </c>
      <c r="R1912">
        <v>1</v>
      </c>
      <c r="S1912">
        <v>0</v>
      </c>
      <c r="T1912"/>
      <c r="U1912"/>
      <c r="V1912"/>
      <c r="W1912"/>
      <c r="X1912">
        <v>0</v>
      </c>
      <c r="Y1912"/>
      <c r="Z1912">
        <v>0</v>
      </c>
      <c r="AA1912"/>
      <c r="AB1912"/>
      <c r="AC1912"/>
      <c r="AD1912"/>
      <c r="AE1912">
        <v>0</v>
      </c>
      <c r="AF1912"/>
      <c r="AG1912"/>
      <c r="AH1912"/>
    </row>
    <row r="1913" spans="1:34" x14ac:dyDescent="0.25">
      <c r="A1913" t="s">
        <v>3408</v>
      </c>
      <c r="B1913" t="s">
        <v>3409</v>
      </c>
      <c r="C1913"/>
      <c r="D1913" t="s">
        <v>1778</v>
      </c>
      <c r="E1913" t="s">
        <v>2449</v>
      </c>
      <c r="F1913" t="s">
        <v>2480</v>
      </c>
      <c r="G1913" t="s">
        <v>280</v>
      </c>
      <c r="H1913" t="s">
        <v>2481</v>
      </c>
      <c r="I1913" t="s">
        <v>35</v>
      </c>
      <c r="J1913"/>
      <c r="K1913">
        <v>1</v>
      </c>
      <c r="L1913">
        <v>1</v>
      </c>
      <c r="M1913" t="s">
        <v>33</v>
      </c>
      <c r="N1913">
        <v>1</v>
      </c>
      <c r="O1913"/>
      <c r="P1913">
        <v>0</v>
      </c>
      <c r="Q1913" t="s">
        <v>38</v>
      </c>
      <c r="R1913">
        <v>1</v>
      </c>
      <c r="S1913">
        <v>0</v>
      </c>
      <c r="T1913"/>
      <c r="U1913"/>
      <c r="V1913"/>
      <c r="W1913"/>
      <c r="X1913">
        <v>0</v>
      </c>
      <c r="Y1913"/>
      <c r="Z1913">
        <v>0</v>
      </c>
      <c r="AA1913"/>
      <c r="AB1913"/>
      <c r="AC1913"/>
      <c r="AD1913"/>
      <c r="AE1913">
        <v>0</v>
      </c>
      <c r="AF1913"/>
      <c r="AG1913"/>
      <c r="AH1913"/>
    </row>
    <row r="1914" spans="1:34" x14ac:dyDescent="0.25">
      <c r="A1914" t="s">
        <v>3406</v>
      </c>
      <c r="B1914" t="s">
        <v>3407</v>
      </c>
      <c r="C1914"/>
      <c r="D1914" t="s">
        <v>1778</v>
      </c>
      <c r="E1914" t="s">
        <v>2449</v>
      </c>
      <c r="F1914" t="s">
        <v>2482</v>
      </c>
      <c r="G1914" t="s">
        <v>280</v>
      </c>
      <c r="H1914" t="s">
        <v>2483</v>
      </c>
      <c r="I1914" t="s">
        <v>35</v>
      </c>
      <c r="J1914"/>
      <c r="K1914">
        <v>1</v>
      </c>
      <c r="L1914">
        <v>1</v>
      </c>
      <c r="M1914" t="s">
        <v>33</v>
      </c>
      <c r="N1914">
        <v>1</v>
      </c>
      <c r="O1914"/>
      <c r="P1914">
        <v>0</v>
      </c>
      <c r="Q1914" t="s">
        <v>38</v>
      </c>
      <c r="R1914">
        <v>1</v>
      </c>
      <c r="S1914">
        <v>0</v>
      </c>
      <c r="T1914"/>
      <c r="U1914"/>
      <c r="V1914"/>
      <c r="W1914"/>
      <c r="X1914">
        <v>0</v>
      </c>
      <c r="Y1914"/>
      <c r="Z1914">
        <v>0</v>
      </c>
      <c r="AA1914"/>
      <c r="AB1914"/>
      <c r="AC1914"/>
      <c r="AD1914"/>
      <c r="AE1914">
        <v>0</v>
      </c>
      <c r="AF1914"/>
      <c r="AG1914"/>
      <c r="AH1914"/>
    </row>
    <row r="1915" spans="1:34" x14ac:dyDescent="0.25">
      <c r="A1915" t="s">
        <v>3408</v>
      </c>
      <c r="B1915" t="s">
        <v>3409</v>
      </c>
      <c r="C1915"/>
      <c r="D1915" t="s">
        <v>1778</v>
      </c>
      <c r="E1915" t="s">
        <v>2449</v>
      </c>
      <c r="F1915" t="s">
        <v>2482</v>
      </c>
      <c r="G1915" t="s">
        <v>280</v>
      </c>
      <c r="H1915" t="s">
        <v>2483</v>
      </c>
      <c r="I1915" t="s">
        <v>35</v>
      </c>
      <c r="J1915"/>
      <c r="K1915">
        <v>1</v>
      </c>
      <c r="L1915">
        <v>1</v>
      </c>
      <c r="M1915" t="s">
        <v>33</v>
      </c>
      <c r="N1915">
        <v>1</v>
      </c>
      <c r="O1915"/>
      <c r="P1915">
        <v>0</v>
      </c>
      <c r="Q1915" t="s">
        <v>38</v>
      </c>
      <c r="R1915">
        <v>1</v>
      </c>
      <c r="S1915">
        <v>0</v>
      </c>
      <c r="T1915"/>
      <c r="U1915"/>
      <c r="V1915"/>
      <c r="W1915"/>
      <c r="X1915">
        <v>0</v>
      </c>
      <c r="Y1915"/>
      <c r="Z1915">
        <v>0</v>
      </c>
      <c r="AA1915"/>
      <c r="AB1915"/>
      <c r="AC1915"/>
      <c r="AD1915"/>
      <c r="AE1915">
        <v>0</v>
      </c>
      <c r="AF1915"/>
      <c r="AG1915"/>
      <c r="AH1915"/>
    </row>
    <row r="1916" spans="1:34" x14ac:dyDescent="0.25">
      <c r="A1916" t="s">
        <v>3406</v>
      </c>
      <c r="B1916" t="s">
        <v>3407</v>
      </c>
      <c r="C1916"/>
      <c r="D1916" t="s">
        <v>1778</v>
      </c>
      <c r="E1916" t="s">
        <v>2449</v>
      </c>
      <c r="F1916" t="s">
        <v>2484</v>
      </c>
      <c r="G1916" t="s">
        <v>280</v>
      </c>
      <c r="H1916" t="s">
        <v>2485</v>
      </c>
      <c r="I1916" t="s">
        <v>35</v>
      </c>
      <c r="J1916"/>
      <c r="K1916">
        <v>1</v>
      </c>
      <c r="L1916">
        <v>1</v>
      </c>
      <c r="M1916" t="s">
        <v>33</v>
      </c>
      <c r="N1916">
        <v>1</v>
      </c>
      <c r="O1916"/>
      <c r="P1916">
        <v>0</v>
      </c>
      <c r="Q1916" t="s">
        <v>38</v>
      </c>
      <c r="R1916">
        <v>1</v>
      </c>
      <c r="S1916">
        <v>0</v>
      </c>
      <c r="T1916"/>
      <c r="U1916"/>
      <c r="V1916"/>
      <c r="W1916"/>
      <c r="X1916">
        <v>0</v>
      </c>
      <c r="Y1916"/>
      <c r="Z1916">
        <v>0</v>
      </c>
      <c r="AA1916"/>
      <c r="AB1916"/>
      <c r="AC1916"/>
      <c r="AD1916"/>
      <c r="AE1916">
        <v>0</v>
      </c>
      <c r="AF1916"/>
      <c r="AG1916"/>
      <c r="AH1916"/>
    </row>
    <row r="1917" spans="1:34" x14ac:dyDescent="0.25">
      <c r="A1917" t="s">
        <v>3408</v>
      </c>
      <c r="B1917" t="s">
        <v>3409</v>
      </c>
      <c r="C1917"/>
      <c r="D1917" t="s">
        <v>1778</v>
      </c>
      <c r="E1917" t="s">
        <v>2449</v>
      </c>
      <c r="F1917" t="s">
        <v>2484</v>
      </c>
      <c r="G1917" t="s">
        <v>280</v>
      </c>
      <c r="H1917" t="s">
        <v>2485</v>
      </c>
      <c r="I1917" t="s">
        <v>35</v>
      </c>
      <c r="J1917"/>
      <c r="K1917">
        <v>1</v>
      </c>
      <c r="L1917">
        <v>1</v>
      </c>
      <c r="M1917" t="s">
        <v>33</v>
      </c>
      <c r="N1917">
        <v>1</v>
      </c>
      <c r="O1917"/>
      <c r="P1917">
        <v>0</v>
      </c>
      <c r="Q1917" t="s">
        <v>38</v>
      </c>
      <c r="R1917">
        <v>1</v>
      </c>
      <c r="S1917">
        <v>0</v>
      </c>
      <c r="T1917"/>
      <c r="U1917"/>
      <c r="V1917"/>
      <c r="W1917"/>
      <c r="X1917">
        <v>0</v>
      </c>
      <c r="Y1917"/>
      <c r="Z1917">
        <v>0</v>
      </c>
      <c r="AA1917"/>
      <c r="AB1917"/>
      <c r="AC1917"/>
      <c r="AD1917"/>
      <c r="AE1917">
        <v>0</v>
      </c>
      <c r="AF1917"/>
      <c r="AG1917"/>
      <c r="AH1917"/>
    </row>
    <row r="1918" spans="1:34" x14ac:dyDescent="0.25">
      <c r="A1918" t="s">
        <v>3406</v>
      </c>
      <c r="B1918" t="s">
        <v>3407</v>
      </c>
      <c r="C1918"/>
      <c r="D1918" t="s">
        <v>1778</v>
      </c>
      <c r="E1918" t="s">
        <v>2449</v>
      </c>
      <c r="F1918" t="s">
        <v>2486</v>
      </c>
      <c r="G1918" t="s">
        <v>280</v>
      </c>
      <c r="H1918" t="s">
        <v>2487</v>
      </c>
      <c r="I1918" t="s">
        <v>35</v>
      </c>
      <c r="J1918"/>
      <c r="K1918">
        <v>1</v>
      </c>
      <c r="L1918">
        <v>1</v>
      </c>
      <c r="M1918" t="s">
        <v>33</v>
      </c>
      <c r="N1918">
        <v>1</v>
      </c>
      <c r="O1918"/>
      <c r="P1918">
        <v>0</v>
      </c>
      <c r="Q1918" t="s">
        <v>38</v>
      </c>
      <c r="R1918">
        <v>1</v>
      </c>
      <c r="S1918">
        <v>0</v>
      </c>
      <c r="T1918"/>
      <c r="U1918"/>
      <c r="V1918"/>
      <c r="W1918"/>
      <c r="X1918">
        <v>0</v>
      </c>
      <c r="Y1918"/>
      <c r="Z1918">
        <v>0</v>
      </c>
      <c r="AA1918"/>
      <c r="AB1918"/>
      <c r="AC1918"/>
      <c r="AD1918"/>
      <c r="AE1918">
        <v>0</v>
      </c>
      <c r="AF1918"/>
      <c r="AG1918"/>
      <c r="AH1918"/>
    </row>
    <row r="1919" spans="1:34" x14ac:dyDescent="0.25">
      <c r="A1919" t="s">
        <v>3408</v>
      </c>
      <c r="B1919" t="s">
        <v>3409</v>
      </c>
      <c r="C1919"/>
      <c r="D1919" t="s">
        <v>1778</v>
      </c>
      <c r="E1919" t="s">
        <v>2449</v>
      </c>
      <c r="F1919" t="s">
        <v>2486</v>
      </c>
      <c r="G1919" t="s">
        <v>280</v>
      </c>
      <c r="H1919" t="s">
        <v>2487</v>
      </c>
      <c r="I1919" t="s">
        <v>35</v>
      </c>
      <c r="J1919"/>
      <c r="K1919">
        <v>1</v>
      </c>
      <c r="L1919">
        <v>1</v>
      </c>
      <c r="M1919" t="s">
        <v>33</v>
      </c>
      <c r="N1919">
        <v>1</v>
      </c>
      <c r="O1919"/>
      <c r="P1919">
        <v>0</v>
      </c>
      <c r="Q1919" t="s">
        <v>38</v>
      </c>
      <c r="R1919">
        <v>1</v>
      </c>
      <c r="S1919">
        <v>0</v>
      </c>
      <c r="T1919"/>
      <c r="U1919"/>
      <c r="V1919"/>
      <c r="W1919"/>
      <c r="X1919">
        <v>0</v>
      </c>
      <c r="Y1919"/>
      <c r="Z1919">
        <v>0</v>
      </c>
      <c r="AA1919"/>
      <c r="AB1919"/>
      <c r="AC1919"/>
      <c r="AD1919"/>
      <c r="AE1919">
        <v>0</v>
      </c>
      <c r="AF1919"/>
      <c r="AG1919"/>
      <c r="AH1919"/>
    </row>
    <row r="1920" spans="1:34" x14ac:dyDescent="0.25">
      <c r="A1920" t="s">
        <v>3406</v>
      </c>
      <c r="B1920" t="s">
        <v>3407</v>
      </c>
      <c r="C1920"/>
      <c r="D1920" t="s">
        <v>1778</v>
      </c>
      <c r="E1920" t="s">
        <v>2449</v>
      </c>
      <c r="F1920" t="s">
        <v>2488</v>
      </c>
      <c r="G1920" t="s">
        <v>280</v>
      </c>
      <c r="H1920" t="s">
        <v>2489</v>
      </c>
      <c r="I1920" t="s">
        <v>35</v>
      </c>
      <c r="J1920"/>
      <c r="K1920">
        <v>1</v>
      </c>
      <c r="L1920">
        <v>1</v>
      </c>
      <c r="M1920" t="s">
        <v>33</v>
      </c>
      <c r="N1920">
        <v>1</v>
      </c>
      <c r="O1920"/>
      <c r="P1920">
        <v>0</v>
      </c>
      <c r="Q1920" t="s">
        <v>38</v>
      </c>
      <c r="R1920">
        <v>1</v>
      </c>
      <c r="S1920">
        <v>0</v>
      </c>
      <c r="T1920"/>
      <c r="U1920"/>
      <c r="V1920"/>
      <c r="W1920"/>
      <c r="X1920">
        <v>0</v>
      </c>
      <c r="Y1920"/>
      <c r="Z1920">
        <v>0</v>
      </c>
      <c r="AA1920"/>
      <c r="AB1920"/>
      <c r="AC1920"/>
      <c r="AD1920"/>
      <c r="AE1920">
        <v>0</v>
      </c>
      <c r="AF1920"/>
      <c r="AG1920"/>
      <c r="AH1920"/>
    </row>
    <row r="1921" spans="1:34" x14ac:dyDescent="0.25">
      <c r="A1921" t="s">
        <v>3408</v>
      </c>
      <c r="B1921" t="s">
        <v>3409</v>
      </c>
      <c r="C1921"/>
      <c r="D1921" t="s">
        <v>1778</v>
      </c>
      <c r="E1921" t="s">
        <v>2449</v>
      </c>
      <c r="F1921" t="s">
        <v>2488</v>
      </c>
      <c r="G1921" t="s">
        <v>280</v>
      </c>
      <c r="H1921" t="s">
        <v>2489</v>
      </c>
      <c r="I1921" t="s">
        <v>35</v>
      </c>
      <c r="J1921"/>
      <c r="K1921">
        <v>1</v>
      </c>
      <c r="L1921">
        <v>1</v>
      </c>
      <c r="M1921" t="s">
        <v>33</v>
      </c>
      <c r="N1921">
        <v>1</v>
      </c>
      <c r="O1921"/>
      <c r="P1921">
        <v>0</v>
      </c>
      <c r="Q1921" t="s">
        <v>38</v>
      </c>
      <c r="R1921">
        <v>1</v>
      </c>
      <c r="S1921">
        <v>0</v>
      </c>
      <c r="T1921"/>
      <c r="U1921"/>
      <c r="V1921"/>
      <c r="W1921"/>
      <c r="X1921">
        <v>0</v>
      </c>
      <c r="Y1921"/>
      <c r="Z1921">
        <v>0</v>
      </c>
      <c r="AA1921"/>
      <c r="AB1921"/>
      <c r="AC1921"/>
      <c r="AD1921"/>
      <c r="AE1921">
        <v>0</v>
      </c>
      <c r="AF1921"/>
      <c r="AG1921"/>
      <c r="AH1921"/>
    </row>
    <row r="1922" spans="1:34" x14ac:dyDescent="0.25">
      <c r="A1922" t="s">
        <v>3406</v>
      </c>
      <c r="B1922" t="s">
        <v>3407</v>
      </c>
      <c r="C1922"/>
      <c r="D1922" t="s">
        <v>1778</v>
      </c>
      <c r="E1922" t="s">
        <v>2449</v>
      </c>
      <c r="F1922" t="s">
        <v>2490</v>
      </c>
      <c r="G1922" t="s">
        <v>280</v>
      </c>
      <c r="H1922" t="s">
        <v>2491</v>
      </c>
      <c r="I1922" t="s">
        <v>35</v>
      </c>
      <c r="J1922"/>
      <c r="K1922">
        <v>1</v>
      </c>
      <c r="L1922">
        <v>1</v>
      </c>
      <c r="M1922" t="s">
        <v>33</v>
      </c>
      <c r="N1922">
        <v>1</v>
      </c>
      <c r="O1922"/>
      <c r="P1922">
        <v>0</v>
      </c>
      <c r="Q1922" t="s">
        <v>38</v>
      </c>
      <c r="R1922">
        <v>1</v>
      </c>
      <c r="S1922">
        <v>0</v>
      </c>
      <c r="T1922"/>
      <c r="U1922"/>
      <c r="V1922"/>
      <c r="W1922"/>
      <c r="X1922">
        <v>0</v>
      </c>
      <c r="Y1922"/>
      <c r="Z1922">
        <v>0</v>
      </c>
      <c r="AA1922"/>
      <c r="AB1922"/>
      <c r="AC1922"/>
      <c r="AD1922"/>
      <c r="AE1922">
        <v>0</v>
      </c>
      <c r="AF1922"/>
      <c r="AG1922"/>
      <c r="AH1922"/>
    </row>
    <row r="1923" spans="1:34" x14ac:dyDescent="0.25">
      <c r="A1923" t="s">
        <v>3408</v>
      </c>
      <c r="B1923" t="s">
        <v>3409</v>
      </c>
      <c r="C1923"/>
      <c r="D1923" t="s">
        <v>1778</v>
      </c>
      <c r="E1923" t="s">
        <v>2449</v>
      </c>
      <c r="F1923" t="s">
        <v>2490</v>
      </c>
      <c r="G1923" t="s">
        <v>280</v>
      </c>
      <c r="H1923" t="s">
        <v>2491</v>
      </c>
      <c r="I1923" t="s">
        <v>35</v>
      </c>
      <c r="J1923"/>
      <c r="K1923">
        <v>1</v>
      </c>
      <c r="L1923">
        <v>1</v>
      </c>
      <c r="M1923" t="s">
        <v>33</v>
      </c>
      <c r="N1923">
        <v>1</v>
      </c>
      <c r="O1923"/>
      <c r="P1923">
        <v>0</v>
      </c>
      <c r="Q1923" t="s">
        <v>38</v>
      </c>
      <c r="R1923">
        <v>1</v>
      </c>
      <c r="S1923">
        <v>0</v>
      </c>
      <c r="T1923"/>
      <c r="U1923"/>
      <c r="V1923"/>
      <c r="W1923"/>
      <c r="X1923">
        <v>0</v>
      </c>
      <c r="Y1923"/>
      <c r="Z1923">
        <v>0</v>
      </c>
      <c r="AA1923"/>
      <c r="AB1923"/>
      <c r="AC1923"/>
      <c r="AD1923"/>
      <c r="AE1923">
        <v>0</v>
      </c>
      <c r="AF1923"/>
      <c r="AG1923"/>
      <c r="AH1923"/>
    </row>
    <row r="1924" spans="1:34" x14ac:dyDescent="0.25">
      <c r="A1924" t="s">
        <v>3406</v>
      </c>
      <c r="B1924" t="s">
        <v>3407</v>
      </c>
      <c r="C1924"/>
      <c r="D1924" t="s">
        <v>1778</v>
      </c>
      <c r="E1924" t="s">
        <v>2449</v>
      </c>
      <c r="F1924" t="s">
        <v>2492</v>
      </c>
      <c r="G1924" t="s">
        <v>280</v>
      </c>
      <c r="H1924" t="s">
        <v>2493</v>
      </c>
      <c r="I1924" t="s">
        <v>35</v>
      </c>
      <c r="J1924"/>
      <c r="K1924">
        <v>1</v>
      </c>
      <c r="L1924">
        <v>1</v>
      </c>
      <c r="M1924" t="s">
        <v>33</v>
      </c>
      <c r="N1924">
        <v>1</v>
      </c>
      <c r="O1924"/>
      <c r="P1924">
        <v>0</v>
      </c>
      <c r="Q1924" t="s">
        <v>38</v>
      </c>
      <c r="R1924">
        <v>1</v>
      </c>
      <c r="S1924">
        <v>0</v>
      </c>
      <c r="T1924"/>
      <c r="U1924"/>
      <c r="V1924"/>
      <c r="W1924"/>
      <c r="X1924">
        <v>0</v>
      </c>
      <c r="Y1924"/>
      <c r="Z1924">
        <v>0</v>
      </c>
      <c r="AA1924"/>
      <c r="AB1924"/>
      <c r="AC1924"/>
      <c r="AD1924"/>
      <c r="AE1924">
        <v>0</v>
      </c>
      <c r="AF1924"/>
      <c r="AG1924"/>
      <c r="AH1924"/>
    </row>
    <row r="1925" spans="1:34" x14ac:dyDescent="0.25">
      <c r="A1925" t="s">
        <v>3408</v>
      </c>
      <c r="B1925" t="s">
        <v>3409</v>
      </c>
      <c r="C1925"/>
      <c r="D1925" t="s">
        <v>1778</v>
      </c>
      <c r="E1925" t="s">
        <v>2449</v>
      </c>
      <c r="F1925" t="s">
        <v>2492</v>
      </c>
      <c r="G1925" t="s">
        <v>280</v>
      </c>
      <c r="H1925" t="s">
        <v>2493</v>
      </c>
      <c r="I1925" t="s">
        <v>35</v>
      </c>
      <c r="J1925"/>
      <c r="K1925">
        <v>1</v>
      </c>
      <c r="L1925">
        <v>1</v>
      </c>
      <c r="M1925" t="s">
        <v>33</v>
      </c>
      <c r="N1925">
        <v>1</v>
      </c>
      <c r="O1925"/>
      <c r="P1925">
        <v>0</v>
      </c>
      <c r="Q1925" t="s">
        <v>38</v>
      </c>
      <c r="R1925">
        <v>1</v>
      </c>
      <c r="S1925">
        <v>0</v>
      </c>
      <c r="T1925"/>
      <c r="U1925"/>
      <c r="V1925"/>
      <c r="W1925"/>
      <c r="X1925">
        <v>0</v>
      </c>
      <c r="Y1925"/>
      <c r="Z1925">
        <v>0</v>
      </c>
      <c r="AA1925"/>
      <c r="AB1925"/>
      <c r="AC1925"/>
      <c r="AD1925"/>
      <c r="AE1925">
        <v>0</v>
      </c>
      <c r="AF1925"/>
      <c r="AG1925"/>
      <c r="AH1925"/>
    </row>
    <row r="1926" spans="1:34" x14ac:dyDescent="0.25">
      <c r="A1926" t="s">
        <v>3406</v>
      </c>
      <c r="B1926" t="s">
        <v>3407</v>
      </c>
      <c r="C1926"/>
      <c r="D1926" t="s">
        <v>1778</v>
      </c>
      <c r="E1926" t="s">
        <v>2449</v>
      </c>
      <c r="F1926" t="s">
        <v>2494</v>
      </c>
      <c r="G1926" t="s">
        <v>280</v>
      </c>
      <c r="H1926" t="s">
        <v>2495</v>
      </c>
      <c r="I1926" t="s">
        <v>35</v>
      </c>
      <c r="J1926"/>
      <c r="K1926">
        <v>1</v>
      </c>
      <c r="L1926">
        <v>1</v>
      </c>
      <c r="M1926" t="s">
        <v>33</v>
      </c>
      <c r="N1926">
        <v>1</v>
      </c>
      <c r="O1926"/>
      <c r="P1926">
        <v>0</v>
      </c>
      <c r="Q1926" t="s">
        <v>38</v>
      </c>
      <c r="R1926">
        <v>1</v>
      </c>
      <c r="S1926">
        <v>0</v>
      </c>
      <c r="T1926"/>
      <c r="U1926"/>
      <c r="V1926"/>
      <c r="W1926"/>
      <c r="X1926">
        <v>0</v>
      </c>
      <c r="Y1926"/>
      <c r="Z1926">
        <v>0</v>
      </c>
      <c r="AA1926"/>
      <c r="AB1926"/>
      <c r="AC1926"/>
      <c r="AD1926"/>
      <c r="AE1926">
        <v>0</v>
      </c>
      <c r="AF1926"/>
      <c r="AG1926"/>
      <c r="AH1926"/>
    </row>
    <row r="1927" spans="1:34" x14ac:dyDescent="0.25">
      <c r="A1927" t="s">
        <v>3408</v>
      </c>
      <c r="B1927" t="s">
        <v>3409</v>
      </c>
      <c r="C1927"/>
      <c r="D1927" t="s">
        <v>1778</v>
      </c>
      <c r="E1927" t="s">
        <v>2449</v>
      </c>
      <c r="F1927" t="s">
        <v>2494</v>
      </c>
      <c r="G1927" t="s">
        <v>280</v>
      </c>
      <c r="H1927" t="s">
        <v>2495</v>
      </c>
      <c r="I1927" t="s">
        <v>35</v>
      </c>
      <c r="J1927"/>
      <c r="K1927">
        <v>1</v>
      </c>
      <c r="L1927">
        <v>1</v>
      </c>
      <c r="M1927" t="s">
        <v>33</v>
      </c>
      <c r="N1927">
        <v>1</v>
      </c>
      <c r="O1927"/>
      <c r="P1927">
        <v>0</v>
      </c>
      <c r="Q1927" t="s">
        <v>38</v>
      </c>
      <c r="R1927">
        <v>1</v>
      </c>
      <c r="S1927">
        <v>0</v>
      </c>
      <c r="T1927"/>
      <c r="U1927"/>
      <c r="V1927"/>
      <c r="W1927"/>
      <c r="X1927">
        <v>0</v>
      </c>
      <c r="Y1927"/>
      <c r="Z1927">
        <v>0</v>
      </c>
      <c r="AA1927"/>
      <c r="AB1927"/>
      <c r="AC1927"/>
      <c r="AD1927"/>
      <c r="AE1927">
        <v>0</v>
      </c>
      <c r="AF1927"/>
      <c r="AG1927"/>
      <c r="AH1927"/>
    </row>
    <row r="1928" spans="1:34" x14ac:dyDescent="0.25">
      <c r="A1928" t="s">
        <v>3406</v>
      </c>
      <c r="B1928" t="s">
        <v>3407</v>
      </c>
      <c r="C1928"/>
      <c r="D1928" t="s">
        <v>1778</v>
      </c>
      <c r="E1928" t="s">
        <v>2449</v>
      </c>
      <c r="F1928" t="s">
        <v>2496</v>
      </c>
      <c r="G1928" t="s">
        <v>280</v>
      </c>
      <c r="H1928" t="s">
        <v>2497</v>
      </c>
      <c r="I1928" t="s">
        <v>35</v>
      </c>
      <c r="J1928"/>
      <c r="K1928">
        <v>1</v>
      </c>
      <c r="L1928">
        <v>1</v>
      </c>
      <c r="M1928" t="s">
        <v>33</v>
      </c>
      <c r="N1928">
        <v>1</v>
      </c>
      <c r="O1928"/>
      <c r="P1928">
        <v>0</v>
      </c>
      <c r="Q1928" t="s">
        <v>38</v>
      </c>
      <c r="R1928">
        <v>1</v>
      </c>
      <c r="S1928">
        <v>0</v>
      </c>
      <c r="T1928"/>
      <c r="U1928"/>
      <c r="V1928"/>
      <c r="W1928"/>
      <c r="X1928">
        <v>0</v>
      </c>
      <c r="Y1928"/>
      <c r="Z1928">
        <v>0</v>
      </c>
      <c r="AA1928"/>
      <c r="AB1928"/>
      <c r="AC1928"/>
      <c r="AD1928"/>
      <c r="AE1928">
        <v>0</v>
      </c>
      <c r="AF1928"/>
      <c r="AG1928"/>
      <c r="AH1928"/>
    </row>
    <row r="1929" spans="1:34" x14ac:dyDescent="0.25">
      <c r="A1929" t="s">
        <v>3408</v>
      </c>
      <c r="B1929" t="s">
        <v>3409</v>
      </c>
      <c r="C1929"/>
      <c r="D1929" t="s">
        <v>1778</v>
      </c>
      <c r="E1929" t="s">
        <v>2449</v>
      </c>
      <c r="F1929" t="s">
        <v>2496</v>
      </c>
      <c r="G1929" t="s">
        <v>280</v>
      </c>
      <c r="H1929" t="s">
        <v>2497</v>
      </c>
      <c r="I1929" t="s">
        <v>35</v>
      </c>
      <c r="J1929"/>
      <c r="K1929">
        <v>1</v>
      </c>
      <c r="L1929">
        <v>1</v>
      </c>
      <c r="M1929" t="s">
        <v>33</v>
      </c>
      <c r="N1929">
        <v>1</v>
      </c>
      <c r="O1929"/>
      <c r="P1929">
        <v>0</v>
      </c>
      <c r="Q1929" t="s">
        <v>38</v>
      </c>
      <c r="R1929">
        <v>1</v>
      </c>
      <c r="S1929">
        <v>0</v>
      </c>
      <c r="T1929"/>
      <c r="U1929"/>
      <c r="V1929"/>
      <c r="W1929"/>
      <c r="X1929">
        <v>0</v>
      </c>
      <c r="Y1929"/>
      <c r="Z1929">
        <v>0</v>
      </c>
      <c r="AA1929"/>
      <c r="AB1929"/>
      <c r="AC1929"/>
      <c r="AD1929"/>
      <c r="AE1929">
        <v>0</v>
      </c>
      <c r="AF1929"/>
      <c r="AG1929"/>
      <c r="AH1929"/>
    </row>
    <row r="1930" spans="1:34" x14ac:dyDescent="0.25">
      <c r="A1930" t="s">
        <v>3406</v>
      </c>
      <c r="B1930" t="s">
        <v>3407</v>
      </c>
      <c r="C1930"/>
      <c r="D1930" t="s">
        <v>1778</v>
      </c>
      <c r="E1930" t="s">
        <v>2449</v>
      </c>
      <c r="F1930" t="s">
        <v>2498</v>
      </c>
      <c r="G1930" t="s">
        <v>280</v>
      </c>
      <c r="H1930" t="s">
        <v>2499</v>
      </c>
      <c r="I1930" t="s">
        <v>35</v>
      </c>
      <c r="J1930"/>
      <c r="K1930">
        <v>1</v>
      </c>
      <c r="L1930">
        <v>1</v>
      </c>
      <c r="M1930" t="s">
        <v>33</v>
      </c>
      <c r="N1930">
        <v>1</v>
      </c>
      <c r="O1930"/>
      <c r="P1930">
        <v>0</v>
      </c>
      <c r="Q1930" t="s">
        <v>38</v>
      </c>
      <c r="R1930">
        <v>1</v>
      </c>
      <c r="S1930">
        <v>0</v>
      </c>
      <c r="T1930"/>
      <c r="U1930"/>
      <c r="V1930"/>
      <c r="W1930"/>
      <c r="X1930">
        <v>0</v>
      </c>
      <c r="Y1930"/>
      <c r="Z1930">
        <v>0</v>
      </c>
      <c r="AA1930"/>
      <c r="AB1930"/>
      <c r="AC1930"/>
      <c r="AD1930"/>
      <c r="AE1930">
        <v>0</v>
      </c>
      <c r="AF1930"/>
      <c r="AG1930"/>
      <c r="AH1930"/>
    </row>
    <row r="1931" spans="1:34" x14ac:dyDescent="0.25">
      <c r="A1931" t="s">
        <v>3408</v>
      </c>
      <c r="B1931" t="s">
        <v>3409</v>
      </c>
      <c r="C1931"/>
      <c r="D1931" t="s">
        <v>1778</v>
      </c>
      <c r="E1931" t="s">
        <v>2449</v>
      </c>
      <c r="F1931" t="s">
        <v>2498</v>
      </c>
      <c r="G1931" t="s">
        <v>280</v>
      </c>
      <c r="H1931" t="s">
        <v>2499</v>
      </c>
      <c r="I1931" t="s">
        <v>35</v>
      </c>
      <c r="J1931"/>
      <c r="K1931">
        <v>1</v>
      </c>
      <c r="L1931">
        <v>1</v>
      </c>
      <c r="M1931" t="s">
        <v>33</v>
      </c>
      <c r="N1931">
        <v>1</v>
      </c>
      <c r="O1931"/>
      <c r="P1931">
        <v>0</v>
      </c>
      <c r="Q1931" t="s">
        <v>38</v>
      </c>
      <c r="R1931">
        <v>1</v>
      </c>
      <c r="S1931">
        <v>0</v>
      </c>
      <c r="T1931"/>
      <c r="U1931"/>
      <c r="V1931"/>
      <c r="W1931"/>
      <c r="X1931">
        <v>0</v>
      </c>
      <c r="Y1931"/>
      <c r="Z1931">
        <v>0</v>
      </c>
      <c r="AA1931"/>
      <c r="AB1931"/>
      <c r="AC1931"/>
      <c r="AD1931"/>
      <c r="AE1931">
        <v>0</v>
      </c>
      <c r="AF1931"/>
      <c r="AG1931"/>
      <c r="AH1931"/>
    </row>
    <row r="1932" spans="1:34" x14ac:dyDescent="0.25">
      <c r="A1932" t="s">
        <v>3406</v>
      </c>
      <c r="B1932" t="s">
        <v>3407</v>
      </c>
      <c r="C1932"/>
      <c r="D1932" t="s">
        <v>1778</v>
      </c>
      <c r="E1932" t="s">
        <v>2449</v>
      </c>
      <c r="F1932" t="s">
        <v>2500</v>
      </c>
      <c r="G1932" t="s">
        <v>280</v>
      </c>
      <c r="H1932" t="s">
        <v>2501</v>
      </c>
      <c r="I1932" t="s">
        <v>35</v>
      </c>
      <c r="J1932"/>
      <c r="K1932">
        <v>1</v>
      </c>
      <c r="L1932">
        <v>1</v>
      </c>
      <c r="M1932" t="s">
        <v>33</v>
      </c>
      <c r="N1932">
        <v>1</v>
      </c>
      <c r="O1932"/>
      <c r="P1932">
        <v>0</v>
      </c>
      <c r="Q1932" t="s">
        <v>38</v>
      </c>
      <c r="R1932">
        <v>1</v>
      </c>
      <c r="S1932">
        <v>0</v>
      </c>
      <c r="T1932"/>
      <c r="U1932"/>
      <c r="V1932"/>
      <c r="W1932"/>
      <c r="X1932">
        <v>0</v>
      </c>
      <c r="Y1932"/>
      <c r="Z1932">
        <v>0</v>
      </c>
      <c r="AA1932"/>
      <c r="AB1932"/>
      <c r="AC1932"/>
      <c r="AD1932"/>
      <c r="AE1932">
        <v>0</v>
      </c>
      <c r="AF1932"/>
      <c r="AG1932"/>
      <c r="AH1932"/>
    </row>
    <row r="1933" spans="1:34" x14ac:dyDescent="0.25">
      <c r="A1933" t="s">
        <v>3408</v>
      </c>
      <c r="B1933" t="s">
        <v>3409</v>
      </c>
      <c r="C1933"/>
      <c r="D1933" t="s">
        <v>1778</v>
      </c>
      <c r="E1933" t="s">
        <v>2449</v>
      </c>
      <c r="F1933" t="s">
        <v>2500</v>
      </c>
      <c r="G1933" t="s">
        <v>280</v>
      </c>
      <c r="H1933" t="s">
        <v>2501</v>
      </c>
      <c r="I1933" t="s">
        <v>35</v>
      </c>
      <c r="J1933"/>
      <c r="K1933">
        <v>1</v>
      </c>
      <c r="L1933">
        <v>1</v>
      </c>
      <c r="M1933" t="s">
        <v>33</v>
      </c>
      <c r="N1933">
        <v>1</v>
      </c>
      <c r="O1933"/>
      <c r="P1933">
        <v>0</v>
      </c>
      <c r="Q1933" t="s">
        <v>38</v>
      </c>
      <c r="R1933">
        <v>1</v>
      </c>
      <c r="S1933">
        <v>0</v>
      </c>
      <c r="T1933"/>
      <c r="U1933"/>
      <c r="V1933"/>
      <c r="W1933"/>
      <c r="X1933">
        <v>0</v>
      </c>
      <c r="Y1933"/>
      <c r="Z1933">
        <v>0</v>
      </c>
      <c r="AA1933"/>
      <c r="AB1933"/>
      <c r="AC1933"/>
      <c r="AD1933"/>
      <c r="AE1933">
        <v>0</v>
      </c>
      <c r="AF1933"/>
      <c r="AG1933"/>
      <c r="AH1933"/>
    </row>
    <row r="1934" spans="1:34" x14ac:dyDescent="0.25">
      <c r="A1934" t="s">
        <v>3406</v>
      </c>
      <c r="B1934" t="s">
        <v>3407</v>
      </c>
      <c r="C1934"/>
      <c r="D1934" t="s">
        <v>1778</v>
      </c>
      <c r="E1934" t="s">
        <v>2449</v>
      </c>
      <c r="F1934" t="s">
        <v>2502</v>
      </c>
      <c r="G1934" t="s">
        <v>280</v>
      </c>
      <c r="H1934" t="s">
        <v>2503</v>
      </c>
      <c r="I1934" t="s">
        <v>35</v>
      </c>
      <c r="J1934"/>
      <c r="K1934">
        <v>1</v>
      </c>
      <c r="L1934">
        <v>1</v>
      </c>
      <c r="M1934" t="s">
        <v>33</v>
      </c>
      <c r="N1934">
        <v>1</v>
      </c>
      <c r="O1934"/>
      <c r="P1934">
        <v>0</v>
      </c>
      <c r="Q1934" t="s">
        <v>38</v>
      </c>
      <c r="R1934">
        <v>1</v>
      </c>
      <c r="S1934">
        <v>0</v>
      </c>
      <c r="T1934"/>
      <c r="U1934"/>
      <c r="V1934"/>
      <c r="W1934"/>
      <c r="X1934">
        <v>0</v>
      </c>
      <c r="Y1934"/>
      <c r="Z1934">
        <v>0</v>
      </c>
      <c r="AA1934"/>
      <c r="AB1934"/>
      <c r="AC1934"/>
      <c r="AD1934"/>
      <c r="AE1934">
        <v>0</v>
      </c>
      <c r="AF1934"/>
      <c r="AG1934"/>
      <c r="AH1934"/>
    </row>
    <row r="1935" spans="1:34" x14ac:dyDescent="0.25">
      <c r="A1935" t="s">
        <v>3408</v>
      </c>
      <c r="B1935" t="s">
        <v>3409</v>
      </c>
      <c r="C1935"/>
      <c r="D1935" t="s">
        <v>1778</v>
      </c>
      <c r="E1935" t="s">
        <v>2449</v>
      </c>
      <c r="F1935" t="s">
        <v>2502</v>
      </c>
      <c r="G1935" t="s">
        <v>280</v>
      </c>
      <c r="H1935" t="s">
        <v>2503</v>
      </c>
      <c r="I1935" t="s">
        <v>35</v>
      </c>
      <c r="J1935"/>
      <c r="K1935">
        <v>1</v>
      </c>
      <c r="L1935">
        <v>1</v>
      </c>
      <c r="M1935" t="s">
        <v>33</v>
      </c>
      <c r="N1935">
        <v>1</v>
      </c>
      <c r="O1935"/>
      <c r="P1935">
        <v>0</v>
      </c>
      <c r="Q1935" t="s">
        <v>38</v>
      </c>
      <c r="R1935">
        <v>1</v>
      </c>
      <c r="S1935">
        <v>0</v>
      </c>
      <c r="T1935"/>
      <c r="U1935"/>
      <c r="V1935"/>
      <c r="W1935"/>
      <c r="X1935">
        <v>0</v>
      </c>
      <c r="Y1935"/>
      <c r="Z1935">
        <v>0</v>
      </c>
      <c r="AA1935"/>
      <c r="AB1935"/>
      <c r="AC1935"/>
      <c r="AD1935"/>
      <c r="AE1935">
        <v>0</v>
      </c>
      <c r="AF1935"/>
      <c r="AG1935"/>
      <c r="AH1935"/>
    </row>
    <row r="1936" spans="1:34" x14ac:dyDescent="0.25">
      <c r="A1936" t="s">
        <v>3406</v>
      </c>
      <c r="B1936" t="s">
        <v>3407</v>
      </c>
      <c r="C1936"/>
      <c r="D1936" t="s">
        <v>1778</v>
      </c>
      <c r="E1936" t="s">
        <v>2449</v>
      </c>
      <c r="F1936" t="s">
        <v>2504</v>
      </c>
      <c r="G1936" t="s">
        <v>280</v>
      </c>
      <c r="H1936" t="s">
        <v>2505</v>
      </c>
      <c r="I1936" t="s">
        <v>35</v>
      </c>
      <c r="J1936"/>
      <c r="K1936">
        <v>1</v>
      </c>
      <c r="L1936">
        <v>1</v>
      </c>
      <c r="M1936" t="s">
        <v>33</v>
      </c>
      <c r="N1936">
        <v>1</v>
      </c>
      <c r="O1936"/>
      <c r="P1936">
        <v>0</v>
      </c>
      <c r="Q1936" t="s">
        <v>38</v>
      </c>
      <c r="R1936">
        <v>1</v>
      </c>
      <c r="S1936">
        <v>0</v>
      </c>
      <c r="T1936"/>
      <c r="U1936"/>
      <c r="V1936"/>
      <c r="W1936"/>
      <c r="X1936">
        <v>0</v>
      </c>
      <c r="Y1936"/>
      <c r="Z1936">
        <v>0</v>
      </c>
      <c r="AA1936"/>
      <c r="AB1936"/>
      <c r="AC1936"/>
      <c r="AD1936"/>
      <c r="AE1936">
        <v>0</v>
      </c>
      <c r="AF1936"/>
      <c r="AG1936"/>
      <c r="AH1936"/>
    </row>
    <row r="1937" spans="1:34" x14ac:dyDescent="0.25">
      <c r="A1937" t="s">
        <v>3408</v>
      </c>
      <c r="B1937" t="s">
        <v>3409</v>
      </c>
      <c r="C1937"/>
      <c r="D1937" t="s">
        <v>1778</v>
      </c>
      <c r="E1937" t="s">
        <v>2449</v>
      </c>
      <c r="F1937" t="s">
        <v>2504</v>
      </c>
      <c r="G1937" t="s">
        <v>280</v>
      </c>
      <c r="H1937" t="s">
        <v>2505</v>
      </c>
      <c r="I1937" t="s">
        <v>35</v>
      </c>
      <c r="J1937"/>
      <c r="K1937">
        <v>1</v>
      </c>
      <c r="L1937">
        <v>1</v>
      </c>
      <c r="M1937" t="s">
        <v>33</v>
      </c>
      <c r="N1937">
        <v>1</v>
      </c>
      <c r="O1937"/>
      <c r="P1937">
        <v>0</v>
      </c>
      <c r="Q1937" t="s">
        <v>38</v>
      </c>
      <c r="R1937">
        <v>1</v>
      </c>
      <c r="S1937">
        <v>0</v>
      </c>
      <c r="T1937"/>
      <c r="U1937"/>
      <c r="V1937"/>
      <c r="W1937"/>
      <c r="X1937">
        <v>0</v>
      </c>
      <c r="Y1937"/>
      <c r="Z1937">
        <v>0</v>
      </c>
      <c r="AA1937"/>
      <c r="AB1937"/>
      <c r="AC1937"/>
      <c r="AD1937"/>
      <c r="AE1937">
        <v>0</v>
      </c>
      <c r="AF1937"/>
      <c r="AG1937"/>
      <c r="AH1937"/>
    </row>
    <row r="1938" spans="1:34" x14ac:dyDescent="0.25">
      <c r="A1938" t="s">
        <v>3406</v>
      </c>
      <c r="B1938" t="s">
        <v>3407</v>
      </c>
      <c r="C1938"/>
      <c r="D1938" t="s">
        <v>1778</v>
      </c>
      <c r="E1938" t="s">
        <v>2449</v>
      </c>
      <c r="F1938" t="s">
        <v>2506</v>
      </c>
      <c r="G1938" t="s">
        <v>280</v>
      </c>
      <c r="H1938" t="s">
        <v>2507</v>
      </c>
      <c r="I1938" t="s">
        <v>35</v>
      </c>
      <c r="J1938"/>
      <c r="K1938">
        <v>1</v>
      </c>
      <c r="L1938">
        <v>1</v>
      </c>
      <c r="M1938" t="s">
        <v>33</v>
      </c>
      <c r="N1938">
        <v>1</v>
      </c>
      <c r="O1938"/>
      <c r="P1938">
        <v>0</v>
      </c>
      <c r="Q1938" t="s">
        <v>38</v>
      </c>
      <c r="R1938">
        <v>1</v>
      </c>
      <c r="S1938">
        <v>0</v>
      </c>
      <c r="T1938"/>
      <c r="U1938"/>
      <c r="V1938"/>
      <c r="W1938"/>
      <c r="X1938">
        <v>0</v>
      </c>
      <c r="Y1938"/>
      <c r="Z1938">
        <v>0</v>
      </c>
      <c r="AA1938"/>
      <c r="AB1938"/>
      <c r="AC1938"/>
      <c r="AD1938"/>
      <c r="AE1938">
        <v>0</v>
      </c>
      <c r="AF1938"/>
      <c r="AG1938"/>
      <c r="AH1938"/>
    </row>
    <row r="1939" spans="1:34" x14ac:dyDescent="0.25">
      <c r="A1939" t="s">
        <v>3408</v>
      </c>
      <c r="B1939" t="s">
        <v>3409</v>
      </c>
      <c r="C1939"/>
      <c r="D1939" t="s">
        <v>1778</v>
      </c>
      <c r="E1939" t="s">
        <v>2449</v>
      </c>
      <c r="F1939" t="s">
        <v>2506</v>
      </c>
      <c r="G1939" t="s">
        <v>280</v>
      </c>
      <c r="H1939" t="s">
        <v>2507</v>
      </c>
      <c r="I1939" t="s">
        <v>35</v>
      </c>
      <c r="J1939"/>
      <c r="K1939">
        <v>1</v>
      </c>
      <c r="L1939">
        <v>1</v>
      </c>
      <c r="M1939" t="s">
        <v>33</v>
      </c>
      <c r="N1939">
        <v>1</v>
      </c>
      <c r="O1939"/>
      <c r="P1939">
        <v>0</v>
      </c>
      <c r="Q1939" t="s">
        <v>38</v>
      </c>
      <c r="R1939">
        <v>1</v>
      </c>
      <c r="S1939">
        <v>0</v>
      </c>
      <c r="T1939"/>
      <c r="U1939"/>
      <c r="V1939"/>
      <c r="W1939"/>
      <c r="X1939">
        <v>0</v>
      </c>
      <c r="Y1939"/>
      <c r="Z1939">
        <v>0</v>
      </c>
      <c r="AA1939"/>
      <c r="AB1939"/>
      <c r="AC1939"/>
      <c r="AD1939"/>
      <c r="AE1939">
        <v>0</v>
      </c>
      <c r="AF1939"/>
      <c r="AG1939"/>
      <c r="AH1939"/>
    </row>
    <row r="1940" spans="1:34" x14ac:dyDescent="0.25">
      <c r="A1940" t="s">
        <v>3406</v>
      </c>
      <c r="B1940" t="s">
        <v>3407</v>
      </c>
      <c r="C1940"/>
      <c r="D1940" t="s">
        <v>1778</v>
      </c>
      <c r="E1940" t="s">
        <v>2449</v>
      </c>
      <c r="F1940" t="s">
        <v>2508</v>
      </c>
      <c r="G1940" t="s">
        <v>280</v>
      </c>
      <c r="H1940" t="s">
        <v>2509</v>
      </c>
      <c r="I1940" t="s">
        <v>35</v>
      </c>
      <c r="J1940"/>
      <c r="K1940">
        <v>1</v>
      </c>
      <c r="L1940">
        <v>1</v>
      </c>
      <c r="M1940" t="s">
        <v>33</v>
      </c>
      <c r="N1940">
        <v>1</v>
      </c>
      <c r="O1940"/>
      <c r="P1940">
        <v>0</v>
      </c>
      <c r="Q1940" t="s">
        <v>38</v>
      </c>
      <c r="R1940">
        <v>1</v>
      </c>
      <c r="S1940">
        <v>0</v>
      </c>
      <c r="T1940"/>
      <c r="U1940"/>
      <c r="V1940"/>
      <c r="W1940"/>
      <c r="X1940">
        <v>0</v>
      </c>
      <c r="Y1940"/>
      <c r="Z1940">
        <v>0</v>
      </c>
      <c r="AA1940"/>
      <c r="AB1940"/>
      <c r="AC1940"/>
      <c r="AD1940"/>
      <c r="AE1940">
        <v>0</v>
      </c>
      <c r="AF1940"/>
      <c r="AG1940"/>
      <c r="AH1940"/>
    </row>
    <row r="1941" spans="1:34" x14ac:dyDescent="0.25">
      <c r="A1941" t="s">
        <v>3408</v>
      </c>
      <c r="B1941" t="s">
        <v>3409</v>
      </c>
      <c r="C1941"/>
      <c r="D1941" t="s">
        <v>1778</v>
      </c>
      <c r="E1941" t="s">
        <v>2449</v>
      </c>
      <c r="F1941" t="s">
        <v>2508</v>
      </c>
      <c r="G1941" t="s">
        <v>280</v>
      </c>
      <c r="H1941" t="s">
        <v>2509</v>
      </c>
      <c r="I1941" t="s">
        <v>35</v>
      </c>
      <c r="J1941"/>
      <c r="K1941">
        <v>1</v>
      </c>
      <c r="L1941">
        <v>1</v>
      </c>
      <c r="M1941" t="s">
        <v>33</v>
      </c>
      <c r="N1941">
        <v>1</v>
      </c>
      <c r="O1941"/>
      <c r="P1941">
        <v>0</v>
      </c>
      <c r="Q1941" t="s">
        <v>38</v>
      </c>
      <c r="R1941">
        <v>1</v>
      </c>
      <c r="S1941">
        <v>0</v>
      </c>
      <c r="T1941"/>
      <c r="U1941"/>
      <c r="V1941"/>
      <c r="W1941"/>
      <c r="X1941">
        <v>0</v>
      </c>
      <c r="Y1941"/>
      <c r="Z1941">
        <v>0</v>
      </c>
      <c r="AA1941"/>
      <c r="AB1941"/>
      <c r="AC1941"/>
      <c r="AD1941"/>
      <c r="AE1941">
        <v>0</v>
      </c>
      <c r="AF1941"/>
      <c r="AG1941"/>
      <c r="AH1941"/>
    </row>
    <row r="1942" spans="1:34" x14ac:dyDescent="0.25">
      <c r="A1942" t="s">
        <v>3406</v>
      </c>
      <c r="B1942" t="s">
        <v>3407</v>
      </c>
      <c r="C1942"/>
      <c r="D1942" t="s">
        <v>1778</v>
      </c>
      <c r="E1942" t="s">
        <v>2449</v>
      </c>
      <c r="F1942" t="s">
        <v>2510</v>
      </c>
      <c r="G1942" t="s">
        <v>280</v>
      </c>
      <c r="H1942" t="s">
        <v>2511</v>
      </c>
      <c r="I1942" t="s">
        <v>35</v>
      </c>
      <c r="J1942"/>
      <c r="K1942">
        <v>1</v>
      </c>
      <c r="L1942">
        <v>1</v>
      </c>
      <c r="M1942" t="s">
        <v>33</v>
      </c>
      <c r="N1942">
        <v>1</v>
      </c>
      <c r="O1942"/>
      <c r="P1942">
        <v>0</v>
      </c>
      <c r="Q1942" t="s">
        <v>38</v>
      </c>
      <c r="R1942">
        <v>1</v>
      </c>
      <c r="S1942">
        <v>0</v>
      </c>
      <c r="T1942"/>
      <c r="U1942"/>
      <c r="V1942"/>
      <c r="W1942"/>
      <c r="X1942">
        <v>0</v>
      </c>
      <c r="Y1942"/>
      <c r="Z1942">
        <v>0</v>
      </c>
      <c r="AA1942"/>
      <c r="AB1942"/>
      <c r="AC1942"/>
      <c r="AD1942"/>
      <c r="AE1942">
        <v>0</v>
      </c>
      <c r="AF1942"/>
      <c r="AG1942"/>
      <c r="AH1942"/>
    </row>
    <row r="1943" spans="1:34" x14ac:dyDescent="0.25">
      <c r="A1943" t="s">
        <v>3408</v>
      </c>
      <c r="B1943" t="s">
        <v>3409</v>
      </c>
      <c r="C1943"/>
      <c r="D1943" t="s">
        <v>1778</v>
      </c>
      <c r="E1943" t="s">
        <v>2449</v>
      </c>
      <c r="F1943" t="s">
        <v>2510</v>
      </c>
      <c r="G1943" t="s">
        <v>280</v>
      </c>
      <c r="H1943" t="s">
        <v>2511</v>
      </c>
      <c r="I1943" t="s">
        <v>35</v>
      </c>
      <c r="J1943"/>
      <c r="K1943">
        <v>1</v>
      </c>
      <c r="L1943">
        <v>1</v>
      </c>
      <c r="M1943" t="s">
        <v>33</v>
      </c>
      <c r="N1943">
        <v>1</v>
      </c>
      <c r="O1943"/>
      <c r="P1943">
        <v>0</v>
      </c>
      <c r="Q1943" t="s">
        <v>38</v>
      </c>
      <c r="R1943">
        <v>1</v>
      </c>
      <c r="S1943">
        <v>0</v>
      </c>
      <c r="T1943"/>
      <c r="U1943"/>
      <c r="V1943"/>
      <c r="W1943"/>
      <c r="X1943">
        <v>0</v>
      </c>
      <c r="Y1943"/>
      <c r="Z1943">
        <v>0</v>
      </c>
      <c r="AA1943"/>
      <c r="AB1943"/>
      <c r="AC1943"/>
      <c r="AD1943"/>
      <c r="AE1943">
        <v>0</v>
      </c>
      <c r="AF1943"/>
      <c r="AG1943"/>
      <c r="AH1943"/>
    </row>
    <row r="1944" spans="1:34" x14ac:dyDescent="0.25">
      <c r="A1944" t="s">
        <v>3406</v>
      </c>
      <c r="B1944" t="s">
        <v>3407</v>
      </c>
      <c r="C1944"/>
      <c r="D1944" t="s">
        <v>1778</v>
      </c>
      <c r="E1944" t="s">
        <v>2449</v>
      </c>
      <c r="F1944" t="s">
        <v>2512</v>
      </c>
      <c r="G1944" t="s">
        <v>280</v>
      </c>
      <c r="H1944" t="s">
        <v>2513</v>
      </c>
      <c r="I1944" t="s">
        <v>35</v>
      </c>
      <c r="J1944"/>
      <c r="K1944">
        <v>1</v>
      </c>
      <c r="L1944">
        <v>1</v>
      </c>
      <c r="M1944" t="s">
        <v>33</v>
      </c>
      <c r="N1944">
        <v>1</v>
      </c>
      <c r="O1944"/>
      <c r="P1944">
        <v>0</v>
      </c>
      <c r="Q1944" t="s">
        <v>38</v>
      </c>
      <c r="R1944">
        <v>1</v>
      </c>
      <c r="S1944">
        <v>0</v>
      </c>
      <c r="T1944"/>
      <c r="U1944"/>
      <c r="V1944"/>
      <c r="W1944"/>
      <c r="X1944">
        <v>0</v>
      </c>
      <c r="Y1944"/>
      <c r="Z1944">
        <v>0</v>
      </c>
      <c r="AA1944"/>
      <c r="AB1944"/>
      <c r="AC1944"/>
      <c r="AD1944"/>
      <c r="AE1944">
        <v>0</v>
      </c>
      <c r="AF1944"/>
      <c r="AG1944"/>
      <c r="AH1944"/>
    </row>
    <row r="1945" spans="1:34" x14ac:dyDescent="0.25">
      <c r="A1945" t="s">
        <v>3408</v>
      </c>
      <c r="B1945" t="s">
        <v>3409</v>
      </c>
      <c r="C1945"/>
      <c r="D1945" t="s">
        <v>1778</v>
      </c>
      <c r="E1945" t="s">
        <v>2449</v>
      </c>
      <c r="F1945" t="s">
        <v>2512</v>
      </c>
      <c r="G1945" t="s">
        <v>280</v>
      </c>
      <c r="H1945" t="s">
        <v>2513</v>
      </c>
      <c r="I1945" t="s">
        <v>35</v>
      </c>
      <c r="J1945"/>
      <c r="K1945">
        <v>1</v>
      </c>
      <c r="L1945">
        <v>1</v>
      </c>
      <c r="M1945" t="s">
        <v>33</v>
      </c>
      <c r="N1945">
        <v>1</v>
      </c>
      <c r="O1945"/>
      <c r="P1945">
        <v>0</v>
      </c>
      <c r="Q1945" t="s">
        <v>38</v>
      </c>
      <c r="R1945">
        <v>1</v>
      </c>
      <c r="S1945">
        <v>0</v>
      </c>
      <c r="T1945"/>
      <c r="U1945"/>
      <c r="V1945"/>
      <c r="W1945"/>
      <c r="X1945">
        <v>0</v>
      </c>
      <c r="Y1945"/>
      <c r="Z1945">
        <v>0</v>
      </c>
      <c r="AA1945"/>
      <c r="AB1945"/>
      <c r="AC1945"/>
      <c r="AD1945"/>
      <c r="AE1945">
        <v>0</v>
      </c>
      <c r="AF1945"/>
      <c r="AG1945"/>
      <c r="AH1945"/>
    </row>
    <row r="1946" spans="1:34" x14ac:dyDescent="0.25">
      <c r="A1946" t="s">
        <v>3406</v>
      </c>
      <c r="B1946" t="s">
        <v>3407</v>
      </c>
      <c r="C1946"/>
      <c r="D1946" t="s">
        <v>1778</v>
      </c>
      <c r="E1946" t="s">
        <v>2449</v>
      </c>
      <c r="F1946" t="s">
        <v>2514</v>
      </c>
      <c r="G1946" t="s">
        <v>280</v>
      </c>
      <c r="H1946" t="s">
        <v>2515</v>
      </c>
      <c r="I1946" t="s">
        <v>35</v>
      </c>
      <c r="J1946"/>
      <c r="K1946">
        <v>1</v>
      </c>
      <c r="L1946">
        <v>1</v>
      </c>
      <c r="M1946" t="s">
        <v>33</v>
      </c>
      <c r="N1946">
        <v>1</v>
      </c>
      <c r="O1946"/>
      <c r="P1946">
        <v>0</v>
      </c>
      <c r="Q1946" t="s">
        <v>38</v>
      </c>
      <c r="R1946">
        <v>1</v>
      </c>
      <c r="S1946">
        <v>0</v>
      </c>
      <c r="T1946"/>
      <c r="U1946"/>
      <c r="V1946"/>
      <c r="W1946"/>
      <c r="X1946">
        <v>0</v>
      </c>
      <c r="Y1946"/>
      <c r="Z1946">
        <v>0</v>
      </c>
      <c r="AA1946"/>
      <c r="AB1946"/>
      <c r="AC1946"/>
      <c r="AD1946"/>
      <c r="AE1946">
        <v>0</v>
      </c>
      <c r="AF1946"/>
      <c r="AG1946"/>
      <c r="AH1946"/>
    </row>
    <row r="1947" spans="1:34" x14ac:dyDescent="0.25">
      <c r="A1947" t="s">
        <v>3408</v>
      </c>
      <c r="B1947" t="s">
        <v>3409</v>
      </c>
      <c r="C1947"/>
      <c r="D1947" t="s">
        <v>1778</v>
      </c>
      <c r="E1947" t="s">
        <v>2449</v>
      </c>
      <c r="F1947" t="s">
        <v>2514</v>
      </c>
      <c r="G1947" t="s">
        <v>280</v>
      </c>
      <c r="H1947" t="s">
        <v>2515</v>
      </c>
      <c r="I1947" t="s">
        <v>35</v>
      </c>
      <c r="J1947"/>
      <c r="K1947">
        <v>1</v>
      </c>
      <c r="L1947">
        <v>1</v>
      </c>
      <c r="M1947" t="s">
        <v>33</v>
      </c>
      <c r="N1947">
        <v>1</v>
      </c>
      <c r="O1947"/>
      <c r="P1947">
        <v>0</v>
      </c>
      <c r="Q1947" t="s">
        <v>38</v>
      </c>
      <c r="R1947">
        <v>1</v>
      </c>
      <c r="S1947">
        <v>0</v>
      </c>
      <c r="T1947"/>
      <c r="U1947"/>
      <c r="V1947"/>
      <c r="W1947"/>
      <c r="X1947">
        <v>0</v>
      </c>
      <c r="Y1947"/>
      <c r="Z1947">
        <v>0</v>
      </c>
      <c r="AA1947"/>
      <c r="AB1947"/>
      <c r="AC1947"/>
      <c r="AD1947"/>
      <c r="AE1947">
        <v>0</v>
      </c>
      <c r="AF1947"/>
      <c r="AG1947"/>
      <c r="AH1947"/>
    </row>
    <row r="1948" spans="1:34" x14ac:dyDescent="0.25">
      <c r="A1948" t="s">
        <v>3406</v>
      </c>
      <c r="B1948" t="s">
        <v>3407</v>
      </c>
      <c r="C1948"/>
      <c r="D1948" t="s">
        <v>1778</v>
      </c>
      <c r="E1948" t="s">
        <v>2449</v>
      </c>
      <c r="F1948" t="s">
        <v>2516</v>
      </c>
      <c r="G1948" t="s">
        <v>280</v>
      </c>
      <c r="H1948" t="s">
        <v>2517</v>
      </c>
      <c r="I1948" t="s">
        <v>35</v>
      </c>
      <c r="J1948"/>
      <c r="K1948">
        <v>1</v>
      </c>
      <c r="L1948">
        <v>1</v>
      </c>
      <c r="M1948" t="s">
        <v>33</v>
      </c>
      <c r="N1948">
        <v>1</v>
      </c>
      <c r="O1948"/>
      <c r="P1948">
        <v>0</v>
      </c>
      <c r="Q1948" t="s">
        <v>38</v>
      </c>
      <c r="R1948">
        <v>1</v>
      </c>
      <c r="S1948">
        <v>0</v>
      </c>
      <c r="T1948"/>
      <c r="U1948"/>
      <c r="V1948"/>
      <c r="W1948"/>
      <c r="X1948">
        <v>0</v>
      </c>
      <c r="Y1948"/>
      <c r="Z1948">
        <v>0</v>
      </c>
      <c r="AA1948"/>
      <c r="AB1948"/>
      <c r="AC1948"/>
      <c r="AD1948"/>
      <c r="AE1948">
        <v>0</v>
      </c>
      <c r="AF1948"/>
      <c r="AG1948"/>
      <c r="AH1948"/>
    </row>
    <row r="1949" spans="1:34" x14ac:dyDescent="0.25">
      <c r="A1949" t="s">
        <v>3408</v>
      </c>
      <c r="B1949" t="s">
        <v>3409</v>
      </c>
      <c r="C1949"/>
      <c r="D1949" t="s">
        <v>1778</v>
      </c>
      <c r="E1949" t="s">
        <v>2449</v>
      </c>
      <c r="F1949" t="s">
        <v>2516</v>
      </c>
      <c r="G1949" t="s">
        <v>280</v>
      </c>
      <c r="H1949" t="s">
        <v>2517</v>
      </c>
      <c r="I1949" t="s">
        <v>35</v>
      </c>
      <c r="J1949"/>
      <c r="K1949">
        <v>1</v>
      </c>
      <c r="L1949">
        <v>1</v>
      </c>
      <c r="M1949" t="s">
        <v>33</v>
      </c>
      <c r="N1949">
        <v>1</v>
      </c>
      <c r="O1949"/>
      <c r="P1949">
        <v>0</v>
      </c>
      <c r="Q1949" t="s">
        <v>38</v>
      </c>
      <c r="R1949">
        <v>1</v>
      </c>
      <c r="S1949">
        <v>0</v>
      </c>
      <c r="T1949"/>
      <c r="U1949"/>
      <c r="V1949"/>
      <c r="W1949"/>
      <c r="X1949">
        <v>0</v>
      </c>
      <c r="Y1949"/>
      <c r="Z1949">
        <v>0</v>
      </c>
      <c r="AA1949"/>
      <c r="AB1949"/>
      <c r="AC1949"/>
      <c r="AD1949"/>
      <c r="AE1949">
        <v>0</v>
      </c>
      <c r="AF1949"/>
      <c r="AG1949"/>
      <c r="AH1949"/>
    </row>
    <row r="1950" spans="1:34" x14ac:dyDescent="0.25">
      <c r="A1950" t="s">
        <v>3406</v>
      </c>
      <c r="B1950" t="s">
        <v>3407</v>
      </c>
      <c r="C1950"/>
      <c r="D1950" t="s">
        <v>1778</v>
      </c>
      <c r="E1950" t="s">
        <v>2449</v>
      </c>
      <c r="F1950" t="s">
        <v>2518</v>
      </c>
      <c r="G1950" t="s">
        <v>280</v>
      </c>
      <c r="H1950" t="s">
        <v>2519</v>
      </c>
      <c r="I1950" t="s">
        <v>35</v>
      </c>
      <c r="J1950"/>
      <c r="K1950">
        <v>1</v>
      </c>
      <c r="L1950">
        <v>1</v>
      </c>
      <c r="M1950" t="s">
        <v>33</v>
      </c>
      <c r="N1950">
        <v>1</v>
      </c>
      <c r="O1950"/>
      <c r="P1950">
        <v>0</v>
      </c>
      <c r="Q1950" t="s">
        <v>38</v>
      </c>
      <c r="R1950">
        <v>1</v>
      </c>
      <c r="S1950">
        <v>0</v>
      </c>
      <c r="T1950"/>
      <c r="U1950"/>
      <c r="V1950"/>
      <c r="W1950"/>
      <c r="X1950">
        <v>0</v>
      </c>
      <c r="Y1950"/>
      <c r="Z1950">
        <v>0</v>
      </c>
      <c r="AA1950"/>
      <c r="AB1950"/>
      <c r="AC1950"/>
      <c r="AD1950"/>
      <c r="AE1950">
        <v>0</v>
      </c>
      <c r="AF1950"/>
      <c r="AG1950"/>
      <c r="AH1950"/>
    </row>
    <row r="1951" spans="1:34" x14ac:dyDescent="0.25">
      <c r="A1951" t="s">
        <v>3408</v>
      </c>
      <c r="B1951" t="s">
        <v>3409</v>
      </c>
      <c r="C1951"/>
      <c r="D1951" t="s">
        <v>1778</v>
      </c>
      <c r="E1951" t="s">
        <v>2449</v>
      </c>
      <c r="F1951" t="s">
        <v>2518</v>
      </c>
      <c r="G1951" t="s">
        <v>280</v>
      </c>
      <c r="H1951" t="s">
        <v>2519</v>
      </c>
      <c r="I1951" t="s">
        <v>35</v>
      </c>
      <c r="J1951"/>
      <c r="K1951">
        <v>1</v>
      </c>
      <c r="L1951">
        <v>1</v>
      </c>
      <c r="M1951" t="s">
        <v>33</v>
      </c>
      <c r="N1951">
        <v>1</v>
      </c>
      <c r="O1951"/>
      <c r="P1951">
        <v>0</v>
      </c>
      <c r="Q1951" t="s">
        <v>38</v>
      </c>
      <c r="R1951">
        <v>1</v>
      </c>
      <c r="S1951">
        <v>0</v>
      </c>
      <c r="T1951"/>
      <c r="U1951"/>
      <c r="V1951"/>
      <c r="W1951"/>
      <c r="X1951">
        <v>0</v>
      </c>
      <c r="Y1951"/>
      <c r="Z1951">
        <v>0</v>
      </c>
      <c r="AA1951"/>
      <c r="AB1951"/>
      <c r="AC1951"/>
      <c r="AD1951"/>
      <c r="AE1951">
        <v>0</v>
      </c>
      <c r="AF1951"/>
      <c r="AG1951"/>
      <c r="AH1951"/>
    </row>
    <row r="1952" spans="1:34" x14ac:dyDescent="0.25">
      <c r="A1952" t="s">
        <v>2091</v>
      </c>
      <c r="B1952" t="s">
        <v>2092</v>
      </c>
      <c r="C1952"/>
      <c r="D1952" t="s">
        <v>1778</v>
      </c>
      <c r="E1952" t="s">
        <v>2520</v>
      </c>
      <c r="F1952" t="s">
        <v>2521</v>
      </c>
      <c r="G1952" t="s">
        <v>280</v>
      </c>
      <c r="H1952" t="s">
        <v>2522</v>
      </c>
      <c r="I1952" t="s">
        <v>35</v>
      </c>
      <c r="J1952"/>
      <c r="K1952">
        <v>1</v>
      </c>
      <c r="L1952">
        <v>1</v>
      </c>
      <c r="M1952" t="s">
        <v>33</v>
      </c>
      <c r="N1952">
        <v>1</v>
      </c>
      <c r="O1952"/>
      <c r="P1952">
        <v>0</v>
      </c>
      <c r="Q1952" t="s">
        <v>38</v>
      </c>
      <c r="R1952">
        <v>1</v>
      </c>
      <c r="S1952">
        <v>0</v>
      </c>
      <c r="T1952"/>
      <c r="U1952"/>
      <c r="V1952"/>
      <c r="W1952"/>
      <c r="X1952">
        <v>0</v>
      </c>
      <c r="Y1952"/>
      <c r="Z1952">
        <v>0</v>
      </c>
      <c r="AA1952"/>
      <c r="AB1952"/>
      <c r="AC1952"/>
      <c r="AD1952"/>
      <c r="AE1952">
        <v>0</v>
      </c>
      <c r="AF1952"/>
      <c r="AG1952"/>
      <c r="AH1952"/>
    </row>
    <row r="1953" spans="1:34" x14ac:dyDescent="0.25">
      <c r="A1953" t="s">
        <v>2091</v>
      </c>
      <c r="B1953" t="s">
        <v>2092</v>
      </c>
      <c r="C1953"/>
      <c r="D1953" t="s">
        <v>1778</v>
      </c>
      <c r="E1953" t="s">
        <v>2520</v>
      </c>
      <c r="F1953" t="s">
        <v>2523</v>
      </c>
      <c r="G1953" t="s">
        <v>280</v>
      </c>
      <c r="H1953" t="s">
        <v>2524</v>
      </c>
      <c r="I1953" t="s">
        <v>35</v>
      </c>
      <c r="J1953"/>
      <c r="K1953">
        <v>1</v>
      </c>
      <c r="L1953">
        <v>1</v>
      </c>
      <c r="M1953" t="s">
        <v>33</v>
      </c>
      <c r="N1953">
        <v>1</v>
      </c>
      <c r="O1953"/>
      <c r="P1953">
        <v>0</v>
      </c>
      <c r="Q1953" t="s">
        <v>38</v>
      </c>
      <c r="R1953">
        <v>1</v>
      </c>
      <c r="S1953">
        <v>0</v>
      </c>
      <c r="T1953"/>
      <c r="U1953"/>
      <c r="V1953"/>
      <c r="W1953"/>
      <c r="X1953">
        <v>0</v>
      </c>
      <c r="Y1953"/>
      <c r="Z1953">
        <v>0</v>
      </c>
      <c r="AA1953"/>
      <c r="AB1953"/>
      <c r="AC1953"/>
      <c r="AD1953"/>
      <c r="AE1953">
        <v>0</v>
      </c>
      <c r="AF1953"/>
      <c r="AG1953"/>
      <c r="AH1953"/>
    </row>
    <row r="1954" spans="1:34" x14ac:dyDescent="0.25">
      <c r="A1954" t="s">
        <v>2091</v>
      </c>
      <c r="B1954" t="s">
        <v>2092</v>
      </c>
      <c r="C1954"/>
      <c r="D1954" t="s">
        <v>1778</v>
      </c>
      <c r="E1954" t="s">
        <v>2520</v>
      </c>
      <c r="F1954" t="s">
        <v>2525</v>
      </c>
      <c r="G1954" t="s">
        <v>280</v>
      </c>
      <c r="H1954" t="s">
        <v>2526</v>
      </c>
      <c r="I1954" t="s">
        <v>35</v>
      </c>
      <c r="J1954"/>
      <c r="K1954">
        <v>1</v>
      </c>
      <c r="L1954">
        <v>1</v>
      </c>
      <c r="M1954" t="s">
        <v>33</v>
      </c>
      <c r="N1954">
        <v>1</v>
      </c>
      <c r="O1954"/>
      <c r="P1954">
        <v>0</v>
      </c>
      <c r="Q1954" t="s">
        <v>38</v>
      </c>
      <c r="R1954">
        <v>1</v>
      </c>
      <c r="S1954">
        <v>0</v>
      </c>
      <c r="T1954"/>
      <c r="U1954"/>
      <c r="V1954"/>
      <c r="W1954"/>
      <c r="X1954">
        <v>0</v>
      </c>
      <c r="Y1954"/>
      <c r="Z1954">
        <v>0</v>
      </c>
      <c r="AA1954"/>
      <c r="AB1954"/>
      <c r="AC1954"/>
      <c r="AD1954"/>
      <c r="AE1954">
        <v>0</v>
      </c>
      <c r="AF1954"/>
      <c r="AG1954"/>
      <c r="AH1954"/>
    </row>
    <row r="1955" spans="1:34" x14ac:dyDescent="0.25">
      <c r="A1955" t="s">
        <v>2120</v>
      </c>
      <c r="B1955" t="s">
        <v>2121</v>
      </c>
      <c r="C1955"/>
      <c r="D1955" t="s">
        <v>1778</v>
      </c>
      <c r="E1955" t="s">
        <v>2520</v>
      </c>
      <c r="F1955" t="s">
        <v>2527</v>
      </c>
      <c r="G1955" t="s">
        <v>280</v>
      </c>
      <c r="H1955" t="s">
        <v>2528</v>
      </c>
      <c r="I1955" t="s">
        <v>35</v>
      </c>
      <c r="J1955"/>
      <c r="K1955">
        <v>1</v>
      </c>
      <c r="L1955">
        <v>1</v>
      </c>
      <c r="M1955" t="s">
        <v>33</v>
      </c>
      <c r="N1955">
        <v>1</v>
      </c>
      <c r="O1955"/>
      <c r="P1955">
        <v>0</v>
      </c>
      <c r="Q1955" t="s">
        <v>38</v>
      </c>
      <c r="R1955">
        <v>1</v>
      </c>
      <c r="S1955">
        <v>0</v>
      </c>
      <c r="T1955"/>
      <c r="U1955"/>
      <c r="V1955"/>
      <c r="W1955"/>
      <c r="X1955">
        <v>0</v>
      </c>
      <c r="Y1955"/>
      <c r="Z1955">
        <v>0</v>
      </c>
      <c r="AA1955"/>
      <c r="AB1955"/>
      <c r="AC1955"/>
      <c r="AD1955"/>
      <c r="AE1955">
        <v>0</v>
      </c>
      <c r="AF1955"/>
      <c r="AG1955" t="s">
        <v>3467</v>
      </c>
      <c r="AH1955"/>
    </row>
    <row r="1956" spans="1:34" x14ac:dyDescent="0.25">
      <c r="A1956" t="s">
        <v>2120</v>
      </c>
      <c r="B1956" t="s">
        <v>2121</v>
      </c>
      <c r="C1956"/>
      <c r="D1956" t="s">
        <v>1778</v>
      </c>
      <c r="E1956" t="s">
        <v>2520</v>
      </c>
      <c r="F1956" t="s">
        <v>2529</v>
      </c>
      <c r="G1956" t="s">
        <v>280</v>
      </c>
      <c r="H1956" t="s">
        <v>2530</v>
      </c>
      <c r="I1956" t="s">
        <v>35</v>
      </c>
      <c r="J1956"/>
      <c r="K1956">
        <v>1</v>
      </c>
      <c r="L1956">
        <v>1</v>
      </c>
      <c r="M1956" t="s">
        <v>33</v>
      </c>
      <c r="N1956">
        <v>1</v>
      </c>
      <c r="O1956"/>
      <c r="P1956">
        <v>0</v>
      </c>
      <c r="Q1956" t="s">
        <v>38</v>
      </c>
      <c r="R1956">
        <v>1</v>
      </c>
      <c r="S1956">
        <v>0</v>
      </c>
      <c r="T1956"/>
      <c r="U1956"/>
      <c r="V1956"/>
      <c r="W1956"/>
      <c r="X1956">
        <v>0</v>
      </c>
      <c r="Y1956"/>
      <c r="Z1956">
        <v>0</v>
      </c>
      <c r="AA1956"/>
      <c r="AB1956"/>
      <c r="AC1956"/>
      <c r="AD1956"/>
      <c r="AE1956">
        <v>0</v>
      </c>
      <c r="AF1956"/>
      <c r="AG1956" t="s">
        <v>3467</v>
      </c>
      <c r="AH1956"/>
    </row>
    <row r="1957" spans="1:34" x14ac:dyDescent="0.25">
      <c r="A1957" t="s">
        <v>2120</v>
      </c>
      <c r="B1957" t="s">
        <v>2121</v>
      </c>
      <c r="C1957"/>
      <c r="D1957" t="s">
        <v>1778</v>
      </c>
      <c r="E1957" t="s">
        <v>2520</v>
      </c>
      <c r="F1957" t="s">
        <v>2531</v>
      </c>
      <c r="G1957" t="s">
        <v>280</v>
      </c>
      <c r="H1957" t="s">
        <v>2532</v>
      </c>
      <c r="I1957" t="s">
        <v>35</v>
      </c>
      <c r="J1957"/>
      <c r="K1957">
        <v>1</v>
      </c>
      <c r="L1957">
        <v>1</v>
      </c>
      <c r="M1957" t="s">
        <v>33</v>
      </c>
      <c r="N1957">
        <v>1</v>
      </c>
      <c r="O1957"/>
      <c r="P1957">
        <v>0</v>
      </c>
      <c r="Q1957" t="s">
        <v>38</v>
      </c>
      <c r="R1957">
        <v>1</v>
      </c>
      <c r="S1957">
        <v>0</v>
      </c>
      <c r="T1957"/>
      <c r="U1957"/>
      <c r="V1957"/>
      <c r="W1957"/>
      <c r="X1957">
        <v>0</v>
      </c>
      <c r="Y1957"/>
      <c r="Z1957">
        <v>0</v>
      </c>
      <c r="AA1957"/>
      <c r="AB1957"/>
      <c r="AC1957"/>
      <c r="AD1957"/>
      <c r="AE1957">
        <v>0</v>
      </c>
      <c r="AF1957"/>
      <c r="AG1957" t="s">
        <v>3467</v>
      </c>
      <c r="AH1957"/>
    </row>
    <row r="1958" spans="1:34" x14ac:dyDescent="0.25">
      <c r="A1958" t="s">
        <v>2091</v>
      </c>
      <c r="B1958" t="s">
        <v>2092</v>
      </c>
      <c r="C1958"/>
      <c r="D1958" t="s">
        <v>1778</v>
      </c>
      <c r="E1958" t="s">
        <v>2533</v>
      </c>
      <c r="F1958" t="s">
        <v>2534</v>
      </c>
      <c r="G1958" t="s">
        <v>280</v>
      </c>
      <c r="H1958" t="s">
        <v>2535</v>
      </c>
      <c r="I1958" t="s">
        <v>35</v>
      </c>
      <c r="J1958"/>
      <c r="K1958">
        <v>1</v>
      </c>
      <c r="L1958">
        <v>1</v>
      </c>
      <c r="M1958" t="s">
        <v>33</v>
      </c>
      <c r="N1958">
        <v>0.5</v>
      </c>
      <c r="O1958"/>
      <c r="P1958">
        <v>0</v>
      </c>
      <c r="Q1958" t="s">
        <v>38</v>
      </c>
      <c r="R1958">
        <v>1</v>
      </c>
      <c r="S1958">
        <v>0</v>
      </c>
      <c r="T1958"/>
      <c r="U1958"/>
      <c r="V1958"/>
      <c r="W1958"/>
      <c r="X1958">
        <v>0</v>
      </c>
      <c r="Y1958"/>
      <c r="Z1958">
        <v>0</v>
      </c>
      <c r="AA1958"/>
      <c r="AB1958"/>
      <c r="AC1958"/>
      <c r="AD1958"/>
      <c r="AE1958">
        <v>0</v>
      </c>
      <c r="AF1958"/>
      <c r="AG1958"/>
      <c r="AH1958"/>
    </row>
    <row r="1959" spans="1:34" x14ac:dyDescent="0.25">
      <c r="A1959" t="s">
        <v>2091</v>
      </c>
      <c r="B1959" t="s">
        <v>2092</v>
      </c>
      <c r="C1959"/>
      <c r="D1959" t="s">
        <v>1778</v>
      </c>
      <c r="E1959" t="s">
        <v>2533</v>
      </c>
      <c r="F1959" t="s">
        <v>2536</v>
      </c>
      <c r="G1959" t="s">
        <v>280</v>
      </c>
      <c r="H1959" t="s">
        <v>2537</v>
      </c>
      <c r="I1959" t="s">
        <v>35</v>
      </c>
      <c r="J1959"/>
      <c r="K1959">
        <v>1</v>
      </c>
      <c r="L1959">
        <v>1</v>
      </c>
      <c r="M1959" t="s">
        <v>33</v>
      </c>
      <c r="N1959">
        <v>0.5</v>
      </c>
      <c r="O1959"/>
      <c r="P1959">
        <v>0</v>
      </c>
      <c r="Q1959" t="s">
        <v>38</v>
      </c>
      <c r="R1959">
        <v>1</v>
      </c>
      <c r="S1959">
        <v>0</v>
      </c>
      <c r="T1959"/>
      <c r="U1959"/>
      <c r="V1959"/>
      <c r="W1959"/>
      <c r="X1959">
        <v>0</v>
      </c>
      <c r="Y1959"/>
      <c r="Z1959">
        <v>0</v>
      </c>
      <c r="AA1959"/>
      <c r="AB1959"/>
      <c r="AC1959"/>
      <c r="AD1959"/>
      <c r="AE1959">
        <v>0</v>
      </c>
      <c r="AF1959"/>
      <c r="AG1959"/>
      <c r="AH1959"/>
    </row>
    <row r="1960" spans="1:34" x14ac:dyDescent="0.25">
      <c r="A1960" t="s">
        <v>2091</v>
      </c>
      <c r="B1960" t="s">
        <v>2092</v>
      </c>
      <c r="C1960"/>
      <c r="D1960" t="s">
        <v>1778</v>
      </c>
      <c r="E1960" t="s">
        <v>2533</v>
      </c>
      <c r="F1960" t="s">
        <v>2538</v>
      </c>
      <c r="G1960" t="s">
        <v>280</v>
      </c>
      <c r="H1960" t="s">
        <v>2539</v>
      </c>
      <c r="I1960" t="s">
        <v>35</v>
      </c>
      <c r="J1960"/>
      <c r="K1960">
        <v>1</v>
      </c>
      <c r="L1960">
        <v>1</v>
      </c>
      <c r="M1960" t="s">
        <v>33</v>
      </c>
      <c r="N1960">
        <v>0.5</v>
      </c>
      <c r="O1960"/>
      <c r="P1960">
        <v>0</v>
      </c>
      <c r="Q1960" t="s">
        <v>38</v>
      </c>
      <c r="R1960">
        <v>1</v>
      </c>
      <c r="S1960">
        <v>0</v>
      </c>
      <c r="T1960"/>
      <c r="U1960"/>
      <c r="V1960"/>
      <c r="W1960"/>
      <c r="X1960">
        <v>0</v>
      </c>
      <c r="Y1960"/>
      <c r="Z1960">
        <v>0</v>
      </c>
      <c r="AA1960"/>
      <c r="AB1960"/>
      <c r="AC1960"/>
      <c r="AD1960"/>
      <c r="AE1960">
        <v>0</v>
      </c>
      <c r="AF1960"/>
      <c r="AG1960"/>
      <c r="AH1960"/>
    </row>
    <row r="1961" spans="1:34" x14ac:dyDescent="0.25">
      <c r="A1961" t="s">
        <v>2091</v>
      </c>
      <c r="B1961" t="s">
        <v>2092</v>
      </c>
      <c r="C1961"/>
      <c r="D1961" t="s">
        <v>1778</v>
      </c>
      <c r="E1961" t="s">
        <v>2533</v>
      </c>
      <c r="F1961" t="s">
        <v>2540</v>
      </c>
      <c r="G1961" t="s">
        <v>280</v>
      </c>
      <c r="H1961" t="s">
        <v>2541</v>
      </c>
      <c r="I1961" t="s">
        <v>35</v>
      </c>
      <c r="J1961"/>
      <c r="K1961">
        <v>1</v>
      </c>
      <c r="L1961">
        <v>1</v>
      </c>
      <c r="M1961" t="s">
        <v>33</v>
      </c>
      <c r="N1961">
        <v>0.5</v>
      </c>
      <c r="O1961"/>
      <c r="P1961">
        <v>0</v>
      </c>
      <c r="Q1961" t="s">
        <v>38</v>
      </c>
      <c r="R1961">
        <v>1</v>
      </c>
      <c r="S1961">
        <v>0</v>
      </c>
      <c r="T1961"/>
      <c r="U1961"/>
      <c r="V1961"/>
      <c r="W1961"/>
      <c r="X1961">
        <v>0</v>
      </c>
      <c r="Y1961"/>
      <c r="Z1961">
        <v>0</v>
      </c>
      <c r="AA1961"/>
      <c r="AB1961"/>
      <c r="AC1961"/>
      <c r="AD1961"/>
      <c r="AE1961">
        <v>0</v>
      </c>
      <c r="AF1961"/>
      <c r="AG1961"/>
      <c r="AH1961"/>
    </row>
    <row r="1962" spans="1:34" x14ac:dyDescent="0.25">
      <c r="A1962" t="s">
        <v>2091</v>
      </c>
      <c r="B1962" t="s">
        <v>2092</v>
      </c>
      <c r="C1962"/>
      <c r="D1962" t="s">
        <v>1778</v>
      </c>
      <c r="E1962" t="s">
        <v>2533</v>
      </c>
      <c r="F1962" t="s">
        <v>2542</v>
      </c>
      <c r="G1962" t="s">
        <v>280</v>
      </c>
      <c r="H1962" t="s">
        <v>2543</v>
      </c>
      <c r="I1962" t="s">
        <v>35</v>
      </c>
      <c r="J1962"/>
      <c r="K1962">
        <v>1</v>
      </c>
      <c r="L1962">
        <v>1</v>
      </c>
      <c r="M1962" t="s">
        <v>33</v>
      </c>
      <c r="N1962">
        <v>0.5</v>
      </c>
      <c r="O1962"/>
      <c r="P1962">
        <v>0</v>
      </c>
      <c r="Q1962" t="s">
        <v>38</v>
      </c>
      <c r="R1962">
        <v>1</v>
      </c>
      <c r="S1962">
        <v>0</v>
      </c>
      <c r="T1962"/>
      <c r="U1962"/>
      <c r="V1962"/>
      <c r="W1962"/>
      <c r="X1962">
        <v>0</v>
      </c>
      <c r="Y1962"/>
      <c r="Z1962">
        <v>0</v>
      </c>
      <c r="AA1962"/>
      <c r="AB1962"/>
      <c r="AC1962"/>
      <c r="AD1962"/>
      <c r="AE1962">
        <v>0</v>
      </c>
      <c r="AF1962"/>
      <c r="AG1962"/>
      <c r="AH1962"/>
    </row>
    <row r="1963" spans="1:34" x14ac:dyDescent="0.25">
      <c r="A1963" t="s">
        <v>2091</v>
      </c>
      <c r="B1963" t="s">
        <v>2092</v>
      </c>
      <c r="C1963"/>
      <c r="D1963" t="s">
        <v>1778</v>
      </c>
      <c r="E1963" t="s">
        <v>2533</v>
      </c>
      <c r="F1963" t="s">
        <v>2544</v>
      </c>
      <c r="G1963" t="s">
        <v>280</v>
      </c>
      <c r="H1963" t="s">
        <v>2545</v>
      </c>
      <c r="I1963" t="s">
        <v>35</v>
      </c>
      <c r="J1963"/>
      <c r="K1963">
        <v>1</v>
      </c>
      <c r="L1963">
        <v>1</v>
      </c>
      <c r="M1963" t="s">
        <v>33</v>
      </c>
      <c r="N1963">
        <v>0.5</v>
      </c>
      <c r="O1963"/>
      <c r="P1963">
        <v>0</v>
      </c>
      <c r="Q1963" t="s">
        <v>38</v>
      </c>
      <c r="R1963">
        <v>1</v>
      </c>
      <c r="S1963">
        <v>0</v>
      </c>
      <c r="T1963"/>
      <c r="U1963"/>
      <c r="V1963"/>
      <c r="W1963"/>
      <c r="X1963">
        <v>0</v>
      </c>
      <c r="Y1963"/>
      <c r="Z1963">
        <v>0</v>
      </c>
      <c r="AA1963"/>
      <c r="AB1963"/>
      <c r="AC1963"/>
      <c r="AD1963"/>
      <c r="AE1963">
        <v>0</v>
      </c>
      <c r="AF1963"/>
      <c r="AG1963"/>
      <c r="AH1963"/>
    </row>
    <row r="1964" spans="1:34" x14ac:dyDescent="0.25">
      <c r="A1964" t="s">
        <v>2091</v>
      </c>
      <c r="B1964" t="s">
        <v>2092</v>
      </c>
      <c r="C1964"/>
      <c r="D1964" t="s">
        <v>1778</v>
      </c>
      <c r="E1964" t="s">
        <v>2533</v>
      </c>
      <c r="F1964" t="s">
        <v>2546</v>
      </c>
      <c r="G1964" t="s">
        <v>280</v>
      </c>
      <c r="H1964" t="s">
        <v>2547</v>
      </c>
      <c r="I1964" t="s">
        <v>35</v>
      </c>
      <c r="J1964"/>
      <c r="K1964">
        <v>1</v>
      </c>
      <c r="L1964">
        <v>1</v>
      </c>
      <c r="M1964" t="s">
        <v>33</v>
      </c>
      <c r="N1964">
        <v>0.5</v>
      </c>
      <c r="O1964"/>
      <c r="P1964">
        <v>0</v>
      </c>
      <c r="Q1964" t="s">
        <v>38</v>
      </c>
      <c r="R1964">
        <v>1</v>
      </c>
      <c r="S1964">
        <v>0</v>
      </c>
      <c r="T1964"/>
      <c r="U1964"/>
      <c r="V1964"/>
      <c r="W1964"/>
      <c r="X1964">
        <v>0</v>
      </c>
      <c r="Y1964"/>
      <c r="Z1964">
        <v>0</v>
      </c>
      <c r="AA1964"/>
      <c r="AB1964"/>
      <c r="AC1964"/>
      <c r="AD1964"/>
      <c r="AE1964">
        <v>0</v>
      </c>
      <c r="AF1964"/>
      <c r="AG1964"/>
      <c r="AH1964"/>
    </row>
    <row r="1965" spans="1:34" x14ac:dyDescent="0.25">
      <c r="A1965" t="s">
        <v>2091</v>
      </c>
      <c r="B1965" t="s">
        <v>2092</v>
      </c>
      <c r="C1965"/>
      <c r="D1965" t="s">
        <v>1778</v>
      </c>
      <c r="E1965" t="s">
        <v>2533</v>
      </c>
      <c r="F1965" t="s">
        <v>2548</v>
      </c>
      <c r="G1965" t="s">
        <v>280</v>
      </c>
      <c r="H1965" t="s">
        <v>2549</v>
      </c>
      <c r="I1965" t="s">
        <v>35</v>
      </c>
      <c r="J1965"/>
      <c r="K1965">
        <v>1</v>
      </c>
      <c r="L1965">
        <v>1</v>
      </c>
      <c r="M1965" t="s">
        <v>33</v>
      </c>
      <c r="N1965">
        <v>0.5</v>
      </c>
      <c r="O1965"/>
      <c r="P1965">
        <v>0</v>
      </c>
      <c r="Q1965" t="s">
        <v>38</v>
      </c>
      <c r="R1965">
        <v>1</v>
      </c>
      <c r="S1965">
        <v>0</v>
      </c>
      <c r="T1965"/>
      <c r="U1965"/>
      <c r="V1965"/>
      <c r="W1965"/>
      <c r="X1965">
        <v>0</v>
      </c>
      <c r="Y1965"/>
      <c r="Z1965">
        <v>0</v>
      </c>
      <c r="AA1965"/>
      <c r="AB1965"/>
      <c r="AC1965"/>
      <c r="AD1965"/>
      <c r="AE1965">
        <v>0</v>
      </c>
      <c r="AF1965"/>
      <c r="AG1965"/>
      <c r="AH1965"/>
    </row>
    <row r="1966" spans="1:34" x14ac:dyDescent="0.25">
      <c r="A1966" t="s">
        <v>2091</v>
      </c>
      <c r="B1966" t="s">
        <v>2092</v>
      </c>
      <c r="C1966"/>
      <c r="D1966" t="s">
        <v>1778</v>
      </c>
      <c r="E1966" t="s">
        <v>2533</v>
      </c>
      <c r="F1966" t="s">
        <v>2550</v>
      </c>
      <c r="G1966" t="s">
        <v>280</v>
      </c>
      <c r="H1966" t="s">
        <v>2551</v>
      </c>
      <c r="I1966" t="s">
        <v>35</v>
      </c>
      <c r="J1966"/>
      <c r="K1966">
        <v>1</v>
      </c>
      <c r="L1966">
        <v>1</v>
      </c>
      <c r="M1966" t="s">
        <v>33</v>
      </c>
      <c r="N1966">
        <v>0.5</v>
      </c>
      <c r="O1966"/>
      <c r="P1966">
        <v>0</v>
      </c>
      <c r="Q1966" t="s">
        <v>38</v>
      </c>
      <c r="R1966">
        <v>1</v>
      </c>
      <c r="S1966">
        <v>0</v>
      </c>
      <c r="T1966"/>
      <c r="U1966"/>
      <c r="V1966"/>
      <c r="W1966"/>
      <c r="X1966">
        <v>0</v>
      </c>
      <c r="Y1966"/>
      <c r="Z1966">
        <v>0</v>
      </c>
      <c r="AA1966"/>
      <c r="AB1966"/>
      <c r="AC1966"/>
      <c r="AD1966"/>
      <c r="AE1966">
        <v>0</v>
      </c>
      <c r="AF1966"/>
      <c r="AG1966"/>
      <c r="AH1966"/>
    </row>
    <row r="1967" spans="1:34" x14ac:dyDescent="0.25">
      <c r="A1967" t="s">
        <v>2091</v>
      </c>
      <c r="B1967" t="s">
        <v>2092</v>
      </c>
      <c r="C1967"/>
      <c r="D1967" t="s">
        <v>1778</v>
      </c>
      <c r="E1967" t="s">
        <v>2533</v>
      </c>
      <c r="F1967" t="s">
        <v>2552</v>
      </c>
      <c r="G1967" t="s">
        <v>280</v>
      </c>
      <c r="H1967" t="s">
        <v>2553</v>
      </c>
      <c r="I1967" t="s">
        <v>35</v>
      </c>
      <c r="J1967"/>
      <c r="K1967">
        <v>1</v>
      </c>
      <c r="L1967">
        <v>1</v>
      </c>
      <c r="M1967" t="s">
        <v>33</v>
      </c>
      <c r="N1967">
        <v>0.5</v>
      </c>
      <c r="O1967"/>
      <c r="P1967">
        <v>0</v>
      </c>
      <c r="Q1967" t="s">
        <v>38</v>
      </c>
      <c r="R1967">
        <v>1</v>
      </c>
      <c r="S1967">
        <v>0</v>
      </c>
      <c r="T1967"/>
      <c r="U1967"/>
      <c r="V1967"/>
      <c r="W1967"/>
      <c r="X1967">
        <v>0</v>
      </c>
      <c r="Y1967"/>
      <c r="Z1967">
        <v>0</v>
      </c>
      <c r="AA1967"/>
      <c r="AB1967"/>
      <c r="AC1967"/>
      <c r="AD1967"/>
      <c r="AE1967">
        <v>0</v>
      </c>
      <c r="AF1967"/>
      <c r="AG1967"/>
      <c r="AH1967"/>
    </row>
    <row r="1968" spans="1:34" x14ac:dyDescent="0.25">
      <c r="A1968" t="s">
        <v>2091</v>
      </c>
      <c r="B1968" t="s">
        <v>2092</v>
      </c>
      <c r="C1968"/>
      <c r="D1968" t="s">
        <v>1778</v>
      </c>
      <c r="E1968" t="s">
        <v>2533</v>
      </c>
      <c r="F1968" t="s">
        <v>2554</v>
      </c>
      <c r="G1968" t="s">
        <v>280</v>
      </c>
      <c r="H1968" t="s">
        <v>2555</v>
      </c>
      <c r="I1968" t="s">
        <v>35</v>
      </c>
      <c r="J1968"/>
      <c r="K1968">
        <v>1</v>
      </c>
      <c r="L1968">
        <v>1</v>
      </c>
      <c r="M1968" t="s">
        <v>33</v>
      </c>
      <c r="N1968">
        <v>0.5</v>
      </c>
      <c r="O1968"/>
      <c r="P1968">
        <v>0</v>
      </c>
      <c r="Q1968" t="s">
        <v>38</v>
      </c>
      <c r="R1968">
        <v>1</v>
      </c>
      <c r="S1968">
        <v>0</v>
      </c>
      <c r="T1968"/>
      <c r="U1968"/>
      <c r="V1968"/>
      <c r="W1968"/>
      <c r="X1968">
        <v>0</v>
      </c>
      <c r="Y1968"/>
      <c r="Z1968">
        <v>0</v>
      </c>
      <c r="AA1968"/>
      <c r="AB1968"/>
      <c r="AC1968"/>
      <c r="AD1968"/>
      <c r="AE1968">
        <v>0</v>
      </c>
      <c r="AF1968"/>
      <c r="AG1968"/>
      <c r="AH1968"/>
    </row>
    <row r="1969" spans="1:34" x14ac:dyDescent="0.25">
      <c r="A1969" t="s">
        <v>2091</v>
      </c>
      <c r="B1969" t="s">
        <v>2092</v>
      </c>
      <c r="C1969"/>
      <c r="D1969" t="s">
        <v>1778</v>
      </c>
      <c r="E1969" t="s">
        <v>2533</v>
      </c>
      <c r="F1969" t="s">
        <v>2556</v>
      </c>
      <c r="G1969" t="s">
        <v>280</v>
      </c>
      <c r="H1969" t="s">
        <v>2557</v>
      </c>
      <c r="I1969" t="s">
        <v>35</v>
      </c>
      <c r="J1969"/>
      <c r="K1969">
        <v>1</v>
      </c>
      <c r="L1969">
        <v>1</v>
      </c>
      <c r="M1969" t="s">
        <v>33</v>
      </c>
      <c r="N1969">
        <v>0.5</v>
      </c>
      <c r="O1969"/>
      <c r="P1969">
        <v>0</v>
      </c>
      <c r="Q1969" t="s">
        <v>38</v>
      </c>
      <c r="R1969">
        <v>1</v>
      </c>
      <c r="S1969">
        <v>0</v>
      </c>
      <c r="T1969"/>
      <c r="U1969"/>
      <c r="V1969"/>
      <c r="W1969"/>
      <c r="X1969">
        <v>0</v>
      </c>
      <c r="Y1969"/>
      <c r="Z1969">
        <v>0</v>
      </c>
      <c r="AA1969"/>
      <c r="AB1969"/>
      <c r="AC1969"/>
      <c r="AD1969"/>
      <c r="AE1969">
        <v>0</v>
      </c>
      <c r="AF1969"/>
      <c r="AG1969"/>
      <c r="AH1969"/>
    </row>
    <row r="1970" spans="1:34" x14ac:dyDescent="0.25">
      <c r="A1970" t="s">
        <v>2120</v>
      </c>
      <c r="B1970" t="s">
        <v>2121</v>
      </c>
      <c r="C1970"/>
      <c r="D1970" t="s">
        <v>1778</v>
      </c>
      <c r="E1970" t="s">
        <v>2533</v>
      </c>
      <c r="F1970" t="s">
        <v>2558</v>
      </c>
      <c r="G1970" t="s">
        <v>280</v>
      </c>
      <c r="H1970" t="s">
        <v>2559</v>
      </c>
      <c r="I1970" t="s">
        <v>35</v>
      </c>
      <c r="J1970"/>
      <c r="K1970">
        <v>1</v>
      </c>
      <c r="L1970">
        <v>1</v>
      </c>
      <c r="M1970" t="s">
        <v>33</v>
      </c>
      <c r="N1970">
        <v>0.5</v>
      </c>
      <c r="O1970"/>
      <c r="P1970">
        <v>0</v>
      </c>
      <c r="Q1970" t="s">
        <v>38</v>
      </c>
      <c r="R1970">
        <v>1</v>
      </c>
      <c r="S1970">
        <v>0</v>
      </c>
      <c r="T1970"/>
      <c r="U1970"/>
      <c r="V1970"/>
      <c r="W1970"/>
      <c r="X1970">
        <v>0</v>
      </c>
      <c r="Y1970"/>
      <c r="Z1970">
        <v>0</v>
      </c>
      <c r="AA1970"/>
      <c r="AB1970"/>
      <c r="AC1970"/>
      <c r="AD1970"/>
      <c r="AE1970">
        <v>0</v>
      </c>
      <c r="AF1970"/>
      <c r="AG1970" t="s">
        <v>3467</v>
      </c>
      <c r="AH1970"/>
    </row>
    <row r="1971" spans="1:34" x14ac:dyDescent="0.25">
      <c r="A1971" t="s">
        <v>2120</v>
      </c>
      <c r="B1971" t="s">
        <v>2121</v>
      </c>
      <c r="C1971"/>
      <c r="D1971" t="s">
        <v>1778</v>
      </c>
      <c r="E1971" t="s">
        <v>2533</v>
      </c>
      <c r="F1971" t="s">
        <v>2560</v>
      </c>
      <c r="G1971" t="s">
        <v>280</v>
      </c>
      <c r="H1971" t="s">
        <v>2561</v>
      </c>
      <c r="I1971" t="s">
        <v>35</v>
      </c>
      <c r="J1971"/>
      <c r="K1971">
        <v>1</v>
      </c>
      <c r="L1971">
        <v>1</v>
      </c>
      <c r="M1971" t="s">
        <v>33</v>
      </c>
      <c r="N1971">
        <v>0.5</v>
      </c>
      <c r="O1971"/>
      <c r="P1971">
        <v>0</v>
      </c>
      <c r="Q1971" t="s">
        <v>38</v>
      </c>
      <c r="R1971">
        <v>1</v>
      </c>
      <c r="S1971">
        <v>0</v>
      </c>
      <c r="T1971"/>
      <c r="U1971"/>
      <c r="V1971"/>
      <c r="W1971"/>
      <c r="X1971">
        <v>0</v>
      </c>
      <c r="Y1971"/>
      <c r="Z1971">
        <v>0</v>
      </c>
      <c r="AA1971"/>
      <c r="AB1971"/>
      <c r="AC1971"/>
      <c r="AD1971"/>
      <c r="AE1971">
        <v>0</v>
      </c>
      <c r="AF1971"/>
      <c r="AG1971" t="s">
        <v>3467</v>
      </c>
      <c r="AH1971"/>
    </row>
    <row r="1972" spans="1:34" x14ac:dyDescent="0.25">
      <c r="A1972" t="s">
        <v>2120</v>
      </c>
      <c r="B1972" t="s">
        <v>2121</v>
      </c>
      <c r="C1972"/>
      <c r="D1972" t="s">
        <v>1778</v>
      </c>
      <c r="E1972" t="s">
        <v>2533</v>
      </c>
      <c r="F1972" t="s">
        <v>2562</v>
      </c>
      <c r="G1972" t="s">
        <v>280</v>
      </c>
      <c r="H1972" t="s">
        <v>2563</v>
      </c>
      <c r="I1972" t="s">
        <v>35</v>
      </c>
      <c r="J1972"/>
      <c r="K1972">
        <v>1</v>
      </c>
      <c r="L1972">
        <v>1</v>
      </c>
      <c r="M1972" t="s">
        <v>33</v>
      </c>
      <c r="N1972">
        <v>0.5</v>
      </c>
      <c r="O1972"/>
      <c r="P1972">
        <v>0</v>
      </c>
      <c r="Q1972" t="s">
        <v>38</v>
      </c>
      <c r="R1972">
        <v>1</v>
      </c>
      <c r="S1972">
        <v>0</v>
      </c>
      <c r="T1972"/>
      <c r="U1972"/>
      <c r="V1972"/>
      <c r="W1972"/>
      <c r="X1972">
        <v>0</v>
      </c>
      <c r="Y1972"/>
      <c r="Z1972">
        <v>0</v>
      </c>
      <c r="AA1972"/>
      <c r="AB1972"/>
      <c r="AC1972"/>
      <c r="AD1972"/>
      <c r="AE1972">
        <v>0</v>
      </c>
      <c r="AF1972"/>
      <c r="AG1972" t="s">
        <v>3467</v>
      </c>
      <c r="AH1972"/>
    </row>
    <row r="1973" spans="1:34" x14ac:dyDescent="0.25">
      <c r="A1973" t="s">
        <v>2120</v>
      </c>
      <c r="B1973" t="s">
        <v>2121</v>
      </c>
      <c r="C1973"/>
      <c r="D1973" t="s">
        <v>1778</v>
      </c>
      <c r="E1973" t="s">
        <v>2533</v>
      </c>
      <c r="F1973" t="s">
        <v>2564</v>
      </c>
      <c r="G1973" t="s">
        <v>280</v>
      </c>
      <c r="H1973" t="s">
        <v>2565</v>
      </c>
      <c r="I1973" t="s">
        <v>35</v>
      </c>
      <c r="J1973"/>
      <c r="K1973">
        <v>1</v>
      </c>
      <c r="L1973">
        <v>1</v>
      </c>
      <c r="M1973" t="s">
        <v>33</v>
      </c>
      <c r="N1973">
        <v>0.5</v>
      </c>
      <c r="O1973"/>
      <c r="P1973">
        <v>0</v>
      </c>
      <c r="Q1973" t="s">
        <v>38</v>
      </c>
      <c r="R1973">
        <v>1</v>
      </c>
      <c r="S1973">
        <v>0</v>
      </c>
      <c r="T1973"/>
      <c r="U1973"/>
      <c r="V1973"/>
      <c r="W1973"/>
      <c r="X1973">
        <v>0</v>
      </c>
      <c r="Y1973"/>
      <c r="Z1973">
        <v>0</v>
      </c>
      <c r="AA1973"/>
      <c r="AB1973"/>
      <c r="AC1973"/>
      <c r="AD1973"/>
      <c r="AE1973">
        <v>0</v>
      </c>
      <c r="AF1973"/>
      <c r="AG1973" t="s">
        <v>3467</v>
      </c>
      <c r="AH1973"/>
    </row>
    <row r="1974" spans="1:34" x14ac:dyDescent="0.25">
      <c r="A1974" t="s">
        <v>2120</v>
      </c>
      <c r="B1974" t="s">
        <v>2121</v>
      </c>
      <c r="C1974"/>
      <c r="D1974" t="s">
        <v>1778</v>
      </c>
      <c r="E1974" t="s">
        <v>2533</v>
      </c>
      <c r="F1974" t="s">
        <v>2566</v>
      </c>
      <c r="G1974" t="s">
        <v>280</v>
      </c>
      <c r="H1974" t="s">
        <v>2567</v>
      </c>
      <c r="I1974" t="s">
        <v>35</v>
      </c>
      <c r="J1974"/>
      <c r="K1974">
        <v>1</v>
      </c>
      <c r="L1974">
        <v>1</v>
      </c>
      <c r="M1974" t="s">
        <v>33</v>
      </c>
      <c r="N1974">
        <v>0.5</v>
      </c>
      <c r="O1974"/>
      <c r="P1974">
        <v>0</v>
      </c>
      <c r="Q1974" t="s">
        <v>38</v>
      </c>
      <c r="R1974">
        <v>1</v>
      </c>
      <c r="S1974">
        <v>0</v>
      </c>
      <c r="T1974"/>
      <c r="U1974"/>
      <c r="V1974"/>
      <c r="W1974"/>
      <c r="X1974">
        <v>0</v>
      </c>
      <c r="Y1974"/>
      <c r="Z1974">
        <v>0</v>
      </c>
      <c r="AA1974"/>
      <c r="AB1974"/>
      <c r="AC1974"/>
      <c r="AD1974"/>
      <c r="AE1974">
        <v>0</v>
      </c>
      <c r="AF1974"/>
      <c r="AG1974" t="s">
        <v>3467</v>
      </c>
      <c r="AH1974"/>
    </row>
    <row r="1975" spans="1:34" x14ac:dyDescent="0.25">
      <c r="A1975" t="s">
        <v>2120</v>
      </c>
      <c r="B1975" t="s">
        <v>2121</v>
      </c>
      <c r="C1975"/>
      <c r="D1975" t="s">
        <v>1778</v>
      </c>
      <c r="E1975" t="s">
        <v>2533</v>
      </c>
      <c r="F1975" t="s">
        <v>2568</v>
      </c>
      <c r="G1975" t="s">
        <v>280</v>
      </c>
      <c r="H1975" t="s">
        <v>2569</v>
      </c>
      <c r="I1975" t="s">
        <v>35</v>
      </c>
      <c r="J1975"/>
      <c r="K1975">
        <v>1</v>
      </c>
      <c r="L1975">
        <v>1</v>
      </c>
      <c r="M1975" t="s">
        <v>33</v>
      </c>
      <c r="N1975">
        <v>0.5</v>
      </c>
      <c r="O1975"/>
      <c r="P1975">
        <v>0</v>
      </c>
      <c r="Q1975" t="s">
        <v>38</v>
      </c>
      <c r="R1975">
        <v>1</v>
      </c>
      <c r="S1975">
        <v>0</v>
      </c>
      <c r="T1975"/>
      <c r="U1975"/>
      <c r="V1975"/>
      <c r="W1975"/>
      <c r="X1975">
        <v>0</v>
      </c>
      <c r="Y1975"/>
      <c r="Z1975">
        <v>0</v>
      </c>
      <c r="AA1975"/>
      <c r="AB1975"/>
      <c r="AC1975"/>
      <c r="AD1975"/>
      <c r="AE1975">
        <v>0</v>
      </c>
      <c r="AF1975"/>
      <c r="AG1975" t="s">
        <v>3467</v>
      </c>
      <c r="AH1975"/>
    </row>
    <row r="1976" spans="1:34" x14ac:dyDescent="0.25">
      <c r="A1976" t="s">
        <v>2120</v>
      </c>
      <c r="B1976" t="s">
        <v>2121</v>
      </c>
      <c r="C1976"/>
      <c r="D1976" t="s">
        <v>1778</v>
      </c>
      <c r="E1976" t="s">
        <v>2533</v>
      </c>
      <c r="F1976" t="s">
        <v>2570</v>
      </c>
      <c r="G1976" t="s">
        <v>280</v>
      </c>
      <c r="H1976" t="s">
        <v>2571</v>
      </c>
      <c r="I1976" t="s">
        <v>35</v>
      </c>
      <c r="J1976"/>
      <c r="K1976">
        <v>1</v>
      </c>
      <c r="L1976">
        <v>1</v>
      </c>
      <c r="M1976" t="s">
        <v>33</v>
      </c>
      <c r="N1976">
        <v>0.5</v>
      </c>
      <c r="O1976"/>
      <c r="P1976">
        <v>0</v>
      </c>
      <c r="Q1976" t="s">
        <v>38</v>
      </c>
      <c r="R1976">
        <v>1</v>
      </c>
      <c r="S1976">
        <v>0</v>
      </c>
      <c r="T1976"/>
      <c r="U1976"/>
      <c r="V1976"/>
      <c r="W1976"/>
      <c r="X1976">
        <v>0</v>
      </c>
      <c r="Y1976"/>
      <c r="Z1976">
        <v>0</v>
      </c>
      <c r="AA1976"/>
      <c r="AB1976"/>
      <c r="AC1976"/>
      <c r="AD1976"/>
      <c r="AE1976">
        <v>0</v>
      </c>
      <c r="AF1976"/>
      <c r="AG1976" t="s">
        <v>3467</v>
      </c>
      <c r="AH1976"/>
    </row>
    <row r="1977" spans="1:34" x14ac:dyDescent="0.25">
      <c r="A1977" t="s">
        <v>2120</v>
      </c>
      <c r="B1977" t="s">
        <v>2121</v>
      </c>
      <c r="C1977"/>
      <c r="D1977" t="s">
        <v>1778</v>
      </c>
      <c r="E1977" t="s">
        <v>2533</v>
      </c>
      <c r="F1977" t="s">
        <v>2572</v>
      </c>
      <c r="G1977" t="s">
        <v>280</v>
      </c>
      <c r="H1977" t="s">
        <v>2573</v>
      </c>
      <c r="I1977" t="s">
        <v>35</v>
      </c>
      <c r="J1977"/>
      <c r="K1977">
        <v>1</v>
      </c>
      <c r="L1977">
        <v>1</v>
      </c>
      <c r="M1977" t="s">
        <v>33</v>
      </c>
      <c r="N1977">
        <v>0.5</v>
      </c>
      <c r="O1977"/>
      <c r="P1977">
        <v>0</v>
      </c>
      <c r="Q1977" t="s">
        <v>38</v>
      </c>
      <c r="R1977">
        <v>1</v>
      </c>
      <c r="S1977">
        <v>0</v>
      </c>
      <c r="T1977"/>
      <c r="U1977"/>
      <c r="V1977"/>
      <c r="W1977"/>
      <c r="X1977">
        <v>0</v>
      </c>
      <c r="Y1977"/>
      <c r="Z1977">
        <v>0</v>
      </c>
      <c r="AA1977"/>
      <c r="AB1977"/>
      <c r="AC1977"/>
      <c r="AD1977"/>
      <c r="AE1977">
        <v>0</v>
      </c>
      <c r="AF1977"/>
      <c r="AG1977" t="s">
        <v>3467</v>
      </c>
      <c r="AH1977"/>
    </row>
    <row r="1978" spans="1:34" x14ac:dyDescent="0.25">
      <c r="A1978" t="s">
        <v>2120</v>
      </c>
      <c r="B1978" t="s">
        <v>2121</v>
      </c>
      <c r="C1978"/>
      <c r="D1978" t="s">
        <v>1778</v>
      </c>
      <c r="E1978" t="s">
        <v>2533</v>
      </c>
      <c r="F1978" t="s">
        <v>2574</v>
      </c>
      <c r="G1978" t="s">
        <v>280</v>
      </c>
      <c r="H1978" t="s">
        <v>2575</v>
      </c>
      <c r="I1978" t="s">
        <v>35</v>
      </c>
      <c r="J1978"/>
      <c r="K1978">
        <v>1</v>
      </c>
      <c r="L1978">
        <v>1</v>
      </c>
      <c r="M1978" t="s">
        <v>33</v>
      </c>
      <c r="N1978">
        <v>0.5</v>
      </c>
      <c r="O1978"/>
      <c r="P1978">
        <v>0</v>
      </c>
      <c r="Q1978" t="s">
        <v>38</v>
      </c>
      <c r="R1978">
        <v>1</v>
      </c>
      <c r="S1978">
        <v>0</v>
      </c>
      <c r="T1978"/>
      <c r="U1978"/>
      <c r="V1978"/>
      <c r="W1978"/>
      <c r="X1978">
        <v>0</v>
      </c>
      <c r="Y1978"/>
      <c r="Z1978">
        <v>0</v>
      </c>
      <c r="AA1978"/>
      <c r="AB1978"/>
      <c r="AC1978"/>
      <c r="AD1978"/>
      <c r="AE1978">
        <v>0</v>
      </c>
      <c r="AF1978"/>
      <c r="AG1978" t="s">
        <v>3467</v>
      </c>
      <c r="AH1978"/>
    </row>
    <row r="1979" spans="1:34" x14ac:dyDescent="0.25">
      <c r="A1979" t="s">
        <v>2120</v>
      </c>
      <c r="B1979" t="s">
        <v>2121</v>
      </c>
      <c r="C1979"/>
      <c r="D1979" t="s">
        <v>1778</v>
      </c>
      <c r="E1979" t="s">
        <v>2533</v>
      </c>
      <c r="F1979" t="s">
        <v>2576</v>
      </c>
      <c r="G1979" t="s">
        <v>280</v>
      </c>
      <c r="H1979" t="s">
        <v>2577</v>
      </c>
      <c r="I1979" t="s">
        <v>35</v>
      </c>
      <c r="J1979"/>
      <c r="K1979">
        <v>1</v>
      </c>
      <c r="L1979">
        <v>1</v>
      </c>
      <c r="M1979" t="s">
        <v>33</v>
      </c>
      <c r="N1979">
        <v>0.5</v>
      </c>
      <c r="O1979"/>
      <c r="P1979">
        <v>0</v>
      </c>
      <c r="Q1979" t="s">
        <v>38</v>
      </c>
      <c r="R1979">
        <v>1</v>
      </c>
      <c r="S1979">
        <v>0</v>
      </c>
      <c r="T1979"/>
      <c r="U1979"/>
      <c r="V1979"/>
      <c r="W1979"/>
      <c r="X1979">
        <v>0</v>
      </c>
      <c r="Y1979"/>
      <c r="Z1979">
        <v>0</v>
      </c>
      <c r="AA1979"/>
      <c r="AB1979"/>
      <c r="AC1979"/>
      <c r="AD1979"/>
      <c r="AE1979">
        <v>0</v>
      </c>
      <c r="AF1979"/>
      <c r="AG1979" t="s">
        <v>3467</v>
      </c>
      <c r="AH1979"/>
    </row>
    <row r="1980" spans="1:34" x14ac:dyDescent="0.25">
      <c r="A1980" t="s">
        <v>2120</v>
      </c>
      <c r="B1980" t="s">
        <v>2121</v>
      </c>
      <c r="C1980"/>
      <c r="D1980" t="s">
        <v>1778</v>
      </c>
      <c r="E1980" t="s">
        <v>2533</v>
      </c>
      <c r="F1980" t="s">
        <v>2578</v>
      </c>
      <c r="G1980" t="s">
        <v>280</v>
      </c>
      <c r="H1980" t="s">
        <v>2579</v>
      </c>
      <c r="I1980" t="s">
        <v>35</v>
      </c>
      <c r="J1980"/>
      <c r="K1980">
        <v>1</v>
      </c>
      <c r="L1980">
        <v>1</v>
      </c>
      <c r="M1980" t="s">
        <v>33</v>
      </c>
      <c r="N1980">
        <v>0.5</v>
      </c>
      <c r="O1980"/>
      <c r="P1980">
        <v>0</v>
      </c>
      <c r="Q1980" t="s">
        <v>38</v>
      </c>
      <c r="R1980">
        <v>1</v>
      </c>
      <c r="S1980">
        <v>0</v>
      </c>
      <c r="T1980"/>
      <c r="U1980"/>
      <c r="V1980"/>
      <c r="W1980"/>
      <c r="X1980">
        <v>0</v>
      </c>
      <c r="Y1980"/>
      <c r="Z1980">
        <v>0</v>
      </c>
      <c r="AA1980"/>
      <c r="AB1980"/>
      <c r="AC1980"/>
      <c r="AD1980"/>
      <c r="AE1980">
        <v>0</v>
      </c>
      <c r="AF1980"/>
      <c r="AG1980" t="s">
        <v>3467</v>
      </c>
      <c r="AH1980"/>
    </row>
    <row r="1981" spans="1:34" x14ac:dyDescent="0.25">
      <c r="A1981" t="s">
        <v>2120</v>
      </c>
      <c r="B1981" t="s">
        <v>2121</v>
      </c>
      <c r="C1981"/>
      <c r="D1981" t="s">
        <v>1778</v>
      </c>
      <c r="E1981" t="s">
        <v>2533</v>
      </c>
      <c r="F1981" t="s">
        <v>2580</v>
      </c>
      <c r="G1981" t="s">
        <v>280</v>
      </c>
      <c r="H1981" t="s">
        <v>2581</v>
      </c>
      <c r="I1981" t="s">
        <v>35</v>
      </c>
      <c r="J1981"/>
      <c r="K1981">
        <v>1</v>
      </c>
      <c r="L1981">
        <v>1</v>
      </c>
      <c r="M1981" t="s">
        <v>33</v>
      </c>
      <c r="N1981">
        <v>0.5</v>
      </c>
      <c r="O1981"/>
      <c r="P1981">
        <v>0</v>
      </c>
      <c r="Q1981" t="s">
        <v>38</v>
      </c>
      <c r="R1981">
        <v>1</v>
      </c>
      <c r="S1981">
        <v>0</v>
      </c>
      <c r="T1981"/>
      <c r="U1981"/>
      <c r="V1981"/>
      <c r="W1981"/>
      <c r="X1981">
        <v>0</v>
      </c>
      <c r="Y1981"/>
      <c r="Z1981">
        <v>0</v>
      </c>
      <c r="AA1981"/>
      <c r="AB1981"/>
      <c r="AC1981"/>
      <c r="AD1981"/>
      <c r="AE1981">
        <v>0</v>
      </c>
      <c r="AF1981"/>
      <c r="AG1981" t="s">
        <v>3467</v>
      </c>
      <c r="AH1981"/>
    </row>
    <row r="1982" spans="1:34" x14ac:dyDescent="0.25">
      <c r="A1982" t="s">
        <v>2024</v>
      </c>
      <c r="B1982" t="s">
        <v>2025</v>
      </c>
      <c r="C1982"/>
      <c r="D1982" t="s">
        <v>1778</v>
      </c>
      <c r="E1982" t="s">
        <v>2582</v>
      </c>
      <c r="F1982" t="s">
        <v>2583</v>
      </c>
      <c r="G1982" t="s">
        <v>280</v>
      </c>
      <c r="H1982" t="s">
        <v>2584</v>
      </c>
      <c r="I1982" t="s">
        <v>35</v>
      </c>
      <c r="J1982"/>
      <c r="K1982">
        <v>1</v>
      </c>
      <c r="L1982">
        <v>1</v>
      </c>
      <c r="M1982" t="s">
        <v>33</v>
      </c>
      <c r="N1982">
        <v>1</v>
      </c>
      <c r="O1982"/>
      <c r="P1982">
        <v>0</v>
      </c>
      <c r="Q1982" t="s">
        <v>38</v>
      </c>
      <c r="R1982">
        <v>1</v>
      </c>
      <c r="S1982">
        <v>0</v>
      </c>
      <c r="T1982"/>
      <c r="U1982"/>
      <c r="V1982"/>
      <c r="W1982"/>
      <c r="X1982">
        <v>0</v>
      </c>
      <c r="Y1982"/>
      <c r="Z1982">
        <v>0</v>
      </c>
      <c r="AA1982"/>
      <c r="AB1982"/>
      <c r="AC1982"/>
      <c r="AD1982"/>
      <c r="AE1982">
        <v>0</v>
      </c>
      <c r="AF1982"/>
      <c r="AG1982" t="s">
        <v>3467</v>
      </c>
      <c r="AH1982"/>
    </row>
    <row r="1983" spans="1:34" x14ac:dyDescent="0.25">
      <c r="A1983" t="s">
        <v>2091</v>
      </c>
      <c r="B1983" t="s">
        <v>2092</v>
      </c>
      <c r="C1983"/>
      <c r="D1983" t="s">
        <v>1778</v>
      </c>
      <c r="E1983" t="s">
        <v>2582</v>
      </c>
      <c r="F1983" t="s">
        <v>2585</v>
      </c>
      <c r="G1983" t="s">
        <v>280</v>
      </c>
      <c r="H1983" t="s">
        <v>2586</v>
      </c>
      <c r="I1983" t="s">
        <v>35</v>
      </c>
      <c r="J1983"/>
      <c r="K1983">
        <v>1</v>
      </c>
      <c r="L1983">
        <v>1</v>
      </c>
      <c r="M1983" t="s">
        <v>33</v>
      </c>
      <c r="N1983">
        <v>1</v>
      </c>
      <c r="O1983"/>
      <c r="P1983">
        <v>0</v>
      </c>
      <c r="Q1983" t="s">
        <v>38</v>
      </c>
      <c r="R1983">
        <v>1</v>
      </c>
      <c r="S1983">
        <v>0</v>
      </c>
      <c r="T1983"/>
      <c r="U1983"/>
      <c r="V1983"/>
      <c r="W1983"/>
      <c r="X1983">
        <v>0</v>
      </c>
      <c r="Y1983"/>
      <c r="Z1983">
        <v>0</v>
      </c>
      <c r="AA1983"/>
      <c r="AB1983"/>
      <c r="AC1983"/>
      <c r="AD1983"/>
      <c r="AE1983">
        <v>0</v>
      </c>
      <c r="AF1983"/>
      <c r="AG1983"/>
      <c r="AH1983"/>
    </row>
    <row r="1984" spans="1:34" x14ac:dyDescent="0.25">
      <c r="A1984" t="s">
        <v>2024</v>
      </c>
      <c r="B1984" t="s">
        <v>2025</v>
      </c>
      <c r="C1984"/>
      <c r="D1984" t="s">
        <v>1778</v>
      </c>
      <c r="E1984" t="s">
        <v>2582</v>
      </c>
      <c r="F1984" t="s">
        <v>2585</v>
      </c>
      <c r="G1984" t="s">
        <v>280</v>
      </c>
      <c r="H1984" t="s">
        <v>2586</v>
      </c>
      <c r="I1984" t="s">
        <v>35</v>
      </c>
      <c r="J1984"/>
      <c r="K1984">
        <v>1</v>
      </c>
      <c r="L1984">
        <v>1</v>
      </c>
      <c r="M1984" t="s">
        <v>33</v>
      </c>
      <c r="N1984">
        <v>1</v>
      </c>
      <c r="O1984"/>
      <c r="P1984">
        <v>0</v>
      </c>
      <c r="Q1984" t="s">
        <v>38</v>
      </c>
      <c r="R1984">
        <v>1</v>
      </c>
      <c r="S1984">
        <v>0</v>
      </c>
      <c r="T1984"/>
      <c r="U1984"/>
      <c r="V1984"/>
      <c r="W1984"/>
      <c r="X1984">
        <v>0</v>
      </c>
      <c r="Y1984"/>
      <c r="Z1984">
        <v>0</v>
      </c>
      <c r="AA1984"/>
      <c r="AB1984"/>
      <c r="AC1984"/>
      <c r="AD1984"/>
      <c r="AE1984">
        <v>0</v>
      </c>
      <c r="AF1984"/>
      <c r="AG1984"/>
      <c r="AH1984"/>
    </row>
    <row r="1985" spans="1:34" x14ac:dyDescent="0.25">
      <c r="A1985" t="s">
        <v>2091</v>
      </c>
      <c r="B1985" t="s">
        <v>2092</v>
      </c>
      <c r="C1985"/>
      <c r="D1985" t="s">
        <v>1778</v>
      </c>
      <c r="E1985" t="s">
        <v>2582</v>
      </c>
      <c r="F1985" t="s">
        <v>2587</v>
      </c>
      <c r="G1985" t="s">
        <v>280</v>
      </c>
      <c r="H1985" t="s">
        <v>2588</v>
      </c>
      <c r="I1985" t="s">
        <v>35</v>
      </c>
      <c r="J1985"/>
      <c r="K1985">
        <v>1</v>
      </c>
      <c r="L1985">
        <v>1</v>
      </c>
      <c r="M1985" t="s">
        <v>33</v>
      </c>
      <c r="N1985">
        <v>1</v>
      </c>
      <c r="O1985"/>
      <c r="P1985">
        <v>0</v>
      </c>
      <c r="Q1985" t="s">
        <v>38</v>
      </c>
      <c r="R1985">
        <v>1</v>
      </c>
      <c r="S1985">
        <v>0</v>
      </c>
      <c r="T1985"/>
      <c r="U1985"/>
      <c r="V1985"/>
      <c r="W1985"/>
      <c r="X1985">
        <v>0</v>
      </c>
      <c r="Y1985"/>
      <c r="Z1985">
        <v>0</v>
      </c>
      <c r="AA1985"/>
      <c r="AB1985"/>
      <c r="AC1985"/>
      <c r="AD1985"/>
      <c r="AE1985">
        <v>0</v>
      </c>
      <c r="AF1985"/>
      <c r="AG1985"/>
      <c r="AH1985"/>
    </row>
    <row r="1986" spans="1:34" x14ac:dyDescent="0.25">
      <c r="A1986" t="s">
        <v>2024</v>
      </c>
      <c r="B1986" t="s">
        <v>2025</v>
      </c>
      <c r="C1986"/>
      <c r="D1986" t="s">
        <v>1778</v>
      </c>
      <c r="E1986" t="s">
        <v>2582</v>
      </c>
      <c r="F1986" t="s">
        <v>2587</v>
      </c>
      <c r="G1986" t="s">
        <v>280</v>
      </c>
      <c r="H1986" t="s">
        <v>2588</v>
      </c>
      <c r="I1986" t="s">
        <v>35</v>
      </c>
      <c r="J1986"/>
      <c r="K1986">
        <v>1</v>
      </c>
      <c r="L1986">
        <v>1</v>
      </c>
      <c r="M1986" t="s">
        <v>33</v>
      </c>
      <c r="N1986">
        <v>1</v>
      </c>
      <c r="O1986"/>
      <c r="P1986">
        <v>0</v>
      </c>
      <c r="Q1986" t="s">
        <v>38</v>
      </c>
      <c r="R1986">
        <v>1</v>
      </c>
      <c r="S1986">
        <v>0</v>
      </c>
      <c r="T1986"/>
      <c r="U1986"/>
      <c r="V1986"/>
      <c r="W1986"/>
      <c r="X1986">
        <v>0</v>
      </c>
      <c r="Y1986"/>
      <c r="Z1986">
        <v>0</v>
      </c>
      <c r="AA1986"/>
      <c r="AB1986"/>
      <c r="AC1986"/>
      <c r="AD1986"/>
      <c r="AE1986">
        <v>0</v>
      </c>
      <c r="AF1986"/>
      <c r="AG1986"/>
      <c r="AH1986"/>
    </row>
    <row r="1987" spans="1:34" x14ac:dyDescent="0.25">
      <c r="A1987" t="s">
        <v>2120</v>
      </c>
      <c r="B1987" t="s">
        <v>2121</v>
      </c>
      <c r="C1987"/>
      <c r="D1987" t="s">
        <v>1778</v>
      </c>
      <c r="E1987" t="s">
        <v>2582</v>
      </c>
      <c r="F1987" t="s">
        <v>2589</v>
      </c>
      <c r="G1987" t="s">
        <v>280</v>
      </c>
      <c r="H1987" t="s">
        <v>2590</v>
      </c>
      <c r="I1987" t="s">
        <v>35</v>
      </c>
      <c r="J1987"/>
      <c r="K1987">
        <v>1</v>
      </c>
      <c r="L1987">
        <v>1</v>
      </c>
      <c r="M1987" t="s">
        <v>33</v>
      </c>
      <c r="N1987">
        <v>1</v>
      </c>
      <c r="O1987"/>
      <c r="P1987">
        <v>0</v>
      </c>
      <c r="Q1987" t="s">
        <v>38</v>
      </c>
      <c r="R1987">
        <v>1</v>
      </c>
      <c r="S1987">
        <v>0</v>
      </c>
      <c r="T1987"/>
      <c r="U1987"/>
      <c r="V1987"/>
      <c r="W1987"/>
      <c r="X1987">
        <v>0</v>
      </c>
      <c r="Y1987"/>
      <c r="Z1987">
        <v>0</v>
      </c>
      <c r="AA1987"/>
      <c r="AB1987"/>
      <c r="AC1987"/>
      <c r="AD1987"/>
      <c r="AE1987">
        <v>0</v>
      </c>
      <c r="AF1987"/>
      <c r="AG1987"/>
      <c r="AH1987"/>
    </row>
    <row r="1988" spans="1:34" x14ac:dyDescent="0.25">
      <c r="A1988" t="s">
        <v>2024</v>
      </c>
      <c r="B1988" t="s">
        <v>2025</v>
      </c>
      <c r="C1988"/>
      <c r="D1988" t="s">
        <v>1778</v>
      </c>
      <c r="E1988" t="s">
        <v>2582</v>
      </c>
      <c r="F1988" t="s">
        <v>2589</v>
      </c>
      <c r="G1988" t="s">
        <v>280</v>
      </c>
      <c r="H1988" t="s">
        <v>2590</v>
      </c>
      <c r="I1988" t="s">
        <v>35</v>
      </c>
      <c r="J1988"/>
      <c r="K1988">
        <v>1</v>
      </c>
      <c r="L1988">
        <v>1</v>
      </c>
      <c r="M1988" t="s">
        <v>33</v>
      </c>
      <c r="N1988">
        <v>1</v>
      </c>
      <c r="O1988"/>
      <c r="P1988">
        <v>0</v>
      </c>
      <c r="Q1988" t="s">
        <v>38</v>
      </c>
      <c r="R1988">
        <v>1</v>
      </c>
      <c r="S1988">
        <v>0</v>
      </c>
      <c r="T1988"/>
      <c r="U1988"/>
      <c r="V1988"/>
      <c r="W1988"/>
      <c r="X1988">
        <v>0</v>
      </c>
      <c r="Y1988"/>
      <c r="Z1988">
        <v>0</v>
      </c>
      <c r="AA1988"/>
      <c r="AB1988"/>
      <c r="AC1988"/>
      <c r="AD1988"/>
      <c r="AE1988">
        <v>0</v>
      </c>
      <c r="AF1988"/>
      <c r="AG1988"/>
      <c r="AH1988"/>
    </row>
    <row r="1989" spans="1:34" x14ac:dyDescent="0.25">
      <c r="A1989" t="s">
        <v>2120</v>
      </c>
      <c r="B1989" t="s">
        <v>2121</v>
      </c>
      <c r="C1989"/>
      <c r="D1989" t="s">
        <v>1778</v>
      </c>
      <c r="E1989" t="s">
        <v>2582</v>
      </c>
      <c r="F1989" t="s">
        <v>2591</v>
      </c>
      <c r="G1989" t="s">
        <v>280</v>
      </c>
      <c r="H1989" t="s">
        <v>2592</v>
      </c>
      <c r="I1989" t="s">
        <v>35</v>
      </c>
      <c r="J1989"/>
      <c r="K1989">
        <v>1</v>
      </c>
      <c r="L1989">
        <v>1</v>
      </c>
      <c r="M1989" t="s">
        <v>33</v>
      </c>
      <c r="N1989">
        <v>1</v>
      </c>
      <c r="O1989"/>
      <c r="P1989">
        <v>0</v>
      </c>
      <c r="Q1989" t="s">
        <v>38</v>
      </c>
      <c r="R1989">
        <v>1</v>
      </c>
      <c r="S1989">
        <v>0</v>
      </c>
      <c r="T1989"/>
      <c r="U1989"/>
      <c r="V1989"/>
      <c r="W1989"/>
      <c r="X1989">
        <v>0</v>
      </c>
      <c r="Y1989"/>
      <c r="Z1989">
        <v>0</v>
      </c>
      <c r="AA1989"/>
      <c r="AB1989"/>
      <c r="AC1989"/>
      <c r="AD1989"/>
      <c r="AE1989">
        <v>0</v>
      </c>
      <c r="AF1989"/>
      <c r="AG1989"/>
      <c r="AH1989"/>
    </row>
    <row r="1990" spans="1:34" x14ac:dyDescent="0.25">
      <c r="A1990" t="s">
        <v>2024</v>
      </c>
      <c r="B1990" t="s">
        <v>2025</v>
      </c>
      <c r="C1990"/>
      <c r="D1990" t="s">
        <v>1778</v>
      </c>
      <c r="E1990" t="s">
        <v>2582</v>
      </c>
      <c r="F1990" t="s">
        <v>2591</v>
      </c>
      <c r="G1990" t="s">
        <v>280</v>
      </c>
      <c r="H1990" t="s">
        <v>2592</v>
      </c>
      <c r="I1990" t="s">
        <v>35</v>
      </c>
      <c r="J1990"/>
      <c r="K1990">
        <v>1</v>
      </c>
      <c r="L1990">
        <v>1</v>
      </c>
      <c r="M1990" t="s">
        <v>33</v>
      </c>
      <c r="N1990">
        <v>1</v>
      </c>
      <c r="O1990"/>
      <c r="P1990">
        <v>0</v>
      </c>
      <c r="Q1990" t="s">
        <v>38</v>
      </c>
      <c r="R1990">
        <v>1</v>
      </c>
      <c r="S1990">
        <v>0</v>
      </c>
      <c r="T1990"/>
      <c r="U1990"/>
      <c r="V1990"/>
      <c r="W1990"/>
      <c r="X1990">
        <v>0</v>
      </c>
      <c r="Y1990"/>
      <c r="Z1990">
        <v>0</v>
      </c>
      <c r="AA1990"/>
      <c r="AB1990"/>
      <c r="AC1990"/>
      <c r="AD1990"/>
      <c r="AE1990">
        <v>0</v>
      </c>
      <c r="AF1990"/>
      <c r="AG1990"/>
      <c r="AH1990"/>
    </row>
    <row r="1991" spans="1:34" x14ac:dyDescent="0.25">
      <c r="A1991" t="s">
        <v>2120</v>
      </c>
      <c r="B1991" t="s">
        <v>2121</v>
      </c>
      <c r="C1991"/>
      <c r="D1991" t="s">
        <v>1778</v>
      </c>
      <c r="E1991" t="s">
        <v>2582</v>
      </c>
      <c r="F1991" t="s">
        <v>2593</v>
      </c>
      <c r="G1991" t="s">
        <v>280</v>
      </c>
      <c r="H1991" t="s">
        <v>2594</v>
      </c>
      <c r="I1991" t="s">
        <v>35</v>
      </c>
      <c r="J1991"/>
      <c r="K1991">
        <v>1</v>
      </c>
      <c r="L1991">
        <v>1</v>
      </c>
      <c r="M1991" t="s">
        <v>33</v>
      </c>
      <c r="N1991">
        <v>1</v>
      </c>
      <c r="O1991"/>
      <c r="P1991">
        <v>0</v>
      </c>
      <c r="Q1991" t="s">
        <v>38</v>
      </c>
      <c r="R1991">
        <v>1</v>
      </c>
      <c r="S1991">
        <v>0</v>
      </c>
      <c r="T1991"/>
      <c r="U1991"/>
      <c r="V1991"/>
      <c r="W1991"/>
      <c r="X1991">
        <v>0</v>
      </c>
      <c r="Y1991"/>
      <c r="Z1991">
        <v>0</v>
      </c>
      <c r="AA1991"/>
      <c r="AB1991"/>
      <c r="AC1991"/>
      <c r="AD1991"/>
      <c r="AE1991">
        <v>0</v>
      </c>
      <c r="AF1991"/>
      <c r="AG1991"/>
      <c r="AH1991"/>
    </row>
    <row r="1992" spans="1:34" x14ac:dyDescent="0.25">
      <c r="A1992" t="s">
        <v>2024</v>
      </c>
      <c r="B1992" t="s">
        <v>2025</v>
      </c>
      <c r="C1992"/>
      <c r="D1992" t="s">
        <v>1778</v>
      </c>
      <c r="E1992" t="s">
        <v>2582</v>
      </c>
      <c r="F1992" t="s">
        <v>2593</v>
      </c>
      <c r="G1992" t="s">
        <v>280</v>
      </c>
      <c r="H1992" t="s">
        <v>2594</v>
      </c>
      <c r="I1992" t="s">
        <v>35</v>
      </c>
      <c r="J1992"/>
      <c r="K1992">
        <v>1</v>
      </c>
      <c r="L1992">
        <v>1</v>
      </c>
      <c r="M1992" t="s">
        <v>33</v>
      </c>
      <c r="N1992">
        <v>1</v>
      </c>
      <c r="O1992"/>
      <c r="P1992">
        <v>0</v>
      </c>
      <c r="Q1992" t="s">
        <v>38</v>
      </c>
      <c r="R1992">
        <v>1</v>
      </c>
      <c r="S1992">
        <v>0</v>
      </c>
      <c r="T1992"/>
      <c r="U1992"/>
      <c r="V1992"/>
      <c r="W1992"/>
      <c r="X1992">
        <v>0</v>
      </c>
      <c r="Y1992"/>
      <c r="Z1992">
        <v>0</v>
      </c>
      <c r="AA1992"/>
      <c r="AB1992"/>
      <c r="AC1992"/>
      <c r="AD1992"/>
      <c r="AE1992">
        <v>0</v>
      </c>
      <c r="AF1992"/>
      <c r="AG1992"/>
      <c r="AH1992"/>
    </row>
    <row r="1993" spans="1:34" x14ac:dyDescent="0.25">
      <c r="A1993" t="s">
        <v>2039</v>
      </c>
      <c r="B1993" t="s">
        <v>2040</v>
      </c>
      <c r="C1993"/>
      <c r="D1993" t="s">
        <v>1778</v>
      </c>
      <c r="E1993" t="s">
        <v>2595</v>
      </c>
      <c r="F1993" t="s">
        <v>2596</v>
      </c>
      <c r="G1993" t="s">
        <v>280</v>
      </c>
      <c r="H1993" t="s">
        <v>2597</v>
      </c>
      <c r="I1993" t="s">
        <v>35</v>
      </c>
      <c r="J1993"/>
      <c r="K1993">
        <v>1</v>
      </c>
      <c r="L1993">
        <v>1</v>
      </c>
      <c r="M1993" t="s">
        <v>33</v>
      </c>
      <c r="N1993">
        <v>0.5</v>
      </c>
      <c r="O1993"/>
      <c r="P1993">
        <v>0</v>
      </c>
      <c r="Q1993" t="s">
        <v>38</v>
      </c>
      <c r="R1993">
        <v>1</v>
      </c>
      <c r="S1993">
        <v>0</v>
      </c>
      <c r="T1993"/>
      <c r="U1993"/>
      <c r="V1993"/>
      <c r="W1993"/>
      <c r="X1993">
        <v>0</v>
      </c>
      <c r="Y1993"/>
      <c r="Z1993">
        <v>0</v>
      </c>
      <c r="AA1993"/>
      <c r="AB1993"/>
      <c r="AC1993"/>
      <c r="AD1993"/>
      <c r="AE1993">
        <v>0</v>
      </c>
      <c r="AF1993"/>
      <c r="AG1993" t="s">
        <v>3468</v>
      </c>
      <c r="AH1993"/>
    </row>
    <row r="1994" spans="1:34" x14ac:dyDescent="0.25">
      <c r="A1994" t="s">
        <v>2039</v>
      </c>
      <c r="B1994" t="s">
        <v>2040</v>
      </c>
      <c r="C1994"/>
      <c r="D1994" t="s">
        <v>1778</v>
      </c>
      <c r="E1994" t="s">
        <v>2595</v>
      </c>
      <c r="F1994" t="s">
        <v>2598</v>
      </c>
      <c r="G1994" t="s">
        <v>280</v>
      </c>
      <c r="H1994" t="s">
        <v>2599</v>
      </c>
      <c r="I1994" t="s">
        <v>35</v>
      </c>
      <c r="J1994"/>
      <c r="K1994">
        <v>1</v>
      </c>
      <c r="L1994">
        <v>1</v>
      </c>
      <c r="M1994" t="s">
        <v>33</v>
      </c>
      <c r="N1994">
        <v>0.5</v>
      </c>
      <c r="O1994"/>
      <c r="P1994">
        <v>0</v>
      </c>
      <c r="Q1994" t="s">
        <v>38</v>
      </c>
      <c r="R1994">
        <v>1</v>
      </c>
      <c r="S1994">
        <v>0</v>
      </c>
      <c r="T1994"/>
      <c r="U1994"/>
      <c r="V1994"/>
      <c r="W1994"/>
      <c r="X1994">
        <v>0</v>
      </c>
      <c r="Y1994"/>
      <c r="Z1994">
        <v>0</v>
      </c>
      <c r="AA1994"/>
      <c r="AB1994"/>
      <c r="AC1994"/>
      <c r="AD1994"/>
      <c r="AE1994">
        <v>0</v>
      </c>
      <c r="AF1994"/>
      <c r="AG1994" t="s">
        <v>3468</v>
      </c>
      <c r="AH1994"/>
    </row>
    <row r="1995" spans="1:34" x14ac:dyDescent="0.25">
      <c r="A1995" t="s">
        <v>1945</v>
      </c>
      <c r="B1995" t="s">
        <v>1946</v>
      </c>
      <c r="C1995"/>
      <c r="D1995" t="s">
        <v>1778</v>
      </c>
      <c r="E1995" t="s">
        <v>2600</v>
      </c>
      <c r="F1995" t="s">
        <v>2094</v>
      </c>
      <c r="G1995" t="s">
        <v>280</v>
      </c>
      <c r="H1995" t="s">
        <v>2601</v>
      </c>
      <c r="I1995" t="s">
        <v>373</v>
      </c>
      <c r="J1995"/>
      <c r="K1995">
        <v>1</v>
      </c>
      <c r="L1995">
        <v>1</v>
      </c>
      <c r="M1995" t="s">
        <v>33</v>
      </c>
      <c r="N1995">
        <v>1</v>
      </c>
      <c r="O1995"/>
      <c r="P1995">
        <v>0</v>
      </c>
      <c r="Q1995"/>
      <c r="R1995">
        <v>0</v>
      </c>
      <c r="S1995">
        <v>0</v>
      </c>
      <c r="T1995"/>
      <c r="U1995"/>
      <c r="V1995"/>
      <c r="W1995"/>
      <c r="X1995">
        <v>0</v>
      </c>
      <c r="Y1995"/>
      <c r="Z1995">
        <v>0</v>
      </c>
      <c r="AA1995"/>
      <c r="AB1995"/>
      <c r="AC1995"/>
      <c r="AD1995"/>
      <c r="AE1995">
        <v>0</v>
      </c>
      <c r="AF1995"/>
      <c r="AG1995"/>
      <c r="AH1995"/>
    </row>
    <row r="1996" spans="1:34" x14ac:dyDescent="0.25">
      <c r="A1996" t="s">
        <v>1945</v>
      </c>
      <c r="B1996" t="s">
        <v>1946</v>
      </c>
      <c r="C1996"/>
      <c r="D1996" t="s">
        <v>1778</v>
      </c>
      <c r="E1996" t="s">
        <v>2600</v>
      </c>
      <c r="F1996" t="s">
        <v>2096</v>
      </c>
      <c r="G1996" t="s">
        <v>280</v>
      </c>
      <c r="H1996" t="s">
        <v>2602</v>
      </c>
      <c r="I1996" t="s">
        <v>373</v>
      </c>
      <c r="J1996"/>
      <c r="K1996">
        <v>1</v>
      </c>
      <c r="L1996">
        <v>1</v>
      </c>
      <c r="M1996" t="s">
        <v>33</v>
      </c>
      <c r="N1996">
        <v>1</v>
      </c>
      <c r="O1996"/>
      <c r="P1996">
        <v>0</v>
      </c>
      <c r="Q1996"/>
      <c r="R1996">
        <v>0</v>
      </c>
      <c r="S1996">
        <v>0</v>
      </c>
      <c r="T1996"/>
      <c r="U1996"/>
      <c r="V1996"/>
      <c r="W1996"/>
      <c r="X1996">
        <v>0</v>
      </c>
      <c r="Y1996"/>
      <c r="Z1996">
        <v>0</v>
      </c>
      <c r="AA1996"/>
      <c r="AB1996"/>
      <c r="AC1996"/>
      <c r="AD1996"/>
      <c r="AE1996">
        <v>0</v>
      </c>
      <c r="AF1996"/>
      <c r="AG1996"/>
      <c r="AH1996"/>
    </row>
    <row r="1997" spans="1:34" x14ac:dyDescent="0.25">
      <c r="A1997" t="s">
        <v>1945</v>
      </c>
      <c r="B1997" t="s">
        <v>1946</v>
      </c>
      <c r="C1997"/>
      <c r="D1997" t="s">
        <v>1778</v>
      </c>
      <c r="E1997" t="s">
        <v>2600</v>
      </c>
      <c r="F1997" t="s">
        <v>2098</v>
      </c>
      <c r="G1997" t="s">
        <v>280</v>
      </c>
      <c r="H1997" t="s">
        <v>2603</v>
      </c>
      <c r="I1997" t="s">
        <v>373</v>
      </c>
      <c r="J1997"/>
      <c r="K1997">
        <v>1</v>
      </c>
      <c r="L1997">
        <v>1</v>
      </c>
      <c r="M1997" t="s">
        <v>33</v>
      </c>
      <c r="N1997">
        <v>1</v>
      </c>
      <c r="O1997"/>
      <c r="P1997">
        <v>0</v>
      </c>
      <c r="Q1997"/>
      <c r="R1997">
        <v>0</v>
      </c>
      <c r="S1997">
        <v>0</v>
      </c>
      <c r="T1997"/>
      <c r="U1997"/>
      <c r="V1997"/>
      <c r="W1997"/>
      <c r="X1997">
        <v>0</v>
      </c>
      <c r="Y1997"/>
      <c r="Z1997">
        <v>0</v>
      </c>
      <c r="AA1997"/>
      <c r="AB1997"/>
      <c r="AC1997"/>
      <c r="AD1997"/>
      <c r="AE1997">
        <v>0</v>
      </c>
      <c r="AF1997"/>
      <c r="AG1997"/>
      <c r="AH1997"/>
    </row>
    <row r="1998" spans="1:34" x14ac:dyDescent="0.25">
      <c r="A1998" t="s">
        <v>1945</v>
      </c>
      <c r="B1998" t="s">
        <v>1946</v>
      </c>
      <c r="C1998"/>
      <c r="D1998" t="s">
        <v>1778</v>
      </c>
      <c r="E1998" t="s">
        <v>2600</v>
      </c>
      <c r="F1998" t="s">
        <v>2100</v>
      </c>
      <c r="G1998" t="s">
        <v>280</v>
      </c>
      <c r="H1998" t="s">
        <v>2604</v>
      </c>
      <c r="I1998" t="s">
        <v>373</v>
      </c>
      <c r="J1998"/>
      <c r="K1998">
        <v>1</v>
      </c>
      <c r="L1998">
        <v>1</v>
      </c>
      <c r="M1998" t="s">
        <v>33</v>
      </c>
      <c r="N1998">
        <v>1</v>
      </c>
      <c r="O1998"/>
      <c r="P1998">
        <v>0</v>
      </c>
      <c r="Q1998"/>
      <c r="R1998">
        <v>0</v>
      </c>
      <c r="S1998">
        <v>0</v>
      </c>
      <c r="T1998"/>
      <c r="U1998"/>
      <c r="V1998"/>
      <c r="W1998"/>
      <c r="X1998">
        <v>0</v>
      </c>
      <c r="Y1998"/>
      <c r="Z1998">
        <v>0</v>
      </c>
      <c r="AA1998"/>
      <c r="AB1998"/>
      <c r="AC1998"/>
      <c r="AD1998"/>
      <c r="AE1998">
        <v>0</v>
      </c>
      <c r="AF1998"/>
      <c r="AG1998"/>
      <c r="AH1998"/>
    </row>
    <row r="1999" spans="1:34" x14ac:dyDescent="0.25">
      <c r="A1999" t="s">
        <v>1945</v>
      </c>
      <c r="B1999" t="s">
        <v>1946</v>
      </c>
      <c r="C1999"/>
      <c r="D1999" t="s">
        <v>1778</v>
      </c>
      <c r="E1999" t="s">
        <v>2600</v>
      </c>
      <c r="F1999" t="s">
        <v>2102</v>
      </c>
      <c r="G1999" t="s">
        <v>280</v>
      </c>
      <c r="H1999" t="s">
        <v>2605</v>
      </c>
      <c r="I1999" t="s">
        <v>373</v>
      </c>
      <c r="J1999"/>
      <c r="K1999">
        <v>1</v>
      </c>
      <c r="L1999">
        <v>1</v>
      </c>
      <c r="M1999" t="s">
        <v>33</v>
      </c>
      <c r="N1999">
        <v>1</v>
      </c>
      <c r="O1999"/>
      <c r="P1999">
        <v>0</v>
      </c>
      <c r="Q1999"/>
      <c r="R1999">
        <v>0</v>
      </c>
      <c r="S1999">
        <v>0</v>
      </c>
      <c r="T1999"/>
      <c r="U1999"/>
      <c r="V1999"/>
      <c r="W1999"/>
      <c r="X1999">
        <v>0</v>
      </c>
      <c r="Y1999"/>
      <c r="Z1999">
        <v>0</v>
      </c>
      <c r="AA1999"/>
      <c r="AB1999"/>
      <c r="AC1999"/>
      <c r="AD1999"/>
      <c r="AE1999">
        <v>0</v>
      </c>
      <c r="AF1999"/>
      <c r="AG1999"/>
      <c r="AH1999"/>
    </row>
    <row r="2000" spans="1:34" x14ac:dyDescent="0.25">
      <c r="A2000" t="s">
        <v>1945</v>
      </c>
      <c r="B2000" t="s">
        <v>1946</v>
      </c>
      <c r="C2000"/>
      <c r="D2000" t="s">
        <v>1778</v>
      </c>
      <c r="E2000" t="s">
        <v>2600</v>
      </c>
      <c r="F2000" t="s">
        <v>2104</v>
      </c>
      <c r="G2000" t="s">
        <v>280</v>
      </c>
      <c r="H2000" t="s">
        <v>2606</v>
      </c>
      <c r="I2000" t="s">
        <v>373</v>
      </c>
      <c r="J2000"/>
      <c r="K2000">
        <v>1</v>
      </c>
      <c r="L2000">
        <v>1</v>
      </c>
      <c r="M2000" t="s">
        <v>33</v>
      </c>
      <c r="N2000">
        <v>1</v>
      </c>
      <c r="O2000"/>
      <c r="P2000">
        <v>0</v>
      </c>
      <c r="Q2000"/>
      <c r="R2000">
        <v>0</v>
      </c>
      <c r="S2000">
        <v>0</v>
      </c>
      <c r="T2000"/>
      <c r="U2000"/>
      <c r="V2000"/>
      <c r="W2000"/>
      <c r="X2000">
        <v>0</v>
      </c>
      <c r="Y2000"/>
      <c r="Z2000">
        <v>0</v>
      </c>
      <c r="AA2000"/>
      <c r="AB2000"/>
      <c r="AC2000"/>
      <c r="AD2000"/>
      <c r="AE2000">
        <v>0</v>
      </c>
      <c r="AF2000"/>
      <c r="AG2000"/>
      <c r="AH2000"/>
    </row>
    <row r="2001" spans="1:34" x14ac:dyDescent="0.25">
      <c r="A2001" t="s">
        <v>1945</v>
      </c>
      <c r="B2001" t="s">
        <v>1946</v>
      </c>
      <c r="C2001"/>
      <c r="D2001" t="s">
        <v>1778</v>
      </c>
      <c r="E2001" t="s">
        <v>2600</v>
      </c>
      <c r="F2001" t="s">
        <v>2106</v>
      </c>
      <c r="G2001" t="s">
        <v>280</v>
      </c>
      <c r="H2001" t="s">
        <v>2607</v>
      </c>
      <c r="I2001" t="s">
        <v>373</v>
      </c>
      <c r="J2001"/>
      <c r="K2001">
        <v>1</v>
      </c>
      <c r="L2001">
        <v>1</v>
      </c>
      <c r="M2001" t="s">
        <v>33</v>
      </c>
      <c r="N2001">
        <v>1</v>
      </c>
      <c r="O2001"/>
      <c r="P2001">
        <v>0</v>
      </c>
      <c r="Q2001"/>
      <c r="R2001">
        <v>0</v>
      </c>
      <c r="S2001">
        <v>0</v>
      </c>
      <c r="T2001"/>
      <c r="U2001"/>
      <c r="V2001"/>
      <c r="W2001"/>
      <c r="X2001">
        <v>0</v>
      </c>
      <c r="Y2001"/>
      <c r="Z2001">
        <v>0</v>
      </c>
      <c r="AA2001"/>
      <c r="AB2001"/>
      <c r="AC2001"/>
      <c r="AD2001"/>
      <c r="AE2001">
        <v>0</v>
      </c>
      <c r="AF2001"/>
      <c r="AG2001"/>
      <c r="AH2001"/>
    </row>
    <row r="2002" spans="1:34" x14ac:dyDescent="0.25">
      <c r="A2002" t="s">
        <v>1945</v>
      </c>
      <c r="B2002" t="s">
        <v>1946</v>
      </c>
      <c r="C2002"/>
      <c r="D2002" t="s">
        <v>1778</v>
      </c>
      <c r="E2002" t="s">
        <v>2600</v>
      </c>
      <c r="F2002" t="s">
        <v>2108</v>
      </c>
      <c r="G2002" t="s">
        <v>280</v>
      </c>
      <c r="H2002" t="s">
        <v>2608</v>
      </c>
      <c r="I2002" t="s">
        <v>373</v>
      </c>
      <c r="J2002"/>
      <c r="K2002">
        <v>1</v>
      </c>
      <c r="L2002">
        <v>1</v>
      </c>
      <c r="M2002" t="s">
        <v>33</v>
      </c>
      <c r="N2002">
        <v>1</v>
      </c>
      <c r="O2002"/>
      <c r="P2002">
        <v>0</v>
      </c>
      <c r="Q2002"/>
      <c r="R2002">
        <v>0</v>
      </c>
      <c r="S2002">
        <v>0</v>
      </c>
      <c r="T2002"/>
      <c r="U2002"/>
      <c r="V2002"/>
      <c r="W2002"/>
      <c r="X2002">
        <v>0</v>
      </c>
      <c r="Y2002"/>
      <c r="Z2002">
        <v>0</v>
      </c>
      <c r="AA2002"/>
      <c r="AB2002"/>
      <c r="AC2002"/>
      <c r="AD2002"/>
      <c r="AE2002">
        <v>0</v>
      </c>
      <c r="AF2002"/>
      <c r="AG2002"/>
      <c r="AH2002"/>
    </row>
    <row r="2003" spans="1:34" x14ac:dyDescent="0.25">
      <c r="A2003" t="s">
        <v>1945</v>
      </c>
      <c r="B2003" t="s">
        <v>1946</v>
      </c>
      <c r="C2003"/>
      <c r="D2003" t="s">
        <v>1778</v>
      </c>
      <c r="E2003" t="s">
        <v>2600</v>
      </c>
      <c r="F2003" t="s">
        <v>2110</v>
      </c>
      <c r="G2003" t="s">
        <v>280</v>
      </c>
      <c r="H2003" t="s">
        <v>2609</v>
      </c>
      <c r="I2003" t="s">
        <v>373</v>
      </c>
      <c r="J2003"/>
      <c r="K2003">
        <v>1</v>
      </c>
      <c r="L2003">
        <v>1</v>
      </c>
      <c r="M2003" t="s">
        <v>33</v>
      </c>
      <c r="N2003">
        <v>1</v>
      </c>
      <c r="O2003"/>
      <c r="P2003">
        <v>0</v>
      </c>
      <c r="Q2003"/>
      <c r="R2003">
        <v>0</v>
      </c>
      <c r="S2003">
        <v>0</v>
      </c>
      <c r="T2003"/>
      <c r="U2003"/>
      <c r="V2003"/>
      <c r="W2003"/>
      <c r="X2003">
        <v>0</v>
      </c>
      <c r="Y2003"/>
      <c r="Z2003">
        <v>0</v>
      </c>
      <c r="AA2003"/>
      <c r="AB2003"/>
      <c r="AC2003"/>
      <c r="AD2003"/>
      <c r="AE2003">
        <v>0</v>
      </c>
      <c r="AF2003"/>
      <c r="AG2003"/>
      <c r="AH2003"/>
    </row>
    <row r="2004" spans="1:34" x14ac:dyDescent="0.25">
      <c r="A2004" t="s">
        <v>1945</v>
      </c>
      <c r="B2004" t="s">
        <v>1946</v>
      </c>
      <c r="C2004"/>
      <c r="D2004" t="s">
        <v>1778</v>
      </c>
      <c r="E2004" t="s">
        <v>2600</v>
      </c>
      <c r="F2004" t="s">
        <v>2112</v>
      </c>
      <c r="G2004" t="s">
        <v>280</v>
      </c>
      <c r="H2004" t="s">
        <v>2610</v>
      </c>
      <c r="I2004" t="s">
        <v>373</v>
      </c>
      <c r="J2004"/>
      <c r="K2004">
        <v>1</v>
      </c>
      <c r="L2004">
        <v>1</v>
      </c>
      <c r="M2004" t="s">
        <v>33</v>
      </c>
      <c r="N2004">
        <v>1</v>
      </c>
      <c r="O2004"/>
      <c r="P2004">
        <v>0</v>
      </c>
      <c r="Q2004"/>
      <c r="R2004">
        <v>0</v>
      </c>
      <c r="S2004">
        <v>0</v>
      </c>
      <c r="T2004"/>
      <c r="U2004"/>
      <c r="V2004"/>
      <c r="W2004"/>
      <c r="X2004">
        <v>0</v>
      </c>
      <c r="Y2004"/>
      <c r="Z2004">
        <v>0</v>
      </c>
      <c r="AA2004"/>
      <c r="AB2004"/>
      <c r="AC2004"/>
      <c r="AD2004"/>
      <c r="AE2004">
        <v>0</v>
      </c>
      <c r="AF2004"/>
      <c r="AG2004"/>
      <c r="AH2004"/>
    </row>
    <row r="2005" spans="1:34" x14ac:dyDescent="0.25">
      <c r="A2005" t="s">
        <v>1945</v>
      </c>
      <c r="B2005" t="s">
        <v>1946</v>
      </c>
      <c r="C2005"/>
      <c r="D2005" t="s">
        <v>1778</v>
      </c>
      <c r="E2005" t="s">
        <v>2600</v>
      </c>
      <c r="F2005" t="s">
        <v>2114</v>
      </c>
      <c r="G2005" t="s">
        <v>280</v>
      </c>
      <c r="H2005" t="s">
        <v>2611</v>
      </c>
      <c r="I2005" t="s">
        <v>373</v>
      </c>
      <c r="J2005"/>
      <c r="K2005">
        <v>1</v>
      </c>
      <c r="L2005">
        <v>1</v>
      </c>
      <c r="M2005" t="s">
        <v>33</v>
      </c>
      <c r="N2005">
        <v>1</v>
      </c>
      <c r="O2005"/>
      <c r="P2005">
        <v>0</v>
      </c>
      <c r="Q2005"/>
      <c r="R2005">
        <v>0</v>
      </c>
      <c r="S2005">
        <v>0</v>
      </c>
      <c r="T2005"/>
      <c r="U2005"/>
      <c r="V2005"/>
      <c r="W2005"/>
      <c r="X2005">
        <v>0</v>
      </c>
      <c r="Y2005"/>
      <c r="Z2005">
        <v>0</v>
      </c>
      <c r="AA2005"/>
      <c r="AB2005"/>
      <c r="AC2005"/>
      <c r="AD2005"/>
      <c r="AE2005">
        <v>0</v>
      </c>
      <c r="AF2005"/>
      <c r="AG2005"/>
      <c r="AH2005"/>
    </row>
    <row r="2006" spans="1:34" x14ac:dyDescent="0.25">
      <c r="A2006" t="s">
        <v>1945</v>
      </c>
      <c r="B2006" t="s">
        <v>1946</v>
      </c>
      <c r="C2006"/>
      <c r="D2006" t="s">
        <v>1778</v>
      </c>
      <c r="E2006" t="s">
        <v>2600</v>
      </c>
      <c r="F2006" t="s">
        <v>2612</v>
      </c>
      <c r="G2006" t="s">
        <v>280</v>
      </c>
      <c r="H2006" t="s">
        <v>2613</v>
      </c>
      <c r="I2006" t="s">
        <v>373</v>
      </c>
      <c r="J2006"/>
      <c r="K2006">
        <v>1</v>
      </c>
      <c r="L2006">
        <v>1</v>
      </c>
      <c r="M2006" t="s">
        <v>33</v>
      </c>
      <c r="N2006">
        <v>1</v>
      </c>
      <c r="O2006"/>
      <c r="P2006">
        <v>0</v>
      </c>
      <c r="Q2006"/>
      <c r="R2006">
        <v>0</v>
      </c>
      <c r="S2006">
        <v>0</v>
      </c>
      <c r="T2006"/>
      <c r="U2006"/>
      <c r="V2006"/>
      <c r="W2006"/>
      <c r="X2006">
        <v>0</v>
      </c>
      <c r="Y2006"/>
      <c r="Z2006">
        <v>0</v>
      </c>
      <c r="AA2006"/>
      <c r="AB2006"/>
      <c r="AC2006"/>
      <c r="AD2006"/>
      <c r="AE2006">
        <v>0</v>
      </c>
      <c r="AF2006"/>
      <c r="AG2006"/>
      <c r="AH2006"/>
    </row>
    <row r="2007" spans="1:34" x14ac:dyDescent="0.25">
      <c r="A2007" t="s">
        <v>1945</v>
      </c>
      <c r="B2007" t="s">
        <v>1946</v>
      </c>
      <c r="C2007"/>
      <c r="D2007" t="s">
        <v>1778</v>
      </c>
      <c r="E2007" t="s">
        <v>2600</v>
      </c>
      <c r="F2007" t="s">
        <v>2614</v>
      </c>
      <c r="G2007" t="s">
        <v>280</v>
      </c>
      <c r="H2007" t="s">
        <v>2615</v>
      </c>
      <c r="I2007" t="s">
        <v>373</v>
      </c>
      <c r="J2007"/>
      <c r="K2007">
        <v>1</v>
      </c>
      <c r="L2007">
        <v>1</v>
      </c>
      <c r="M2007" t="s">
        <v>33</v>
      </c>
      <c r="N2007">
        <v>1</v>
      </c>
      <c r="O2007"/>
      <c r="P2007">
        <v>0</v>
      </c>
      <c r="Q2007"/>
      <c r="R2007">
        <v>0</v>
      </c>
      <c r="S2007">
        <v>0</v>
      </c>
      <c r="T2007"/>
      <c r="U2007"/>
      <c r="V2007"/>
      <c r="W2007"/>
      <c r="X2007">
        <v>0</v>
      </c>
      <c r="Y2007"/>
      <c r="Z2007">
        <v>0</v>
      </c>
      <c r="AA2007"/>
      <c r="AB2007"/>
      <c r="AC2007"/>
      <c r="AD2007"/>
      <c r="AE2007">
        <v>0</v>
      </c>
      <c r="AF2007"/>
      <c r="AG2007"/>
      <c r="AH2007"/>
    </row>
    <row r="2008" spans="1:34" x14ac:dyDescent="0.25">
      <c r="A2008" t="s">
        <v>1945</v>
      </c>
      <c r="B2008" t="s">
        <v>1946</v>
      </c>
      <c r="C2008"/>
      <c r="D2008" t="s">
        <v>1778</v>
      </c>
      <c r="E2008" t="s">
        <v>2600</v>
      </c>
      <c r="F2008" t="s">
        <v>2122</v>
      </c>
      <c r="G2008" t="s">
        <v>280</v>
      </c>
      <c r="H2008" t="s">
        <v>2616</v>
      </c>
      <c r="I2008" t="s">
        <v>373</v>
      </c>
      <c r="J2008"/>
      <c r="K2008">
        <v>1</v>
      </c>
      <c r="L2008">
        <v>1</v>
      </c>
      <c r="M2008" t="s">
        <v>33</v>
      </c>
      <c r="N2008">
        <v>1</v>
      </c>
      <c r="O2008"/>
      <c r="P2008">
        <v>0</v>
      </c>
      <c r="Q2008"/>
      <c r="R2008">
        <v>0</v>
      </c>
      <c r="S2008">
        <v>0</v>
      </c>
      <c r="T2008"/>
      <c r="U2008"/>
      <c r="V2008"/>
      <c r="W2008"/>
      <c r="X2008">
        <v>0</v>
      </c>
      <c r="Y2008"/>
      <c r="Z2008">
        <v>0</v>
      </c>
      <c r="AA2008"/>
      <c r="AB2008"/>
      <c r="AC2008"/>
      <c r="AD2008"/>
      <c r="AE2008">
        <v>0</v>
      </c>
      <c r="AF2008"/>
      <c r="AG2008"/>
      <c r="AH2008"/>
    </row>
    <row r="2009" spans="1:34" x14ac:dyDescent="0.25">
      <c r="A2009" t="s">
        <v>1945</v>
      </c>
      <c r="B2009" t="s">
        <v>1946</v>
      </c>
      <c r="C2009"/>
      <c r="D2009" t="s">
        <v>1778</v>
      </c>
      <c r="E2009" t="s">
        <v>2600</v>
      </c>
      <c r="F2009" t="s">
        <v>2124</v>
      </c>
      <c r="G2009" t="s">
        <v>280</v>
      </c>
      <c r="H2009" t="s">
        <v>2617</v>
      </c>
      <c r="I2009" t="s">
        <v>373</v>
      </c>
      <c r="J2009"/>
      <c r="K2009">
        <v>1</v>
      </c>
      <c r="L2009">
        <v>1</v>
      </c>
      <c r="M2009" t="s">
        <v>33</v>
      </c>
      <c r="N2009">
        <v>1</v>
      </c>
      <c r="O2009"/>
      <c r="P2009">
        <v>0</v>
      </c>
      <c r="Q2009"/>
      <c r="R2009">
        <v>0</v>
      </c>
      <c r="S2009">
        <v>0</v>
      </c>
      <c r="T2009"/>
      <c r="U2009"/>
      <c r="V2009"/>
      <c r="W2009"/>
      <c r="X2009">
        <v>0</v>
      </c>
      <c r="Y2009"/>
      <c r="Z2009">
        <v>0</v>
      </c>
      <c r="AA2009"/>
      <c r="AB2009"/>
      <c r="AC2009"/>
      <c r="AD2009"/>
      <c r="AE2009">
        <v>0</v>
      </c>
      <c r="AF2009"/>
      <c r="AG2009"/>
      <c r="AH2009"/>
    </row>
    <row r="2010" spans="1:34" x14ac:dyDescent="0.25">
      <c r="A2010" t="s">
        <v>1945</v>
      </c>
      <c r="B2010" t="s">
        <v>1946</v>
      </c>
      <c r="C2010"/>
      <c r="D2010" t="s">
        <v>1778</v>
      </c>
      <c r="E2010" t="s">
        <v>2600</v>
      </c>
      <c r="F2010" t="s">
        <v>2126</v>
      </c>
      <c r="G2010" t="s">
        <v>280</v>
      </c>
      <c r="H2010" t="s">
        <v>2618</v>
      </c>
      <c r="I2010" t="s">
        <v>373</v>
      </c>
      <c r="J2010"/>
      <c r="K2010">
        <v>1</v>
      </c>
      <c r="L2010">
        <v>1</v>
      </c>
      <c r="M2010" t="s">
        <v>33</v>
      </c>
      <c r="N2010">
        <v>1</v>
      </c>
      <c r="O2010"/>
      <c r="P2010">
        <v>0</v>
      </c>
      <c r="Q2010"/>
      <c r="R2010">
        <v>0</v>
      </c>
      <c r="S2010">
        <v>0</v>
      </c>
      <c r="T2010"/>
      <c r="U2010"/>
      <c r="V2010"/>
      <c r="W2010"/>
      <c r="X2010">
        <v>0</v>
      </c>
      <c r="Y2010"/>
      <c r="Z2010">
        <v>0</v>
      </c>
      <c r="AA2010"/>
      <c r="AB2010"/>
      <c r="AC2010"/>
      <c r="AD2010"/>
      <c r="AE2010">
        <v>0</v>
      </c>
      <c r="AF2010"/>
      <c r="AG2010"/>
      <c r="AH2010"/>
    </row>
    <row r="2011" spans="1:34" x14ac:dyDescent="0.25">
      <c r="A2011" t="s">
        <v>1945</v>
      </c>
      <c r="B2011" t="s">
        <v>1946</v>
      </c>
      <c r="C2011"/>
      <c r="D2011" t="s">
        <v>1778</v>
      </c>
      <c r="E2011" t="s">
        <v>2600</v>
      </c>
      <c r="F2011" t="s">
        <v>2128</v>
      </c>
      <c r="G2011" t="s">
        <v>280</v>
      </c>
      <c r="H2011" t="s">
        <v>2619</v>
      </c>
      <c r="I2011" t="s">
        <v>373</v>
      </c>
      <c r="J2011"/>
      <c r="K2011">
        <v>1</v>
      </c>
      <c r="L2011">
        <v>1</v>
      </c>
      <c r="M2011" t="s">
        <v>33</v>
      </c>
      <c r="N2011">
        <v>1</v>
      </c>
      <c r="O2011"/>
      <c r="P2011">
        <v>0</v>
      </c>
      <c r="Q2011"/>
      <c r="R2011">
        <v>0</v>
      </c>
      <c r="S2011">
        <v>0</v>
      </c>
      <c r="T2011"/>
      <c r="U2011"/>
      <c r="V2011"/>
      <c r="W2011"/>
      <c r="X2011">
        <v>0</v>
      </c>
      <c r="Y2011"/>
      <c r="Z2011">
        <v>0</v>
      </c>
      <c r="AA2011"/>
      <c r="AB2011"/>
      <c r="AC2011"/>
      <c r="AD2011"/>
      <c r="AE2011">
        <v>0</v>
      </c>
      <c r="AF2011"/>
      <c r="AG2011"/>
      <c r="AH2011"/>
    </row>
    <row r="2012" spans="1:34" x14ac:dyDescent="0.25">
      <c r="A2012" t="s">
        <v>1945</v>
      </c>
      <c r="B2012" t="s">
        <v>1946</v>
      </c>
      <c r="C2012"/>
      <c r="D2012" t="s">
        <v>1778</v>
      </c>
      <c r="E2012" t="s">
        <v>2600</v>
      </c>
      <c r="F2012" t="s">
        <v>2130</v>
      </c>
      <c r="G2012" t="s">
        <v>280</v>
      </c>
      <c r="H2012" t="s">
        <v>2620</v>
      </c>
      <c r="I2012" t="s">
        <v>373</v>
      </c>
      <c r="J2012"/>
      <c r="K2012">
        <v>1</v>
      </c>
      <c r="L2012">
        <v>1</v>
      </c>
      <c r="M2012" t="s">
        <v>33</v>
      </c>
      <c r="N2012">
        <v>1</v>
      </c>
      <c r="O2012"/>
      <c r="P2012">
        <v>0</v>
      </c>
      <c r="Q2012"/>
      <c r="R2012">
        <v>0</v>
      </c>
      <c r="S2012">
        <v>0</v>
      </c>
      <c r="T2012"/>
      <c r="U2012"/>
      <c r="V2012"/>
      <c r="W2012"/>
      <c r="X2012">
        <v>0</v>
      </c>
      <c r="Y2012"/>
      <c r="Z2012">
        <v>0</v>
      </c>
      <c r="AA2012"/>
      <c r="AB2012"/>
      <c r="AC2012"/>
      <c r="AD2012"/>
      <c r="AE2012">
        <v>0</v>
      </c>
      <c r="AF2012"/>
      <c r="AG2012"/>
      <c r="AH2012"/>
    </row>
    <row r="2013" spans="1:34" x14ac:dyDescent="0.25">
      <c r="A2013" t="s">
        <v>1945</v>
      </c>
      <c r="B2013" t="s">
        <v>1946</v>
      </c>
      <c r="C2013"/>
      <c r="D2013" t="s">
        <v>1778</v>
      </c>
      <c r="E2013" t="s">
        <v>2600</v>
      </c>
      <c r="F2013" t="s">
        <v>2132</v>
      </c>
      <c r="G2013" t="s">
        <v>280</v>
      </c>
      <c r="H2013" t="s">
        <v>2621</v>
      </c>
      <c r="I2013" t="s">
        <v>373</v>
      </c>
      <c r="J2013"/>
      <c r="K2013">
        <v>1</v>
      </c>
      <c r="L2013">
        <v>1</v>
      </c>
      <c r="M2013" t="s">
        <v>33</v>
      </c>
      <c r="N2013">
        <v>1</v>
      </c>
      <c r="O2013"/>
      <c r="P2013">
        <v>0</v>
      </c>
      <c r="Q2013"/>
      <c r="R2013">
        <v>0</v>
      </c>
      <c r="S2013">
        <v>0</v>
      </c>
      <c r="T2013"/>
      <c r="U2013"/>
      <c r="V2013"/>
      <c r="W2013"/>
      <c r="X2013">
        <v>0</v>
      </c>
      <c r="Y2013"/>
      <c r="Z2013">
        <v>0</v>
      </c>
      <c r="AA2013"/>
      <c r="AB2013"/>
      <c r="AC2013"/>
      <c r="AD2013"/>
      <c r="AE2013">
        <v>0</v>
      </c>
      <c r="AF2013"/>
      <c r="AG2013"/>
      <c r="AH2013"/>
    </row>
    <row r="2014" spans="1:34" x14ac:dyDescent="0.25">
      <c r="A2014" t="s">
        <v>1945</v>
      </c>
      <c r="B2014" t="s">
        <v>1946</v>
      </c>
      <c r="C2014"/>
      <c r="D2014" t="s">
        <v>1778</v>
      </c>
      <c r="E2014" t="s">
        <v>2600</v>
      </c>
      <c r="F2014" t="s">
        <v>2134</v>
      </c>
      <c r="G2014" t="s">
        <v>280</v>
      </c>
      <c r="H2014" t="s">
        <v>2622</v>
      </c>
      <c r="I2014" t="s">
        <v>373</v>
      </c>
      <c r="J2014"/>
      <c r="K2014">
        <v>1</v>
      </c>
      <c r="L2014">
        <v>1</v>
      </c>
      <c r="M2014" t="s">
        <v>33</v>
      </c>
      <c r="N2014">
        <v>1</v>
      </c>
      <c r="O2014"/>
      <c r="P2014">
        <v>0</v>
      </c>
      <c r="Q2014"/>
      <c r="R2014">
        <v>0</v>
      </c>
      <c r="S2014">
        <v>0</v>
      </c>
      <c r="T2014"/>
      <c r="U2014"/>
      <c r="V2014"/>
      <c r="W2014"/>
      <c r="X2014">
        <v>0</v>
      </c>
      <c r="Y2014"/>
      <c r="Z2014">
        <v>0</v>
      </c>
      <c r="AA2014"/>
      <c r="AB2014"/>
      <c r="AC2014"/>
      <c r="AD2014"/>
      <c r="AE2014">
        <v>0</v>
      </c>
      <c r="AF2014"/>
      <c r="AG2014"/>
      <c r="AH2014"/>
    </row>
    <row r="2015" spans="1:34" x14ac:dyDescent="0.25">
      <c r="A2015" t="s">
        <v>1945</v>
      </c>
      <c r="B2015" t="s">
        <v>1946</v>
      </c>
      <c r="C2015"/>
      <c r="D2015" t="s">
        <v>1778</v>
      </c>
      <c r="E2015" t="s">
        <v>2600</v>
      </c>
      <c r="F2015" t="s">
        <v>2136</v>
      </c>
      <c r="G2015" t="s">
        <v>280</v>
      </c>
      <c r="H2015" t="s">
        <v>2623</v>
      </c>
      <c r="I2015" t="s">
        <v>373</v>
      </c>
      <c r="J2015"/>
      <c r="K2015">
        <v>1</v>
      </c>
      <c r="L2015">
        <v>1</v>
      </c>
      <c r="M2015" t="s">
        <v>33</v>
      </c>
      <c r="N2015">
        <v>1</v>
      </c>
      <c r="O2015"/>
      <c r="P2015">
        <v>0</v>
      </c>
      <c r="Q2015"/>
      <c r="R2015">
        <v>0</v>
      </c>
      <c r="S2015">
        <v>0</v>
      </c>
      <c r="T2015"/>
      <c r="U2015"/>
      <c r="V2015"/>
      <c r="W2015"/>
      <c r="X2015">
        <v>0</v>
      </c>
      <c r="Y2015"/>
      <c r="Z2015">
        <v>0</v>
      </c>
      <c r="AA2015"/>
      <c r="AB2015"/>
      <c r="AC2015"/>
      <c r="AD2015"/>
      <c r="AE2015">
        <v>0</v>
      </c>
      <c r="AF2015"/>
      <c r="AG2015"/>
      <c r="AH2015"/>
    </row>
    <row r="2016" spans="1:34" x14ac:dyDescent="0.25">
      <c r="A2016" t="s">
        <v>1945</v>
      </c>
      <c r="B2016" t="s">
        <v>1946</v>
      </c>
      <c r="C2016"/>
      <c r="D2016" t="s">
        <v>1778</v>
      </c>
      <c r="E2016" t="s">
        <v>2600</v>
      </c>
      <c r="F2016" t="s">
        <v>2138</v>
      </c>
      <c r="G2016" t="s">
        <v>280</v>
      </c>
      <c r="H2016" t="s">
        <v>2624</v>
      </c>
      <c r="I2016" t="s">
        <v>373</v>
      </c>
      <c r="J2016"/>
      <c r="K2016">
        <v>1</v>
      </c>
      <c r="L2016">
        <v>1</v>
      </c>
      <c r="M2016" t="s">
        <v>33</v>
      </c>
      <c r="N2016">
        <v>1</v>
      </c>
      <c r="O2016"/>
      <c r="P2016">
        <v>0</v>
      </c>
      <c r="Q2016"/>
      <c r="R2016">
        <v>0</v>
      </c>
      <c r="S2016">
        <v>0</v>
      </c>
      <c r="T2016"/>
      <c r="U2016"/>
      <c r="V2016"/>
      <c r="W2016"/>
      <c r="X2016">
        <v>0</v>
      </c>
      <c r="Y2016"/>
      <c r="Z2016">
        <v>0</v>
      </c>
      <c r="AA2016"/>
      <c r="AB2016"/>
      <c r="AC2016"/>
      <c r="AD2016"/>
      <c r="AE2016">
        <v>0</v>
      </c>
      <c r="AF2016"/>
      <c r="AG2016"/>
      <c r="AH2016"/>
    </row>
    <row r="2017" spans="1:34" x14ac:dyDescent="0.25">
      <c r="A2017" t="s">
        <v>1945</v>
      </c>
      <c r="B2017" t="s">
        <v>1946</v>
      </c>
      <c r="C2017"/>
      <c r="D2017" t="s">
        <v>1778</v>
      </c>
      <c r="E2017" t="s">
        <v>2600</v>
      </c>
      <c r="F2017" t="s">
        <v>2140</v>
      </c>
      <c r="G2017" t="s">
        <v>280</v>
      </c>
      <c r="H2017" t="s">
        <v>2625</v>
      </c>
      <c r="I2017" t="s">
        <v>373</v>
      </c>
      <c r="J2017"/>
      <c r="K2017">
        <v>1</v>
      </c>
      <c r="L2017">
        <v>1</v>
      </c>
      <c r="M2017" t="s">
        <v>33</v>
      </c>
      <c r="N2017">
        <v>1</v>
      </c>
      <c r="O2017"/>
      <c r="P2017">
        <v>0</v>
      </c>
      <c r="Q2017"/>
      <c r="R2017">
        <v>0</v>
      </c>
      <c r="S2017">
        <v>0</v>
      </c>
      <c r="T2017"/>
      <c r="U2017"/>
      <c r="V2017"/>
      <c r="W2017"/>
      <c r="X2017">
        <v>0</v>
      </c>
      <c r="Y2017"/>
      <c r="Z2017">
        <v>0</v>
      </c>
      <c r="AA2017"/>
      <c r="AB2017"/>
      <c r="AC2017"/>
      <c r="AD2017"/>
      <c r="AE2017">
        <v>0</v>
      </c>
      <c r="AF2017"/>
      <c r="AG2017"/>
      <c r="AH2017"/>
    </row>
    <row r="2018" spans="1:34" x14ac:dyDescent="0.25">
      <c r="A2018" t="s">
        <v>1945</v>
      </c>
      <c r="B2018" t="s">
        <v>1946</v>
      </c>
      <c r="C2018"/>
      <c r="D2018" t="s">
        <v>1778</v>
      </c>
      <c r="E2018" t="s">
        <v>2600</v>
      </c>
      <c r="F2018" t="s">
        <v>2142</v>
      </c>
      <c r="G2018" t="s">
        <v>280</v>
      </c>
      <c r="H2018" t="s">
        <v>2626</v>
      </c>
      <c r="I2018" t="s">
        <v>373</v>
      </c>
      <c r="J2018"/>
      <c r="K2018">
        <v>1</v>
      </c>
      <c r="L2018">
        <v>1</v>
      </c>
      <c r="M2018" t="s">
        <v>33</v>
      </c>
      <c r="N2018">
        <v>1</v>
      </c>
      <c r="O2018"/>
      <c r="P2018">
        <v>0</v>
      </c>
      <c r="Q2018"/>
      <c r="R2018">
        <v>0</v>
      </c>
      <c r="S2018">
        <v>0</v>
      </c>
      <c r="T2018"/>
      <c r="U2018"/>
      <c r="V2018"/>
      <c r="W2018"/>
      <c r="X2018">
        <v>0</v>
      </c>
      <c r="Y2018"/>
      <c r="Z2018">
        <v>0</v>
      </c>
      <c r="AA2018"/>
      <c r="AB2018"/>
      <c r="AC2018"/>
      <c r="AD2018"/>
      <c r="AE2018">
        <v>0</v>
      </c>
      <c r="AF2018"/>
      <c r="AG2018"/>
      <c r="AH2018"/>
    </row>
    <row r="2019" spans="1:34" x14ac:dyDescent="0.25">
      <c r="A2019" t="s">
        <v>1945</v>
      </c>
      <c r="B2019" t="s">
        <v>1946</v>
      </c>
      <c r="C2019"/>
      <c r="D2019" t="s">
        <v>1778</v>
      </c>
      <c r="E2019" t="s">
        <v>2600</v>
      </c>
      <c r="F2019" t="s">
        <v>2627</v>
      </c>
      <c r="G2019" t="s">
        <v>280</v>
      </c>
      <c r="H2019" t="s">
        <v>2628</v>
      </c>
      <c r="I2019" t="s">
        <v>373</v>
      </c>
      <c r="J2019"/>
      <c r="K2019">
        <v>1</v>
      </c>
      <c r="L2019">
        <v>1</v>
      </c>
      <c r="M2019" t="s">
        <v>33</v>
      </c>
      <c r="N2019">
        <v>1</v>
      </c>
      <c r="O2019"/>
      <c r="P2019">
        <v>0</v>
      </c>
      <c r="Q2019"/>
      <c r="R2019">
        <v>0</v>
      </c>
      <c r="S2019">
        <v>0</v>
      </c>
      <c r="T2019"/>
      <c r="U2019"/>
      <c r="V2019"/>
      <c r="W2019"/>
      <c r="X2019">
        <v>0</v>
      </c>
      <c r="Y2019"/>
      <c r="Z2019">
        <v>0</v>
      </c>
      <c r="AA2019"/>
      <c r="AB2019"/>
      <c r="AC2019"/>
      <c r="AD2019"/>
      <c r="AE2019">
        <v>0</v>
      </c>
      <c r="AF2019"/>
      <c r="AG2019"/>
      <c r="AH2019"/>
    </row>
    <row r="2020" spans="1:34" x14ac:dyDescent="0.25">
      <c r="A2020" t="s">
        <v>1945</v>
      </c>
      <c r="B2020" t="s">
        <v>1946</v>
      </c>
      <c r="C2020"/>
      <c r="D2020" t="s">
        <v>1778</v>
      </c>
      <c r="E2020" t="s">
        <v>2600</v>
      </c>
      <c r="F2020" t="s">
        <v>2629</v>
      </c>
      <c r="G2020" t="s">
        <v>280</v>
      </c>
      <c r="H2020" t="s">
        <v>2630</v>
      </c>
      <c r="I2020" t="s">
        <v>373</v>
      </c>
      <c r="J2020"/>
      <c r="K2020">
        <v>1</v>
      </c>
      <c r="L2020">
        <v>1</v>
      </c>
      <c r="M2020" t="s">
        <v>33</v>
      </c>
      <c r="N2020">
        <v>1</v>
      </c>
      <c r="O2020"/>
      <c r="P2020">
        <v>0</v>
      </c>
      <c r="Q2020"/>
      <c r="R2020">
        <v>0</v>
      </c>
      <c r="S2020">
        <v>0</v>
      </c>
      <c r="T2020"/>
      <c r="U2020"/>
      <c r="V2020"/>
      <c r="W2020"/>
      <c r="X2020">
        <v>0</v>
      </c>
      <c r="Y2020"/>
      <c r="Z2020">
        <v>0</v>
      </c>
      <c r="AA2020"/>
      <c r="AB2020"/>
      <c r="AC2020"/>
      <c r="AD2020"/>
      <c r="AE2020">
        <v>0</v>
      </c>
      <c r="AF2020"/>
      <c r="AG2020"/>
      <c r="AH2020"/>
    </row>
    <row r="2021" spans="1:34" x14ac:dyDescent="0.25">
      <c r="A2021" t="s">
        <v>1945</v>
      </c>
      <c r="B2021" t="s">
        <v>1946</v>
      </c>
      <c r="C2021"/>
      <c r="D2021" t="s">
        <v>1778</v>
      </c>
      <c r="E2021" t="s">
        <v>2600</v>
      </c>
      <c r="F2021" t="s">
        <v>2631</v>
      </c>
      <c r="G2021" t="s">
        <v>280</v>
      </c>
      <c r="H2021" t="s">
        <v>2632</v>
      </c>
      <c r="I2021" t="s">
        <v>373</v>
      </c>
      <c r="J2021"/>
      <c r="K2021">
        <v>1</v>
      </c>
      <c r="L2021">
        <v>1</v>
      </c>
      <c r="M2021" t="s">
        <v>33</v>
      </c>
      <c r="N2021">
        <v>1</v>
      </c>
      <c r="O2021"/>
      <c r="P2021">
        <v>0</v>
      </c>
      <c r="Q2021"/>
      <c r="R2021">
        <v>0</v>
      </c>
      <c r="S2021">
        <v>0</v>
      </c>
      <c r="T2021"/>
      <c r="U2021"/>
      <c r="V2021"/>
      <c r="W2021"/>
      <c r="X2021">
        <v>0</v>
      </c>
      <c r="Y2021"/>
      <c r="Z2021">
        <v>0</v>
      </c>
      <c r="AA2021"/>
      <c r="AB2021"/>
      <c r="AC2021"/>
      <c r="AD2021"/>
      <c r="AE2021">
        <v>0</v>
      </c>
      <c r="AF2021"/>
      <c r="AG2021"/>
      <c r="AH2021"/>
    </row>
    <row r="2022" spans="1:34" x14ac:dyDescent="0.25">
      <c r="A2022" t="s">
        <v>2046</v>
      </c>
      <c r="B2022" t="s">
        <v>2047</v>
      </c>
      <c r="C2022"/>
      <c r="D2022" t="s">
        <v>1778</v>
      </c>
      <c r="E2022" t="s">
        <v>2633</v>
      </c>
      <c r="F2022" t="s">
        <v>2106</v>
      </c>
      <c r="G2022" t="s">
        <v>280</v>
      </c>
      <c r="H2022" t="s">
        <v>2634</v>
      </c>
      <c r="I2022" t="s">
        <v>35</v>
      </c>
      <c r="J2022"/>
      <c r="K2022">
        <v>1</v>
      </c>
      <c r="L2022">
        <v>1</v>
      </c>
      <c r="M2022" t="s">
        <v>33</v>
      </c>
      <c r="N2022">
        <v>1</v>
      </c>
      <c r="O2022"/>
      <c r="P2022">
        <v>0</v>
      </c>
      <c r="Q2022" t="s">
        <v>38</v>
      </c>
      <c r="R2022">
        <v>1</v>
      </c>
      <c r="S2022">
        <v>0</v>
      </c>
      <c r="T2022"/>
      <c r="U2022"/>
      <c r="V2022"/>
      <c r="W2022"/>
      <c r="X2022">
        <v>0</v>
      </c>
      <c r="Y2022"/>
      <c r="Z2022">
        <v>0</v>
      </c>
      <c r="AA2022"/>
      <c r="AB2022"/>
      <c r="AC2022"/>
      <c r="AD2022"/>
      <c r="AE2022">
        <v>0</v>
      </c>
      <c r="AF2022"/>
      <c r="AG2022" t="s">
        <v>277</v>
      </c>
      <c r="AH2022"/>
    </row>
    <row r="2023" spans="1:34" x14ac:dyDescent="0.25">
      <c r="A2023" t="s">
        <v>2046</v>
      </c>
      <c r="B2023" t="s">
        <v>2047</v>
      </c>
      <c r="C2023"/>
      <c r="D2023" t="s">
        <v>1778</v>
      </c>
      <c r="E2023" t="s">
        <v>2633</v>
      </c>
      <c r="F2023" t="s">
        <v>2635</v>
      </c>
      <c r="G2023" t="s">
        <v>280</v>
      </c>
      <c r="H2023" t="s">
        <v>2636</v>
      </c>
      <c r="I2023" t="s">
        <v>35</v>
      </c>
      <c r="J2023"/>
      <c r="K2023">
        <v>1</v>
      </c>
      <c r="L2023">
        <v>1</v>
      </c>
      <c r="M2023" t="s">
        <v>33</v>
      </c>
      <c r="N2023">
        <v>1</v>
      </c>
      <c r="O2023"/>
      <c r="P2023">
        <v>0</v>
      </c>
      <c r="Q2023" t="s">
        <v>38</v>
      </c>
      <c r="R2023">
        <v>1</v>
      </c>
      <c r="S2023">
        <v>0</v>
      </c>
      <c r="T2023"/>
      <c r="U2023"/>
      <c r="V2023"/>
      <c r="W2023"/>
      <c r="X2023">
        <v>0</v>
      </c>
      <c r="Y2023"/>
      <c r="Z2023">
        <v>0</v>
      </c>
      <c r="AA2023"/>
      <c r="AB2023"/>
      <c r="AC2023"/>
      <c r="AD2023"/>
      <c r="AE2023">
        <v>0</v>
      </c>
      <c r="AF2023"/>
      <c r="AG2023" t="s">
        <v>277</v>
      </c>
      <c r="AH2023"/>
    </row>
    <row r="2024" spans="1:34" x14ac:dyDescent="0.25">
      <c r="A2024" t="s">
        <v>2046</v>
      </c>
      <c r="B2024" t="s">
        <v>2047</v>
      </c>
      <c r="C2024"/>
      <c r="D2024" t="s">
        <v>1778</v>
      </c>
      <c r="E2024" t="s">
        <v>2633</v>
      </c>
      <c r="F2024" t="s">
        <v>2138</v>
      </c>
      <c r="G2024" t="s">
        <v>280</v>
      </c>
      <c r="H2024" t="s">
        <v>2637</v>
      </c>
      <c r="I2024" t="s">
        <v>35</v>
      </c>
      <c r="J2024"/>
      <c r="K2024">
        <v>1</v>
      </c>
      <c r="L2024">
        <v>1</v>
      </c>
      <c r="M2024" t="s">
        <v>33</v>
      </c>
      <c r="N2024">
        <v>1</v>
      </c>
      <c r="O2024"/>
      <c r="P2024">
        <v>0</v>
      </c>
      <c r="Q2024" t="s">
        <v>38</v>
      </c>
      <c r="R2024">
        <v>1</v>
      </c>
      <c r="S2024">
        <v>0</v>
      </c>
      <c r="T2024"/>
      <c r="U2024"/>
      <c r="V2024"/>
      <c r="W2024"/>
      <c r="X2024">
        <v>0</v>
      </c>
      <c r="Y2024"/>
      <c r="Z2024">
        <v>0</v>
      </c>
      <c r="AA2024"/>
      <c r="AB2024"/>
      <c r="AC2024"/>
      <c r="AD2024"/>
      <c r="AE2024">
        <v>0</v>
      </c>
      <c r="AF2024"/>
      <c r="AG2024" t="s">
        <v>277</v>
      </c>
      <c r="AH2024"/>
    </row>
    <row r="2025" spans="1:34" x14ac:dyDescent="0.25">
      <c r="A2025" t="s">
        <v>2046</v>
      </c>
      <c r="B2025" t="s">
        <v>2047</v>
      </c>
      <c r="C2025"/>
      <c r="D2025" t="s">
        <v>1778</v>
      </c>
      <c r="E2025" t="s">
        <v>2633</v>
      </c>
      <c r="F2025" t="s">
        <v>2638</v>
      </c>
      <c r="G2025" t="s">
        <v>280</v>
      </c>
      <c r="H2025" t="s">
        <v>2639</v>
      </c>
      <c r="I2025" t="s">
        <v>35</v>
      </c>
      <c r="J2025"/>
      <c r="K2025">
        <v>1</v>
      </c>
      <c r="L2025">
        <v>1</v>
      </c>
      <c r="M2025" t="s">
        <v>33</v>
      </c>
      <c r="N2025">
        <v>1</v>
      </c>
      <c r="O2025"/>
      <c r="P2025">
        <v>0</v>
      </c>
      <c r="Q2025" t="s">
        <v>38</v>
      </c>
      <c r="R2025">
        <v>1</v>
      </c>
      <c r="S2025">
        <v>0</v>
      </c>
      <c r="T2025"/>
      <c r="U2025"/>
      <c r="V2025"/>
      <c r="W2025"/>
      <c r="X2025">
        <v>0</v>
      </c>
      <c r="Y2025"/>
      <c r="Z2025">
        <v>0</v>
      </c>
      <c r="AA2025"/>
      <c r="AB2025"/>
      <c r="AC2025"/>
      <c r="AD2025"/>
      <c r="AE2025">
        <v>0</v>
      </c>
      <c r="AF2025"/>
      <c r="AG2025" t="s">
        <v>277</v>
      </c>
      <c r="AH2025"/>
    </row>
    <row r="2026" spans="1:34" x14ac:dyDescent="0.25">
      <c r="A2026" t="s">
        <v>2046</v>
      </c>
      <c r="B2026" t="s">
        <v>2047</v>
      </c>
      <c r="C2026"/>
      <c r="D2026" t="s">
        <v>1778</v>
      </c>
      <c r="E2026" t="s">
        <v>2633</v>
      </c>
      <c r="F2026" t="s">
        <v>2147</v>
      </c>
      <c r="G2026" t="s">
        <v>280</v>
      </c>
      <c r="H2026" t="s">
        <v>2640</v>
      </c>
      <c r="I2026" t="s">
        <v>35</v>
      </c>
      <c r="J2026"/>
      <c r="K2026">
        <v>1</v>
      </c>
      <c r="L2026">
        <v>1</v>
      </c>
      <c r="M2026" t="s">
        <v>33</v>
      </c>
      <c r="N2026">
        <v>1</v>
      </c>
      <c r="O2026"/>
      <c r="P2026">
        <v>0</v>
      </c>
      <c r="Q2026" t="s">
        <v>38</v>
      </c>
      <c r="R2026">
        <v>1</v>
      </c>
      <c r="S2026">
        <v>0</v>
      </c>
      <c r="T2026"/>
      <c r="U2026"/>
      <c r="V2026"/>
      <c r="W2026"/>
      <c r="X2026">
        <v>0</v>
      </c>
      <c r="Y2026"/>
      <c r="Z2026">
        <v>0</v>
      </c>
      <c r="AA2026"/>
      <c r="AB2026"/>
      <c r="AC2026"/>
      <c r="AD2026"/>
      <c r="AE2026">
        <v>0</v>
      </c>
      <c r="AF2026"/>
      <c r="AG2026" t="s">
        <v>277</v>
      </c>
      <c r="AH2026"/>
    </row>
    <row r="2027" spans="1:34" x14ac:dyDescent="0.25">
      <c r="A2027" t="s">
        <v>2046</v>
      </c>
      <c r="B2027" t="s">
        <v>2047</v>
      </c>
      <c r="C2027"/>
      <c r="D2027" t="s">
        <v>1778</v>
      </c>
      <c r="E2027" t="s">
        <v>2633</v>
      </c>
      <c r="F2027" t="s">
        <v>2641</v>
      </c>
      <c r="G2027" t="s">
        <v>280</v>
      </c>
      <c r="H2027" t="s">
        <v>2642</v>
      </c>
      <c r="I2027" t="s">
        <v>35</v>
      </c>
      <c r="J2027"/>
      <c r="K2027">
        <v>1</v>
      </c>
      <c r="L2027">
        <v>1</v>
      </c>
      <c r="M2027" t="s">
        <v>33</v>
      </c>
      <c r="N2027">
        <v>1</v>
      </c>
      <c r="O2027"/>
      <c r="P2027">
        <v>0</v>
      </c>
      <c r="Q2027" t="s">
        <v>38</v>
      </c>
      <c r="R2027">
        <v>1</v>
      </c>
      <c r="S2027">
        <v>0</v>
      </c>
      <c r="T2027"/>
      <c r="U2027"/>
      <c r="V2027"/>
      <c r="W2027"/>
      <c r="X2027">
        <v>0</v>
      </c>
      <c r="Y2027"/>
      <c r="Z2027">
        <v>0</v>
      </c>
      <c r="AA2027"/>
      <c r="AB2027"/>
      <c r="AC2027"/>
      <c r="AD2027"/>
      <c r="AE2027">
        <v>0</v>
      </c>
      <c r="AF2027"/>
      <c r="AG2027" t="s">
        <v>277</v>
      </c>
      <c r="AH2027"/>
    </row>
    <row r="2028" spans="1:34" x14ac:dyDescent="0.25">
      <c r="A2028" t="s">
        <v>2058</v>
      </c>
      <c r="B2028" t="s">
        <v>2059</v>
      </c>
      <c r="C2028"/>
      <c r="D2028" t="s">
        <v>1778</v>
      </c>
      <c r="E2028" t="s">
        <v>2643</v>
      </c>
      <c r="F2028" t="s">
        <v>2106</v>
      </c>
      <c r="G2028" t="s">
        <v>280</v>
      </c>
      <c r="H2028" t="s">
        <v>2644</v>
      </c>
      <c r="I2028" t="s">
        <v>35</v>
      </c>
      <c r="J2028"/>
      <c r="K2028">
        <v>1</v>
      </c>
      <c r="L2028">
        <v>1</v>
      </c>
      <c r="M2028" t="s">
        <v>33</v>
      </c>
      <c r="N2028">
        <v>1</v>
      </c>
      <c r="O2028"/>
      <c r="P2028">
        <v>0</v>
      </c>
      <c r="Q2028" t="s">
        <v>38</v>
      </c>
      <c r="R2028">
        <v>1</v>
      </c>
      <c r="S2028">
        <v>0</v>
      </c>
      <c r="T2028"/>
      <c r="U2028"/>
      <c r="V2028"/>
      <c r="W2028"/>
      <c r="X2028">
        <v>0</v>
      </c>
      <c r="Y2028"/>
      <c r="Z2028">
        <v>0</v>
      </c>
      <c r="AA2028"/>
      <c r="AB2028"/>
      <c r="AC2028"/>
      <c r="AD2028"/>
      <c r="AE2028">
        <v>0</v>
      </c>
      <c r="AF2028"/>
      <c r="AG2028" t="s">
        <v>3469</v>
      </c>
      <c r="AH2028"/>
    </row>
    <row r="2029" spans="1:34" x14ac:dyDescent="0.25">
      <c r="A2029" t="s">
        <v>2058</v>
      </c>
      <c r="B2029" t="s">
        <v>2059</v>
      </c>
      <c r="C2029"/>
      <c r="D2029" t="s">
        <v>1778</v>
      </c>
      <c r="E2029" t="s">
        <v>2643</v>
      </c>
      <c r="F2029" t="s">
        <v>2138</v>
      </c>
      <c r="G2029" t="s">
        <v>280</v>
      </c>
      <c r="H2029" t="s">
        <v>2645</v>
      </c>
      <c r="I2029" t="s">
        <v>35</v>
      </c>
      <c r="J2029"/>
      <c r="K2029">
        <v>1</v>
      </c>
      <c r="L2029">
        <v>1</v>
      </c>
      <c r="M2029" t="s">
        <v>33</v>
      </c>
      <c r="N2029">
        <v>1</v>
      </c>
      <c r="O2029"/>
      <c r="P2029">
        <v>0</v>
      </c>
      <c r="Q2029" t="s">
        <v>38</v>
      </c>
      <c r="R2029">
        <v>1</v>
      </c>
      <c r="S2029">
        <v>0</v>
      </c>
      <c r="T2029"/>
      <c r="U2029"/>
      <c r="V2029"/>
      <c r="W2029"/>
      <c r="X2029">
        <v>0</v>
      </c>
      <c r="Y2029"/>
      <c r="Z2029">
        <v>0</v>
      </c>
      <c r="AA2029"/>
      <c r="AB2029"/>
      <c r="AC2029"/>
      <c r="AD2029"/>
      <c r="AE2029">
        <v>0</v>
      </c>
      <c r="AF2029"/>
      <c r="AG2029" t="s">
        <v>3469</v>
      </c>
      <c r="AH2029"/>
    </row>
    <row r="2030" spans="1:34" x14ac:dyDescent="0.25">
      <c r="A2030" t="s">
        <v>2058</v>
      </c>
      <c r="B2030" t="s">
        <v>2059</v>
      </c>
      <c r="C2030"/>
      <c r="D2030" t="s">
        <v>1778</v>
      </c>
      <c r="E2030" t="s">
        <v>2643</v>
      </c>
      <c r="F2030" t="s">
        <v>2147</v>
      </c>
      <c r="G2030" t="s">
        <v>280</v>
      </c>
      <c r="H2030" t="s">
        <v>2646</v>
      </c>
      <c r="I2030" t="s">
        <v>35</v>
      </c>
      <c r="J2030"/>
      <c r="K2030">
        <v>1</v>
      </c>
      <c r="L2030">
        <v>1</v>
      </c>
      <c r="M2030" t="s">
        <v>33</v>
      </c>
      <c r="N2030">
        <v>1</v>
      </c>
      <c r="O2030"/>
      <c r="P2030">
        <v>0</v>
      </c>
      <c r="Q2030" t="s">
        <v>38</v>
      </c>
      <c r="R2030">
        <v>1</v>
      </c>
      <c r="S2030">
        <v>0</v>
      </c>
      <c r="T2030"/>
      <c r="U2030"/>
      <c r="V2030"/>
      <c r="W2030"/>
      <c r="X2030">
        <v>0</v>
      </c>
      <c r="Y2030"/>
      <c r="Z2030">
        <v>0</v>
      </c>
      <c r="AA2030"/>
      <c r="AB2030"/>
      <c r="AC2030"/>
      <c r="AD2030"/>
      <c r="AE2030">
        <v>0</v>
      </c>
      <c r="AF2030"/>
      <c r="AG2030" t="s">
        <v>3469</v>
      </c>
      <c r="AH2030"/>
    </row>
    <row r="2031" spans="1:34" x14ac:dyDescent="0.25">
      <c r="A2031" t="s">
        <v>2647</v>
      </c>
      <c r="B2031" t="s">
        <v>2648</v>
      </c>
      <c r="C2031"/>
      <c r="D2031" t="s">
        <v>2649</v>
      </c>
      <c r="E2031" t="s">
        <v>2650</v>
      </c>
      <c r="F2031" t="s">
        <v>2651</v>
      </c>
      <c r="G2031" t="s">
        <v>280</v>
      </c>
      <c r="H2031" t="s">
        <v>2652</v>
      </c>
      <c r="I2031" t="s">
        <v>35</v>
      </c>
      <c r="J2031"/>
      <c r="K2031">
        <v>1</v>
      </c>
      <c r="L2031">
        <v>1</v>
      </c>
      <c r="M2031" t="s">
        <v>33</v>
      </c>
      <c r="N2031">
        <v>1</v>
      </c>
      <c r="O2031"/>
      <c r="P2031">
        <v>0</v>
      </c>
      <c r="Q2031" t="s">
        <v>38</v>
      </c>
      <c r="R2031">
        <v>1</v>
      </c>
      <c r="S2031">
        <v>0</v>
      </c>
      <c r="T2031"/>
      <c r="U2031"/>
      <c r="V2031"/>
      <c r="W2031"/>
      <c r="X2031">
        <v>0</v>
      </c>
      <c r="Y2031"/>
      <c r="Z2031">
        <v>0</v>
      </c>
      <c r="AA2031"/>
      <c r="AB2031"/>
      <c r="AC2031"/>
      <c r="AD2031"/>
      <c r="AE2031">
        <v>0</v>
      </c>
      <c r="AF2031"/>
      <c r="AG2031" t="s">
        <v>3468</v>
      </c>
      <c r="AH2031"/>
    </row>
    <row r="2032" spans="1:34" x14ac:dyDescent="0.25">
      <c r="A2032" t="s">
        <v>2647</v>
      </c>
      <c r="B2032" t="s">
        <v>2648</v>
      </c>
      <c r="C2032"/>
      <c r="D2032" t="s">
        <v>2649</v>
      </c>
      <c r="E2032" t="s">
        <v>2650</v>
      </c>
      <c r="F2032" t="s">
        <v>2653</v>
      </c>
      <c r="G2032" t="s">
        <v>280</v>
      </c>
      <c r="H2032" t="s">
        <v>2654</v>
      </c>
      <c r="I2032" t="s">
        <v>35</v>
      </c>
      <c r="J2032"/>
      <c r="K2032">
        <v>1</v>
      </c>
      <c r="L2032">
        <v>1</v>
      </c>
      <c r="M2032" t="s">
        <v>33</v>
      </c>
      <c r="N2032">
        <v>1</v>
      </c>
      <c r="O2032"/>
      <c r="P2032">
        <v>0</v>
      </c>
      <c r="Q2032" t="s">
        <v>38</v>
      </c>
      <c r="R2032">
        <v>1</v>
      </c>
      <c r="S2032">
        <v>0</v>
      </c>
      <c r="T2032"/>
      <c r="U2032"/>
      <c r="V2032"/>
      <c r="W2032"/>
      <c r="X2032">
        <v>0</v>
      </c>
      <c r="Y2032"/>
      <c r="Z2032">
        <v>0</v>
      </c>
      <c r="AA2032"/>
      <c r="AB2032"/>
      <c r="AC2032"/>
      <c r="AD2032"/>
      <c r="AE2032">
        <v>0</v>
      </c>
      <c r="AF2032"/>
      <c r="AG2032" t="s">
        <v>3468</v>
      </c>
      <c r="AH2032"/>
    </row>
    <row r="2033" spans="1:34" x14ac:dyDescent="0.25">
      <c r="A2033" t="s">
        <v>2647</v>
      </c>
      <c r="B2033" t="s">
        <v>2648</v>
      </c>
      <c r="C2033"/>
      <c r="D2033" t="s">
        <v>2649</v>
      </c>
      <c r="E2033" t="s">
        <v>2650</v>
      </c>
      <c r="F2033" t="s">
        <v>2655</v>
      </c>
      <c r="G2033" t="s">
        <v>280</v>
      </c>
      <c r="H2033" t="s">
        <v>2656</v>
      </c>
      <c r="I2033" t="s">
        <v>35</v>
      </c>
      <c r="J2033"/>
      <c r="K2033">
        <v>1</v>
      </c>
      <c r="L2033">
        <v>1</v>
      </c>
      <c r="M2033" t="s">
        <v>33</v>
      </c>
      <c r="N2033">
        <v>1</v>
      </c>
      <c r="O2033"/>
      <c r="P2033">
        <v>0</v>
      </c>
      <c r="Q2033" t="s">
        <v>38</v>
      </c>
      <c r="R2033">
        <v>1</v>
      </c>
      <c r="S2033">
        <v>0</v>
      </c>
      <c r="T2033"/>
      <c r="U2033"/>
      <c r="V2033"/>
      <c r="W2033"/>
      <c r="X2033">
        <v>0</v>
      </c>
      <c r="Y2033"/>
      <c r="Z2033">
        <v>0</v>
      </c>
      <c r="AA2033"/>
      <c r="AB2033"/>
      <c r="AC2033"/>
      <c r="AD2033"/>
      <c r="AE2033">
        <v>0</v>
      </c>
      <c r="AF2033"/>
      <c r="AG2033" t="s">
        <v>3468</v>
      </c>
      <c r="AH2033"/>
    </row>
    <row r="2034" spans="1:34" x14ac:dyDescent="0.25">
      <c r="A2034" t="s">
        <v>2647</v>
      </c>
      <c r="B2034" t="s">
        <v>2648</v>
      </c>
      <c r="C2034"/>
      <c r="D2034" t="s">
        <v>2649</v>
      </c>
      <c r="E2034" t="s">
        <v>2650</v>
      </c>
      <c r="F2034" t="s">
        <v>2657</v>
      </c>
      <c r="G2034" t="s">
        <v>280</v>
      </c>
      <c r="H2034" t="s">
        <v>2658</v>
      </c>
      <c r="I2034" t="s">
        <v>35</v>
      </c>
      <c r="J2034"/>
      <c r="K2034">
        <v>1</v>
      </c>
      <c r="L2034">
        <v>1</v>
      </c>
      <c r="M2034" t="s">
        <v>33</v>
      </c>
      <c r="N2034">
        <v>1</v>
      </c>
      <c r="O2034"/>
      <c r="P2034">
        <v>0</v>
      </c>
      <c r="Q2034" t="s">
        <v>38</v>
      </c>
      <c r="R2034">
        <v>1</v>
      </c>
      <c r="S2034">
        <v>0</v>
      </c>
      <c r="T2034"/>
      <c r="U2034"/>
      <c r="V2034"/>
      <c r="W2034"/>
      <c r="X2034">
        <v>0</v>
      </c>
      <c r="Y2034"/>
      <c r="Z2034">
        <v>0</v>
      </c>
      <c r="AA2034"/>
      <c r="AB2034"/>
      <c r="AC2034"/>
      <c r="AD2034"/>
      <c r="AE2034">
        <v>0</v>
      </c>
      <c r="AF2034"/>
      <c r="AG2034" t="s">
        <v>3468</v>
      </c>
      <c r="AH2034"/>
    </row>
    <row r="2035" spans="1:34" x14ac:dyDescent="0.25">
      <c r="A2035" t="s">
        <v>2647</v>
      </c>
      <c r="B2035" t="s">
        <v>2648</v>
      </c>
      <c r="C2035"/>
      <c r="D2035" t="s">
        <v>2649</v>
      </c>
      <c r="E2035" t="s">
        <v>2650</v>
      </c>
      <c r="F2035" t="s">
        <v>2659</v>
      </c>
      <c r="G2035" t="s">
        <v>280</v>
      </c>
      <c r="H2035" t="s">
        <v>2660</v>
      </c>
      <c r="I2035" t="s">
        <v>35</v>
      </c>
      <c r="J2035"/>
      <c r="K2035">
        <v>1</v>
      </c>
      <c r="L2035">
        <v>1</v>
      </c>
      <c r="M2035" t="s">
        <v>33</v>
      </c>
      <c r="N2035">
        <v>1</v>
      </c>
      <c r="O2035"/>
      <c r="P2035">
        <v>0</v>
      </c>
      <c r="Q2035" t="s">
        <v>38</v>
      </c>
      <c r="R2035">
        <v>1</v>
      </c>
      <c r="S2035">
        <v>0</v>
      </c>
      <c r="T2035"/>
      <c r="U2035"/>
      <c r="V2035"/>
      <c r="W2035"/>
      <c r="X2035">
        <v>0</v>
      </c>
      <c r="Y2035"/>
      <c r="Z2035">
        <v>0</v>
      </c>
      <c r="AA2035"/>
      <c r="AB2035"/>
      <c r="AC2035"/>
      <c r="AD2035"/>
      <c r="AE2035">
        <v>0</v>
      </c>
      <c r="AF2035"/>
      <c r="AG2035" t="s">
        <v>3468</v>
      </c>
      <c r="AH2035"/>
    </row>
    <row r="2036" spans="1:34" x14ac:dyDescent="0.25">
      <c r="A2036" t="s">
        <v>2647</v>
      </c>
      <c r="B2036" t="s">
        <v>2648</v>
      </c>
      <c r="C2036"/>
      <c r="D2036" t="s">
        <v>2649</v>
      </c>
      <c r="E2036" t="s">
        <v>2650</v>
      </c>
      <c r="F2036" t="s">
        <v>2661</v>
      </c>
      <c r="G2036" t="s">
        <v>280</v>
      </c>
      <c r="H2036" t="s">
        <v>2662</v>
      </c>
      <c r="I2036" t="s">
        <v>35</v>
      </c>
      <c r="J2036"/>
      <c r="K2036">
        <v>1</v>
      </c>
      <c r="L2036">
        <v>1</v>
      </c>
      <c r="M2036" t="s">
        <v>33</v>
      </c>
      <c r="N2036">
        <v>1</v>
      </c>
      <c r="O2036"/>
      <c r="P2036">
        <v>0</v>
      </c>
      <c r="Q2036" t="s">
        <v>38</v>
      </c>
      <c r="R2036">
        <v>1</v>
      </c>
      <c r="S2036">
        <v>0</v>
      </c>
      <c r="T2036"/>
      <c r="U2036"/>
      <c r="V2036"/>
      <c r="W2036"/>
      <c r="X2036">
        <v>0</v>
      </c>
      <c r="Y2036"/>
      <c r="Z2036">
        <v>0</v>
      </c>
      <c r="AA2036"/>
      <c r="AB2036"/>
      <c r="AC2036"/>
      <c r="AD2036"/>
      <c r="AE2036">
        <v>0</v>
      </c>
      <c r="AF2036"/>
      <c r="AG2036"/>
      <c r="AH2036"/>
    </row>
    <row r="2037" spans="1:34" x14ac:dyDescent="0.25">
      <c r="A2037" t="s">
        <v>3422</v>
      </c>
      <c r="B2037" t="s">
        <v>3423</v>
      </c>
      <c r="C2037"/>
      <c r="D2037" t="s">
        <v>2649</v>
      </c>
      <c r="E2037" t="s">
        <v>2650</v>
      </c>
      <c r="F2037" t="s">
        <v>2661</v>
      </c>
      <c r="G2037" t="s">
        <v>280</v>
      </c>
      <c r="H2037" t="s">
        <v>2662</v>
      </c>
      <c r="I2037" t="s">
        <v>35</v>
      </c>
      <c r="J2037"/>
      <c r="K2037">
        <v>1</v>
      </c>
      <c r="L2037">
        <v>1</v>
      </c>
      <c r="M2037" t="s">
        <v>33</v>
      </c>
      <c r="N2037">
        <v>1</v>
      </c>
      <c r="O2037"/>
      <c r="P2037">
        <v>0</v>
      </c>
      <c r="Q2037" t="s">
        <v>38</v>
      </c>
      <c r="R2037">
        <v>1</v>
      </c>
      <c r="S2037">
        <v>0</v>
      </c>
      <c r="T2037"/>
      <c r="U2037"/>
      <c r="V2037"/>
      <c r="W2037"/>
      <c r="X2037">
        <v>0</v>
      </c>
      <c r="Y2037"/>
      <c r="Z2037">
        <v>0</v>
      </c>
      <c r="AA2037"/>
      <c r="AB2037"/>
      <c r="AC2037"/>
      <c r="AD2037"/>
      <c r="AE2037">
        <v>0</v>
      </c>
      <c r="AF2037"/>
      <c r="AG2037"/>
      <c r="AH2037"/>
    </row>
    <row r="2038" spans="1:34" x14ac:dyDescent="0.25">
      <c r="A2038" t="s">
        <v>2647</v>
      </c>
      <c r="B2038" t="s">
        <v>2648</v>
      </c>
      <c r="C2038"/>
      <c r="D2038" t="s">
        <v>2649</v>
      </c>
      <c r="E2038" t="s">
        <v>2650</v>
      </c>
      <c r="F2038" t="s">
        <v>2663</v>
      </c>
      <c r="G2038" t="s">
        <v>280</v>
      </c>
      <c r="H2038" t="s">
        <v>2664</v>
      </c>
      <c r="I2038" t="s">
        <v>35</v>
      </c>
      <c r="J2038"/>
      <c r="K2038">
        <v>1</v>
      </c>
      <c r="L2038">
        <v>1</v>
      </c>
      <c r="M2038" t="s">
        <v>33</v>
      </c>
      <c r="N2038">
        <v>1</v>
      </c>
      <c r="O2038"/>
      <c r="P2038">
        <v>0</v>
      </c>
      <c r="Q2038" t="s">
        <v>38</v>
      </c>
      <c r="R2038">
        <v>1</v>
      </c>
      <c r="S2038">
        <v>0</v>
      </c>
      <c r="T2038"/>
      <c r="U2038"/>
      <c r="V2038"/>
      <c r="W2038"/>
      <c r="X2038">
        <v>0</v>
      </c>
      <c r="Y2038"/>
      <c r="Z2038">
        <v>0</v>
      </c>
      <c r="AA2038"/>
      <c r="AB2038"/>
      <c r="AC2038"/>
      <c r="AD2038"/>
      <c r="AE2038">
        <v>0</v>
      </c>
      <c r="AF2038"/>
      <c r="AG2038" t="s">
        <v>3468</v>
      </c>
      <c r="AH2038"/>
    </row>
    <row r="2039" spans="1:34" x14ac:dyDescent="0.25">
      <c r="A2039" t="s">
        <v>2647</v>
      </c>
      <c r="B2039" t="s">
        <v>2648</v>
      </c>
      <c r="C2039"/>
      <c r="D2039" t="s">
        <v>2649</v>
      </c>
      <c r="E2039" t="s">
        <v>2650</v>
      </c>
      <c r="F2039" t="s">
        <v>2665</v>
      </c>
      <c r="G2039" t="s">
        <v>280</v>
      </c>
      <c r="H2039" t="s">
        <v>2666</v>
      </c>
      <c r="I2039" t="s">
        <v>35</v>
      </c>
      <c r="J2039"/>
      <c r="K2039">
        <v>1</v>
      </c>
      <c r="L2039">
        <v>1</v>
      </c>
      <c r="M2039" t="s">
        <v>33</v>
      </c>
      <c r="N2039">
        <v>1</v>
      </c>
      <c r="O2039"/>
      <c r="P2039">
        <v>0</v>
      </c>
      <c r="Q2039" t="s">
        <v>38</v>
      </c>
      <c r="R2039">
        <v>1</v>
      </c>
      <c r="S2039">
        <v>0</v>
      </c>
      <c r="T2039"/>
      <c r="U2039"/>
      <c r="V2039"/>
      <c r="W2039"/>
      <c r="X2039">
        <v>0</v>
      </c>
      <c r="Y2039"/>
      <c r="Z2039">
        <v>0</v>
      </c>
      <c r="AA2039"/>
      <c r="AB2039"/>
      <c r="AC2039"/>
      <c r="AD2039"/>
      <c r="AE2039">
        <v>0</v>
      </c>
      <c r="AF2039"/>
      <c r="AG2039" t="s">
        <v>3468</v>
      </c>
      <c r="AH2039"/>
    </row>
    <row r="2040" spans="1:34" x14ac:dyDescent="0.25">
      <c r="A2040" t="s">
        <v>2647</v>
      </c>
      <c r="B2040" t="s">
        <v>2648</v>
      </c>
      <c r="C2040"/>
      <c r="D2040" t="s">
        <v>2649</v>
      </c>
      <c r="E2040" t="s">
        <v>2650</v>
      </c>
      <c r="F2040" t="s">
        <v>2667</v>
      </c>
      <c r="G2040" t="s">
        <v>280</v>
      </c>
      <c r="H2040" t="s">
        <v>2668</v>
      </c>
      <c r="I2040" t="s">
        <v>35</v>
      </c>
      <c r="J2040"/>
      <c r="K2040">
        <v>1</v>
      </c>
      <c r="L2040">
        <v>1</v>
      </c>
      <c r="M2040" t="s">
        <v>33</v>
      </c>
      <c r="N2040">
        <v>1</v>
      </c>
      <c r="O2040"/>
      <c r="P2040">
        <v>0</v>
      </c>
      <c r="Q2040" t="s">
        <v>38</v>
      </c>
      <c r="R2040">
        <v>1</v>
      </c>
      <c r="S2040">
        <v>0</v>
      </c>
      <c r="T2040"/>
      <c r="U2040"/>
      <c r="V2040"/>
      <c r="W2040"/>
      <c r="X2040">
        <v>0</v>
      </c>
      <c r="Y2040"/>
      <c r="Z2040">
        <v>0</v>
      </c>
      <c r="AA2040"/>
      <c r="AB2040"/>
      <c r="AC2040"/>
      <c r="AD2040"/>
      <c r="AE2040">
        <v>0</v>
      </c>
      <c r="AF2040"/>
      <c r="AG2040" t="s">
        <v>3468</v>
      </c>
      <c r="AH2040"/>
    </row>
    <row r="2041" spans="1:34" x14ac:dyDescent="0.25">
      <c r="A2041" t="s">
        <v>2647</v>
      </c>
      <c r="B2041" t="s">
        <v>2648</v>
      </c>
      <c r="C2041"/>
      <c r="D2041" t="s">
        <v>2649</v>
      </c>
      <c r="E2041" t="s">
        <v>2650</v>
      </c>
      <c r="F2041" t="s">
        <v>2669</v>
      </c>
      <c r="G2041" t="s">
        <v>280</v>
      </c>
      <c r="H2041" t="s">
        <v>2670</v>
      </c>
      <c r="I2041" t="s">
        <v>35</v>
      </c>
      <c r="J2041"/>
      <c r="K2041">
        <v>1</v>
      </c>
      <c r="L2041">
        <v>1</v>
      </c>
      <c r="M2041" t="s">
        <v>33</v>
      </c>
      <c r="N2041">
        <v>1</v>
      </c>
      <c r="O2041"/>
      <c r="P2041">
        <v>0</v>
      </c>
      <c r="Q2041" t="s">
        <v>38</v>
      </c>
      <c r="R2041">
        <v>1</v>
      </c>
      <c r="S2041">
        <v>0</v>
      </c>
      <c r="T2041"/>
      <c r="U2041"/>
      <c r="V2041"/>
      <c r="W2041"/>
      <c r="X2041">
        <v>0</v>
      </c>
      <c r="Y2041"/>
      <c r="Z2041">
        <v>0</v>
      </c>
      <c r="AA2041"/>
      <c r="AB2041"/>
      <c r="AC2041"/>
      <c r="AD2041"/>
      <c r="AE2041">
        <v>0</v>
      </c>
      <c r="AF2041"/>
      <c r="AG2041"/>
      <c r="AH2041"/>
    </row>
    <row r="2042" spans="1:34" x14ac:dyDescent="0.25">
      <c r="A2042" t="s">
        <v>3448</v>
      </c>
      <c r="B2042" t="s">
        <v>3449</v>
      </c>
      <c r="C2042"/>
      <c r="D2042" t="s">
        <v>2649</v>
      </c>
      <c r="E2042" t="s">
        <v>2650</v>
      </c>
      <c r="F2042" t="s">
        <v>2669</v>
      </c>
      <c r="G2042" t="s">
        <v>280</v>
      </c>
      <c r="H2042" t="s">
        <v>2670</v>
      </c>
      <c r="I2042" t="s">
        <v>35</v>
      </c>
      <c r="J2042"/>
      <c r="K2042">
        <v>1</v>
      </c>
      <c r="L2042">
        <v>1</v>
      </c>
      <c r="M2042" t="s">
        <v>33</v>
      </c>
      <c r="N2042">
        <v>1</v>
      </c>
      <c r="O2042"/>
      <c r="P2042">
        <v>0</v>
      </c>
      <c r="Q2042" t="s">
        <v>38</v>
      </c>
      <c r="R2042">
        <v>1</v>
      </c>
      <c r="S2042">
        <v>0</v>
      </c>
      <c r="T2042"/>
      <c r="U2042"/>
      <c r="V2042"/>
      <c r="W2042"/>
      <c r="X2042">
        <v>0</v>
      </c>
      <c r="Y2042"/>
      <c r="Z2042">
        <v>0</v>
      </c>
      <c r="AA2042"/>
      <c r="AB2042"/>
      <c r="AC2042"/>
      <c r="AD2042"/>
      <c r="AE2042">
        <v>0</v>
      </c>
      <c r="AF2042"/>
      <c r="AG2042"/>
      <c r="AH2042"/>
    </row>
    <row r="2043" spans="1:34" x14ac:dyDescent="0.25">
      <c r="A2043" t="s">
        <v>2671</v>
      </c>
      <c r="B2043" t="s">
        <v>2672</v>
      </c>
      <c r="C2043"/>
      <c r="D2043" t="s">
        <v>2649</v>
      </c>
      <c r="E2043" t="s">
        <v>2650</v>
      </c>
      <c r="F2043" t="s">
        <v>2673</v>
      </c>
      <c r="G2043" t="s">
        <v>280</v>
      </c>
      <c r="H2043" t="s">
        <v>2674</v>
      </c>
      <c r="I2043" t="s">
        <v>35</v>
      </c>
      <c r="J2043"/>
      <c r="K2043">
        <v>1</v>
      </c>
      <c r="L2043">
        <v>1</v>
      </c>
      <c r="M2043" t="s">
        <v>33</v>
      </c>
      <c r="N2043">
        <v>1</v>
      </c>
      <c r="O2043"/>
      <c r="P2043">
        <v>0</v>
      </c>
      <c r="Q2043" t="s">
        <v>38</v>
      </c>
      <c r="R2043">
        <v>1</v>
      </c>
      <c r="S2043">
        <v>0</v>
      </c>
      <c r="T2043"/>
      <c r="U2043"/>
      <c r="V2043"/>
      <c r="W2043"/>
      <c r="X2043">
        <v>0</v>
      </c>
      <c r="Y2043"/>
      <c r="Z2043">
        <v>0</v>
      </c>
      <c r="AA2043"/>
      <c r="AB2043"/>
      <c r="AC2043"/>
      <c r="AD2043"/>
      <c r="AE2043">
        <v>0</v>
      </c>
      <c r="AF2043"/>
      <c r="AG2043" t="s">
        <v>3468</v>
      </c>
      <c r="AH2043"/>
    </row>
    <row r="2044" spans="1:34" x14ac:dyDescent="0.25">
      <c r="A2044" t="s">
        <v>2671</v>
      </c>
      <c r="B2044" t="s">
        <v>2672</v>
      </c>
      <c r="C2044"/>
      <c r="D2044" t="s">
        <v>2649</v>
      </c>
      <c r="E2044" t="s">
        <v>2650</v>
      </c>
      <c r="F2044" t="s">
        <v>2675</v>
      </c>
      <c r="G2044" t="s">
        <v>280</v>
      </c>
      <c r="H2044" t="s">
        <v>2676</v>
      </c>
      <c r="I2044" t="s">
        <v>35</v>
      </c>
      <c r="J2044"/>
      <c r="K2044">
        <v>1</v>
      </c>
      <c r="L2044">
        <v>1</v>
      </c>
      <c r="M2044" t="s">
        <v>33</v>
      </c>
      <c r="N2044">
        <v>1</v>
      </c>
      <c r="O2044"/>
      <c r="P2044">
        <v>0</v>
      </c>
      <c r="Q2044" t="s">
        <v>38</v>
      </c>
      <c r="R2044">
        <v>1</v>
      </c>
      <c r="S2044">
        <v>0</v>
      </c>
      <c r="T2044"/>
      <c r="U2044"/>
      <c r="V2044"/>
      <c r="W2044"/>
      <c r="X2044">
        <v>0</v>
      </c>
      <c r="Y2044"/>
      <c r="Z2044">
        <v>0</v>
      </c>
      <c r="AA2044"/>
      <c r="AB2044"/>
      <c r="AC2044"/>
      <c r="AD2044"/>
      <c r="AE2044">
        <v>0</v>
      </c>
      <c r="AF2044"/>
      <c r="AG2044" t="s">
        <v>3468</v>
      </c>
      <c r="AH2044"/>
    </row>
    <row r="2045" spans="1:34" x14ac:dyDescent="0.25">
      <c r="A2045" t="s">
        <v>2671</v>
      </c>
      <c r="B2045" t="s">
        <v>2672</v>
      </c>
      <c r="C2045"/>
      <c r="D2045" t="s">
        <v>2649</v>
      </c>
      <c r="E2045" t="s">
        <v>2650</v>
      </c>
      <c r="F2045" t="s">
        <v>2677</v>
      </c>
      <c r="G2045" t="s">
        <v>280</v>
      </c>
      <c r="H2045" t="s">
        <v>2678</v>
      </c>
      <c r="I2045" t="s">
        <v>35</v>
      </c>
      <c r="J2045"/>
      <c r="K2045">
        <v>1</v>
      </c>
      <c r="L2045">
        <v>1</v>
      </c>
      <c r="M2045" t="s">
        <v>33</v>
      </c>
      <c r="N2045">
        <v>1</v>
      </c>
      <c r="O2045"/>
      <c r="P2045">
        <v>0</v>
      </c>
      <c r="Q2045" t="s">
        <v>38</v>
      </c>
      <c r="R2045">
        <v>1</v>
      </c>
      <c r="S2045">
        <v>0</v>
      </c>
      <c r="T2045"/>
      <c r="U2045"/>
      <c r="V2045"/>
      <c r="W2045"/>
      <c r="X2045">
        <v>0</v>
      </c>
      <c r="Y2045"/>
      <c r="Z2045">
        <v>0</v>
      </c>
      <c r="AA2045"/>
      <c r="AB2045"/>
      <c r="AC2045"/>
      <c r="AD2045"/>
      <c r="AE2045">
        <v>0</v>
      </c>
      <c r="AF2045"/>
      <c r="AG2045" t="s">
        <v>3468</v>
      </c>
      <c r="AH2045"/>
    </row>
    <row r="2046" spans="1:34" x14ac:dyDescent="0.25">
      <c r="A2046" t="s">
        <v>2671</v>
      </c>
      <c r="B2046" t="s">
        <v>2672</v>
      </c>
      <c r="C2046"/>
      <c r="D2046" t="s">
        <v>2649</v>
      </c>
      <c r="E2046" t="s">
        <v>2650</v>
      </c>
      <c r="F2046" t="s">
        <v>2679</v>
      </c>
      <c r="G2046" t="s">
        <v>280</v>
      </c>
      <c r="H2046" t="s">
        <v>2680</v>
      </c>
      <c r="I2046" t="s">
        <v>35</v>
      </c>
      <c r="J2046"/>
      <c r="K2046">
        <v>1</v>
      </c>
      <c r="L2046">
        <v>1</v>
      </c>
      <c r="M2046" t="s">
        <v>33</v>
      </c>
      <c r="N2046">
        <v>1</v>
      </c>
      <c r="O2046"/>
      <c r="P2046">
        <v>0</v>
      </c>
      <c r="Q2046" t="s">
        <v>38</v>
      </c>
      <c r="R2046">
        <v>1</v>
      </c>
      <c r="S2046">
        <v>0</v>
      </c>
      <c r="T2046"/>
      <c r="U2046"/>
      <c r="V2046"/>
      <c r="W2046"/>
      <c r="X2046">
        <v>0</v>
      </c>
      <c r="Y2046"/>
      <c r="Z2046">
        <v>0</v>
      </c>
      <c r="AA2046"/>
      <c r="AB2046"/>
      <c r="AC2046"/>
      <c r="AD2046"/>
      <c r="AE2046">
        <v>0</v>
      </c>
      <c r="AF2046"/>
      <c r="AG2046" t="s">
        <v>3468</v>
      </c>
      <c r="AH2046"/>
    </row>
    <row r="2047" spans="1:34" x14ac:dyDescent="0.25">
      <c r="A2047" t="s">
        <v>2671</v>
      </c>
      <c r="B2047" t="s">
        <v>2672</v>
      </c>
      <c r="C2047"/>
      <c r="D2047" t="s">
        <v>2649</v>
      </c>
      <c r="E2047" t="s">
        <v>2650</v>
      </c>
      <c r="F2047" t="s">
        <v>2681</v>
      </c>
      <c r="G2047" t="s">
        <v>280</v>
      </c>
      <c r="H2047" t="s">
        <v>2682</v>
      </c>
      <c r="I2047" t="s">
        <v>35</v>
      </c>
      <c r="J2047"/>
      <c r="K2047">
        <v>1</v>
      </c>
      <c r="L2047">
        <v>1</v>
      </c>
      <c r="M2047" t="s">
        <v>33</v>
      </c>
      <c r="N2047">
        <v>1</v>
      </c>
      <c r="O2047"/>
      <c r="P2047">
        <v>0</v>
      </c>
      <c r="Q2047" t="s">
        <v>38</v>
      </c>
      <c r="R2047">
        <v>1</v>
      </c>
      <c r="S2047">
        <v>0</v>
      </c>
      <c r="T2047"/>
      <c r="U2047"/>
      <c r="V2047"/>
      <c r="W2047"/>
      <c r="X2047">
        <v>0</v>
      </c>
      <c r="Y2047"/>
      <c r="Z2047">
        <v>0</v>
      </c>
      <c r="AA2047"/>
      <c r="AB2047"/>
      <c r="AC2047"/>
      <c r="AD2047"/>
      <c r="AE2047">
        <v>0</v>
      </c>
      <c r="AF2047"/>
      <c r="AG2047" t="s">
        <v>3468</v>
      </c>
      <c r="AH2047"/>
    </row>
    <row r="2048" spans="1:34" x14ac:dyDescent="0.25">
      <c r="A2048" t="s">
        <v>2671</v>
      </c>
      <c r="B2048" t="s">
        <v>2672</v>
      </c>
      <c r="C2048"/>
      <c r="D2048" t="s">
        <v>2649</v>
      </c>
      <c r="E2048" t="s">
        <v>2650</v>
      </c>
      <c r="F2048" t="s">
        <v>2683</v>
      </c>
      <c r="G2048" t="s">
        <v>280</v>
      </c>
      <c r="H2048" t="s">
        <v>2684</v>
      </c>
      <c r="I2048" t="s">
        <v>35</v>
      </c>
      <c r="J2048"/>
      <c r="K2048">
        <v>1</v>
      </c>
      <c r="L2048">
        <v>1</v>
      </c>
      <c r="M2048" t="s">
        <v>33</v>
      </c>
      <c r="N2048">
        <v>1</v>
      </c>
      <c r="O2048"/>
      <c r="P2048">
        <v>0</v>
      </c>
      <c r="Q2048" t="s">
        <v>38</v>
      </c>
      <c r="R2048">
        <v>1</v>
      </c>
      <c r="S2048">
        <v>0</v>
      </c>
      <c r="T2048"/>
      <c r="U2048"/>
      <c r="V2048"/>
      <c r="W2048"/>
      <c r="X2048">
        <v>0</v>
      </c>
      <c r="Y2048"/>
      <c r="Z2048">
        <v>0</v>
      </c>
      <c r="AA2048"/>
      <c r="AB2048"/>
      <c r="AC2048"/>
      <c r="AD2048"/>
      <c r="AE2048">
        <v>0</v>
      </c>
      <c r="AF2048"/>
      <c r="AG2048"/>
      <c r="AH2048"/>
    </row>
    <row r="2049" spans="1:34" x14ac:dyDescent="0.25">
      <c r="A2049" t="s">
        <v>3422</v>
      </c>
      <c r="B2049" t="s">
        <v>3423</v>
      </c>
      <c r="C2049"/>
      <c r="D2049" t="s">
        <v>2649</v>
      </c>
      <c r="E2049" t="s">
        <v>2650</v>
      </c>
      <c r="F2049" t="s">
        <v>2683</v>
      </c>
      <c r="G2049" t="s">
        <v>280</v>
      </c>
      <c r="H2049" t="s">
        <v>2684</v>
      </c>
      <c r="I2049" t="s">
        <v>35</v>
      </c>
      <c r="J2049"/>
      <c r="K2049">
        <v>1</v>
      </c>
      <c r="L2049">
        <v>1</v>
      </c>
      <c r="M2049" t="s">
        <v>33</v>
      </c>
      <c r="N2049">
        <v>1</v>
      </c>
      <c r="O2049"/>
      <c r="P2049">
        <v>0</v>
      </c>
      <c r="Q2049" t="s">
        <v>38</v>
      </c>
      <c r="R2049">
        <v>1</v>
      </c>
      <c r="S2049">
        <v>0</v>
      </c>
      <c r="T2049"/>
      <c r="U2049"/>
      <c r="V2049"/>
      <c r="W2049"/>
      <c r="X2049">
        <v>0</v>
      </c>
      <c r="Y2049"/>
      <c r="Z2049">
        <v>0</v>
      </c>
      <c r="AA2049"/>
      <c r="AB2049"/>
      <c r="AC2049"/>
      <c r="AD2049"/>
      <c r="AE2049">
        <v>0</v>
      </c>
      <c r="AF2049"/>
      <c r="AG2049"/>
      <c r="AH2049"/>
    </row>
    <row r="2050" spans="1:34" x14ac:dyDescent="0.25">
      <c r="A2050" t="s">
        <v>2671</v>
      </c>
      <c r="B2050" t="s">
        <v>2672</v>
      </c>
      <c r="C2050"/>
      <c r="D2050" t="s">
        <v>2649</v>
      </c>
      <c r="E2050" t="s">
        <v>2650</v>
      </c>
      <c r="F2050" t="s">
        <v>2685</v>
      </c>
      <c r="G2050" t="s">
        <v>280</v>
      </c>
      <c r="H2050" t="s">
        <v>2686</v>
      </c>
      <c r="I2050" t="s">
        <v>35</v>
      </c>
      <c r="J2050"/>
      <c r="K2050">
        <v>1</v>
      </c>
      <c r="L2050">
        <v>1</v>
      </c>
      <c r="M2050" t="s">
        <v>33</v>
      </c>
      <c r="N2050">
        <v>1</v>
      </c>
      <c r="O2050"/>
      <c r="P2050">
        <v>0</v>
      </c>
      <c r="Q2050" t="s">
        <v>38</v>
      </c>
      <c r="R2050">
        <v>1</v>
      </c>
      <c r="S2050">
        <v>0</v>
      </c>
      <c r="T2050"/>
      <c r="U2050"/>
      <c r="V2050"/>
      <c r="W2050"/>
      <c r="X2050">
        <v>0</v>
      </c>
      <c r="Y2050"/>
      <c r="Z2050">
        <v>0</v>
      </c>
      <c r="AA2050"/>
      <c r="AB2050"/>
      <c r="AC2050"/>
      <c r="AD2050"/>
      <c r="AE2050">
        <v>0</v>
      </c>
      <c r="AF2050"/>
      <c r="AG2050" t="s">
        <v>3468</v>
      </c>
      <c r="AH2050"/>
    </row>
    <row r="2051" spans="1:34" x14ac:dyDescent="0.25">
      <c r="A2051" t="s">
        <v>2671</v>
      </c>
      <c r="B2051" t="s">
        <v>2672</v>
      </c>
      <c r="C2051"/>
      <c r="D2051" t="s">
        <v>2649</v>
      </c>
      <c r="E2051" t="s">
        <v>2650</v>
      </c>
      <c r="F2051" t="s">
        <v>2687</v>
      </c>
      <c r="G2051" t="s">
        <v>280</v>
      </c>
      <c r="H2051" t="s">
        <v>2688</v>
      </c>
      <c r="I2051" t="s">
        <v>35</v>
      </c>
      <c r="J2051"/>
      <c r="K2051">
        <v>1</v>
      </c>
      <c r="L2051">
        <v>1</v>
      </c>
      <c r="M2051" t="s">
        <v>33</v>
      </c>
      <c r="N2051">
        <v>1</v>
      </c>
      <c r="O2051"/>
      <c r="P2051">
        <v>0</v>
      </c>
      <c r="Q2051" t="s">
        <v>38</v>
      </c>
      <c r="R2051">
        <v>1</v>
      </c>
      <c r="S2051">
        <v>0</v>
      </c>
      <c r="T2051"/>
      <c r="U2051"/>
      <c r="V2051"/>
      <c r="W2051"/>
      <c r="X2051">
        <v>0</v>
      </c>
      <c r="Y2051"/>
      <c r="Z2051">
        <v>0</v>
      </c>
      <c r="AA2051"/>
      <c r="AB2051"/>
      <c r="AC2051"/>
      <c r="AD2051"/>
      <c r="AE2051">
        <v>0</v>
      </c>
      <c r="AF2051"/>
      <c r="AG2051" t="s">
        <v>3468</v>
      </c>
      <c r="AH2051"/>
    </row>
    <row r="2052" spans="1:34" x14ac:dyDescent="0.25">
      <c r="A2052" t="s">
        <v>2671</v>
      </c>
      <c r="B2052" t="s">
        <v>2672</v>
      </c>
      <c r="C2052"/>
      <c r="D2052" t="s">
        <v>2649</v>
      </c>
      <c r="E2052" t="s">
        <v>2650</v>
      </c>
      <c r="F2052" t="s">
        <v>2689</v>
      </c>
      <c r="G2052" t="s">
        <v>280</v>
      </c>
      <c r="H2052" t="s">
        <v>2690</v>
      </c>
      <c r="I2052" t="s">
        <v>35</v>
      </c>
      <c r="J2052"/>
      <c r="K2052">
        <v>1</v>
      </c>
      <c r="L2052">
        <v>1</v>
      </c>
      <c r="M2052" t="s">
        <v>33</v>
      </c>
      <c r="N2052">
        <v>1</v>
      </c>
      <c r="O2052"/>
      <c r="P2052">
        <v>0</v>
      </c>
      <c r="Q2052" t="s">
        <v>38</v>
      </c>
      <c r="R2052">
        <v>1</v>
      </c>
      <c r="S2052">
        <v>0</v>
      </c>
      <c r="T2052"/>
      <c r="U2052"/>
      <c r="V2052"/>
      <c r="W2052"/>
      <c r="X2052">
        <v>0</v>
      </c>
      <c r="Y2052"/>
      <c r="Z2052">
        <v>0</v>
      </c>
      <c r="AA2052"/>
      <c r="AB2052"/>
      <c r="AC2052"/>
      <c r="AD2052"/>
      <c r="AE2052">
        <v>0</v>
      </c>
      <c r="AF2052"/>
      <c r="AG2052" t="s">
        <v>3468</v>
      </c>
      <c r="AH2052"/>
    </row>
    <row r="2053" spans="1:34" x14ac:dyDescent="0.25">
      <c r="A2053" t="s">
        <v>2671</v>
      </c>
      <c r="B2053" t="s">
        <v>2672</v>
      </c>
      <c r="C2053"/>
      <c r="D2053" t="s">
        <v>2649</v>
      </c>
      <c r="E2053" t="s">
        <v>2650</v>
      </c>
      <c r="F2053" t="s">
        <v>2691</v>
      </c>
      <c r="G2053" t="s">
        <v>280</v>
      </c>
      <c r="H2053" t="s">
        <v>2692</v>
      </c>
      <c r="I2053" t="s">
        <v>35</v>
      </c>
      <c r="J2053"/>
      <c r="K2053">
        <v>1</v>
      </c>
      <c r="L2053">
        <v>1</v>
      </c>
      <c r="M2053" t="s">
        <v>33</v>
      </c>
      <c r="N2053">
        <v>1</v>
      </c>
      <c r="O2053"/>
      <c r="P2053">
        <v>0</v>
      </c>
      <c r="Q2053" t="s">
        <v>38</v>
      </c>
      <c r="R2053">
        <v>1</v>
      </c>
      <c r="S2053">
        <v>0</v>
      </c>
      <c r="T2053"/>
      <c r="U2053"/>
      <c r="V2053"/>
      <c r="W2053"/>
      <c r="X2053">
        <v>0</v>
      </c>
      <c r="Y2053"/>
      <c r="Z2053">
        <v>0</v>
      </c>
      <c r="AA2053"/>
      <c r="AB2053"/>
      <c r="AC2053"/>
      <c r="AD2053"/>
      <c r="AE2053">
        <v>0</v>
      </c>
      <c r="AF2053"/>
      <c r="AG2053" t="s">
        <v>3468</v>
      </c>
      <c r="AH2053"/>
    </row>
    <row r="2054" spans="1:34" x14ac:dyDescent="0.25">
      <c r="A2054" t="s">
        <v>2671</v>
      </c>
      <c r="B2054" t="s">
        <v>2672</v>
      </c>
      <c r="C2054"/>
      <c r="D2054" t="s">
        <v>2649</v>
      </c>
      <c r="E2054" t="s">
        <v>2650</v>
      </c>
      <c r="F2054" t="s">
        <v>2693</v>
      </c>
      <c r="G2054" t="s">
        <v>280</v>
      </c>
      <c r="H2054" t="s">
        <v>2694</v>
      </c>
      <c r="I2054" t="s">
        <v>35</v>
      </c>
      <c r="J2054"/>
      <c r="K2054">
        <v>1</v>
      </c>
      <c r="L2054">
        <v>1</v>
      </c>
      <c r="M2054" t="s">
        <v>33</v>
      </c>
      <c r="N2054">
        <v>1</v>
      </c>
      <c r="O2054"/>
      <c r="P2054">
        <v>0</v>
      </c>
      <c r="Q2054" t="s">
        <v>38</v>
      </c>
      <c r="R2054">
        <v>1</v>
      </c>
      <c r="S2054">
        <v>0</v>
      </c>
      <c r="T2054"/>
      <c r="U2054"/>
      <c r="V2054"/>
      <c r="W2054"/>
      <c r="X2054">
        <v>0</v>
      </c>
      <c r="Y2054"/>
      <c r="Z2054">
        <v>0</v>
      </c>
      <c r="AA2054"/>
      <c r="AB2054"/>
      <c r="AC2054"/>
      <c r="AD2054"/>
      <c r="AE2054">
        <v>0</v>
      </c>
      <c r="AF2054"/>
      <c r="AG2054" t="s">
        <v>3468</v>
      </c>
      <c r="AH2054"/>
    </row>
    <row r="2055" spans="1:34" x14ac:dyDescent="0.25">
      <c r="A2055" t="s">
        <v>2671</v>
      </c>
      <c r="B2055" t="s">
        <v>2672</v>
      </c>
      <c r="C2055"/>
      <c r="D2055" t="s">
        <v>2649</v>
      </c>
      <c r="E2055" t="s">
        <v>2650</v>
      </c>
      <c r="F2055" t="s">
        <v>2695</v>
      </c>
      <c r="G2055" t="s">
        <v>280</v>
      </c>
      <c r="H2055" t="s">
        <v>2696</v>
      </c>
      <c r="I2055" t="s">
        <v>35</v>
      </c>
      <c r="J2055"/>
      <c r="K2055">
        <v>1</v>
      </c>
      <c r="L2055">
        <v>1</v>
      </c>
      <c r="M2055" t="s">
        <v>33</v>
      </c>
      <c r="N2055">
        <v>1</v>
      </c>
      <c r="O2055"/>
      <c r="P2055">
        <v>0</v>
      </c>
      <c r="Q2055" t="s">
        <v>38</v>
      </c>
      <c r="R2055">
        <v>1</v>
      </c>
      <c r="S2055">
        <v>0</v>
      </c>
      <c r="T2055"/>
      <c r="U2055"/>
      <c r="V2055"/>
      <c r="W2055"/>
      <c r="X2055">
        <v>0</v>
      </c>
      <c r="Y2055"/>
      <c r="Z2055">
        <v>0</v>
      </c>
      <c r="AA2055"/>
      <c r="AB2055"/>
      <c r="AC2055"/>
      <c r="AD2055"/>
      <c r="AE2055">
        <v>0</v>
      </c>
      <c r="AF2055"/>
      <c r="AG2055" t="s">
        <v>3468</v>
      </c>
      <c r="AH2055"/>
    </row>
    <row r="2056" spans="1:34" x14ac:dyDescent="0.25">
      <c r="A2056" t="s">
        <v>2671</v>
      </c>
      <c r="B2056" t="s">
        <v>2672</v>
      </c>
      <c r="C2056"/>
      <c r="D2056" t="s">
        <v>2649</v>
      </c>
      <c r="E2056" t="s">
        <v>2650</v>
      </c>
      <c r="F2056" t="s">
        <v>2697</v>
      </c>
      <c r="G2056" t="s">
        <v>280</v>
      </c>
      <c r="H2056" t="s">
        <v>2698</v>
      </c>
      <c r="I2056" t="s">
        <v>35</v>
      </c>
      <c r="J2056"/>
      <c r="K2056">
        <v>1</v>
      </c>
      <c r="L2056">
        <v>1</v>
      </c>
      <c r="M2056" t="s">
        <v>33</v>
      </c>
      <c r="N2056">
        <v>1</v>
      </c>
      <c r="O2056"/>
      <c r="P2056">
        <v>0</v>
      </c>
      <c r="Q2056" t="s">
        <v>38</v>
      </c>
      <c r="R2056">
        <v>1</v>
      </c>
      <c r="S2056">
        <v>0</v>
      </c>
      <c r="T2056"/>
      <c r="U2056"/>
      <c r="V2056"/>
      <c r="W2056"/>
      <c r="X2056">
        <v>0</v>
      </c>
      <c r="Y2056"/>
      <c r="Z2056">
        <v>0</v>
      </c>
      <c r="AA2056"/>
      <c r="AB2056"/>
      <c r="AC2056"/>
      <c r="AD2056"/>
      <c r="AE2056">
        <v>0</v>
      </c>
      <c r="AF2056"/>
      <c r="AG2056" t="s">
        <v>3468</v>
      </c>
      <c r="AH2056"/>
    </row>
    <row r="2057" spans="1:34" x14ac:dyDescent="0.25">
      <c r="A2057" t="s">
        <v>2671</v>
      </c>
      <c r="B2057" t="s">
        <v>2672</v>
      </c>
      <c r="C2057"/>
      <c r="D2057" t="s">
        <v>2649</v>
      </c>
      <c r="E2057" t="s">
        <v>2650</v>
      </c>
      <c r="F2057" t="s">
        <v>2699</v>
      </c>
      <c r="G2057" t="s">
        <v>280</v>
      </c>
      <c r="H2057" t="s">
        <v>2700</v>
      </c>
      <c r="I2057" t="s">
        <v>35</v>
      </c>
      <c r="J2057"/>
      <c r="K2057">
        <v>1</v>
      </c>
      <c r="L2057">
        <v>1</v>
      </c>
      <c r="M2057" t="s">
        <v>33</v>
      </c>
      <c r="N2057">
        <v>1</v>
      </c>
      <c r="O2057"/>
      <c r="P2057">
        <v>0</v>
      </c>
      <c r="Q2057" t="s">
        <v>38</v>
      </c>
      <c r="R2057">
        <v>1</v>
      </c>
      <c r="S2057">
        <v>0</v>
      </c>
      <c r="T2057"/>
      <c r="U2057"/>
      <c r="V2057"/>
      <c r="W2057"/>
      <c r="X2057">
        <v>0</v>
      </c>
      <c r="Y2057"/>
      <c r="Z2057">
        <v>0</v>
      </c>
      <c r="AA2057"/>
      <c r="AB2057"/>
      <c r="AC2057"/>
      <c r="AD2057"/>
      <c r="AE2057">
        <v>0</v>
      </c>
      <c r="AF2057"/>
      <c r="AG2057"/>
      <c r="AH2057"/>
    </row>
    <row r="2058" spans="1:34" x14ac:dyDescent="0.25">
      <c r="A2058" t="s">
        <v>3444</v>
      </c>
      <c r="B2058" t="s">
        <v>3445</v>
      </c>
      <c r="C2058"/>
      <c r="D2058" t="s">
        <v>2649</v>
      </c>
      <c r="E2058" t="s">
        <v>2650</v>
      </c>
      <c r="F2058" t="s">
        <v>2699</v>
      </c>
      <c r="G2058" t="s">
        <v>259</v>
      </c>
      <c r="H2058" t="s">
        <v>2700</v>
      </c>
      <c r="I2058" t="s">
        <v>35</v>
      </c>
      <c r="J2058"/>
      <c r="K2058">
        <v>1</v>
      </c>
      <c r="L2058">
        <v>1</v>
      </c>
      <c r="M2058" t="s">
        <v>33</v>
      </c>
      <c r="N2058">
        <v>1</v>
      </c>
      <c r="O2058"/>
      <c r="P2058">
        <v>0</v>
      </c>
      <c r="Q2058" t="s">
        <v>38</v>
      </c>
      <c r="R2058">
        <v>1</v>
      </c>
      <c r="S2058">
        <v>0</v>
      </c>
      <c r="T2058"/>
      <c r="U2058"/>
      <c r="V2058"/>
      <c r="W2058"/>
      <c r="X2058">
        <v>0</v>
      </c>
      <c r="Y2058"/>
      <c r="Z2058">
        <v>0</v>
      </c>
      <c r="AA2058"/>
      <c r="AB2058"/>
      <c r="AC2058"/>
      <c r="AD2058"/>
      <c r="AE2058">
        <v>0</v>
      </c>
      <c r="AF2058"/>
      <c r="AG2058"/>
      <c r="AH2058"/>
    </row>
    <row r="2059" spans="1:34" x14ac:dyDescent="0.25">
      <c r="A2059" t="s">
        <v>3446</v>
      </c>
      <c r="B2059" t="s">
        <v>3447</v>
      </c>
      <c r="C2059"/>
      <c r="D2059" t="s">
        <v>2649</v>
      </c>
      <c r="E2059" t="s">
        <v>2650</v>
      </c>
      <c r="F2059" t="s">
        <v>2699</v>
      </c>
      <c r="G2059" t="s">
        <v>259</v>
      </c>
      <c r="H2059" t="s">
        <v>2700</v>
      </c>
      <c r="I2059" t="s">
        <v>35</v>
      </c>
      <c r="J2059"/>
      <c r="K2059">
        <v>1</v>
      </c>
      <c r="L2059">
        <v>1</v>
      </c>
      <c r="M2059" t="s">
        <v>33</v>
      </c>
      <c r="N2059">
        <v>1</v>
      </c>
      <c r="O2059"/>
      <c r="P2059">
        <v>0</v>
      </c>
      <c r="Q2059" t="s">
        <v>38</v>
      </c>
      <c r="R2059">
        <v>1</v>
      </c>
      <c r="S2059">
        <v>0</v>
      </c>
      <c r="T2059"/>
      <c r="U2059"/>
      <c r="V2059"/>
      <c r="W2059"/>
      <c r="X2059">
        <v>0</v>
      </c>
      <c r="Y2059"/>
      <c r="Z2059">
        <v>0</v>
      </c>
      <c r="AA2059"/>
      <c r="AB2059"/>
      <c r="AC2059"/>
      <c r="AD2059"/>
      <c r="AE2059">
        <v>0</v>
      </c>
      <c r="AF2059"/>
      <c r="AG2059"/>
      <c r="AH2059"/>
    </row>
    <row r="2060" spans="1:34" x14ac:dyDescent="0.25">
      <c r="A2060" t="s">
        <v>3448</v>
      </c>
      <c r="B2060" t="s">
        <v>3449</v>
      </c>
      <c r="C2060"/>
      <c r="D2060" t="s">
        <v>2649</v>
      </c>
      <c r="E2060" t="s">
        <v>2650</v>
      </c>
      <c r="F2060" t="s">
        <v>2699</v>
      </c>
      <c r="G2060" t="s">
        <v>280</v>
      </c>
      <c r="H2060" t="s">
        <v>2700</v>
      </c>
      <c r="I2060" t="s">
        <v>35</v>
      </c>
      <c r="J2060"/>
      <c r="K2060">
        <v>1</v>
      </c>
      <c r="L2060">
        <v>1</v>
      </c>
      <c r="M2060" t="s">
        <v>33</v>
      </c>
      <c r="N2060">
        <v>1</v>
      </c>
      <c r="O2060"/>
      <c r="P2060">
        <v>0</v>
      </c>
      <c r="Q2060" t="s">
        <v>38</v>
      </c>
      <c r="R2060">
        <v>1</v>
      </c>
      <c r="S2060">
        <v>0</v>
      </c>
      <c r="T2060"/>
      <c r="U2060"/>
      <c r="V2060"/>
      <c r="W2060"/>
      <c r="X2060">
        <v>0</v>
      </c>
      <c r="Y2060"/>
      <c r="Z2060">
        <v>0</v>
      </c>
      <c r="AA2060"/>
      <c r="AB2060"/>
      <c r="AC2060"/>
      <c r="AD2060"/>
      <c r="AE2060">
        <v>0</v>
      </c>
      <c r="AF2060"/>
      <c r="AG2060"/>
      <c r="AH2060"/>
    </row>
    <row r="2061" spans="1:34" x14ac:dyDescent="0.25">
      <c r="A2061" t="s">
        <v>3454</v>
      </c>
      <c r="B2061" t="s">
        <v>3455</v>
      </c>
      <c r="C2061"/>
      <c r="D2061" t="s">
        <v>2649</v>
      </c>
      <c r="E2061" t="s">
        <v>2650</v>
      </c>
      <c r="F2061" t="s">
        <v>2699</v>
      </c>
      <c r="G2061" t="s">
        <v>259</v>
      </c>
      <c r="H2061" t="s">
        <v>2700</v>
      </c>
      <c r="I2061" t="s">
        <v>35</v>
      </c>
      <c r="J2061"/>
      <c r="K2061">
        <v>1</v>
      </c>
      <c r="L2061">
        <v>1</v>
      </c>
      <c r="M2061" t="s">
        <v>33</v>
      </c>
      <c r="N2061">
        <v>1</v>
      </c>
      <c r="O2061"/>
      <c r="P2061">
        <v>0</v>
      </c>
      <c r="Q2061" t="s">
        <v>38</v>
      </c>
      <c r="R2061">
        <v>1</v>
      </c>
      <c r="S2061">
        <v>0</v>
      </c>
      <c r="T2061"/>
      <c r="U2061"/>
      <c r="V2061"/>
      <c r="W2061"/>
      <c r="X2061">
        <v>0</v>
      </c>
      <c r="Y2061"/>
      <c r="Z2061">
        <v>0</v>
      </c>
      <c r="AA2061"/>
      <c r="AB2061"/>
      <c r="AC2061"/>
      <c r="AD2061"/>
      <c r="AE2061">
        <v>0</v>
      </c>
      <c r="AF2061"/>
      <c r="AG2061"/>
      <c r="AH2061"/>
    </row>
    <row r="2062" spans="1:34" x14ac:dyDescent="0.25">
      <c r="A2062" t="s">
        <v>2647</v>
      </c>
      <c r="B2062" t="s">
        <v>2648</v>
      </c>
      <c r="C2062"/>
      <c r="D2062" t="s">
        <v>2649</v>
      </c>
      <c r="E2062" t="s">
        <v>2701</v>
      </c>
      <c r="F2062" t="s">
        <v>2702</v>
      </c>
      <c r="G2062" t="s">
        <v>280</v>
      </c>
      <c r="H2062" t="s">
        <v>2703</v>
      </c>
      <c r="I2062" t="s">
        <v>35</v>
      </c>
      <c r="J2062"/>
      <c r="K2062">
        <v>1</v>
      </c>
      <c r="L2062">
        <v>1</v>
      </c>
      <c r="M2062" t="s">
        <v>33</v>
      </c>
      <c r="N2062">
        <v>1</v>
      </c>
      <c r="O2062"/>
      <c r="P2062">
        <v>0</v>
      </c>
      <c r="Q2062" t="s">
        <v>38</v>
      </c>
      <c r="R2062">
        <v>1</v>
      </c>
      <c r="S2062">
        <v>0</v>
      </c>
      <c r="T2062"/>
      <c r="U2062"/>
      <c r="V2062"/>
      <c r="W2062"/>
      <c r="X2062">
        <v>0</v>
      </c>
      <c r="Y2062"/>
      <c r="Z2062">
        <v>0</v>
      </c>
      <c r="AA2062"/>
      <c r="AB2062"/>
      <c r="AC2062"/>
      <c r="AD2062"/>
      <c r="AE2062">
        <v>0</v>
      </c>
      <c r="AF2062"/>
      <c r="AG2062"/>
      <c r="AH2062"/>
    </row>
    <row r="2063" spans="1:34" x14ac:dyDescent="0.25">
      <c r="A2063" t="s">
        <v>3422</v>
      </c>
      <c r="B2063" t="s">
        <v>3423</v>
      </c>
      <c r="C2063"/>
      <c r="D2063" t="s">
        <v>2649</v>
      </c>
      <c r="E2063" t="s">
        <v>2701</v>
      </c>
      <c r="F2063" t="s">
        <v>2702</v>
      </c>
      <c r="G2063" t="s">
        <v>280</v>
      </c>
      <c r="H2063" t="s">
        <v>2703</v>
      </c>
      <c r="I2063" t="s">
        <v>35</v>
      </c>
      <c r="J2063"/>
      <c r="K2063">
        <v>1</v>
      </c>
      <c r="L2063">
        <v>1</v>
      </c>
      <c r="M2063" t="s">
        <v>33</v>
      </c>
      <c r="N2063">
        <v>1</v>
      </c>
      <c r="O2063"/>
      <c r="P2063">
        <v>0</v>
      </c>
      <c r="Q2063" t="s">
        <v>38</v>
      </c>
      <c r="R2063">
        <v>1</v>
      </c>
      <c r="S2063">
        <v>0</v>
      </c>
      <c r="T2063"/>
      <c r="U2063"/>
      <c r="V2063"/>
      <c r="W2063"/>
      <c r="X2063">
        <v>0</v>
      </c>
      <c r="Y2063"/>
      <c r="Z2063">
        <v>0</v>
      </c>
      <c r="AA2063"/>
      <c r="AB2063"/>
      <c r="AC2063"/>
      <c r="AD2063"/>
      <c r="AE2063">
        <v>0</v>
      </c>
      <c r="AF2063"/>
      <c r="AG2063"/>
      <c r="AH2063"/>
    </row>
    <row r="2064" spans="1:34" x14ac:dyDescent="0.25">
      <c r="A2064" t="s">
        <v>2647</v>
      </c>
      <c r="B2064" t="s">
        <v>2648</v>
      </c>
      <c r="C2064"/>
      <c r="D2064" t="s">
        <v>2649</v>
      </c>
      <c r="E2064" t="s">
        <v>2701</v>
      </c>
      <c r="F2064" t="s">
        <v>2704</v>
      </c>
      <c r="G2064" t="s">
        <v>280</v>
      </c>
      <c r="H2064" t="s">
        <v>2705</v>
      </c>
      <c r="I2064" t="s">
        <v>35</v>
      </c>
      <c r="J2064"/>
      <c r="K2064">
        <v>1</v>
      </c>
      <c r="L2064">
        <v>1</v>
      </c>
      <c r="M2064" t="s">
        <v>33</v>
      </c>
      <c r="N2064">
        <v>1</v>
      </c>
      <c r="O2064"/>
      <c r="P2064">
        <v>0</v>
      </c>
      <c r="Q2064" t="s">
        <v>38</v>
      </c>
      <c r="R2064">
        <v>1</v>
      </c>
      <c r="S2064">
        <v>0</v>
      </c>
      <c r="T2064"/>
      <c r="U2064"/>
      <c r="V2064"/>
      <c r="W2064"/>
      <c r="X2064">
        <v>0</v>
      </c>
      <c r="Y2064"/>
      <c r="Z2064">
        <v>0</v>
      </c>
      <c r="AA2064"/>
      <c r="AB2064"/>
      <c r="AC2064"/>
      <c r="AD2064"/>
      <c r="AE2064">
        <v>0</v>
      </c>
      <c r="AF2064"/>
      <c r="AG2064" t="s">
        <v>3468</v>
      </c>
      <c r="AH2064"/>
    </row>
    <row r="2065" spans="1:34" x14ac:dyDescent="0.25">
      <c r="A2065" t="s">
        <v>2647</v>
      </c>
      <c r="B2065" t="s">
        <v>2648</v>
      </c>
      <c r="C2065"/>
      <c r="D2065" t="s">
        <v>2649</v>
      </c>
      <c r="E2065" t="s">
        <v>2701</v>
      </c>
      <c r="F2065" t="s">
        <v>2706</v>
      </c>
      <c r="G2065" t="s">
        <v>280</v>
      </c>
      <c r="H2065" t="s">
        <v>2707</v>
      </c>
      <c r="I2065" t="s">
        <v>35</v>
      </c>
      <c r="J2065"/>
      <c r="K2065">
        <v>1</v>
      </c>
      <c r="L2065">
        <v>1</v>
      </c>
      <c r="M2065" t="s">
        <v>33</v>
      </c>
      <c r="N2065">
        <v>1</v>
      </c>
      <c r="O2065"/>
      <c r="P2065">
        <v>0</v>
      </c>
      <c r="Q2065" t="s">
        <v>38</v>
      </c>
      <c r="R2065">
        <v>1</v>
      </c>
      <c r="S2065">
        <v>0</v>
      </c>
      <c r="T2065"/>
      <c r="U2065"/>
      <c r="V2065"/>
      <c r="W2065"/>
      <c r="X2065">
        <v>0</v>
      </c>
      <c r="Y2065"/>
      <c r="Z2065">
        <v>0</v>
      </c>
      <c r="AA2065"/>
      <c r="AB2065"/>
      <c r="AC2065"/>
      <c r="AD2065"/>
      <c r="AE2065">
        <v>0</v>
      </c>
      <c r="AF2065"/>
      <c r="AG2065" t="s">
        <v>3468</v>
      </c>
      <c r="AH2065"/>
    </row>
    <row r="2066" spans="1:34" x14ac:dyDescent="0.25">
      <c r="A2066" t="s">
        <v>2647</v>
      </c>
      <c r="B2066" t="s">
        <v>2648</v>
      </c>
      <c r="C2066"/>
      <c r="D2066" t="s">
        <v>2649</v>
      </c>
      <c r="E2066" t="s">
        <v>2701</v>
      </c>
      <c r="F2066" t="s">
        <v>2708</v>
      </c>
      <c r="G2066" t="s">
        <v>280</v>
      </c>
      <c r="H2066" t="s">
        <v>2709</v>
      </c>
      <c r="I2066" t="s">
        <v>35</v>
      </c>
      <c r="J2066"/>
      <c r="K2066">
        <v>1</v>
      </c>
      <c r="L2066">
        <v>1</v>
      </c>
      <c r="M2066" t="s">
        <v>33</v>
      </c>
      <c r="N2066">
        <v>1</v>
      </c>
      <c r="O2066"/>
      <c r="P2066">
        <v>0</v>
      </c>
      <c r="Q2066" t="s">
        <v>38</v>
      </c>
      <c r="R2066">
        <v>1</v>
      </c>
      <c r="S2066">
        <v>0</v>
      </c>
      <c r="T2066"/>
      <c r="U2066"/>
      <c r="V2066"/>
      <c r="W2066"/>
      <c r="X2066">
        <v>0</v>
      </c>
      <c r="Y2066"/>
      <c r="Z2066">
        <v>0</v>
      </c>
      <c r="AA2066"/>
      <c r="AB2066"/>
      <c r="AC2066"/>
      <c r="AD2066"/>
      <c r="AE2066">
        <v>0</v>
      </c>
      <c r="AF2066"/>
      <c r="AG2066" t="s">
        <v>3468</v>
      </c>
      <c r="AH2066"/>
    </row>
    <row r="2067" spans="1:34" x14ac:dyDescent="0.25">
      <c r="A2067" t="s">
        <v>2647</v>
      </c>
      <c r="B2067" t="s">
        <v>2648</v>
      </c>
      <c r="C2067"/>
      <c r="D2067" t="s">
        <v>2649</v>
      </c>
      <c r="E2067" t="s">
        <v>2701</v>
      </c>
      <c r="F2067" t="s">
        <v>2710</v>
      </c>
      <c r="G2067" t="s">
        <v>280</v>
      </c>
      <c r="H2067" t="s">
        <v>2711</v>
      </c>
      <c r="I2067" t="s">
        <v>35</v>
      </c>
      <c r="J2067"/>
      <c r="K2067">
        <v>1</v>
      </c>
      <c r="L2067">
        <v>1</v>
      </c>
      <c r="M2067" t="s">
        <v>33</v>
      </c>
      <c r="N2067">
        <v>1</v>
      </c>
      <c r="O2067"/>
      <c r="P2067">
        <v>0</v>
      </c>
      <c r="Q2067" t="s">
        <v>38</v>
      </c>
      <c r="R2067">
        <v>1</v>
      </c>
      <c r="S2067">
        <v>0</v>
      </c>
      <c r="T2067"/>
      <c r="U2067"/>
      <c r="V2067"/>
      <c r="W2067"/>
      <c r="X2067">
        <v>0</v>
      </c>
      <c r="Y2067"/>
      <c r="Z2067">
        <v>0</v>
      </c>
      <c r="AA2067"/>
      <c r="AB2067"/>
      <c r="AC2067"/>
      <c r="AD2067"/>
      <c r="AE2067">
        <v>0</v>
      </c>
      <c r="AF2067"/>
      <c r="AG2067"/>
      <c r="AH2067"/>
    </row>
    <row r="2068" spans="1:34" x14ac:dyDescent="0.25">
      <c r="A2068" t="s">
        <v>3422</v>
      </c>
      <c r="B2068" t="s">
        <v>3423</v>
      </c>
      <c r="C2068"/>
      <c r="D2068" t="s">
        <v>2649</v>
      </c>
      <c r="E2068" t="s">
        <v>2701</v>
      </c>
      <c r="F2068" t="s">
        <v>2710</v>
      </c>
      <c r="G2068" t="s">
        <v>280</v>
      </c>
      <c r="H2068" t="s">
        <v>2711</v>
      </c>
      <c r="I2068" t="s">
        <v>35</v>
      </c>
      <c r="J2068"/>
      <c r="K2068">
        <v>1</v>
      </c>
      <c r="L2068">
        <v>1</v>
      </c>
      <c r="M2068" t="s">
        <v>33</v>
      </c>
      <c r="N2068">
        <v>1</v>
      </c>
      <c r="O2068"/>
      <c r="P2068">
        <v>0</v>
      </c>
      <c r="Q2068" t="s">
        <v>38</v>
      </c>
      <c r="R2068">
        <v>1</v>
      </c>
      <c r="S2068">
        <v>0</v>
      </c>
      <c r="T2068"/>
      <c r="U2068"/>
      <c r="V2068"/>
      <c r="W2068"/>
      <c r="X2068">
        <v>0</v>
      </c>
      <c r="Y2068"/>
      <c r="Z2068">
        <v>0</v>
      </c>
      <c r="AA2068"/>
      <c r="AB2068"/>
      <c r="AC2068"/>
      <c r="AD2068"/>
      <c r="AE2068">
        <v>0</v>
      </c>
      <c r="AF2068"/>
      <c r="AG2068"/>
      <c r="AH2068"/>
    </row>
    <row r="2069" spans="1:34" x14ac:dyDescent="0.25">
      <c r="A2069" t="s">
        <v>2647</v>
      </c>
      <c r="B2069" t="s">
        <v>2648</v>
      </c>
      <c r="C2069"/>
      <c r="D2069" t="s">
        <v>2649</v>
      </c>
      <c r="E2069" t="s">
        <v>2701</v>
      </c>
      <c r="F2069" t="s">
        <v>2712</v>
      </c>
      <c r="G2069" t="s">
        <v>280</v>
      </c>
      <c r="H2069" t="s">
        <v>2713</v>
      </c>
      <c r="I2069" t="s">
        <v>35</v>
      </c>
      <c r="J2069"/>
      <c r="K2069">
        <v>1</v>
      </c>
      <c r="L2069">
        <v>1</v>
      </c>
      <c r="M2069" t="s">
        <v>33</v>
      </c>
      <c r="N2069">
        <v>1</v>
      </c>
      <c r="O2069"/>
      <c r="P2069">
        <v>0</v>
      </c>
      <c r="Q2069" t="s">
        <v>38</v>
      </c>
      <c r="R2069">
        <v>1</v>
      </c>
      <c r="S2069">
        <v>0</v>
      </c>
      <c r="T2069"/>
      <c r="U2069"/>
      <c r="V2069"/>
      <c r="W2069"/>
      <c r="X2069">
        <v>0</v>
      </c>
      <c r="Y2069"/>
      <c r="Z2069">
        <v>0</v>
      </c>
      <c r="AA2069"/>
      <c r="AB2069"/>
      <c r="AC2069"/>
      <c r="AD2069"/>
      <c r="AE2069">
        <v>0</v>
      </c>
      <c r="AF2069"/>
      <c r="AG2069" t="s">
        <v>3468</v>
      </c>
      <c r="AH2069"/>
    </row>
    <row r="2070" spans="1:34" x14ac:dyDescent="0.25">
      <c r="A2070" t="s">
        <v>2647</v>
      </c>
      <c r="B2070" t="s">
        <v>2648</v>
      </c>
      <c r="C2070"/>
      <c r="D2070" t="s">
        <v>2649</v>
      </c>
      <c r="E2070" t="s">
        <v>2701</v>
      </c>
      <c r="F2070" t="s">
        <v>2714</v>
      </c>
      <c r="G2070" t="s">
        <v>280</v>
      </c>
      <c r="H2070" t="s">
        <v>2715</v>
      </c>
      <c r="I2070" t="s">
        <v>35</v>
      </c>
      <c r="J2070"/>
      <c r="K2070">
        <v>1</v>
      </c>
      <c r="L2070">
        <v>1</v>
      </c>
      <c r="M2070" t="s">
        <v>33</v>
      </c>
      <c r="N2070">
        <v>1</v>
      </c>
      <c r="O2070"/>
      <c r="P2070">
        <v>0</v>
      </c>
      <c r="Q2070" t="s">
        <v>38</v>
      </c>
      <c r="R2070">
        <v>1</v>
      </c>
      <c r="S2070">
        <v>0</v>
      </c>
      <c r="T2070"/>
      <c r="U2070"/>
      <c r="V2070"/>
      <c r="W2070"/>
      <c r="X2070">
        <v>0</v>
      </c>
      <c r="Y2070"/>
      <c r="Z2070">
        <v>0</v>
      </c>
      <c r="AA2070"/>
      <c r="AB2070"/>
      <c r="AC2070"/>
      <c r="AD2070"/>
      <c r="AE2070">
        <v>0</v>
      </c>
      <c r="AF2070"/>
      <c r="AG2070" t="s">
        <v>3468</v>
      </c>
      <c r="AH2070"/>
    </row>
    <row r="2071" spans="1:34" x14ac:dyDescent="0.25">
      <c r="A2071" t="s">
        <v>2647</v>
      </c>
      <c r="B2071" t="s">
        <v>2648</v>
      </c>
      <c r="C2071"/>
      <c r="D2071" t="s">
        <v>2649</v>
      </c>
      <c r="E2071" t="s">
        <v>2701</v>
      </c>
      <c r="F2071" t="s">
        <v>2716</v>
      </c>
      <c r="G2071" t="s">
        <v>280</v>
      </c>
      <c r="H2071" t="s">
        <v>2717</v>
      </c>
      <c r="I2071" t="s">
        <v>35</v>
      </c>
      <c r="J2071"/>
      <c r="K2071">
        <v>1</v>
      </c>
      <c r="L2071">
        <v>1</v>
      </c>
      <c r="M2071" t="s">
        <v>33</v>
      </c>
      <c r="N2071">
        <v>1</v>
      </c>
      <c r="O2071"/>
      <c r="P2071">
        <v>0</v>
      </c>
      <c r="Q2071" t="s">
        <v>38</v>
      </c>
      <c r="R2071">
        <v>1</v>
      </c>
      <c r="S2071">
        <v>0</v>
      </c>
      <c r="T2071"/>
      <c r="U2071"/>
      <c r="V2071"/>
      <c r="W2071"/>
      <c r="X2071">
        <v>0</v>
      </c>
      <c r="Y2071"/>
      <c r="Z2071">
        <v>0</v>
      </c>
      <c r="AA2071"/>
      <c r="AB2071"/>
      <c r="AC2071"/>
      <c r="AD2071"/>
      <c r="AE2071">
        <v>0</v>
      </c>
      <c r="AF2071"/>
      <c r="AG2071" t="s">
        <v>3468</v>
      </c>
      <c r="AH2071"/>
    </row>
    <row r="2072" spans="1:34" x14ac:dyDescent="0.25">
      <c r="A2072" t="s">
        <v>2647</v>
      </c>
      <c r="B2072" t="s">
        <v>2648</v>
      </c>
      <c r="C2072"/>
      <c r="D2072" t="s">
        <v>2649</v>
      </c>
      <c r="E2072" t="s">
        <v>2701</v>
      </c>
      <c r="F2072" t="s">
        <v>2718</v>
      </c>
      <c r="G2072" t="s">
        <v>280</v>
      </c>
      <c r="H2072" t="s">
        <v>2719</v>
      </c>
      <c r="I2072" t="s">
        <v>35</v>
      </c>
      <c r="J2072"/>
      <c r="K2072">
        <v>1</v>
      </c>
      <c r="L2072">
        <v>1</v>
      </c>
      <c r="M2072" t="s">
        <v>33</v>
      </c>
      <c r="N2072">
        <v>1</v>
      </c>
      <c r="O2072"/>
      <c r="P2072">
        <v>0</v>
      </c>
      <c r="Q2072" t="s">
        <v>38</v>
      </c>
      <c r="R2072">
        <v>1</v>
      </c>
      <c r="S2072">
        <v>0</v>
      </c>
      <c r="T2072"/>
      <c r="U2072"/>
      <c r="V2072"/>
      <c r="W2072"/>
      <c r="X2072">
        <v>0</v>
      </c>
      <c r="Y2072"/>
      <c r="Z2072">
        <v>0</v>
      </c>
      <c r="AA2072"/>
      <c r="AB2072"/>
      <c r="AC2072"/>
      <c r="AD2072"/>
      <c r="AE2072">
        <v>0</v>
      </c>
      <c r="AF2072"/>
      <c r="AG2072"/>
      <c r="AH2072"/>
    </row>
    <row r="2073" spans="1:34" x14ac:dyDescent="0.25">
      <c r="A2073" t="s">
        <v>3422</v>
      </c>
      <c r="B2073" t="s">
        <v>3423</v>
      </c>
      <c r="C2073"/>
      <c r="D2073" t="s">
        <v>2649</v>
      </c>
      <c r="E2073" t="s">
        <v>2701</v>
      </c>
      <c r="F2073" t="s">
        <v>2718</v>
      </c>
      <c r="G2073" t="s">
        <v>280</v>
      </c>
      <c r="H2073" t="s">
        <v>2719</v>
      </c>
      <c r="I2073" t="s">
        <v>35</v>
      </c>
      <c r="J2073"/>
      <c r="K2073">
        <v>1</v>
      </c>
      <c r="L2073">
        <v>1</v>
      </c>
      <c r="M2073" t="s">
        <v>33</v>
      </c>
      <c r="N2073">
        <v>1</v>
      </c>
      <c r="O2073"/>
      <c r="P2073">
        <v>0</v>
      </c>
      <c r="Q2073" t="s">
        <v>38</v>
      </c>
      <c r="R2073">
        <v>1</v>
      </c>
      <c r="S2073">
        <v>0</v>
      </c>
      <c r="T2073"/>
      <c r="U2073"/>
      <c r="V2073"/>
      <c r="W2073"/>
      <c r="X2073">
        <v>0</v>
      </c>
      <c r="Y2073"/>
      <c r="Z2073">
        <v>0</v>
      </c>
      <c r="AA2073"/>
      <c r="AB2073"/>
      <c r="AC2073"/>
      <c r="AD2073"/>
      <c r="AE2073">
        <v>0</v>
      </c>
      <c r="AF2073"/>
      <c r="AG2073"/>
      <c r="AH2073"/>
    </row>
    <row r="2074" spans="1:34" x14ac:dyDescent="0.25">
      <c r="A2074" t="s">
        <v>2647</v>
      </c>
      <c r="B2074" t="s">
        <v>2648</v>
      </c>
      <c r="C2074"/>
      <c r="D2074" t="s">
        <v>2649</v>
      </c>
      <c r="E2074" t="s">
        <v>2701</v>
      </c>
      <c r="F2074" t="s">
        <v>2720</v>
      </c>
      <c r="G2074" t="s">
        <v>280</v>
      </c>
      <c r="H2074" t="s">
        <v>2721</v>
      </c>
      <c r="I2074" t="s">
        <v>35</v>
      </c>
      <c r="J2074"/>
      <c r="K2074">
        <v>1</v>
      </c>
      <c r="L2074">
        <v>1</v>
      </c>
      <c r="M2074" t="s">
        <v>33</v>
      </c>
      <c r="N2074">
        <v>1</v>
      </c>
      <c r="O2074"/>
      <c r="P2074">
        <v>0</v>
      </c>
      <c r="Q2074" t="s">
        <v>38</v>
      </c>
      <c r="R2074">
        <v>1</v>
      </c>
      <c r="S2074">
        <v>0</v>
      </c>
      <c r="T2074"/>
      <c r="U2074"/>
      <c r="V2074"/>
      <c r="W2074"/>
      <c r="X2074">
        <v>0</v>
      </c>
      <c r="Y2074"/>
      <c r="Z2074">
        <v>0</v>
      </c>
      <c r="AA2074"/>
      <c r="AB2074"/>
      <c r="AC2074"/>
      <c r="AD2074"/>
      <c r="AE2074">
        <v>0</v>
      </c>
      <c r="AF2074"/>
      <c r="AG2074" t="s">
        <v>3468</v>
      </c>
      <c r="AH2074"/>
    </row>
    <row r="2075" spans="1:34" x14ac:dyDescent="0.25">
      <c r="A2075" t="s">
        <v>2647</v>
      </c>
      <c r="B2075" t="s">
        <v>2648</v>
      </c>
      <c r="C2075"/>
      <c r="D2075" t="s">
        <v>2649</v>
      </c>
      <c r="E2075" t="s">
        <v>2701</v>
      </c>
      <c r="F2075" t="s">
        <v>2722</v>
      </c>
      <c r="G2075" t="s">
        <v>280</v>
      </c>
      <c r="H2075" t="s">
        <v>2723</v>
      </c>
      <c r="I2075" t="s">
        <v>35</v>
      </c>
      <c r="J2075"/>
      <c r="K2075">
        <v>1</v>
      </c>
      <c r="L2075">
        <v>1</v>
      </c>
      <c r="M2075" t="s">
        <v>33</v>
      </c>
      <c r="N2075">
        <v>1</v>
      </c>
      <c r="O2075"/>
      <c r="P2075">
        <v>0</v>
      </c>
      <c r="Q2075" t="s">
        <v>38</v>
      </c>
      <c r="R2075">
        <v>1</v>
      </c>
      <c r="S2075">
        <v>0</v>
      </c>
      <c r="T2075"/>
      <c r="U2075"/>
      <c r="V2075"/>
      <c r="W2075"/>
      <c r="X2075">
        <v>0</v>
      </c>
      <c r="Y2075"/>
      <c r="Z2075">
        <v>0</v>
      </c>
      <c r="AA2075"/>
      <c r="AB2075"/>
      <c r="AC2075"/>
      <c r="AD2075"/>
      <c r="AE2075">
        <v>0</v>
      </c>
      <c r="AF2075"/>
      <c r="AG2075" t="s">
        <v>3468</v>
      </c>
      <c r="AH2075"/>
    </row>
    <row r="2076" spans="1:34" x14ac:dyDescent="0.25">
      <c r="A2076" t="s">
        <v>2647</v>
      </c>
      <c r="B2076" t="s">
        <v>2648</v>
      </c>
      <c r="C2076"/>
      <c r="D2076" t="s">
        <v>2649</v>
      </c>
      <c r="E2076" t="s">
        <v>2701</v>
      </c>
      <c r="F2076" t="s">
        <v>2724</v>
      </c>
      <c r="G2076" t="s">
        <v>280</v>
      </c>
      <c r="H2076" t="s">
        <v>2725</v>
      </c>
      <c r="I2076" t="s">
        <v>35</v>
      </c>
      <c r="J2076"/>
      <c r="K2076">
        <v>1</v>
      </c>
      <c r="L2076">
        <v>1</v>
      </c>
      <c r="M2076" t="s">
        <v>33</v>
      </c>
      <c r="N2076">
        <v>1</v>
      </c>
      <c r="O2076"/>
      <c r="P2076">
        <v>0</v>
      </c>
      <c r="Q2076" t="s">
        <v>38</v>
      </c>
      <c r="R2076">
        <v>1</v>
      </c>
      <c r="S2076">
        <v>0</v>
      </c>
      <c r="T2076"/>
      <c r="U2076"/>
      <c r="V2076"/>
      <c r="W2076"/>
      <c r="X2076">
        <v>0</v>
      </c>
      <c r="Y2076"/>
      <c r="Z2076">
        <v>0</v>
      </c>
      <c r="AA2076"/>
      <c r="AB2076"/>
      <c r="AC2076"/>
      <c r="AD2076"/>
      <c r="AE2076">
        <v>0</v>
      </c>
      <c r="AF2076"/>
      <c r="AG2076" t="s">
        <v>3468</v>
      </c>
      <c r="AH2076"/>
    </row>
    <row r="2077" spans="1:34" x14ac:dyDescent="0.25">
      <c r="A2077" t="s">
        <v>2671</v>
      </c>
      <c r="B2077" t="s">
        <v>2672</v>
      </c>
      <c r="C2077"/>
      <c r="D2077" t="s">
        <v>2649</v>
      </c>
      <c r="E2077" t="s">
        <v>2701</v>
      </c>
      <c r="F2077" t="s">
        <v>2726</v>
      </c>
      <c r="G2077" t="s">
        <v>280</v>
      </c>
      <c r="H2077" t="s">
        <v>2727</v>
      </c>
      <c r="I2077" t="s">
        <v>35</v>
      </c>
      <c r="J2077"/>
      <c r="K2077">
        <v>1</v>
      </c>
      <c r="L2077">
        <v>1</v>
      </c>
      <c r="M2077" t="s">
        <v>33</v>
      </c>
      <c r="N2077">
        <v>1</v>
      </c>
      <c r="O2077"/>
      <c r="P2077">
        <v>0</v>
      </c>
      <c r="Q2077" t="s">
        <v>38</v>
      </c>
      <c r="R2077">
        <v>1</v>
      </c>
      <c r="S2077">
        <v>0</v>
      </c>
      <c r="T2077"/>
      <c r="U2077"/>
      <c r="V2077"/>
      <c r="W2077"/>
      <c r="X2077">
        <v>0</v>
      </c>
      <c r="Y2077"/>
      <c r="Z2077">
        <v>0</v>
      </c>
      <c r="AA2077"/>
      <c r="AB2077"/>
      <c r="AC2077"/>
      <c r="AD2077"/>
      <c r="AE2077">
        <v>0</v>
      </c>
      <c r="AF2077"/>
      <c r="AG2077"/>
      <c r="AH2077"/>
    </row>
    <row r="2078" spans="1:34" x14ac:dyDescent="0.25">
      <c r="A2078" t="s">
        <v>3422</v>
      </c>
      <c r="B2078" t="s">
        <v>3423</v>
      </c>
      <c r="C2078"/>
      <c r="D2078" t="s">
        <v>2649</v>
      </c>
      <c r="E2078" t="s">
        <v>2701</v>
      </c>
      <c r="F2078" t="s">
        <v>2726</v>
      </c>
      <c r="G2078" t="s">
        <v>280</v>
      </c>
      <c r="H2078" t="s">
        <v>2727</v>
      </c>
      <c r="I2078" t="s">
        <v>35</v>
      </c>
      <c r="J2078"/>
      <c r="K2078">
        <v>1</v>
      </c>
      <c r="L2078">
        <v>1</v>
      </c>
      <c r="M2078" t="s">
        <v>33</v>
      </c>
      <c r="N2078">
        <v>1</v>
      </c>
      <c r="O2078"/>
      <c r="P2078">
        <v>0</v>
      </c>
      <c r="Q2078" t="s">
        <v>38</v>
      </c>
      <c r="R2078">
        <v>1</v>
      </c>
      <c r="S2078">
        <v>0</v>
      </c>
      <c r="T2078"/>
      <c r="U2078"/>
      <c r="V2078"/>
      <c r="W2078"/>
      <c r="X2078">
        <v>0</v>
      </c>
      <c r="Y2078"/>
      <c r="Z2078">
        <v>0</v>
      </c>
      <c r="AA2078"/>
      <c r="AB2078"/>
      <c r="AC2078"/>
      <c r="AD2078"/>
      <c r="AE2078">
        <v>0</v>
      </c>
      <c r="AF2078"/>
      <c r="AG2078"/>
      <c r="AH2078"/>
    </row>
    <row r="2079" spans="1:34" x14ac:dyDescent="0.25">
      <c r="A2079" t="s">
        <v>2671</v>
      </c>
      <c r="B2079" t="s">
        <v>2672</v>
      </c>
      <c r="C2079"/>
      <c r="D2079" t="s">
        <v>2649</v>
      </c>
      <c r="E2079" t="s">
        <v>2701</v>
      </c>
      <c r="F2079" t="s">
        <v>2728</v>
      </c>
      <c r="G2079" t="s">
        <v>280</v>
      </c>
      <c r="H2079" t="s">
        <v>2729</v>
      </c>
      <c r="I2079" t="s">
        <v>35</v>
      </c>
      <c r="J2079"/>
      <c r="K2079">
        <v>1</v>
      </c>
      <c r="L2079">
        <v>1</v>
      </c>
      <c r="M2079" t="s">
        <v>33</v>
      </c>
      <c r="N2079">
        <v>1</v>
      </c>
      <c r="O2079"/>
      <c r="P2079">
        <v>0</v>
      </c>
      <c r="Q2079" t="s">
        <v>38</v>
      </c>
      <c r="R2079">
        <v>1</v>
      </c>
      <c r="S2079">
        <v>0</v>
      </c>
      <c r="T2079"/>
      <c r="U2079"/>
      <c r="V2079"/>
      <c r="W2079"/>
      <c r="X2079">
        <v>0</v>
      </c>
      <c r="Y2079"/>
      <c r="Z2079">
        <v>0</v>
      </c>
      <c r="AA2079"/>
      <c r="AB2079"/>
      <c r="AC2079"/>
      <c r="AD2079"/>
      <c r="AE2079">
        <v>0</v>
      </c>
      <c r="AF2079"/>
      <c r="AG2079" t="s">
        <v>3468</v>
      </c>
      <c r="AH2079"/>
    </row>
    <row r="2080" spans="1:34" x14ac:dyDescent="0.25">
      <c r="A2080" t="s">
        <v>2671</v>
      </c>
      <c r="B2080" t="s">
        <v>2672</v>
      </c>
      <c r="C2080"/>
      <c r="D2080" t="s">
        <v>2649</v>
      </c>
      <c r="E2080" t="s">
        <v>2701</v>
      </c>
      <c r="F2080" t="s">
        <v>2730</v>
      </c>
      <c r="G2080" t="s">
        <v>280</v>
      </c>
      <c r="H2080" t="s">
        <v>2731</v>
      </c>
      <c r="I2080" t="s">
        <v>35</v>
      </c>
      <c r="J2080"/>
      <c r="K2080">
        <v>1</v>
      </c>
      <c r="L2080">
        <v>1</v>
      </c>
      <c r="M2080" t="s">
        <v>33</v>
      </c>
      <c r="N2080">
        <v>1</v>
      </c>
      <c r="O2080"/>
      <c r="P2080">
        <v>0</v>
      </c>
      <c r="Q2080" t="s">
        <v>38</v>
      </c>
      <c r="R2080">
        <v>1</v>
      </c>
      <c r="S2080">
        <v>0</v>
      </c>
      <c r="T2080"/>
      <c r="U2080"/>
      <c r="V2080"/>
      <c r="W2080"/>
      <c r="X2080">
        <v>0</v>
      </c>
      <c r="Y2080"/>
      <c r="Z2080">
        <v>0</v>
      </c>
      <c r="AA2080"/>
      <c r="AB2080"/>
      <c r="AC2080"/>
      <c r="AD2080"/>
      <c r="AE2080">
        <v>0</v>
      </c>
      <c r="AF2080"/>
      <c r="AG2080" t="s">
        <v>3468</v>
      </c>
      <c r="AH2080"/>
    </row>
    <row r="2081" spans="1:34" x14ac:dyDescent="0.25">
      <c r="A2081" t="s">
        <v>2671</v>
      </c>
      <c r="B2081" t="s">
        <v>2672</v>
      </c>
      <c r="C2081"/>
      <c r="D2081" t="s">
        <v>2649</v>
      </c>
      <c r="E2081" t="s">
        <v>2701</v>
      </c>
      <c r="F2081" t="s">
        <v>2732</v>
      </c>
      <c r="G2081" t="s">
        <v>280</v>
      </c>
      <c r="H2081" t="s">
        <v>2733</v>
      </c>
      <c r="I2081" t="s">
        <v>35</v>
      </c>
      <c r="J2081"/>
      <c r="K2081">
        <v>1</v>
      </c>
      <c r="L2081">
        <v>1</v>
      </c>
      <c r="M2081" t="s">
        <v>33</v>
      </c>
      <c r="N2081">
        <v>1</v>
      </c>
      <c r="O2081"/>
      <c r="P2081">
        <v>0</v>
      </c>
      <c r="Q2081" t="s">
        <v>38</v>
      </c>
      <c r="R2081">
        <v>1</v>
      </c>
      <c r="S2081">
        <v>0</v>
      </c>
      <c r="T2081"/>
      <c r="U2081"/>
      <c r="V2081"/>
      <c r="W2081"/>
      <c r="X2081">
        <v>0</v>
      </c>
      <c r="Y2081"/>
      <c r="Z2081">
        <v>0</v>
      </c>
      <c r="AA2081"/>
      <c r="AB2081"/>
      <c r="AC2081"/>
      <c r="AD2081"/>
      <c r="AE2081">
        <v>0</v>
      </c>
      <c r="AF2081"/>
      <c r="AG2081" t="s">
        <v>3468</v>
      </c>
      <c r="AH2081"/>
    </row>
    <row r="2082" spans="1:34" x14ac:dyDescent="0.25">
      <c r="A2082" t="s">
        <v>2671</v>
      </c>
      <c r="B2082" t="s">
        <v>2672</v>
      </c>
      <c r="C2082"/>
      <c r="D2082" t="s">
        <v>2649</v>
      </c>
      <c r="E2082" t="s">
        <v>2701</v>
      </c>
      <c r="F2082" t="s">
        <v>2734</v>
      </c>
      <c r="G2082" t="s">
        <v>280</v>
      </c>
      <c r="H2082" t="s">
        <v>2735</v>
      </c>
      <c r="I2082" t="s">
        <v>35</v>
      </c>
      <c r="J2082"/>
      <c r="K2082">
        <v>1</v>
      </c>
      <c r="L2082">
        <v>1</v>
      </c>
      <c r="M2082" t="s">
        <v>33</v>
      </c>
      <c r="N2082">
        <v>1</v>
      </c>
      <c r="O2082"/>
      <c r="P2082">
        <v>0</v>
      </c>
      <c r="Q2082" t="s">
        <v>38</v>
      </c>
      <c r="R2082">
        <v>1</v>
      </c>
      <c r="S2082">
        <v>0</v>
      </c>
      <c r="T2082"/>
      <c r="U2082"/>
      <c r="V2082"/>
      <c r="W2082"/>
      <c r="X2082">
        <v>0</v>
      </c>
      <c r="Y2082"/>
      <c r="Z2082">
        <v>0</v>
      </c>
      <c r="AA2082"/>
      <c r="AB2082"/>
      <c r="AC2082"/>
      <c r="AD2082"/>
      <c r="AE2082">
        <v>0</v>
      </c>
      <c r="AF2082"/>
      <c r="AG2082"/>
      <c r="AH2082"/>
    </row>
    <row r="2083" spans="1:34" x14ac:dyDescent="0.25">
      <c r="A2083" t="s">
        <v>3422</v>
      </c>
      <c r="B2083" t="s">
        <v>3423</v>
      </c>
      <c r="C2083"/>
      <c r="D2083" t="s">
        <v>2649</v>
      </c>
      <c r="E2083" t="s">
        <v>2701</v>
      </c>
      <c r="F2083" t="s">
        <v>2734</v>
      </c>
      <c r="G2083" t="s">
        <v>280</v>
      </c>
      <c r="H2083" t="s">
        <v>2735</v>
      </c>
      <c r="I2083" t="s">
        <v>35</v>
      </c>
      <c r="J2083"/>
      <c r="K2083">
        <v>1</v>
      </c>
      <c r="L2083">
        <v>1</v>
      </c>
      <c r="M2083" t="s">
        <v>33</v>
      </c>
      <c r="N2083">
        <v>1</v>
      </c>
      <c r="O2083"/>
      <c r="P2083">
        <v>0</v>
      </c>
      <c r="Q2083" t="s">
        <v>38</v>
      </c>
      <c r="R2083">
        <v>1</v>
      </c>
      <c r="S2083">
        <v>0</v>
      </c>
      <c r="T2083"/>
      <c r="U2083"/>
      <c r="V2083"/>
      <c r="W2083"/>
      <c r="X2083">
        <v>0</v>
      </c>
      <c r="Y2083"/>
      <c r="Z2083">
        <v>0</v>
      </c>
      <c r="AA2083"/>
      <c r="AB2083"/>
      <c r="AC2083"/>
      <c r="AD2083"/>
      <c r="AE2083">
        <v>0</v>
      </c>
      <c r="AF2083"/>
      <c r="AG2083"/>
      <c r="AH2083"/>
    </row>
    <row r="2084" spans="1:34" x14ac:dyDescent="0.25">
      <c r="A2084" t="s">
        <v>2671</v>
      </c>
      <c r="B2084" t="s">
        <v>2672</v>
      </c>
      <c r="C2084"/>
      <c r="D2084" t="s">
        <v>2649</v>
      </c>
      <c r="E2084" t="s">
        <v>2701</v>
      </c>
      <c r="F2084" t="s">
        <v>2736</v>
      </c>
      <c r="G2084" t="s">
        <v>280</v>
      </c>
      <c r="H2084" t="s">
        <v>2737</v>
      </c>
      <c r="I2084" t="s">
        <v>35</v>
      </c>
      <c r="J2084"/>
      <c r="K2084">
        <v>1</v>
      </c>
      <c r="L2084">
        <v>1</v>
      </c>
      <c r="M2084" t="s">
        <v>33</v>
      </c>
      <c r="N2084">
        <v>1</v>
      </c>
      <c r="O2084"/>
      <c r="P2084">
        <v>0</v>
      </c>
      <c r="Q2084" t="s">
        <v>38</v>
      </c>
      <c r="R2084">
        <v>1</v>
      </c>
      <c r="S2084">
        <v>0</v>
      </c>
      <c r="T2084"/>
      <c r="U2084"/>
      <c r="V2084"/>
      <c r="W2084"/>
      <c r="X2084">
        <v>0</v>
      </c>
      <c r="Y2084"/>
      <c r="Z2084">
        <v>0</v>
      </c>
      <c r="AA2084"/>
      <c r="AB2084"/>
      <c r="AC2084"/>
      <c r="AD2084"/>
      <c r="AE2084">
        <v>0</v>
      </c>
      <c r="AF2084"/>
      <c r="AG2084" t="s">
        <v>3468</v>
      </c>
      <c r="AH2084"/>
    </row>
    <row r="2085" spans="1:34" x14ac:dyDescent="0.25">
      <c r="A2085" t="s">
        <v>2671</v>
      </c>
      <c r="B2085" t="s">
        <v>2672</v>
      </c>
      <c r="C2085"/>
      <c r="D2085" t="s">
        <v>2649</v>
      </c>
      <c r="E2085" t="s">
        <v>2701</v>
      </c>
      <c r="F2085" t="s">
        <v>2738</v>
      </c>
      <c r="G2085" t="s">
        <v>280</v>
      </c>
      <c r="H2085" t="s">
        <v>2739</v>
      </c>
      <c r="I2085" t="s">
        <v>35</v>
      </c>
      <c r="J2085"/>
      <c r="K2085">
        <v>1</v>
      </c>
      <c r="L2085">
        <v>1</v>
      </c>
      <c r="M2085" t="s">
        <v>33</v>
      </c>
      <c r="N2085">
        <v>1</v>
      </c>
      <c r="O2085"/>
      <c r="P2085">
        <v>0</v>
      </c>
      <c r="Q2085" t="s">
        <v>38</v>
      </c>
      <c r="R2085">
        <v>1</v>
      </c>
      <c r="S2085">
        <v>0</v>
      </c>
      <c r="T2085"/>
      <c r="U2085"/>
      <c r="V2085"/>
      <c r="W2085"/>
      <c r="X2085">
        <v>0</v>
      </c>
      <c r="Y2085"/>
      <c r="Z2085">
        <v>0</v>
      </c>
      <c r="AA2085"/>
      <c r="AB2085"/>
      <c r="AC2085"/>
      <c r="AD2085"/>
      <c r="AE2085">
        <v>0</v>
      </c>
      <c r="AF2085"/>
      <c r="AG2085" t="s">
        <v>3468</v>
      </c>
      <c r="AH2085"/>
    </row>
    <row r="2086" spans="1:34" x14ac:dyDescent="0.25">
      <c r="A2086" t="s">
        <v>2671</v>
      </c>
      <c r="B2086" t="s">
        <v>2672</v>
      </c>
      <c r="C2086"/>
      <c r="D2086" t="s">
        <v>2649</v>
      </c>
      <c r="E2086" t="s">
        <v>2701</v>
      </c>
      <c r="F2086" t="s">
        <v>2740</v>
      </c>
      <c r="G2086" t="s">
        <v>280</v>
      </c>
      <c r="H2086" t="s">
        <v>2741</v>
      </c>
      <c r="I2086" t="s">
        <v>35</v>
      </c>
      <c r="J2086"/>
      <c r="K2086">
        <v>1</v>
      </c>
      <c r="L2086">
        <v>1</v>
      </c>
      <c r="M2086" t="s">
        <v>33</v>
      </c>
      <c r="N2086">
        <v>1</v>
      </c>
      <c r="O2086"/>
      <c r="P2086">
        <v>0</v>
      </c>
      <c r="Q2086" t="s">
        <v>38</v>
      </c>
      <c r="R2086">
        <v>1</v>
      </c>
      <c r="S2086">
        <v>0</v>
      </c>
      <c r="T2086"/>
      <c r="U2086"/>
      <c r="V2086"/>
      <c r="W2086"/>
      <c r="X2086">
        <v>0</v>
      </c>
      <c r="Y2086"/>
      <c r="Z2086">
        <v>0</v>
      </c>
      <c r="AA2086"/>
      <c r="AB2086"/>
      <c r="AC2086"/>
      <c r="AD2086"/>
      <c r="AE2086">
        <v>0</v>
      </c>
      <c r="AF2086"/>
      <c r="AG2086" t="s">
        <v>3468</v>
      </c>
      <c r="AH2086"/>
    </row>
    <row r="2087" spans="1:34" x14ac:dyDescent="0.25">
      <c r="A2087" t="s">
        <v>2671</v>
      </c>
      <c r="B2087" t="s">
        <v>2672</v>
      </c>
      <c r="C2087"/>
      <c r="D2087" t="s">
        <v>2649</v>
      </c>
      <c r="E2087" t="s">
        <v>2701</v>
      </c>
      <c r="F2087" t="s">
        <v>2742</v>
      </c>
      <c r="G2087" t="s">
        <v>280</v>
      </c>
      <c r="H2087" t="s">
        <v>2743</v>
      </c>
      <c r="I2087" t="s">
        <v>35</v>
      </c>
      <c r="J2087"/>
      <c r="K2087">
        <v>1</v>
      </c>
      <c r="L2087">
        <v>1</v>
      </c>
      <c r="M2087" t="s">
        <v>33</v>
      </c>
      <c r="N2087">
        <v>1</v>
      </c>
      <c r="O2087"/>
      <c r="P2087">
        <v>0</v>
      </c>
      <c r="Q2087" t="s">
        <v>38</v>
      </c>
      <c r="R2087">
        <v>1</v>
      </c>
      <c r="S2087">
        <v>0</v>
      </c>
      <c r="T2087"/>
      <c r="U2087"/>
      <c r="V2087"/>
      <c r="W2087"/>
      <c r="X2087">
        <v>0</v>
      </c>
      <c r="Y2087"/>
      <c r="Z2087">
        <v>0</v>
      </c>
      <c r="AA2087"/>
      <c r="AB2087"/>
      <c r="AC2087"/>
      <c r="AD2087"/>
      <c r="AE2087">
        <v>0</v>
      </c>
      <c r="AF2087"/>
      <c r="AG2087"/>
      <c r="AH2087"/>
    </row>
    <row r="2088" spans="1:34" x14ac:dyDescent="0.25">
      <c r="A2088" t="s">
        <v>3422</v>
      </c>
      <c r="B2088" t="s">
        <v>3423</v>
      </c>
      <c r="C2088"/>
      <c r="D2088" t="s">
        <v>2649</v>
      </c>
      <c r="E2088" t="s">
        <v>2701</v>
      </c>
      <c r="F2088" t="s">
        <v>2742</v>
      </c>
      <c r="G2088" t="s">
        <v>280</v>
      </c>
      <c r="H2088" t="s">
        <v>2743</v>
      </c>
      <c r="I2088" t="s">
        <v>35</v>
      </c>
      <c r="J2088"/>
      <c r="K2088">
        <v>1</v>
      </c>
      <c r="L2088">
        <v>1</v>
      </c>
      <c r="M2088" t="s">
        <v>33</v>
      </c>
      <c r="N2088">
        <v>1</v>
      </c>
      <c r="O2088"/>
      <c r="P2088">
        <v>0</v>
      </c>
      <c r="Q2088" t="s">
        <v>38</v>
      </c>
      <c r="R2088">
        <v>1</v>
      </c>
      <c r="S2088">
        <v>0</v>
      </c>
      <c r="T2088"/>
      <c r="U2088"/>
      <c r="V2088"/>
      <c r="W2088"/>
      <c r="X2088">
        <v>0</v>
      </c>
      <c r="Y2088"/>
      <c r="Z2088">
        <v>0</v>
      </c>
      <c r="AA2088"/>
      <c r="AB2088"/>
      <c r="AC2088"/>
      <c r="AD2088"/>
      <c r="AE2088">
        <v>0</v>
      </c>
      <c r="AF2088"/>
      <c r="AG2088"/>
      <c r="AH2088"/>
    </row>
    <row r="2089" spans="1:34" x14ac:dyDescent="0.25">
      <c r="A2089" t="s">
        <v>2671</v>
      </c>
      <c r="B2089" t="s">
        <v>2672</v>
      </c>
      <c r="C2089"/>
      <c r="D2089" t="s">
        <v>2649</v>
      </c>
      <c r="E2089" t="s">
        <v>2701</v>
      </c>
      <c r="F2089" t="s">
        <v>2744</v>
      </c>
      <c r="G2089" t="s">
        <v>280</v>
      </c>
      <c r="H2089" t="s">
        <v>2745</v>
      </c>
      <c r="I2089" t="s">
        <v>35</v>
      </c>
      <c r="J2089"/>
      <c r="K2089">
        <v>1</v>
      </c>
      <c r="L2089">
        <v>1</v>
      </c>
      <c r="M2089" t="s">
        <v>33</v>
      </c>
      <c r="N2089">
        <v>1</v>
      </c>
      <c r="O2089"/>
      <c r="P2089">
        <v>0</v>
      </c>
      <c r="Q2089" t="s">
        <v>38</v>
      </c>
      <c r="R2089">
        <v>1</v>
      </c>
      <c r="S2089">
        <v>0</v>
      </c>
      <c r="T2089"/>
      <c r="U2089"/>
      <c r="V2089"/>
      <c r="W2089"/>
      <c r="X2089">
        <v>0</v>
      </c>
      <c r="Y2089"/>
      <c r="Z2089">
        <v>0</v>
      </c>
      <c r="AA2089"/>
      <c r="AB2089"/>
      <c r="AC2089"/>
      <c r="AD2089"/>
      <c r="AE2089">
        <v>0</v>
      </c>
      <c r="AF2089"/>
      <c r="AG2089" t="s">
        <v>3468</v>
      </c>
      <c r="AH2089"/>
    </row>
    <row r="2090" spans="1:34" x14ac:dyDescent="0.25">
      <c r="A2090" t="s">
        <v>2671</v>
      </c>
      <c r="B2090" t="s">
        <v>2672</v>
      </c>
      <c r="C2090"/>
      <c r="D2090" t="s">
        <v>2649</v>
      </c>
      <c r="E2090" t="s">
        <v>2701</v>
      </c>
      <c r="F2090" t="s">
        <v>2746</v>
      </c>
      <c r="G2090" t="s">
        <v>280</v>
      </c>
      <c r="H2090" t="s">
        <v>2747</v>
      </c>
      <c r="I2090" t="s">
        <v>35</v>
      </c>
      <c r="J2090"/>
      <c r="K2090">
        <v>1</v>
      </c>
      <c r="L2090">
        <v>1</v>
      </c>
      <c r="M2090" t="s">
        <v>33</v>
      </c>
      <c r="N2090">
        <v>1</v>
      </c>
      <c r="O2090"/>
      <c r="P2090">
        <v>0</v>
      </c>
      <c r="Q2090" t="s">
        <v>38</v>
      </c>
      <c r="R2090">
        <v>1</v>
      </c>
      <c r="S2090">
        <v>0</v>
      </c>
      <c r="T2090"/>
      <c r="U2090"/>
      <c r="V2090"/>
      <c r="W2090"/>
      <c r="X2090">
        <v>0</v>
      </c>
      <c r="Y2090"/>
      <c r="Z2090">
        <v>0</v>
      </c>
      <c r="AA2090"/>
      <c r="AB2090"/>
      <c r="AC2090"/>
      <c r="AD2090"/>
      <c r="AE2090">
        <v>0</v>
      </c>
      <c r="AF2090"/>
      <c r="AG2090" t="s">
        <v>3468</v>
      </c>
      <c r="AH2090"/>
    </row>
    <row r="2091" spans="1:34" x14ac:dyDescent="0.25">
      <c r="A2091" t="s">
        <v>2671</v>
      </c>
      <c r="B2091" t="s">
        <v>2672</v>
      </c>
      <c r="C2091"/>
      <c r="D2091" t="s">
        <v>2649</v>
      </c>
      <c r="E2091" t="s">
        <v>2701</v>
      </c>
      <c r="F2091" t="s">
        <v>2748</v>
      </c>
      <c r="G2091" t="s">
        <v>280</v>
      </c>
      <c r="H2091" t="s">
        <v>2749</v>
      </c>
      <c r="I2091" t="s">
        <v>35</v>
      </c>
      <c r="J2091"/>
      <c r="K2091">
        <v>1</v>
      </c>
      <c r="L2091">
        <v>1</v>
      </c>
      <c r="M2091" t="s">
        <v>33</v>
      </c>
      <c r="N2091">
        <v>1</v>
      </c>
      <c r="O2091"/>
      <c r="P2091">
        <v>0</v>
      </c>
      <c r="Q2091" t="s">
        <v>38</v>
      </c>
      <c r="R2091">
        <v>1</v>
      </c>
      <c r="S2091">
        <v>0</v>
      </c>
      <c r="T2091"/>
      <c r="U2091"/>
      <c r="V2091"/>
      <c r="W2091"/>
      <c r="X2091">
        <v>0</v>
      </c>
      <c r="Y2091"/>
      <c r="Z2091">
        <v>0</v>
      </c>
      <c r="AA2091"/>
      <c r="AB2091"/>
      <c r="AC2091"/>
      <c r="AD2091"/>
      <c r="AE2091">
        <v>0</v>
      </c>
      <c r="AF2091"/>
      <c r="AG2091" t="s">
        <v>3468</v>
      </c>
      <c r="AH2091"/>
    </row>
    <row r="2092" spans="1:34" x14ac:dyDescent="0.25">
      <c r="A2092" t="s">
        <v>2647</v>
      </c>
      <c r="B2092" t="s">
        <v>2648</v>
      </c>
      <c r="C2092"/>
      <c r="D2092" t="s">
        <v>2649</v>
      </c>
      <c r="E2092" t="s">
        <v>2750</v>
      </c>
      <c r="F2092" t="s">
        <v>2751</v>
      </c>
      <c r="G2092" t="s">
        <v>280</v>
      </c>
      <c r="H2092" t="s">
        <v>2752</v>
      </c>
      <c r="I2092" t="s">
        <v>35</v>
      </c>
      <c r="J2092"/>
      <c r="K2092">
        <v>1</v>
      </c>
      <c r="L2092">
        <v>1</v>
      </c>
      <c r="M2092" t="s">
        <v>33</v>
      </c>
      <c r="N2092">
        <v>0.5</v>
      </c>
      <c r="O2092"/>
      <c r="P2092">
        <v>0</v>
      </c>
      <c r="Q2092" t="s">
        <v>38</v>
      </c>
      <c r="R2092">
        <v>1</v>
      </c>
      <c r="S2092">
        <v>0</v>
      </c>
      <c r="T2092"/>
      <c r="U2092"/>
      <c r="V2092"/>
      <c r="W2092"/>
      <c r="X2092">
        <v>0</v>
      </c>
      <c r="Y2092"/>
      <c r="Z2092">
        <v>0</v>
      </c>
      <c r="AA2092"/>
      <c r="AB2092"/>
      <c r="AC2092"/>
      <c r="AD2092"/>
      <c r="AE2092">
        <v>0</v>
      </c>
      <c r="AF2092"/>
      <c r="AG2092" t="s">
        <v>3468</v>
      </c>
      <c r="AH2092"/>
    </row>
    <row r="2093" spans="1:34" x14ac:dyDescent="0.25">
      <c r="A2093" t="s">
        <v>2647</v>
      </c>
      <c r="B2093" t="s">
        <v>2648</v>
      </c>
      <c r="C2093"/>
      <c r="D2093" t="s">
        <v>2649</v>
      </c>
      <c r="E2093" t="s">
        <v>2750</v>
      </c>
      <c r="F2093" t="s">
        <v>2751</v>
      </c>
      <c r="G2093" t="s">
        <v>280</v>
      </c>
      <c r="H2093" t="s">
        <v>2753</v>
      </c>
      <c r="I2093" t="s">
        <v>35</v>
      </c>
      <c r="J2093"/>
      <c r="K2093">
        <v>1</v>
      </c>
      <c r="L2093">
        <v>1</v>
      </c>
      <c r="M2093" t="s">
        <v>33</v>
      </c>
      <c r="N2093">
        <v>1</v>
      </c>
      <c r="O2093"/>
      <c r="P2093">
        <v>0</v>
      </c>
      <c r="Q2093" t="s">
        <v>38</v>
      </c>
      <c r="R2093">
        <v>1</v>
      </c>
      <c r="S2093">
        <v>0</v>
      </c>
      <c r="T2093"/>
      <c r="U2093"/>
      <c r="V2093"/>
      <c r="W2093"/>
      <c r="X2093">
        <v>0</v>
      </c>
      <c r="Y2093"/>
      <c r="Z2093">
        <v>0</v>
      </c>
      <c r="AA2093"/>
      <c r="AB2093"/>
      <c r="AC2093"/>
      <c r="AD2093"/>
      <c r="AE2093">
        <v>0</v>
      </c>
      <c r="AF2093"/>
      <c r="AG2093" t="s">
        <v>3468</v>
      </c>
      <c r="AH2093"/>
    </row>
    <row r="2094" spans="1:34" x14ac:dyDescent="0.25">
      <c r="A2094" t="s">
        <v>2647</v>
      </c>
      <c r="B2094" t="s">
        <v>2648</v>
      </c>
      <c r="C2094"/>
      <c r="D2094" t="s">
        <v>2649</v>
      </c>
      <c r="E2094" t="s">
        <v>2750</v>
      </c>
      <c r="F2094" t="s">
        <v>2754</v>
      </c>
      <c r="G2094" t="s">
        <v>280</v>
      </c>
      <c r="H2094" t="s">
        <v>2755</v>
      </c>
      <c r="I2094" t="s">
        <v>35</v>
      </c>
      <c r="J2094"/>
      <c r="K2094">
        <v>1</v>
      </c>
      <c r="L2094">
        <v>1</v>
      </c>
      <c r="M2094" t="s">
        <v>33</v>
      </c>
      <c r="N2094">
        <v>1</v>
      </c>
      <c r="O2094"/>
      <c r="P2094">
        <v>0</v>
      </c>
      <c r="Q2094" t="s">
        <v>38</v>
      </c>
      <c r="R2094">
        <v>1</v>
      </c>
      <c r="S2094">
        <v>0</v>
      </c>
      <c r="T2094"/>
      <c r="U2094"/>
      <c r="V2094"/>
      <c r="W2094"/>
      <c r="X2094">
        <v>0</v>
      </c>
      <c r="Y2094"/>
      <c r="Z2094">
        <v>0</v>
      </c>
      <c r="AA2094"/>
      <c r="AB2094"/>
      <c r="AC2094"/>
      <c r="AD2094"/>
      <c r="AE2094">
        <v>0</v>
      </c>
      <c r="AF2094"/>
      <c r="AG2094" t="s">
        <v>3468</v>
      </c>
      <c r="AH2094"/>
    </row>
    <row r="2095" spans="1:34" x14ac:dyDescent="0.25">
      <c r="A2095" t="s">
        <v>2647</v>
      </c>
      <c r="B2095" t="s">
        <v>2648</v>
      </c>
      <c r="C2095"/>
      <c r="D2095" t="s">
        <v>2649</v>
      </c>
      <c r="E2095" t="s">
        <v>2750</v>
      </c>
      <c r="F2095" t="s">
        <v>2756</v>
      </c>
      <c r="G2095" t="s">
        <v>280</v>
      </c>
      <c r="H2095" t="s">
        <v>2757</v>
      </c>
      <c r="I2095" t="s">
        <v>35</v>
      </c>
      <c r="J2095"/>
      <c r="K2095">
        <v>1</v>
      </c>
      <c r="L2095">
        <v>1</v>
      </c>
      <c r="M2095" t="s">
        <v>33</v>
      </c>
      <c r="N2095">
        <v>1</v>
      </c>
      <c r="O2095"/>
      <c r="P2095">
        <v>0</v>
      </c>
      <c r="Q2095" t="s">
        <v>38</v>
      </c>
      <c r="R2095">
        <v>1</v>
      </c>
      <c r="S2095">
        <v>0</v>
      </c>
      <c r="T2095"/>
      <c r="U2095"/>
      <c r="V2095"/>
      <c r="W2095"/>
      <c r="X2095">
        <v>0</v>
      </c>
      <c r="Y2095"/>
      <c r="Z2095">
        <v>0</v>
      </c>
      <c r="AA2095"/>
      <c r="AB2095"/>
      <c r="AC2095"/>
      <c r="AD2095"/>
      <c r="AE2095">
        <v>0</v>
      </c>
      <c r="AF2095"/>
      <c r="AG2095" t="s">
        <v>3468</v>
      </c>
      <c r="AH2095"/>
    </row>
    <row r="2096" spans="1:34" x14ac:dyDescent="0.25">
      <c r="A2096" t="s">
        <v>2647</v>
      </c>
      <c r="B2096" t="s">
        <v>2648</v>
      </c>
      <c r="C2096"/>
      <c r="D2096" t="s">
        <v>2649</v>
      </c>
      <c r="E2096" t="s">
        <v>2750</v>
      </c>
      <c r="F2096" t="s">
        <v>2756</v>
      </c>
      <c r="G2096" t="s">
        <v>280</v>
      </c>
      <c r="H2096" t="s">
        <v>2758</v>
      </c>
      <c r="I2096" t="s">
        <v>35</v>
      </c>
      <c r="J2096"/>
      <c r="K2096">
        <v>1</v>
      </c>
      <c r="L2096">
        <v>1</v>
      </c>
      <c r="M2096" t="s">
        <v>33</v>
      </c>
      <c r="N2096">
        <v>1</v>
      </c>
      <c r="O2096"/>
      <c r="P2096">
        <v>0</v>
      </c>
      <c r="Q2096" t="s">
        <v>38</v>
      </c>
      <c r="R2096">
        <v>1</v>
      </c>
      <c r="S2096">
        <v>0</v>
      </c>
      <c r="T2096"/>
      <c r="U2096"/>
      <c r="V2096"/>
      <c r="W2096"/>
      <c r="X2096">
        <v>0</v>
      </c>
      <c r="Y2096"/>
      <c r="Z2096">
        <v>0</v>
      </c>
      <c r="AA2096"/>
      <c r="AB2096"/>
      <c r="AC2096"/>
      <c r="AD2096"/>
      <c r="AE2096">
        <v>0</v>
      </c>
      <c r="AF2096"/>
      <c r="AG2096" t="s">
        <v>3468</v>
      </c>
      <c r="AH2096"/>
    </row>
    <row r="2097" spans="1:34" x14ac:dyDescent="0.25">
      <c r="A2097" t="s">
        <v>2647</v>
      </c>
      <c r="B2097" t="s">
        <v>2648</v>
      </c>
      <c r="C2097"/>
      <c r="D2097" t="s">
        <v>2649</v>
      </c>
      <c r="E2097" t="s">
        <v>2750</v>
      </c>
      <c r="F2097" t="s">
        <v>2759</v>
      </c>
      <c r="G2097" t="s">
        <v>280</v>
      </c>
      <c r="H2097" t="s">
        <v>2760</v>
      </c>
      <c r="I2097" t="s">
        <v>35</v>
      </c>
      <c r="J2097"/>
      <c r="K2097">
        <v>1</v>
      </c>
      <c r="L2097">
        <v>1</v>
      </c>
      <c r="M2097" t="s">
        <v>33</v>
      </c>
      <c r="N2097">
        <v>1</v>
      </c>
      <c r="O2097"/>
      <c r="P2097">
        <v>0</v>
      </c>
      <c r="Q2097" t="s">
        <v>38</v>
      </c>
      <c r="R2097">
        <v>1</v>
      </c>
      <c r="S2097">
        <v>0</v>
      </c>
      <c r="T2097"/>
      <c r="U2097"/>
      <c r="V2097"/>
      <c r="W2097"/>
      <c r="X2097">
        <v>0</v>
      </c>
      <c r="Y2097"/>
      <c r="Z2097">
        <v>0</v>
      </c>
      <c r="AA2097"/>
      <c r="AB2097"/>
      <c r="AC2097"/>
      <c r="AD2097"/>
      <c r="AE2097">
        <v>0</v>
      </c>
      <c r="AF2097"/>
      <c r="AG2097" t="s">
        <v>3468</v>
      </c>
      <c r="AH2097"/>
    </row>
    <row r="2098" spans="1:34" x14ac:dyDescent="0.25">
      <c r="A2098" t="s">
        <v>2647</v>
      </c>
      <c r="B2098" t="s">
        <v>2648</v>
      </c>
      <c r="C2098"/>
      <c r="D2098" t="s">
        <v>2649</v>
      </c>
      <c r="E2098" t="s">
        <v>2750</v>
      </c>
      <c r="F2098" t="s">
        <v>2761</v>
      </c>
      <c r="G2098" t="s">
        <v>280</v>
      </c>
      <c r="H2098" t="s">
        <v>2762</v>
      </c>
      <c r="I2098" t="s">
        <v>35</v>
      </c>
      <c r="J2098"/>
      <c r="K2098">
        <v>1</v>
      </c>
      <c r="L2098">
        <v>1</v>
      </c>
      <c r="M2098" t="s">
        <v>33</v>
      </c>
      <c r="N2098">
        <v>1</v>
      </c>
      <c r="O2098"/>
      <c r="P2098">
        <v>0</v>
      </c>
      <c r="Q2098" t="s">
        <v>38</v>
      </c>
      <c r="R2098">
        <v>1</v>
      </c>
      <c r="S2098">
        <v>0</v>
      </c>
      <c r="T2098"/>
      <c r="U2098"/>
      <c r="V2098"/>
      <c r="W2098"/>
      <c r="X2098">
        <v>0</v>
      </c>
      <c r="Y2098"/>
      <c r="Z2098">
        <v>0</v>
      </c>
      <c r="AA2098"/>
      <c r="AB2098"/>
      <c r="AC2098"/>
      <c r="AD2098"/>
      <c r="AE2098">
        <v>0</v>
      </c>
      <c r="AF2098"/>
      <c r="AG2098" t="s">
        <v>3468</v>
      </c>
      <c r="AH2098"/>
    </row>
    <row r="2099" spans="1:34" x14ac:dyDescent="0.25">
      <c r="A2099" t="s">
        <v>2647</v>
      </c>
      <c r="B2099" t="s">
        <v>2648</v>
      </c>
      <c r="C2099"/>
      <c r="D2099" t="s">
        <v>2649</v>
      </c>
      <c r="E2099" t="s">
        <v>2750</v>
      </c>
      <c r="F2099" t="s">
        <v>2761</v>
      </c>
      <c r="G2099" t="s">
        <v>280</v>
      </c>
      <c r="H2099" t="s">
        <v>2763</v>
      </c>
      <c r="I2099" t="s">
        <v>35</v>
      </c>
      <c r="J2099"/>
      <c r="K2099">
        <v>1</v>
      </c>
      <c r="L2099">
        <v>1</v>
      </c>
      <c r="M2099" t="s">
        <v>33</v>
      </c>
      <c r="N2099">
        <v>1</v>
      </c>
      <c r="O2099"/>
      <c r="P2099">
        <v>0</v>
      </c>
      <c r="Q2099" t="s">
        <v>38</v>
      </c>
      <c r="R2099">
        <v>1</v>
      </c>
      <c r="S2099">
        <v>0</v>
      </c>
      <c r="T2099"/>
      <c r="U2099"/>
      <c r="V2099"/>
      <c r="W2099"/>
      <c r="X2099">
        <v>0</v>
      </c>
      <c r="Y2099"/>
      <c r="Z2099">
        <v>0</v>
      </c>
      <c r="AA2099"/>
      <c r="AB2099"/>
      <c r="AC2099"/>
      <c r="AD2099"/>
      <c r="AE2099">
        <v>0</v>
      </c>
      <c r="AF2099"/>
      <c r="AG2099" t="s">
        <v>3468</v>
      </c>
      <c r="AH2099"/>
    </row>
    <row r="2100" spans="1:34" x14ac:dyDescent="0.25">
      <c r="A2100" t="s">
        <v>2647</v>
      </c>
      <c r="B2100" t="s">
        <v>2648</v>
      </c>
      <c r="C2100"/>
      <c r="D2100" t="s">
        <v>2649</v>
      </c>
      <c r="E2100" t="s">
        <v>2750</v>
      </c>
      <c r="F2100" t="s">
        <v>2764</v>
      </c>
      <c r="G2100" t="s">
        <v>280</v>
      </c>
      <c r="H2100" t="s">
        <v>2765</v>
      </c>
      <c r="I2100" t="s">
        <v>35</v>
      </c>
      <c r="J2100"/>
      <c r="K2100">
        <v>1</v>
      </c>
      <c r="L2100">
        <v>1</v>
      </c>
      <c r="M2100" t="s">
        <v>33</v>
      </c>
      <c r="N2100">
        <v>1</v>
      </c>
      <c r="O2100"/>
      <c r="P2100">
        <v>0</v>
      </c>
      <c r="Q2100" t="s">
        <v>38</v>
      </c>
      <c r="R2100">
        <v>1</v>
      </c>
      <c r="S2100">
        <v>0</v>
      </c>
      <c r="T2100"/>
      <c r="U2100"/>
      <c r="V2100"/>
      <c r="W2100"/>
      <c r="X2100">
        <v>0</v>
      </c>
      <c r="Y2100"/>
      <c r="Z2100">
        <v>0</v>
      </c>
      <c r="AA2100"/>
      <c r="AB2100"/>
      <c r="AC2100"/>
      <c r="AD2100"/>
      <c r="AE2100">
        <v>0</v>
      </c>
      <c r="AF2100"/>
      <c r="AG2100" t="s">
        <v>3468</v>
      </c>
      <c r="AH2100"/>
    </row>
    <row r="2101" spans="1:34" x14ac:dyDescent="0.25">
      <c r="A2101" t="s">
        <v>2647</v>
      </c>
      <c r="B2101" t="s">
        <v>2648</v>
      </c>
      <c r="C2101"/>
      <c r="D2101" t="s">
        <v>2649</v>
      </c>
      <c r="E2101" t="s">
        <v>2750</v>
      </c>
      <c r="F2101" t="s">
        <v>2764</v>
      </c>
      <c r="G2101" t="s">
        <v>280</v>
      </c>
      <c r="H2101" t="s">
        <v>2766</v>
      </c>
      <c r="I2101" t="s">
        <v>35</v>
      </c>
      <c r="J2101"/>
      <c r="K2101">
        <v>1</v>
      </c>
      <c r="L2101">
        <v>1</v>
      </c>
      <c r="M2101" t="s">
        <v>33</v>
      </c>
      <c r="N2101">
        <v>1</v>
      </c>
      <c r="O2101"/>
      <c r="P2101">
        <v>0</v>
      </c>
      <c r="Q2101" t="s">
        <v>38</v>
      </c>
      <c r="R2101">
        <v>1</v>
      </c>
      <c r="S2101">
        <v>0</v>
      </c>
      <c r="T2101"/>
      <c r="U2101"/>
      <c r="V2101"/>
      <c r="W2101"/>
      <c r="X2101">
        <v>0</v>
      </c>
      <c r="Y2101"/>
      <c r="Z2101">
        <v>0</v>
      </c>
      <c r="AA2101"/>
      <c r="AB2101"/>
      <c r="AC2101"/>
      <c r="AD2101"/>
      <c r="AE2101">
        <v>0</v>
      </c>
      <c r="AF2101"/>
      <c r="AG2101" t="s">
        <v>3468</v>
      </c>
      <c r="AH2101"/>
    </row>
    <row r="2102" spans="1:34" x14ac:dyDescent="0.25">
      <c r="A2102" t="s">
        <v>2671</v>
      </c>
      <c r="B2102" t="s">
        <v>2672</v>
      </c>
      <c r="C2102"/>
      <c r="D2102" t="s">
        <v>2649</v>
      </c>
      <c r="E2102" t="s">
        <v>2750</v>
      </c>
      <c r="F2102" t="s">
        <v>2767</v>
      </c>
      <c r="G2102" t="s">
        <v>280</v>
      </c>
      <c r="H2102" t="s">
        <v>2768</v>
      </c>
      <c r="I2102" t="s">
        <v>35</v>
      </c>
      <c r="J2102"/>
      <c r="K2102">
        <v>1</v>
      </c>
      <c r="L2102">
        <v>1</v>
      </c>
      <c r="M2102" t="s">
        <v>33</v>
      </c>
      <c r="N2102">
        <v>1</v>
      </c>
      <c r="O2102"/>
      <c r="P2102">
        <v>0</v>
      </c>
      <c r="Q2102" t="s">
        <v>38</v>
      </c>
      <c r="R2102">
        <v>1</v>
      </c>
      <c r="S2102">
        <v>0</v>
      </c>
      <c r="T2102"/>
      <c r="U2102"/>
      <c r="V2102"/>
      <c r="W2102"/>
      <c r="X2102">
        <v>0</v>
      </c>
      <c r="Y2102"/>
      <c r="Z2102">
        <v>0</v>
      </c>
      <c r="AA2102"/>
      <c r="AB2102"/>
      <c r="AC2102"/>
      <c r="AD2102"/>
      <c r="AE2102">
        <v>0</v>
      </c>
      <c r="AF2102"/>
      <c r="AG2102" t="s">
        <v>3468</v>
      </c>
      <c r="AH2102"/>
    </row>
    <row r="2103" spans="1:34" x14ac:dyDescent="0.25">
      <c r="A2103" t="s">
        <v>2671</v>
      </c>
      <c r="B2103" t="s">
        <v>2672</v>
      </c>
      <c r="C2103"/>
      <c r="D2103" t="s">
        <v>2649</v>
      </c>
      <c r="E2103" t="s">
        <v>2750</v>
      </c>
      <c r="F2103" t="s">
        <v>2767</v>
      </c>
      <c r="G2103" t="s">
        <v>280</v>
      </c>
      <c r="H2103" t="s">
        <v>2769</v>
      </c>
      <c r="I2103" t="s">
        <v>35</v>
      </c>
      <c r="J2103"/>
      <c r="K2103">
        <v>1</v>
      </c>
      <c r="L2103">
        <v>1</v>
      </c>
      <c r="M2103" t="s">
        <v>33</v>
      </c>
      <c r="N2103">
        <v>1</v>
      </c>
      <c r="O2103"/>
      <c r="P2103">
        <v>0</v>
      </c>
      <c r="Q2103" t="s">
        <v>38</v>
      </c>
      <c r="R2103">
        <v>1</v>
      </c>
      <c r="S2103">
        <v>0</v>
      </c>
      <c r="T2103"/>
      <c r="U2103"/>
      <c r="V2103"/>
      <c r="W2103"/>
      <c r="X2103">
        <v>0</v>
      </c>
      <c r="Y2103"/>
      <c r="Z2103">
        <v>0</v>
      </c>
      <c r="AA2103"/>
      <c r="AB2103"/>
      <c r="AC2103"/>
      <c r="AD2103"/>
      <c r="AE2103">
        <v>0</v>
      </c>
      <c r="AF2103"/>
      <c r="AG2103" t="s">
        <v>3468</v>
      </c>
      <c r="AH2103"/>
    </row>
    <row r="2104" spans="1:34" x14ac:dyDescent="0.25">
      <c r="A2104" t="s">
        <v>2671</v>
      </c>
      <c r="B2104" t="s">
        <v>2672</v>
      </c>
      <c r="C2104"/>
      <c r="D2104" t="s">
        <v>2649</v>
      </c>
      <c r="E2104" t="s">
        <v>2750</v>
      </c>
      <c r="F2104" t="s">
        <v>2770</v>
      </c>
      <c r="G2104" t="s">
        <v>280</v>
      </c>
      <c r="H2104" t="s">
        <v>2771</v>
      </c>
      <c r="I2104" t="s">
        <v>35</v>
      </c>
      <c r="J2104"/>
      <c r="K2104">
        <v>1</v>
      </c>
      <c r="L2104">
        <v>1</v>
      </c>
      <c r="M2104" t="s">
        <v>33</v>
      </c>
      <c r="N2104">
        <v>1</v>
      </c>
      <c r="O2104"/>
      <c r="P2104">
        <v>0</v>
      </c>
      <c r="Q2104" t="s">
        <v>38</v>
      </c>
      <c r="R2104">
        <v>1</v>
      </c>
      <c r="S2104">
        <v>0</v>
      </c>
      <c r="T2104"/>
      <c r="U2104"/>
      <c r="V2104"/>
      <c r="W2104"/>
      <c r="X2104">
        <v>0</v>
      </c>
      <c r="Y2104"/>
      <c r="Z2104">
        <v>0</v>
      </c>
      <c r="AA2104"/>
      <c r="AB2104"/>
      <c r="AC2104"/>
      <c r="AD2104"/>
      <c r="AE2104">
        <v>0</v>
      </c>
      <c r="AF2104"/>
      <c r="AG2104" t="s">
        <v>3468</v>
      </c>
      <c r="AH2104"/>
    </row>
    <row r="2105" spans="1:34" x14ac:dyDescent="0.25">
      <c r="A2105" t="s">
        <v>2671</v>
      </c>
      <c r="B2105" t="s">
        <v>2672</v>
      </c>
      <c r="C2105"/>
      <c r="D2105" t="s">
        <v>2649</v>
      </c>
      <c r="E2105" t="s">
        <v>2750</v>
      </c>
      <c r="F2105" t="s">
        <v>2772</v>
      </c>
      <c r="G2105" t="s">
        <v>280</v>
      </c>
      <c r="H2105" t="s">
        <v>2773</v>
      </c>
      <c r="I2105" t="s">
        <v>35</v>
      </c>
      <c r="J2105"/>
      <c r="K2105">
        <v>1</v>
      </c>
      <c r="L2105">
        <v>1</v>
      </c>
      <c r="M2105" t="s">
        <v>33</v>
      </c>
      <c r="N2105">
        <v>1</v>
      </c>
      <c r="O2105"/>
      <c r="P2105">
        <v>0</v>
      </c>
      <c r="Q2105" t="s">
        <v>38</v>
      </c>
      <c r="R2105">
        <v>1</v>
      </c>
      <c r="S2105">
        <v>0</v>
      </c>
      <c r="T2105"/>
      <c r="U2105"/>
      <c r="V2105"/>
      <c r="W2105"/>
      <c r="X2105">
        <v>0</v>
      </c>
      <c r="Y2105"/>
      <c r="Z2105">
        <v>0</v>
      </c>
      <c r="AA2105"/>
      <c r="AB2105"/>
      <c r="AC2105"/>
      <c r="AD2105"/>
      <c r="AE2105">
        <v>0</v>
      </c>
      <c r="AF2105"/>
      <c r="AG2105" t="s">
        <v>3468</v>
      </c>
      <c r="AH2105"/>
    </row>
    <row r="2106" spans="1:34" x14ac:dyDescent="0.25">
      <c r="A2106" t="s">
        <v>2671</v>
      </c>
      <c r="B2106" t="s">
        <v>2672</v>
      </c>
      <c r="C2106"/>
      <c r="D2106" t="s">
        <v>2649</v>
      </c>
      <c r="E2106" t="s">
        <v>2750</v>
      </c>
      <c r="F2106" t="s">
        <v>2772</v>
      </c>
      <c r="G2106" t="s">
        <v>280</v>
      </c>
      <c r="H2106" t="s">
        <v>2774</v>
      </c>
      <c r="I2106" t="s">
        <v>35</v>
      </c>
      <c r="J2106"/>
      <c r="K2106">
        <v>1</v>
      </c>
      <c r="L2106">
        <v>1</v>
      </c>
      <c r="M2106" t="s">
        <v>33</v>
      </c>
      <c r="N2106">
        <v>1</v>
      </c>
      <c r="O2106"/>
      <c r="P2106">
        <v>0</v>
      </c>
      <c r="Q2106" t="s">
        <v>38</v>
      </c>
      <c r="R2106">
        <v>1</v>
      </c>
      <c r="S2106">
        <v>0</v>
      </c>
      <c r="T2106"/>
      <c r="U2106"/>
      <c r="V2106"/>
      <c r="W2106"/>
      <c r="X2106">
        <v>0</v>
      </c>
      <c r="Y2106"/>
      <c r="Z2106">
        <v>0</v>
      </c>
      <c r="AA2106"/>
      <c r="AB2106"/>
      <c r="AC2106"/>
      <c r="AD2106"/>
      <c r="AE2106">
        <v>0</v>
      </c>
      <c r="AF2106"/>
      <c r="AG2106" t="s">
        <v>3468</v>
      </c>
      <c r="AH2106"/>
    </row>
    <row r="2107" spans="1:34" x14ac:dyDescent="0.25">
      <c r="A2107" t="s">
        <v>2671</v>
      </c>
      <c r="B2107" t="s">
        <v>2672</v>
      </c>
      <c r="C2107"/>
      <c r="D2107" t="s">
        <v>2649</v>
      </c>
      <c r="E2107" t="s">
        <v>2750</v>
      </c>
      <c r="F2107" t="s">
        <v>2775</v>
      </c>
      <c r="G2107" t="s">
        <v>280</v>
      </c>
      <c r="H2107" t="s">
        <v>2776</v>
      </c>
      <c r="I2107" t="s">
        <v>35</v>
      </c>
      <c r="J2107"/>
      <c r="K2107">
        <v>1</v>
      </c>
      <c r="L2107">
        <v>1</v>
      </c>
      <c r="M2107" t="s">
        <v>33</v>
      </c>
      <c r="N2107">
        <v>1</v>
      </c>
      <c r="O2107"/>
      <c r="P2107">
        <v>0</v>
      </c>
      <c r="Q2107" t="s">
        <v>38</v>
      </c>
      <c r="R2107">
        <v>1</v>
      </c>
      <c r="S2107">
        <v>0</v>
      </c>
      <c r="T2107"/>
      <c r="U2107"/>
      <c r="V2107"/>
      <c r="W2107"/>
      <c r="X2107">
        <v>0</v>
      </c>
      <c r="Y2107"/>
      <c r="Z2107">
        <v>0</v>
      </c>
      <c r="AA2107"/>
      <c r="AB2107"/>
      <c r="AC2107"/>
      <c r="AD2107"/>
      <c r="AE2107">
        <v>0</v>
      </c>
      <c r="AF2107"/>
      <c r="AG2107" t="s">
        <v>3468</v>
      </c>
      <c r="AH2107"/>
    </row>
    <row r="2108" spans="1:34" x14ac:dyDescent="0.25">
      <c r="A2108" t="s">
        <v>2671</v>
      </c>
      <c r="B2108" t="s">
        <v>2672</v>
      </c>
      <c r="C2108"/>
      <c r="D2108" t="s">
        <v>2649</v>
      </c>
      <c r="E2108" t="s">
        <v>2750</v>
      </c>
      <c r="F2108" t="s">
        <v>2777</v>
      </c>
      <c r="G2108" t="s">
        <v>280</v>
      </c>
      <c r="H2108" t="s">
        <v>2778</v>
      </c>
      <c r="I2108" t="s">
        <v>35</v>
      </c>
      <c r="J2108"/>
      <c r="K2108">
        <v>1</v>
      </c>
      <c r="L2108">
        <v>1</v>
      </c>
      <c r="M2108" t="s">
        <v>33</v>
      </c>
      <c r="N2108">
        <v>1</v>
      </c>
      <c r="O2108"/>
      <c r="P2108">
        <v>0</v>
      </c>
      <c r="Q2108" t="s">
        <v>38</v>
      </c>
      <c r="R2108">
        <v>1</v>
      </c>
      <c r="S2108">
        <v>0</v>
      </c>
      <c r="T2108"/>
      <c r="U2108"/>
      <c r="V2108"/>
      <c r="W2108"/>
      <c r="X2108">
        <v>0</v>
      </c>
      <c r="Y2108"/>
      <c r="Z2108">
        <v>0</v>
      </c>
      <c r="AA2108"/>
      <c r="AB2108"/>
      <c r="AC2108"/>
      <c r="AD2108"/>
      <c r="AE2108">
        <v>0</v>
      </c>
      <c r="AF2108"/>
      <c r="AG2108" t="s">
        <v>3468</v>
      </c>
      <c r="AH2108"/>
    </row>
    <row r="2109" spans="1:34" x14ac:dyDescent="0.25">
      <c r="A2109" t="s">
        <v>2671</v>
      </c>
      <c r="B2109" t="s">
        <v>2672</v>
      </c>
      <c r="C2109"/>
      <c r="D2109" t="s">
        <v>2649</v>
      </c>
      <c r="E2109" t="s">
        <v>2750</v>
      </c>
      <c r="F2109" t="s">
        <v>2777</v>
      </c>
      <c r="G2109" t="s">
        <v>280</v>
      </c>
      <c r="H2109" t="s">
        <v>2779</v>
      </c>
      <c r="I2109" t="s">
        <v>35</v>
      </c>
      <c r="J2109"/>
      <c r="K2109">
        <v>1</v>
      </c>
      <c r="L2109">
        <v>1</v>
      </c>
      <c r="M2109" t="s">
        <v>33</v>
      </c>
      <c r="N2109">
        <v>1</v>
      </c>
      <c r="O2109"/>
      <c r="P2109">
        <v>0</v>
      </c>
      <c r="Q2109" t="s">
        <v>38</v>
      </c>
      <c r="R2109">
        <v>1</v>
      </c>
      <c r="S2109">
        <v>0</v>
      </c>
      <c r="T2109"/>
      <c r="U2109"/>
      <c r="V2109"/>
      <c r="W2109"/>
      <c r="X2109">
        <v>0</v>
      </c>
      <c r="Y2109"/>
      <c r="Z2109">
        <v>0</v>
      </c>
      <c r="AA2109"/>
      <c r="AB2109"/>
      <c r="AC2109"/>
      <c r="AD2109"/>
      <c r="AE2109">
        <v>0</v>
      </c>
      <c r="AF2109"/>
      <c r="AG2109" t="s">
        <v>3468</v>
      </c>
      <c r="AH2109"/>
    </row>
    <row r="2110" spans="1:34" x14ac:dyDescent="0.25">
      <c r="A2110" t="s">
        <v>2671</v>
      </c>
      <c r="B2110" t="s">
        <v>2672</v>
      </c>
      <c r="C2110"/>
      <c r="D2110" t="s">
        <v>2649</v>
      </c>
      <c r="E2110" t="s">
        <v>2750</v>
      </c>
      <c r="F2110" t="s">
        <v>2780</v>
      </c>
      <c r="G2110" t="s">
        <v>280</v>
      </c>
      <c r="H2110" t="s">
        <v>2781</v>
      </c>
      <c r="I2110" t="s">
        <v>35</v>
      </c>
      <c r="J2110"/>
      <c r="K2110">
        <v>1</v>
      </c>
      <c r="L2110">
        <v>1</v>
      </c>
      <c r="M2110" t="s">
        <v>33</v>
      </c>
      <c r="N2110">
        <v>1</v>
      </c>
      <c r="O2110"/>
      <c r="P2110">
        <v>0</v>
      </c>
      <c r="Q2110" t="s">
        <v>38</v>
      </c>
      <c r="R2110">
        <v>1</v>
      </c>
      <c r="S2110">
        <v>0</v>
      </c>
      <c r="T2110"/>
      <c r="U2110"/>
      <c r="V2110"/>
      <c r="W2110"/>
      <c r="X2110">
        <v>0</v>
      </c>
      <c r="Y2110"/>
      <c r="Z2110">
        <v>0</v>
      </c>
      <c r="AA2110"/>
      <c r="AB2110"/>
      <c r="AC2110"/>
      <c r="AD2110"/>
      <c r="AE2110">
        <v>0</v>
      </c>
      <c r="AF2110"/>
      <c r="AG2110" t="s">
        <v>3468</v>
      </c>
      <c r="AH2110"/>
    </row>
    <row r="2111" spans="1:34" x14ac:dyDescent="0.25">
      <c r="A2111" t="s">
        <v>2671</v>
      </c>
      <c r="B2111" t="s">
        <v>2672</v>
      </c>
      <c r="C2111"/>
      <c r="D2111" t="s">
        <v>2649</v>
      </c>
      <c r="E2111" t="s">
        <v>2750</v>
      </c>
      <c r="F2111" t="s">
        <v>2780</v>
      </c>
      <c r="G2111" t="s">
        <v>280</v>
      </c>
      <c r="H2111" t="s">
        <v>2782</v>
      </c>
      <c r="I2111" t="s">
        <v>35</v>
      </c>
      <c r="J2111"/>
      <c r="K2111">
        <v>1</v>
      </c>
      <c r="L2111">
        <v>1</v>
      </c>
      <c r="M2111" t="s">
        <v>33</v>
      </c>
      <c r="N2111">
        <v>1</v>
      </c>
      <c r="O2111"/>
      <c r="P2111">
        <v>0</v>
      </c>
      <c r="Q2111" t="s">
        <v>38</v>
      </c>
      <c r="R2111">
        <v>1</v>
      </c>
      <c r="S2111">
        <v>0</v>
      </c>
      <c r="T2111"/>
      <c r="U2111"/>
      <c r="V2111"/>
      <c r="W2111"/>
      <c r="X2111">
        <v>0</v>
      </c>
      <c r="Y2111"/>
      <c r="Z2111">
        <v>0</v>
      </c>
      <c r="AA2111"/>
      <c r="AB2111"/>
      <c r="AC2111"/>
      <c r="AD2111"/>
      <c r="AE2111">
        <v>0</v>
      </c>
      <c r="AF2111"/>
      <c r="AG2111" t="s">
        <v>3468</v>
      </c>
      <c r="AH2111"/>
    </row>
    <row r="2112" spans="1:34" x14ac:dyDescent="0.25">
      <c r="A2112" t="s">
        <v>2647</v>
      </c>
      <c r="B2112" t="s">
        <v>2648</v>
      </c>
      <c r="C2112"/>
      <c r="D2112" t="s">
        <v>2649</v>
      </c>
      <c r="E2112" t="s">
        <v>2783</v>
      </c>
      <c r="F2112" t="s">
        <v>2784</v>
      </c>
      <c r="G2112" t="s">
        <v>280</v>
      </c>
      <c r="H2112" t="s">
        <v>2785</v>
      </c>
      <c r="I2112" t="s">
        <v>35</v>
      </c>
      <c r="J2112"/>
      <c r="K2112">
        <v>1</v>
      </c>
      <c r="L2112">
        <v>1</v>
      </c>
      <c r="M2112" t="s">
        <v>33</v>
      </c>
      <c r="N2112">
        <v>1</v>
      </c>
      <c r="O2112"/>
      <c r="P2112">
        <v>0</v>
      </c>
      <c r="Q2112" t="s">
        <v>38</v>
      </c>
      <c r="R2112">
        <v>1</v>
      </c>
      <c r="S2112">
        <v>0</v>
      </c>
      <c r="T2112"/>
      <c r="U2112"/>
      <c r="V2112"/>
      <c r="W2112"/>
      <c r="X2112">
        <v>0</v>
      </c>
      <c r="Y2112"/>
      <c r="Z2112">
        <v>0</v>
      </c>
      <c r="AA2112"/>
      <c r="AB2112"/>
      <c r="AC2112"/>
      <c r="AD2112"/>
      <c r="AE2112">
        <v>0</v>
      </c>
      <c r="AF2112"/>
      <c r="AG2112" t="s">
        <v>3468</v>
      </c>
      <c r="AH2112"/>
    </row>
    <row r="2113" spans="1:34" x14ac:dyDescent="0.25">
      <c r="A2113" t="s">
        <v>2647</v>
      </c>
      <c r="B2113" t="s">
        <v>2648</v>
      </c>
      <c r="C2113"/>
      <c r="D2113" t="s">
        <v>2649</v>
      </c>
      <c r="E2113" t="s">
        <v>2783</v>
      </c>
      <c r="F2113" t="s">
        <v>2786</v>
      </c>
      <c r="G2113" t="s">
        <v>280</v>
      </c>
      <c r="H2113" t="s">
        <v>2787</v>
      </c>
      <c r="I2113" t="s">
        <v>35</v>
      </c>
      <c r="J2113"/>
      <c r="K2113">
        <v>1</v>
      </c>
      <c r="L2113">
        <v>1</v>
      </c>
      <c r="M2113" t="s">
        <v>33</v>
      </c>
      <c r="N2113">
        <v>1</v>
      </c>
      <c r="O2113"/>
      <c r="P2113">
        <v>0</v>
      </c>
      <c r="Q2113" t="s">
        <v>38</v>
      </c>
      <c r="R2113">
        <v>1</v>
      </c>
      <c r="S2113">
        <v>0</v>
      </c>
      <c r="T2113"/>
      <c r="U2113"/>
      <c r="V2113"/>
      <c r="W2113"/>
      <c r="X2113">
        <v>0</v>
      </c>
      <c r="Y2113"/>
      <c r="Z2113">
        <v>0</v>
      </c>
      <c r="AA2113"/>
      <c r="AB2113"/>
      <c r="AC2113"/>
      <c r="AD2113"/>
      <c r="AE2113">
        <v>0</v>
      </c>
      <c r="AF2113"/>
      <c r="AG2113" t="s">
        <v>3468</v>
      </c>
      <c r="AH2113"/>
    </row>
    <row r="2114" spans="1:34" x14ac:dyDescent="0.25">
      <c r="A2114" t="s">
        <v>2647</v>
      </c>
      <c r="B2114" t="s">
        <v>2648</v>
      </c>
      <c r="C2114"/>
      <c r="D2114" t="s">
        <v>2649</v>
      </c>
      <c r="E2114" t="s">
        <v>2783</v>
      </c>
      <c r="F2114" t="s">
        <v>2788</v>
      </c>
      <c r="G2114" t="s">
        <v>280</v>
      </c>
      <c r="H2114" t="s">
        <v>2789</v>
      </c>
      <c r="I2114" t="s">
        <v>35</v>
      </c>
      <c r="J2114"/>
      <c r="K2114">
        <v>1</v>
      </c>
      <c r="L2114">
        <v>1</v>
      </c>
      <c r="M2114" t="s">
        <v>33</v>
      </c>
      <c r="N2114">
        <v>1</v>
      </c>
      <c r="O2114"/>
      <c r="P2114">
        <v>0</v>
      </c>
      <c r="Q2114" t="s">
        <v>38</v>
      </c>
      <c r="R2114">
        <v>1</v>
      </c>
      <c r="S2114">
        <v>0</v>
      </c>
      <c r="T2114"/>
      <c r="U2114"/>
      <c r="V2114"/>
      <c r="W2114"/>
      <c r="X2114">
        <v>0</v>
      </c>
      <c r="Y2114"/>
      <c r="Z2114">
        <v>0</v>
      </c>
      <c r="AA2114"/>
      <c r="AB2114"/>
      <c r="AC2114"/>
      <c r="AD2114"/>
      <c r="AE2114">
        <v>0</v>
      </c>
      <c r="AF2114"/>
      <c r="AG2114" t="s">
        <v>3468</v>
      </c>
      <c r="AH2114"/>
    </row>
    <row r="2115" spans="1:34" x14ac:dyDescent="0.25">
      <c r="A2115" t="s">
        <v>2647</v>
      </c>
      <c r="B2115" t="s">
        <v>2648</v>
      </c>
      <c r="C2115"/>
      <c r="D2115" t="s">
        <v>2649</v>
      </c>
      <c r="E2115" t="s">
        <v>2783</v>
      </c>
      <c r="F2115" t="s">
        <v>2790</v>
      </c>
      <c r="G2115" t="s">
        <v>280</v>
      </c>
      <c r="H2115" t="s">
        <v>2791</v>
      </c>
      <c r="I2115" t="s">
        <v>35</v>
      </c>
      <c r="J2115"/>
      <c r="K2115">
        <v>1</v>
      </c>
      <c r="L2115">
        <v>1</v>
      </c>
      <c r="M2115" t="s">
        <v>33</v>
      </c>
      <c r="N2115">
        <v>1</v>
      </c>
      <c r="O2115"/>
      <c r="P2115">
        <v>0</v>
      </c>
      <c r="Q2115" t="s">
        <v>38</v>
      </c>
      <c r="R2115">
        <v>1</v>
      </c>
      <c r="S2115">
        <v>0</v>
      </c>
      <c r="T2115"/>
      <c r="U2115"/>
      <c r="V2115"/>
      <c r="W2115"/>
      <c r="X2115">
        <v>0</v>
      </c>
      <c r="Y2115"/>
      <c r="Z2115">
        <v>0</v>
      </c>
      <c r="AA2115"/>
      <c r="AB2115"/>
      <c r="AC2115"/>
      <c r="AD2115"/>
      <c r="AE2115">
        <v>0</v>
      </c>
      <c r="AF2115"/>
      <c r="AG2115" t="s">
        <v>3468</v>
      </c>
      <c r="AH2115"/>
    </row>
    <row r="2116" spans="1:34" x14ac:dyDescent="0.25">
      <c r="A2116" t="s">
        <v>2647</v>
      </c>
      <c r="B2116" t="s">
        <v>2648</v>
      </c>
      <c r="C2116"/>
      <c r="D2116" t="s">
        <v>2649</v>
      </c>
      <c r="E2116" t="s">
        <v>2783</v>
      </c>
      <c r="F2116" t="s">
        <v>2792</v>
      </c>
      <c r="G2116" t="s">
        <v>280</v>
      </c>
      <c r="H2116" t="s">
        <v>2793</v>
      </c>
      <c r="I2116" t="s">
        <v>35</v>
      </c>
      <c r="J2116"/>
      <c r="K2116">
        <v>1</v>
      </c>
      <c r="L2116">
        <v>1</v>
      </c>
      <c r="M2116" t="s">
        <v>33</v>
      </c>
      <c r="N2116">
        <v>1</v>
      </c>
      <c r="O2116"/>
      <c r="P2116">
        <v>0</v>
      </c>
      <c r="Q2116" t="s">
        <v>38</v>
      </c>
      <c r="R2116">
        <v>1</v>
      </c>
      <c r="S2116">
        <v>0</v>
      </c>
      <c r="T2116"/>
      <c r="U2116"/>
      <c r="V2116"/>
      <c r="W2116"/>
      <c r="X2116">
        <v>0</v>
      </c>
      <c r="Y2116"/>
      <c r="Z2116">
        <v>0</v>
      </c>
      <c r="AA2116"/>
      <c r="AB2116"/>
      <c r="AC2116"/>
      <c r="AD2116"/>
      <c r="AE2116">
        <v>0</v>
      </c>
      <c r="AF2116"/>
      <c r="AG2116" t="s">
        <v>3468</v>
      </c>
      <c r="AH2116"/>
    </row>
    <row r="2117" spans="1:34" x14ac:dyDescent="0.25">
      <c r="A2117" t="s">
        <v>2647</v>
      </c>
      <c r="B2117" t="s">
        <v>2648</v>
      </c>
      <c r="C2117"/>
      <c r="D2117" t="s">
        <v>2649</v>
      </c>
      <c r="E2117" t="s">
        <v>2783</v>
      </c>
      <c r="F2117" t="s">
        <v>2794</v>
      </c>
      <c r="G2117" t="s">
        <v>280</v>
      </c>
      <c r="H2117" t="s">
        <v>2795</v>
      </c>
      <c r="I2117" t="s">
        <v>35</v>
      </c>
      <c r="J2117"/>
      <c r="K2117">
        <v>1</v>
      </c>
      <c r="L2117">
        <v>1</v>
      </c>
      <c r="M2117" t="s">
        <v>33</v>
      </c>
      <c r="N2117">
        <v>1</v>
      </c>
      <c r="O2117"/>
      <c r="P2117">
        <v>0</v>
      </c>
      <c r="Q2117" t="s">
        <v>38</v>
      </c>
      <c r="R2117">
        <v>1</v>
      </c>
      <c r="S2117">
        <v>0</v>
      </c>
      <c r="T2117"/>
      <c r="U2117"/>
      <c r="V2117"/>
      <c r="W2117"/>
      <c r="X2117">
        <v>0</v>
      </c>
      <c r="Y2117"/>
      <c r="Z2117">
        <v>0</v>
      </c>
      <c r="AA2117"/>
      <c r="AB2117"/>
      <c r="AC2117"/>
      <c r="AD2117"/>
      <c r="AE2117">
        <v>0</v>
      </c>
      <c r="AF2117"/>
      <c r="AG2117" t="s">
        <v>3468</v>
      </c>
      <c r="AH2117"/>
    </row>
    <row r="2118" spans="1:34" x14ac:dyDescent="0.25">
      <c r="A2118" t="s">
        <v>2647</v>
      </c>
      <c r="B2118" t="s">
        <v>2648</v>
      </c>
      <c r="C2118"/>
      <c r="D2118" t="s">
        <v>2649</v>
      </c>
      <c r="E2118" t="s">
        <v>2783</v>
      </c>
      <c r="F2118" t="s">
        <v>2796</v>
      </c>
      <c r="G2118" t="s">
        <v>280</v>
      </c>
      <c r="H2118" t="s">
        <v>2797</v>
      </c>
      <c r="I2118" t="s">
        <v>35</v>
      </c>
      <c r="J2118"/>
      <c r="K2118">
        <v>1</v>
      </c>
      <c r="L2118">
        <v>1</v>
      </c>
      <c r="M2118" t="s">
        <v>33</v>
      </c>
      <c r="N2118">
        <v>1</v>
      </c>
      <c r="O2118"/>
      <c r="P2118">
        <v>0</v>
      </c>
      <c r="Q2118" t="s">
        <v>38</v>
      </c>
      <c r="R2118">
        <v>1</v>
      </c>
      <c r="S2118">
        <v>0</v>
      </c>
      <c r="T2118"/>
      <c r="U2118"/>
      <c r="V2118"/>
      <c r="W2118"/>
      <c r="X2118">
        <v>0</v>
      </c>
      <c r="Y2118"/>
      <c r="Z2118">
        <v>0</v>
      </c>
      <c r="AA2118"/>
      <c r="AB2118"/>
      <c r="AC2118"/>
      <c r="AD2118"/>
      <c r="AE2118">
        <v>0</v>
      </c>
      <c r="AF2118"/>
      <c r="AG2118" t="s">
        <v>3468</v>
      </c>
      <c r="AH2118"/>
    </row>
    <row r="2119" spans="1:34" x14ac:dyDescent="0.25">
      <c r="A2119" t="s">
        <v>2647</v>
      </c>
      <c r="B2119" t="s">
        <v>2648</v>
      </c>
      <c r="C2119"/>
      <c r="D2119" t="s">
        <v>2649</v>
      </c>
      <c r="E2119" t="s">
        <v>2783</v>
      </c>
      <c r="F2119" t="s">
        <v>2798</v>
      </c>
      <c r="G2119" t="s">
        <v>280</v>
      </c>
      <c r="H2119" t="s">
        <v>2799</v>
      </c>
      <c r="I2119" t="s">
        <v>35</v>
      </c>
      <c r="J2119"/>
      <c r="K2119">
        <v>1</v>
      </c>
      <c r="L2119">
        <v>1</v>
      </c>
      <c r="M2119" t="s">
        <v>33</v>
      </c>
      <c r="N2119">
        <v>1</v>
      </c>
      <c r="O2119"/>
      <c r="P2119">
        <v>0</v>
      </c>
      <c r="Q2119" t="s">
        <v>38</v>
      </c>
      <c r="R2119">
        <v>1</v>
      </c>
      <c r="S2119">
        <v>0</v>
      </c>
      <c r="T2119"/>
      <c r="U2119"/>
      <c r="V2119"/>
      <c r="W2119"/>
      <c r="X2119">
        <v>0</v>
      </c>
      <c r="Y2119"/>
      <c r="Z2119">
        <v>0</v>
      </c>
      <c r="AA2119"/>
      <c r="AB2119"/>
      <c r="AC2119"/>
      <c r="AD2119"/>
      <c r="AE2119">
        <v>0</v>
      </c>
      <c r="AF2119"/>
      <c r="AG2119" t="s">
        <v>3468</v>
      </c>
      <c r="AH2119"/>
    </row>
    <row r="2120" spans="1:34" x14ac:dyDescent="0.25">
      <c r="A2120" t="s">
        <v>2647</v>
      </c>
      <c r="B2120" t="s">
        <v>2648</v>
      </c>
      <c r="C2120"/>
      <c r="D2120" t="s">
        <v>2649</v>
      </c>
      <c r="E2120" t="s">
        <v>2783</v>
      </c>
      <c r="F2120" t="s">
        <v>2800</v>
      </c>
      <c r="G2120" t="s">
        <v>280</v>
      </c>
      <c r="H2120" t="s">
        <v>2801</v>
      </c>
      <c r="I2120" t="s">
        <v>35</v>
      </c>
      <c r="J2120"/>
      <c r="K2120">
        <v>1</v>
      </c>
      <c r="L2120">
        <v>1</v>
      </c>
      <c r="M2120" t="s">
        <v>33</v>
      </c>
      <c r="N2120">
        <v>1</v>
      </c>
      <c r="O2120"/>
      <c r="P2120">
        <v>0</v>
      </c>
      <c r="Q2120" t="s">
        <v>38</v>
      </c>
      <c r="R2120">
        <v>1</v>
      </c>
      <c r="S2120">
        <v>0</v>
      </c>
      <c r="T2120"/>
      <c r="U2120"/>
      <c r="V2120"/>
      <c r="W2120"/>
      <c r="X2120">
        <v>0</v>
      </c>
      <c r="Y2120"/>
      <c r="Z2120">
        <v>0</v>
      </c>
      <c r="AA2120"/>
      <c r="AB2120"/>
      <c r="AC2120"/>
      <c r="AD2120"/>
      <c r="AE2120">
        <v>0</v>
      </c>
      <c r="AF2120"/>
      <c r="AG2120" t="s">
        <v>3468</v>
      </c>
      <c r="AH2120"/>
    </row>
    <row r="2121" spans="1:34" x14ac:dyDescent="0.25">
      <c r="A2121" t="s">
        <v>2647</v>
      </c>
      <c r="B2121" t="s">
        <v>2648</v>
      </c>
      <c r="C2121"/>
      <c r="D2121" t="s">
        <v>2649</v>
      </c>
      <c r="E2121" t="s">
        <v>2783</v>
      </c>
      <c r="F2121" t="s">
        <v>2802</v>
      </c>
      <c r="G2121" t="s">
        <v>280</v>
      </c>
      <c r="H2121" t="s">
        <v>2803</v>
      </c>
      <c r="I2121" t="s">
        <v>35</v>
      </c>
      <c r="J2121"/>
      <c r="K2121">
        <v>1</v>
      </c>
      <c r="L2121">
        <v>1</v>
      </c>
      <c r="M2121" t="s">
        <v>33</v>
      </c>
      <c r="N2121">
        <v>1</v>
      </c>
      <c r="O2121"/>
      <c r="P2121">
        <v>0</v>
      </c>
      <c r="Q2121" t="s">
        <v>38</v>
      </c>
      <c r="R2121">
        <v>1</v>
      </c>
      <c r="S2121">
        <v>0</v>
      </c>
      <c r="T2121"/>
      <c r="U2121"/>
      <c r="V2121"/>
      <c r="W2121"/>
      <c r="X2121">
        <v>0</v>
      </c>
      <c r="Y2121"/>
      <c r="Z2121">
        <v>0</v>
      </c>
      <c r="AA2121"/>
      <c r="AB2121"/>
      <c r="AC2121"/>
      <c r="AD2121"/>
      <c r="AE2121">
        <v>0</v>
      </c>
      <c r="AF2121"/>
      <c r="AG2121" t="s">
        <v>3468</v>
      </c>
      <c r="AH2121"/>
    </row>
    <row r="2122" spans="1:34" x14ac:dyDescent="0.25">
      <c r="A2122" t="s">
        <v>2647</v>
      </c>
      <c r="B2122" t="s">
        <v>2648</v>
      </c>
      <c r="C2122"/>
      <c r="D2122" t="s">
        <v>2649</v>
      </c>
      <c r="E2122" t="s">
        <v>2783</v>
      </c>
      <c r="F2122" t="s">
        <v>2804</v>
      </c>
      <c r="G2122" t="s">
        <v>280</v>
      </c>
      <c r="H2122" t="s">
        <v>2805</v>
      </c>
      <c r="I2122" t="s">
        <v>35</v>
      </c>
      <c r="J2122"/>
      <c r="K2122">
        <v>1</v>
      </c>
      <c r="L2122">
        <v>1</v>
      </c>
      <c r="M2122" t="s">
        <v>33</v>
      </c>
      <c r="N2122">
        <v>1</v>
      </c>
      <c r="O2122"/>
      <c r="P2122">
        <v>0</v>
      </c>
      <c r="Q2122" t="s">
        <v>38</v>
      </c>
      <c r="R2122">
        <v>1</v>
      </c>
      <c r="S2122">
        <v>0</v>
      </c>
      <c r="T2122"/>
      <c r="U2122"/>
      <c r="V2122"/>
      <c r="W2122"/>
      <c r="X2122">
        <v>0</v>
      </c>
      <c r="Y2122"/>
      <c r="Z2122">
        <v>0</v>
      </c>
      <c r="AA2122"/>
      <c r="AB2122"/>
      <c r="AC2122"/>
      <c r="AD2122"/>
      <c r="AE2122">
        <v>0</v>
      </c>
      <c r="AF2122"/>
      <c r="AG2122" t="s">
        <v>3468</v>
      </c>
      <c r="AH2122"/>
    </row>
    <row r="2123" spans="1:34" x14ac:dyDescent="0.25">
      <c r="A2123" t="s">
        <v>2647</v>
      </c>
      <c r="B2123" t="s">
        <v>2648</v>
      </c>
      <c r="C2123"/>
      <c r="D2123" t="s">
        <v>2649</v>
      </c>
      <c r="E2123" t="s">
        <v>2783</v>
      </c>
      <c r="F2123" t="s">
        <v>2806</v>
      </c>
      <c r="G2123" t="s">
        <v>280</v>
      </c>
      <c r="H2123" t="s">
        <v>2807</v>
      </c>
      <c r="I2123" t="s">
        <v>35</v>
      </c>
      <c r="J2123"/>
      <c r="K2123">
        <v>1</v>
      </c>
      <c r="L2123">
        <v>1</v>
      </c>
      <c r="M2123" t="s">
        <v>33</v>
      </c>
      <c r="N2123">
        <v>1</v>
      </c>
      <c r="O2123"/>
      <c r="P2123">
        <v>0</v>
      </c>
      <c r="Q2123" t="s">
        <v>38</v>
      </c>
      <c r="R2123">
        <v>1</v>
      </c>
      <c r="S2123">
        <v>0</v>
      </c>
      <c r="T2123"/>
      <c r="U2123"/>
      <c r="V2123"/>
      <c r="W2123"/>
      <c r="X2123">
        <v>0</v>
      </c>
      <c r="Y2123"/>
      <c r="Z2123">
        <v>0</v>
      </c>
      <c r="AA2123"/>
      <c r="AB2123"/>
      <c r="AC2123"/>
      <c r="AD2123"/>
      <c r="AE2123">
        <v>0</v>
      </c>
      <c r="AF2123"/>
      <c r="AG2123" t="s">
        <v>3468</v>
      </c>
      <c r="AH2123"/>
    </row>
    <row r="2124" spans="1:34" x14ac:dyDescent="0.25">
      <c r="A2124" t="s">
        <v>2647</v>
      </c>
      <c r="B2124" t="s">
        <v>2648</v>
      </c>
      <c r="C2124"/>
      <c r="D2124" t="s">
        <v>2649</v>
      </c>
      <c r="E2124" t="s">
        <v>2783</v>
      </c>
      <c r="F2124" t="s">
        <v>2808</v>
      </c>
      <c r="G2124" t="s">
        <v>280</v>
      </c>
      <c r="H2124" t="s">
        <v>2809</v>
      </c>
      <c r="I2124" t="s">
        <v>35</v>
      </c>
      <c r="J2124"/>
      <c r="K2124">
        <v>1</v>
      </c>
      <c r="L2124">
        <v>1</v>
      </c>
      <c r="M2124" t="s">
        <v>33</v>
      </c>
      <c r="N2124">
        <v>1</v>
      </c>
      <c r="O2124"/>
      <c r="P2124">
        <v>0</v>
      </c>
      <c r="Q2124" t="s">
        <v>38</v>
      </c>
      <c r="R2124">
        <v>1</v>
      </c>
      <c r="S2124">
        <v>0</v>
      </c>
      <c r="T2124"/>
      <c r="U2124"/>
      <c r="V2124"/>
      <c r="W2124"/>
      <c r="X2124">
        <v>0</v>
      </c>
      <c r="Y2124"/>
      <c r="Z2124">
        <v>0</v>
      </c>
      <c r="AA2124"/>
      <c r="AB2124"/>
      <c r="AC2124"/>
      <c r="AD2124"/>
      <c r="AE2124">
        <v>0</v>
      </c>
      <c r="AF2124"/>
      <c r="AG2124" t="s">
        <v>3468</v>
      </c>
      <c r="AH2124"/>
    </row>
    <row r="2125" spans="1:34" x14ac:dyDescent="0.25">
      <c r="A2125" t="s">
        <v>2647</v>
      </c>
      <c r="B2125" t="s">
        <v>2648</v>
      </c>
      <c r="C2125"/>
      <c r="D2125" t="s">
        <v>2649</v>
      </c>
      <c r="E2125" t="s">
        <v>2783</v>
      </c>
      <c r="F2125" t="s">
        <v>2810</v>
      </c>
      <c r="G2125" t="s">
        <v>280</v>
      </c>
      <c r="H2125" t="s">
        <v>2811</v>
      </c>
      <c r="I2125" t="s">
        <v>35</v>
      </c>
      <c r="J2125"/>
      <c r="K2125">
        <v>1</v>
      </c>
      <c r="L2125">
        <v>1</v>
      </c>
      <c r="M2125" t="s">
        <v>33</v>
      </c>
      <c r="N2125">
        <v>1</v>
      </c>
      <c r="O2125"/>
      <c r="P2125">
        <v>0</v>
      </c>
      <c r="Q2125" t="s">
        <v>38</v>
      </c>
      <c r="R2125">
        <v>1</v>
      </c>
      <c r="S2125">
        <v>0</v>
      </c>
      <c r="T2125"/>
      <c r="U2125"/>
      <c r="V2125"/>
      <c r="W2125"/>
      <c r="X2125">
        <v>0</v>
      </c>
      <c r="Y2125"/>
      <c r="Z2125">
        <v>0</v>
      </c>
      <c r="AA2125"/>
      <c r="AB2125"/>
      <c r="AC2125"/>
      <c r="AD2125"/>
      <c r="AE2125">
        <v>0</v>
      </c>
      <c r="AF2125"/>
      <c r="AG2125" t="s">
        <v>3468</v>
      </c>
      <c r="AH2125"/>
    </row>
    <row r="2126" spans="1:34" x14ac:dyDescent="0.25">
      <c r="A2126" t="s">
        <v>2647</v>
      </c>
      <c r="B2126" t="s">
        <v>2648</v>
      </c>
      <c r="C2126"/>
      <c r="D2126" t="s">
        <v>2649</v>
      </c>
      <c r="E2126" t="s">
        <v>2783</v>
      </c>
      <c r="F2126" t="s">
        <v>2812</v>
      </c>
      <c r="G2126" t="s">
        <v>280</v>
      </c>
      <c r="H2126" t="s">
        <v>2813</v>
      </c>
      <c r="I2126" t="s">
        <v>35</v>
      </c>
      <c r="J2126"/>
      <c r="K2126">
        <v>1</v>
      </c>
      <c r="L2126">
        <v>1</v>
      </c>
      <c r="M2126" t="s">
        <v>33</v>
      </c>
      <c r="N2126">
        <v>1</v>
      </c>
      <c r="O2126"/>
      <c r="P2126">
        <v>0</v>
      </c>
      <c r="Q2126" t="s">
        <v>38</v>
      </c>
      <c r="R2126">
        <v>1</v>
      </c>
      <c r="S2126">
        <v>0</v>
      </c>
      <c r="T2126"/>
      <c r="U2126"/>
      <c r="V2126"/>
      <c r="W2126"/>
      <c r="X2126">
        <v>0</v>
      </c>
      <c r="Y2126"/>
      <c r="Z2126">
        <v>0</v>
      </c>
      <c r="AA2126"/>
      <c r="AB2126"/>
      <c r="AC2126"/>
      <c r="AD2126"/>
      <c r="AE2126">
        <v>0</v>
      </c>
      <c r="AF2126"/>
      <c r="AG2126" t="s">
        <v>3468</v>
      </c>
      <c r="AH2126"/>
    </row>
    <row r="2127" spans="1:34" x14ac:dyDescent="0.25">
      <c r="A2127" t="s">
        <v>2647</v>
      </c>
      <c r="B2127" t="s">
        <v>2648</v>
      </c>
      <c r="C2127"/>
      <c r="D2127" t="s">
        <v>2649</v>
      </c>
      <c r="E2127" t="s">
        <v>2783</v>
      </c>
      <c r="F2127" t="s">
        <v>2814</v>
      </c>
      <c r="G2127" t="s">
        <v>280</v>
      </c>
      <c r="H2127" t="s">
        <v>2815</v>
      </c>
      <c r="I2127" t="s">
        <v>35</v>
      </c>
      <c r="J2127"/>
      <c r="K2127">
        <v>1</v>
      </c>
      <c r="L2127">
        <v>1</v>
      </c>
      <c r="M2127" t="s">
        <v>33</v>
      </c>
      <c r="N2127">
        <v>1</v>
      </c>
      <c r="O2127"/>
      <c r="P2127">
        <v>0</v>
      </c>
      <c r="Q2127" t="s">
        <v>38</v>
      </c>
      <c r="R2127">
        <v>1</v>
      </c>
      <c r="S2127">
        <v>0</v>
      </c>
      <c r="T2127"/>
      <c r="U2127"/>
      <c r="V2127"/>
      <c r="W2127"/>
      <c r="X2127">
        <v>0</v>
      </c>
      <c r="Y2127"/>
      <c r="Z2127">
        <v>0</v>
      </c>
      <c r="AA2127"/>
      <c r="AB2127"/>
      <c r="AC2127"/>
      <c r="AD2127"/>
      <c r="AE2127">
        <v>0</v>
      </c>
      <c r="AF2127"/>
      <c r="AG2127" t="s">
        <v>3468</v>
      </c>
      <c r="AH2127"/>
    </row>
    <row r="2128" spans="1:34" x14ac:dyDescent="0.25">
      <c r="A2128" t="s">
        <v>2647</v>
      </c>
      <c r="B2128" t="s">
        <v>2648</v>
      </c>
      <c r="C2128"/>
      <c r="D2128" t="s">
        <v>2649</v>
      </c>
      <c r="E2128" t="s">
        <v>2783</v>
      </c>
      <c r="F2128" t="s">
        <v>2816</v>
      </c>
      <c r="G2128" t="s">
        <v>280</v>
      </c>
      <c r="H2128" t="s">
        <v>2817</v>
      </c>
      <c r="I2128" t="s">
        <v>35</v>
      </c>
      <c r="J2128"/>
      <c r="K2128">
        <v>1</v>
      </c>
      <c r="L2128">
        <v>1</v>
      </c>
      <c r="M2128" t="s">
        <v>33</v>
      </c>
      <c r="N2128">
        <v>1</v>
      </c>
      <c r="O2128"/>
      <c r="P2128">
        <v>0</v>
      </c>
      <c r="Q2128" t="s">
        <v>38</v>
      </c>
      <c r="R2128">
        <v>1</v>
      </c>
      <c r="S2128">
        <v>0</v>
      </c>
      <c r="T2128"/>
      <c r="U2128"/>
      <c r="V2128"/>
      <c r="W2128"/>
      <c r="X2128">
        <v>0</v>
      </c>
      <c r="Y2128"/>
      <c r="Z2128">
        <v>0</v>
      </c>
      <c r="AA2128"/>
      <c r="AB2128"/>
      <c r="AC2128"/>
      <c r="AD2128"/>
      <c r="AE2128">
        <v>0</v>
      </c>
      <c r="AF2128"/>
      <c r="AG2128" t="s">
        <v>3468</v>
      </c>
      <c r="AH2128"/>
    </row>
    <row r="2129" spans="1:34" x14ac:dyDescent="0.25">
      <c r="A2129" t="s">
        <v>2647</v>
      </c>
      <c r="B2129" t="s">
        <v>2648</v>
      </c>
      <c r="C2129"/>
      <c r="D2129" t="s">
        <v>2649</v>
      </c>
      <c r="E2129" t="s">
        <v>2783</v>
      </c>
      <c r="F2129" t="s">
        <v>2818</v>
      </c>
      <c r="G2129" t="s">
        <v>280</v>
      </c>
      <c r="H2129" t="s">
        <v>2819</v>
      </c>
      <c r="I2129" t="s">
        <v>35</v>
      </c>
      <c r="J2129"/>
      <c r="K2129">
        <v>1</v>
      </c>
      <c r="L2129">
        <v>1</v>
      </c>
      <c r="M2129" t="s">
        <v>33</v>
      </c>
      <c r="N2129">
        <v>1</v>
      </c>
      <c r="O2129"/>
      <c r="P2129">
        <v>0</v>
      </c>
      <c r="Q2129" t="s">
        <v>38</v>
      </c>
      <c r="R2129">
        <v>1</v>
      </c>
      <c r="S2129">
        <v>0</v>
      </c>
      <c r="T2129"/>
      <c r="U2129"/>
      <c r="V2129"/>
      <c r="W2129"/>
      <c r="X2129">
        <v>0</v>
      </c>
      <c r="Y2129"/>
      <c r="Z2129">
        <v>0</v>
      </c>
      <c r="AA2129"/>
      <c r="AB2129"/>
      <c r="AC2129"/>
      <c r="AD2129"/>
      <c r="AE2129">
        <v>0</v>
      </c>
      <c r="AF2129"/>
      <c r="AG2129" t="s">
        <v>3468</v>
      </c>
      <c r="AH2129"/>
    </row>
    <row r="2130" spans="1:34" x14ac:dyDescent="0.25">
      <c r="A2130" t="s">
        <v>2647</v>
      </c>
      <c r="B2130" t="s">
        <v>2648</v>
      </c>
      <c r="C2130"/>
      <c r="D2130" t="s">
        <v>2649</v>
      </c>
      <c r="E2130" t="s">
        <v>2783</v>
      </c>
      <c r="F2130" t="s">
        <v>2820</v>
      </c>
      <c r="G2130" t="s">
        <v>280</v>
      </c>
      <c r="H2130" t="s">
        <v>2821</v>
      </c>
      <c r="I2130" t="s">
        <v>35</v>
      </c>
      <c r="J2130"/>
      <c r="K2130">
        <v>1</v>
      </c>
      <c r="L2130">
        <v>1</v>
      </c>
      <c r="M2130" t="s">
        <v>33</v>
      </c>
      <c r="N2130">
        <v>1</v>
      </c>
      <c r="O2130"/>
      <c r="P2130">
        <v>0</v>
      </c>
      <c r="Q2130" t="s">
        <v>38</v>
      </c>
      <c r="R2130">
        <v>1</v>
      </c>
      <c r="S2130">
        <v>0</v>
      </c>
      <c r="T2130"/>
      <c r="U2130"/>
      <c r="V2130"/>
      <c r="W2130"/>
      <c r="X2130">
        <v>0</v>
      </c>
      <c r="Y2130"/>
      <c r="Z2130">
        <v>0</v>
      </c>
      <c r="AA2130"/>
      <c r="AB2130"/>
      <c r="AC2130"/>
      <c r="AD2130"/>
      <c r="AE2130">
        <v>0</v>
      </c>
      <c r="AF2130"/>
      <c r="AG2130" t="s">
        <v>3468</v>
      </c>
      <c r="AH2130"/>
    </row>
    <row r="2131" spans="1:34" x14ac:dyDescent="0.25">
      <c r="A2131" t="s">
        <v>2647</v>
      </c>
      <c r="B2131" t="s">
        <v>2648</v>
      </c>
      <c r="C2131"/>
      <c r="D2131" t="s">
        <v>2649</v>
      </c>
      <c r="E2131" t="s">
        <v>2783</v>
      </c>
      <c r="F2131" t="s">
        <v>2822</v>
      </c>
      <c r="G2131" t="s">
        <v>280</v>
      </c>
      <c r="H2131" t="s">
        <v>2823</v>
      </c>
      <c r="I2131" t="s">
        <v>35</v>
      </c>
      <c r="J2131"/>
      <c r="K2131">
        <v>1</v>
      </c>
      <c r="L2131">
        <v>1</v>
      </c>
      <c r="M2131" t="s">
        <v>33</v>
      </c>
      <c r="N2131">
        <v>1</v>
      </c>
      <c r="O2131"/>
      <c r="P2131">
        <v>0</v>
      </c>
      <c r="Q2131" t="s">
        <v>38</v>
      </c>
      <c r="R2131">
        <v>1</v>
      </c>
      <c r="S2131">
        <v>0</v>
      </c>
      <c r="T2131"/>
      <c r="U2131"/>
      <c r="V2131"/>
      <c r="W2131"/>
      <c r="X2131">
        <v>0</v>
      </c>
      <c r="Y2131"/>
      <c r="Z2131">
        <v>0</v>
      </c>
      <c r="AA2131"/>
      <c r="AB2131"/>
      <c r="AC2131"/>
      <c r="AD2131"/>
      <c r="AE2131">
        <v>0</v>
      </c>
      <c r="AF2131"/>
      <c r="AG2131" t="s">
        <v>3468</v>
      </c>
      <c r="AH2131"/>
    </row>
    <row r="2132" spans="1:34" x14ac:dyDescent="0.25">
      <c r="A2132" t="s">
        <v>2647</v>
      </c>
      <c r="B2132" t="s">
        <v>2648</v>
      </c>
      <c r="C2132"/>
      <c r="D2132" t="s">
        <v>2649</v>
      </c>
      <c r="E2132" t="s">
        <v>2783</v>
      </c>
      <c r="F2132" t="s">
        <v>2824</v>
      </c>
      <c r="G2132" t="s">
        <v>280</v>
      </c>
      <c r="H2132" t="s">
        <v>2825</v>
      </c>
      <c r="I2132" t="s">
        <v>35</v>
      </c>
      <c r="J2132"/>
      <c r="K2132">
        <v>1</v>
      </c>
      <c r="L2132">
        <v>1</v>
      </c>
      <c r="M2132" t="s">
        <v>33</v>
      </c>
      <c r="N2132">
        <v>1</v>
      </c>
      <c r="O2132"/>
      <c r="P2132">
        <v>0</v>
      </c>
      <c r="Q2132" t="s">
        <v>38</v>
      </c>
      <c r="R2132">
        <v>1</v>
      </c>
      <c r="S2132">
        <v>0</v>
      </c>
      <c r="T2132"/>
      <c r="U2132"/>
      <c r="V2132"/>
      <c r="W2132"/>
      <c r="X2132">
        <v>0</v>
      </c>
      <c r="Y2132"/>
      <c r="Z2132">
        <v>0</v>
      </c>
      <c r="AA2132"/>
      <c r="AB2132"/>
      <c r="AC2132"/>
      <c r="AD2132"/>
      <c r="AE2132">
        <v>0</v>
      </c>
      <c r="AF2132"/>
      <c r="AG2132" t="s">
        <v>3468</v>
      </c>
      <c r="AH2132"/>
    </row>
    <row r="2133" spans="1:34" x14ac:dyDescent="0.25">
      <c r="A2133" t="s">
        <v>2647</v>
      </c>
      <c r="B2133" t="s">
        <v>2648</v>
      </c>
      <c r="C2133"/>
      <c r="D2133" t="s">
        <v>2649</v>
      </c>
      <c r="E2133" t="s">
        <v>2783</v>
      </c>
      <c r="F2133" t="s">
        <v>2826</v>
      </c>
      <c r="G2133" t="s">
        <v>280</v>
      </c>
      <c r="H2133" t="s">
        <v>2827</v>
      </c>
      <c r="I2133" t="s">
        <v>35</v>
      </c>
      <c r="J2133"/>
      <c r="K2133">
        <v>1</v>
      </c>
      <c r="L2133">
        <v>1</v>
      </c>
      <c r="M2133" t="s">
        <v>33</v>
      </c>
      <c r="N2133">
        <v>1</v>
      </c>
      <c r="O2133"/>
      <c r="P2133">
        <v>0</v>
      </c>
      <c r="Q2133" t="s">
        <v>38</v>
      </c>
      <c r="R2133">
        <v>1</v>
      </c>
      <c r="S2133">
        <v>0</v>
      </c>
      <c r="T2133"/>
      <c r="U2133"/>
      <c r="V2133"/>
      <c r="W2133"/>
      <c r="X2133">
        <v>0</v>
      </c>
      <c r="Y2133"/>
      <c r="Z2133">
        <v>0</v>
      </c>
      <c r="AA2133"/>
      <c r="AB2133"/>
      <c r="AC2133"/>
      <c r="AD2133"/>
      <c r="AE2133">
        <v>0</v>
      </c>
      <c r="AF2133"/>
      <c r="AG2133" t="s">
        <v>3468</v>
      </c>
      <c r="AH2133"/>
    </row>
    <row r="2134" spans="1:34" x14ac:dyDescent="0.25">
      <c r="A2134" t="s">
        <v>2647</v>
      </c>
      <c r="B2134" t="s">
        <v>2648</v>
      </c>
      <c r="C2134"/>
      <c r="D2134" t="s">
        <v>2649</v>
      </c>
      <c r="E2134" t="s">
        <v>2783</v>
      </c>
      <c r="F2134" t="s">
        <v>2828</v>
      </c>
      <c r="G2134" t="s">
        <v>280</v>
      </c>
      <c r="H2134" t="s">
        <v>2829</v>
      </c>
      <c r="I2134" t="s">
        <v>35</v>
      </c>
      <c r="J2134"/>
      <c r="K2134">
        <v>1</v>
      </c>
      <c r="L2134">
        <v>1</v>
      </c>
      <c r="M2134" t="s">
        <v>33</v>
      </c>
      <c r="N2134">
        <v>1</v>
      </c>
      <c r="O2134"/>
      <c r="P2134">
        <v>0</v>
      </c>
      <c r="Q2134" t="s">
        <v>38</v>
      </c>
      <c r="R2134">
        <v>1</v>
      </c>
      <c r="S2134">
        <v>0</v>
      </c>
      <c r="T2134"/>
      <c r="U2134"/>
      <c r="V2134"/>
      <c r="W2134"/>
      <c r="X2134">
        <v>0</v>
      </c>
      <c r="Y2134"/>
      <c r="Z2134">
        <v>0</v>
      </c>
      <c r="AA2134"/>
      <c r="AB2134"/>
      <c r="AC2134"/>
      <c r="AD2134"/>
      <c r="AE2134">
        <v>0</v>
      </c>
      <c r="AF2134"/>
      <c r="AG2134" t="s">
        <v>3468</v>
      </c>
      <c r="AH2134"/>
    </row>
    <row r="2135" spans="1:34" x14ac:dyDescent="0.25">
      <c r="A2135" t="s">
        <v>2671</v>
      </c>
      <c r="B2135" t="s">
        <v>2672</v>
      </c>
      <c r="C2135"/>
      <c r="D2135" t="s">
        <v>2649</v>
      </c>
      <c r="E2135" t="s">
        <v>2783</v>
      </c>
      <c r="F2135" t="s">
        <v>2830</v>
      </c>
      <c r="G2135" t="s">
        <v>280</v>
      </c>
      <c r="H2135" t="s">
        <v>2831</v>
      </c>
      <c r="I2135" t="s">
        <v>35</v>
      </c>
      <c r="J2135"/>
      <c r="K2135">
        <v>1</v>
      </c>
      <c r="L2135">
        <v>1</v>
      </c>
      <c r="M2135" t="s">
        <v>33</v>
      </c>
      <c r="N2135">
        <v>1</v>
      </c>
      <c r="O2135"/>
      <c r="P2135">
        <v>0</v>
      </c>
      <c r="Q2135" t="s">
        <v>38</v>
      </c>
      <c r="R2135">
        <v>1</v>
      </c>
      <c r="S2135">
        <v>0</v>
      </c>
      <c r="T2135"/>
      <c r="U2135"/>
      <c r="V2135"/>
      <c r="W2135"/>
      <c r="X2135">
        <v>0</v>
      </c>
      <c r="Y2135"/>
      <c r="Z2135">
        <v>0</v>
      </c>
      <c r="AA2135"/>
      <c r="AB2135"/>
      <c r="AC2135"/>
      <c r="AD2135"/>
      <c r="AE2135">
        <v>0</v>
      </c>
      <c r="AF2135"/>
      <c r="AG2135" t="s">
        <v>3468</v>
      </c>
      <c r="AH2135"/>
    </row>
    <row r="2136" spans="1:34" x14ac:dyDescent="0.25">
      <c r="A2136" t="s">
        <v>2671</v>
      </c>
      <c r="B2136" t="s">
        <v>2672</v>
      </c>
      <c r="C2136"/>
      <c r="D2136" t="s">
        <v>2649</v>
      </c>
      <c r="E2136" t="s">
        <v>2783</v>
      </c>
      <c r="F2136" t="s">
        <v>2832</v>
      </c>
      <c r="G2136" t="s">
        <v>280</v>
      </c>
      <c r="H2136" t="s">
        <v>2833</v>
      </c>
      <c r="I2136" t="s">
        <v>35</v>
      </c>
      <c r="J2136"/>
      <c r="K2136">
        <v>1</v>
      </c>
      <c r="L2136">
        <v>1</v>
      </c>
      <c r="M2136" t="s">
        <v>33</v>
      </c>
      <c r="N2136">
        <v>1</v>
      </c>
      <c r="O2136"/>
      <c r="P2136">
        <v>0</v>
      </c>
      <c r="Q2136" t="s">
        <v>38</v>
      </c>
      <c r="R2136">
        <v>1</v>
      </c>
      <c r="S2136">
        <v>0</v>
      </c>
      <c r="T2136"/>
      <c r="U2136"/>
      <c r="V2136"/>
      <c r="W2136"/>
      <c r="X2136">
        <v>0</v>
      </c>
      <c r="Y2136"/>
      <c r="Z2136">
        <v>0</v>
      </c>
      <c r="AA2136"/>
      <c r="AB2136"/>
      <c r="AC2136"/>
      <c r="AD2136"/>
      <c r="AE2136">
        <v>0</v>
      </c>
      <c r="AF2136"/>
      <c r="AG2136" t="s">
        <v>3468</v>
      </c>
      <c r="AH2136"/>
    </row>
    <row r="2137" spans="1:34" x14ac:dyDescent="0.25">
      <c r="A2137" t="s">
        <v>2671</v>
      </c>
      <c r="B2137" t="s">
        <v>2672</v>
      </c>
      <c r="C2137"/>
      <c r="D2137" t="s">
        <v>2649</v>
      </c>
      <c r="E2137" t="s">
        <v>2783</v>
      </c>
      <c r="F2137" t="s">
        <v>2834</v>
      </c>
      <c r="G2137" t="s">
        <v>280</v>
      </c>
      <c r="H2137" t="s">
        <v>2835</v>
      </c>
      <c r="I2137" t="s">
        <v>35</v>
      </c>
      <c r="J2137"/>
      <c r="K2137">
        <v>1</v>
      </c>
      <c r="L2137">
        <v>1</v>
      </c>
      <c r="M2137" t="s">
        <v>33</v>
      </c>
      <c r="N2137">
        <v>1</v>
      </c>
      <c r="O2137"/>
      <c r="P2137">
        <v>0</v>
      </c>
      <c r="Q2137" t="s">
        <v>38</v>
      </c>
      <c r="R2137">
        <v>1</v>
      </c>
      <c r="S2137">
        <v>0</v>
      </c>
      <c r="T2137"/>
      <c r="U2137"/>
      <c r="V2137"/>
      <c r="W2137"/>
      <c r="X2137">
        <v>0</v>
      </c>
      <c r="Y2137"/>
      <c r="Z2137">
        <v>0</v>
      </c>
      <c r="AA2137"/>
      <c r="AB2137"/>
      <c r="AC2137"/>
      <c r="AD2137"/>
      <c r="AE2137">
        <v>0</v>
      </c>
      <c r="AF2137"/>
      <c r="AG2137" t="s">
        <v>3468</v>
      </c>
      <c r="AH2137"/>
    </row>
    <row r="2138" spans="1:34" x14ac:dyDescent="0.25">
      <c r="A2138" t="s">
        <v>2671</v>
      </c>
      <c r="B2138" t="s">
        <v>2672</v>
      </c>
      <c r="C2138"/>
      <c r="D2138" t="s">
        <v>2649</v>
      </c>
      <c r="E2138" t="s">
        <v>2783</v>
      </c>
      <c r="F2138" t="s">
        <v>2836</v>
      </c>
      <c r="G2138" t="s">
        <v>280</v>
      </c>
      <c r="H2138" t="s">
        <v>2837</v>
      </c>
      <c r="I2138" t="s">
        <v>35</v>
      </c>
      <c r="J2138"/>
      <c r="K2138">
        <v>1</v>
      </c>
      <c r="L2138">
        <v>1</v>
      </c>
      <c r="M2138" t="s">
        <v>33</v>
      </c>
      <c r="N2138">
        <v>1</v>
      </c>
      <c r="O2138"/>
      <c r="P2138">
        <v>0</v>
      </c>
      <c r="Q2138" t="s">
        <v>38</v>
      </c>
      <c r="R2138">
        <v>1</v>
      </c>
      <c r="S2138">
        <v>0</v>
      </c>
      <c r="T2138"/>
      <c r="U2138"/>
      <c r="V2138"/>
      <c r="W2138"/>
      <c r="X2138">
        <v>0</v>
      </c>
      <c r="Y2138"/>
      <c r="Z2138">
        <v>0</v>
      </c>
      <c r="AA2138"/>
      <c r="AB2138"/>
      <c r="AC2138"/>
      <c r="AD2138"/>
      <c r="AE2138">
        <v>0</v>
      </c>
      <c r="AF2138"/>
      <c r="AG2138" t="s">
        <v>3468</v>
      </c>
      <c r="AH2138"/>
    </row>
    <row r="2139" spans="1:34" x14ac:dyDescent="0.25">
      <c r="A2139" t="s">
        <v>2671</v>
      </c>
      <c r="B2139" t="s">
        <v>2672</v>
      </c>
      <c r="C2139"/>
      <c r="D2139" t="s">
        <v>2649</v>
      </c>
      <c r="E2139" t="s">
        <v>2783</v>
      </c>
      <c r="F2139" t="s">
        <v>2838</v>
      </c>
      <c r="G2139" t="s">
        <v>280</v>
      </c>
      <c r="H2139" t="s">
        <v>2839</v>
      </c>
      <c r="I2139" t="s">
        <v>35</v>
      </c>
      <c r="J2139"/>
      <c r="K2139">
        <v>1</v>
      </c>
      <c r="L2139">
        <v>1</v>
      </c>
      <c r="M2139" t="s">
        <v>33</v>
      </c>
      <c r="N2139">
        <v>1</v>
      </c>
      <c r="O2139"/>
      <c r="P2139">
        <v>0</v>
      </c>
      <c r="Q2139" t="s">
        <v>38</v>
      </c>
      <c r="R2139">
        <v>1</v>
      </c>
      <c r="S2139">
        <v>0</v>
      </c>
      <c r="T2139"/>
      <c r="U2139"/>
      <c r="V2139"/>
      <c r="W2139"/>
      <c r="X2139">
        <v>0</v>
      </c>
      <c r="Y2139"/>
      <c r="Z2139">
        <v>0</v>
      </c>
      <c r="AA2139"/>
      <c r="AB2139"/>
      <c r="AC2139"/>
      <c r="AD2139"/>
      <c r="AE2139">
        <v>0</v>
      </c>
      <c r="AF2139"/>
      <c r="AG2139" t="s">
        <v>3468</v>
      </c>
      <c r="AH2139"/>
    </row>
    <row r="2140" spans="1:34" x14ac:dyDescent="0.25">
      <c r="A2140" t="s">
        <v>2671</v>
      </c>
      <c r="B2140" t="s">
        <v>2672</v>
      </c>
      <c r="C2140"/>
      <c r="D2140" t="s">
        <v>2649</v>
      </c>
      <c r="E2140" t="s">
        <v>2783</v>
      </c>
      <c r="F2140" t="s">
        <v>2840</v>
      </c>
      <c r="G2140" t="s">
        <v>280</v>
      </c>
      <c r="H2140" t="s">
        <v>2841</v>
      </c>
      <c r="I2140" t="s">
        <v>35</v>
      </c>
      <c r="J2140"/>
      <c r="K2140">
        <v>1</v>
      </c>
      <c r="L2140">
        <v>1</v>
      </c>
      <c r="M2140" t="s">
        <v>33</v>
      </c>
      <c r="N2140">
        <v>1</v>
      </c>
      <c r="O2140"/>
      <c r="P2140">
        <v>0</v>
      </c>
      <c r="Q2140" t="s">
        <v>38</v>
      </c>
      <c r="R2140">
        <v>1</v>
      </c>
      <c r="S2140">
        <v>0</v>
      </c>
      <c r="T2140"/>
      <c r="U2140"/>
      <c r="V2140"/>
      <c r="W2140"/>
      <c r="X2140">
        <v>0</v>
      </c>
      <c r="Y2140"/>
      <c r="Z2140">
        <v>0</v>
      </c>
      <c r="AA2140"/>
      <c r="AB2140"/>
      <c r="AC2140"/>
      <c r="AD2140"/>
      <c r="AE2140">
        <v>0</v>
      </c>
      <c r="AF2140"/>
      <c r="AG2140" t="s">
        <v>3468</v>
      </c>
      <c r="AH2140"/>
    </row>
    <row r="2141" spans="1:34" x14ac:dyDescent="0.25">
      <c r="A2141" t="s">
        <v>2671</v>
      </c>
      <c r="B2141" t="s">
        <v>2672</v>
      </c>
      <c r="C2141"/>
      <c r="D2141" t="s">
        <v>2649</v>
      </c>
      <c r="E2141" t="s">
        <v>2783</v>
      </c>
      <c r="F2141" t="s">
        <v>2842</v>
      </c>
      <c r="G2141" t="s">
        <v>280</v>
      </c>
      <c r="H2141" t="s">
        <v>2843</v>
      </c>
      <c r="I2141" t="s">
        <v>35</v>
      </c>
      <c r="J2141"/>
      <c r="K2141">
        <v>1</v>
      </c>
      <c r="L2141">
        <v>1</v>
      </c>
      <c r="M2141" t="s">
        <v>33</v>
      </c>
      <c r="N2141">
        <v>1</v>
      </c>
      <c r="O2141"/>
      <c r="P2141">
        <v>0</v>
      </c>
      <c r="Q2141" t="s">
        <v>38</v>
      </c>
      <c r="R2141">
        <v>1</v>
      </c>
      <c r="S2141">
        <v>0</v>
      </c>
      <c r="T2141"/>
      <c r="U2141"/>
      <c r="V2141"/>
      <c r="W2141"/>
      <c r="X2141">
        <v>0</v>
      </c>
      <c r="Y2141"/>
      <c r="Z2141">
        <v>0</v>
      </c>
      <c r="AA2141"/>
      <c r="AB2141"/>
      <c r="AC2141"/>
      <c r="AD2141"/>
      <c r="AE2141">
        <v>0</v>
      </c>
      <c r="AF2141"/>
      <c r="AG2141" t="s">
        <v>3468</v>
      </c>
      <c r="AH2141"/>
    </row>
    <row r="2142" spans="1:34" x14ac:dyDescent="0.25">
      <c r="A2142" t="s">
        <v>2671</v>
      </c>
      <c r="B2142" t="s">
        <v>2672</v>
      </c>
      <c r="C2142"/>
      <c r="D2142" t="s">
        <v>2649</v>
      </c>
      <c r="E2142" t="s">
        <v>2783</v>
      </c>
      <c r="F2142" t="s">
        <v>2844</v>
      </c>
      <c r="G2142" t="s">
        <v>280</v>
      </c>
      <c r="H2142" t="s">
        <v>2845</v>
      </c>
      <c r="I2142" t="s">
        <v>35</v>
      </c>
      <c r="J2142"/>
      <c r="K2142">
        <v>1</v>
      </c>
      <c r="L2142">
        <v>1</v>
      </c>
      <c r="M2142" t="s">
        <v>33</v>
      </c>
      <c r="N2142">
        <v>1</v>
      </c>
      <c r="O2142"/>
      <c r="P2142">
        <v>0</v>
      </c>
      <c r="Q2142" t="s">
        <v>38</v>
      </c>
      <c r="R2142">
        <v>1</v>
      </c>
      <c r="S2142">
        <v>0</v>
      </c>
      <c r="T2142"/>
      <c r="U2142"/>
      <c r="V2142"/>
      <c r="W2142"/>
      <c r="X2142">
        <v>0</v>
      </c>
      <c r="Y2142"/>
      <c r="Z2142">
        <v>0</v>
      </c>
      <c r="AA2142"/>
      <c r="AB2142"/>
      <c r="AC2142"/>
      <c r="AD2142"/>
      <c r="AE2142">
        <v>0</v>
      </c>
      <c r="AF2142"/>
      <c r="AG2142" t="s">
        <v>3468</v>
      </c>
      <c r="AH2142"/>
    </row>
    <row r="2143" spans="1:34" x14ac:dyDescent="0.25">
      <c r="A2143" t="s">
        <v>2671</v>
      </c>
      <c r="B2143" t="s">
        <v>2672</v>
      </c>
      <c r="C2143"/>
      <c r="D2143" t="s">
        <v>2649</v>
      </c>
      <c r="E2143" t="s">
        <v>2783</v>
      </c>
      <c r="F2143" t="s">
        <v>2846</v>
      </c>
      <c r="G2143" t="s">
        <v>280</v>
      </c>
      <c r="H2143" t="s">
        <v>2847</v>
      </c>
      <c r="I2143" t="s">
        <v>35</v>
      </c>
      <c r="J2143"/>
      <c r="K2143">
        <v>1</v>
      </c>
      <c r="L2143">
        <v>1</v>
      </c>
      <c r="M2143" t="s">
        <v>33</v>
      </c>
      <c r="N2143">
        <v>1</v>
      </c>
      <c r="O2143"/>
      <c r="P2143">
        <v>0</v>
      </c>
      <c r="Q2143" t="s">
        <v>38</v>
      </c>
      <c r="R2143">
        <v>1</v>
      </c>
      <c r="S2143">
        <v>0</v>
      </c>
      <c r="T2143"/>
      <c r="U2143"/>
      <c r="V2143"/>
      <c r="W2143"/>
      <c r="X2143">
        <v>0</v>
      </c>
      <c r="Y2143"/>
      <c r="Z2143">
        <v>0</v>
      </c>
      <c r="AA2143"/>
      <c r="AB2143"/>
      <c r="AC2143"/>
      <c r="AD2143"/>
      <c r="AE2143">
        <v>0</v>
      </c>
      <c r="AF2143"/>
      <c r="AG2143" t="s">
        <v>3468</v>
      </c>
      <c r="AH2143"/>
    </row>
    <row r="2144" spans="1:34" x14ac:dyDescent="0.25">
      <c r="A2144" t="s">
        <v>2671</v>
      </c>
      <c r="B2144" t="s">
        <v>2672</v>
      </c>
      <c r="C2144"/>
      <c r="D2144" t="s">
        <v>2649</v>
      </c>
      <c r="E2144" t="s">
        <v>2783</v>
      </c>
      <c r="F2144" t="s">
        <v>2848</v>
      </c>
      <c r="G2144" t="s">
        <v>280</v>
      </c>
      <c r="H2144" t="s">
        <v>2849</v>
      </c>
      <c r="I2144" t="s">
        <v>35</v>
      </c>
      <c r="J2144"/>
      <c r="K2144">
        <v>1</v>
      </c>
      <c r="L2144">
        <v>1</v>
      </c>
      <c r="M2144" t="s">
        <v>33</v>
      </c>
      <c r="N2144">
        <v>1</v>
      </c>
      <c r="O2144"/>
      <c r="P2144">
        <v>0</v>
      </c>
      <c r="Q2144" t="s">
        <v>38</v>
      </c>
      <c r="R2144">
        <v>1</v>
      </c>
      <c r="S2144">
        <v>0</v>
      </c>
      <c r="T2144"/>
      <c r="U2144"/>
      <c r="V2144"/>
      <c r="W2144"/>
      <c r="X2144">
        <v>0</v>
      </c>
      <c r="Y2144"/>
      <c r="Z2144">
        <v>0</v>
      </c>
      <c r="AA2144"/>
      <c r="AB2144"/>
      <c r="AC2144"/>
      <c r="AD2144"/>
      <c r="AE2144">
        <v>0</v>
      </c>
      <c r="AF2144"/>
      <c r="AG2144" t="s">
        <v>3468</v>
      </c>
      <c r="AH2144"/>
    </row>
    <row r="2145" spans="1:34" x14ac:dyDescent="0.25">
      <c r="A2145" t="s">
        <v>2671</v>
      </c>
      <c r="B2145" t="s">
        <v>2672</v>
      </c>
      <c r="C2145"/>
      <c r="D2145" t="s">
        <v>2649</v>
      </c>
      <c r="E2145" t="s">
        <v>2783</v>
      </c>
      <c r="F2145" t="s">
        <v>2850</v>
      </c>
      <c r="G2145" t="s">
        <v>280</v>
      </c>
      <c r="H2145" t="s">
        <v>2851</v>
      </c>
      <c r="I2145" t="s">
        <v>35</v>
      </c>
      <c r="J2145"/>
      <c r="K2145">
        <v>1</v>
      </c>
      <c r="L2145">
        <v>1</v>
      </c>
      <c r="M2145" t="s">
        <v>33</v>
      </c>
      <c r="N2145">
        <v>1</v>
      </c>
      <c r="O2145"/>
      <c r="P2145">
        <v>0</v>
      </c>
      <c r="Q2145" t="s">
        <v>38</v>
      </c>
      <c r="R2145">
        <v>1</v>
      </c>
      <c r="S2145">
        <v>0</v>
      </c>
      <c r="T2145"/>
      <c r="U2145"/>
      <c r="V2145"/>
      <c r="W2145"/>
      <c r="X2145">
        <v>0</v>
      </c>
      <c r="Y2145"/>
      <c r="Z2145">
        <v>0</v>
      </c>
      <c r="AA2145"/>
      <c r="AB2145"/>
      <c r="AC2145"/>
      <c r="AD2145"/>
      <c r="AE2145">
        <v>0</v>
      </c>
      <c r="AF2145"/>
      <c r="AG2145" t="s">
        <v>3468</v>
      </c>
      <c r="AH2145"/>
    </row>
    <row r="2146" spans="1:34" x14ac:dyDescent="0.25">
      <c r="A2146" t="s">
        <v>2671</v>
      </c>
      <c r="B2146" t="s">
        <v>2672</v>
      </c>
      <c r="C2146"/>
      <c r="D2146" t="s">
        <v>2649</v>
      </c>
      <c r="E2146" t="s">
        <v>2783</v>
      </c>
      <c r="F2146" t="s">
        <v>2852</v>
      </c>
      <c r="G2146" t="s">
        <v>280</v>
      </c>
      <c r="H2146" t="s">
        <v>2853</v>
      </c>
      <c r="I2146" t="s">
        <v>35</v>
      </c>
      <c r="J2146"/>
      <c r="K2146">
        <v>1</v>
      </c>
      <c r="L2146">
        <v>1</v>
      </c>
      <c r="M2146" t="s">
        <v>33</v>
      </c>
      <c r="N2146">
        <v>1</v>
      </c>
      <c r="O2146"/>
      <c r="P2146">
        <v>0</v>
      </c>
      <c r="Q2146" t="s">
        <v>38</v>
      </c>
      <c r="R2146">
        <v>1</v>
      </c>
      <c r="S2146">
        <v>0</v>
      </c>
      <c r="T2146"/>
      <c r="U2146"/>
      <c r="V2146"/>
      <c r="W2146"/>
      <c r="X2146">
        <v>0</v>
      </c>
      <c r="Y2146"/>
      <c r="Z2146">
        <v>0</v>
      </c>
      <c r="AA2146"/>
      <c r="AB2146"/>
      <c r="AC2146"/>
      <c r="AD2146"/>
      <c r="AE2146">
        <v>0</v>
      </c>
      <c r="AF2146"/>
      <c r="AG2146" t="s">
        <v>3468</v>
      </c>
      <c r="AH2146"/>
    </row>
    <row r="2147" spans="1:34" x14ac:dyDescent="0.25">
      <c r="A2147" t="s">
        <v>2671</v>
      </c>
      <c r="B2147" t="s">
        <v>2672</v>
      </c>
      <c r="C2147"/>
      <c r="D2147" t="s">
        <v>2649</v>
      </c>
      <c r="E2147" t="s">
        <v>2783</v>
      </c>
      <c r="F2147" t="s">
        <v>2854</v>
      </c>
      <c r="G2147" t="s">
        <v>280</v>
      </c>
      <c r="H2147" t="s">
        <v>2855</v>
      </c>
      <c r="I2147" t="s">
        <v>35</v>
      </c>
      <c r="J2147"/>
      <c r="K2147">
        <v>1</v>
      </c>
      <c r="L2147">
        <v>1</v>
      </c>
      <c r="M2147" t="s">
        <v>33</v>
      </c>
      <c r="N2147">
        <v>1</v>
      </c>
      <c r="O2147"/>
      <c r="P2147">
        <v>0</v>
      </c>
      <c r="Q2147" t="s">
        <v>38</v>
      </c>
      <c r="R2147">
        <v>1</v>
      </c>
      <c r="S2147">
        <v>0</v>
      </c>
      <c r="T2147"/>
      <c r="U2147"/>
      <c r="V2147"/>
      <c r="W2147"/>
      <c r="X2147">
        <v>0</v>
      </c>
      <c r="Y2147"/>
      <c r="Z2147">
        <v>0</v>
      </c>
      <c r="AA2147"/>
      <c r="AB2147"/>
      <c r="AC2147"/>
      <c r="AD2147"/>
      <c r="AE2147">
        <v>0</v>
      </c>
      <c r="AF2147"/>
      <c r="AG2147" t="s">
        <v>3468</v>
      </c>
      <c r="AH2147"/>
    </row>
    <row r="2148" spans="1:34" x14ac:dyDescent="0.25">
      <c r="A2148" t="s">
        <v>2671</v>
      </c>
      <c r="B2148" t="s">
        <v>2672</v>
      </c>
      <c r="C2148"/>
      <c r="D2148" t="s">
        <v>2649</v>
      </c>
      <c r="E2148" t="s">
        <v>2783</v>
      </c>
      <c r="F2148" t="s">
        <v>2856</v>
      </c>
      <c r="G2148" t="s">
        <v>280</v>
      </c>
      <c r="H2148" t="s">
        <v>2857</v>
      </c>
      <c r="I2148" t="s">
        <v>35</v>
      </c>
      <c r="J2148"/>
      <c r="K2148">
        <v>1</v>
      </c>
      <c r="L2148">
        <v>1</v>
      </c>
      <c r="M2148" t="s">
        <v>33</v>
      </c>
      <c r="N2148">
        <v>1</v>
      </c>
      <c r="O2148"/>
      <c r="P2148">
        <v>0</v>
      </c>
      <c r="Q2148" t="s">
        <v>38</v>
      </c>
      <c r="R2148">
        <v>1</v>
      </c>
      <c r="S2148">
        <v>0</v>
      </c>
      <c r="T2148"/>
      <c r="U2148"/>
      <c r="V2148"/>
      <c r="W2148"/>
      <c r="X2148">
        <v>0</v>
      </c>
      <c r="Y2148"/>
      <c r="Z2148">
        <v>0</v>
      </c>
      <c r="AA2148"/>
      <c r="AB2148"/>
      <c r="AC2148"/>
      <c r="AD2148"/>
      <c r="AE2148">
        <v>0</v>
      </c>
      <c r="AF2148"/>
      <c r="AG2148" t="s">
        <v>3468</v>
      </c>
      <c r="AH2148"/>
    </row>
    <row r="2149" spans="1:34" x14ac:dyDescent="0.25">
      <c r="A2149" t="s">
        <v>2671</v>
      </c>
      <c r="B2149" t="s">
        <v>2672</v>
      </c>
      <c r="C2149"/>
      <c r="D2149" t="s">
        <v>2649</v>
      </c>
      <c r="E2149" t="s">
        <v>2783</v>
      </c>
      <c r="F2149" t="s">
        <v>2858</v>
      </c>
      <c r="G2149" t="s">
        <v>280</v>
      </c>
      <c r="H2149" t="s">
        <v>2859</v>
      </c>
      <c r="I2149" t="s">
        <v>35</v>
      </c>
      <c r="J2149"/>
      <c r="K2149">
        <v>1</v>
      </c>
      <c r="L2149">
        <v>1</v>
      </c>
      <c r="M2149" t="s">
        <v>33</v>
      </c>
      <c r="N2149">
        <v>1</v>
      </c>
      <c r="O2149"/>
      <c r="P2149">
        <v>0</v>
      </c>
      <c r="Q2149" t="s">
        <v>38</v>
      </c>
      <c r="R2149">
        <v>1</v>
      </c>
      <c r="S2149">
        <v>0</v>
      </c>
      <c r="T2149"/>
      <c r="U2149"/>
      <c r="V2149"/>
      <c r="W2149"/>
      <c r="X2149">
        <v>0</v>
      </c>
      <c r="Y2149"/>
      <c r="Z2149">
        <v>0</v>
      </c>
      <c r="AA2149"/>
      <c r="AB2149"/>
      <c r="AC2149"/>
      <c r="AD2149"/>
      <c r="AE2149">
        <v>0</v>
      </c>
      <c r="AF2149"/>
      <c r="AG2149" t="s">
        <v>3468</v>
      </c>
      <c r="AH2149"/>
    </row>
    <row r="2150" spans="1:34" x14ac:dyDescent="0.25">
      <c r="A2150" t="s">
        <v>2671</v>
      </c>
      <c r="B2150" t="s">
        <v>2672</v>
      </c>
      <c r="C2150"/>
      <c r="D2150" t="s">
        <v>2649</v>
      </c>
      <c r="E2150" t="s">
        <v>2783</v>
      </c>
      <c r="F2150" t="s">
        <v>2860</v>
      </c>
      <c r="G2150" t="s">
        <v>280</v>
      </c>
      <c r="H2150" t="s">
        <v>2861</v>
      </c>
      <c r="I2150" t="s">
        <v>35</v>
      </c>
      <c r="J2150"/>
      <c r="K2150">
        <v>1</v>
      </c>
      <c r="L2150">
        <v>1</v>
      </c>
      <c r="M2150" t="s">
        <v>33</v>
      </c>
      <c r="N2150">
        <v>1</v>
      </c>
      <c r="O2150"/>
      <c r="P2150">
        <v>0</v>
      </c>
      <c r="Q2150" t="s">
        <v>38</v>
      </c>
      <c r="R2150">
        <v>1</v>
      </c>
      <c r="S2150">
        <v>0</v>
      </c>
      <c r="T2150"/>
      <c r="U2150"/>
      <c r="V2150"/>
      <c r="W2150"/>
      <c r="X2150">
        <v>0</v>
      </c>
      <c r="Y2150"/>
      <c r="Z2150">
        <v>0</v>
      </c>
      <c r="AA2150"/>
      <c r="AB2150"/>
      <c r="AC2150"/>
      <c r="AD2150"/>
      <c r="AE2150">
        <v>0</v>
      </c>
      <c r="AF2150"/>
      <c r="AG2150" t="s">
        <v>3468</v>
      </c>
      <c r="AH2150"/>
    </row>
    <row r="2151" spans="1:34" x14ac:dyDescent="0.25">
      <c r="A2151" t="s">
        <v>2671</v>
      </c>
      <c r="B2151" t="s">
        <v>2672</v>
      </c>
      <c r="C2151"/>
      <c r="D2151" t="s">
        <v>2649</v>
      </c>
      <c r="E2151" t="s">
        <v>2783</v>
      </c>
      <c r="F2151" t="s">
        <v>2862</v>
      </c>
      <c r="G2151" t="s">
        <v>280</v>
      </c>
      <c r="H2151" t="s">
        <v>2863</v>
      </c>
      <c r="I2151" t="s">
        <v>35</v>
      </c>
      <c r="J2151"/>
      <c r="K2151">
        <v>1</v>
      </c>
      <c r="L2151">
        <v>1</v>
      </c>
      <c r="M2151" t="s">
        <v>33</v>
      </c>
      <c r="N2151">
        <v>1</v>
      </c>
      <c r="O2151"/>
      <c r="P2151">
        <v>0</v>
      </c>
      <c r="Q2151" t="s">
        <v>38</v>
      </c>
      <c r="R2151">
        <v>1</v>
      </c>
      <c r="S2151">
        <v>0</v>
      </c>
      <c r="T2151"/>
      <c r="U2151"/>
      <c r="V2151"/>
      <c r="W2151"/>
      <c r="X2151">
        <v>0</v>
      </c>
      <c r="Y2151"/>
      <c r="Z2151">
        <v>0</v>
      </c>
      <c r="AA2151"/>
      <c r="AB2151"/>
      <c r="AC2151"/>
      <c r="AD2151"/>
      <c r="AE2151">
        <v>0</v>
      </c>
      <c r="AF2151"/>
      <c r="AG2151" t="s">
        <v>3468</v>
      </c>
      <c r="AH2151"/>
    </row>
    <row r="2152" spans="1:34" x14ac:dyDescent="0.25">
      <c r="A2152" t="s">
        <v>2671</v>
      </c>
      <c r="B2152" t="s">
        <v>2672</v>
      </c>
      <c r="C2152"/>
      <c r="D2152" t="s">
        <v>2649</v>
      </c>
      <c r="E2152" t="s">
        <v>2783</v>
      </c>
      <c r="F2152" t="s">
        <v>2864</v>
      </c>
      <c r="G2152" t="s">
        <v>280</v>
      </c>
      <c r="H2152" t="s">
        <v>2865</v>
      </c>
      <c r="I2152" t="s">
        <v>35</v>
      </c>
      <c r="J2152"/>
      <c r="K2152">
        <v>1</v>
      </c>
      <c r="L2152">
        <v>1</v>
      </c>
      <c r="M2152" t="s">
        <v>33</v>
      </c>
      <c r="N2152">
        <v>1</v>
      </c>
      <c r="O2152"/>
      <c r="P2152">
        <v>0</v>
      </c>
      <c r="Q2152" t="s">
        <v>38</v>
      </c>
      <c r="R2152">
        <v>1</v>
      </c>
      <c r="S2152">
        <v>0</v>
      </c>
      <c r="T2152"/>
      <c r="U2152"/>
      <c r="V2152"/>
      <c r="W2152"/>
      <c r="X2152">
        <v>0</v>
      </c>
      <c r="Y2152"/>
      <c r="Z2152">
        <v>0</v>
      </c>
      <c r="AA2152"/>
      <c r="AB2152"/>
      <c r="AC2152"/>
      <c r="AD2152"/>
      <c r="AE2152">
        <v>0</v>
      </c>
      <c r="AF2152"/>
      <c r="AG2152" t="s">
        <v>3468</v>
      </c>
      <c r="AH2152"/>
    </row>
    <row r="2153" spans="1:34" x14ac:dyDescent="0.25">
      <c r="A2153" t="s">
        <v>2671</v>
      </c>
      <c r="B2153" t="s">
        <v>2672</v>
      </c>
      <c r="C2153"/>
      <c r="D2153" t="s">
        <v>2649</v>
      </c>
      <c r="E2153" t="s">
        <v>2783</v>
      </c>
      <c r="F2153" t="s">
        <v>2866</v>
      </c>
      <c r="G2153" t="s">
        <v>280</v>
      </c>
      <c r="H2153" t="s">
        <v>2867</v>
      </c>
      <c r="I2153" t="s">
        <v>35</v>
      </c>
      <c r="J2153"/>
      <c r="K2153">
        <v>1</v>
      </c>
      <c r="L2153">
        <v>1</v>
      </c>
      <c r="M2153" t="s">
        <v>33</v>
      </c>
      <c r="N2153">
        <v>1</v>
      </c>
      <c r="O2153"/>
      <c r="P2153">
        <v>0</v>
      </c>
      <c r="Q2153" t="s">
        <v>38</v>
      </c>
      <c r="R2153">
        <v>1</v>
      </c>
      <c r="S2153">
        <v>0</v>
      </c>
      <c r="T2153"/>
      <c r="U2153"/>
      <c r="V2153"/>
      <c r="W2153"/>
      <c r="X2153">
        <v>0</v>
      </c>
      <c r="Y2153"/>
      <c r="Z2153">
        <v>0</v>
      </c>
      <c r="AA2153"/>
      <c r="AB2153"/>
      <c r="AC2153"/>
      <c r="AD2153"/>
      <c r="AE2153">
        <v>0</v>
      </c>
      <c r="AF2153"/>
      <c r="AG2153" t="s">
        <v>3468</v>
      </c>
      <c r="AH2153"/>
    </row>
    <row r="2154" spans="1:34" x14ac:dyDescent="0.25">
      <c r="A2154" t="s">
        <v>2671</v>
      </c>
      <c r="B2154" t="s">
        <v>2672</v>
      </c>
      <c r="C2154"/>
      <c r="D2154" t="s">
        <v>2649</v>
      </c>
      <c r="E2154" t="s">
        <v>2783</v>
      </c>
      <c r="F2154" t="s">
        <v>2868</v>
      </c>
      <c r="G2154" t="s">
        <v>280</v>
      </c>
      <c r="H2154" t="s">
        <v>2869</v>
      </c>
      <c r="I2154" t="s">
        <v>35</v>
      </c>
      <c r="J2154"/>
      <c r="K2154">
        <v>1</v>
      </c>
      <c r="L2154">
        <v>1</v>
      </c>
      <c r="M2154" t="s">
        <v>33</v>
      </c>
      <c r="N2154">
        <v>1</v>
      </c>
      <c r="O2154"/>
      <c r="P2154">
        <v>0</v>
      </c>
      <c r="Q2154" t="s">
        <v>38</v>
      </c>
      <c r="R2154">
        <v>1</v>
      </c>
      <c r="S2154">
        <v>0</v>
      </c>
      <c r="T2154"/>
      <c r="U2154"/>
      <c r="V2154"/>
      <c r="W2154"/>
      <c r="X2154">
        <v>0</v>
      </c>
      <c r="Y2154"/>
      <c r="Z2154">
        <v>0</v>
      </c>
      <c r="AA2154"/>
      <c r="AB2154"/>
      <c r="AC2154"/>
      <c r="AD2154"/>
      <c r="AE2154">
        <v>0</v>
      </c>
      <c r="AF2154"/>
      <c r="AG2154" t="s">
        <v>3468</v>
      </c>
      <c r="AH2154"/>
    </row>
    <row r="2155" spans="1:34" x14ac:dyDescent="0.25">
      <c r="A2155" t="s">
        <v>2671</v>
      </c>
      <c r="B2155" t="s">
        <v>2672</v>
      </c>
      <c r="C2155"/>
      <c r="D2155" t="s">
        <v>2649</v>
      </c>
      <c r="E2155" t="s">
        <v>2783</v>
      </c>
      <c r="F2155" t="s">
        <v>2870</v>
      </c>
      <c r="G2155" t="s">
        <v>280</v>
      </c>
      <c r="H2155" t="s">
        <v>2871</v>
      </c>
      <c r="I2155" t="s">
        <v>35</v>
      </c>
      <c r="J2155"/>
      <c r="K2155">
        <v>1</v>
      </c>
      <c r="L2155">
        <v>1</v>
      </c>
      <c r="M2155" t="s">
        <v>33</v>
      </c>
      <c r="N2155">
        <v>1</v>
      </c>
      <c r="O2155"/>
      <c r="P2155">
        <v>0</v>
      </c>
      <c r="Q2155" t="s">
        <v>38</v>
      </c>
      <c r="R2155">
        <v>1</v>
      </c>
      <c r="S2155">
        <v>0</v>
      </c>
      <c r="T2155"/>
      <c r="U2155"/>
      <c r="V2155"/>
      <c r="W2155"/>
      <c r="X2155">
        <v>0</v>
      </c>
      <c r="Y2155"/>
      <c r="Z2155">
        <v>0</v>
      </c>
      <c r="AA2155"/>
      <c r="AB2155"/>
      <c r="AC2155"/>
      <c r="AD2155"/>
      <c r="AE2155">
        <v>0</v>
      </c>
      <c r="AF2155"/>
      <c r="AG2155" t="s">
        <v>3468</v>
      </c>
      <c r="AH2155"/>
    </row>
    <row r="2156" spans="1:34" x14ac:dyDescent="0.25">
      <c r="A2156" t="s">
        <v>2671</v>
      </c>
      <c r="B2156" t="s">
        <v>2672</v>
      </c>
      <c r="C2156"/>
      <c r="D2156" t="s">
        <v>2649</v>
      </c>
      <c r="E2156" t="s">
        <v>2783</v>
      </c>
      <c r="F2156" t="s">
        <v>2872</v>
      </c>
      <c r="G2156" t="s">
        <v>280</v>
      </c>
      <c r="H2156" t="s">
        <v>2873</v>
      </c>
      <c r="I2156" t="s">
        <v>35</v>
      </c>
      <c r="J2156"/>
      <c r="K2156">
        <v>1</v>
      </c>
      <c r="L2156">
        <v>1</v>
      </c>
      <c r="M2156" t="s">
        <v>33</v>
      </c>
      <c r="N2156">
        <v>1</v>
      </c>
      <c r="O2156"/>
      <c r="P2156">
        <v>0</v>
      </c>
      <c r="Q2156" t="s">
        <v>38</v>
      </c>
      <c r="R2156">
        <v>1</v>
      </c>
      <c r="S2156">
        <v>0</v>
      </c>
      <c r="T2156"/>
      <c r="U2156"/>
      <c r="V2156"/>
      <c r="W2156"/>
      <c r="X2156">
        <v>0</v>
      </c>
      <c r="Y2156"/>
      <c r="Z2156">
        <v>0</v>
      </c>
      <c r="AA2156"/>
      <c r="AB2156"/>
      <c r="AC2156"/>
      <c r="AD2156"/>
      <c r="AE2156">
        <v>0</v>
      </c>
      <c r="AF2156"/>
      <c r="AG2156" t="s">
        <v>3468</v>
      </c>
      <c r="AH2156"/>
    </row>
    <row r="2157" spans="1:34" x14ac:dyDescent="0.25">
      <c r="A2157" t="s">
        <v>2671</v>
      </c>
      <c r="B2157" t="s">
        <v>2672</v>
      </c>
      <c r="C2157"/>
      <c r="D2157" t="s">
        <v>2649</v>
      </c>
      <c r="E2157" t="s">
        <v>2783</v>
      </c>
      <c r="F2157" t="s">
        <v>2874</v>
      </c>
      <c r="G2157" t="s">
        <v>280</v>
      </c>
      <c r="H2157" t="s">
        <v>2875</v>
      </c>
      <c r="I2157" t="s">
        <v>35</v>
      </c>
      <c r="J2157"/>
      <c r="K2157">
        <v>1</v>
      </c>
      <c r="L2157">
        <v>1</v>
      </c>
      <c r="M2157" t="s">
        <v>33</v>
      </c>
      <c r="N2157">
        <v>1</v>
      </c>
      <c r="O2157"/>
      <c r="P2157">
        <v>0</v>
      </c>
      <c r="Q2157" t="s">
        <v>38</v>
      </c>
      <c r="R2157">
        <v>1</v>
      </c>
      <c r="S2157">
        <v>0</v>
      </c>
      <c r="T2157"/>
      <c r="U2157"/>
      <c r="V2157"/>
      <c r="W2157"/>
      <c r="X2157">
        <v>0</v>
      </c>
      <c r="Y2157"/>
      <c r="Z2157">
        <v>0</v>
      </c>
      <c r="AA2157"/>
      <c r="AB2157"/>
      <c r="AC2157"/>
      <c r="AD2157"/>
      <c r="AE2157">
        <v>0</v>
      </c>
      <c r="AF2157"/>
      <c r="AG2157" t="s">
        <v>3468</v>
      </c>
      <c r="AH2157"/>
    </row>
    <row r="2158" spans="1:34" x14ac:dyDescent="0.25">
      <c r="A2158" t="s">
        <v>2647</v>
      </c>
      <c r="B2158" t="s">
        <v>2648</v>
      </c>
      <c r="C2158"/>
      <c r="D2158" t="s">
        <v>2649</v>
      </c>
      <c r="E2158" t="s">
        <v>2876</v>
      </c>
      <c r="F2158" t="s">
        <v>2877</v>
      </c>
      <c r="G2158" t="s">
        <v>280</v>
      </c>
      <c r="H2158" t="s">
        <v>2878</v>
      </c>
      <c r="I2158" t="s">
        <v>35</v>
      </c>
      <c r="J2158"/>
      <c r="K2158">
        <v>1</v>
      </c>
      <c r="L2158">
        <v>1</v>
      </c>
      <c r="M2158" t="s">
        <v>33</v>
      </c>
      <c r="N2158">
        <v>1</v>
      </c>
      <c r="O2158"/>
      <c r="P2158">
        <v>0</v>
      </c>
      <c r="Q2158" t="s">
        <v>38</v>
      </c>
      <c r="R2158">
        <v>1</v>
      </c>
      <c r="S2158">
        <v>0</v>
      </c>
      <c r="T2158"/>
      <c r="U2158"/>
      <c r="V2158"/>
      <c r="W2158"/>
      <c r="X2158">
        <v>0</v>
      </c>
      <c r="Y2158"/>
      <c r="Z2158">
        <v>0</v>
      </c>
      <c r="AA2158"/>
      <c r="AB2158"/>
      <c r="AC2158"/>
      <c r="AD2158"/>
      <c r="AE2158">
        <v>0</v>
      </c>
      <c r="AF2158"/>
      <c r="AG2158" t="s">
        <v>3468</v>
      </c>
      <c r="AH2158"/>
    </row>
    <row r="2159" spans="1:34" x14ac:dyDescent="0.25">
      <c r="A2159" t="s">
        <v>2647</v>
      </c>
      <c r="B2159" t="s">
        <v>2648</v>
      </c>
      <c r="C2159"/>
      <c r="D2159" t="s">
        <v>2649</v>
      </c>
      <c r="E2159" t="s">
        <v>2876</v>
      </c>
      <c r="F2159" t="s">
        <v>2879</v>
      </c>
      <c r="G2159" t="s">
        <v>280</v>
      </c>
      <c r="H2159" t="s">
        <v>2880</v>
      </c>
      <c r="I2159" t="s">
        <v>35</v>
      </c>
      <c r="J2159"/>
      <c r="K2159">
        <v>1</v>
      </c>
      <c r="L2159">
        <v>1</v>
      </c>
      <c r="M2159" t="s">
        <v>33</v>
      </c>
      <c r="N2159">
        <v>1</v>
      </c>
      <c r="O2159"/>
      <c r="P2159">
        <v>0</v>
      </c>
      <c r="Q2159" t="s">
        <v>38</v>
      </c>
      <c r="R2159">
        <v>1</v>
      </c>
      <c r="S2159">
        <v>0</v>
      </c>
      <c r="T2159"/>
      <c r="U2159"/>
      <c r="V2159"/>
      <c r="W2159"/>
      <c r="X2159">
        <v>0</v>
      </c>
      <c r="Y2159"/>
      <c r="Z2159">
        <v>0</v>
      </c>
      <c r="AA2159"/>
      <c r="AB2159"/>
      <c r="AC2159"/>
      <c r="AD2159"/>
      <c r="AE2159">
        <v>0</v>
      </c>
      <c r="AF2159"/>
      <c r="AG2159" t="s">
        <v>3468</v>
      </c>
      <c r="AH2159"/>
    </row>
    <row r="2160" spans="1:34" x14ac:dyDescent="0.25">
      <c r="A2160" t="s">
        <v>2647</v>
      </c>
      <c r="B2160" t="s">
        <v>2648</v>
      </c>
      <c r="C2160"/>
      <c r="D2160" t="s">
        <v>2649</v>
      </c>
      <c r="E2160" t="s">
        <v>2876</v>
      </c>
      <c r="F2160" t="s">
        <v>2881</v>
      </c>
      <c r="G2160" t="s">
        <v>280</v>
      </c>
      <c r="H2160" t="s">
        <v>2882</v>
      </c>
      <c r="I2160" t="s">
        <v>35</v>
      </c>
      <c r="J2160"/>
      <c r="K2160">
        <v>1</v>
      </c>
      <c r="L2160">
        <v>1</v>
      </c>
      <c r="M2160" t="s">
        <v>33</v>
      </c>
      <c r="N2160">
        <v>1</v>
      </c>
      <c r="O2160"/>
      <c r="P2160">
        <v>0</v>
      </c>
      <c r="Q2160" t="s">
        <v>38</v>
      </c>
      <c r="R2160">
        <v>1</v>
      </c>
      <c r="S2160">
        <v>0</v>
      </c>
      <c r="T2160"/>
      <c r="U2160"/>
      <c r="V2160"/>
      <c r="W2160"/>
      <c r="X2160">
        <v>0</v>
      </c>
      <c r="Y2160"/>
      <c r="Z2160">
        <v>0</v>
      </c>
      <c r="AA2160"/>
      <c r="AB2160"/>
      <c r="AC2160"/>
      <c r="AD2160"/>
      <c r="AE2160">
        <v>0</v>
      </c>
      <c r="AF2160"/>
      <c r="AG2160" t="s">
        <v>3468</v>
      </c>
      <c r="AH2160"/>
    </row>
    <row r="2161" spans="1:34" x14ac:dyDescent="0.25">
      <c r="A2161" t="s">
        <v>2671</v>
      </c>
      <c r="B2161" t="s">
        <v>2672</v>
      </c>
      <c r="C2161"/>
      <c r="D2161" t="s">
        <v>2649</v>
      </c>
      <c r="E2161" t="s">
        <v>2876</v>
      </c>
      <c r="F2161" t="s">
        <v>2883</v>
      </c>
      <c r="G2161" t="s">
        <v>280</v>
      </c>
      <c r="H2161" t="s">
        <v>2884</v>
      </c>
      <c r="I2161" t="s">
        <v>35</v>
      </c>
      <c r="J2161"/>
      <c r="K2161">
        <v>1</v>
      </c>
      <c r="L2161">
        <v>1</v>
      </c>
      <c r="M2161" t="s">
        <v>33</v>
      </c>
      <c r="N2161">
        <v>1</v>
      </c>
      <c r="O2161"/>
      <c r="P2161">
        <v>0</v>
      </c>
      <c r="Q2161" t="s">
        <v>38</v>
      </c>
      <c r="R2161">
        <v>1</v>
      </c>
      <c r="S2161">
        <v>0</v>
      </c>
      <c r="T2161"/>
      <c r="U2161"/>
      <c r="V2161"/>
      <c r="W2161"/>
      <c r="X2161">
        <v>0</v>
      </c>
      <c r="Y2161"/>
      <c r="Z2161">
        <v>0</v>
      </c>
      <c r="AA2161"/>
      <c r="AB2161"/>
      <c r="AC2161"/>
      <c r="AD2161"/>
      <c r="AE2161">
        <v>0</v>
      </c>
      <c r="AF2161"/>
      <c r="AG2161" t="s">
        <v>3468</v>
      </c>
      <c r="AH2161"/>
    </row>
    <row r="2162" spans="1:34" x14ac:dyDescent="0.25">
      <c r="A2162" t="s">
        <v>2671</v>
      </c>
      <c r="B2162" t="s">
        <v>2672</v>
      </c>
      <c r="C2162"/>
      <c r="D2162" t="s">
        <v>2649</v>
      </c>
      <c r="E2162" t="s">
        <v>2876</v>
      </c>
      <c r="F2162" t="s">
        <v>2885</v>
      </c>
      <c r="G2162" t="s">
        <v>280</v>
      </c>
      <c r="H2162" t="s">
        <v>2886</v>
      </c>
      <c r="I2162" t="s">
        <v>35</v>
      </c>
      <c r="J2162"/>
      <c r="K2162">
        <v>1</v>
      </c>
      <c r="L2162">
        <v>1</v>
      </c>
      <c r="M2162" t="s">
        <v>33</v>
      </c>
      <c r="N2162">
        <v>1</v>
      </c>
      <c r="O2162"/>
      <c r="P2162">
        <v>0</v>
      </c>
      <c r="Q2162" t="s">
        <v>38</v>
      </c>
      <c r="R2162">
        <v>1</v>
      </c>
      <c r="S2162">
        <v>0</v>
      </c>
      <c r="T2162"/>
      <c r="U2162"/>
      <c r="V2162"/>
      <c r="W2162"/>
      <c r="X2162">
        <v>0</v>
      </c>
      <c r="Y2162"/>
      <c r="Z2162">
        <v>0</v>
      </c>
      <c r="AA2162"/>
      <c r="AB2162"/>
      <c r="AC2162"/>
      <c r="AD2162"/>
      <c r="AE2162">
        <v>0</v>
      </c>
      <c r="AF2162"/>
      <c r="AG2162" t="s">
        <v>3468</v>
      </c>
      <c r="AH2162"/>
    </row>
    <row r="2163" spans="1:34" x14ac:dyDescent="0.25">
      <c r="A2163" t="s">
        <v>2671</v>
      </c>
      <c r="B2163" t="s">
        <v>2672</v>
      </c>
      <c r="C2163"/>
      <c r="D2163" t="s">
        <v>2649</v>
      </c>
      <c r="E2163" t="s">
        <v>2876</v>
      </c>
      <c r="F2163" t="s">
        <v>2887</v>
      </c>
      <c r="G2163" t="s">
        <v>280</v>
      </c>
      <c r="H2163" t="s">
        <v>2888</v>
      </c>
      <c r="I2163" t="s">
        <v>35</v>
      </c>
      <c r="J2163"/>
      <c r="K2163">
        <v>1</v>
      </c>
      <c r="L2163">
        <v>1</v>
      </c>
      <c r="M2163" t="s">
        <v>33</v>
      </c>
      <c r="N2163">
        <v>1</v>
      </c>
      <c r="O2163"/>
      <c r="P2163">
        <v>0</v>
      </c>
      <c r="Q2163" t="s">
        <v>38</v>
      </c>
      <c r="R2163">
        <v>1</v>
      </c>
      <c r="S2163">
        <v>0</v>
      </c>
      <c r="T2163"/>
      <c r="U2163"/>
      <c r="V2163"/>
      <c r="W2163"/>
      <c r="X2163">
        <v>0</v>
      </c>
      <c r="Y2163"/>
      <c r="Z2163">
        <v>0</v>
      </c>
      <c r="AA2163"/>
      <c r="AB2163"/>
      <c r="AC2163"/>
      <c r="AD2163"/>
      <c r="AE2163">
        <v>0</v>
      </c>
      <c r="AF2163"/>
      <c r="AG2163" t="s">
        <v>3468</v>
      </c>
      <c r="AH2163"/>
    </row>
    <row r="2164" spans="1:34" x14ac:dyDescent="0.25">
      <c r="A2164" t="s">
        <v>3440</v>
      </c>
      <c r="B2164" t="s">
        <v>3441</v>
      </c>
      <c r="C2164"/>
      <c r="D2164" t="s">
        <v>2649</v>
      </c>
      <c r="E2164" t="s">
        <v>2889</v>
      </c>
      <c r="F2164" t="s">
        <v>2890</v>
      </c>
      <c r="G2164" t="s">
        <v>280</v>
      </c>
      <c r="H2164" t="s">
        <v>2891</v>
      </c>
      <c r="I2164" t="s">
        <v>35</v>
      </c>
      <c r="J2164"/>
      <c r="K2164">
        <v>1</v>
      </c>
      <c r="L2164">
        <v>1</v>
      </c>
      <c r="M2164" t="s">
        <v>33</v>
      </c>
      <c r="N2164">
        <v>1</v>
      </c>
      <c r="O2164"/>
      <c r="P2164">
        <v>0</v>
      </c>
      <c r="Q2164" t="s">
        <v>38</v>
      </c>
      <c r="R2164">
        <v>1</v>
      </c>
      <c r="S2164">
        <v>0</v>
      </c>
      <c r="T2164"/>
      <c r="U2164"/>
      <c r="V2164"/>
      <c r="W2164"/>
      <c r="X2164">
        <v>0</v>
      </c>
      <c r="Y2164"/>
      <c r="Z2164">
        <v>0</v>
      </c>
      <c r="AA2164"/>
      <c r="AB2164"/>
      <c r="AC2164"/>
      <c r="AD2164"/>
      <c r="AE2164">
        <v>0</v>
      </c>
      <c r="AF2164"/>
      <c r="AG2164"/>
      <c r="AH2164"/>
    </row>
    <row r="2165" spans="1:34" x14ac:dyDescent="0.25">
      <c r="A2165" t="s">
        <v>3442</v>
      </c>
      <c r="B2165" t="s">
        <v>3443</v>
      </c>
      <c r="C2165"/>
      <c r="D2165" t="s">
        <v>2649</v>
      </c>
      <c r="E2165" t="s">
        <v>2889</v>
      </c>
      <c r="F2165" t="s">
        <v>2890</v>
      </c>
      <c r="G2165" t="s">
        <v>280</v>
      </c>
      <c r="H2165" t="s">
        <v>2891</v>
      </c>
      <c r="I2165" t="s">
        <v>35</v>
      </c>
      <c r="J2165"/>
      <c r="K2165">
        <v>1</v>
      </c>
      <c r="L2165">
        <v>1</v>
      </c>
      <c r="M2165" t="s">
        <v>33</v>
      </c>
      <c r="N2165">
        <v>1</v>
      </c>
      <c r="O2165"/>
      <c r="P2165">
        <v>0</v>
      </c>
      <c r="Q2165" t="s">
        <v>38</v>
      </c>
      <c r="R2165">
        <v>1</v>
      </c>
      <c r="S2165">
        <v>0</v>
      </c>
      <c r="T2165"/>
      <c r="U2165"/>
      <c r="V2165"/>
      <c r="W2165"/>
      <c r="X2165">
        <v>0</v>
      </c>
      <c r="Y2165"/>
      <c r="Z2165">
        <v>0</v>
      </c>
      <c r="AA2165"/>
      <c r="AB2165"/>
      <c r="AC2165"/>
      <c r="AD2165"/>
      <c r="AE2165">
        <v>0</v>
      </c>
      <c r="AF2165"/>
      <c r="AG2165"/>
      <c r="AH2165"/>
    </row>
    <row r="2166" spans="1:34" x14ac:dyDescent="0.25">
      <c r="A2166" t="s">
        <v>3440</v>
      </c>
      <c r="B2166" t="s">
        <v>3441</v>
      </c>
      <c r="C2166"/>
      <c r="D2166" t="s">
        <v>2649</v>
      </c>
      <c r="E2166" t="s">
        <v>2889</v>
      </c>
      <c r="F2166" t="s">
        <v>2892</v>
      </c>
      <c r="G2166" t="s">
        <v>280</v>
      </c>
      <c r="H2166" t="s">
        <v>2893</v>
      </c>
      <c r="I2166" t="s">
        <v>35</v>
      </c>
      <c r="J2166"/>
      <c r="K2166">
        <v>1</v>
      </c>
      <c r="L2166">
        <v>1</v>
      </c>
      <c r="M2166" t="s">
        <v>33</v>
      </c>
      <c r="N2166">
        <v>1</v>
      </c>
      <c r="O2166"/>
      <c r="P2166">
        <v>0</v>
      </c>
      <c r="Q2166" t="s">
        <v>38</v>
      </c>
      <c r="R2166">
        <v>1</v>
      </c>
      <c r="S2166">
        <v>0</v>
      </c>
      <c r="T2166"/>
      <c r="U2166"/>
      <c r="V2166"/>
      <c r="W2166"/>
      <c r="X2166">
        <v>0</v>
      </c>
      <c r="Y2166"/>
      <c r="Z2166">
        <v>0</v>
      </c>
      <c r="AA2166"/>
      <c r="AB2166"/>
      <c r="AC2166"/>
      <c r="AD2166"/>
      <c r="AE2166">
        <v>0</v>
      </c>
      <c r="AF2166"/>
      <c r="AG2166"/>
      <c r="AH2166"/>
    </row>
    <row r="2167" spans="1:34" x14ac:dyDescent="0.25">
      <c r="A2167" t="s">
        <v>3442</v>
      </c>
      <c r="B2167" t="s">
        <v>3443</v>
      </c>
      <c r="C2167"/>
      <c r="D2167" t="s">
        <v>2649</v>
      </c>
      <c r="E2167" t="s">
        <v>2889</v>
      </c>
      <c r="F2167" t="s">
        <v>2892</v>
      </c>
      <c r="G2167" t="s">
        <v>280</v>
      </c>
      <c r="H2167" t="s">
        <v>2893</v>
      </c>
      <c r="I2167" t="s">
        <v>35</v>
      </c>
      <c r="J2167"/>
      <c r="K2167">
        <v>1</v>
      </c>
      <c r="L2167">
        <v>1</v>
      </c>
      <c r="M2167" t="s">
        <v>33</v>
      </c>
      <c r="N2167">
        <v>1</v>
      </c>
      <c r="O2167"/>
      <c r="P2167">
        <v>0</v>
      </c>
      <c r="Q2167" t="s">
        <v>38</v>
      </c>
      <c r="R2167">
        <v>1</v>
      </c>
      <c r="S2167">
        <v>0</v>
      </c>
      <c r="T2167"/>
      <c r="U2167"/>
      <c r="V2167"/>
      <c r="W2167"/>
      <c r="X2167">
        <v>0</v>
      </c>
      <c r="Y2167"/>
      <c r="Z2167">
        <v>0</v>
      </c>
      <c r="AA2167"/>
      <c r="AB2167"/>
      <c r="AC2167"/>
      <c r="AD2167"/>
      <c r="AE2167">
        <v>0</v>
      </c>
      <c r="AF2167"/>
      <c r="AG2167"/>
      <c r="AH2167"/>
    </row>
    <row r="2168" spans="1:34" x14ac:dyDescent="0.25">
      <c r="A2168" t="s">
        <v>3440</v>
      </c>
      <c r="B2168" t="s">
        <v>3441</v>
      </c>
      <c r="C2168"/>
      <c r="D2168" t="s">
        <v>2649</v>
      </c>
      <c r="E2168" t="s">
        <v>2889</v>
      </c>
      <c r="F2168" t="s">
        <v>2894</v>
      </c>
      <c r="G2168" t="s">
        <v>280</v>
      </c>
      <c r="H2168" t="s">
        <v>2895</v>
      </c>
      <c r="I2168" t="s">
        <v>35</v>
      </c>
      <c r="J2168"/>
      <c r="K2168">
        <v>1</v>
      </c>
      <c r="L2168">
        <v>1</v>
      </c>
      <c r="M2168" t="s">
        <v>33</v>
      </c>
      <c r="N2168">
        <v>1</v>
      </c>
      <c r="O2168"/>
      <c r="P2168">
        <v>0</v>
      </c>
      <c r="Q2168" t="s">
        <v>38</v>
      </c>
      <c r="R2168">
        <v>1</v>
      </c>
      <c r="S2168">
        <v>0</v>
      </c>
      <c r="T2168"/>
      <c r="U2168"/>
      <c r="V2168"/>
      <c r="W2168"/>
      <c r="X2168">
        <v>0</v>
      </c>
      <c r="Y2168"/>
      <c r="Z2168">
        <v>0</v>
      </c>
      <c r="AA2168"/>
      <c r="AB2168"/>
      <c r="AC2168"/>
      <c r="AD2168"/>
      <c r="AE2168">
        <v>0</v>
      </c>
      <c r="AF2168"/>
      <c r="AG2168"/>
      <c r="AH2168"/>
    </row>
    <row r="2169" spans="1:34" x14ac:dyDescent="0.25">
      <c r="A2169" t="s">
        <v>3442</v>
      </c>
      <c r="B2169" t="s">
        <v>3443</v>
      </c>
      <c r="C2169"/>
      <c r="D2169" t="s">
        <v>2649</v>
      </c>
      <c r="E2169" t="s">
        <v>2889</v>
      </c>
      <c r="F2169" t="s">
        <v>2894</v>
      </c>
      <c r="G2169" t="s">
        <v>280</v>
      </c>
      <c r="H2169" t="s">
        <v>2895</v>
      </c>
      <c r="I2169" t="s">
        <v>35</v>
      </c>
      <c r="J2169"/>
      <c r="K2169">
        <v>1</v>
      </c>
      <c r="L2169">
        <v>1</v>
      </c>
      <c r="M2169" t="s">
        <v>33</v>
      </c>
      <c r="N2169">
        <v>1</v>
      </c>
      <c r="O2169"/>
      <c r="P2169">
        <v>0</v>
      </c>
      <c r="Q2169" t="s">
        <v>38</v>
      </c>
      <c r="R2169">
        <v>1</v>
      </c>
      <c r="S2169">
        <v>0</v>
      </c>
      <c r="T2169"/>
      <c r="U2169"/>
      <c r="V2169"/>
      <c r="W2169"/>
      <c r="X2169">
        <v>0</v>
      </c>
      <c r="Y2169"/>
      <c r="Z2169">
        <v>0</v>
      </c>
      <c r="AA2169"/>
      <c r="AB2169"/>
      <c r="AC2169"/>
      <c r="AD2169"/>
      <c r="AE2169">
        <v>0</v>
      </c>
      <c r="AF2169"/>
      <c r="AG2169"/>
      <c r="AH2169"/>
    </row>
    <row r="2170" spans="1:34" x14ac:dyDescent="0.25">
      <c r="A2170" t="s">
        <v>3440</v>
      </c>
      <c r="B2170" t="s">
        <v>3441</v>
      </c>
      <c r="C2170"/>
      <c r="D2170" t="s">
        <v>2649</v>
      </c>
      <c r="E2170" t="s">
        <v>2889</v>
      </c>
      <c r="F2170" t="s">
        <v>2896</v>
      </c>
      <c r="G2170" t="s">
        <v>280</v>
      </c>
      <c r="H2170" t="s">
        <v>2897</v>
      </c>
      <c r="I2170" t="s">
        <v>35</v>
      </c>
      <c r="J2170"/>
      <c r="K2170">
        <v>1</v>
      </c>
      <c r="L2170">
        <v>1</v>
      </c>
      <c r="M2170" t="s">
        <v>33</v>
      </c>
      <c r="N2170">
        <v>1</v>
      </c>
      <c r="O2170"/>
      <c r="P2170">
        <v>0</v>
      </c>
      <c r="Q2170" t="s">
        <v>38</v>
      </c>
      <c r="R2170">
        <v>1</v>
      </c>
      <c r="S2170">
        <v>0</v>
      </c>
      <c r="T2170"/>
      <c r="U2170"/>
      <c r="V2170"/>
      <c r="W2170"/>
      <c r="X2170">
        <v>0</v>
      </c>
      <c r="Y2170"/>
      <c r="Z2170">
        <v>0</v>
      </c>
      <c r="AA2170"/>
      <c r="AB2170"/>
      <c r="AC2170"/>
      <c r="AD2170"/>
      <c r="AE2170">
        <v>0</v>
      </c>
      <c r="AF2170"/>
      <c r="AG2170"/>
      <c r="AH2170"/>
    </row>
    <row r="2171" spans="1:34" x14ac:dyDescent="0.25">
      <c r="A2171" t="s">
        <v>3442</v>
      </c>
      <c r="B2171" t="s">
        <v>3443</v>
      </c>
      <c r="C2171"/>
      <c r="D2171" t="s">
        <v>2649</v>
      </c>
      <c r="E2171" t="s">
        <v>2889</v>
      </c>
      <c r="F2171" t="s">
        <v>2896</v>
      </c>
      <c r="G2171" t="s">
        <v>280</v>
      </c>
      <c r="H2171" t="s">
        <v>2897</v>
      </c>
      <c r="I2171" t="s">
        <v>35</v>
      </c>
      <c r="J2171"/>
      <c r="K2171">
        <v>1</v>
      </c>
      <c r="L2171">
        <v>1</v>
      </c>
      <c r="M2171" t="s">
        <v>33</v>
      </c>
      <c r="N2171">
        <v>1</v>
      </c>
      <c r="O2171"/>
      <c r="P2171">
        <v>0</v>
      </c>
      <c r="Q2171" t="s">
        <v>38</v>
      </c>
      <c r="R2171">
        <v>1</v>
      </c>
      <c r="S2171">
        <v>0</v>
      </c>
      <c r="T2171"/>
      <c r="U2171"/>
      <c r="V2171"/>
      <c r="W2171"/>
      <c r="X2171">
        <v>0</v>
      </c>
      <c r="Y2171"/>
      <c r="Z2171">
        <v>0</v>
      </c>
      <c r="AA2171"/>
      <c r="AB2171"/>
      <c r="AC2171"/>
      <c r="AD2171"/>
      <c r="AE2171">
        <v>0</v>
      </c>
      <c r="AF2171"/>
      <c r="AG2171"/>
      <c r="AH2171"/>
    </row>
    <row r="2172" spans="1:34" x14ac:dyDescent="0.25">
      <c r="A2172" t="s">
        <v>3440</v>
      </c>
      <c r="B2172" t="s">
        <v>3441</v>
      </c>
      <c r="C2172"/>
      <c r="D2172" t="s">
        <v>2649</v>
      </c>
      <c r="E2172" t="s">
        <v>2889</v>
      </c>
      <c r="F2172" t="s">
        <v>2898</v>
      </c>
      <c r="G2172" t="s">
        <v>280</v>
      </c>
      <c r="H2172" t="s">
        <v>2897</v>
      </c>
      <c r="I2172" t="s">
        <v>35</v>
      </c>
      <c r="J2172"/>
      <c r="K2172">
        <v>1</v>
      </c>
      <c r="L2172">
        <v>1</v>
      </c>
      <c r="M2172" t="s">
        <v>33</v>
      </c>
      <c r="N2172">
        <v>1</v>
      </c>
      <c r="O2172"/>
      <c r="P2172">
        <v>0</v>
      </c>
      <c r="Q2172" t="s">
        <v>38</v>
      </c>
      <c r="R2172">
        <v>1</v>
      </c>
      <c r="S2172">
        <v>0</v>
      </c>
      <c r="T2172"/>
      <c r="U2172"/>
      <c r="V2172"/>
      <c r="W2172"/>
      <c r="X2172">
        <v>0</v>
      </c>
      <c r="Y2172"/>
      <c r="Z2172">
        <v>0</v>
      </c>
      <c r="AA2172"/>
      <c r="AB2172"/>
      <c r="AC2172"/>
      <c r="AD2172"/>
      <c r="AE2172">
        <v>0</v>
      </c>
      <c r="AF2172"/>
      <c r="AG2172"/>
      <c r="AH2172"/>
    </row>
    <row r="2173" spans="1:34" x14ac:dyDescent="0.25">
      <c r="A2173" t="s">
        <v>3442</v>
      </c>
      <c r="B2173" t="s">
        <v>3443</v>
      </c>
      <c r="C2173"/>
      <c r="D2173" t="s">
        <v>2649</v>
      </c>
      <c r="E2173" t="s">
        <v>2889</v>
      </c>
      <c r="F2173" t="s">
        <v>2898</v>
      </c>
      <c r="G2173" t="s">
        <v>280</v>
      </c>
      <c r="H2173" t="s">
        <v>2897</v>
      </c>
      <c r="I2173" t="s">
        <v>35</v>
      </c>
      <c r="J2173"/>
      <c r="K2173">
        <v>1</v>
      </c>
      <c r="L2173">
        <v>1</v>
      </c>
      <c r="M2173" t="s">
        <v>33</v>
      </c>
      <c r="N2173">
        <v>1</v>
      </c>
      <c r="O2173"/>
      <c r="P2173">
        <v>0</v>
      </c>
      <c r="Q2173" t="s">
        <v>38</v>
      </c>
      <c r="R2173">
        <v>1</v>
      </c>
      <c r="S2173">
        <v>0</v>
      </c>
      <c r="T2173"/>
      <c r="U2173"/>
      <c r="V2173"/>
      <c r="W2173"/>
      <c r="X2173">
        <v>0</v>
      </c>
      <c r="Y2173"/>
      <c r="Z2173">
        <v>0</v>
      </c>
      <c r="AA2173"/>
      <c r="AB2173"/>
      <c r="AC2173"/>
      <c r="AD2173"/>
      <c r="AE2173">
        <v>0</v>
      </c>
      <c r="AF2173"/>
      <c r="AG2173"/>
      <c r="AH2173"/>
    </row>
    <row r="2174" spans="1:34" x14ac:dyDescent="0.25">
      <c r="A2174" t="s">
        <v>3440</v>
      </c>
      <c r="B2174" t="s">
        <v>3441</v>
      </c>
      <c r="C2174"/>
      <c r="D2174" t="s">
        <v>2649</v>
      </c>
      <c r="E2174" t="s">
        <v>2889</v>
      </c>
      <c r="F2174" t="s">
        <v>2899</v>
      </c>
      <c r="G2174" t="s">
        <v>280</v>
      </c>
      <c r="H2174" t="s">
        <v>2900</v>
      </c>
      <c r="I2174" t="s">
        <v>35</v>
      </c>
      <c r="J2174"/>
      <c r="K2174">
        <v>1</v>
      </c>
      <c r="L2174">
        <v>1</v>
      </c>
      <c r="M2174" t="s">
        <v>33</v>
      </c>
      <c r="N2174">
        <v>1</v>
      </c>
      <c r="O2174"/>
      <c r="P2174">
        <v>0</v>
      </c>
      <c r="Q2174" t="s">
        <v>38</v>
      </c>
      <c r="R2174">
        <v>1</v>
      </c>
      <c r="S2174">
        <v>0</v>
      </c>
      <c r="T2174"/>
      <c r="U2174"/>
      <c r="V2174"/>
      <c r="W2174"/>
      <c r="X2174">
        <v>0</v>
      </c>
      <c r="Y2174"/>
      <c r="Z2174">
        <v>0</v>
      </c>
      <c r="AA2174"/>
      <c r="AB2174"/>
      <c r="AC2174"/>
      <c r="AD2174"/>
      <c r="AE2174">
        <v>0</v>
      </c>
      <c r="AF2174"/>
      <c r="AG2174"/>
      <c r="AH2174"/>
    </row>
    <row r="2175" spans="1:34" x14ac:dyDescent="0.25">
      <c r="A2175" t="s">
        <v>3442</v>
      </c>
      <c r="B2175" t="s">
        <v>3443</v>
      </c>
      <c r="C2175"/>
      <c r="D2175" t="s">
        <v>2649</v>
      </c>
      <c r="E2175" t="s">
        <v>2889</v>
      </c>
      <c r="F2175" t="s">
        <v>2899</v>
      </c>
      <c r="G2175" t="s">
        <v>280</v>
      </c>
      <c r="H2175" t="s">
        <v>2900</v>
      </c>
      <c r="I2175" t="s">
        <v>35</v>
      </c>
      <c r="J2175"/>
      <c r="K2175">
        <v>1</v>
      </c>
      <c r="L2175">
        <v>1</v>
      </c>
      <c r="M2175" t="s">
        <v>33</v>
      </c>
      <c r="N2175">
        <v>1</v>
      </c>
      <c r="O2175"/>
      <c r="P2175">
        <v>0</v>
      </c>
      <c r="Q2175" t="s">
        <v>38</v>
      </c>
      <c r="R2175">
        <v>1</v>
      </c>
      <c r="S2175">
        <v>0</v>
      </c>
      <c r="T2175"/>
      <c r="U2175"/>
      <c r="V2175"/>
      <c r="W2175"/>
      <c r="X2175">
        <v>0</v>
      </c>
      <c r="Y2175"/>
      <c r="Z2175">
        <v>0</v>
      </c>
      <c r="AA2175"/>
      <c r="AB2175"/>
      <c r="AC2175"/>
      <c r="AD2175"/>
      <c r="AE2175">
        <v>0</v>
      </c>
      <c r="AF2175"/>
      <c r="AG2175"/>
      <c r="AH2175"/>
    </row>
    <row r="2176" spans="1:34" x14ac:dyDescent="0.25">
      <c r="A2176" t="s">
        <v>3440</v>
      </c>
      <c r="B2176" t="s">
        <v>3441</v>
      </c>
      <c r="C2176"/>
      <c r="D2176" t="s">
        <v>2649</v>
      </c>
      <c r="E2176" t="s">
        <v>2889</v>
      </c>
      <c r="F2176" t="s">
        <v>2901</v>
      </c>
      <c r="G2176" t="s">
        <v>280</v>
      </c>
      <c r="H2176" t="s">
        <v>2902</v>
      </c>
      <c r="I2176" t="s">
        <v>35</v>
      </c>
      <c r="J2176"/>
      <c r="K2176">
        <v>1</v>
      </c>
      <c r="L2176">
        <v>1</v>
      </c>
      <c r="M2176" t="s">
        <v>33</v>
      </c>
      <c r="N2176">
        <v>1</v>
      </c>
      <c r="O2176"/>
      <c r="P2176">
        <v>0</v>
      </c>
      <c r="Q2176" t="s">
        <v>38</v>
      </c>
      <c r="R2176">
        <v>1</v>
      </c>
      <c r="S2176">
        <v>0</v>
      </c>
      <c r="T2176"/>
      <c r="U2176"/>
      <c r="V2176"/>
      <c r="W2176"/>
      <c r="X2176">
        <v>0</v>
      </c>
      <c r="Y2176"/>
      <c r="Z2176">
        <v>0</v>
      </c>
      <c r="AA2176"/>
      <c r="AB2176"/>
      <c r="AC2176"/>
      <c r="AD2176"/>
      <c r="AE2176">
        <v>0</v>
      </c>
      <c r="AF2176"/>
      <c r="AG2176"/>
      <c r="AH2176"/>
    </row>
    <row r="2177" spans="1:34" x14ac:dyDescent="0.25">
      <c r="A2177" t="s">
        <v>3442</v>
      </c>
      <c r="B2177" t="s">
        <v>3443</v>
      </c>
      <c r="C2177"/>
      <c r="D2177" t="s">
        <v>2649</v>
      </c>
      <c r="E2177" t="s">
        <v>2889</v>
      </c>
      <c r="F2177" t="s">
        <v>2901</v>
      </c>
      <c r="G2177" t="s">
        <v>280</v>
      </c>
      <c r="H2177" t="s">
        <v>2902</v>
      </c>
      <c r="I2177" t="s">
        <v>35</v>
      </c>
      <c r="J2177"/>
      <c r="K2177">
        <v>1</v>
      </c>
      <c r="L2177">
        <v>1</v>
      </c>
      <c r="M2177" t="s">
        <v>33</v>
      </c>
      <c r="N2177">
        <v>1</v>
      </c>
      <c r="O2177"/>
      <c r="P2177">
        <v>0</v>
      </c>
      <c r="Q2177" t="s">
        <v>38</v>
      </c>
      <c r="R2177">
        <v>1</v>
      </c>
      <c r="S2177">
        <v>0</v>
      </c>
      <c r="T2177"/>
      <c r="U2177"/>
      <c r="V2177"/>
      <c r="W2177"/>
      <c r="X2177">
        <v>0</v>
      </c>
      <c r="Y2177"/>
      <c r="Z2177">
        <v>0</v>
      </c>
      <c r="AA2177"/>
      <c r="AB2177"/>
      <c r="AC2177"/>
      <c r="AD2177"/>
      <c r="AE2177">
        <v>0</v>
      </c>
      <c r="AF2177"/>
      <c r="AG2177"/>
      <c r="AH2177"/>
    </row>
    <row r="2178" spans="1:34" x14ac:dyDescent="0.25">
      <c r="A2178" t="s">
        <v>3440</v>
      </c>
      <c r="B2178" t="s">
        <v>3441</v>
      </c>
      <c r="C2178"/>
      <c r="D2178" t="s">
        <v>2649</v>
      </c>
      <c r="E2178" t="s">
        <v>2889</v>
      </c>
      <c r="F2178" t="s">
        <v>2903</v>
      </c>
      <c r="G2178" t="s">
        <v>280</v>
      </c>
      <c r="H2178" t="s">
        <v>2904</v>
      </c>
      <c r="I2178" t="s">
        <v>35</v>
      </c>
      <c r="J2178"/>
      <c r="K2178">
        <v>1</v>
      </c>
      <c r="L2178">
        <v>1</v>
      </c>
      <c r="M2178" t="s">
        <v>33</v>
      </c>
      <c r="N2178">
        <v>1</v>
      </c>
      <c r="O2178"/>
      <c r="P2178">
        <v>0</v>
      </c>
      <c r="Q2178" t="s">
        <v>38</v>
      </c>
      <c r="R2178">
        <v>1</v>
      </c>
      <c r="S2178">
        <v>0</v>
      </c>
      <c r="T2178"/>
      <c r="U2178"/>
      <c r="V2178"/>
      <c r="W2178"/>
      <c r="X2178">
        <v>0</v>
      </c>
      <c r="Y2178"/>
      <c r="Z2178">
        <v>0</v>
      </c>
      <c r="AA2178"/>
      <c r="AB2178"/>
      <c r="AC2178"/>
      <c r="AD2178"/>
      <c r="AE2178">
        <v>0</v>
      </c>
      <c r="AF2178"/>
      <c r="AG2178"/>
      <c r="AH2178"/>
    </row>
    <row r="2179" spans="1:34" x14ac:dyDescent="0.25">
      <c r="A2179" t="s">
        <v>3442</v>
      </c>
      <c r="B2179" t="s">
        <v>3443</v>
      </c>
      <c r="C2179"/>
      <c r="D2179" t="s">
        <v>2649</v>
      </c>
      <c r="E2179" t="s">
        <v>2889</v>
      </c>
      <c r="F2179" t="s">
        <v>2903</v>
      </c>
      <c r="G2179" t="s">
        <v>280</v>
      </c>
      <c r="H2179" t="s">
        <v>2904</v>
      </c>
      <c r="I2179" t="s">
        <v>35</v>
      </c>
      <c r="J2179"/>
      <c r="K2179">
        <v>1</v>
      </c>
      <c r="L2179">
        <v>1</v>
      </c>
      <c r="M2179" t="s">
        <v>33</v>
      </c>
      <c r="N2179">
        <v>1</v>
      </c>
      <c r="O2179"/>
      <c r="P2179">
        <v>0</v>
      </c>
      <c r="Q2179" t="s">
        <v>38</v>
      </c>
      <c r="R2179">
        <v>1</v>
      </c>
      <c r="S2179">
        <v>0</v>
      </c>
      <c r="T2179"/>
      <c r="U2179"/>
      <c r="V2179"/>
      <c r="W2179"/>
      <c r="X2179">
        <v>0</v>
      </c>
      <c r="Y2179"/>
      <c r="Z2179">
        <v>0</v>
      </c>
      <c r="AA2179"/>
      <c r="AB2179"/>
      <c r="AC2179"/>
      <c r="AD2179"/>
      <c r="AE2179">
        <v>0</v>
      </c>
      <c r="AF2179"/>
      <c r="AG2179"/>
      <c r="AH2179"/>
    </row>
    <row r="2180" spans="1:34" x14ac:dyDescent="0.25">
      <c r="A2180" t="s">
        <v>3440</v>
      </c>
      <c r="B2180" t="s">
        <v>3441</v>
      </c>
      <c r="C2180"/>
      <c r="D2180" t="s">
        <v>2649</v>
      </c>
      <c r="E2180" t="s">
        <v>2889</v>
      </c>
      <c r="F2180" t="s">
        <v>2905</v>
      </c>
      <c r="G2180" t="s">
        <v>280</v>
      </c>
      <c r="H2180" t="s">
        <v>2906</v>
      </c>
      <c r="I2180" t="s">
        <v>35</v>
      </c>
      <c r="J2180"/>
      <c r="K2180">
        <v>1</v>
      </c>
      <c r="L2180">
        <v>1</v>
      </c>
      <c r="M2180" t="s">
        <v>33</v>
      </c>
      <c r="N2180">
        <v>1</v>
      </c>
      <c r="O2180"/>
      <c r="P2180">
        <v>0</v>
      </c>
      <c r="Q2180" t="s">
        <v>38</v>
      </c>
      <c r="R2180">
        <v>1</v>
      </c>
      <c r="S2180">
        <v>0</v>
      </c>
      <c r="T2180"/>
      <c r="U2180"/>
      <c r="V2180"/>
      <c r="W2180"/>
      <c r="X2180">
        <v>0</v>
      </c>
      <c r="Y2180"/>
      <c r="Z2180">
        <v>0</v>
      </c>
      <c r="AA2180"/>
      <c r="AB2180"/>
      <c r="AC2180"/>
      <c r="AD2180"/>
      <c r="AE2180">
        <v>0</v>
      </c>
      <c r="AF2180"/>
      <c r="AG2180"/>
      <c r="AH2180"/>
    </row>
    <row r="2181" spans="1:34" x14ac:dyDescent="0.25">
      <c r="A2181" t="s">
        <v>3442</v>
      </c>
      <c r="B2181" t="s">
        <v>3443</v>
      </c>
      <c r="C2181"/>
      <c r="D2181" t="s">
        <v>2649</v>
      </c>
      <c r="E2181" t="s">
        <v>2889</v>
      </c>
      <c r="F2181" t="s">
        <v>2905</v>
      </c>
      <c r="G2181" t="s">
        <v>280</v>
      </c>
      <c r="H2181" t="s">
        <v>2906</v>
      </c>
      <c r="I2181" t="s">
        <v>35</v>
      </c>
      <c r="J2181"/>
      <c r="K2181">
        <v>1</v>
      </c>
      <c r="L2181">
        <v>1</v>
      </c>
      <c r="M2181" t="s">
        <v>33</v>
      </c>
      <c r="N2181">
        <v>1</v>
      </c>
      <c r="O2181"/>
      <c r="P2181">
        <v>0</v>
      </c>
      <c r="Q2181" t="s">
        <v>38</v>
      </c>
      <c r="R2181">
        <v>1</v>
      </c>
      <c r="S2181">
        <v>0</v>
      </c>
      <c r="T2181"/>
      <c r="U2181"/>
      <c r="V2181"/>
      <c r="W2181"/>
      <c r="X2181">
        <v>0</v>
      </c>
      <c r="Y2181"/>
      <c r="Z2181">
        <v>0</v>
      </c>
      <c r="AA2181"/>
      <c r="AB2181"/>
      <c r="AC2181"/>
      <c r="AD2181"/>
      <c r="AE2181">
        <v>0</v>
      </c>
      <c r="AF2181"/>
      <c r="AG2181"/>
      <c r="AH2181"/>
    </row>
    <row r="2182" spans="1:34" x14ac:dyDescent="0.25">
      <c r="A2182" t="s">
        <v>3440</v>
      </c>
      <c r="B2182" t="s">
        <v>3441</v>
      </c>
      <c r="C2182"/>
      <c r="D2182" t="s">
        <v>2649</v>
      </c>
      <c r="E2182" t="s">
        <v>2889</v>
      </c>
      <c r="F2182" t="s">
        <v>2907</v>
      </c>
      <c r="G2182" t="s">
        <v>280</v>
      </c>
      <c r="H2182" t="s">
        <v>2908</v>
      </c>
      <c r="I2182" t="s">
        <v>35</v>
      </c>
      <c r="J2182"/>
      <c r="K2182">
        <v>1</v>
      </c>
      <c r="L2182">
        <v>1</v>
      </c>
      <c r="M2182" t="s">
        <v>33</v>
      </c>
      <c r="N2182">
        <v>1</v>
      </c>
      <c r="O2182"/>
      <c r="P2182">
        <v>0</v>
      </c>
      <c r="Q2182" t="s">
        <v>38</v>
      </c>
      <c r="R2182">
        <v>1</v>
      </c>
      <c r="S2182">
        <v>0</v>
      </c>
      <c r="T2182"/>
      <c r="U2182"/>
      <c r="V2182"/>
      <c r="W2182"/>
      <c r="X2182">
        <v>0</v>
      </c>
      <c r="Y2182"/>
      <c r="Z2182">
        <v>0</v>
      </c>
      <c r="AA2182"/>
      <c r="AB2182"/>
      <c r="AC2182"/>
      <c r="AD2182"/>
      <c r="AE2182">
        <v>0</v>
      </c>
      <c r="AF2182"/>
      <c r="AG2182"/>
      <c r="AH2182"/>
    </row>
    <row r="2183" spans="1:34" x14ac:dyDescent="0.25">
      <c r="A2183" t="s">
        <v>3442</v>
      </c>
      <c r="B2183" t="s">
        <v>3443</v>
      </c>
      <c r="C2183"/>
      <c r="D2183" t="s">
        <v>2649</v>
      </c>
      <c r="E2183" t="s">
        <v>2889</v>
      </c>
      <c r="F2183" t="s">
        <v>2907</v>
      </c>
      <c r="G2183" t="s">
        <v>280</v>
      </c>
      <c r="H2183" t="s">
        <v>2908</v>
      </c>
      <c r="I2183" t="s">
        <v>35</v>
      </c>
      <c r="J2183"/>
      <c r="K2183">
        <v>1</v>
      </c>
      <c r="L2183">
        <v>1</v>
      </c>
      <c r="M2183" t="s">
        <v>33</v>
      </c>
      <c r="N2183">
        <v>1</v>
      </c>
      <c r="O2183"/>
      <c r="P2183">
        <v>0</v>
      </c>
      <c r="Q2183" t="s">
        <v>38</v>
      </c>
      <c r="R2183">
        <v>1</v>
      </c>
      <c r="S2183">
        <v>0</v>
      </c>
      <c r="T2183"/>
      <c r="U2183"/>
      <c r="V2183"/>
      <c r="W2183"/>
      <c r="X2183">
        <v>0</v>
      </c>
      <c r="Y2183"/>
      <c r="Z2183">
        <v>0</v>
      </c>
      <c r="AA2183"/>
      <c r="AB2183"/>
      <c r="AC2183"/>
      <c r="AD2183"/>
      <c r="AE2183">
        <v>0</v>
      </c>
      <c r="AF2183"/>
      <c r="AG2183"/>
      <c r="AH2183"/>
    </row>
    <row r="2184" spans="1:34" x14ac:dyDescent="0.25">
      <c r="A2184" t="s">
        <v>3440</v>
      </c>
      <c r="B2184" t="s">
        <v>3441</v>
      </c>
      <c r="C2184"/>
      <c r="D2184" t="s">
        <v>2649</v>
      </c>
      <c r="E2184" t="s">
        <v>2889</v>
      </c>
      <c r="F2184" t="s">
        <v>2909</v>
      </c>
      <c r="G2184" t="s">
        <v>280</v>
      </c>
      <c r="H2184" t="s">
        <v>2910</v>
      </c>
      <c r="I2184" t="s">
        <v>35</v>
      </c>
      <c r="J2184"/>
      <c r="K2184">
        <v>1</v>
      </c>
      <c r="L2184">
        <v>1</v>
      </c>
      <c r="M2184" t="s">
        <v>33</v>
      </c>
      <c r="N2184">
        <v>1</v>
      </c>
      <c r="O2184"/>
      <c r="P2184">
        <v>0</v>
      </c>
      <c r="Q2184" t="s">
        <v>38</v>
      </c>
      <c r="R2184">
        <v>1</v>
      </c>
      <c r="S2184">
        <v>0</v>
      </c>
      <c r="T2184"/>
      <c r="U2184"/>
      <c r="V2184"/>
      <c r="W2184"/>
      <c r="X2184">
        <v>0</v>
      </c>
      <c r="Y2184"/>
      <c r="Z2184">
        <v>0</v>
      </c>
      <c r="AA2184"/>
      <c r="AB2184"/>
      <c r="AC2184"/>
      <c r="AD2184"/>
      <c r="AE2184">
        <v>0</v>
      </c>
      <c r="AF2184"/>
      <c r="AG2184"/>
      <c r="AH2184"/>
    </row>
    <row r="2185" spans="1:34" x14ac:dyDescent="0.25">
      <c r="A2185" t="s">
        <v>3442</v>
      </c>
      <c r="B2185" t="s">
        <v>3443</v>
      </c>
      <c r="C2185"/>
      <c r="D2185" t="s">
        <v>2649</v>
      </c>
      <c r="E2185" t="s">
        <v>2889</v>
      </c>
      <c r="F2185" t="s">
        <v>2909</v>
      </c>
      <c r="G2185" t="s">
        <v>280</v>
      </c>
      <c r="H2185" t="s">
        <v>2910</v>
      </c>
      <c r="I2185" t="s">
        <v>35</v>
      </c>
      <c r="J2185"/>
      <c r="K2185">
        <v>1</v>
      </c>
      <c r="L2185">
        <v>1</v>
      </c>
      <c r="M2185" t="s">
        <v>33</v>
      </c>
      <c r="N2185">
        <v>1</v>
      </c>
      <c r="O2185"/>
      <c r="P2185">
        <v>0</v>
      </c>
      <c r="Q2185" t="s">
        <v>38</v>
      </c>
      <c r="R2185">
        <v>1</v>
      </c>
      <c r="S2185">
        <v>0</v>
      </c>
      <c r="T2185"/>
      <c r="U2185"/>
      <c r="V2185"/>
      <c r="W2185"/>
      <c r="X2185">
        <v>0</v>
      </c>
      <c r="Y2185"/>
      <c r="Z2185">
        <v>0</v>
      </c>
      <c r="AA2185"/>
      <c r="AB2185"/>
      <c r="AC2185"/>
      <c r="AD2185"/>
      <c r="AE2185">
        <v>0</v>
      </c>
      <c r="AF2185"/>
      <c r="AG2185"/>
      <c r="AH2185"/>
    </row>
    <row r="2186" spans="1:34" x14ac:dyDescent="0.25">
      <c r="A2186" t="s">
        <v>3440</v>
      </c>
      <c r="B2186" t="s">
        <v>3441</v>
      </c>
      <c r="C2186"/>
      <c r="D2186" t="s">
        <v>2649</v>
      </c>
      <c r="E2186" t="s">
        <v>2889</v>
      </c>
      <c r="F2186" t="s">
        <v>2911</v>
      </c>
      <c r="G2186" t="s">
        <v>280</v>
      </c>
      <c r="H2186" t="s">
        <v>2910</v>
      </c>
      <c r="I2186" t="s">
        <v>35</v>
      </c>
      <c r="J2186"/>
      <c r="K2186">
        <v>1</v>
      </c>
      <c r="L2186">
        <v>1</v>
      </c>
      <c r="M2186" t="s">
        <v>33</v>
      </c>
      <c r="N2186">
        <v>1</v>
      </c>
      <c r="O2186"/>
      <c r="P2186">
        <v>0</v>
      </c>
      <c r="Q2186" t="s">
        <v>38</v>
      </c>
      <c r="R2186">
        <v>1</v>
      </c>
      <c r="S2186">
        <v>0</v>
      </c>
      <c r="T2186"/>
      <c r="U2186"/>
      <c r="V2186"/>
      <c r="W2186"/>
      <c r="X2186">
        <v>0</v>
      </c>
      <c r="Y2186"/>
      <c r="Z2186">
        <v>0</v>
      </c>
      <c r="AA2186"/>
      <c r="AB2186"/>
      <c r="AC2186"/>
      <c r="AD2186"/>
      <c r="AE2186">
        <v>0</v>
      </c>
      <c r="AF2186"/>
      <c r="AG2186"/>
      <c r="AH2186"/>
    </row>
    <row r="2187" spans="1:34" x14ac:dyDescent="0.25">
      <c r="A2187" t="s">
        <v>3442</v>
      </c>
      <c r="B2187" t="s">
        <v>3443</v>
      </c>
      <c r="C2187"/>
      <c r="D2187" t="s">
        <v>2649</v>
      </c>
      <c r="E2187" t="s">
        <v>2889</v>
      </c>
      <c r="F2187" t="s">
        <v>2911</v>
      </c>
      <c r="G2187" t="s">
        <v>280</v>
      </c>
      <c r="H2187" t="s">
        <v>2910</v>
      </c>
      <c r="I2187" t="s">
        <v>35</v>
      </c>
      <c r="J2187"/>
      <c r="K2187">
        <v>1</v>
      </c>
      <c r="L2187">
        <v>1</v>
      </c>
      <c r="M2187" t="s">
        <v>33</v>
      </c>
      <c r="N2187">
        <v>1</v>
      </c>
      <c r="O2187"/>
      <c r="P2187">
        <v>0</v>
      </c>
      <c r="Q2187" t="s">
        <v>38</v>
      </c>
      <c r="R2187">
        <v>1</v>
      </c>
      <c r="S2187">
        <v>0</v>
      </c>
      <c r="T2187"/>
      <c r="U2187"/>
      <c r="V2187"/>
      <c r="W2187"/>
      <c r="X2187">
        <v>0</v>
      </c>
      <c r="Y2187"/>
      <c r="Z2187">
        <v>0</v>
      </c>
      <c r="AA2187"/>
      <c r="AB2187"/>
      <c r="AC2187"/>
      <c r="AD2187"/>
      <c r="AE2187">
        <v>0</v>
      </c>
      <c r="AF2187"/>
      <c r="AG2187"/>
      <c r="AH2187"/>
    </row>
    <row r="2188" spans="1:34" x14ac:dyDescent="0.25">
      <c r="A2188" t="s">
        <v>3406</v>
      </c>
      <c r="B2188" t="s">
        <v>3407</v>
      </c>
      <c r="C2188"/>
      <c r="D2188" t="s">
        <v>2649</v>
      </c>
      <c r="E2188" t="s">
        <v>2912</v>
      </c>
      <c r="F2188" t="s">
        <v>2913</v>
      </c>
      <c r="G2188" t="s">
        <v>280</v>
      </c>
      <c r="H2188" t="s">
        <v>2914</v>
      </c>
      <c r="I2188" t="s">
        <v>35</v>
      </c>
      <c r="J2188"/>
      <c r="K2188">
        <v>1</v>
      </c>
      <c r="L2188">
        <v>1</v>
      </c>
      <c r="M2188" t="s">
        <v>33</v>
      </c>
      <c r="N2188">
        <v>1</v>
      </c>
      <c r="O2188"/>
      <c r="P2188">
        <v>0</v>
      </c>
      <c r="Q2188" t="s">
        <v>38</v>
      </c>
      <c r="R2188">
        <v>1</v>
      </c>
      <c r="S2188">
        <v>0</v>
      </c>
      <c r="T2188"/>
      <c r="U2188"/>
      <c r="V2188"/>
      <c r="W2188"/>
      <c r="X2188">
        <v>0</v>
      </c>
      <c r="Y2188"/>
      <c r="Z2188">
        <v>0</v>
      </c>
      <c r="AA2188"/>
      <c r="AB2188"/>
      <c r="AC2188"/>
      <c r="AD2188"/>
      <c r="AE2188">
        <v>0</v>
      </c>
      <c r="AF2188"/>
      <c r="AG2188"/>
      <c r="AH2188"/>
    </row>
    <row r="2189" spans="1:34" x14ac:dyDescent="0.25">
      <c r="A2189" t="s">
        <v>3408</v>
      </c>
      <c r="B2189" t="s">
        <v>3409</v>
      </c>
      <c r="C2189"/>
      <c r="D2189" t="s">
        <v>2649</v>
      </c>
      <c r="E2189" t="s">
        <v>2912</v>
      </c>
      <c r="F2189" t="s">
        <v>2913</v>
      </c>
      <c r="G2189" t="s">
        <v>280</v>
      </c>
      <c r="H2189" t="s">
        <v>2914</v>
      </c>
      <c r="I2189" t="s">
        <v>35</v>
      </c>
      <c r="J2189"/>
      <c r="K2189">
        <v>1</v>
      </c>
      <c r="L2189">
        <v>1</v>
      </c>
      <c r="M2189" t="s">
        <v>33</v>
      </c>
      <c r="N2189">
        <v>1</v>
      </c>
      <c r="O2189"/>
      <c r="P2189">
        <v>0</v>
      </c>
      <c r="Q2189" t="s">
        <v>38</v>
      </c>
      <c r="R2189">
        <v>1</v>
      </c>
      <c r="S2189">
        <v>0</v>
      </c>
      <c r="T2189"/>
      <c r="U2189"/>
      <c r="V2189"/>
      <c r="W2189"/>
      <c r="X2189">
        <v>0</v>
      </c>
      <c r="Y2189"/>
      <c r="Z2189">
        <v>0</v>
      </c>
      <c r="AA2189"/>
      <c r="AB2189"/>
      <c r="AC2189"/>
      <c r="AD2189"/>
      <c r="AE2189">
        <v>0</v>
      </c>
      <c r="AF2189"/>
      <c r="AG2189"/>
      <c r="AH2189"/>
    </row>
    <row r="2190" spans="1:34" x14ac:dyDescent="0.25">
      <c r="A2190" t="s">
        <v>3440</v>
      </c>
      <c r="B2190" t="s">
        <v>3441</v>
      </c>
      <c r="C2190"/>
      <c r="D2190" t="s">
        <v>2649</v>
      </c>
      <c r="E2190" t="s">
        <v>2912</v>
      </c>
      <c r="F2190" t="s">
        <v>2913</v>
      </c>
      <c r="G2190" t="s">
        <v>280</v>
      </c>
      <c r="H2190" t="s">
        <v>2914</v>
      </c>
      <c r="I2190" t="s">
        <v>35</v>
      </c>
      <c r="J2190"/>
      <c r="K2190">
        <v>1</v>
      </c>
      <c r="L2190">
        <v>1</v>
      </c>
      <c r="M2190" t="s">
        <v>33</v>
      </c>
      <c r="N2190">
        <v>1</v>
      </c>
      <c r="O2190"/>
      <c r="P2190">
        <v>0</v>
      </c>
      <c r="Q2190" t="s">
        <v>38</v>
      </c>
      <c r="R2190">
        <v>1</v>
      </c>
      <c r="S2190">
        <v>0</v>
      </c>
      <c r="T2190"/>
      <c r="U2190"/>
      <c r="V2190"/>
      <c r="W2190"/>
      <c r="X2190">
        <v>0</v>
      </c>
      <c r="Y2190"/>
      <c r="Z2190">
        <v>0</v>
      </c>
      <c r="AA2190"/>
      <c r="AB2190"/>
      <c r="AC2190"/>
      <c r="AD2190"/>
      <c r="AE2190">
        <v>0</v>
      </c>
      <c r="AF2190"/>
      <c r="AG2190"/>
      <c r="AH2190"/>
    </row>
    <row r="2191" spans="1:34" x14ac:dyDescent="0.25">
      <c r="A2191" t="s">
        <v>3442</v>
      </c>
      <c r="B2191" t="s">
        <v>3443</v>
      </c>
      <c r="C2191"/>
      <c r="D2191" t="s">
        <v>2649</v>
      </c>
      <c r="E2191" t="s">
        <v>2912</v>
      </c>
      <c r="F2191" t="s">
        <v>2913</v>
      </c>
      <c r="G2191" t="s">
        <v>280</v>
      </c>
      <c r="H2191" t="s">
        <v>2914</v>
      </c>
      <c r="I2191" t="s">
        <v>35</v>
      </c>
      <c r="J2191"/>
      <c r="K2191">
        <v>1</v>
      </c>
      <c r="L2191">
        <v>1</v>
      </c>
      <c r="M2191" t="s">
        <v>33</v>
      </c>
      <c r="N2191">
        <v>1</v>
      </c>
      <c r="O2191"/>
      <c r="P2191">
        <v>0</v>
      </c>
      <c r="Q2191" t="s">
        <v>38</v>
      </c>
      <c r="R2191">
        <v>1</v>
      </c>
      <c r="S2191">
        <v>0</v>
      </c>
      <c r="T2191"/>
      <c r="U2191"/>
      <c r="V2191"/>
      <c r="W2191"/>
      <c r="X2191">
        <v>0</v>
      </c>
      <c r="Y2191"/>
      <c r="Z2191">
        <v>0</v>
      </c>
      <c r="AA2191"/>
      <c r="AB2191"/>
      <c r="AC2191"/>
      <c r="AD2191"/>
      <c r="AE2191">
        <v>0</v>
      </c>
      <c r="AF2191"/>
      <c r="AG2191"/>
      <c r="AH2191"/>
    </row>
    <row r="2192" spans="1:34" x14ac:dyDescent="0.25">
      <c r="A2192" t="s">
        <v>3406</v>
      </c>
      <c r="B2192" t="s">
        <v>3407</v>
      </c>
      <c r="C2192"/>
      <c r="D2192" t="s">
        <v>2649</v>
      </c>
      <c r="E2192" t="s">
        <v>2912</v>
      </c>
      <c r="F2192" t="s">
        <v>2915</v>
      </c>
      <c r="G2192" t="s">
        <v>280</v>
      </c>
      <c r="H2192" t="s">
        <v>2916</v>
      </c>
      <c r="I2192" t="s">
        <v>35</v>
      </c>
      <c r="J2192"/>
      <c r="K2192">
        <v>1</v>
      </c>
      <c r="L2192">
        <v>1</v>
      </c>
      <c r="M2192" t="s">
        <v>33</v>
      </c>
      <c r="N2192">
        <v>1</v>
      </c>
      <c r="O2192"/>
      <c r="P2192">
        <v>0</v>
      </c>
      <c r="Q2192" t="s">
        <v>38</v>
      </c>
      <c r="R2192">
        <v>1</v>
      </c>
      <c r="S2192">
        <v>0</v>
      </c>
      <c r="T2192"/>
      <c r="U2192"/>
      <c r="V2192"/>
      <c r="W2192"/>
      <c r="X2192">
        <v>0</v>
      </c>
      <c r="Y2192"/>
      <c r="Z2192">
        <v>0</v>
      </c>
      <c r="AA2192"/>
      <c r="AB2192"/>
      <c r="AC2192"/>
      <c r="AD2192"/>
      <c r="AE2192">
        <v>0</v>
      </c>
      <c r="AF2192"/>
      <c r="AG2192"/>
      <c r="AH2192"/>
    </row>
    <row r="2193" spans="1:34" x14ac:dyDescent="0.25">
      <c r="A2193" t="s">
        <v>3408</v>
      </c>
      <c r="B2193" t="s">
        <v>3409</v>
      </c>
      <c r="C2193"/>
      <c r="D2193" t="s">
        <v>2649</v>
      </c>
      <c r="E2193" t="s">
        <v>2912</v>
      </c>
      <c r="F2193" t="s">
        <v>2915</v>
      </c>
      <c r="G2193" t="s">
        <v>280</v>
      </c>
      <c r="H2193" t="s">
        <v>2916</v>
      </c>
      <c r="I2193" t="s">
        <v>35</v>
      </c>
      <c r="J2193"/>
      <c r="K2193">
        <v>1</v>
      </c>
      <c r="L2193">
        <v>1</v>
      </c>
      <c r="M2193" t="s">
        <v>33</v>
      </c>
      <c r="N2193">
        <v>1</v>
      </c>
      <c r="O2193"/>
      <c r="P2193">
        <v>0</v>
      </c>
      <c r="Q2193" t="s">
        <v>38</v>
      </c>
      <c r="R2193">
        <v>1</v>
      </c>
      <c r="S2193">
        <v>0</v>
      </c>
      <c r="T2193"/>
      <c r="U2193"/>
      <c r="V2193"/>
      <c r="W2193"/>
      <c r="X2193">
        <v>0</v>
      </c>
      <c r="Y2193"/>
      <c r="Z2193">
        <v>0</v>
      </c>
      <c r="AA2193"/>
      <c r="AB2193"/>
      <c r="AC2193"/>
      <c r="AD2193"/>
      <c r="AE2193">
        <v>0</v>
      </c>
      <c r="AF2193"/>
      <c r="AG2193"/>
      <c r="AH2193"/>
    </row>
    <row r="2194" spans="1:34" x14ac:dyDescent="0.25">
      <c r="A2194" t="s">
        <v>3440</v>
      </c>
      <c r="B2194" t="s">
        <v>3441</v>
      </c>
      <c r="C2194"/>
      <c r="D2194" t="s">
        <v>2649</v>
      </c>
      <c r="E2194" t="s">
        <v>2912</v>
      </c>
      <c r="F2194" t="s">
        <v>2915</v>
      </c>
      <c r="G2194" t="s">
        <v>280</v>
      </c>
      <c r="H2194" t="s">
        <v>2916</v>
      </c>
      <c r="I2194" t="s">
        <v>35</v>
      </c>
      <c r="J2194"/>
      <c r="K2194">
        <v>1</v>
      </c>
      <c r="L2194">
        <v>1</v>
      </c>
      <c r="M2194" t="s">
        <v>33</v>
      </c>
      <c r="N2194">
        <v>1</v>
      </c>
      <c r="O2194"/>
      <c r="P2194">
        <v>0</v>
      </c>
      <c r="Q2194" t="s">
        <v>38</v>
      </c>
      <c r="R2194">
        <v>1</v>
      </c>
      <c r="S2194">
        <v>0</v>
      </c>
      <c r="T2194"/>
      <c r="U2194"/>
      <c r="V2194"/>
      <c r="W2194"/>
      <c r="X2194">
        <v>0</v>
      </c>
      <c r="Y2194"/>
      <c r="Z2194">
        <v>0</v>
      </c>
      <c r="AA2194"/>
      <c r="AB2194"/>
      <c r="AC2194"/>
      <c r="AD2194"/>
      <c r="AE2194">
        <v>0</v>
      </c>
      <c r="AF2194"/>
      <c r="AG2194"/>
      <c r="AH2194"/>
    </row>
    <row r="2195" spans="1:34" x14ac:dyDescent="0.25">
      <c r="A2195" t="s">
        <v>3442</v>
      </c>
      <c r="B2195" t="s">
        <v>3443</v>
      </c>
      <c r="C2195"/>
      <c r="D2195" t="s">
        <v>2649</v>
      </c>
      <c r="E2195" t="s">
        <v>2912</v>
      </c>
      <c r="F2195" t="s">
        <v>2915</v>
      </c>
      <c r="G2195" t="s">
        <v>280</v>
      </c>
      <c r="H2195" t="s">
        <v>2916</v>
      </c>
      <c r="I2195" t="s">
        <v>35</v>
      </c>
      <c r="J2195"/>
      <c r="K2195">
        <v>1</v>
      </c>
      <c r="L2195">
        <v>1</v>
      </c>
      <c r="M2195" t="s">
        <v>33</v>
      </c>
      <c r="N2195">
        <v>1</v>
      </c>
      <c r="O2195"/>
      <c r="P2195">
        <v>0</v>
      </c>
      <c r="Q2195" t="s">
        <v>38</v>
      </c>
      <c r="R2195">
        <v>1</v>
      </c>
      <c r="S2195">
        <v>0</v>
      </c>
      <c r="T2195"/>
      <c r="U2195"/>
      <c r="V2195"/>
      <c r="W2195"/>
      <c r="X2195">
        <v>0</v>
      </c>
      <c r="Y2195"/>
      <c r="Z2195">
        <v>0</v>
      </c>
      <c r="AA2195"/>
      <c r="AB2195"/>
      <c r="AC2195"/>
      <c r="AD2195"/>
      <c r="AE2195">
        <v>0</v>
      </c>
      <c r="AF2195"/>
      <c r="AG2195"/>
      <c r="AH2195"/>
    </row>
    <row r="2196" spans="1:34" x14ac:dyDescent="0.25">
      <c r="A2196" t="s">
        <v>3406</v>
      </c>
      <c r="B2196" t="s">
        <v>3407</v>
      </c>
      <c r="C2196"/>
      <c r="D2196" t="s">
        <v>2649</v>
      </c>
      <c r="E2196" t="s">
        <v>2912</v>
      </c>
      <c r="F2196" t="s">
        <v>2917</v>
      </c>
      <c r="G2196" t="s">
        <v>280</v>
      </c>
      <c r="H2196" t="s">
        <v>2918</v>
      </c>
      <c r="I2196" t="s">
        <v>35</v>
      </c>
      <c r="J2196"/>
      <c r="K2196">
        <v>1</v>
      </c>
      <c r="L2196">
        <v>1</v>
      </c>
      <c r="M2196" t="s">
        <v>33</v>
      </c>
      <c r="N2196">
        <v>1</v>
      </c>
      <c r="O2196"/>
      <c r="P2196">
        <v>0</v>
      </c>
      <c r="Q2196" t="s">
        <v>38</v>
      </c>
      <c r="R2196">
        <v>1</v>
      </c>
      <c r="S2196">
        <v>0</v>
      </c>
      <c r="T2196"/>
      <c r="U2196"/>
      <c r="V2196"/>
      <c r="W2196"/>
      <c r="X2196">
        <v>0</v>
      </c>
      <c r="Y2196"/>
      <c r="Z2196">
        <v>0</v>
      </c>
      <c r="AA2196"/>
      <c r="AB2196"/>
      <c r="AC2196"/>
      <c r="AD2196"/>
      <c r="AE2196">
        <v>0</v>
      </c>
      <c r="AF2196"/>
      <c r="AG2196"/>
      <c r="AH2196"/>
    </row>
    <row r="2197" spans="1:34" x14ac:dyDescent="0.25">
      <c r="A2197" t="s">
        <v>3408</v>
      </c>
      <c r="B2197" t="s">
        <v>3409</v>
      </c>
      <c r="C2197"/>
      <c r="D2197" t="s">
        <v>2649</v>
      </c>
      <c r="E2197" t="s">
        <v>2912</v>
      </c>
      <c r="F2197" t="s">
        <v>2917</v>
      </c>
      <c r="G2197" t="s">
        <v>280</v>
      </c>
      <c r="H2197" t="s">
        <v>2918</v>
      </c>
      <c r="I2197" t="s">
        <v>35</v>
      </c>
      <c r="J2197"/>
      <c r="K2197">
        <v>1</v>
      </c>
      <c r="L2197">
        <v>1</v>
      </c>
      <c r="M2197" t="s">
        <v>33</v>
      </c>
      <c r="N2197">
        <v>1</v>
      </c>
      <c r="O2197"/>
      <c r="P2197">
        <v>0</v>
      </c>
      <c r="Q2197" t="s">
        <v>38</v>
      </c>
      <c r="R2197">
        <v>1</v>
      </c>
      <c r="S2197">
        <v>0</v>
      </c>
      <c r="T2197"/>
      <c r="U2197"/>
      <c r="V2197"/>
      <c r="W2197"/>
      <c r="X2197">
        <v>0</v>
      </c>
      <c r="Y2197"/>
      <c r="Z2197">
        <v>0</v>
      </c>
      <c r="AA2197"/>
      <c r="AB2197"/>
      <c r="AC2197"/>
      <c r="AD2197"/>
      <c r="AE2197">
        <v>0</v>
      </c>
      <c r="AF2197"/>
      <c r="AG2197"/>
      <c r="AH2197"/>
    </row>
    <row r="2198" spans="1:34" x14ac:dyDescent="0.25">
      <c r="A2198" t="s">
        <v>3440</v>
      </c>
      <c r="B2198" t="s">
        <v>3441</v>
      </c>
      <c r="C2198"/>
      <c r="D2198" t="s">
        <v>2649</v>
      </c>
      <c r="E2198" t="s">
        <v>2912</v>
      </c>
      <c r="F2198" t="s">
        <v>2917</v>
      </c>
      <c r="G2198" t="s">
        <v>280</v>
      </c>
      <c r="H2198" t="s">
        <v>2918</v>
      </c>
      <c r="I2198" t="s">
        <v>35</v>
      </c>
      <c r="J2198"/>
      <c r="K2198">
        <v>1</v>
      </c>
      <c r="L2198">
        <v>1</v>
      </c>
      <c r="M2198" t="s">
        <v>33</v>
      </c>
      <c r="N2198">
        <v>1</v>
      </c>
      <c r="O2198"/>
      <c r="P2198">
        <v>0</v>
      </c>
      <c r="Q2198" t="s">
        <v>38</v>
      </c>
      <c r="R2198">
        <v>1</v>
      </c>
      <c r="S2198">
        <v>0</v>
      </c>
      <c r="T2198"/>
      <c r="U2198"/>
      <c r="V2198"/>
      <c r="W2198"/>
      <c r="X2198">
        <v>0</v>
      </c>
      <c r="Y2198"/>
      <c r="Z2198">
        <v>0</v>
      </c>
      <c r="AA2198"/>
      <c r="AB2198"/>
      <c r="AC2198"/>
      <c r="AD2198"/>
      <c r="AE2198">
        <v>0</v>
      </c>
      <c r="AF2198"/>
      <c r="AG2198"/>
      <c r="AH2198"/>
    </row>
    <row r="2199" spans="1:34" x14ac:dyDescent="0.25">
      <c r="A2199" t="s">
        <v>3442</v>
      </c>
      <c r="B2199" t="s">
        <v>3443</v>
      </c>
      <c r="C2199"/>
      <c r="D2199" t="s">
        <v>2649</v>
      </c>
      <c r="E2199" t="s">
        <v>2912</v>
      </c>
      <c r="F2199" t="s">
        <v>2917</v>
      </c>
      <c r="G2199" t="s">
        <v>280</v>
      </c>
      <c r="H2199" t="s">
        <v>2918</v>
      </c>
      <c r="I2199" t="s">
        <v>35</v>
      </c>
      <c r="J2199"/>
      <c r="K2199">
        <v>1</v>
      </c>
      <c r="L2199">
        <v>1</v>
      </c>
      <c r="M2199" t="s">
        <v>33</v>
      </c>
      <c r="N2199">
        <v>1</v>
      </c>
      <c r="O2199"/>
      <c r="P2199">
        <v>0</v>
      </c>
      <c r="Q2199" t="s">
        <v>38</v>
      </c>
      <c r="R2199">
        <v>1</v>
      </c>
      <c r="S2199">
        <v>0</v>
      </c>
      <c r="T2199"/>
      <c r="U2199"/>
      <c r="V2199"/>
      <c r="W2199"/>
      <c r="X2199">
        <v>0</v>
      </c>
      <c r="Y2199"/>
      <c r="Z2199">
        <v>0</v>
      </c>
      <c r="AA2199"/>
      <c r="AB2199"/>
      <c r="AC2199"/>
      <c r="AD2199"/>
      <c r="AE2199">
        <v>0</v>
      </c>
      <c r="AF2199"/>
      <c r="AG2199"/>
      <c r="AH2199"/>
    </row>
    <row r="2200" spans="1:34" x14ac:dyDescent="0.25">
      <c r="A2200" t="s">
        <v>3406</v>
      </c>
      <c r="B2200" t="s">
        <v>3407</v>
      </c>
      <c r="C2200"/>
      <c r="D2200" t="s">
        <v>2649</v>
      </c>
      <c r="E2200" t="s">
        <v>2912</v>
      </c>
      <c r="F2200" t="s">
        <v>2919</v>
      </c>
      <c r="G2200" t="s">
        <v>280</v>
      </c>
      <c r="H2200" t="s">
        <v>2920</v>
      </c>
      <c r="I2200" t="s">
        <v>35</v>
      </c>
      <c r="J2200"/>
      <c r="K2200">
        <v>1</v>
      </c>
      <c r="L2200">
        <v>1</v>
      </c>
      <c r="M2200" t="s">
        <v>33</v>
      </c>
      <c r="N2200">
        <v>1</v>
      </c>
      <c r="O2200"/>
      <c r="P2200">
        <v>0</v>
      </c>
      <c r="Q2200" t="s">
        <v>38</v>
      </c>
      <c r="R2200">
        <v>1</v>
      </c>
      <c r="S2200">
        <v>0</v>
      </c>
      <c r="T2200"/>
      <c r="U2200"/>
      <c r="V2200"/>
      <c r="W2200"/>
      <c r="X2200">
        <v>0</v>
      </c>
      <c r="Y2200"/>
      <c r="Z2200">
        <v>0</v>
      </c>
      <c r="AA2200"/>
      <c r="AB2200"/>
      <c r="AC2200"/>
      <c r="AD2200"/>
      <c r="AE2200">
        <v>0</v>
      </c>
      <c r="AF2200"/>
      <c r="AG2200"/>
      <c r="AH2200"/>
    </row>
    <row r="2201" spans="1:34" x14ac:dyDescent="0.25">
      <c r="A2201" t="s">
        <v>3408</v>
      </c>
      <c r="B2201" t="s">
        <v>3409</v>
      </c>
      <c r="C2201"/>
      <c r="D2201" t="s">
        <v>2649</v>
      </c>
      <c r="E2201" t="s">
        <v>2912</v>
      </c>
      <c r="F2201" t="s">
        <v>2919</v>
      </c>
      <c r="G2201" t="s">
        <v>280</v>
      </c>
      <c r="H2201" t="s">
        <v>2920</v>
      </c>
      <c r="I2201" t="s">
        <v>35</v>
      </c>
      <c r="J2201"/>
      <c r="K2201">
        <v>1</v>
      </c>
      <c r="L2201">
        <v>1</v>
      </c>
      <c r="M2201" t="s">
        <v>33</v>
      </c>
      <c r="N2201">
        <v>1</v>
      </c>
      <c r="O2201"/>
      <c r="P2201">
        <v>0</v>
      </c>
      <c r="Q2201" t="s">
        <v>38</v>
      </c>
      <c r="R2201">
        <v>1</v>
      </c>
      <c r="S2201">
        <v>0</v>
      </c>
      <c r="T2201"/>
      <c r="U2201"/>
      <c r="V2201"/>
      <c r="W2201"/>
      <c r="X2201">
        <v>0</v>
      </c>
      <c r="Y2201"/>
      <c r="Z2201">
        <v>0</v>
      </c>
      <c r="AA2201"/>
      <c r="AB2201"/>
      <c r="AC2201"/>
      <c r="AD2201"/>
      <c r="AE2201">
        <v>0</v>
      </c>
      <c r="AF2201"/>
      <c r="AG2201"/>
      <c r="AH2201"/>
    </row>
    <row r="2202" spans="1:34" x14ac:dyDescent="0.25">
      <c r="A2202" t="s">
        <v>3440</v>
      </c>
      <c r="B2202" t="s">
        <v>3441</v>
      </c>
      <c r="C2202"/>
      <c r="D2202" t="s">
        <v>2649</v>
      </c>
      <c r="E2202" t="s">
        <v>2912</v>
      </c>
      <c r="F2202" t="s">
        <v>2919</v>
      </c>
      <c r="G2202" t="s">
        <v>280</v>
      </c>
      <c r="H2202" t="s">
        <v>2920</v>
      </c>
      <c r="I2202" t="s">
        <v>35</v>
      </c>
      <c r="J2202"/>
      <c r="K2202">
        <v>1</v>
      </c>
      <c r="L2202">
        <v>1</v>
      </c>
      <c r="M2202" t="s">
        <v>33</v>
      </c>
      <c r="N2202">
        <v>1</v>
      </c>
      <c r="O2202"/>
      <c r="P2202">
        <v>0</v>
      </c>
      <c r="Q2202" t="s">
        <v>38</v>
      </c>
      <c r="R2202">
        <v>1</v>
      </c>
      <c r="S2202">
        <v>0</v>
      </c>
      <c r="T2202"/>
      <c r="U2202"/>
      <c r="V2202"/>
      <c r="W2202"/>
      <c r="X2202">
        <v>0</v>
      </c>
      <c r="Y2202"/>
      <c r="Z2202">
        <v>0</v>
      </c>
      <c r="AA2202"/>
      <c r="AB2202"/>
      <c r="AC2202"/>
      <c r="AD2202"/>
      <c r="AE2202">
        <v>0</v>
      </c>
      <c r="AF2202"/>
      <c r="AG2202"/>
      <c r="AH2202"/>
    </row>
    <row r="2203" spans="1:34" x14ac:dyDescent="0.25">
      <c r="A2203" t="s">
        <v>3442</v>
      </c>
      <c r="B2203" t="s">
        <v>3443</v>
      </c>
      <c r="C2203"/>
      <c r="D2203" t="s">
        <v>2649</v>
      </c>
      <c r="E2203" t="s">
        <v>2912</v>
      </c>
      <c r="F2203" t="s">
        <v>2919</v>
      </c>
      <c r="G2203" t="s">
        <v>280</v>
      </c>
      <c r="H2203" t="s">
        <v>2920</v>
      </c>
      <c r="I2203" t="s">
        <v>35</v>
      </c>
      <c r="J2203"/>
      <c r="K2203">
        <v>1</v>
      </c>
      <c r="L2203">
        <v>1</v>
      </c>
      <c r="M2203" t="s">
        <v>33</v>
      </c>
      <c r="N2203">
        <v>1</v>
      </c>
      <c r="O2203"/>
      <c r="P2203">
        <v>0</v>
      </c>
      <c r="Q2203" t="s">
        <v>38</v>
      </c>
      <c r="R2203">
        <v>1</v>
      </c>
      <c r="S2203">
        <v>0</v>
      </c>
      <c r="T2203"/>
      <c r="U2203"/>
      <c r="V2203"/>
      <c r="W2203"/>
      <c r="X2203">
        <v>0</v>
      </c>
      <c r="Y2203"/>
      <c r="Z2203">
        <v>0</v>
      </c>
      <c r="AA2203"/>
      <c r="AB2203"/>
      <c r="AC2203"/>
      <c r="AD2203"/>
      <c r="AE2203">
        <v>0</v>
      </c>
      <c r="AF2203"/>
      <c r="AG2203"/>
      <c r="AH2203"/>
    </row>
    <row r="2204" spans="1:34" x14ac:dyDescent="0.25">
      <c r="A2204" t="s">
        <v>3406</v>
      </c>
      <c r="B2204" t="s">
        <v>3407</v>
      </c>
      <c r="C2204"/>
      <c r="D2204" t="s">
        <v>2649</v>
      </c>
      <c r="E2204" t="s">
        <v>2912</v>
      </c>
      <c r="F2204" t="s">
        <v>2921</v>
      </c>
      <c r="G2204" t="s">
        <v>280</v>
      </c>
      <c r="H2204" t="s">
        <v>2920</v>
      </c>
      <c r="I2204" t="s">
        <v>35</v>
      </c>
      <c r="J2204"/>
      <c r="K2204">
        <v>1</v>
      </c>
      <c r="L2204">
        <v>1</v>
      </c>
      <c r="M2204" t="s">
        <v>33</v>
      </c>
      <c r="N2204">
        <v>1</v>
      </c>
      <c r="O2204"/>
      <c r="P2204">
        <v>0</v>
      </c>
      <c r="Q2204" t="s">
        <v>38</v>
      </c>
      <c r="R2204">
        <v>1</v>
      </c>
      <c r="S2204">
        <v>0</v>
      </c>
      <c r="T2204"/>
      <c r="U2204"/>
      <c r="V2204"/>
      <c r="W2204"/>
      <c r="X2204">
        <v>0</v>
      </c>
      <c r="Y2204"/>
      <c r="Z2204">
        <v>0</v>
      </c>
      <c r="AA2204"/>
      <c r="AB2204"/>
      <c r="AC2204"/>
      <c r="AD2204"/>
      <c r="AE2204">
        <v>0</v>
      </c>
      <c r="AF2204"/>
      <c r="AG2204"/>
      <c r="AH2204"/>
    </row>
    <row r="2205" spans="1:34" x14ac:dyDescent="0.25">
      <c r="A2205" t="s">
        <v>3408</v>
      </c>
      <c r="B2205" t="s">
        <v>3409</v>
      </c>
      <c r="C2205"/>
      <c r="D2205" t="s">
        <v>2649</v>
      </c>
      <c r="E2205" t="s">
        <v>2912</v>
      </c>
      <c r="F2205" t="s">
        <v>2921</v>
      </c>
      <c r="G2205" t="s">
        <v>280</v>
      </c>
      <c r="H2205" t="s">
        <v>2920</v>
      </c>
      <c r="I2205" t="s">
        <v>35</v>
      </c>
      <c r="J2205"/>
      <c r="K2205">
        <v>1</v>
      </c>
      <c r="L2205">
        <v>1</v>
      </c>
      <c r="M2205" t="s">
        <v>33</v>
      </c>
      <c r="N2205">
        <v>1</v>
      </c>
      <c r="O2205"/>
      <c r="P2205">
        <v>0</v>
      </c>
      <c r="Q2205" t="s">
        <v>38</v>
      </c>
      <c r="R2205">
        <v>1</v>
      </c>
      <c r="S2205">
        <v>0</v>
      </c>
      <c r="T2205"/>
      <c r="U2205"/>
      <c r="V2205"/>
      <c r="W2205"/>
      <c r="X2205">
        <v>0</v>
      </c>
      <c r="Y2205"/>
      <c r="Z2205">
        <v>0</v>
      </c>
      <c r="AA2205"/>
      <c r="AB2205"/>
      <c r="AC2205"/>
      <c r="AD2205"/>
      <c r="AE2205">
        <v>0</v>
      </c>
      <c r="AF2205"/>
      <c r="AG2205"/>
      <c r="AH2205"/>
    </row>
    <row r="2206" spans="1:34" x14ac:dyDescent="0.25">
      <c r="A2206" t="s">
        <v>3440</v>
      </c>
      <c r="B2206" t="s">
        <v>3441</v>
      </c>
      <c r="C2206"/>
      <c r="D2206" t="s">
        <v>2649</v>
      </c>
      <c r="E2206" t="s">
        <v>2912</v>
      </c>
      <c r="F2206" t="s">
        <v>2921</v>
      </c>
      <c r="G2206" t="s">
        <v>280</v>
      </c>
      <c r="H2206" t="s">
        <v>2920</v>
      </c>
      <c r="I2206" t="s">
        <v>35</v>
      </c>
      <c r="J2206"/>
      <c r="K2206">
        <v>1</v>
      </c>
      <c r="L2206">
        <v>1</v>
      </c>
      <c r="M2206" t="s">
        <v>33</v>
      </c>
      <c r="N2206">
        <v>1</v>
      </c>
      <c r="O2206"/>
      <c r="P2206">
        <v>0</v>
      </c>
      <c r="Q2206" t="s">
        <v>38</v>
      </c>
      <c r="R2206">
        <v>1</v>
      </c>
      <c r="S2206">
        <v>0</v>
      </c>
      <c r="T2206"/>
      <c r="U2206"/>
      <c r="V2206"/>
      <c r="W2206"/>
      <c r="X2206">
        <v>0</v>
      </c>
      <c r="Y2206"/>
      <c r="Z2206">
        <v>0</v>
      </c>
      <c r="AA2206"/>
      <c r="AB2206"/>
      <c r="AC2206"/>
      <c r="AD2206"/>
      <c r="AE2206">
        <v>0</v>
      </c>
      <c r="AF2206"/>
      <c r="AG2206"/>
      <c r="AH2206"/>
    </row>
    <row r="2207" spans="1:34" x14ac:dyDescent="0.25">
      <c r="A2207" t="s">
        <v>3442</v>
      </c>
      <c r="B2207" t="s">
        <v>3443</v>
      </c>
      <c r="C2207"/>
      <c r="D2207" t="s">
        <v>2649</v>
      </c>
      <c r="E2207" t="s">
        <v>2912</v>
      </c>
      <c r="F2207" t="s">
        <v>2921</v>
      </c>
      <c r="G2207" t="s">
        <v>280</v>
      </c>
      <c r="H2207" t="s">
        <v>2920</v>
      </c>
      <c r="I2207" t="s">
        <v>35</v>
      </c>
      <c r="J2207"/>
      <c r="K2207">
        <v>1</v>
      </c>
      <c r="L2207">
        <v>1</v>
      </c>
      <c r="M2207" t="s">
        <v>33</v>
      </c>
      <c r="N2207">
        <v>1</v>
      </c>
      <c r="O2207"/>
      <c r="P2207">
        <v>0</v>
      </c>
      <c r="Q2207" t="s">
        <v>38</v>
      </c>
      <c r="R2207">
        <v>1</v>
      </c>
      <c r="S2207">
        <v>0</v>
      </c>
      <c r="T2207"/>
      <c r="U2207"/>
      <c r="V2207"/>
      <c r="W2207"/>
      <c r="X2207">
        <v>0</v>
      </c>
      <c r="Y2207"/>
      <c r="Z2207">
        <v>0</v>
      </c>
      <c r="AA2207"/>
      <c r="AB2207"/>
      <c r="AC2207"/>
      <c r="AD2207"/>
      <c r="AE2207">
        <v>0</v>
      </c>
      <c r="AF2207"/>
      <c r="AG2207"/>
      <c r="AH2207"/>
    </row>
    <row r="2208" spans="1:34" x14ac:dyDescent="0.25">
      <c r="A2208" t="s">
        <v>3406</v>
      </c>
      <c r="B2208" t="s">
        <v>3407</v>
      </c>
      <c r="C2208"/>
      <c r="D2208" t="s">
        <v>2649</v>
      </c>
      <c r="E2208" t="s">
        <v>2912</v>
      </c>
      <c r="F2208" t="s">
        <v>2922</v>
      </c>
      <c r="G2208" t="s">
        <v>280</v>
      </c>
      <c r="H2208" t="s">
        <v>2923</v>
      </c>
      <c r="I2208" t="s">
        <v>35</v>
      </c>
      <c r="J2208"/>
      <c r="K2208">
        <v>1</v>
      </c>
      <c r="L2208">
        <v>1</v>
      </c>
      <c r="M2208" t="s">
        <v>33</v>
      </c>
      <c r="N2208">
        <v>1</v>
      </c>
      <c r="O2208"/>
      <c r="P2208">
        <v>0</v>
      </c>
      <c r="Q2208" t="s">
        <v>38</v>
      </c>
      <c r="R2208">
        <v>1</v>
      </c>
      <c r="S2208">
        <v>0</v>
      </c>
      <c r="T2208"/>
      <c r="U2208"/>
      <c r="V2208"/>
      <c r="W2208"/>
      <c r="X2208">
        <v>0</v>
      </c>
      <c r="Y2208"/>
      <c r="Z2208">
        <v>0</v>
      </c>
      <c r="AA2208"/>
      <c r="AB2208"/>
      <c r="AC2208"/>
      <c r="AD2208"/>
      <c r="AE2208">
        <v>0</v>
      </c>
      <c r="AF2208"/>
      <c r="AG2208"/>
      <c r="AH2208"/>
    </row>
    <row r="2209" spans="1:34" x14ac:dyDescent="0.25">
      <c r="A2209" t="s">
        <v>3408</v>
      </c>
      <c r="B2209" t="s">
        <v>3409</v>
      </c>
      <c r="C2209"/>
      <c r="D2209" t="s">
        <v>2649</v>
      </c>
      <c r="E2209" t="s">
        <v>2912</v>
      </c>
      <c r="F2209" t="s">
        <v>2922</v>
      </c>
      <c r="G2209" t="s">
        <v>280</v>
      </c>
      <c r="H2209" t="s">
        <v>2923</v>
      </c>
      <c r="I2209" t="s">
        <v>35</v>
      </c>
      <c r="J2209"/>
      <c r="K2209">
        <v>1</v>
      </c>
      <c r="L2209">
        <v>1</v>
      </c>
      <c r="M2209" t="s">
        <v>33</v>
      </c>
      <c r="N2209">
        <v>1</v>
      </c>
      <c r="O2209"/>
      <c r="P2209">
        <v>0</v>
      </c>
      <c r="Q2209" t="s">
        <v>38</v>
      </c>
      <c r="R2209">
        <v>1</v>
      </c>
      <c r="S2209">
        <v>0</v>
      </c>
      <c r="T2209"/>
      <c r="U2209"/>
      <c r="V2209"/>
      <c r="W2209"/>
      <c r="X2209">
        <v>0</v>
      </c>
      <c r="Y2209"/>
      <c r="Z2209">
        <v>0</v>
      </c>
      <c r="AA2209"/>
      <c r="AB2209"/>
      <c r="AC2209"/>
      <c r="AD2209"/>
      <c r="AE2209">
        <v>0</v>
      </c>
      <c r="AF2209"/>
      <c r="AG2209"/>
      <c r="AH2209"/>
    </row>
    <row r="2210" spans="1:34" x14ac:dyDescent="0.25">
      <c r="A2210" t="s">
        <v>3440</v>
      </c>
      <c r="B2210" t="s">
        <v>3441</v>
      </c>
      <c r="C2210"/>
      <c r="D2210" t="s">
        <v>2649</v>
      </c>
      <c r="E2210" t="s">
        <v>2912</v>
      </c>
      <c r="F2210" t="s">
        <v>2922</v>
      </c>
      <c r="G2210" t="s">
        <v>280</v>
      </c>
      <c r="H2210" t="s">
        <v>2923</v>
      </c>
      <c r="I2210" t="s">
        <v>35</v>
      </c>
      <c r="J2210"/>
      <c r="K2210">
        <v>1</v>
      </c>
      <c r="L2210">
        <v>1</v>
      </c>
      <c r="M2210" t="s">
        <v>33</v>
      </c>
      <c r="N2210">
        <v>1</v>
      </c>
      <c r="O2210"/>
      <c r="P2210">
        <v>0</v>
      </c>
      <c r="Q2210" t="s">
        <v>38</v>
      </c>
      <c r="R2210">
        <v>1</v>
      </c>
      <c r="S2210">
        <v>0</v>
      </c>
      <c r="T2210"/>
      <c r="U2210"/>
      <c r="V2210"/>
      <c r="W2210"/>
      <c r="X2210">
        <v>0</v>
      </c>
      <c r="Y2210"/>
      <c r="Z2210">
        <v>0</v>
      </c>
      <c r="AA2210"/>
      <c r="AB2210"/>
      <c r="AC2210"/>
      <c r="AD2210"/>
      <c r="AE2210">
        <v>0</v>
      </c>
      <c r="AF2210"/>
      <c r="AG2210"/>
      <c r="AH2210"/>
    </row>
    <row r="2211" spans="1:34" x14ac:dyDescent="0.25">
      <c r="A2211" t="s">
        <v>3442</v>
      </c>
      <c r="B2211" t="s">
        <v>3443</v>
      </c>
      <c r="C2211"/>
      <c r="D2211" t="s">
        <v>2649</v>
      </c>
      <c r="E2211" t="s">
        <v>2912</v>
      </c>
      <c r="F2211" t="s">
        <v>2922</v>
      </c>
      <c r="G2211" t="s">
        <v>280</v>
      </c>
      <c r="H2211" t="s">
        <v>2923</v>
      </c>
      <c r="I2211" t="s">
        <v>35</v>
      </c>
      <c r="J2211"/>
      <c r="K2211">
        <v>1</v>
      </c>
      <c r="L2211">
        <v>1</v>
      </c>
      <c r="M2211" t="s">
        <v>33</v>
      </c>
      <c r="N2211">
        <v>1</v>
      </c>
      <c r="O2211"/>
      <c r="P2211">
        <v>0</v>
      </c>
      <c r="Q2211" t="s">
        <v>38</v>
      </c>
      <c r="R2211">
        <v>1</v>
      </c>
      <c r="S2211">
        <v>0</v>
      </c>
      <c r="T2211"/>
      <c r="U2211"/>
      <c r="V2211"/>
      <c r="W2211"/>
      <c r="X2211">
        <v>0</v>
      </c>
      <c r="Y2211"/>
      <c r="Z2211">
        <v>0</v>
      </c>
      <c r="AA2211"/>
      <c r="AB2211"/>
      <c r="AC2211"/>
      <c r="AD2211"/>
      <c r="AE2211">
        <v>0</v>
      </c>
      <c r="AF2211"/>
      <c r="AG2211"/>
      <c r="AH2211"/>
    </row>
    <row r="2212" spans="1:34" x14ac:dyDescent="0.25">
      <c r="A2212" t="s">
        <v>3406</v>
      </c>
      <c r="B2212" t="s">
        <v>3407</v>
      </c>
      <c r="C2212"/>
      <c r="D2212" t="s">
        <v>2649</v>
      </c>
      <c r="E2212" t="s">
        <v>2912</v>
      </c>
      <c r="F2212" t="s">
        <v>2924</v>
      </c>
      <c r="G2212" t="s">
        <v>280</v>
      </c>
      <c r="H2212" t="s">
        <v>2925</v>
      </c>
      <c r="I2212" t="s">
        <v>35</v>
      </c>
      <c r="J2212"/>
      <c r="K2212">
        <v>1</v>
      </c>
      <c r="L2212">
        <v>1</v>
      </c>
      <c r="M2212" t="s">
        <v>33</v>
      </c>
      <c r="N2212">
        <v>1</v>
      </c>
      <c r="O2212"/>
      <c r="P2212">
        <v>0</v>
      </c>
      <c r="Q2212" t="s">
        <v>38</v>
      </c>
      <c r="R2212">
        <v>1</v>
      </c>
      <c r="S2212">
        <v>0</v>
      </c>
      <c r="T2212"/>
      <c r="U2212"/>
      <c r="V2212"/>
      <c r="W2212"/>
      <c r="X2212">
        <v>0</v>
      </c>
      <c r="Y2212"/>
      <c r="Z2212">
        <v>0</v>
      </c>
      <c r="AA2212"/>
      <c r="AB2212"/>
      <c r="AC2212"/>
      <c r="AD2212"/>
      <c r="AE2212">
        <v>0</v>
      </c>
      <c r="AF2212"/>
      <c r="AG2212"/>
      <c r="AH2212"/>
    </row>
    <row r="2213" spans="1:34" x14ac:dyDescent="0.25">
      <c r="A2213" t="s">
        <v>3408</v>
      </c>
      <c r="B2213" t="s">
        <v>3409</v>
      </c>
      <c r="C2213"/>
      <c r="D2213" t="s">
        <v>2649</v>
      </c>
      <c r="E2213" t="s">
        <v>2912</v>
      </c>
      <c r="F2213" t="s">
        <v>2924</v>
      </c>
      <c r="G2213" t="s">
        <v>280</v>
      </c>
      <c r="H2213" t="s">
        <v>2925</v>
      </c>
      <c r="I2213" t="s">
        <v>35</v>
      </c>
      <c r="J2213"/>
      <c r="K2213">
        <v>1</v>
      </c>
      <c r="L2213">
        <v>1</v>
      </c>
      <c r="M2213" t="s">
        <v>33</v>
      </c>
      <c r="N2213">
        <v>1</v>
      </c>
      <c r="O2213"/>
      <c r="P2213">
        <v>0</v>
      </c>
      <c r="Q2213" t="s">
        <v>38</v>
      </c>
      <c r="R2213">
        <v>1</v>
      </c>
      <c r="S2213">
        <v>0</v>
      </c>
      <c r="T2213"/>
      <c r="U2213"/>
      <c r="V2213"/>
      <c r="W2213"/>
      <c r="X2213">
        <v>0</v>
      </c>
      <c r="Y2213"/>
      <c r="Z2213">
        <v>0</v>
      </c>
      <c r="AA2213"/>
      <c r="AB2213"/>
      <c r="AC2213"/>
      <c r="AD2213"/>
      <c r="AE2213">
        <v>0</v>
      </c>
      <c r="AF2213"/>
      <c r="AG2213"/>
      <c r="AH2213"/>
    </row>
    <row r="2214" spans="1:34" x14ac:dyDescent="0.25">
      <c r="A2214" t="s">
        <v>3440</v>
      </c>
      <c r="B2214" t="s">
        <v>3441</v>
      </c>
      <c r="C2214"/>
      <c r="D2214" t="s">
        <v>2649</v>
      </c>
      <c r="E2214" t="s">
        <v>2912</v>
      </c>
      <c r="F2214" t="s">
        <v>2924</v>
      </c>
      <c r="G2214" t="s">
        <v>280</v>
      </c>
      <c r="H2214" t="s">
        <v>2925</v>
      </c>
      <c r="I2214" t="s">
        <v>35</v>
      </c>
      <c r="J2214"/>
      <c r="K2214">
        <v>1</v>
      </c>
      <c r="L2214">
        <v>1</v>
      </c>
      <c r="M2214" t="s">
        <v>33</v>
      </c>
      <c r="N2214">
        <v>1</v>
      </c>
      <c r="O2214"/>
      <c r="P2214">
        <v>0</v>
      </c>
      <c r="Q2214" t="s">
        <v>38</v>
      </c>
      <c r="R2214">
        <v>1</v>
      </c>
      <c r="S2214">
        <v>0</v>
      </c>
      <c r="T2214"/>
      <c r="U2214"/>
      <c r="V2214"/>
      <c r="W2214"/>
      <c r="X2214">
        <v>0</v>
      </c>
      <c r="Y2214"/>
      <c r="Z2214">
        <v>0</v>
      </c>
      <c r="AA2214"/>
      <c r="AB2214"/>
      <c r="AC2214"/>
      <c r="AD2214"/>
      <c r="AE2214">
        <v>0</v>
      </c>
      <c r="AF2214"/>
      <c r="AG2214"/>
      <c r="AH2214"/>
    </row>
    <row r="2215" spans="1:34" x14ac:dyDescent="0.25">
      <c r="A2215" t="s">
        <v>3442</v>
      </c>
      <c r="B2215" t="s">
        <v>3443</v>
      </c>
      <c r="C2215"/>
      <c r="D2215" t="s">
        <v>2649</v>
      </c>
      <c r="E2215" t="s">
        <v>2912</v>
      </c>
      <c r="F2215" t="s">
        <v>2924</v>
      </c>
      <c r="G2215" t="s">
        <v>280</v>
      </c>
      <c r="H2215" t="s">
        <v>2925</v>
      </c>
      <c r="I2215" t="s">
        <v>35</v>
      </c>
      <c r="J2215"/>
      <c r="K2215">
        <v>1</v>
      </c>
      <c r="L2215">
        <v>1</v>
      </c>
      <c r="M2215" t="s">
        <v>33</v>
      </c>
      <c r="N2215">
        <v>1</v>
      </c>
      <c r="O2215"/>
      <c r="P2215">
        <v>0</v>
      </c>
      <c r="Q2215" t="s">
        <v>38</v>
      </c>
      <c r="R2215">
        <v>1</v>
      </c>
      <c r="S2215">
        <v>0</v>
      </c>
      <c r="T2215"/>
      <c r="U2215"/>
      <c r="V2215"/>
      <c r="W2215"/>
      <c r="X2215">
        <v>0</v>
      </c>
      <c r="Y2215"/>
      <c r="Z2215">
        <v>0</v>
      </c>
      <c r="AA2215"/>
      <c r="AB2215"/>
      <c r="AC2215"/>
      <c r="AD2215"/>
      <c r="AE2215">
        <v>0</v>
      </c>
      <c r="AF2215"/>
      <c r="AG2215"/>
      <c r="AH2215"/>
    </row>
    <row r="2216" spans="1:34" x14ac:dyDescent="0.25">
      <c r="A2216" t="s">
        <v>3406</v>
      </c>
      <c r="B2216" t="s">
        <v>3407</v>
      </c>
      <c r="C2216"/>
      <c r="D2216" t="s">
        <v>2649</v>
      </c>
      <c r="E2216" t="s">
        <v>2912</v>
      </c>
      <c r="F2216" t="s">
        <v>2926</v>
      </c>
      <c r="G2216" t="s">
        <v>280</v>
      </c>
      <c r="H2216" t="s">
        <v>2927</v>
      </c>
      <c r="I2216" t="s">
        <v>35</v>
      </c>
      <c r="J2216"/>
      <c r="K2216">
        <v>1</v>
      </c>
      <c r="L2216">
        <v>1</v>
      </c>
      <c r="M2216" t="s">
        <v>33</v>
      </c>
      <c r="N2216">
        <v>1</v>
      </c>
      <c r="O2216"/>
      <c r="P2216">
        <v>0</v>
      </c>
      <c r="Q2216" t="s">
        <v>38</v>
      </c>
      <c r="R2216">
        <v>1</v>
      </c>
      <c r="S2216">
        <v>0</v>
      </c>
      <c r="T2216"/>
      <c r="U2216"/>
      <c r="V2216"/>
      <c r="W2216"/>
      <c r="X2216">
        <v>0</v>
      </c>
      <c r="Y2216"/>
      <c r="Z2216">
        <v>0</v>
      </c>
      <c r="AA2216"/>
      <c r="AB2216"/>
      <c r="AC2216"/>
      <c r="AD2216"/>
      <c r="AE2216">
        <v>0</v>
      </c>
      <c r="AF2216"/>
      <c r="AG2216"/>
      <c r="AH2216"/>
    </row>
    <row r="2217" spans="1:34" x14ac:dyDescent="0.25">
      <c r="A2217" t="s">
        <v>3408</v>
      </c>
      <c r="B2217" t="s">
        <v>3409</v>
      </c>
      <c r="C2217"/>
      <c r="D2217" t="s">
        <v>2649</v>
      </c>
      <c r="E2217" t="s">
        <v>2912</v>
      </c>
      <c r="F2217" t="s">
        <v>2926</v>
      </c>
      <c r="G2217" t="s">
        <v>280</v>
      </c>
      <c r="H2217" t="s">
        <v>2927</v>
      </c>
      <c r="I2217" t="s">
        <v>35</v>
      </c>
      <c r="J2217"/>
      <c r="K2217">
        <v>1</v>
      </c>
      <c r="L2217">
        <v>1</v>
      </c>
      <c r="M2217" t="s">
        <v>33</v>
      </c>
      <c r="N2217">
        <v>1</v>
      </c>
      <c r="O2217"/>
      <c r="P2217">
        <v>0</v>
      </c>
      <c r="Q2217" t="s">
        <v>38</v>
      </c>
      <c r="R2217">
        <v>1</v>
      </c>
      <c r="S2217">
        <v>0</v>
      </c>
      <c r="T2217"/>
      <c r="U2217"/>
      <c r="V2217"/>
      <c r="W2217"/>
      <c r="X2217">
        <v>0</v>
      </c>
      <c r="Y2217"/>
      <c r="Z2217">
        <v>0</v>
      </c>
      <c r="AA2217"/>
      <c r="AB2217"/>
      <c r="AC2217"/>
      <c r="AD2217"/>
      <c r="AE2217">
        <v>0</v>
      </c>
      <c r="AF2217"/>
      <c r="AG2217"/>
      <c r="AH2217"/>
    </row>
    <row r="2218" spans="1:34" x14ac:dyDescent="0.25">
      <c r="A2218" t="s">
        <v>3440</v>
      </c>
      <c r="B2218" t="s">
        <v>3441</v>
      </c>
      <c r="C2218"/>
      <c r="D2218" t="s">
        <v>2649</v>
      </c>
      <c r="E2218" t="s">
        <v>2912</v>
      </c>
      <c r="F2218" t="s">
        <v>2926</v>
      </c>
      <c r="G2218" t="s">
        <v>280</v>
      </c>
      <c r="H2218" t="s">
        <v>2927</v>
      </c>
      <c r="I2218" t="s">
        <v>35</v>
      </c>
      <c r="J2218"/>
      <c r="K2218">
        <v>1</v>
      </c>
      <c r="L2218">
        <v>1</v>
      </c>
      <c r="M2218" t="s">
        <v>33</v>
      </c>
      <c r="N2218">
        <v>1</v>
      </c>
      <c r="O2218"/>
      <c r="P2218">
        <v>0</v>
      </c>
      <c r="Q2218" t="s">
        <v>38</v>
      </c>
      <c r="R2218">
        <v>1</v>
      </c>
      <c r="S2218">
        <v>0</v>
      </c>
      <c r="T2218"/>
      <c r="U2218"/>
      <c r="V2218"/>
      <c r="W2218"/>
      <c r="X2218">
        <v>0</v>
      </c>
      <c r="Y2218"/>
      <c r="Z2218">
        <v>0</v>
      </c>
      <c r="AA2218"/>
      <c r="AB2218"/>
      <c r="AC2218"/>
      <c r="AD2218"/>
      <c r="AE2218">
        <v>0</v>
      </c>
      <c r="AF2218"/>
      <c r="AG2218"/>
      <c r="AH2218"/>
    </row>
    <row r="2219" spans="1:34" x14ac:dyDescent="0.25">
      <c r="A2219" t="s">
        <v>3442</v>
      </c>
      <c r="B2219" t="s">
        <v>3443</v>
      </c>
      <c r="C2219"/>
      <c r="D2219" t="s">
        <v>2649</v>
      </c>
      <c r="E2219" t="s">
        <v>2912</v>
      </c>
      <c r="F2219" t="s">
        <v>2926</v>
      </c>
      <c r="G2219" t="s">
        <v>280</v>
      </c>
      <c r="H2219" t="s">
        <v>2927</v>
      </c>
      <c r="I2219" t="s">
        <v>35</v>
      </c>
      <c r="J2219"/>
      <c r="K2219">
        <v>1</v>
      </c>
      <c r="L2219">
        <v>1</v>
      </c>
      <c r="M2219" t="s">
        <v>33</v>
      </c>
      <c r="N2219">
        <v>1</v>
      </c>
      <c r="O2219"/>
      <c r="P2219">
        <v>0</v>
      </c>
      <c r="Q2219" t="s">
        <v>38</v>
      </c>
      <c r="R2219">
        <v>1</v>
      </c>
      <c r="S2219">
        <v>0</v>
      </c>
      <c r="T2219"/>
      <c r="U2219"/>
      <c r="V2219"/>
      <c r="W2219"/>
      <c r="X2219">
        <v>0</v>
      </c>
      <c r="Y2219"/>
      <c r="Z2219">
        <v>0</v>
      </c>
      <c r="AA2219"/>
      <c r="AB2219"/>
      <c r="AC2219"/>
      <c r="AD2219"/>
      <c r="AE2219">
        <v>0</v>
      </c>
      <c r="AF2219"/>
      <c r="AG2219"/>
      <c r="AH2219"/>
    </row>
    <row r="2220" spans="1:34" x14ac:dyDescent="0.25">
      <c r="A2220" t="s">
        <v>3406</v>
      </c>
      <c r="B2220" t="s">
        <v>3407</v>
      </c>
      <c r="C2220"/>
      <c r="D2220" t="s">
        <v>2649</v>
      </c>
      <c r="E2220" t="s">
        <v>2912</v>
      </c>
      <c r="F2220" t="s">
        <v>2928</v>
      </c>
      <c r="G2220" t="s">
        <v>280</v>
      </c>
      <c r="H2220" t="s">
        <v>2929</v>
      </c>
      <c r="I2220" t="s">
        <v>35</v>
      </c>
      <c r="J2220"/>
      <c r="K2220">
        <v>1</v>
      </c>
      <c r="L2220">
        <v>1</v>
      </c>
      <c r="M2220" t="s">
        <v>33</v>
      </c>
      <c r="N2220">
        <v>1</v>
      </c>
      <c r="O2220"/>
      <c r="P2220">
        <v>0</v>
      </c>
      <c r="Q2220" t="s">
        <v>38</v>
      </c>
      <c r="R2220">
        <v>1</v>
      </c>
      <c r="S2220">
        <v>0</v>
      </c>
      <c r="T2220"/>
      <c r="U2220"/>
      <c r="V2220"/>
      <c r="W2220"/>
      <c r="X2220">
        <v>0</v>
      </c>
      <c r="Y2220"/>
      <c r="Z2220">
        <v>0</v>
      </c>
      <c r="AA2220"/>
      <c r="AB2220"/>
      <c r="AC2220"/>
      <c r="AD2220"/>
      <c r="AE2220">
        <v>0</v>
      </c>
      <c r="AF2220"/>
      <c r="AG2220"/>
      <c r="AH2220"/>
    </row>
    <row r="2221" spans="1:34" x14ac:dyDescent="0.25">
      <c r="A2221" t="s">
        <v>3408</v>
      </c>
      <c r="B2221" t="s">
        <v>3409</v>
      </c>
      <c r="C2221"/>
      <c r="D2221" t="s">
        <v>2649</v>
      </c>
      <c r="E2221" t="s">
        <v>2912</v>
      </c>
      <c r="F2221" t="s">
        <v>2928</v>
      </c>
      <c r="G2221" t="s">
        <v>280</v>
      </c>
      <c r="H2221" t="s">
        <v>2929</v>
      </c>
      <c r="I2221" t="s">
        <v>35</v>
      </c>
      <c r="J2221"/>
      <c r="K2221">
        <v>1</v>
      </c>
      <c r="L2221">
        <v>1</v>
      </c>
      <c r="M2221" t="s">
        <v>33</v>
      </c>
      <c r="N2221">
        <v>1</v>
      </c>
      <c r="O2221"/>
      <c r="P2221">
        <v>0</v>
      </c>
      <c r="Q2221" t="s">
        <v>38</v>
      </c>
      <c r="R2221">
        <v>1</v>
      </c>
      <c r="S2221">
        <v>0</v>
      </c>
      <c r="T2221"/>
      <c r="U2221"/>
      <c r="V2221"/>
      <c r="W2221"/>
      <c r="X2221">
        <v>0</v>
      </c>
      <c r="Y2221"/>
      <c r="Z2221">
        <v>0</v>
      </c>
      <c r="AA2221"/>
      <c r="AB2221"/>
      <c r="AC2221"/>
      <c r="AD2221"/>
      <c r="AE2221">
        <v>0</v>
      </c>
      <c r="AF2221"/>
      <c r="AG2221"/>
      <c r="AH2221"/>
    </row>
    <row r="2222" spans="1:34" x14ac:dyDescent="0.25">
      <c r="A2222" t="s">
        <v>3440</v>
      </c>
      <c r="B2222" t="s">
        <v>3441</v>
      </c>
      <c r="C2222"/>
      <c r="D2222" t="s">
        <v>2649</v>
      </c>
      <c r="E2222" t="s">
        <v>2912</v>
      </c>
      <c r="F2222" t="s">
        <v>2928</v>
      </c>
      <c r="G2222" t="s">
        <v>280</v>
      </c>
      <c r="H2222" t="s">
        <v>2929</v>
      </c>
      <c r="I2222" t="s">
        <v>35</v>
      </c>
      <c r="J2222"/>
      <c r="K2222">
        <v>1</v>
      </c>
      <c r="L2222">
        <v>1</v>
      </c>
      <c r="M2222" t="s">
        <v>33</v>
      </c>
      <c r="N2222">
        <v>1</v>
      </c>
      <c r="O2222"/>
      <c r="P2222">
        <v>0</v>
      </c>
      <c r="Q2222" t="s">
        <v>38</v>
      </c>
      <c r="R2222">
        <v>1</v>
      </c>
      <c r="S2222">
        <v>0</v>
      </c>
      <c r="T2222"/>
      <c r="U2222"/>
      <c r="V2222"/>
      <c r="W2222"/>
      <c r="X2222">
        <v>0</v>
      </c>
      <c r="Y2222"/>
      <c r="Z2222">
        <v>0</v>
      </c>
      <c r="AA2222"/>
      <c r="AB2222"/>
      <c r="AC2222"/>
      <c r="AD2222"/>
      <c r="AE2222">
        <v>0</v>
      </c>
      <c r="AF2222"/>
      <c r="AG2222"/>
      <c r="AH2222"/>
    </row>
    <row r="2223" spans="1:34" x14ac:dyDescent="0.25">
      <c r="A2223" t="s">
        <v>3442</v>
      </c>
      <c r="B2223" t="s">
        <v>3443</v>
      </c>
      <c r="C2223"/>
      <c r="D2223" t="s">
        <v>2649</v>
      </c>
      <c r="E2223" t="s">
        <v>2912</v>
      </c>
      <c r="F2223" t="s">
        <v>2928</v>
      </c>
      <c r="G2223" t="s">
        <v>280</v>
      </c>
      <c r="H2223" t="s">
        <v>2929</v>
      </c>
      <c r="I2223" t="s">
        <v>35</v>
      </c>
      <c r="J2223"/>
      <c r="K2223">
        <v>1</v>
      </c>
      <c r="L2223">
        <v>1</v>
      </c>
      <c r="M2223" t="s">
        <v>33</v>
      </c>
      <c r="N2223">
        <v>1</v>
      </c>
      <c r="O2223"/>
      <c r="P2223">
        <v>0</v>
      </c>
      <c r="Q2223" t="s">
        <v>38</v>
      </c>
      <c r="R2223">
        <v>1</v>
      </c>
      <c r="S2223">
        <v>0</v>
      </c>
      <c r="T2223"/>
      <c r="U2223"/>
      <c r="V2223"/>
      <c r="W2223"/>
      <c r="X2223">
        <v>0</v>
      </c>
      <c r="Y2223"/>
      <c r="Z2223">
        <v>0</v>
      </c>
      <c r="AA2223"/>
      <c r="AB2223"/>
      <c r="AC2223"/>
      <c r="AD2223"/>
      <c r="AE2223">
        <v>0</v>
      </c>
      <c r="AF2223"/>
      <c r="AG2223"/>
      <c r="AH2223"/>
    </row>
    <row r="2224" spans="1:34" x14ac:dyDescent="0.25">
      <c r="A2224" t="s">
        <v>3406</v>
      </c>
      <c r="B2224" t="s">
        <v>3407</v>
      </c>
      <c r="C2224"/>
      <c r="D2224" t="s">
        <v>2649</v>
      </c>
      <c r="E2224" t="s">
        <v>2912</v>
      </c>
      <c r="F2224" t="s">
        <v>2930</v>
      </c>
      <c r="G2224" t="s">
        <v>280</v>
      </c>
      <c r="H2224" t="s">
        <v>2929</v>
      </c>
      <c r="I2224" t="s">
        <v>35</v>
      </c>
      <c r="J2224"/>
      <c r="K2224">
        <v>1</v>
      </c>
      <c r="L2224">
        <v>1</v>
      </c>
      <c r="M2224" t="s">
        <v>33</v>
      </c>
      <c r="N2224">
        <v>1</v>
      </c>
      <c r="O2224"/>
      <c r="P2224">
        <v>0</v>
      </c>
      <c r="Q2224" t="s">
        <v>38</v>
      </c>
      <c r="R2224">
        <v>1</v>
      </c>
      <c r="S2224">
        <v>0</v>
      </c>
      <c r="T2224"/>
      <c r="U2224"/>
      <c r="V2224"/>
      <c r="W2224"/>
      <c r="X2224">
        <v>0</v>
      </c>
      <c r="Y2224"/>
      <c r="Z2224">
        <v>0</v>
      </c>
      <c r="AA2224"/>
      <c r="AB2224"/>
      <c r="AC2224"/>
      <c r="AD2224"/>
      <c r="AE2224">
        <v>0</v>
      </c>
      <c r="AF2224"/>
      <c r="AG2224"/>
      <c r="AH2224"/>
    </row>
    <row r="2225" spans="1:34" x14ac:dyDescent="0.25">
      <c r="A2225" t="s">
        <v>3408</v>
      </c>
      <c r="B2225" t="s">
        <v>3409</v>
      </c>
      <c r="C2225"/>
      <c r="D2225" t="s">
        <v>2649</v>
      </c>
      <c r="E2225" t="s">
        <v>2912</v>
      </c>
      <c r="F2225" t="s">
        <v>2930</v>
      </c>
      <c r="G2225" t="s">
        <v>280</v>
      </c>
      <c r="H2225" t="s">
        <v>2929</v>
      </c>
      <c r="I2225" t="s">
        <v>35</v>
      </c>
      <c r="J2225"/>
      <c r="K2225">
        <v>1</v>
      </c>
      <c r="L2225">
        <v>1</v>
      </c>
      <c r="M2225" t="s">
        <v>33</v>
      </c>
      <c r="N2225">
        <v>1</v>
      </c>
      <c r="O2225"/>
      <c r="P2225">
        <v>0</v>
      </c>
      <c r="Q2225" t="s">
        <v>38</v>
      </c>
      <c r="R2225">
        <v>1</v>
      </c>
      <c r="S2225">
        <v>0</v>
      </c>
      <c r="T2225"/>
      <c r="U2225"/>
      <c r="V2225"/>
      <c r="W2225"/>
      <c r="X2225">
        <v>0</v>
      </c>
      <c r="Y2225"/>
      <c r="Z2225">
        <v>0</v>
      </c>
      <c r="AA2225"/>
      <c r="AB2225"/>
      <c r="AC2225"/>
      <c r="AD2225"/>
      <c r="AE2225">
        <v>0</v>
      </c>
      <c r="AF2225"/>
      <c r="AG2225"/>
      <c r="AH2225"/>
    </row>
    <row r="2226" spans="1:34" x14ac:dyDescent="0.25">
      <c r="A2226" t="s">
        <v>3440</v>
      </c>
      <c r="B2226" t="s">
        <v>3441</v>
      </c>
      <c r="C2226"/>
      <c r="D2226" t="s">
        <v>2649</v>
      </c>
      <c r="E2226" t="s">
        <v>2912</v>
      </c>
      <c r="F2226" t="s">
        <v>2930</v>
      </c>
      <c r="G2226" t="s">
        <v>280</v>
      </c>
      <c r="H2226" t="s">
        <v>2929</v>
      </c>
      <c r="I2226" t="s">
        <v>35</v>
      </c>
      <c r="J2226"/>
      <c r="K2226">
        <v>1</v>
      </c>
      <c r="L2226">
        <v>1</v>
      </c>
      <c r="M2226" t="s">
        <v>33</v>
      </c>
      <c r="N2226">
        <v>1</v>
      </c>
      <c r="O2226"/>
      <c r="P2226">
        <v>0</v>
      </c>
      <c r="Q2226" t="s">
        <v>38</v>
      </c>
      <c r="R2226">
        <v>1</v>
      </c>
      <c r="S2226">
        <v>0</v>
      </c>
      <c r="T2226"/>
      <c r="U2226"/>
      <c r="V2226"/>
      <c r="W2226"/>
      <c r="X2226">
        <v>0</v>
      </c>
      <c r="Y2226"/>
      <c r="Z2226">
        <v>0</v>
      </c>
      <c r="AA2226"/>
      <c r="AB2226"/>
      <c r="AC2226"/>
      <c r="AD2226"/>
      <c r="AE2226">
        <v>0</v>
      </c>
      <c r="AF2226"/>
      <c r="AG2226"/>
      <c r="AH2226"/>
    </row>
    <row r="2227" spans="1:34" x14ac:dyDescent="0.25">
      <c r="A2227" t="s">
        <v>3442</v>
      </c>
      <c r="B2227" t="s">
        <v>3443</v>
      </c>
      <c r="C2227"/>
      <c r="D2227" t="s">
        <v>2649</v>
      </c>
      <c r="E2227" t="s">
        <v>2912</v>
      </c>
      <c r="F2227" t="s">
        <v>2930</v>
      </c>
      <c r="G2227" t="s">
        <v>280</v>
      </c>
      <c r="H2227" t="s">
        <v>2929</v>
      </c>
      <c r="I2227" t="s">
        <v>35</v>
      </c>
      <c r="J2227"/>
      <c r="K2227">
        <v>1</v>
      </c>
      <c r="L2227">
        <v>1</v>
      </c>
      <c r="M2227" t="s">
        <v>33</v>
      </c>
      <c r="N2227">
        <v>1</v>
      </c>
      <c r="O2227"/>
      <c r="P2227">
        <v>0</v>
      </c>
      <c r="Q2227" t="s">
        <v>38</v>
      </c>
      <c r="R2227">
        <v>1</v>
      </c>
      <c r="S2227">
        <v>0</v>
      </c>
      <c r="T2227"/>
      <c r="U2227"/>
      <c r="V2227"/>
      <c r="W2227"/>
      <c r="X2227">
        <v>0</v>
      </c>
      <c r="Y2227"/>
      <c r="Z2227">
        <v>0</v>
      </c>
      <c r="AA2227"/>
      <c r="AB2227"/>
      <c r="AC2227"/>
      <c r="AD2227"/>
      <c r="AE2227">
        <v>0</v>
      </c>
      <c r="AF2227"/>
      <c r="AG2227"/>
      <c r="AH2227"/>
    </row>
    <row r="2228" spans="1:34" x14ac:dyDescent="0.25">
      <c r="A2228" t="s">
        <v>3406</v>
      </c>
      <c r="B2228" t="s">
        <v>3407</v>
      </c>
      <c r="C2228"/>
      <c r="D2228" t="s">
        <v>2649</v>
      </c>
      <c r="E2228" t="s">
        <v>2912</v>
      </c>
      <c r="F2228" t="s">
        <v>2931</v>
      </c>
      <c r="G2228" t="s">
        <v>280</v>
      </c>
      <c r="H2228" t="s">
        <v>2932</v>
      </c>
      <c r="I2228" t="s">
        <v>35</v>
      </c>
      <c r="J2228"/>
      <c r="K2228">
        <v>1</v>
      </c>
      <c r="L2228">
        <v>1</v>
      </c>
      <c r="M2228" t="s">
        <v>33</v>
      </c>
      <c r="N2228">
        <v>1</v>
      </c>
      <c r="O2228"/>
      <c r="P2228">
        <v>0</v>
      </c>
      <c r="Q2228" t="s">
        <v>38</v>
      </c>
      <c r="R2228">
        <v>1</v>
      </c>
      <c r="S2228">
        <v>0</v>
      </c>
      <c r="T2228"/>
      <c r="U2228"/>
      <c r="V2228"/>
      <c r="W2228"/>
      <c r="X2228">
        <v>0</v>
      </c>
      <c r="Y2228"/>
      <c r="Z2228">
        <v>0</v>
      </c>
      <c r="AA2228"/>
      <c r="AB2228"/>
      <c r="AC2228"/>
      <c r="AD2228"/>
      <c r="AE2228">
        <v>0</v>
      </c>
      <c r="AF2228"/>
      <c r="AG2228"/>
      <c r="AH2228"/>
    </row>
    <row r="2229" spans="1:34" x14ac:dyDescent="0.25">
      <c r="A2229" t="s">
        <v>3408</v>
      </c>
      <c r="B2229" t="s">
        <v>3409</v>
      </c>
      <c r="C2229"/>
      <c r="D2229" t="s">
        <v>2649</v>
      </c>
      <c r="E2229" t="s">
        <v>2912</v>
      </c>
      <c r="F2229" t="s">
        <v>2931</v>
      </c>
      <c r="G2229" t="s">
        <v>280</v>
      </c>
      <c r="H2229" t="s">
        <v>2932</v>
      </c>
      <c r="I2229" t="s">
        <v>35</v>
      </c>
      <c r="J2229"/>
      <c r="K2229">
        <v>1</v>
      </c>
      <c r="L2229">
        <v>1</v>
      </c>
      <c r="M2229" t="s">
        <v>33</v>
      </c>
      <c r="N2229">
        <v>1</v>
      </c>
      <c r="O2229"/>
      <c r="P2229">
        <v>0</v>
      </c>
      <c r="Q2229" t="s">
        <v>38</v>
      </c>
      <c r="R2229">
        <v>1</v>
      </c>
      <c r="S2229">
        <v>0</v>
      </c>
      <c r="T2229"/>
      <c r="U2229"/>
      <c r="V2229"/>
      <c r="W2229"/>
      <c r="X2229">
        <v>0</v>
      </c>
      <c r="Y2229"/>
      <c r="Z2229">
        <v>0</v>
      </c>
      <c r="AA2229"/>
      <c r="AB2229"/>
      <c r="AC2229"/>
      <c r="AD2229"/>
      <c r="AE2229">
        <v>0</v>
      </c>
      <c r="AF2229"/>
      <c r="AG2229"/>
      <c r="AH2229"/>
    </row>
    <row r="2230" spans="1:34" x14ac:dyDescent="0.25">
      <c r="A2230" t="s">
        <v>3440</v>
      </c>
      <c r="B2230" t="s">
        <v>3441</v>
      </c>
      <c r="C2230"/>
      <c r="D2230" t="s">
        <v>2649</v>
      </c>
      <c r="E2230" t="s">
        <v>2912</v>
      </c>
      <c r="F2230" t="s">
        <v>2931</v>
      </c>
      <c r="G2230" t="s">
        <v>280</v>
      </c>
      <c r="H2230" t="s">
        <v>2932</v>
      </c>
      <c r="I2230" t="s">
        <v>35</v>
      </c>
      <c r="J2230"/>
      <c r="K2230">
        <v>1</v>
      </c>
      <c r="L2230">
        <v>1</v>
      </c>
      <c r="M2230" t="s">
        <v>33</v>
      </c>
      <c r="N2230">
        <v>1</v>
      </c>
      <c r="O2230"/>
      <c r="P2230">
        <v>0</v>
      </c>
      <c r="Q2230" t="s">
        <v>38</v>
      </c>
      <c r="R2230">
        <v>1</v>
      </c>
      <c r="S2230">
        <v>0</v>
      </c>
      <c r="T2230"/>
      <c r="U2230"/>
      <c r="V2230"/>
      <c r="W2230"/>
      <c r="X2230">
        <v>0</v>
      </c>
      <c r="Y2230"/>
      <c r="Z2230">
        <v>0</v>
      </c>
      <c r="AA2230"/>
      <c r="AB2230"/>
      <c r="AC2230"/>
      <c r="AD2230"/>
      <c r="AE2230">
        <v>0</v>
      </c>
      <c r="AF2230"/>
      <c r="AG2230"/>
      <c r="AH2230"/>
    </row>
    <row r="2231" spans="1:34" x14ac:dyDescent="0.25">
      <c r="A2231" t="s">
        <v>3442</v>
      </c>
      <c r="B2231" t="s">
        <v>3443</v>
      </c>
      <c r="C2231"/>
      <c r="D2231" t="s">
        <v>2649</v>
      </c>
      <c r="E2231" t="s">
        <v>2912</v>
      </c>
      <c r="F2231" t="s">
        <v>2931</v>
      </c>
      <c r="G2231" t="s">
        <v>280</v>
      </c>
      <c r="H2231" t="s">
        <v>2932</v>
      </c>
      <c r="I2231" t="s">
        <v>35</v>
      </c>
      <c r="J2231"/>
      <c r="K2231">
        <v>1</v>
      </c>
      <c r="L2231">
        <v>1</v>
      </c>
      <c r="M2231" t="s">
        <v>33</v>
      </c>
      <c r="N2231">
        <v>1</v>
      </c>
      <c r="O2231"/>
      <c r="P2231">
        <v>0</v>
      </c>
      <c r="Q2231" t="s">
        <v>38</v>
      </c>
      <c r="R2231">
        <v>1</v>
      </c>
      <c r="S2231">
        <v>0</v>
      </c>
      <c r="T2231"/>
      <c r="U2231"/>
      <c r="V2231"/>
      <c r="W2231"/>
      <c r="X2231">
        <v>0</v>
      </c>
      <c r="Y2231"/>
      <c r="Z2231">
        <v>0</v>
      </c>
      <c r="AA2231"/>
      <c r="AB2231"/>
      <c r="AC2231"/>
      <c r="AD2231"/>
      <c r="AE2231">
        <v>0</v>
      </c>
      <c r="AF2231"/>
      <c r="AG2231"/>
      <c r="AH2231"/>
    </row>
    <row r="2232" spans="1:34" x14ac:dyDescent="0.25">
      <c r="A2232" t="s">
        <v>3406</v>
      </c>
      <c r="B2232" t="s">
        <v>3407</v>
      </c>
      <c r="C2232"/>
      <c r="D2232" t="s">
        <v>2649</v>
      </c>
      <c r="E2232" t="s">
        <v>2912</v>
      </c>
      <c r="F2232" t="s">
        <v>2933</v>
      </c>
      <c r="G2232" t="s">
        <v>280</v>
      </c>
      <c r="H2232" t="s">
        <v>2934</v>
      </c>
      <c r="I2232" t="s">
        <v>35</v>
      </c>
      <c r="J2232"/>
      <c r="K2232">
        <v>1</v>
      </c>
      <c r="L2232">
        <v>1</v>
      </c>
      <c r="M2232" t="s">
        <v>33</v>
      </c>
      <c r="N2232">
        <v>1</v>
      </c>
      <c r="O2232"/>
      <c r="P2232">
        <v>0</v>
      </c>
      <c r="Q2232" t="s">
        <v>38</v>
      </c>
      <c r="R2232">
        <v>1</v>
      </c>
      <c r="S2232">
        <v>0</v>
      </c>
      <c r="T2232"/>
      <c r="U2232"/>
      <c r="V2232"/>
      <c r="W2232"/>
      <c r="X2232">
        <v>0</v>
      </c>
      <c r="Y2232"/>
      <c r="Z2232">
        <v>0</v>
      </c>
      <c r="AA2232"/>
      <c r="AB2232"/>
      <c r="AC2232"/>
      <c r="AD2232"/>
      <c r="AE2232">
        <v>0</v>
      </c>
      <c r="AF2232"/>
      <c r="AG2232"/>
      <c r="AH2232"/>
    </row>
    <row r="2233" spans="1:34" x14ac:dyDescent="0.25">
      <c r="A2233" t="s">
        <v>3408</v>
      </c>
      <c r="B2233" t="s">
        <v>3409</v>
      </c>
      <c r="C2233"/>
      <c r="D2233" t="s">
        <v>2649</v>
      </c>
      <c r="E2233" t="s">
        <v>2912</v>
      </c>
      <c r="F2233" t="s">
        <v>2933</v>
      </c>
      <c r="G2233" t="s">
        <v>280</v>
      </c>
      <c r="H2233" t="s">
        <v>2934</v>
      </c>
      <c r="I2233" t="s">
        <v>35</v>
      </c>
      <c r="J2233"/>
      <c r="K2233">
        <v>1</v>
      </c>
      <c r="L2233">
        <v>1</v>
      </c>
      <c r="M2233" t="s">
        <v>33</v>
      </c>
      <c r="N2233">
        <v>1</v>
      </c>
      <c r="O2233"/>
      <c r="P2233">
        <v>0</v>
      </c>
      <c r="Q2233" t="s">
        <v>38</v>
      </c>
      <c r="R2233">
        <v>1</v>
      </c>
      <c r="S2233">
        <v>0</v>
      </c>
      <c r="T2233"/>
      <c r="U2233"/>
      <c r="V2233"/>
      <c r="W2233"/>
      <c r="X2233">
        <v>0</v>
      </c>
      <c r="Y2233"/>
      <c r="Z2233">
        <v>0</v>
      </c>
      <c r="AA2233"/>
      <c r="AB2233"/>
      <c r="AC2233"/>
      <c r="AD2233"/>
      <c r="AE2233">
        <v>0</v>
      </c>
      <c r="AF2233"/>
      <c r="AG2233"/>
      <c r="AH2233"/>
    </row>
    <row r="2234" spans="1:34" x14ac:dyDescent="0.25">
      <c r="A2234" t="s">
        <v>3440</v>
      </c>
      <c r="B2234" t="s">
        <v>3441</v>
      </c>
      <c r="C2234"/>
      <c r="D2234" t="s">
        <v>2649</v>
      </c>
      <c r="E2234" t="s">
        <v>2912</v>
      </c>
      <c r="F2234" t="s">
        <v>2933</v>
      </c>
      <c r="G2234" t="s">
        <v>280</v>
      </c>
      <c r="H2234" t="s">
        <v>2934</v>
      </c>
      <c r="I2234" t="s">
        <v>35</v>
      </c>
      <c r="J2234"/>
      <c r="K2234">
        <v>1</v>
      </c>
      <c r="L2234">
        <v>1</v>
      </c>
      <c r="M2234" t="s">
        <v>33</v>
      </c>
      <c r="N2234">
        <v>1</v>
      </c>
      <c r="O2234"/>
      <c r="P2234">
        <v>0</v>
      </c>
      <c r="Q2234" t="s">
        <v>38</v>
      </c>
      <c r="R2234">
        <v>1</v>
      </c>
      <c r="S2234">
        <v>0</v>
      </c>
      <c r="T2234"/>
      <c r="U2234"/>
      <c r="V2234"/>
      <c r="W2234"/>
      <c r="X2234">
        <v>0</v>
      </c>
      <c r="Y2234"/>
      <c r="Z2234">
        <v>0</v>
      </c>
      <c r="AA2234"/>
      <c r="AB2234"/>
      <c r="AC2234"/>
      <c r="AD2234"/>
      <c r="AE2234">
        <v>0</v>
      </c>
      <c r="AF2234"/>
      <c r="AG2234"/>
      <c r="AH2234"/>
    </row>
    <row r="2235" spans="1:34" x14ac:dyDescent="0.25">
      <c r="A2235" t="s">
        <v>3442</v>
      </c>
      <c r="B2235" t="s">
        <v>3443</v>
      </c>
      <c r="C2235"/>
      <c r="D2235" t="s">
        <v>2649</v>
      </c>
      <c r="E2235" t="s">
        <v>2912</v>
      </c>
      <c r="F2235" t="s">
        <v>2933</v>
      </c>
      <c r="G2235" t="s">
        <v>280</v>
      </c>
      <c r="H2235" t="s">
        <v>2934</v>
      </c>
      <c r="I2235" t="s">
        <v>35</v>
      </c>
      <c r="J2235"/>
      <c r="K2235">
        <v>1</v>
      </c>
      <c r="L2235">
        <v>1</v>
      </c>
      <c r="M2235" t="s">
        <v>33</v>
      </c>
      <c r="N2235">
        <v>1</v>
      </c>
      <c r="O2235"/>
      <c r="P2235">
        <v>0</v>
      </c>
      <c r="Q2235" t="s">
        <v>38</v>
      </c>
      <c r="R2235">
        <v>1</v>
      </c>
      <c r="S2235">
        <v>0</v>
      </c>
      <c r="T2235"/>
      <c r="U2235"/>
      <c r="V2235"/>
      <c r="W2235"/>
      <c r="X2235">
        <v>0</v>
      </c>
      <c r="Y2235"/>
      <c r="Z2235">
        <v>0</v>
      </c>
      <c r="AA2235"/>
      <c r="AB2235"/>
      <c r="AC2235"/>
      <c r="AD2235"/>
      <c r="AE2235">
        <v>0</v>
      </c>
      <c r="AF2235"/>
      <c r="AG2235"/>
      <c r="AH2235"/>
    </row>
    <row r="2236" spans="1:34" x14ac:dyDescent="0.25">
      <c r="A2236" t="s">
        <v>3406</v>
      </c>
      <c r="B2236" t="s">
        <v>3407</v>
      </c>
      <c r="C2236"/>
      <c r="D2236" t="s">
        <v>2649</v>
      </c>
      <c r="E2236" t="s">
        <v>2912</v>
      </c>
      <c r="F2236" t="s">
        <v>2935</v>
      </c>
      <c r="G2236" t="s">
        <v>280</v>
      </c>
      <c r="H2236" t="s">
        <v>2936</v>
      </c>
      <c r="I2236" t="s">
        <v>35</v>
      </c>
      <c r="J2236"/>
      <c r="K2236">
        <v>1</v>
      </c>
      <c r="L2236">
        <v>1</v>
      </c>
      <c r="M2236" t="s">
        <v>33</v>
      </c>
      <c r="N2236">
        <v>1</v>
      </c>
      <c r="O2236"/>
      <c r="P2236">
        <v>0</v>
      </c>
      <c r="Q2236" t="s">
        <v>38</v>
      </c>
      <c r="R2236">
        <v>1</v>
      </c>
      <c r="S2236">
        <v>0</v>
      </c>
      <c r="T2236"/>
      <c r="U2236"/>
      <c r="V2236"/>
      <c r="W2236"/>
      <c r="X2236">
        <v>0</v>
      </c>
      <c r="Y2236"/>
      <c r="Z2236">
        <v>0</v>
      </c>
      <c r="AA2236"/>
      <c r="AB2236"/>
      <c r="AC2236"/>
      <c r="AD2236"/>
      <c r="AE2236">
        <v>0</v>
      </c>
      <c r="AF2236"/>
      <c r="AG2236"/>
      <c r="AH2236"/>
    </row>
    <row r="2237" spans="1:34" x14ac:dyDescent="0.25">
      <c r="A2237" t="s">
        <v>3408</v>
      </c>
      <c r="B2237" t="s">
        <v>3409</v>
      </c>
      <c r="C2237"/>
      <c r="D2237" t="s">
        <v>2649</v>
      </c>
      <c r="E2237" t="s">
        <v>2912</v>
      </c>
      <c r="F2237" t="s">
        <v>2935</v>
      </c>
      <c r="G2237" t="s">
        <v>280</v>
      </c>
      <c r="H2237" t="s">
        <v>2936</v>
      </c>
      <c r="I2237" t="s">
        <v>35</v>
      </c>
      <c r="J2237"/>
      <c r="K2237">
        <v>1</v>
      </c>
      <c r="L2237">
        <v>1</v>
      </c>
      <c r="M2237" t="s">
        <v>33</v>
      </c>
      <c r="N2237">
        <v>1</v>
      </c>
      <c r="O2237"/>
      <c r="P2237">
        <v>0</v>
      </c>
      <c r="Q2237" t="s">
        <v>38</v>
      </c>
      <c r="R2237">
        <v>1</v>
      </c>
      <c r="S2237">
        <v>0</v>
      </c>
      <c r="T2237"/>
      <c r="U2237"/>
      <c r="V2237"/>
      <c r="W2237"/>
      <c r="X2237">
        <v>0</v>
      </c>
      <c r="Y2237"/>
      <c r="Z2237">
        <v>0</v>
      </c>
      <c r="AA2237"/>
      <c r="AB2237"/>
      <c r="AC2237"/>
      <c r="AD2237"/>
      <c r="AE2237">
        <v>0</v>
      </c>
      <c r="AF2237"/>
      <c r="AG2237"/>
      <c r="AH2237"/>
    </row>
    <row r="2238" spans="1:34" x14ac:dyDescent="0.25">
      <c r="A2238" t="s">
        <v>3440</v>
      </c>
      <c r="B2238" t="s">
        <v>3441</v>
      </c>
      <c r="C2238"/>
      <c r="D2238" t="s">
        <v>2649</v>
      </c>
      <c r="E2238" t="s">
        <v>2912</v>
      </c>
      <c r="F2238" t="s">
        <v>2935</v>
      </c>
      <c r="G2238" t="s">
        <v>280</v>
      </c>
      <c r="H2238" t="s">
        <v>2936</v>
      </c>
      <c r="I2238" t="s">
        <v>35</v>
      </c>
      <c r="J2238"/>
      <c r="K2238">
        <v>1</v>
      </c>
      <c r="L2238">
        <v>1</v>
      </c>
      <c r="M2238" t="s">
        <v>33</v>
      </c>
      <c r="N2238">
        <v>1</v>
      </c>
      <c r="O2238"/>
      <c r="P2238">
        <v>0</v>
      </c>
      <c r="Q2238" t="s">
        <v>38</v>
      </c>
      <c r="R2238">
        <v>1</v>
      </c>
      <c r="S2238">
        <v>0</v>
      </c>
      <c r="T2238"/>
      <c r="U2238"/>
      <c r="V2238"/>
      <c r="W2238"/>
      <c r="X2238">
        <v>0</v>
      </c>
      <c r="Y2238"/>
      <c r="Z2238">
        <v>0</v>
      </c>
      <c r="AA2238"/>
      <c r="AB2238"/>
      <c r="AC2238"/>
      <c r="AD2238"/>
      <c r="AE2238">
        <v>0</v>
      </c>
      <c r="AF2238"/>
      <c r="AG2238"/>
      <c r="AH2238"/>
    </row>
    <row r="2239" spans="1:34" x14ac:dyDescent="0.25">
      <c r="A2239" t="s">
        <v>3442</v>
      </c>
      <c r="B2239" t="s">
        <v>3443</v>
      </c>
      <c r="C2239"/>
      <c r="D2239" t="s">
        <v>2649</v>
      </c>
      <c r="E2239" t="s">
        <v>2912</v>
      </c>
      <c r="F2239" t="s">
        <v>2935</v>
      </c>
      <c r="G2239" t="s">
        <v>280</v>
      </c>
      <c r="H2239" t="s">
        <v>2936</v>
      </c>
      <c r="I2239" t="s">
        <v>35</v>
      </c>
      <c r="J2239"/>
      <c r="K2239">
        <v>1</v>
      </c>
      <c r="L2239">
        <v>1</v>
      </c>
      <c r="M2239" t="s">
        <v>33</v>
      </c>
      <c r="N2239">
        <v>1</v>
      </c>
      <c r="O2239"/>
      <c r="P2239">
        <v>0</v>
      </c>
      <c r="Q2239" t="s">
        <v>38</v>
      </c>
      <c r="R2239">
        <v>1</v>
      </c>
      <c r="S2239">
        <v>0</v>
      </c>
      <c r="T2239"/>
      <c r="U2239"/>
      <c r="V2239"/>
      <c r="W2239"/>
      <c r="X2239">
        <v>0</v>
      </c>
      <c r="Y2239"/>
      <c r="Z2239">
        <v>0</v>
      </c>
      <c r="AA2239"/>
      <c r="AB2239"/>
      <c r="AC2239"/>
      <c r="AD2239"/>
      <c r="AE2239">
        <v>0</v>
      </c>
      <c r="AF2239"/>
      <c r="AG2239"/>
      <c r="AH2239"/>
    </row>
    <row r="2240" spans="1:34" x14ac:dyDescent="0.25">
      <c r="A2240" t="s">
        <v>3406</v>
      </c>
      <c r="B2240" t="s">
        <v>3407</v>
      </c>
      <c r="C2240"/>
      <c r="D2240" t="s">
        <v>2649</v>
      </c>
      <c r="E2240" t="s">
        <v>2912</v>
      </c>
      <c r="F2240" t="s">
        <v>2937</v>
      </c>
      <c r="G2240" t="s">
        <v>280</v>
      </c>
      <c r="H2240" t="s">
        <v>2938</v>
      </c>
      <c r="I2240" t="s">
        <v>35</v>
      </c>
      <c r="J2240"/>
      <c r="K2240">
        <v>1</v>
      </c>
      <c r="L2240">
        <v>1</v>
      </c>
      <c r="M2240" t="s">
        <v>33</v>
      </c>
      <c r="N2240">
        <v>1</v>
      </c>
      <c r="O2240"/>
      <c r="P2240">
        <v>0</v>
      </c>
      <c r="Q2240" t="s">
        <v>38</v>
      </c>
      <c r="R2240">
        <v>1</v>
      </c>
      <c r="S2240">
        <v>0</v>
      </c>
      <c r="T2240"/>
      <c r="U2240"/>
      <c r="V2240"/>
      <c r="W2240"/>
      <c r="X2240">
        <v>0</v>
      </c>
      <c r="Y2240"/>
      <c r="Z2240">
        <v>0</v>
      </c>
      <c r="AA2240"/>
      <c r="AB2240"/>
      <c r="AC2240"/>
      <c r="AD2240"/>
      <c r="AE2240">
        <v>0</v>
      </c>
      <c r="AF2240"/>
      <c r="AG2240"/>
      <c r="AH2240"/>
    </row>
    <row r="2241" spans="1:34" x14ac:dyDescent="0.25">
      <c r="A2241" t="s">
        <v>3408</v>
      </c>
      <c r="B2241" t="s">
        <v>3409</v>
      </c>
      <c r="C2241"/>
      <c r="D2241" t="s">
        <v>2649</v>
      </c>
      <c r="E2241" t="s">
        <v>2912</v>
      </c>
      <c r="F2241" t="s">
        <v>2937</v>
      </c>
      <c r="G2241" t="s">
        <v>280</v>
      </c>
      <c r="H2241" t="s">
        <v>2938</v>
      </c>
      <c r="I2241" t="s">
        <v>35</v>
      </c>
      <c r="J2241"/>
      <c r="K2241">
        <v>1</v>
      </c>
      <c r="L2241">
        <v>1</v>
      </c>
      <c r="M2241" t="s">
        <v>33</v>
      </c>
      <c r="N2241">
        <v>1</v>
      </c>
      <c r="O2241"/>
      <c r="P2241">
        <v>0</v>
      </c>
      <c r="Q2241" t="s">
        <v>38</v>
      </c>
      <c r="R2241">
        <v>1</v>
      </c>
      <c r="S2241">
        <v>0</v>
      </c>
      <c r="T2241"/>
      <c r="U2241"/>
      <c r="V2241"/>
      <c r="W2241"/>
      <c r="X2241">
        <v>0</v>
      </c>
      <c r="Y2241"/>
      <c r="Z2241">
        <v>0</v>
      </c>
      <c r="AA2241"/>
      <c r="AB2241"/>
      <c r="AC2241"/>
      <c r="AD2241"/>
      <c r="AE2241">
        <v>0</v>
      </c>
      <c r="AF2241"/>
      <c r="AG2241"/>
      <c r="AH2241"/>
    </row>
    <row r="2242" spans="1:34" x14ac:dyDescent="0.25">
      <c r="A2242" t="s">
        <v>3440</v>
      </c>
      <c r="B2242" t="s">
        <v>3441</v>
      </c>
      <c r="C2242"/>
      <c r="D2242" t="s">
        <v>2649</v>
      </c>
      <c r="E2242" t="s">
        <v>2912</v>
      </c>
      <c r="F2242" t="s">
        <v>2937</v>
      </c>
      <c r="G2242" t="s">
        <v>280</v>
      </c>
      <c r="H2242" t="s">
        <v>2938</v>
      </c>
      <c r="I2242" t="s">
        <v>35</v>
      </c>
      <c r="J2242"/>
      <c r="K2242">
        <v>1</v>
      </c>
      <c r="L2242">
        <v>1</v>
      </c>
      <c r="M2242" t="s">
        <v>33</v>
      </c>
      <c r="N2242">
        <v>1</v>
      </c>
      <c r="O2242"/>
      <c r="P2242">
        <v>0</v>
      </c>
      <c r="Q2242" t="s">
        <v>38</v>
      </c>
      <c r="R2242">
        <v>1</v>
      </c>
      <c r="S2242">
        <v>0</v>
      </c>
      <c r="T2242"/>
      <c r="U2242"/>
      <c r="V2242"/>
      <c r="W2242"/>
      <c r="X2242">
        <v>0</v>
      </c>
      <c r="Y2242"/>
      <c r="Z2242">
        <v>0</v>
      </c>
      <c r="AA2242"/>
      <c r="AB2242"/>
      <c r="AC2242"/>
      <c r="AD2242"/>
      <c r="AE2242">
        <v>0</v>
      </c>
      <c r="AF2242"/>
      <c r="AG2242"/>
      <c r="AH2242"/>
    </row>
    <row r="2243" spans="1:34" x14ac:dyDescent="0.25">
      <c r="A2243" t="s">
        <v>3442</v>
      </c>
      <c r="B2243" t="s">
        <v>3443</v>
      </c>
      <c r="C2243"/>
      <c r="D2243" t="s">
        <v>2649</v>
      </c>
      <c r="E2243" t="s">
        <v>2912</v>
      </c>
      <c r="F2243" t="s">
        <v>2937</v>
      </c>
      <c r="G2243" t="s">
        <v>280</v>
      </c>
      <c r="H2243" t="s">
        <v>2938</v>
      </c>
      <c r="I2243" t="s">
        <v>35</v>
      </c>
      <c r="J2243"/>
      <c r="K2243">
        <v>1</v>
      </c>
      <c r="L2243">
        <v>1</v>
      </c>
      <c r="M2243" t="s">
        <v>33</v>
      </c>
      <c r="N2243">
        <v>1</v>
      </c>
      <c r="O2243"/>
      <c r="P2243">
        <v>0</v>
      </c>
      <c r="Q2243" t="s">
        <v>38</v>
      </c>
      <c r="R2243">
        <v>1</v>
      </c>
      <c r="S2243">
        <v>0</v>
      </c>
      <c r="T2243"/>
      <c r="U2243"/>
      <c r="V2243"/>
      <c r="W2243"/>
      <c r="X2243">
        <v>0</v>
      </c>
      <c r="Y2243"/>
      <c r="Z2243">
        <v>0</v>
      </c>
      <c r="AA2243"/>
      <c r="AB2243"/>
      <c r="AC2243"/>
      <c r="AD2243"/>
      <c r="AE2243">
        <v>0</v>
      </c>
      <c r="AF2243"/>
      <c r="AG2243"/>
      <c r="AH2243"/>
    </row>
    <row r="2244" spans="1:34" x14ac:dyDescent="0.25">
      <c r="A2244" t="s">
        <v>3406</v>
      </c>
      <c r="B2244" t="s">
        <v>3407</v>
      </c>
      <c r="C2244"/>
      <c r="D2244" t="s">
        <v>2649</v>
      </c>
      <c r="E2244" t="s">
        <v>2912</v>
      </c>
      <c r="F2244" t="s">
        <v>2939</v>
      </c>
      <c r="G2244" t="s">
        <v>280</v>
      </c>
      <c r="H2244" t="s">
        <v>2938</v>
      </c>
      <c r="I2244" t="s">
        <v>35</v>
      </c>
      <c r="J2244"/>
      <c r="K2244">
        <v>1</v>
      </c>
      <c r="L2244">
        <v>1</v>
      </c>
      <c r="M2244" t="s">
        <v>33</v>
      </c>
      <c r="N2244">
        <v>1</v>
      </c>
      <c r="O2244"/>
      <c r="P2244">
        <v>0</v>
      </c>
      <c r="Q2244" t="s">
        <v>38</v>
      </c>
      <c r="R2244">
        <v>1</v>
      </c>
      <c r="S2244">
        <v>0</v>
      </c>
      <c r="T2244"/>
      <c r="U2244"/>
      <c r="V2244"/>
      <c r="W2244"/>
      <c r="X2244">
        <v>0</v>
      </c>
      <c r="Y2244"/>
      <c r="Z2244">
        <v>0</v>
      </c>
      <c r="AA2244"/>
      <c r="AB2244"/>
      <c r="AC2244"/>
      <c r="AD2244"/>
      <c r="AE2244">
        <v>0</v>
      </c>
      <c r="AF2244"/>
      <c r="AG2244"/>
      <c r="AH2244"/>
    </row>
    <row r="2245" spans="1:34" x14ac:dyDescent="0.25">
      <c r="A2245" t="s">
        <v>3408</v>
      </c>
      <c r="B2245" t="s">
        <v>3409</v>
      </c>
      <c r="C2245"/>
      <c r="D2245" t="s">
        <v>2649</v>
      </c>
      <c r="E2245" t="s">
        <v>2912</v>
      </c>
      <c r="F2245" t="s">
        <v>2939</v>
      </c>
      <c r="G2245" t="s">
        <v>280</v>
      </c>
      <c r="H2245" t="s">
        <v>2938</v>
      </c>
      <c r="I2245" t="s">
        <v>35</v>
      </c>
      <c r="J2245"/>
      <c r="K2245">
        <v>1</v>
      </c>
      <c r="L2245">
        <v>1</v>
      </c>
      <c r="M2245" t="s">
        <v>33</v>
      </c>
      <c r="N2245">
        <v>1</v>
      </c>
      <c r="O2245"/>
      <c r="P2245">
        <v>0</v>
      </c>
      <c r="Q2245" t="s">
        <v>38</v>
      </c>
      <c r="R2245">
        <v>1</v>
      </c>
      <c r="S2245">
        <v>0</v>
      </c>
      <c r="T2245"/>
      <c r="U2245"/>
      <c r="V2245"/>
      <c r="W2245"/>
      <c r="X2245">
        <v>0</v>
      </c>
      <c r="Y2245"/>
      <c r="Z2245">
        <v>0</v>
      </c>
      <c r="AA2245"/>
      <c r="AB2245"/>
      <c r="AC2245"/>
      <c r="AD2245"/>
      <c r="AE2245">
        <v>0</v>
      </c>
      <c r="AF2245"/>
      <c r="AG2245"/>
      <c r="AH2245"/>
    </row>
    <row r="2246" spans="1:34" x14ac:dyDescent="0.25">
      <c r="A2246" t="s">
        <v>3440</v>
      </c>
      <c r="B2246" t="s">
        <v>3441</v>
      </c>
      <c r="C2246"/>
      <c r="D2246" t="s">
        <v>2649</v>
      </c>
      <c r="E2246" t="s">
        <v>2912</v>
      </c>
      <c r="F2246" t="s">
        <v>2939</v>
      </c>
      <c r="G2246" t="s">
        <v>280</v>
      </c>
      <c r="H2246" t="s">
        <v>2938</v>
      </c>
      <c r="I2246" t="s">
        <v>35</v>
      </c>
      <c r="J2246"/>
      <c r="K2246">
        <v>1</v>
      </c>
      <c r="L2246">
        <v>1</v>
      </c>
      <c r="M2246" t="s">
        <v>33</v>
      </c>
      <c r="N2246">
        <v>1</v>
      </c>
      <c r="O2246"/>
      <c r="P2246">
        <v>0</v>
      </c>
      <c r="Q2246" t="s">
        <v>38</v>
      </c>
      <c r="R2246">
        <v>1</v>
      </c>
      <c r="S2246">
        <v>0</v>
      </c>
      <c r="T2246"/>
      <c r="U2246"/>
      <c r="V2246"/>
      <c r="W2246"/>
      <c r="X2246">
        <v>0</v>
      </c>
      <c r="Y2246"/>
      <c r="Z2246">
        <v>0</v>
      </c>
      <c r="AA2246"/>
      <c r="AB2246"/>
      <c r="AC2246"/>
      <c r="AD2246"/>
      <c r="AE2246">
        <v>0</v>
      </c>
      <c r="AF2246"/>
      <c r="AG2246"/>
      <c r="AH2246"/>
    </row>
    <row r="2247" spans="1:34" x14ac:dyDescent="0.25">
      <c r="A2247" t="s">
        <v>3442</v>
      </c>
      <c r="B2247" t="s">
        <v>3443</v>
      </c>
      <c r="C2247"/>
      <c r="D2247" t="s">
        <v>2649</v>
      </c>
      <c r="E2247" t="s">
        <v>2912</v>
      </c>
      <c r="F2247" t="s">
        <v>2939</v>
      </c>
      <c r="G2247" t="s">
        <v>280</v>
      </c>
      <c r="H2247" t="s">
        <v>2938</v>
      </c>
      <c r="I2247" t="s">
        <v>35</v>
      </c>
      <c r="J2247"/>
      <c r="K2247">
        <v>1</v>
      </c>
      <c r="L2247">
        <v>1</v>
      </c>
      <c r="M2247" t="s">
        <v>33</v>
      </c>
      <c r="N2247">
        <v>1</v>
      </c>
      <c r="O2247"/>
      <c r="P2247">
        <v>0</v>
      </c>
      <c r="Q2247" t="s">
        <v>38</v>
      </c>
      <c r="R2247">
        <v>1</v>
      </c>
      <c r="S2247">
        <v>0</v>
      </c>
      <c r="T2247"/>
      <c r="U2247"/>
      <c r="V2247"/>
      <c r="W2247"/>
      <c r="X2247">
        <v>0</v>
      </c>
      <c r="Y2247"/>
      <c r="Z2247">
        <v>0</v>
      </c>
      <c r="AA2247"/>
      <c r="AB2247"/>
      <c r="AC2247"/>
      <c r="AD2247"/>
      <c r="AE2247">
        <v>0</v>
      </c>
      <c r="AF2247"/>
      <c r="AG2247"/>
      <c r="AH2247"/>
    </row>
    <row r="2248" spans="1:34" x14ac:dyDescent="0.25">
      <c r="A2248" t="s">
        <v>3406</v>
      </c>
      <c r="B2248" t="s">
        <v>3407</v>
      </c>
      <c r="C2248"/>
      <c r="D2248" t="s">
        <v>2649</v>
      </c>
      <c r="E2248" t="s">
        <v>2912</v>
      </c>
      <c r="F2248" t="s">
        <v>2940</v>
      </c>
      <c r="G2248" t="s">
        <v>280</v>
      </c>
      <c r="H2248" t="s">
        <v>2941</v>
      </c>
      <c r="I2248" t="s">
        <v>35</v>
      </c>
      <c r="J2248"/>
      <c r="K2248">
        <v>1</v>
      </c>
      <c r="L2248">
        <v>1</v>
      </c>
      <c r="M2248" t="s">
        <v>33</v>
      </c>
      <c r="N2248">
        <v>1</v>
      </c>
      <c r="O2248"/>
      <c r="P2248">
        <v>0</v>
      </c>
      <c r="Q2248" t="s">
        <v>38</v>
      </c>
      <c r="R2248">
        <v>1</v>
      </c>
      <c r="S2248">
        <v>0</v>
      </c>
      <c r="T2248"/>
      <c r="U2248"/>
      <c r="V2248"/>
      <c r="W2248"/>
      <c r="X2248">
        <v>0</v>
      </c>
      <c r="Y2248"/>
      <c r="Z2248">
        <v>0</v>
      </c>
      <c r="AA2248"/>
      <c r="AB2248"/>
      <c r="AC2248"/>
      <c r="AD2248"/>
      <c r="AE2248">
        <v>0</v>
      </c>
      <c r="AF2248"/>
      <c r="AG2248"/>
      <c r="AH2248"/>
    </row>
    <row r="2249" spans="1:34" x14ac:dyDescent="0.25">
      <c r="A2249" t="s">
        <v>3408</v>
      </c>
      <c r="B2249" t="s">
        <v>3409</v>
      </c>
      <c r="C2249"/>
      <c r="D2249" t="s">
        <v>2649</v>
      </c>
      <c r="E2249" t="s">
        <v>2912</v>
      </c>
      <c r="F2249" t="s">
        <v>2940</v>
      </c>
      <c r="G2249" t="s">
        <v>280</v>
      </c>
      <c r="H2249" t="s">
        <v>2941</v>
      </c>
      <c r="I2249" t="s">
        <v>35</v>
      </c>
      <c r="J2249"/>
      <c r="K2249">
        <v>1</v>
      </c>
      <c r="L2249">
        <v>1</v>
      </c>
      <c r="M2249" t="s">
        <v>33</v>
      </c>
      <c r="N2249">
        <v>1</v>
      </c>
      <c r="O2249"/>
      <c r="P2249">
        <v>0</v>
      </c>
      <c r="Q2249" t="s">
        <v>38</v>
      </c>
      <c r="R2249">
        <v>1</v>
      </c>
      <c r="S2249">
        <v>0</v>
      </c>
      <c r="T2249"/>
      <c r="U2249"/>
      <c r="V2249"/>
      <c r="W2249"/>
      <c r="X2249">
        <v>0</v>
      </c>
      <c r="Y2249"/>
      <c r="Z2249">
        <v>0</v>
      </c>
      <c r="AA2249"/>
      <c r="AB2249"/>
      <c r="AC2249"/>
      <c r="AD2249"/>
      <c r="AE2249">
        <v>0</v>
      </c>
      <c r="AF2249"/>
      <c r="AG2249"/>
      <c r="AH2249"/>
    </row>
    <row r="2250" spans="1:34" x14ac:dyDescent="0.25">
      <c r="A2250" t="s">
        <v>3440</v>
      </c>
      <c r="B2250" t="s">
        <v>3441</v>
      </c>
      <c r="C2250"/>
      <c r="D2250" t="s">
        <v>2649</v>
      </c>
      <c r="E2250" t="s">
        <v>2912</v>
      </c>
      <c r="F2250" t="s">
        <v>2940</v>
      </c>
      <c r="G2250" t="s">
        <v>280</v>
      </c>
      <c r="H2250" t="s">
        <v>2941</v>
      </c>
      <c r="I2250" t="s">
        <v>35</v>
      </c>
      <c r="J2250"/>
      <c r="K2250">
        <v>1</v>
      </c>
      <c r="L2250">
        <v>1</v>
      </c>
      <c r="M2250" t="s">
        <v>33</v>
      </c>
      <c r="N2250">
        <v>1</v>
      </c>
      <c r="O2250"/>
      <c r="P2250">
        <v>0</v>
      </c>
      <c r="Q2250" t="s">
        <v>38</v>
      </c>
      <c r="R2250">
        <v>1</v>
      </c>
      <c r="S2250">
        <v>0</v>
      </c>
      <c r="T2250"/>
      <c r="U2250"/>
      <c r="V2250"/>
      <c r="W2250"/>
      <c r="X2250">
        <v>0</v>
      </c>
      <c r="Y2250"/>
      <c r="Z2250">
        <v>0</v>
      </c>
      <c r="AA2250"/>
      <c r="AB2250"/>
      <c r="AC2250"/>
      <c r="AD2250"/>
      <c r="AE2250">
        <v>0</v>
      </c>
      <c r="AF2250"/>
      <c r="AG2250"/>
      <c r="AH2250"/>
    </row>
    <row r="2251" spans="1:34" x14ac:dyDescent="0.25">
      <c r="A2251" t="s">
        <v>3442</v>
      </c>
      <c r="B2251" t="s">
        <v>3443</v>
      </c>
      <c r="C2251"/>
      <c r="D2251" t="s">
        <v>2649</v>
      </c>
      <c r="E2251" t="s">
        <v>2912</v>
      </c>
      <c r="F2251" t="s">
        <v>2940</v>
      </c>
      <c r="G2251" t="s">
        <v>280</v>
      </c>
      <c r="H2251" t="s">
        <v>2941</v>
      </c>
      <c r="I2251" t="s">
        <v>35</v>
      </c>
      <c r="J2251"/>
      <c r="K2251">
        <v>1</v>
      </c>
      <c r="L2251">
        <v>1</v>
      </c>
      <c r="M2251" t="s">
        <v>33</v>
      </c>
      <c r="N2251">
        <v>1</v>
      </c>
      <c r="O2251"/>
      <c r="P2251">
        <v>0</v>
      </c>
      <c r="Q2251" t="s">
        <v>38</v>
      </c>
      <c r="R2251">
        <v>1</v>
      </c>
      <c r="S2251">
        <v>0</v>
      </c>
      <c r="T2251"/>
      <c r="U2251"/>
      <c r="V2251"/>
      <c r="W2251"/>
      <c r="X2251">
        <v>0</v>
      </c>
      <c r="Y2251"/>
      <c r="Z2251">
        <v>0</v>
      </c>
      <c r="AA2251"/>
      <c r="AB2251"/>
      <c r="AC2251"/>
      <c r="AD2251"/>
      <c r="AE2251">
        <v>0</v>
      </c>
      <c r="AF2251"/>
      <c r="AG2251"/>
      <c r="AH2251"/>
    </row>
    <row r="2252" spans="1:34" x14ac:dyDescent="0.25">
      <c r="A2252" t="s">
        <v>3406</v>
      </c>
      <c r="B2252" t="s">
        <v>3407</v>
      </c>
      <c r="C2252"/>
      <c r="D2252" t="s">
        <v>2649</v>
      </c>
      <c r="E2252" t="s">
        <v>2912</v>
      </c>
      <c r="F2252" t="s">
        <v>2942</v>
      </c>
      <c r="G2252" t="s">
        <v>280</v>
      </c>
      <c r="H2252" t="s">
        <v>2943</v>
      </c>
      <c r="I2252" t="s">
        <v>35</v>
      </c>
      <c r="J2252"/>
      <c r="K2252">
        <v>1</v>
      </c>
      <c r="L2252">
        <v>1</v>
      </c>
      <c r="M2252" t="s">
        <v>33</v>
      </c>
      <c r="N2252">
        <v>1</v>
      </c>
      <c r="O2252"/>
      <c r="P2252">
        <v>0</v>
      </c>
      <c r="Q2252" t="s">
        <v>38</v>
      </c>
      <c r="R2252">
        <v>1</v>
      </c>
      <c r="S2252">
        <v>0</v>
      </c>
      <c r="T2252"/>
      <c r="U2252"/>
      <c r="V2252"/>
      <c r="W2252"/>
      <c r="X2252">
        <v>0</v>
      </c>
      <c r="Y2252"/>
      <c r="Z2252">
        <v>0</v>
      </c>
      <c r="AA2252"/>
      <c r="AB2252"/>
      <c r="AC2252"/>
      <c r="AD2252"/>
      <c r="AE2252">
        <v>0</v>
      </c>
      <c r="AF2252"/>
      <c r="AG2252"/>
      <c r="AH2252"/>
    </row>
    <row r="2253" spans="1:34" x14ac:dyDescent="0.25">
      <c r="A2253" t="s">
        <v>3408</v>
      </c>
      <c r="B2253" t="s">
        <v>3409</v>
      </c>
      <c r="C2253"/>
      <c r="D2253" t="s">
        <v>2649</v>
      </c>
      <c r="E2253" t="s">
        <v>2912</v>
      </c>
      <c r="F2253" t="s">
        <v>2942</v>
      </c>
      <c r="G2253" t="s">
        <v>280</v>
      </c>
      <c r="H2253" t="s">
        <v>2943</v>
      </c>
      <c r="I2253" t="s">
        <v>35</v>
      </c>
      <c r="J2253"/>
      <c r="K2253">
        <v>1</v>
      </c>
      <c r="L2253">
        <v>1</v>
      </c>
      <c r="M2253" t="s">
        <v>33</v>
      </c>
      <c r="N2253">
        <v>1</v>
      </c>
      <c r="O2253"/>
      <c r="P2253">
        <v>0</v>
      </c>
      <c r="Q2253" t="s">
        <v>38</v>
      </c>
      <c r="R2253">
        <v>1</v>
      </c>
      <c r="S2253">
        <v>0</v>
      </c>
      <c r="T2253"/>
      <c r="U2253"/>
      <c r="V2253"/>
      <c r="W2253"/>
      <c r="X2253">
        <v>0</v>
      </c>
      <c r="Y2253"/>
      <c r="Z2253">
        <v>0</v>
      </c>
      <c r="AA2253"/>
      <c r="AB2253"/>
      <c r="AC2253"/>
      <c r="AD2253"/>
      <c r="AE2253">
        <v>0</v>
      </c>
      <c r="AF2253"/>
      <c r="AG2253"/>
      <c r="AH2253"/>
    </row>
    <row r="2254" spans="1:34" x14ac:dyDescent="0.25">
      <c r="A2254" t="s">
        <v>3440</v>
      </c>
      <c r="B2254" t="s">
        <v>3441</v>
      </c>
      <c r="C2254"/>
      <c r="D2254" t="s">
        <v>2649</v>
      </c>
      <c r="E2254" t="s">
        <v>2912</v>
      </c>
      <c r="F2254" t="s">
        <v>2942</v>
      </c>
      <c r="G2254" t="s">
        <v>280</v>
      </c>
      <c r="H2254" t="s">
        <v>2943</v>
      </c>
      <c r="I2254" t="s">
        <v>35</v>
      </c>
      <c r="J2254"/>
      <c r="K2254">
        <v>1</v>
      </c>
      <c r="L2254">
        <v>1</v>
      </c>
      <c r="M2254" t="s">
        <v>33</v>
      </c>
      <c r="N2254">
        <v>1</v>
      </c>
      <c r="O2254"/>
      <c r="P2254">
        <v>0</v>
      </c>
      <c r="Q2254" t="s">
        <v>38</v>
      </c>
      <c r="R2254">
        <v>1</v>
      </c>
      <c r="S2254">
        <v>0</v>
      </c>
      <c r="T2254"/>
      <c r="U2254"/>
      <c r="V2254"/>
      <c r="W2254"/>
      <c r="X2254">
        <v>0</v>
      </c>
      <c r="Y2254"/>
      <c r="Z2254">
        <v>0</v>
      </c>
      <c r="AA2254"/>
      <c r="AB2254"/>
      <c r="AC2254"/>
      <c r="AD2254"/>
      <c r="AE2254">
        <v>0</v>
      </c>
      <c r="AF2254"/>
      <c r="AG2254"/>
      <c r="AH2254"/>
    </row>
    <row r="2255" spans="1:34" x14ac:dyDescent="0.25">
      <c r="A2255" t="s">
        <v>3442</v>
      </c>
      <c r="B2255" t="s">
        <v>3443</v>
      </c>
      <c r="C2255"/>
      <c r="D2255" t="s">
        <v>2649</v>
      </c>
      <c r="E2255" t="s">
        <v>2912</v>
      </c>
      <c r="F2255" t="s">
        <v>2942</v>
      </c>
      <c r="G2255" t="s">
        <v>280</v>
      </c>
      <c r="H2255" t="s">
        <v>2943</v>
      </c>
      <c r="I2255" t="s">
        <v>35</v>
      </c>
      <c r="J2255"/>
      <c r="K2255">
        <v>1</v>
      </c>
      <c r="L2255">
        <v>1</v>
      </c>
      <c r="M2255" t="s">
        <v>33</v>
      </c>
      <c r="N2255">
        <v>1</v>
      </c>
      <c r="O2255"/>
      <c r="P2255">
        <v>0</v>
      </c>
      <c r="Q2255" t="s">
        <v>38</v>
      </c>
      <c r="R2255">
        <v>1</v>
      </c>
      <c r="S2255">
        <v>0</v>
      </c>
      <c r="T2255"/>
      <c r="U2255"/>
      <c r="V2255"/>
      <c r="W2255"/>
      <c r="X2255">
        <v>0</v>
      </c>
      <c r="Y2255"/>
      <c r="Z2255">
        <v>0</v>
      </c>
      <c r="AA2255"/>
      <c r="AB2255"/>
      <c r="AC2255"/>
      <c r="AD2255"/>
      <c r="AE2255">
        <v>0</v>
      </c>
      <c r="AF2255"/>
      <c r="AG2255"/>
      <c r="AH2255"/>
    </row>
    <row r="2256" spans="1:34" x14ac:dyDescent="0.25">
      <c r="A2256" t="s">
        <v>3406</v>
      </c>
      <c r="B2256" t="s">
        <v>3407</v>
      </c>
      <c r="C2256"/>
      <c r="D2256" t="s">
        <v>2649</v>
      </c>
      <c r="E2256" t="s">
        <v>2912</v>
      </c>
      <c r="F2256" t="s">
        <v>2944</v>
      </c>
      <c r="G2256" t="s">
        <v>280</v>
      </c>
      <c r="H2256" t="s">
        <v>2945</v>
      </c>
      <c r="I2256" t="s">
        <v>35</v>
      </c>
      <c r="J2256"/>
      <c r="K2256">
        <v>1</v>
      </c>
      <c r="L2256">
        <v>1</v>
      </c>
      <c r="M2256" t="s">
        <v>33</v>
      </c>
      <c r="N2256">
        <v>1</v>
      </c>
      <c r="O2256"/>
      <c r="P2256">
        <v>0</v>
      </c>
      <c r="Q2256" t="s">
        <v>38</v>
      </c>
      <c r="R2256">
        <v>1</v>
      </c>
      <c r="S2256">
        <v>0</v>
      </c>
      <c r="T2256"/>
      <c r="U2256"/>
      <c r="V2256"/>
      <c r="W2256"/>
      <c r="X2256">
        <v>0</v>
      </c>
      <c r="Y2256"/>
      <c r="Z2256">
        <v>0</v>
      </c>
      <c r="AA2256"/>
      <c r="AB2256"/>
      <c r="AC2256"/>
      <c r="AD2256"/>
      <c r="AE2256">
        <v>0</v>
      </c>
      <c r="AF2256"/>
      <c r="AG2256"/>
      <c r="AH2256"/>
    </row>
    <row r="2257" spans="1:34" x14ac:dyDescent="0.25">
      <c r="A2257" t="s">
        <v>3408</v>
      </c>
      <c r="B2257" t="s">
        <v>3409</v>
      </c>
      <c r="C2257"/>
      <c r="D2257" t="s">
        <v>2649</v>
      </c>
      <c r="E2257" t="s">
        <v>2912</v>
      </c>
      <c r="F2257" t="s">
        <v>2944</v>
      </c>
      <c r="G2257" t="s">
        <v>280</v>
      </c>
      <c r="H2257" t="s">
        <v>2945</v>
      </c>
      <c r="I2257" t="s">
        <v>35</v>
      </c>
      <c r="J2257"/>
      <c r="K2257">
        <v>1</v>
      </c>
      <c r="L2257">
        <v>1</v>
      </c>
      <c r="M2257" t="s">
        <v>33</v>
      </c>
      <c r="N2257">
        <v>1</v>
      </c>
      <c r="O2257"/>
      <c r="P2257">
        <v>0</v>
      </c>
      <c r="Q2257" t="s">
        <v>38</v>
      </c>
      <c r="R2257">
        <v>1</v>
      </c>
      <c r="S2257">
        <v>0</v>
      </c>
      <c r="T2257"/>
      <c r="U2257"/>
      <c r="V2257"/>
      <c r="W2257"/>
      <c r="X2257">
        <v>0</v>
      </c>
      <c r="Y2257"/>
      <c r="Z2257">
        <v>0</v>
      </c>
      <c r="AA2257"/>
      <c r="AB2257"/>
      <c r="AC2257"/>
      <c r="AD2257"/>
      <c r="AE2257">
        <v>0</v>
      </c>
      <c r="AF2257"/>
      <c r="AG2257"/>
      <c r="AH2257"/>
    </row>
    <row r="2258" spans="1:34" x14ac:dyDescent="0.25">
      <c r="A2258" t="s">
        <v>3440</v>
      </c>
      <c r="B2258" t="s">
        <v>3441</v>
      </c>
      <c r="C2258"/>
      <c r="D2258" t="s">
        <v>2649</v>
      </c>
      <c r="E2258" t="s">
        <v>2912</v>
      </c>
      <c r="F2258" t="s">
        <v>2944</v>
      </c>
      <c r="G2258" t="s">
        <v>280</v>
      </c>
      <c r="H2258" t="s">
        <v>2945</v>
      </c>
      <c r="I2258" t="s">
        <v>35</v>
      </c>
      <c r="J2258"/>
      <c r="K2258">
        <v>1</v>
      </c>
      <c r="L2258">
        <v>1</v>
      </c>
      <c r="M2258" t="s">
        <v>33</v>
      </c>
      <c r="N2258">
        <v>1</v>
      </c>
      <c r="O2258"/>
      <c r="P2258">
        <v>0</v>
      </c>
      <c r="Q2258" t="s">
        <v>38</v>
      </c>
      <c r="R2258">
        <v>1</v>
      </c>
      <c r="S2258">
        <v>0</v>
      </c>
      <c r="T2258"/>
      <c r="U2258"/>
      <c r="V2258"/>
      <c r="W2258"/>
      <c r="X2258">
        <v>0</v>
      </c>
      <c r="Y2258"/>
      <c r="Z2258">
        <v>0</v>
      </c>
      <c r="AA2258"/>
      <c r="AB2258"/>
      <c r="AC2258"/>
      <c r="AD2258"/>
      <c r="AE2258">
        <v>0</v>
      </c>
      <c r="AF2258"/>
      <c r="AG2258"/>
      <c r="AH2258"/>
    </row>
    <row r="2259" spans="1:34" x14ac:dyDescent="0.25">
      <c r="A2259" t="s">
        <v>3442</v>
      </c>
      <c r="B2259" t="s">
        <v>3443</v>
      </c>
      <c r="C2259"/>
      <c r="D2259" t="s">
        <v>2649</v>
      </c>
      <c r="E2259" t="s">
        <v>2912</v>
      </c>
      <c r="F2259" t="s">
        <v>2944</v>
      </c>
      <c r="G2259" t="s">
        <v>280</v>
      </c>
      <c r="H2259" t="s">
        <v>2945</v>
      </c>
      <c r="I2259" t="s">
        <v>35</v>
      </c>
      <c r="J2259"/>
      <c r="K2259">
        <v>1</v>
      </c>
      <c r="L2259">
        <v>1</v>
      </c>
      <c r="M2259" t="s">
        <v>33</v>
      </c>
      <c r="N2259">
        <v>1</v>
      </c>
      <c r="O2259"/>
      <c r="P2259">
        <v>0</v>
      </c>
      <c r="Q2259" t="s">
        <v>38</v>
      </c>
      <c r="R2259">
        <v>1</v>
      </c>
      <c r="S2259">
        <v>0</v>
      </c>
      <c r="T2259"/>
      <c r="U2259"/>
      <c r="V2259"/>
      <c r="W2259"/>
      <c r="X2259">
        <v>0</v>
      </c>
      <c r="Y2259"/>
      <c r="Z2259">
        <v>0</v>
      </c>
      <c r="AA2259"/>
      <c r="AB2259"/>
      <c r="AC2259"/>
      <c r="AD2259"/>
      <c r="AE2259">
        <v>0</v>
      </c>
      <c r="AF2259"/>
      <c r="AG2259"/>
      <c r="AH2259"/>
    </row>
    <row r="2260" spans="1:34" x14ac:dyDescent="0.25">
      <c r="A2260" t="s">
        <v>3406</v>
      </c>
      <c r="B2260" t="s">
        <v>3407</v>
      </c>
      <c r="C2260"/>
      <c r="D2260" t="s">
        <v>2649</v>
      </c>
      <c r="E2260" t="s">
        <v>2912</v>
      </c>
      <c r="F2260" t="s">
        <v>2946</v>
      </c>
      <c r="G2260" t="s">
        <v>280</v>
      </c>
      <c r="H2260" t="s">
        <v>2945</v>
      </c>
      <c r="I2260" t="s">
        <v>35</v>
      </c>
      <c r="J2260"/>
      <c r="K2260">
        <v>1</v>
      </c>
      <c r="L2260">
        <v>1</v>
      </c>
      <c r="M2260" t="s">
        <v>33</v>
      </c>
      <c r="N2260">
        <v>1</v>
      </c>
      <c r="O2260"/>
      <c r="P2260">
        <v>0</v>
      </c>
      <c r="Q2260" t="s">
        <v>38</v>
      </c>
      <c r="R2260">
        <v>1</v>
      </c>
      <c r="S2260">
        <v>0</v>
      </c>
      <c r="T2260"/>
      <c r="U2260"/>
      <c r="V2260"/>
      <c r="W2260"/>
      <c r="X2260">
        <v>0</v>
      </c>
      <c r="Y2260"/>
      <c r="Z2260">
        <v>0</v>
      </c>
      <c r="AA2260"/>
      <c r="AB2260"/>
      <c r="AC2260"/>
      <c r="AD2260"/>
      <c r="AE2260">
        <v>0</v>
      </c>
      <c r="AF2260"/>
      <c r="AG2260"/>
      <c r="AH2260"/>
    </row>
    <row r="2261" spans="1:34" x14ac:dyDescent="0.25">
      <c r="A2261" t="s">
        <v>3408</v>
      </c>
      <c r="B2261" t="s">
        <v>3409</v>
      </c>
      <c r="C2261"/>
      <c r="D2261" t="s">
        <v>2649</v>
      </c>
      <c r="E2261" t="s">
        <v>2912</v>
      </c>
      <c r="F2261" t="s">
        <v>2946</v>
      </c>
      <c r="G2261" t="s">
        <v>280</v>
      </c>
      <c r="H2261" t="s">
        <v>2945</v>
      </c>
      <c r="I2261" t="s">
        <v>35</v>
      </c>
      <c r="J2261"/>
      <c r="K2261">
        <v>1</v>
      </c>
      <c r="L2261">
        <v>1</v>
      </c>
      <c r="M2261" t="s">
        <v>33</v>
      </c>
      <c r="N2261">
        <v>1</v>
      </c>
      <c r="O2261"/>
      <c r="P2261">
        <v>0</v>
      </c>
      <c r="Q2261" t="s">
        <v>38</v>
      </c>
      <c r="R2261">
        <v>1</v>
      </c>
      <c r="S2261">
        <v>0</v>
      </c>
      <c r="T2261"/>
      <c r="U2261"/>
      <c r="V2261"/>
      <c r="W2261"/>
      <c r="X2261">
        <v>0</v>
      </c>
      <c r="Y2261"/>
      <c r="Z2261">
        <v>0</v>
      </c>
      <c r="AA2261"/>
      <c r="AB2261"/>
      <c r="AC2261"/>
      <c r="AD2261"/>
      <c r="AE2261">
        <v>0</v>
      </c>
      <c r="AF2261"/>
      <c r="AG2261"/>
      <c r="AH2261"/>
    </row>
    <row r="2262" spans="1:34" x14ac:dyDescent="0.25">
      <c r="A2262" t="s">
        <v>3440</v>
      </c>
      <c r="B2262" t="s">
        <v>3441</v>
      </c>
      <c r="C2262"/>
      <c r="D2262" t="s">
        <v>2649</v>
      </c>
      <c r="E2262" t="s">
        <v>2912</v>
      </c>
      <c r="F2262" t="s">
        <v>2946</v>
      </c>
      <c r="G2262" t="s">
        <v>280</v>
      </c>
      <c r="H2262" t="s">
        <v>2945</v>
      </c>
      <c r="I2262" t="s">
        <v>35</v>
      </c>
      <c r="J2262"/>
      <c r="K2262">
        <v>1</v>
      </c>
      <c r="L2262">
        <v>1</v>
      </c>
      <c r="M2262" t="s">
        <v>33</v>
      </c>
      <c r="N2262">
        <v>1</v>
      </c>
      <c r="O2262"/>
      <c r="P2262">
        <v>0</v>
      </c>
      <c r="Q2262" t="s">
        <v>38</v>
      </c>
      <c r="R2262">
        <v>1</v>
      </c>
      <c r="S2262">
        <v>0</v>
      </c>
      <c r="T2262"/>
      <c r="U2262"/>
      <c r="V2262"/>
      <c r="W2262"/>
      <c r="X2262">
        <v>0</v>
      </c>
      <c r="Y2262"/>
      <c r="Z2262">
        <v>0</v>
      </c>
      <c r="AA2262"/>
      <c r="AB2262"/>
      <c r="AC2262"/>
      <c r="AD2262"/>
      <c r="AE2262">
        <v>0</v>
      </c>
      <c r="AF2262"/>
      <c r="AG2262"/>
      <c r="AH2262"/>
    </row>
    <row r="2263" spans="1:34" x14ac:dyDescent="0.25">
      <c r="A2263" t="s">
        <v>3442</v>
      </c>
      <c r="B2263" t="s">
        <v>3443</v>
      </c>
      <c r="C2263"/>
      <c r="D2263" t="s">
        <v>2649</v>
      </c>
      <c r="E2263" t="s">
        <v>2912</v>
      </c>
      <c r="F2263" t="s">
        <v>2946</v>
      </c>
      <c r="G2263" t="s">
        <v>280</v>
      </c>
      <c r="H2263" t="s">
        <v>2945</v>
      </c>
      <c r="I2263" t="s">
        <v>35</v>
      </c>
      <c r="J2263"/>
      <c r="K2263">
        <v>1</v>
      </c>
      <c r="L2263">
        <v>1</v>
      </c>
      <c r="M2263" t="s">
        <v>33</v>
      </c>
      <c r="N2263">
        <v>1</v>
      </c>
      <c r="O2263"/>
      <c r="P2263">
        <v>0</v>
      </c>
      <c r="Q2263" t="s">
        <v>38</v>
      </c>
      <c r="R2263">
        <v>1</v>
      </c>
      <c r="S2263">
        <v>0</v>
      </c>
      <c r="T2263"/>
      <c r="U2263"/>
      <c r="V2263"/>
      <c r="W2263"/>
      <c r="X2263">
        <v>0</v>
      </c>
      <c r="Y2263"/>
      <c r="Z2263">
        <v>0</v>
      </c>
      <c r="AA2263"/>
      <c r="AB2263"/>
      <c r="AC2263"/>
      <c r="AD2263"/>
      <c r="AE2263">
        <v>0</v>
      </c>
      <c r="AF2263"/>
      <c r="AG2263"/>
      <c r="AH2263"/>
    </row>
    <row r="2264" spans="1:34" x14ac:dyDescent="0.25">
      <c r="A2264" t="s">
        <v>3406</v>
      </c>
      <c r="B2264" t="s">
        <v>3407</v>
      </c>
      <c r="C2264"/>
      <c r="D2264" t="s">
        <v>2649</v>
      </c>
      <c r="E2264" t="s">
        <v>2912</v>
      </c>
      <c r="F2264" t="s">
        <v>2947</v>
      </c>
      <c r="G2264" t="s">
        <v>280</v>
      </c>
      <c r="H2264" t="s">
        <v>2948</v>
      </c>
      <c r="I2264" t="s">
        <v>35</v>
      </c>
      <c r="J2264"/>
      <c r="K2264">
        <v>1</v>
      </c>
      <c r="L2264">
        <v>1</v>
      </c>
      <c r="M2264" t="s">
        <v>33</v>
      </c>
      <c r="N2264">
        <v>1</v>
      </c>
      <c r="O2264"/>
      <c r="P2264">
        <v>0</v>
      </c>
      <c r="Q2264" t="s">
        <v>38</v>
      </c>
      <c r="R2264">
        <v>1</v>
      </c>
      <c r="S2264">
        <v>0</v>
      </c>
      <c r="T2264"/>
      <c r="U2264"/>
      <c r="V2264"/>
      <c r="W2264"/>
      <c r="X2264">
        <v>0</v>
      </c>
      <c r="Y2264"/>
      <c r="Z2264">
        <v>0</v>
      </c>
      <c r="AA2264"/>
      <c r="AB2264"/>
      <c r="AC2264"/>
      <c r="AD2264"/>
      <c r="AE2264">
        <v>0</v>
      </c>
      <c r="AF2264"/>
      <c r="AG2264"/>
      <c r="AH2264"/>
    </row>
    <row r="2265" spans="1:34" x14ac:dyDescent="0.25">
      <c r="A2265" t="s">
        <v>3408</v>
      </c>
      <c r="B2265" t="s">
        <v>3409</v>
      </c>
      <c r="C2265"/>
      <c r="D2265" t="s">
        <v>2649</v>
      </c>
      <c r="E2265" t="s">
        <v>2912</v>
      </c>
      <c r="F2265" t="s">
        <v>2947</v>
      </c>
      <c r="G2265" t="s">
        <v>280</v>
      </c>
      <c r="H2265" t="s">
        <v>2948</v>
      </c>
      <c r="I2265" t="s">
        <v>35</v>
      </c>
      <c r="J2265"/>
      <c r="K2265">
        <v>1</v>
      </c>
      <c r="L2265">
        <v>1</v>
      </c>
      <c r="M2265" t="s">
        <v>33</v>
      </c>
      <c r="N2265">
        <v>1</v>
      </c>
      <c r="O2265"/>
      <c r="P2265">
        <v>0</v>
      </c>
      <c r="Q2265" t="s">
        <v>38</v>
      </c>
      <c r="R2265">
        <v>1</v>
      </c>
      <c r="S2265">
        <v>0</v>
      </c>
      <c r="T2265"/>
      <c r="U2265"/>
      <c r="V2265"/>
      <c r="W2265"/>
      <c r="X2265">
        <v>0</v>
      </c>
      <c r="Y2265"/>
      <c r="Z2265">
        <v>0</v>
      </c>
      <c r="AA2265"/>
      <c r="AB2265"/>
      <c r="AC2265"/>
      <c r="AD2265"/>
      <c r="AE2265">
        <v>0</v>
      </c>
      <c r="AF2265"/>
      <c r="AG2265"/>
      <c r="AH2265"/>
    </row>
    <row r="2266" spans="1:34" x14ac:dyDescent="0.25">
      <c r="A2266" t="s">
        <v>3440</v>
      </c>
      <c r="B2266" t="s">
        <v>3441</v>
      </c>
      <c r="C2266"/>
      <c r="D2266" t="s">
        <v>2649</v>
      </c>
      <c r="E2266" t="s">
        <v>2912</v>
      </c>
      <c r="F2266" t="s">
        <v>2947</v>
      </c>
      <c r="G2266" t="s">
        <v>280</v>
      </c>
      <c r="H2266" t="s">
        <v>2948</v>
      </c>
      <c r="I2266" t="s">
        <v>35</v>
      </c>
      <c r="J2266"/>
      <c r="K2266">
        <v>1</v>
      </c>
      <c r="L2266">
        <v>1</v>
      </c>
      <c r="M2266" t="s">
        <v>33</v>
      </c>
      <c r="N2266">
        <v>1</v>
      </c>
      <c r="O2266"/>
      <c r="P2266">
        <v>0</v>
      </c>
      <c r="Q2266" t="s">
        <v>38</v>
      </c>
      <c r="R2266">
        <v>1</v>
      </c>
      <c r="S2266">
        <v>0</v>
      </c>
      <c r="T2266"/>
      <c r="U2266"/>
      <c r="V2266"/>
      <c r="W2266"/>
      <c r="X2266">
        <v>0</v>
      </c>
      <c r="Y2266"/>
      <c r="Z2266">
        <v>0</v>
      </c>
      <c r="AA2266"/>
      <c r="AB2266"/>
      <c r="AC2266"/>
      <c r="AD2266"/>
      <c r="AE2266">
        <v>0</v>
      </c>
      <c r="AF2266"/>
      <c r="AG2266"/>
      <c r="AH2266"/>
    </row>
    <row r="2267" spans="1:34" x14ac:dyDescent="0.25">
      <c r="A2267" t="s">
        <v>3442</v>
      </c>
      <c r="B2267" t="s">
        <v>3443</v>
      </c>
      <c r="C2267"/>
      <c r="D2267" t="s">
        <v>2649</v>
      </c>
      <c r="E2267" t="s">
        <v>2912</v>
      </c>
      <c r="F2267" t="s">
        <v>2947</v>
      </c>
      <c r="G2267" t="s">
        <v>280</v>
      </c>
      <c r="H2267" t="s">
        <v>2948</v>
      </c>
      <c r="I2267" t="s">
        <v>35</v>
      </c>
      <c r="J2267"/>
      <c r="K2267">
        <v>1</v>
      </c>
      <c r="L2267">
        <v>1</v>
      </c>
      <c r="M2267" t="s">
        <v>33</v>
      </c>
      <c r="N2267">
        <v>1</v>
      </c>
      <c r="O2267"/>
      <c r="P2267">
        <v>0</v>
      </c>
      <c r="Q2267" t="s">
        <v>38</v>
      </c>
      <c r="R2267">
        <v>1</v>
      </c>
      <c r="S2267">
        <v>0</v>
      </c>
      <c r="T2267"/>
      <c r="U2267"/>
      <c r="V2267"/>
      <c r="W2267"/>
      <c r="X2267">
        <v>0</v>
      </c>
      <c r="Y2267"/>
      <c r="Z2267">
        <v>0</v>
      </c>
      <c r="AA2267"/>
      <c r="AB2267"/>
      <c r="AC2267"/>
      <c r="AD2267"/>
      <c r="AE2267">
        <v>0</v>
      </c>
      <c r="AF2267"/>
      <c r="AG2267"/>
      <c r="AH2267"/>
    </row>
    <row r="2268" spans="1:34" x14ac:dyDescent="0.25">
      <c r="A2268" t="s">
        <v>3406</v>
      </c>
      <c r="B2268" t="s">
        <v>3407</v>
      </c>
      <c r="C2268"/>
      <c r="D2268" t="s">
        <v>2649</v>
      </c>
      <c r="E2268" t="s">
        <v>2912</v>
      </c>
      <c r="F2268" t="s">
        <v>2949</v>
      </c>
      <c r="G2268" t="s">
        <v>280</v>
      </c>
      <c r="H2268" t="s">
        <v>2950</v>
      </c>
      <c r="I2268" t="s">
        <v>35</v>
      </c>
      <c r="J2268"/>
      <c r="K2268">
        <v>1</v>
      </c>
      <c r="L2268">
        <v>1</v>
      </c>
      <c r="M2268" t="s">
        <v>33</v>
      </c>
      <c r="N2268">
        <v>1</v>
      </c>
      <c r="O2268"/>
      <c r="P2268">
        <v>0</v>
      </c>
      <c r="Q2268" t="s">
        <v>38</v>
      </c>
      <c r="R2268">
        <v>1</v>
      </c>
      <c r="S2268">
        <v>0</v>
      </c>
      <c r="T2268"/>
      <c r="U2268"/>
      <c r="V2268"/>
      <c r="W2268"/>
      <c r="X2268">
        <v>0</v>
      </c>
      <c r="Y2268"/>
      <c r="Z2268">
        <v>0</v>
      </c>
      <c r="AA2268"/>
      <c r="AB2268"/>
      <c r="AC2268"/>
      <c r="AD2268"/>
      <c r="AE2268">
        <v>0</v>
      </c>
      <c r="AF2268"/>
      <c r="AG2268"/>
      <c r="AH2268"/>
    </row>
    <row r="2269" spans="1:34" x14ac:dyDescent="0.25">
      <c r="A2269" t="s">
        <v>3408</v>
      </c>
      <c r="B2269" t="s">
        <v>3409</v>
      </c>
      <c r="C2269"/>
      <c r="D2269" t="s">
        <v>2649</v>
      </c>
      <c r="E2269" t="s">
        <v>2912</v>
      </c>
      <c r="F2269" t="s">
        <v>2949</v>
      </c>
      <c r="G2269" t="s">
        <v>280</v>
      </c>
      <c r="H2269" t="s">
        <v>2950</v>
      </c>
      <c r="I2269" t="s">
        <v>35</v>
      </c>
      <c r="J2269"/>
      <c r="K2269">
        <v>1</v>
      </c>
      <c r="L2269">
        <v>1</v>
      </c>
      <c r="M2269" t="s">
        <v>33</v>
      </c>
      <c r="N2269">
        <v>1</v>
      </c>
      <c r="O2269"/>
      <c r="P2269">
        <v>0</v>
      </c>
      <c r="Q2269" t="s">
        <v>38</v>
      </c>
      <c r="R2269">
        <v>1</v>
      </c>
      <c r="S2269">
        <v>0</v>
      </c>
      <c r="T2269"/>
      <c r="U2269"/>
      <c r="V2269"/>
      <c r="W2269"/>
      <c r="X2269">
        <v>0</v>
      </c>
      <c r="Y2269"/>
      <c r="Z2269">
        <v>0</v>
      </c>
      <c r="AA2269"/>
      <c r="AB2269"/>
      <c r="AC2269"/>
      <c r="AD2269"/>
      <c r="AE2269">
        <v>0</v>
      </c>
      <c r="AF2269"/>
      <c r="AG2269"/>
      <c r="AH2269"/>
    </row>
    <row r="2270" spans="1:34" x14ac:dyDescent="0.25">
      <c r="A2270" t="s">
        <v>3440</v>
      </c>
      <c r="B2270" t="s">
        <v>3441</v>
      </c>
      <c r="C2270"/>
      <c r="D2270" t="s">
        <v>2649</v>
      </c>
      <c r="E2270" t="s">
        <v>2912</v>
      </c>
      <c r="F2270" t="s">
        <v>2949</v>
      </c>
      <c r="G2270" t="s">
        <v>280</v>
      </c>
      <c r="H2270" t="s">
        <v>2950</v>
      </c>
      <c r="I2270" t="s">
        <v>35</v>
      </c>
      <c r="J2270"/>
      <c r="K2270">
        <v>1</v>
      </c>
      <c r="L2270">
        <v>1</v>
      </c>
      <c r="M2270" t="s">
        <v>33</v>
      </c>
      <c r="N2270">
        <v>1</v>
      </c>
      <c r="O2270"/>
      <c r="P2270">
        <v>0</v>
      </c>
      <c r="Q2270" t="s">
        <v>38</v>
      </c>
      <c r="R2270">
        <v>1</v>
      </c>
      <c r="S2270">
        <v>0</v>
      </c>
      <c r="T2270"/>
      <c r="U2270"/>
      <c r="V2270"/>
      <c r="W2270"/>
      <c r="X2270">
        <v>0</v>
      </c>
      <c r="Y2270"/>
      <c r="Z2270">
        <v>0</v>
      </c>
      <c r="AA2270"/>
      <c r="AB2270"/>
      <c r="AC2270"/>
      <c r="AD2270"/>
      <c r="AE2270">
        <v>0</v>
      </c>
      <c r="AF2270"/>
      <c r="AG2270"/>
      <c r="AH2270"/>
    </row>
    <row r="2271" spans="1:34" x14ac:dyDescent="0.25">
      <c r="A2271" t="s">
        <v>3442</v>
      </c>
      <c r="B2271" t="s">
        <v>3443</v>
      </c>
      <c r="C2271"/>
      <c r="D2271" t="s">
        <v>2649</v>
      </c>
      <c r="E2271" t="s">
        <v>2912</v>
      </c>
      <c r="F2271" t="s">
        <v>2949</v>
      </c>
      <c r="G2271" t="s">
        <v>280</v>
      </c>
      <c r="H2271" t="s">
        <v>2950</v>
      </c>
      <c r="I2271" t="s">
        <v>35</v>
      </c>
      <c r="J2271"/>
      <c r="K2271">
        <v>1</v>
      </c>
      <c r="L2271">
        <v>1</v>
      </c>
      <c r="M2271" t="s">
        <v>33</v>
      </c>
      <c r="N2271">
        <v>1</v>
      </c>
      <c r="O2271"/>
      <c r="P2271">
        <v>0</v>
      </c>
      <c r="Q2271" t="s">
        <v>38</v>
      </c>
      <c r="R2271">
        <v>1</v>
      </c>
      <c r="S2271">
        <v>0</v>
      </c>
      <c r="T2271"/>
      <c r="U2271"/>
      <c r="V2271"/>
      <c r="W2271"/>
      <c r="X2271">
        <v>0</v>
      </c>
      <c r="Y2271"/>
      <c r="Z2271">
        <v>0</v>
      </c>
      <c r="AA2271"/>
      <c r="AB2271"/>
      <c r="AC2271"/>
      <c r="AD2271"/>
      <c r="AE2271">
        <v>0</v>
      </c>
      <c r="AF2271"/>
      <c r="AG2271"/>
      <c r="AH2271"/>
    </row>
    <row r="2272" spans="1:34" x14ac:dyDescent="0.25">
      <c r="A2272" t="s">
        <v>3406</v>
      </c>
      <c r="B2272" t="s">
        <v>3407</v>
      </c>
      <c r="C2272"/>
      <c r="D2272" t="s">
        <v>2649</v>
      </c>
      <c r="E2272" t="s">
        <v>2912</v>
      </c>
      <c r="F2272" t="s">
        <v>2951</v>
      </c>
      <c r="G2272" t="s">
        <v>280</v>
      </c>
      <c r="H2272" t="s">
        <v>2952</v>
      </c>
      <c r="I2272" t="s">
        <v>35</v>
      </c>
      <c r="J2272"/>
      <c r="K2272">
        <v>1</v>
      </c>
      <c r="L2272">
        <v>1</v>
      </c>
      <c r="M2272" t="s">
        <v>33</v>
      </c>
      <c r="N2272">
        <v>1</v>
      </c>
      <c r="O2272"/>
      <c r="P2272">
        <v>0</v>
      </c>
      <c r="Q2272" t="s">
        <v>38</v>
      </c>
      <c r="R2272">
        <v>1</v>
      </c>
      <c r="S2272">
        <v>0</v>
      </c>
      <c r="T2272"/>
      <c r="U2272"/>
      <c r="V2272"/>
      <c r="W2272"/>
      <c r="X2272">
        <v>0</v>
      </c>
      <c r="Y2272"/>
      <c r="Z2272">
        <v>0</v>
      </c>
      <c r="AA2272"/>
      <c r="AB2272"/>
      <c r="AC2272"/>
      <c r="AD2272"/>
      <c r="AE2272">
        <v>0</v>
      </c>
      <c r="AF2272"/>
      <c r="AG2272"/>
      <c r="AH2272"/>
    </row>
    <row r="2273" spans="1:34" x14ac:dyDescent="0.25">
      <c r="A2273" t="s">
        <v>3408</v>
      </c>
      <c r="B2273" t="s">
        <v>3409</v>
      </c>
      <c r="C2273"/>
      <c r="D2273" t="s">
        <v>2649</v>
      </c>
      <c r="E2273" t="s">
        <v>2912</v>
      </c>
      <c r="F2273" t="s">
        <v>2951</v>
      </c>
      <c r="G2273" t="s">
        <v>280</v>
      </c>
      <c r="H2273" t="s">
        <v>2952</v>
      </c>
      <c r="I2273" t="s">
        <v>35</v>
      </c>
      <c r="J2273"/>
      <c r="K2273">
        <v>1</v>
      </c>
      <c r="L2273">
        <v>1</v>
      </c>
      <c r="M2273" t="s">
        <v>33</v>
      </c>
      <c r="N2273">
        <v>1</v>
      </c>
      <c r="O2273"/>
      <c r="P2273">
        <v>0</v>
      </c>
      <c r="Q2273" t="s">
        <v>38</v>
      </c>
      <c r="R2273">
        <v>1</v>
      </c>
      <c r="S2273">
        <v>0</v>
      </c>
      <c r="T2273"/>
      <c r="U2273"/>
      <c r="V2273"/>
      <c r="W2273"/>
      <c r="X2273">
        <v>0</v>
      </c>
      <c r="Y2273"/>
      <c r="Z2273">
        <v>0</v>
      </c>
      <c r="AA2273"/>
      <c r="AB2273"/>
      <c r="AC2273"/>
      <c r="AD2273"/>
      <c r="AE2273">
        <v>0</v>
      </c>
      <c r="AF2273"/>
      <c r="AG2273"/>
      <c r="AH2273"/>
    </row>
    <row r="2274" spans="1:34" x14ac:dyDescent="0.25">
      <c r="A2274" t="s">
        <v>3440</v>
      </c>
      <c r="B2274" t="s">
        <v>3441</v>
      </c>
      <c r="C2274"/>
      <c r="D2274" t="s">
        <v>2649</v>
      </c>
      <c r="E2274" t="s">
        <v>2912</v>
      </c>
      <c r="F2274" t="s">
        <v>2951</v>
      </c>
      <c r="G2274" t="s">
        <v>280</v>
      </c>
      <c r="H2274" t="s">
        <v>2952</v>
      </c>
      <c r="I2274" t="s">
        <v>35</v>
      </c>
      <c r="J2274"/>
      <c r="K2274">
        <v>1</v>
      </c>
      <c r="L2274">
        <v>1</v>
      </c>
      <c r="M2274" t="s">
        <v>33</v>
      </c>
      <c r="N2274">
        <v>1</v>
      </c>
      <c r="O2274"/>
      <c r="P2274">
        <v>0</v>
      </c>
      <c r="Q2274" t="s">
        <v>38</v>
      </c>
      <c r="R2274">
        <v>1</v>
      </c>
      <c r="S2274">
        <v>0</v>
      </c>
      <c r="T2274"/>
      <c r="U2274"/>
      <c r="V2274"/>
      <c r="W2274"/>
      <c r="X2274">
        <v>0</v>
      </c>
      <c r="Y2274"/>
      <c r="Z2274">
        <v>0</v>
      </c>
      <c r="AA2274"/>
      <c r="AB2274"/>
      <c r="AC2274"/>
      <c r="AD2274"/>
      <c r="AE2274">
        <v>0</v>
      </c>
      <c r="AF2274"/>
      <c r="AG2274"/>
      <c r="AH2274"/>
    </row>
    <row r="2275" spans="1:34" x14ac:dyDescent="0.25">
      <c r="A2275" t="s">
        <v>3442</v>
      </c>
      <c r="B2275" t="s">
        <v>3443</v>
      </c>
      <c r="C2275"/>
      <c r="D2275" t="s">
        <v>2649</v>
      </c>
      <c r="E2275" t="s">
        <v>2912</v>
      </c>
      <c r="F2275" t="s">
        <v>2951</v>
      </c>
      <c r="G2275" t="s">
        <v>280</v>
      </c>
      <c r="H2275" t="s">
        <v>2952</v>
      </c>
      <c r="I2275" t="s">
        <v>35</v>
      </c>
      <c r="J2275"/>
      <c r="K2275">
        <v>1</v>
      </c>
      <c r="L2275">
        <v>1</v>
      </c>
      <c r="M2275" t="s">
        <v>33</v>
      </c>
      <c r="N2275">
        <v>1</v>
      </c>
      <c r="O2275"/>
      <c r="P2275">
        <v>0</v>
      </c>
      <c r="Q2275" t="s">
        <v>38</v>
      </c>
      <c r="R2275">
        <v>1</v>
      </c>
      <c r="S2275">
        <v>0</v>
      </c>
      <c r="T2275"/>
      <c r="U2275"/>
      <c r="V2275"/>
      <c r="W2275"/>
      <c r="X2275">
        <v>0</v>
      </c>
      <c r="Y2275"/>
      <c r="Z2275">
        <v>0</v>
      </c>
      <c r="AA2275"/>
      <c r="AB2275"/>
      <c r="AC2275"/>
      <c r="AD2275"/>
      <c r="AE2275">
        <v>0</v>
      </c>
      <c r="AF2275"/>
      <c r="AG2275"/>
      <c r="AH2275"/>
    </row>
    <row r="2276" spans="1:34" x14ac:dyDescent="0.25">
      <c r="A2276" t="s">
        <v>3406</v>
      </c>
      <c r="B2276" t="s">
        <v>3407</v>
      </c>
      <c r="C2276"/>
      <c r="D2276" t="s">
        <v>2649</v>
      </c>
      <c r="E2276" t="s">
        <v>2912</v>
      </c>
      <c r="F2276" t="s">
        <v>2953</v>
      </c>
      <c r="G2276" t="s">
        <v>280</v>
      </c>
      <c r="H2276" t="s">
        <v>2952</v>
      </c>
      <c r="I2276" t="s">
        <v>35</v>
      </c>
      <c r="J2276"/>
      <c r="K2276">
        <v>1</v>
      </c>
      <c r="L2276">
        <v>1</v>
      </c>
      <c r="M2276" t="s">
        <v>33</v>
      </c>
      <c r="N2276">
        <v>1</v>
      </c>
      <c r="O2276"/>
      <c r="P2276">
        <v>0</v>
      </c>
      <c r="Q2276" t="s">
        <v>38</v>
      </c>
      <c r="R2276">
        <v>1</v>
      </c>
      <c r="S2276">
        <v>0</v>
      </c>
      <c r="T2276"/>
      <c r="U2276"/>
      <c r="V2276"/>
      <c r="W2276"/>
      <c r="X2276">
        <v>0</v>
      </c>
      <c r="Y2276"/>
      <c r="Z2276">
        <v>0</v>
      </c>
      <c r="AA2276"/>
      <c r="AB2276"/>
      <c r="AC2276"/>
      <c r="AD2276"/>
      <c r="AE2276">
        <v>0</v>
      </c>
      <c r="AF2276"/>
      <c r="AG2276"/>
      <c r="AH2276"/>
    </row>
    <row r="2277" spans="1:34" x14ac:dyDescent="0.25">
      <c r="A2277" t="s">
        <v>3408</v>
      </c>
      <c r="B2277" t="s">
        <v>3409</v>
      </c>
      <c r="C2277"/>
      <c r="D2277" t="s">
        <v>2649</v>
      </c>
      <c r="E2277" t="s">
        <v>2912</v>
      </c>
      <c r="F2277" t="s">
        <v>2953</v>
      </c>
      <c r="G2277" t="s">
        <v>280</v>
      </c>
      <c r="H2277" t="s">
        <v>2952</v>
      </c>
      <c r="I2277" t="s">
        <v>35</v>
      </c>
      <c r="J2277"/>
      <c r="K2277">
        <v>1</v>
      </c>
      <c r="L2277">
        <v>1</v>
      </c>
      <c r="M2277" t="s">
        <v>33</v>
      </c>
      <c r="N2277">
        <v>1</v>
      </c>
      <c r="O2277"/>
      <c r="P2277">
        <v>0</v>
      </c>
      <c r="Q2277" t="s">
        <v>38</v>
      </c>
      <c r="R2277">
        <v>1</v>
      </c>
      <c r="S2277">
        <v>0</v>
      </c>
      <c r="T2277"/>
      <c r="U2277"/>
      <c r="V2277"/>
      <c r="W2277"/>
      <c r="X2277">
        <v>0</v>
      </c>
      <c r="Y2277"/>
      <c r="Z2277">
        <v>0</v>
      </c>
      <c r="AA2277"/>
      <c r="AB2277"/>
      <c r="AC2277"/>
      <c r="AD2277"/>
      <c r="AE2277">
        <v>0</v>
      </c>
      <c r="AF2277"/>
      <c r="AG2277"/>
      <c r="AH2277"/>
    </row>
    <row r="2278" spans="1:34" x14ac:dyDescent="0.25">
      <c r="A2278" t="s">
        <v>3440</v>
      </c>
      <c r="B2278" t="s">
        <v>3441</v>
      </c>
      <c r="C2278"/>
      <c r="D2278" t="s">
        <v>2649</v>
      </c>
      <c r="E2278" t="s">
        <v>2912</v>
      </c>
      <c r="F2278" t="s">
        <v>2953</v>
      </c>
      <c r="G2278" t="s">
        <v>280</v>
      </c>
      <c r="H2278" t="s">
        <v>2952</v>
      </c>
      <c r="I2278" t="s">
        <v>35</v>
      </c>
      <c r="J2278"/>
      <c r="K2278">
        <v>1</v>
      </c>
      <c r="L2278">
        <v>1</v>
      </c>
      <c r="M2278" t="s">
        <v>33</v>
      </c>
      <c r="N2278">
        <v>1</v>
      </c>
      <c r="O2278"/>
      <c r="P2278">
        <v>0</v>
      </c>
      <c r="Q2278" t="s">
        <v>38</v>
      </c>
      <c r="R2278">
        <v>1</v>
      </c>
      <c r="S2278">
        <v>0</v>
      </c>
      <c r="T2278"/>
      <c r="U2278"/>
      <c r="V2278"/>
      <c r="W2278"/>
      <c r="X2278">
        <v>0</v>
      </c>
      <c r="Y2278"/>
      <c r="Z2278">
        <v>0</v>
      </c>
      <c r="AA2278"/>
      <c r="AB2278"/>
      <c r="AC2278"/>
      <c r="AD2278"/>
      <c r="AE2278">
        <v>0</v>
      </c>
      <c r="AF2278"/>
      <c r="AG2278"/>
      <c r="AH2278"/>
    </row>
    <row r="2279" spans="1:34" x14ac:dyDescent="0.25">
      <c r="A2279" t="s">
        <v>3442</v>
      </c>
      <c r="B2279" t="s">
        <v>3443</v>
      </c>
      <c r="C2279"/>
      <c r="D2279" t="s">
        <v>2649</v>
      </c>
      <c r="E2279" t="s">
        <v>2912</v>
      </c>
      <c r="F2279" t="s">
        <v>2953</v>
      </c>
      <c r="G2279" t="s">
        <v>280</v>
      </c>
      <c r="H2279" t="s">
        <v>2952</v>
      </c>
      <c r="I2279" t="s">
        <v>35</v>
      </c>
      <c r="J2279"/>
      <c r="K2279">
        <v>1</v>
      </c>
      <c r="L2279">
        <v>1</v>
      </c>
      <c r="M2279" t="s">
        <v>33</v>
      </c>
      <c r="N2279">
        <v>1</v>
      </c>
      <c r="O2279"/>
      <c r="P2279">
        <v>0</v>
      </c>
      <c r="Q2279" t="s">
        <v>38</v>
      </c>
      <c r="R2279">
        <v>1</v>
      </c>
      <c r="S2279">
        <v>0</v>
      </c>
      <c r="T2279"/>
      <c r="U2279"/>
      <c r="V2279"/>
      <c r="W2279"/>
      <c r="X2279">
        <v>0</v>
      </c>
      <c r="Y2279"/>
      <c r="Z2279">
        <v>0</v>
      </c>
      <c r="AA2279"/>
      <c r="AB2279"/>
      <c r="AC2279"/>
      <c r="AD2279"/>
      <c r="AE2279">
        <v>0</v>
      </c>
      <c r="AF2279"/>
      <c r="AG2279"/>
      <c r="AH2279"/>
    </row>
    <row r="2280" spans="1:34" x14ac:dyDescent="0.25">
      <c r="A2280" t="s">
        <v>3406</v>
      </c>
      <c r="B2280" t="s">
        <v>3407</v>
      </c>
      <c r="C2280"/>
      <c r="D2280" t="s">
        <v>2649</v>
      </c>
      <c r="E2280" t="s">
        <v>2912</v>
      </c>
      <c r="F2280" t="s">
        <v>2954</v>
      </c>
      <c r="G2280" t="s">
        <v>280</v>
      </c>
      <c r="H2280" t="s">
        <v>2955</v>
      </c>
      <c r="I2280" t="s">
        <v>35</v>
      </c>
      <c r="J2280"/>
      <c r="K2280">
        <v>1</v>
      </c>
      <c r="L2280">
        <v>1</v>
      </c>
      <c r="M2280" t="s">
        <v>33</v>
      </c>
      <c r="N2280">
        <v>1</v>
      </c>
      <c r="O2280"/>
      <c r="P2280">
        <v>0</v>
      </c>
      <c r="Q2280" t="s">
        <v>38</v>
      </c>
      <c r="R2280">
        <v>1</v>
      </c>
      <c r="S2280">
        <v>0</v>
      </c>
      <c r="T2280"/>
      <c r="U2280"/>
      <c r="V2280"/>
      <c r="W2280"/>
      <c r="X2280">
        <v>0</v>
      </c>
      <c r="Y2280"/>
      <c r="Z2280">
        <v>0</v>
      </c>
      <c r="AA2280"/>
      <c r="AB2280"/>
      <c r="AC2280"/>
      <c r="AD2280"/>
      <c r="AE2280">
        <v>0</v>
      </c>
      <c r="AF2280"/>
      <c r="AG2280"/>
      <c r="AH2280"/>
    </row>
    <row r="2281" spans="1:34" x14ac:dyDescent="0.25">
      <c r="A2281" t="s">
        <v>3408</v>
      </c>
      <c r="B2281" t="s">
        <v>3409</v>
      </c>
      <c r="C2281"/>
      <c r="D2281" t="s">
        <v>2649</v>
      </c>
      <c r="E2281" t="s">
        <v>2912</v>
      </c>
      <c r="F2281" t="s">
        <v>2954</v>
      </c>
      <c r="G2281" t="s">
        <v>280</v>
      </c>
      <c r="H2281" t="s">
        <v>2955</v>
      </c>
      <c r="I2281" t="s">
        <v>35</v>
      </c>
      <c r="J2281"/>
      <c r="K2281">
        <v>1</v>
      </c>
      <c r="L2281">
        <v>1</v>
      </c>
      <c r="M2281" t="s">
        <v>33</v>
      </c>
      <c r="N2281">
        <v>1</v>
      </c>
      <c r="O2281"/>
      <c r="P2281">
        <v>0</v>
      </c>
      <c r="Q2281" t="s">
        <v>38</v>
      </c>
      <c r="R2281">
        <v>1</v>
      </c>
      <c r="S2281">
        <v>0</v>
      </c>
      <c r="T2281"/>
      <c r="U2281"/>
      <c r="V2281"/>
      <c r="W2281"/>
      <c r="X2281">
        <v>0</v>
      </c>
      <c r="Y2281"/>
      <c r="Z2281">
        <v>0</v>
      </c>
      <c r="AA2281"/>
      <c r="AB2281"/>
      <c r="AC2281"/>
      <c r="AD2281"/>
      <c r="AE2281">
        <v>0</v>
      </c>
      <c r="AF2281"/>
      <c r="AG2281"/>
      <c r="AH2281"/>
    </row>
    <row r="2282" spans="1:34" x14ac:dyDescent="0.25">
      <c r="A2282" t="s">
        <v>3440</v>
      </c>
      <c r="B2282" t="s">
        <v>3441</v>
      </c>
      <c r="C2282"/>
      <c r="D2282" t="s">
        <v>2649</v>
      </c>
      <c r="E2282" t="s">
        <v>2912</v>
      </c>
      <c r="F2282" t="s">
        <v>2954</v>
      </c>
      <c r="G2282" t="s">
        <v>280</v>
      </c>
      <c r="H2282" t="s">
        <v>2955</v>
      </c>
      <c r="I2282" t="s">
        <v>35</v>
      </c>
      <c r="J2282"/>
      <c r="K2282">
        <v>1</v>
      </c>
      <c r="L2282">
        <v>1</v>
      </c>
      <c r="M2282" t="s">
        <v>33</v>
      </c>
      <c r="N2282">
        <v>1</v>
      </c>
      <c r="O2282"/>
      <c r="P2282">
        <v>0</v>
      </c>
      <c r="Q2282" t="s">
        <v>38</v>
      </c>
      <c r="R2282">
        <v>1</v>
      </c>
      <c r="S2282">
        <v>0</v>
      </c>
      <c r="T2282"/>
      <c r="U2282"/>
      <c r="V2282"/>
      <c r="W2282"/>
      <c r="X2282">
        <v>0</v>
      </c>
      <c r="Y2282"/>
      <c r="Z2282">
        <v>0</v>
      </c>
      <c r="AA2282"/>
      <c r="AB2282"/>
      <c r="AC2282"/>
      <c r="AD2282"/>
      <c r="AE2282">
        <v>0</v>
      </c>
      <c r="AF2282"/>
      <c r="AG2282"/>
      <c r="AH2282"/>
    </row>
    <row r="2283" spans="1:34" x14ac:dyDescent="0.25">
      <c r="A2283" t="s">
        <v>3442</v>
      </c>
      <c r="B2283" t="s">
        <v>3443</v>
      </c>
      <c r="C2283"/>
      <c r="D2283" t="s">
        <v>2649</v>
      </c>
      <c r="E2283" t="s">
        <v>2912</v>
      </c>
      <c r="F2283" t="s">
        <v>2954</v>
      </c>
      <c r="G2283" t="s">
        <v>280</v>
      </c>
      <c r="H2283" t="s">
        <v>2955</v>
      </c>
      <c r="I2283" t="s">
        <v>35</v>
      </c>
      <c r="J2283"/>
      <c r="K2283">
        <v>1</v>
      </c>
      <c r="L2283">
        <v>1</v>
      </c>
      <c r="M2283" t="s">
        <v>33</v>
      </c>
      <c r="N2283">
        <v>1</v>
      </c>
      <c r="O2283"/>
      <c r="P2283">
        <v>0</v>
      </c>
      <c r="Q2283" t="s">
        <v>38</v>
      </c>
      <c r="R2283">
        <v>1</v>
      </c>
      <c r="S2283">
        <v>0</v>
      </c>
      <c r="T2283"/>
      <c r="U2283"/>
      <c r="V2283"/>
      <c r="W2283"/>
      <c r="X2283">
        <v>0</v>
      </c>
      <c r="Y2283"/>
      <c r="Z2283">
        <v>0</v>
      </c>
      <c r="AA2283"/>
      <c r="AB2283"/>
      <c r="AC2283"/>
      <c r="AD2283"/>
      <c r="AE2283">
        <v>0</v>
      </c>
      <c r="AF2283"/>
      <c r="AG2283"/>
      <c r="AH2283"/>
    </row>
    <row r="2284" spans="1:34" x14ac:dyDescent="0.25">
      <c r="A2284" t="s">
        <v>3406</v>
      </c>
      <c r="B2284" t="s">
        <v>3407</v>
      </c>
      <c r="C2284"/>
      <c r="D2284" t="s">
        <v>2649</v>
      </c>
      <c r="E2284" t="s">
        <v>2912</v>
      </c>
      <c r="F2284" t="s">
        <v>2956</v>
      </c>
      <c r="G2284" t="s">
        <v>280</v>
      </c>
      <c r="H2284" t="s">
        <v>2957</v>
      </c>
      <c r="I2284" t="s">
        <v>35</v>
      </c>
      <c r="J2284"/>
      <c r="K2284">
        <v>1</v>
      </c>
      <c r="L2284">
        <v>1</v>
      </c>
      <c r="M2284" t="s">
        <v>33</v>
      </c>
      <c r="N2284">
        <v>1</v>
      </c>
      <c r="O2284"/>
      <c r="P2284">
        <v>0</v>
      </c>
      <c r="Q2284" t="s">
        <v>38</v>
      </c>
      <c r="R2284">
        <v>1</v>
      </c>
      <c r="S2284">
        <v>0</v>
      </c>
      <c r="T2284"/>
      <c r="U2284"/>
      <c r="V2284"/>
      <c r="W2284"/>
      <c r="X2284">
        <v>0</v>
      </c>
      <c r="Y2284"/>
      <c r="Z2284">
        <v>0</v>
      </c>
      <c r="AA2284"/>
      <c r="AB2284"/>
      <c r="AC2284"/>
      <c r="AD2284"/>
      <c r="AE2284">
        <v>0</v>
      </c>
      <c r="AF2284"/>
      <c r="AG2284"/>
      <c r="AH2284"/>
    </row>
    <row r="2285" spans="1:34" x14ac:dyDescent="0.25">
      <c r="A2285" t="s">
        <v>3408</v>
      </c>
      <c r="B2285" t="s">
        <v>3409</v>
      </c>
      <c r="C2285"/>
      <c r="D2285" t="s">
        <v>2649</v>
      </c>
      <c r="E2285" t="s">
        <v>2912</v>
      </c>
      <c r="F2285" t="s">
        <v>2956</v>
      </c>
      <c r="G2285" t="s">
        <v>280</v>
      </c>
      <c r="H2285" t="s">
        <v>2957</v>
      </c>
      <c r="I2285" t="s">
        <v>35</v>
      </c>
      <c r="J2285"/>
      <c r="K2285">
        <v>1</v>
      </c>
      <c r="L2285">
        <v>1</v>
      </c>
      <c r="M2285" t="s">
        <v>33</v>
      </c>
      <c r="N2285">
        <v>1</v>
      </c>
      <c r="O2285"/>
      <c r="P2285">
        <v>0</v>
      </c>
      <c r="Q2285" t="s">
        <v>38</v>
      </c>
      <c r="R2285">
        <v>1</v>
      </c>
      <c r="S2285">
        <v>0</v>
      </c>
      <c r="T2285"/>
      <c r="U2285"/>
      <c r="V2285"/>
      <c r="W2285"/>
      <c r="X2285">
        <v>0</v>
      </c>
      <c r="Y2285"/>
      <c r="Z2285">
        <v>0</v>
      </c>
      <c r="AA2285"/>
      <c r="AB2285"/>
      <c r="AC2285"/>
      <c r="AD2285"/>
      <c r="AE2285">
        <v>0</v>
      </c>
      <c r="AF2285"/>
      <c r="AG2285"/>
      <c r="AH2285"/>
    </row>
    <row r="2286" spans="1:34" x14ac:dyDescent="0.25">
      <c r="A2286" t="s">
        <v>3440</v>
      </c>
      <c r="B2286" t="s">
        <v>3441</v>
      </c>
      <c r="C2286"/>
      <c r="D2286" t="s">
        <v>2649</v>
      </c>
      <c r="E2286" t="s">
        <v>2912</v>
      </c>
      <c r="F2286" t="s">
        <v>2956</v>
      </c>
      <c r="G2286" t="s">
        <v>280</v>
      </c>
      <c r="H2286" t="s">
        <v>2957</v>
      </c>
      <c r="I2286" t="s">
        <v>35</v>
      </c>
      <c r="J2286"/>
      <c r="K2286">
        <v>1</v>
      </c>
      <c r="L2286">
        <v>1</v>
      </c>
      <c r="M2286" t="s">
        <v>33</v>
      </c>
      <c r="N2286">
        <v>1</v>
      </c>
      <c r="O2286"/>
      <c r="P2286">
        <v>0</v>
      </c>
      <c r="Q2286" t="s">
        <v>38</v>
      </c>
      <c r="R2286">
        <v>1</v>
      </c>
      <c r="S2286">
        <v>0</v>
      </c>
      <c r="T2286"/>
      <c r="U2286"/>
      <c r="V2286"/>
      <c r="W2286"/>
      <c r="X2286">
        <v>0</v>
      </c>
      <c r="Y2286"/>
      <c r="Z2286">
        <v>0</v>
      </c>
      <c r="AA2286"/>
      <c r="AB2286"/>
      <c r="AC2286"/>
      <c r="AD2286"/>
      <c r="AE2286">
        <v>0</v>
      </c>
      <c r="AF2286"/>
      <c r="AG2286"/>
      <c r="AH2286"/>
    </row>
    <row r="2287" spans="1:34" x14ac:dyDescent="0.25">
      <c r="A2287" t="s">
        <v>3442</v>
      </c>
      <c r="B2287" t="s">
        <v>3443</v>
      </c>
      <c r="C2287"/>
      <c r="D2287" t="s">
        <v>2649</v>
      </c>
      <c r="E2287" t="s">
        <v>2912</v>
      </c>
      <c r="F2287" t="s">
        <v>2956</v>
      </c>
      <c r="G2287" t="s">
        <v>280</v>
      </c>
      <c r="H2287" t="s">
        <v>2957</v>
      </c>
      <c r="I2287" t="s">
        <v>35</v>
      </c>
      <c r="J2287"/>
      <c r="K2287">
        <v>1</v>
      </c>
      <c r="L2287">
        <v>1</v>
      </c>
      <c r="M2287" t="s">
        <v>33</v>
      </c>
      <c r="N2287">
        <v>1</v>
      </c>
      <c r="O2287"/>
      <c r="P2287">
        <v>0</v>
      </c>
      <c r="Q2287" t="s">
        <v>38</v>
      </c>
      <c r="R2287">
        <v>1</v>
      </c>
      <c r="S2287">
        <v>0</v>
      </c>
      <c r="T2287"/>
      <c r="U2287"/>
      <c r="V2287"/>
      <c r="W2287"/>
      <c r="X2287">
        <v>0</v>
      </c>
      <c r="Y2287"/>
      <c r="Z2287">
        <v>0</v>
      </c>
      <c r="AA2287"/>
      <c r="AB2287"/>
      <c r="AC2287"/>
      <c r="AD2287"/>
      <c r="AE2287">
        <v>0</v>
      </c>
      <c r="AF2287"/>
      <c r="AG2287"/>
      <c r="AH2287"/>
    </row>
    <row r="2288" spans="1:34" x14ac:dyDescent="0.25">
      <c r="A2288" t="s">
        <v>3406</v>
      </c>
      <c r="B2288" t="s">
        <v>3407</v>
      </c>
      <c r="C2288"/>
      <c r="D2288" t="s">
        <v>2649</v>
      </c>
      <c r="E2288" t="s">
        <v>2912</v>
      </c>
      <c r="F2288" t="s">
        <v>2958</v>
      </c>
      <c r="G2288" t="s">
        <v>280</v>
      </c>
      <c r="H2288" t="s">
        <v>2959</v>
      </c>
      <c r="I2288" t="s">
        <v>35</v>
      </c>
      <c r="J2288"/>
      <c r="K2288">
        <v>1</v>
      </c>
      <c r="L2288">
        <v>1</v>
      </c>
      <c r="M2288" t="s">
        <v>33</v>
      </c>
      <c r="N2288">
        <v>1</v>
      </c>
      <c r="O2288"/>
      <c r="P2288">
        <v>0</v>
      </c>
      <c r="Q2288" t="s">
        <v>38</v>
      </c>
      <c r="R2288">
        <v>1</v>
      </c>
      <c r="S2288">
        <v>0</v>
      </c>
      <c r="T2288"/>
      <c r="U2288"/>
      <c r="V2288"/>
      <c r="W2288"/>
      <c r="X2288">
        <v>0</v>
      </c>
      <c r="Y2288"/>
      <c r="Z2288">
        <v>0</v>
      </c>
      <c r="AA2288"/>
      <c r="AB2288"/>
      <c r="AC2288"/>
      <c r="AD2288"/>
      <c r="AE2288">
        <v>0</v>
      </c>
      <c r="AF2288"/>
      <c r="AG2288"/>
      <c r="AH2288"/>
    </row>
    <row r="2289" spans="1:34" x14ac:dyDescent="0.25">
      <c r="A2289" t="s">
        <v>3408</v>
      </c>
      <c r="B2289" t="s">
        <v>3409</v>
      </c>
      <c r="C2289"/>
      <c r="D2289" t="s">
        <v>2649</v>
      </c>
      <c r="E2289" t="s">
        <v>2912</v>
      </c>
      <c r="F2289" t="s">
        <v>2958</v>
      </c>
      <c r="G2289" t="s">
        <v>280</v>
      </c>
      <c r="H2289" t="s">
        <v>2959</v>
      </c>
      <c r="I2289" t="s">
        <v>35</v>
      </c>
      <c r="J2289"/>
      <c r="K2289">
        <v>1</v>
      </c>
      <c r="L2289">
        <v>1</v>
      </c>
      <c r="M2289" t="s">
        <v>33</v>
      </c>
      <c r="N2289">
        <v>1</v>
      </c>
      <c r="O2289"/>
      <c r="P2289">
        <v>0</v>
      </c>
      <c r="Q2289" t="s">
        <v>38</v>
      </c>
      <c r="R2289">
        <v>1</v>
      </c>
      <c r="S2289">
        <v>0</v>
      </c>
      <c r="T2289"/>
      <c r="U2289"/>
      <c r="V2289"/>
      <c r="W2289"/>
      <c r="X2289">
        <v>0</v>
      </c>
      <c r="Y2289"/>
      <c r="Z2289">
        <v>0</v>
      </c>
      <c r="AA2289"/>
      <c r="AB2289"/>
      <c r="AC2289"/>
      <c r="AD2289"/>
      <c r="AE2289">
        <v>0</v>
      </c>
      <c r="AF2289"/>
      <c r="AG2289"/>
      <c r="AH2289"/>
    </row>
    <row r="2290" spans="1:34" x14ac:dyDescent="0.25">
      <c r="A2290" t="s">
        <v>3440</v>
      </c>
      <c r="B2290" t="s">
        <v>3441</v>
      </c>
      <c r="C2290"/>
      <c r="D2290" t="s">
        <v>2649</v>
      </c>
      <c r="E2290" t="s">
        <v>2912</v>
      </c>
      <c r="F2290" t="s">
        <v>2958</v>
      </c>
      <c r="G2290" t="s">
        <v>280</v>
      </c>
      <c r="H2290" t="s">
        <v>2959</v>
      </c>
      <c r="I2290" t="s">
        <v>35</v>
      </c>
      <c r="J2290"/>
      <c r="K2290">
        <v>1</v>
      </c>
      <c r="L2290">
        <v>1</v>
      </c>
      <c r="M2290" t="s">
        <v>33</v>
      </c>
      <c r="N2290">
        <v>1</v>
      </c>
      <c r="O2290"/>
      <c r="P2290">
        <v>0</v>
      </c>
      <c r="Q2290" t="s">
        <v>38</v>
      </c>
      <c r="R2290">
        <v>1</v>
      </c>
      <c r="S2290">
        <v>0</v>
      </c>
      <c r="T2290"/>
      <c r="U2290"/>
      <c r="V2290"/>
      <c r="W2290"/>
      <c r="X2290">
        <v>0</v>
      </c>
      <c r="Y2290"/>
      <c r="Z2290">
        <v>0</v>
      </c>
      <c r="AA2290"/>
      <c r="AB2290"/>
      <c r="AC2290"/>
      <c r="AD2290"/>
      <c r="AE2290">
        <v>0</v>
      </c>
      <c r="AF2290"/>
      <c r="AG2290"/>
      <c r="AH2290"/>
    </row>
    <row r="2291" spans="1:34" x14ac:dyDescent="0.25">
      <c r="A2291" t="s">
        <v>3442</v>
      </c>
      <c r="B2291" t="s">
        <v>3443</v>
      </c>
      <c r="C2291"/>
      <c r="D2291" t="s">
        <v>2649</v>
      </c>
      <c r="E2291" t="s">
        <v>2912</v>
      </c>
      <c r="F2291" t="s">
        <v>2958</v>
      </c>
      <c r="G2291" t="s">
        <v>280</v>
      </c>
      <c r="H2291" t="s">
        <v>2959</v>
      </c>
      <c r="I2291" t="s">
        <v>35</v>
      </c>
      <c r="J2291"/>
      <c r="K2291">
        <v>1</v>
      </c>
      <c r="L2291">
        <v>1</v>
      </c>
      <c r="M2291" t="s">
        <v>33</v>
      </c>
      <c r="N2291">
        <v>1</v>
      </c>
      <c r="O2291"/>
      <c r="P2291">
        <v>0</v>
      </c>
      <c r="Q2291" t="s">
        <v>38</v>
      </c>
      <c r="R2291">
        <v>1</v>
      </c>
      <c r="S2291">
        <v>0</v>
      </c>
      <c r="T2291"/>
      <c r="U2291"/>
      <c r="V2291"/>
      <c r="W2291"/>
      <c r="X2291">
        <v>0</v>
      </c>
      <c r="Y2291"/>
      <c r="Z2291">
        <v>0</v>
      </c>
      <c r="AA2291"/>
      <c r="AB2291"/>
      <c r="AC2291"/>
      <c r="AD2291"/>
      <c r="AE2291">
        <v>0</v>
      </c>
      <c r="AF2291"/>
      <c r="AG2291"/>
      <c r="AH2291"/>
    </row>
    <row r="2292" spans="1:34" x14ac:dyDescent="0.25">
      <c r="A2292" t="s">
        <v>3406</v>
      </c>
      <c r="B2292" t="s">
        <v>3407</v>
      </c>
      <c r="C2292"/>
      <c r="D2292" t="s">
        <v>2649</v>
      </c>
      <c r="E2292" t="s">
        <v>2912</v>
      </c>
      <c r="F2292" t="s">
        <v>2960</v>
      </c>
      <c r="G2292" t="s">
        <v>280</v>
      </c>
      <c r="H2292" t="s">
        <v>2959</v>
      </c>
      <c r="I2292" t="s">
        <v>35</v>
      </c>
      <c r="J2292"/>
      <c r="K2292">
        <v>1</v>
      </c>
      <c r="L2292">
        <v>1</v>
      </c>
      <c r="M2292" t="s">
        <v>33</v>
      </c>
      <c r="N2292">
        <v>1</v>
      </c>
      <c r="O2292"/>
      <c r="P2292">
        <v>0</v>
      </c>
      <c r="Q2292" t="s">
        <v>38</v>
      </c>
      <c r="R2292">
        <v>1</v>
      </c>
      <c r="S2292">
        <v>0</v>
      </c>
      <c r="T2292"/>
      <c r="U2292"/>
      <c r="V2292"/>
      <c r="W2292"/>
      <c r="X2292">
        <v>0</v>
      </c>
      <c r="Y2292"/>
      <c r="Z2292">
        <v>0</v>
      </c>
      <c r="AA2292"/>
      <c r="AB2292"/>
      <c r="AC2292"/>
      <c r="AD2292"/>
      <c r="AE2292">
        <v>0</v>
      </c>
      <c r="AF2292"/>
      <c r="AG2292"/>
      <c r="AH2292"/>
    </row>
    <row r="2293" spans="1:34" x14ac:dyDescent="0.25">
      <c r="A2293" t="s">
        <v>3408</v>
      </c>
      <c r="B2293" t="s">
        <v>3409</v>
      </c>
      <c r="C2293"/>
      <c r="D2293" t="s">
        <v>2649</v>
      </c>
      <c r="E2293" t="s">
        <v>2912</v>
      </c>
      <c r="F2293" t="s">
        <v>2960</v>
      </c>
      <c r="G2293" t="s">
        <v>280</v>
      </c>
      <c r="H2293" t="s">
        <v>2959</v>
      </c>
      <c r="I2293" t="s">
        <v>35</v>
      </c>
      <c r="J2293"/>
      <c r="K2293">
        <v>1</v>
      </c>
      <c r="L2293">
        <v>1</v>
      </c>
      <c r="M2293" t="s">
        <v>33</v>
      </c>
      <c r="N2293">
        <v>1</v>
      </c>
      <c r="O2293"/>
      <c r="P2293">
        <v>0</v>
      </c>
      <c r="Q2293" t="s">
        <v>38</v>
      </c>
      <c r="R2293">
        <v>1</v>
      </c>
      <c r="S2293">
        <v>0</v>
      </c>
      <c r="T2293"/>
      <c r="U2293"/>
      <c r="V2293"/>
      <c r="W2293"/>
      <c r="X2293">
        <v>0</v>
      </c>
      <c r="Y2293"/>
      <c r="Z2293">
        <v>0</v>
      </c>
      <c r="AA2293"/>
      <c r="AB2293"/>
      <c r="AC2293"/>
      <c r="AD2293"/>
      <c r="AE2293">
        <v>0</v>
      </c>
      <c r="AF2293"/>
      <c r="AG2293"/>
      <c r="AH2293"/>
    </row>
    <row r="2294" spans="1:34" x14ac:dyDescent="0.25">
      <c r="A2294" t="s">
        <v>3440</v>
      </c>
      <c r="B2294" t="s">
        <v>3441</v>
      </c>
      <c r="C2294"/>
      <c r="D2294" t="s">
        <v>2649</v>
      </c>
      <c r="E2294" t="s">
        <v>2912</v>
      </c>
      <c r="F2294" t="s">
        <v>2960</v>
      </c>
      <c r="G2294" t="s">
        <v>280</v>
      </c>
      <c r="H2294" t="s">
        <v>2959</v>
      </c>
      <c r="I2294" t="s">
        <v>35</v>
      </c>
      <c r="J2294"/>
      <c r="K2294">
        <v>1</v>
      </c>
      <c r="L2294">
        <v>1</v>
      </c>
      <c r="M2294" t="s">
        <v>33</v>
      </c>
      <c r="N2294">
        <v>1</v>
      </c>
      <c r="O2294"/>
      <c r="P2294">
        <v>0</v>
      </c>
      <c r="Q2294" t="s">
        <v>38</v>
      </c>
      <c r="R2294">
        <v>1</v>
      </c>
      <c r="S2294">
        <v>0</v>
      </c>
      <c r="T2294"/>
      <c r="U2294"/>
      <c r="V2294"/>
      <c r="W2294"/>
      <c r="X2294">
        <v>0</v>
      </c>
      <c r="Y2294"/>
      <c r="Z2294">
        <v>0</v>
      </c>
      <c r="AA2294"/>
      <c r="AB2294"/>
      <c r="AC2294"/>
      <c r="AD2294"/>
      <c r="AE2294">
        <v>0</v>
      </c>
      <c r="AF2294"/>
      <c r="AG2294"/>
      <c r="AH2294"/>
    </row>
    <row r="2295" spans="1:34" x14ac:dyDescent="0.25">
      <c r="A2295" t="s">
        <v>3442</v>
      </c>
      <c r="B2295" t="s">
        <v>3443</v>
      </c>
      <c r="C2295"/>
      <c r="D2295" t="s">
        <v>2649</v>
      </c>
      <c r="E2295" t="s">
        <v>2912</v>
      </c>
      <c r="F2295" t="s">
        <v>2960</v>
      </c>
      <c r="G2295" t="s">
        <v>280</v>
      </c>
      <c r="H2295" t="s">
        <v>2959</v>
      </c>
      <c r="I2295" t="s">
        <v>35</v>
      </c>
      <c r="J2295"/>
      <c r="K2295">
        <v>1</v>
      </c>
      <c r="L2295">
        <v>1</v>
      </c>
      <c r="M2295" t="s">
        <v>33</v>
      </c>
      <c r="N2295">
        <v>1</v>
      </c>
      <c r="O2295"/>
      <c r="P2295">
        <v>0</v>
      </c>
      <c r="Q2295" t="s">
        <v>38</v>
      </c>
      <c r="R2295">
        <v>1</v>
      </c>
      <c r="S2295">
        <v>0</v>
      </c>
      <c r="T2295"/>
      <c r="U2295"/>
      <c r="V2295"/>
      <c r="W2295"/>
      <c r="X2295">
        <v>0</v>
      </c>
      <c r="Y2295"/>
      <c r="Z2295">
        <v>0</v>
      </c>
      <c r="AA2295"/>
      <c r="AB2295"/>
      <c r="AC2295"/>
      <c r="AD2295"/>
      <c r="AE2295">
        <v>0</v>
      </c>
      <c r="AF2295"/>
      <c r="AG2295"/>
      <c r="AH2295"/>
    </row>
    <row r="2296" spans="1:34" x14ac:dyDescent="0.25">
      <c r="A2296" t="s">
        <v>3406</v>
      </c>
      <c r="B2296" t="s">
        <v>3407</v>
      </c>
      <c r="C2296"/>
      <c r="D2296" t="s">
        <v>2649</v>
      </c>
      <c r="E2296" t="s">
        <v>2912</v>
      </c>
      <c r="F2296" t="s">
        <v>2961</v>
      </c>
      <c r="G2296" t="s">
        <v>280</v>
      </c>
      <c r="H2296" t="s">
        <v>2962</v>
      </c>
      <c r="I2296" t="s">
        <v>35</v>
      </c>
      <c r="J2296"/>
      <c r="K2296">
        <v>1</v>
      </c>
      <c r="L2296">
        <v>1</v>
      </c>
      <c r="M2296" t="s">
        <v>33</v>
      </c>
      <c r="N2296">
        <v>1</v>
      </c>
      <c r="O2296"/>
      <c r="P2296">
        <v>0</v>
      </c>
      <c r="Q2296" t="s">
        <v>38</v>
      </c>
      <c r="R2296">
        <v>1</v>
      </c>
      <c r="S2296">
        <v>0</v>
      </c>
      <c r="T2296"/>
      <c r="U2296"/>
      <c r="V2296"/>
      <c r="W2296"/>
      <c r="X2296">
        <v>0</v>
      </c>
      <c r="Y2296"/>
      <c r="Z2296">
        <v>0</v>
      </c>
      <c r="AA2296"/>
      <c r="AB2296"/>
      <c r="AC2296"/>
      <c r="AD2296"/>
      <c r="AE2296">
        <v>0</v>
      </c>
      <c r="AF2296"/>
      <c r="AG2296"/>
      <c r="AH2296"/>
    </row>
    <row r="2297" spans="1:34" x14ac:dyDescent="0.25">
      <c r="A2297" t="s">
        <v>3408</v>
      </c>
      <c r="B2297" t="s">
        <v>3409</v>
      </c>
      <c r="C2297"/>
      <c r="D2297" t="s">
        <v>2649</v>
      </c>
      <c r="E2297" t="s">
        <v>2912</v>
      </c>
      <c r="F2297" t="s">
        <v>2961</v>
      </c>
      <c r="G2297" t="s">
        <v>280</v>
      </c>
      <c r="H2297" t="s">
        <v>2962</v>
      </c>
      <c r="I2297" t="s">
        <v>35</v>
      </c>
      <c r="J2297"/>
      <c r="K2297">
        <v>1</v>
      </c>
      <c r="L2297">
        <v>1</v>
      </c>
      <c r="M2297" t="s">
        <v>33</v>
      </c>
      <c r="N2297">
        <v>1</v>
      </c>
      <c r="O2297"/>
      <c r="P2297">
        <v>0</v>
      </c>
      <c r="Q2297" t="s">
        <v>38</v>
      </c>
      <c r="R2297">
        <v>1</v>
      </c>
      <c r="S2297">
        <v>0</v>
      </c>
      <c r="T2297"/>
      <c r="U2297"/>
      <c r="V2297"/>
      <c r="W2297"/>
      <c r="X2297">
        <v>0</v>
      </c>
      <c r="Y2297"/>
      <c r="Z2297">
        <v>0</v>
      </c>
      <c r="AA2297"/>
      <c r="AB2297"/>
      <c r="AC2297"/>
      <c r="AD2297"/>
      <c r="AE2297">
        <v>0</v>
      </c>
      <c r="AF2297"/>
      <c r="AG2297"/>
      <c r="AH2297"/>
    </row>
    <row r="2298" spans="1:34" x14ac:dyDescent="0.25">
      <c r="A2298" t="s">
        <v>3440</v>
      </c>
      <c r="B2298" t="s">
        <v>3441</v>
      </c>
      <c r="C2298"/>
      <c r="D2298" t="s">
        <v>2649</v>
      </c>
      <c r="E2298" t="s">
        <v>2912</v>
      </c>
      <c r="F2298" t="s">
        <v>2961</v>
      </c>
      <c r="G2298" t="s">
        <v>280</v>
      </c>
      <c r="H2298" t="s">
        <v>2962</v>
      </c>
      <c r="I2298" t="s">
        <v>35</v>
      </c>
      <c r="J2298"/>
      <c r="K2298">
        <v>1</v>
      </c>
      <c r="L2298">
        <v>1</v>
      </c>
      <c r="M2298" t="s">
        <v>33</v>
      </c>
      <c r="N2298">
        <v>1</v>
      </c>
      <c r="O2298"/>
      <c r="P2298">
        <v>0</v>
      </c>
      <c r="Q2298" t="s">
        <v>38</v>
      </c>
      <c r="R2298">
        <v>1</v>
      </c>
      <c r="S2298">
        <v>0</v>
      </c>
      <c r="T2298"/>
      <c r="U2298"/>
      <c r="V2298"/>
      <c r="W2298"/>
      <c r="X2298">
        <v>0</v>
      </c>
      <c r="Y2298"/>
      <c r="Z2298">
        <v>0</v>
      </c>
      <c r="AA2298"/>
      <c r="AB2298"/>
      <c r="AC2298"/>
      <c r="AD2298"/>
      <c r="AE2298">
        <v>0</v>
      </c>
      <c r="AF2298"/>
      <c r="AG2298"/>
      <c r="AH2298"/>
    </row>
    <row r="2299" spans="1:34" x14ac:dyDescent="0.25">
      <c r="A2299" t="s">
        <v>3442</v>
      </c>
      <c r="B2299" t="s">
        <v>3443</v>
      </c>
      <c r="C2299"/>
      <c r="D2299" t="s">
        <v>2649</v>
      </c>
      <c r="E2299" t="s">
        <v>2912</v>
      </c>
      <c r="F2299" t="s">
        <v>2961</v>
      </c>
      <c r="G2299" t="s">
        <v>280</v>
      </c>
      <c r="H2299" t="s">
        <v>2962</v>
      </c>
      <c r="I2299" t="s">
        <v>35</v>
      </c>
      <c r="J2299"/>
      <c r="K2299">
        <v>1</v>
      </c>
      <c r="L2299">
        <v>1</v>
      </c>
      <c r="M2299" t="s">
        <v>33</v>
      </c>
      <c r="N2299">
        <v>1</v>
      </c>
      <c r="O2299"/>
      <c r="P2299">
        <v>0</v>
      </c>
      <c r="Q2299" t="s">
        <v>38</v>
      </c>
      <c r="R2299">
        <v>1</v>
      </c>
      <c r="S2299">
        <v>0</v>
      </c>
      <c r="T2299"/>
      <c r="U2299"/>
      <c r="V2299"/>
      <c r="W2299"/>
      <c r="X2299">
        <v>0</v>
      </c>
      <c r="Y2299"/>
      <c r="Z2299">
        <v>0</v>
      </c>
      <c r="AA2299"/>
      <c r="AB2299"/>
      <c r="AC2299"/>
      <c r="AD2299"/>
      <c r="AE2299">
        <v>0</v>
      </c>
      <c r="AF2299"/>
      <c r="AG2299"/>
      <c r="AH2299"/>
    </row>
    <row r="2300" spans="1:34" x14ac:dyDescent="0.25">
      <c r="A2300" t="s">
        <v>3406</v>
      </c>
      <c r="B2300" t="s">
        <v>3407</v>
      </c>
      <c r="C2300"/>
      <c r="D2300" t="s">
        <v>2649</v>
      </c>
      <c r="E2300" t="s">
        <v>2912</v>
      </c>
      <c r="F2300" t="s">
        <v>2963</v>
      </c>
      <c r="G2300" t="s">
        <v>280</v>
      </c>
      <c r="H2300" t="s">
        <v>2964</v>
      </c>
      <c r="I2300" t="s">
        <v>35</v>
      </c>
      <c r="J2300"/>
      <c r="K2300">
        <v>1</v>
      </c>
      <c r="L2300">
        <v>1</v>
      </c>
      <c r="M2300" t="s">
        <v>33</v>
      </c>
      <c r="N2300">
        <v>1</v>
      </c>
      <c r="O2300"/>
      <c r="P2300">
        <v>0</v>
      </c>
      <c r="Q2300" t="s">
        <v>38</v>
      </c>
      <c r="R2300">
        <v>1</v>
      </c>
      <c r="S2300">
        <v>0</v>
      </c>
      <c r="T2300"/>
      <c r="U2300"/>
      <c r="V2300"/>
      <c r="W2300"/>
      <c r="X2300">
        <v>0</v>
      </c>
      <c r="Y2300"/>
      <c r="Z2300">
        <v>0</v>
      </c>
      <c r="AA2300"/>
      <c r="AB2300"/>
      <c r="AC2300"/>
      <c r="AD2300"/>
      <c r="AE2300">
        <v>0</v>
      </c>
      <c r="AF2300"/>
      <c r="AG2300"/>
      <c r="AH2300"/>
    </row>
    <row r="2301" spans="1:34" x14ac:dyDescent="0.25">
      <c r="A2301" t="s">
        <v>3408</v>
      </c>
      <c r="B2301" t="s">
        <v>3409</v>
      </c>
      <c r="C2301"/>
      <c r="D2301" t="s">
        <v>2649</v>
      </c>
      <c r="E2301" t="s">
        <v>2912</v>
      </c>
      <c r="F2301" t="s">
        <v>2963</v>
      </c>
      <c r="G2301" t="s">
        <v>280</v>
      </c>
      <c r="H2301" t="s">
        <v>2964</v>
      </c>
      <c r="I2301" t="s">
        <v>35</v>
      </c>
      <c r="J2301"/>
      <c r="K2301">
        <v>1</v>
      </c>
      <c r="L2301">
        <v>1</v>
      </c>
      <c r="M2301" t="s">
        <v>33</v>
      </c>
      <c r="N2301">
        <v>1</v>
      </c>
      <c r="O2301"/>
      <c r="P2301">
        <v>0</v>
      </c>
      <c r="Q2301" t="s">
        <v>38</v>
      </c>
      <c r="R2301">
        <v>1</v>
      </c>
      <c r="S2301">
        <v>0</v>
      </c>
      <c r="T2301"/>
      <c r="U2301"/>
      <c r="V2301"/>
      <c r="W2301"/>
      <c r="X2301">
        <v>0</v>
      </c>
      <c r="Y2301"/>
      <c r="Z2301">
        <v>0</v>
      </c>
      <c r="AA2301"/>
      <c r="AB2301"/>
      <c r="AC2301"/>
      <c r="AD2301"/>
      <c r="AE2301">
        <v>0</v>
      </c>
      <c r="AF2301"/>
      <c r="AG2301"/>
      <c r="AH2301"/>
    </row>
    <row r="2302" spans="1:34" x14ac:dyDescent="0.25">
      <c r="A2302" t="s">
        <v>3440</v>
      </c>
      <c r="B2302" t="s">
        <v>3441</v>
      </c>
      <c r="C2302"/>
      <c r="D2302" t="s">
        <v>2649</v>
      </c>
      <c r="E2302" t="s">
        <v>2912</v>
      </c>
      <c r="F2302" t="s">
        <v>2963</v>
      </c>
      <c r="G2302" t="s">
        <v>280</v>
      </c>
      <c r="H2302" t="s">
        <v>2964</v>
      </c>
      <c r="I2302" t="s">
        <v>35</v>
      </c>
      <c r="J2302"/>
      <c r="K2302">
        <v>1</v>
      </c>
      <c r="L2302">
        <v>1</v>
      </c>
      <c r="M2302" t="s">
        <v>33</v>
      </c>
      <c r="N2302">
        <v>1</v>
      </c>
      <c r="O2302"/>
      <c r="P2302">
        <v>0</v>
      </c>
      <c r="Q2302" t="s">
        <v>38</v>
      </c>
      <c r="R2302">
        <v>1</v>
      </c>
      <c r="S2302">
        <v>0</v>
      </c>
      <c r="T2302"/>
      <c r="U2302"/>
      <c r="V2302"/>
      <c r="W2302"/>
      <c r="X2302">
        <v>0</v>
      </c>
      <c r="Y2302"/>
      <c r="Z2302">
        <v>0</v>
      </c>
      <c r="AA2302"/>
      <c r="AB2302"/>
      <c r="AC2302"/>
      <c r="AD2302"/>
      <c r="AE2302">
        <v>0</v>
      </c>
      <c r="AF2302"/>
      <c r="AG2302"/>
      <c r="AH2302"/>
    </row>
    <row r="2303" spans="1:34" x14ac:dyDescent="0.25">
      <c r="A2303" t="s">
        <v>3442</v>
      </c>
      <c r="B2303" t="s">
        <v>3443</v>
      </c>
      <c r="C2303"/>
      <c r="D2303" t="s">
        <v>2649</v>
      </c>
      <c r="E2303" t="s">
        <v>2912</v>
      </c>
      <c r="F2303" t="s">
        <v>2963</v>
      </c>
      <c r="G2303" t="s">
        <v>280</v>
      </c>
      <c r="H2303" t="s">
        <v>2964</v>
      </c>
      <c r="I2303" t="s">
        <v>35</v>
      </c>
      <c r="J2303"/>
      <c r="K2303">
        <v>1</v>
      </c>
      <c r="L2303">
        <v>1</v>
      </c>
      <c r="M2303" t="s">
        <v>33</v>
      </c>
      <c r="N2303">
        <v>1</v>
      </c>
      <c r="O2303"/>
      <c r="P2303">
        <v>0</v>
      </c>
      <c r="Q2303" t="s">
        <v>38</v>
      </c>
      <c r="R2303">
        <v>1</v>
      </c>
      <c r="S2303">
        <v>0</v>
      </c>
      <c r="T2303"/>
      <c r="U2303"/>
      <c r="V2303"/>
      <c r="W2303"/>
      <c r="X2303">
        <v>0</v>
      </c>
      <c r="Y2303"/>
      <c r="Z2303">
        <v>0</v>
      </c>
      <c r="AA2303"/>
      <c r="AB2303"/>
      <c r="AC2303"/>
      <c r="AD2303"/>
      <c r="AE2303">
        <v>0</v>
      </c>
      <c r="AF2303"/>
      <c r="AG2303"/>
      <c r="AH2303"/>
    </row>
    <row r="2304" spans="1:34" x14ac:dyDescent="0.25">
      <c r="A2304" t="s">
        <v>3406</v>
      </c>
      <c r="B2304" t="s">
        <v>3407</v>
      </c>
      <c r="C2304"/>
      <c r="D2304" t="s">
        <v>2649</v>
      </c>
      <c r="E2304" t="s">
        <v>2912</v>
      </c>
      <c r="F2304" t="s">
        <v>2965</v>
      </c>
      <c r="G2304" t="s">
        <v>280</v>
      </c>
      <c r="H2304" t="s">
        <v>2966</v>
      </c>
      <c r="I2304" t="s">
        <v>35</v>
      </c>
      <c r="J2304"/>
      <c r="K2304">
        <v>1</v>
      </c>
      <c r="L2304">
        <v>1</v>
      </c>
      <c r="M2304" t="s">
        <v>33</v>
      </c>
      <c r="N2304">
        <v>1</v>
      </c>
      <c r="O2304"/>
      <c r="P2304">
        <v>0</v>
      </c>
      <c r="Q2304" t="s">
        <v>38</v>
      </c>
      <c r="R2304">
        <v>1</v>
      </c>
      <c r="S2304">
        <v>0</v>
      </c>
      <c r="T2304"/>
      <c r="U2304"/>
      <c r="V2304"/>
      <c r="W2304"/>
      <c r="X2304">
        <v>0</v>
      </c>
      <c r="Y2304"/>
      <c r="Z2304">
        <v>0</v>
      </c>
      <c r="AA2304"/>
      <c r="AB2304"/>
      <c r="AC2304"/>
      <c r="AD2304"/>
      <c r="AE2304">
        <v>0</v>
      </c>
      <c r="AF2304"/>
      <c r="AG2304"/>
      <c r="AH2304"/>
    </row>
    <row r="2305" spans="1:34" x14ac:dyDescent="0.25">
      <c r="A2305" t="s">
        <v>3408</v>
      </c>
      <c r="B2305" t="s">
        <v>3409</v>
      </c>
      <c r="C2305"/>
      <c r="D2305" t="s">
        <v>2649</v>
      </c>
      <c r="E2305" t="s">
        <v>2912</v>
      </c>
      <c r="F2305" t="s">
        <v>2965</v>
      </c>
      <c r="G2305" t="s">
        <v>280</v>
      </c>
      <c r="H2305" t="s">
        <v>2966</v>
      </c>
      <c r="I2305" t="s">
        <v>35</v>
      </c>
      <c r="J2305"/>
      <c r="K2305">
        <v>1</v>
      </c>
      <c r="L2305">
        <v>1</v>
      </c>
      <c r="M2305" t="s">
        <v>33</v>
      </c>
      <c r="N2305">
        <v>1</v>
      </c>
      <c r="O2305"/>
      <c r="P2305">
        <v>0</v>
      </c>
      <c r="Q2305" t="s">
        <v>38</v>
      </c>
      <c r="R2305">
        <v>1</v>
      </c>
      <c r="S2305">
        <v>0</v>
      </c>
      <c r="T2305"/>
      <c r="U2305"/>
      <c r="V2305"/>
      <c r="W2305"/>
      <c r="X2305">
        <v>0</v>
      </c>
      <c r="Y2305"/>
      <c r="Z2305">
        <v>0</v>
      </c>
      <c r="AA2305"/>
      <c r="AB2305"/>
      <c r="AC2305"/>
      <c r="AD2305"/>
      <c r="AE2305">
        <v>0</v>
      </c>
      <c r="AF2305"/>
      <c r="AG2305"/>
      <c r="AH2305"/>
    </row>
    <row r="2306" spans="1:34" x14ac:dyDescent="0.25">
      <c r="A2306" t="s">
        <v>3440</v>
      </c>
      <c r="B2306" t="s">
        <v>3441</v>
      </c>
      <c r="C2306"/>
      <c r="D2306" t="s">
        <v>2649</v>
      </c>
      <c r="E2306" t="s">
        <v>2912</v>
      </c>
      <c r="F2306" t="s">
        <v>2965</v>
      </c>
      <c r="G2306" t="s">
        <v>280</v>
      </c>
      <c r="H2306" t="s">
        <v>2966</v>
      </c>
      <c r="I2306" t="s">
        <v>35</v>
      </c>
      <c r="J2306"/>
      <c r="K2306">
        <v>1</v>
      </c>
      <c r="L2306">
        <v>1</v>
      </c>
      <c r="M2306" t="s">
        <v>33</v>
      </c>
      <c r="N2306">
        <v>1</v>
      </c>
      <c r="O2306"/>
      <c r="P2306">
        <v>0</v>
      </c>
      <c r="Q2306" t="s">
        <v>38</v>
      </c>
      <c r="R2306">
        <v>1</v>
      </c>
      <c r="S2306">
        <v>0</v>
      </c>
      <c r="T2306"/>
      <c r="U2306"/>
      <c r="V2306"/>
      <c r="W2306"/>
      <c r="X2306">
        <v>0</v>
      </c>
      <c r="Y2306"/>
      <c r="Z2306">
        <v>0</v>
      </c>
      <c r="AA2306"/>
      <c r="AB2306"/>
      <c r="AC2306"/>
      <c r="AD2306"/>
      <c r="AE2306">
        <v>0</v>
      </c>
      <c r="AF2306"/>
      <c r="AG2306"/>
      <c r="AH2306"/>
    </row>
    <row r="2307" spans="1:34" x14ac:dyDescent="0.25">
      <c r="A2307" t="s">
        <v>3442</v>
      </c>
      <c r="B2307" t="s">
        <v>3443</v>
      </c>
      <c r="C2307"/>
      <c r="D2307" t="s">
        <v>2649</v>
      </c>
      <c r="E2307" t="s">
        <v>2912</v>
      </c>
      <c r="F2307" t="s">
        <v>2965</v>
      </c>
      <c r="G2307" t="s">
        <v>280</v>
      </c>
      <c r="H2307" t="s">
        <v>2966</v>
      </c>
      <c r="I2307" t="s">
        <v>35</v>
      </c>
      <c r="J2307"/>
      <c r="K2307">
        <v>1</v>
      </c>
      <c r="L2307">
        <v>1</v>
      </c>
      <c r="M2307" t="s">
        <v>33</v>
      </c>
      <c r="N2307">
        <v>1</v>
      </c>
      <c r="O2307"/>
      <c r="P2307">
        <v>0</v>
      </c>
      <c r="Q2307" t="s">
        <v>38</v>
      </c>
      <c r="R2307">
        <v>1</v>
      </c>
      <c r="S2307">
        <v>0</v>
      </c>
      <c r="T2307"/>
      <c r="U2307"/>
      <c r="V2307"/>
      <c r="W2307"/>
      <c r="X2307">
        <v>0</v>
      </c>
      <c r="Y2307"/>
      <c r="Z2307">
        <v>0</v>
      </c>
      <c r="AA2307"/>
      <c r="AB2307"/>
      <c r="AC2307"/>
      <c r="AD2307"/>
      <c r="AE2307">
        <v>0</v>
      </c>
      <c r="AF2307"/>
      <c r="AG2307"/>
      <c r="AH2307"/>
    </row>
    <row r="2308" spans="1:34" x14ac:dyDescent="0.25">
      <c r="A2308" t="s">
        <v>3406</v>
      </c>
      <c r="B2308" t="s">
        <v>3407</v>
      </c>
      <c r="C2308"/>
      <c r="D2308" t="s">
        <v>2649</v>
      </c>
      <c r="E2308" t="s">
        <v>2912</v>
      </c>
      <c r="F2308" t="s">
        <v>2967</v>
      </c>
      <c r="G2308" t="s">
        <v>280</v>
      </c>
      <c r="H2308" t="s">
        <v>2966</v>
      </c>
      <c r="I2308" t="s">
        <v>35</v>
      </c>
      <c r="J2308"/>
      <c r="K2308">
        <v>1</v>
      </c>
      <c r="L2308">
        <v>1</v>
      </c>
      <c r="M2308" t="s">
        <v>33</v>
      </c>
      <c r="N2308">
        <v>1</v>
      </c>
      <c r="O2308"/>
      <c r="P2308">
        <v>0</v>
      </c>
      <c r="Q2308" t="s">
        <v>38</v>
      </c>
      <c r="R2308">
        <v>1</v>
      </c>
      <c r="S2308">
        <v>0</v>
      </c>
      <c r="T2308"/>
      <c r="U2308"/>
      <c r="V2308"/>
      <c r="W2308"/>
      <c r="X2308">
        <v>0</v>
      </c>
      <c r="Y2308"/>
      <c r="Z2308">
        <v>0</v>
      </c>
      <c r="AA2308"/>
      <c r="AB2308"/>
      <c r="AC2308"/>
      <c r="AD2308"/>
      <c r="AE2308">
        <v>0</v>
      </c>
      <c r="AF2308"/>
      <c r="AG2308"/>
      <c r="AH2308"/>
    </row>
    <row r="2309" spans="1:34" x14ac:dyDescent="0.25">
      <c r="A2309" t="s">
        <v>3408</v>
      </c>
      <c r="B2309" t="s">
        <v>3409</v>
      </c>
      <c r="C2309"/>
      <c r="D2309" t="s">
        <v>2649</v>
      </c>
      <c r="E2309" t="s">
        <v>2912</v>
      </c>
      <c r="F2309" t="s">
        <v>2967</v>
      </c>
      <c r="G2309" t="s">
        <v>280</v>
      </c>
      <c r="H2309" t="s">
        <v>2966</v>
      </c>
      <c r="I2309" t="s">
        <v>35</v>
      </c>
      <c r="J2309"/>
      <c r="K2309">
        <v>1</v>
      </c>
      <c r="L2309">
        <v>1</v>
      </c>
      <c r="M2309" t="s">
        <v>33</v>
      </c>
      <c r="N2309">
        <v>1</v>
      </c>
      <c r="O2309"/>
      <c r="P2309">
        <v>0</v>
      </c>
      <c r="Q2309" t="s">
        <v>38</v>
      </c>
      <c r="R2309">
        <v>1</v>
      </c>
      <c r="S2309">
        <v>0</v>
      </c>
      <c r="T2309"/>
      <c r="U2309"/>
      <c r="V2309"/>
      <c r="W2309"/>
      <c r="X2309">
        <v>0</v>
      </c>
      <c r="Y2309"/>
      <c r="Z2309">
        <v>0</v>
      </c>
      <c r="AA2309"/>
      <c r="AB2309"/>
      <c r="AC2309"/>
      <c r="AD2309"/>
      <c r="AE2309">
        <v>0</v>
      </c>
      <c r="AF2309"/>
      <c r="AG2309"/>
      <c r="AH2309"/>
    </row>
    <row r="2310" spans="1:34" x14ac:dyDescent="0.25">
      <c r="A2310" t="s">
        <v>3440</v>
      </c>
      <c r="B2310" t="s">
        <v>3441</v>
      </c>
      <c r="C2310"/>
      <c r="D2310" t="s">
        <v>2649</v>
      </c>
      <c r="E2310" t="s">
        <v>2912</v>
      </c>
      <c r="F2310" t="s">
        <v>2967</v>
      </c>
      <c r="G2310" t="s">
        <v>280</v>
      </c>
      <c r="H2310" t="s">
        <v>2966</v>
      </c>
      <c r="I2310" t="s">
        <v>35</v>
      </c>
      <c r="J2310"/>
      <c r="K2310">
        <v>1</v>
      </c>
      <c r="L2310">
        <v>1</v>
      </c>
      <c r="M2310" t="s">
        <v>33</v>
      </c>
      <c r="N2310">
        <v>1</v>
      </c>
      <c r="O2310"/>
      <c r="P2310">
        <v>0</v>
      </c>
      <c r="Q2310" t="s">
        <v>38</v>
      </c>
      <c r="R2310">
        <v>1</v>
      </c>
      <c r="S2310">
        <v>0</v>
      </c>
      <c r="T2310"/>
      <c r="U2310"/>
      <c r="V2310"/>
      <c r="W2310"/>
      <c r="X2310">
        <v>0</v>
      </c>
      <c r="Y2310"/>
      <c r="Z2310">
        <v>0</v>
      </c>
      <c r="AA2310"/>
      <c r="AB2310"/>
      <c r="AC2310"/>
      <c r="AD2310"/>
      <c r="AE2310">
        <v>0</v>
      </c>
      <c r="AF2310"/>
      <c r="AG2310"/>
      <c r="AH2310"/>
    </row>
    <row r="2311" spans="1:34" x14ac:dyDescent="0.25">
      <c r="A2311" t="s">
        <v>3442</v>
      </c>
      <c r="B2311" t="s">
        <v>3443</v>
      </c>
      <c r="C2311"/>
      <c r="D2311" t="s">
        <v>2649</v>
      </c>
      <c r="E2311" t="s">
        <v>2912</v>
      </c>
      <c r="F2311" t="s">
        <v>2967</v>
      </c>
      <c r="G2311" t="s">
        <v>280</v>
      </c>
      <c r="H2311" t="s">
        <v>2966</v>
      </c>
      <c r="I2311" t="s">
        <v>35</v>
      </c>
      <c r="J2311"/>
      <c r="K2311">
        <v>1</v>
      </c>
      <c r="L2311">
        <v>1</v>
      </c>
      <c r="M2311" t="s">
        <v>33</v>
      </c>
      <c r="N2311">
        <v>1</v>
      </c>
      <c r="O2311"/>
      <c r="P2311">
        <v>0</v>
      </c>
      <c r="Q2311" t="s">
        <v>38</v>
      </c>
      <c r="R2311">
        <v>1</v>
      </c>
      <c r="S2311">
        <v>0</v>
      </c>
      <c r="T2311"/>
      <c r="U2311"/>
      <c r="V2311"/>
      <c r="W2311"/>
      <c r="X2311">
        <v>0</v>
      </c>
      <c r="Y2311"/>
      <c r="Z2311">
        <v>0</v>
      </c>
      <c r="AA2311"/>
      <c r="AB2311"/>
      <c r="AC2311"/>
      <c r="AD2311"/>
      <c r="AE2311">
        <v>0</v>
      </c>
      <c r="AF2311"/>
      <c r="AG2311"/>
      <c r="AH2311"/>
    </row>
    <row r="2312" spans="1:34" x14ac:dyDescent="0.25">
      <c r="A2312" t="s">
        <v>2647</v>
      </c>
      <c r="B2312" t="s">
        <v>2648</v>
      </c>
      <c r="C2312"/>
      <c r="D2312" t="s">
        <v>2649</v>
      </c>
      <c r="E2312" t="s">
        <v>2968</v>
      </c>
      <c r="F2312" t="s">
        <v>2969</v>
      </c>
      <c r="G2312" t="s">
        <v>280</v>
      </c>
      <c r="H2312" t="s">
        <v>2970</v>
      </c>
      <c r="I2312" t="s">
        <v>35</v>
      </c>
      <c r="J2312"/>
      <c r="K2312">
        <v>1</v>
      </c>
      <c r="L2312">
        <v>1</v>
      </c>
      <c r="M2312" t="s">
        <v>33</v>
      </c>
      <c r="N2312">
        <v>1</v>
      </c>
      <c r="O2312"/>
      <c r="P2312">
        <v>0</v>
      </c>
      <c r="Q2312" t="s">
        <v>38</v>
      </c>
      <c r="R2312">
        <v>1</v>
      </c>
      <c r="S2312">
        <v>0</v>
      </c>
      <c r="T2312"/>
      <c r="U2312"/>
      <c r="V2312"/>
      <c r="W2312"/>
      <c r="X2312">
        <v>0</v>
      </c>
      <c r="Y2312"/>
      <c r="Z2312">
        <v>0</v>
      </c>
      <c r="AA2312"/>
      <c r="AB2312"/>
      <c r="AC2312"/>
      <c r="AD2312"/>
      <c r="AE2312">
        <v>0</v>
      </c>
      <c r="AF2312"/>
      <c r="AG2312" t="s">
        <v>3468</v>
      </c>
      <c r="AH2312"/>
    </row>
    <row r="2313" spans="1:34" x14ac:dyDescent="0.25">
      <c r="A2313" t="s">
        <v>2647</v>
      </c>
      <c r="B2313" t="s">
        <v>2648</v>
      </c>
      <c r="C2313"/>
      <c r="D2313" t="s">
        <v>2649</v>
      </c>
      <c r="E2313" t="s">
        <v>2968</v>
      </c>
      <c r="F2313" t="s">
        <v>2971</v>
      </c>
      <c r="G2313" t="s">
        <v>280</v>
      </c>
      <c r="H2313" t="s">
        <v>2972</v>
      </c>
      <c r="I2313" t="s">
        <v>35</v>
      </c>
      <c r="J2313"/>
      <c r="K2313">
        <v>1</v>
      </c>
      <c r="L2313">
        <v>1</v>
      </c>
      <c r="M2313" t="s">
        <v>33</v>
      </c>
      <c r="N2313">
        <v>1</v>
      </c>
      <c r="O2313"/>
      <c r="P2313">
        <v>0</v>
      </c>
      <c r="Q2313" t="s">
        <v>38</v>
      </c>
      <c r="R2313">
        <v>1</v>
      </c>
      <c r="S2313">
        <v>0</v>
      </c>
      <c r="T2313"/>
      <c r="U2313"/>
      <c r="V2313"/>
      <c r="W2313"/>
      <c r="X2313">
        <v>0</v>
      </c>
      <c r="Y2313"/>
      <c r="Z2313">
        <v>0</v>
      </c>
      <c r="AA2313"/>
      <c r="AB2313"/>
      <c r="AC2313"/>
      <c r="AD2313"/>
      <c r="AE2313">
        <v>0</v>
      </c>
      <c r="AF2313"/>
      <c r="AG2313" t="s">
        <v>3468</v>
      </c>
      <c r="AH2313"/>
    </row>
    <row r="2314" spans="1:34" x14ac:dyDescent="0.25">
      <c r="A2314" t="s">
        <v>2647</v>
      </c>
      <c r="B2314" t="s">
        <v>2648</v>
      </c>
      <c r="C2314"/>
      <c r="D2314" t="s">
        <v>2649</v>
      </c>
      <c r="E2314" t="s">
        <v>2968</v>
      </c>
      <c r="F2314" t="s">
        <v>2973</v>
      </c>
      <c r="G2314" t="s">
        <v>280</v>
      </c>
      <c r="H2314" t="s">
        <v>2974</v>
      </c>
      <c r="I2314" t="s">
        <v>35</v>
      </c>
      <c r="J2314"/>
      <c r="K2314">
        <v>1</v>
      </c>
      <c r="L2314">
        <v>1</v>
      </c>
      <c r="M2314" t="s">
        <v>33</v>
      </c>
      <c r="N2314">
        <v>1</v>
      </c>
      <c r="O2314"/>
      <c r="P2314">
        <v>0</v>
      </c>
      <c r="Q2314" t="s">
        <v>38</v>
      </c>
      <c r="R2314">
        <v>1</v>
      </c>
      <c r="S2314">
        <v>0</v>
      </c>
      <c r="T2314"/>
      <c r="U2314"/>
      <c r="V2314"/>
      <c r="W2314"/>
      <c r="X2314">
        <v>0</v>
      </c>
      <c r="Y2314"/>
      <c r="Z2314">
        <v>0</v>
      </c>
      <c r="AA2314"/>
      <c r="AB2314"/>
      <c r="AC2314"/>
      <c r="AD2314"/>
      <c r="AE2314">
        <v>0</v>
      </c>
      <c r="AF2314"/>
      <c r="AG2314" t="s">
        <v>3468</v>
      </c>
      <c r="AH2314"/>
    </row>
    <row r="2315" spans="1:34" x14ac:dyDescent="0.25">
      <c r="A2315" t="s">
        <v>2647</v>
      </c>
      <c r="B2315" t="s">
        <v>2648</v>
      </c>
      <c r="C2315"/>
      <c r="D2315" t="s">
        <v>2649</v>
      </c>
      <c r="E2315" t="s">
        <v>2968</v>
      </c>
      <c r="F2315" t="s">
        <v>2975</v>
      </c>
      <c r="G2315" t="s">
        <v>280</v>
      </c>
      <c r="H2315" t="s">
        <v>2976</v>
      </c>
      <c r="I2315" t="s">
        <v>35</v>
      </c>
      <c r="J2315"/>
      <c r="K2315">
        <v>1</v>
      </c>
      <c r="L2315">
        <v>1</v>
      </c>
      <c r="M2315" t="s">
        <v>33</v>
      </c>
      <c r="N2315">
        <v>1</v>
      </c>
      <c r="O2315"/>
      <c r="P2315">
        <v>0</v>
      </c>
      <c r="Q2315" t="s">
        <v>38</v>
      </c>
      <c r="R2315">
        <v>1</v>
      </c>
      <c r="S2315">
        <v>0</v>
      </c>
      <c r="T2315"/>
      <c r="U2315"/>
      <c r="V2315"/>
      <c r="W2315"/>
      <c r="X2315">
        <v>0</v>
      </c>
      <c r="Y2315"/>
      <c r="Z2315">
        <v>0</v>
      </c>
      <c r="AA2315"/>
      <c r="AB2315"/>
      <c r="AC2315"/>
      <c r="AD2315"/>
      <c r="AE2315">
        <v>0</v>
      </c>
      <c r="AF2315"/>
      <c r="AG2315" t="s">
        <v>3468</v>
      </c>
      <c r="AH2315"/>
    </row>
    <row r="2316" spans="1:34" x14ac:dyDescent="0.25">
      <c r="A2316" t="s">
        <v>2647</v>
      </c>
      <c r="B2316" t="s">
        <v>2648</v>
      </c>
      <c r="C2316"/>
      <c r="D2316" t="s">
        <v>2649</v>
      </c>
      <c r="E2316" t="s">
        <v>2968</v>
      </c>
      <c r="F2316" t="s">
        <v>2977</v>
      </c>
      <c r="G2316" t="s">
        <v>280</v>
      </c>
      <c r="H2316" t="s">
        <v>2978</v>
      </c>
      <c r="I2316" t="s">
        <v>35</v>
      </c>
      <c r="J2316"/>
      <c r="K2316">
        <v>1</v>
      </c>
      <c r="L2316">
        <v>1</v>
      </c>
      <c r="M2316" t="s">
        <v>33</v>
      </c>
      <c r="N2316">
        <v>1</v>
      </c>
      <c r="O2316"/>
      <c r="P2316">
        <v>0</v>
      </c>
      <c r="Q2316" t="s">
        <v>38</v>
      </c>
      <c r="R2316">
        <v>1</v>
      </c>
      <c r="S2316">
        <v>0</v>
      </c>
      <c r="T2316"/>
      <c r="U2316"/>
      <c r="V2316"/>
      <c r="W2316"/>
      <c r="X2316">
        <v>0</v>
      </c>
      <c r="Y2316"/>
      <c r="Z2316">
        <v>0</v>
      </c>
      <c r="AA2316"/>
      <c r="AB2316"/>
      <c r="AC2316"/>
      <c r="AD2316"/>
      <c r="AE2316">
        <v>0</v>
      </c>
      <c r="AF2316"/>
      <c r="AG2316" t="s">
        <v>3468</v>
      </c>
      <c r="AH2316"/>
    </row>
    <row r="2317" spans="1:34" x14ac:dyDescent="0.25">
      <c r="A2317" t="s">
        <v>2647</v>
      </c>
      <c r="B2317" t="s">
        <v>2648</v>
      </c>
      <c r="C2317"/>
      <c r="D2317" t="s">
        <v>2649</v>
      </c>
      <c r="E2317" t="s">
        <v>2968</v>
      </c>
      <c r="F2317" t="s">
        <v>2979</v>
      </c>
      <c r="G2317" t="s">
        <v>280</v>
      </c>
      <c r="H2317" t="s">
        <v>2980</v>
      </c>
      <c r="I2317" t="s">
        <v>35</v>
      </c>
      <c r="J2317"/>
      <c r="K2317">
        <v>1</v>
      </c>
      <c r="L2317">
        <v>1</v>
      </c>
      <c r="M2317" t="s">
        <v>33</v>
      </c>
      <c r="N2317">
        <v>1</v>
      </c>
      <c r="O2317"/>
      <c r="P2317">
        <v>0</v>
      </c>
      <c r="Q2317" t="s">
        <v>38</v>
      </c>
      <c r="R2317">
        <v>1</v>
      </c>
      <c r="S2317">
        <v>0</v>
      </c>
      <c r="T2317"/>
      <c r="U2317"/>
      <c r="V2317"/>
      <c r="W2317"/>
      <c r="X2317">
        <v>0</v>
      </c>
      <c r="Y2317"/>
      <c r="Z2317">
        <v>0</v>
      </c>
      <c r="AA2317"/>
      <c r="AB2317"/>
      <c r="AC2317"/>
      <c r="AD2317"/>
      <c r="AE2317">
        <v>0</v>
      </c>
      <c r="AF2317"/>
      <c r="AG2317" t="s">
        <v>3468</v>
      </c>
      <c r="AH2317"/>
    </row>
    <row r="2318" spans="1:34" x14ac:dyDescent="0.25">
      <c r="A2318" t="s">
        <v>2647</v>
      </c>
      <c r="B2318" t="s">
        <v>2648</v>
      </c>
      <c r="C2318"/>
      <c r="D2318" t="s">
        <v>2649</v>
      </c>
      <c r="E2318" t="s">
        <v>2968</v>
      </c>
      <c r="F2318" t="s">
        <v>2981</v>
      </c>
      <c r="G2318" t="s">
        <v>280</v>
      </c>
      <c r="H2318" t="s">
        <v>2982</v>
      </c>
      <c r="I2318" t="s">
        <v>35</v>
      </c>
      <c r="J2318"/>
      <c r="K2318">
        <v>1</v>
      </c>
      <c r="L2318">
        <v>1</v>
      </c>
      <c r="M2318" t="s">
        <v>33</v>
      </c>
      <c r="N2318">
        <v>1</v>
      </c>
      <c r="O2318"/>
      <c r="P2318">
        <v>0</v>
      </c>
      <c r="Q2318" t="s">
        <v>38</v>
      </c>
      <c r="R2318">
        <v>1</v>
      </c>
      <c r="S2318">
        <v>0</v>
      </c>
      <c r="T2318"/>
      <c r="U2318"/>
      <c r="V2318"/>
      <c r="W2318"/>
      <c r="X2318">
        <v>0</v>
      </c>
      <c r="Y2318"/>
      <c r="Z2318">
        <v>0</v>
      </c>
      <c r="AA2318"/>
      <c r="AB2318"/>
      <c r="AC2318"/>
      <c r="AD2318"/>
      <c r="AE2318">
        <v>0</v>
      </c>
      <c r="AF2318"/>
      <c r="AG2318" t="s">
        <v>3468</v>
      </c>
      <c r="AH2318"/>
    </row>
    <row r="2319" spans="1:34" x14ac:dyDescent="0.25">
      <c r="A2319" t="s">
        <v>2647</v>
      </c>
      <c r="B2319" t="s">
        <v>2648</v>
      </c>
      <c r="C2319"/>
      <c r="D2319" t="s">
        <v>2649</v>
      </c>
      <c r="E2319" t="s">
        <v>2968</v>
      </c>
      <c r="F2319" t="s">
        <v>2983</v>
      </c>
      <c r="G2319" t="s">
        <v>280</v>
      </c>
      <c r="H2319" t="s">
        <v>2984</v>
      </c>
      <c r="I2319" t="s">
        <v>35</v>
      </c>
      <c r="J2319"/>
      <c r="K2319">
        <v>1</v>
      </c>
      <c r="L2319">
        <v>1</v>
      </c>
      <c r="M2319" t="s">
        <v>33</v>
      </c>
      <c r="N2319">
        <v>1</v>
      </c>
      <c r="O2319"/>
      <c r="P2319">
        <v>0</v>
      </c>
      <c r="Q2319" t="s">
        <v>38</v>
      </c>
      <c r="R2319">
        <v>1</v>
      </c>
      <c r="S2319">
        <v>0</v>
      </c>
      <c r="T2319"/>
      <c r="U2319"/>
      <c r="V2319"/>
      <c r="W2319"/>
      <c r="X2319">
        <v>0</v>
      </c>
      <c r="Y2319"/>
      <c r="Z2319">
        <v>0</v>
      </c>
      <c r="AA2319"/>
      <c r="AB2319"/>
      <c r="AC2319"/>
      <c r="AD2319"/>
      <c r="AE2319">
        <v>0</v>
      </c>
      <c r="AF2319"/>
      <c r="AG2319" t="s">
        <v>3468</v>
      </c>
      <c r="AH2319"/>
    </row>
    <row r="2320" spans="1:34" x14ac:dyDescent="0.25">
      <c r="A2320" t="s">
        <v>2671</v>
      </c>
      <c r="B2320" t="s">
        <v>2672</v>
      </c>
      <c r="C2320"/>
      <c r="D2320" t="s">
        <v>2649</v>
      </c>
      <c r="E2320" t="s">
        <v>2968</v>
      </c>
      <c r="F2320" t="s">
        <v>2985</v>
      </c>
      <c r="G2320" t="s">
        <v>280</v>
      </c>
      <c r="H2320" t="s">
        <v>2986</v>
      </c>
      <c r="I2320" t="s">
        <v>35</v>
      </c>
      <c r="J2320"/>
      <c r="K2320">
        <v>1</v>
      </c>
      <c r="L2320">
        <v>1</v>
      </c>
      <c r="M2320" t="s">
        <v>33</v>
      </c>
      <c r="N2320">
        <v>1</v>
      </c>
      <c r="O2320"/>
      <c r="P2320">
        <v>0</v>
      </c>
      <c r="Q2320" t="s">
        <v>38</v>
      </c>
      <c r="R2320">
        <v>1</v>
      </c>
      <c r="S2320">
        <v>0</v>
      </c>
      <c r="T2320"/>
      <c r="U2320"/>
      <c r="V2320"/>
      <c r="W2320"/>
      <c r="X2320">
        <v>0</v>
      </c>
      <c r="Y2320"/>
      <c r="Z2320">
        <v>0</v>
      </c>
      <c r="AA2320"/>
      <c r="AB2320"/>
      <c r="AC2320"/>
      <c r="AD2320"/>
      <c r="AE2320">
        <v>0</v>
      </c>
      <c r="AF2320"/>
      <c r="AG2320" t="s">
        <v>3468</v>
      </c>
      <c r="AH2320"/>
    </row>
    <row r="2321" spans="1:34" x14ac:dyDescent="0.25">
      <c r="A2321" t="s">
        <v>2671</v>
      </c>
      <c r="B2321" t="s">
        <v>2672</v>
      </c>
      <c r="C2321"/>
      <c r="D2321" t="s">
        <v>2649</v>
      </c>
      <c r="E2321" t="s">
        <v>2968</v>
      </c>
      <c r="F2321" t="s">
        <v>2987</v>
      </c>
      <c r="G2321" t="s">
        <v>280</v>
      </c>
      <c r="H2321" t="s">
        <v>2988</v>
      </c>
      <c r="I2321" t="s">
        <v>35</v>
      </c>
      <c r="J2321"/>
      <c r="K2321">
        <v>1</v>
      </c>
      <c r="L2321">
        <v>1</v>
      </c>
      <c r="M2321" t="s">
        <v>33</v>
      </c>
      <c r="N2321">
        <v>1</v>
      </c>
      <c r="O2321"/>
      <c r="P2321">
        <v>0</v>
      </c>
      <c r="Q2321" t="s">
        <v>38</v>
      </c>
      <c r="R2321">
        <v>1</v>
      </c>
      <c r="S2321">
        <v>0</v>
      </c>
      <c r="T2321"/>
      <c r="U2321"/>
      <c r="V2321"/>
      <c r="W2321"/>
      <c r="X2321">
        <v>0</v>
      </c>
      <c r="Y2321"/>
      <c r="Z2321">
        <v>0</v>
      </c>
      <c r="AA2321"/>
      <c r="AB2321"/>
      <c r="AC2321"/>
      <c r="AD2321"/>
      <c r="AE2321">
        <v>0</v>
      </c>
      <c r="AF2321"/>
      <c r="AG2321" t="s">
        <v>3468</v>
      </c>
      <c r="AH2321"/>
    </row>
    <row r="2322" spans="1:34" x14ac:dyDescent="0.25">
      <c r="A2322" t="s">
        <v>2671</v>
      </c>
      <c r="B2322" t="s">
        <v>2672</v>
      </c>
      <c r="C2322"/>
      <c r="D2322" t="s">
        <v>2649</v>
      </c>
      <c r="E2322" t="s">
        <v>2968</v>
      </c>
      <c r="F2322" t="s">
        <v>2989</v>
      </c>
      <c r="G2322" t="s">
        <v>280</v>
      </c>
      <c r="H2322" t="s">
        <v>2990</v>
      </c>
      <c r="I2322" t="s">
        <v>35</v>
      </c>
      <c r="J2322"/>
      <c r="K2322">
        <v>1</v>
      </c>
      <c r="L2322">
        <v>1</v>
      </c>
      <c r="M2322" t="s">
        <v>33</v>
      </c>
      <c r="N2322">
        <v>1</v>
      </c>
      <c r="O2322"/>
      <c r="P2322">
        <v>0</v>
      </c>
      <c r="Q2322" t="s">
        <v>38</v>
      </c>
      <c r="R2322">
        <v>1</v>
      </c>
      <c r="S2322">
        <v>0</v>
      </c>
      <c r="T2322"/>
      <c r="U2322"/>
      <c r="V2322"/>
      <c r="W2322"/>
      <c r="X2322">
        <v>0</v>
      </c>
      <c r="Y2322"/>
      <c r="Z2322">
        <v>0</v>
      </c>
      <c r="AA2322"/>
      <c r="AB2322"/>
      <c r="AC2322"/>
      <c r="AD2322"/>
      <c r="AE2322">
        <v>0</v>
      </c>
      <c r="AF2322"/>
      <c r="AG2322" t="s">
        <v>3468</v>
      </c>
      <c r="AH2322"/>
    </row>
    <row r="2323" spans="1:34" x14ac:dyDescent="0.25">
      <c r="A2323" t="s">
        <v>2671</v>
      </c>
      <c r="B2323" t="s">
        <v>2672</v>
      </c>
      <c r="C2323"/>
      <c r="D2323" t="s">
        <v>2649</v>
      </c>
      <c r="E2323" t="s">
        <v>2968</v>
      </c>
      <c r="F2323" t="s">
        <v>2991</v>
      </c>
      <c r="G2323" t="s">
        <v>280</v>
      </c>
      <c r="H2323" t="s">
        <v>2992</v>
      </c>
      <c r="I2323" t="s">
        <v>35</v>
      </c>
      <c r="J2323"/>
      <c r="K2323">
        <v>1</v>
      </c>
      <c r="L2323">
        <v>1</v>
      </c>
      <c r="M2323" t="s">
        <v>33</v>
      </c>
      <c r="N2323">
        <v>1</v>
      </c>
      <c r="O2323"/>
      <c r="P2323">
        <v>0</v>
      </c>
      <c r="Q2323" t="s">
        <v>38</v>
      </c>
      <c r="R2323">
        <v>1</v>
      </c>
      <c r="S2323">
        <v>0</v>
      </c>
      <c r="T2323"/>
      <c r="U2323"/>
      <c r="V2323"/>
      <c r="W2323"/>
      <c r="X2323">
        <v>0</v>
      </c>
      <c r="Y2323"/>
      <c r="Z2323">
        <v>0</v>
      </c>
      <c r="AA2323"/>
      <c r="AB2323"/>
      <c r="AC2323"/>
      <c r="AD2323"/>
      <c r="AE2323">
        <v>0</v>
      </c>
      <c r="AF2323"/>
      <c r="AG2323" t="s">
        <v>3468</v>
      </c>
      <c r="AH2323"/>
    </row>
    <row r="2324" spans="1:34" x14ac:dyDescent="0.25">
      <c r="A2324" t="s">
        <v>2671</v>
      </c>
      <c r="B2324" t="s">
        <v>2672</v>
      </c>
      <c r="C2324"/>
      <c r="D2324" t="s">
        <v>2649</v>
      </c>
      <c r="E2324" t="s">
        <v>2968</v>
      </c>
      <c r="F2324" t="s">
        <v>2993</v>
      </c>
      <c r="G2324" t="s">
        <v>280</v>
      </c>
      <c r="H2324" t="s">
        <v>2994</v>
      </c>
      <c r="I2324" t="s">
        <v>35</v>
      </c>
      <c r="J2324"/>
      <c r="K2324">
        <v>1</v>
      </c>
      <c r="L2324">
        <v>1</v>
      </c>
      <c r="M2324" t="s">
        <v>33</v>
      </c>
      <c r="N2324">
        <v>1</v>
      </c>
      <c r="O2324"/>
      <c r="P2324">
        <v>0</v>
      </c>
      <c r="Q2324" t="s">
        <v>38</v>
      </c>
      <c r="R2324">
        <v>1</v>
      </c>
      <c r="S2324">
        <v>0</v>
      </c>
      <c r="T2324"/>
      <c r="U2324"/>
      <c r="V2324"/>
      <c r="W2324"/>
      <c r="X2324">
        <v>0</v>
      </c>
      <c r="Y2324"/>
      <c r="Z2324">
        <v>0</v>
      </c>
      <c r="AA2324"/>
      <c r="AB2324"/>
      <c r="AC2324"/>
      <c r="AD2324"/>
      <c r="AE2324">
        <v>0</v>
      </c>
      <c r="AF2324"/>
      <c r="AG2324" t="s">
        <v>3468</v>
      </c>
      <c r="AH2324"/>
    </row>
    <row r="2325" spans="1:34" x14ac:dyDescent="0.25">
      <c r="A2325" t="s">
        <v>2671</v>
      </c>
      <c r="B2325" t="s">
        <v>2672</v>
      </c>
      <c r="C2325"/>
      <c r="D2325" t="s">
        <v>2649</v>
      </c>
      <c r="E2325" t="s">
        <v>2968</v>
      </c>
      <c r="F2325" t="s">
        <v>2995</v>
      </c>
      <c r="G2325" t="s">
        <v>280</v>
      </c>
      <c r="H2325" t="s">
        <v>2996</v>
      </c>
      <c r="I2325" t="s">
        <v>35</v>
      </c>
      <c r="J2325"/>
      <c r="K2325">
        <v>1</v>
      </c>
      <c r="L2325">
        <v>1</v>
      </c>
      <c r="M2325" t="s">
        <v>33</v>
      </c>
      <c r="N2325">
        <v>1</v>
      </c>
      <c r="O2325"/>
      <c r="P2325">
        <v>0</v>
      </c>
      <c r="Q2325" t="s">
        <v>38</v>
      </c>
      <c r="R2325">
        <v>1</v>
      </c>
      <c r="S2325">
        <v>0</v>
      </c>
      <c r="T2325"/>
      <c r="U2325"/>
      <c r="V2325"/>
      <c r="W2325"/>
      <c r="X2325">
        <v>0</v>
      </c>
      <c r="Y2325"/>
      <c r="Z2325">
        <v>0</v>
      </c>
      <c r="AA2325"/>
      <c r="AB2325"/>
      <c r="AC2325"/>
      <c r="AD2325"/>
      <c r="AE2325">
        <v>0</v>
      </c>
      <c r="AF2325"/>
      <c r="AG2325" t="s">
        <v>3468</v>
      </c>
      <c r="AH2325"/>
    </row>
    <row r="2326" spans="1:34" x14ac:dyDescent="0.25">
      <c r="A2326" t="s">
        <v>2671</v>
      </c>
      <c r="B2326" t="s">
        <v>2672</v>
      </c>
      <c r="C2326"/>
      <c r="D2326" t="s">
        <v>2649</v>
      </c>
      <c r="E2326" t="s">
        <v>2968</v>
      </c>
      <c r="F2326" t="s">
        <v>2997</v>
      </c>
      <c r="G2326" t="s">
        <v>280</v>
      </c>
      <c r="H2326" t="s">
        <v>2998</v>
      </c>
      <c r="I2326" t="s">
        <v>35</v>
      </c>
      <c r="J2326"/>
      <c r="K2326">
        <v>1</v>
      </c>
      <c r="L2326">
        <v>1</v>
      </c>
      <c r="M2326" t="s">
        <v>33</v>
      </c>
      <c r="N2326">
        <v>1</v>
      </c>
      <c r="O2326"/>
      <c r="P2326">
        <v>0</v>
      </c>
      <c r="Q2326" t="s">
        <v>38</v>
      </c>
      <c r="R2326">
        <v>1</v>
      </c>
      <c r="S2326">
        <v>0</v>
      </c>
      <c r="T2326"/>
      <c r="U2326"/>
      <c r="V2326"/>
      <c r="W2326"/>
      <c r="X2326">
        <v>0</v>
      </c>
      <c r="Y2326"/>
      <c r="Z2326">
        <v>0</v>
      </c>
      <c r="AA2326"/>
      <c r="AB2326"/>
      <c r="AC2326"/>
      <c r="AD2326"/>
      <c r="AE2326">
        <v>0</v>
      </c>
      <c r="AF2326"/>
      <c r="AG2326" t="s">
        <v>3468</v>
      </c>
      <c r="AH2326"/>
    </row>
    <row r="2327" spans="1:34" x14ac:dyDescent="0.25">
      <c r="A2327" t="s">
        <v>2671</v>
      </c>
      <c r="B2327" t="s">
        <v>2672</v>
      </c>
      <c r="C2327"/>
      <c r="D2327" t="s">
        <v>2649</v>
      </c>
      <c r="E2327" t="s">
        <v>2968</v>
      </c>
      <c r="F2327" t="s">
        <v>2999</v>
      </c>
      <c r="G2327" t="s">
        <v>280</v>
      </c>
      <c r="H2327" t="s">
        <v>3000</v>
      </c>
      <c r="I2327" t="s">
        <v>35</v>
      </c>
      <c r="J2327"/>
      <c r="K2327">
        <v>1</v>
      </c>
      <c r="L2327">
        <v>1</v>
      </c>
      <c r="M2327" t="s">
        <v>33</v>
      </c>
      <c r="N2327">
        <v>1</v>
      </c>
      <c r="O2327"/>
      <c r="P2327">
        <v>0</v>
      </c>
      <c r="Q2327" t="s">
        <v>38</v>
      </c>
      <c r="R2327">
        <v>1</v>
      </c>
      <c r="S2327">
        <v>0</v>
      </c>
      <c r="T2327"/>
      <c r="U2327"/>
      <c r="V2327"/>
      <c r="W2327"/>
      <c r="X2327">
        <v>0</v>
      </c>
      <c r="Y2327"/>
      <c r="Z2327">
        <v>0</v>
      </c>
      <c r="AA2327"/>
      <c r="AB2327"/>
      <c r="AC2327"/>
      <c r="AD2327"/>
      <c r="AE2327">
        <v>0</v>
      </c>
      <c r="AF2327"/>
      <c r="AG2327" t="s">
        <v>3468</v>
      </c>
      <c r="AH2327"/>
    </row>
    <row r="2328" spans="1:34" x14ac:dyDescent="0.25">
      <c r="A2328" t="s">
        <v>3406</v>
      </c>
      <c r="B2328" t="s">
        <v>3407</v>
      </c>
      <c r="C2328"/>
      <c r="D2328" t="s">
        <v>2649</v>
      </c>
      <c r="E2328" t="s">
        <v>3001</v>
      </c>
      <c r="F2328" t="s">
        <v>3002</v>
      </c>
      <c r="G2328" t="s">
        <v>280</v>
      </c>
      <c r="H2328" t="s">
        <v>3003</v>
      </c>
      <c r="I2328" t="s">
        <v>35</v>
      </c>
      <c r="J2328"/>
      <c r="K2328">
        <v>1</v>
      </c>
      <c r="L2328">
        <v>1</v>
      </c>
      <c r="M2328" t="s">
        <v>33</v>
      </c>
      <c r="N2328">
        <v>1</v>
      </c>
      <c r="O2328"/>
      <c r="P2328">
        <v>0</v>
      </c>
      <c r="Q2328" t="s">
        <v>38</v>
      </c>
      <c r="R2328">
        <v>1</v>
      </c>
      <c r="S2328">
        <v>0</v>
      </c>
      <c r="T2328"/>
      <c r="U2328"/>
      <c r="V2328"/>
      <c r="W2328"/>
      <c r="X2328">
        <v>0</v>
      </c>
      <c r="Y2328"/>
      <c r="Z2328">
        <v>0</v>
      </c>
      <c r="AA2328"/>
      <c r="AB2328"/>
      <c r="AC2328"/>
      <c r="AD2328"/>
      <c r="AE2328">
        <v>0</v>
      </c>
      <c r="AF2328"/>
      <c r="AG2328"/>
      <c r="AH2328"/>
    </row>
    <row r="2329" spans="1:34" x14ac:dyDescent="0.25">
      <c r="A2329" t="s">
        <v>3408</v>
      </c>
      <c r="B2329" t="s">
        <v>3409</v>
      </c>
      <c r="C2329"/>
      <c r="D2329" t="s">
        <v>2649</v>
      </c>
      <c r="E2329" t="s">
        <v>3001</v>
      </c>
      <c r="F2329" t="s">
        <v>3002</v>
      </c>
      <c r="G2329" t="s">
        <v>280</v>
      </c>
      <c r="H2329" t="s">
        <v>3003</v>
      </c>
      <c r="I2329" t="s">
        <v>35</v>
      </c>
      <c r="J2329"/>
      <c r="K2329">
        <v>1</v>
      </c>
      <c r="L2329">
        <v>1</v>
      </c>
      <c r="M2329" t="s">
        <v>33</v>
      </c>
      <c r="N2329">
        <v>1</v>
      </c>
      <c r="O2329"/>
      <c r="P2329">
        <v>0</v>
      </c>
      <c r="Q2329" t="s">
        <v>38</v>
      </c>
      <c r="R2329">
        <v>1</v>
      </c>
      <c r="S2329">
        <v>0</v>
      </c>
      <c r="T2329"/>
      <c r="U2329"/>
      <c r="V2329"/>
      <c r="W2329"/>
      <c r="X2329">
        <v>0</v>
      </c>
      <c r="Y2329"/>
      <c r="Z2329">
        <v>0</v>
      </c>
      <c r="AA2329"/>
      <c r="AB2329"/>
      <c r="AC2329"/>
      <c r="AD2329"/>
      <c r="AE2329">
        <v>0</v>
      </c>
      <c r="AF2329"/>
      <c r="AG2329"/>
      <c r="AH2329"/>
    </row>
    <row r="2330" spans="1:34" x14ac:dyDescent="0.25">
      <c r="A2330" t="s">
        <v>3406</v>
      </c>
      <c r="B2330" t="s">
        <v>3407</v>
      </c>
      <c r="C2330"/>
      <c r="D2330" t="s">
        <v>2649</v>
      </c>
      <c r="E2330" t="s">
        <v>3001</v>
      </c>
      <c r="F2330" t="s">
        <v>3004</v>
      </c>
      <c r="G2330" t="s">
        <v>280</v>
      </c>
      <c r="H2330" t="s">
        <v>3005</v>
      </c>
      <c r="I2330" t="s">
        <v>35</v>
      </c>
      <c r="J2330"/>
      <c r="K2330">
        <v>1</v>
      </c>
      <c r="L2330">
        <v>1</v>
      </c>
      <c r="M2330" t="s">
        <v>33</v>
      </c>
      <c r="N2330">
        <v>1</v>
      </c>
      <c r="O2330"/>
      <c r="P2330">
        <v>0</v>
      </c>
      <c r="Q2330" t="s">
        <v>38</v>
      </c>
      <c r="R2330">
        <v>1</v>
      </c>
      <c r="S2330">
        <v>0</v>
      </c>
      <c r="T2330"/>
      <c r="U2330"/>
      <c r="V2330"/>
      <c r="W2330"/>
      <c r="X2330">
        <v>0</v>
      </c>
      <c r="Y2330"/>
      <c r="Z2330">
        <v>0</v>
      </c>
      <c r="AA2330"/>
      <c r="AB2330"/>
      <c r="AC2330"/>
      <c r="AD2330"/>
      <c r="AE2330">
        <v>0</v>
      </c>
      <c r="AF2330"/>
      <c r="AG2330"/>
      <c r="AH2330"/>
    </row>
    <row r="2331" spans="1:34" x14ac:dyDescent="0.25">
      <c r="A2331" t="s">
        <v>3408</v>
      </c>
      <c r="B2331" t="s">
        <v>3409</v>
      </c>
      <c r="C2331"/>
      <c r="D2331" t="s">
        <v>2649</v>
      </c>
      <c r="E2331" t="s">
        <v>3001</v>
      </c>
      <c r="F2331" t="s">
        <v>3004</v>
      </c>
      <c r="G2331" t="s">
        <v>280</v>
      </c>
      <c r="H2331" t="s">
        <v>3005</v>
      </c>
      <c r="I2331" t="s">
        <v>35</v>
      </c>
      <c r="J2331"/>
      <c r="K2331">
        <v>1</v>
      </c>
      <c r="L2331">
        <v>1</v>
      </c>
      <c r="M2331" t="s">
        <v>33</v>
      </c>
      <c r="N2331">
        <v>1</v>
      </c>
      <c r="O2331"/>
      <c r="P2331">
        <v>0</v>
      </c>
      <c r="Q2331" t="s">
        <v>38</v>
      </c>
      <c r="R2331">
        <v>1</v>
      </c>
      <c r="S2331">
        <v>0</v>
      </c>
      <c r="T2331"/>
      <c r="U2331"/>
      <c r="V2331"/>
      <c r="W2331"/>
      <c r="X2331">
        <v>0</v>
      </c>
      <c r="Y2331"/>
      <c r="Z2331">
        <v>0</v>
      </c>
      <c r="AA2331"/>
      <c r="AB2331"/>
      <c r="AC2331"/>
      <c r="AD2331"/>
      <c r="AE2331">
        <v>0</v>
      </c>
      <c r="AF2331"/>
      <c r="AG2331"/>
      <c r="AH2331"/>
    </row>
    <row r="2332" spans="1:34" x14ac:dyDescent="0.25">
      <c r="A2332" t="s">
        <v>3406</v>
      </c>
      <c r="B2332" t="s">
        <v>3407</v>
      </c>
      <c r="C2332"/>
      <c r="D2332" t="s">
        <v>2649</v>
      </c>
      <c r="E2332" t="s">
        <v>3001</v>
      </c>
      <c r="F2332" t="s">
        <v>3006</v>
      </c>
      <c r="G2332" t="s">
        <v>280</v>
      </c>
      <c r="H2332" t="s">
        <v>3007</v>
      </c>
      <c r="I2332" t="s">
        <v>35</v>
      </c>
      <c r="J2332"/>
      <c r="K2332">
        <v>1</v>
      </c>
      <c r="L2332">
        <v>1</v>
      </c>
      <c r="M2332" t="s">
        <v>33</v>
      </c>
      <c r="N2332">
        <v>1</v>
      </c>
      <c r="O2332"/>
      <c r="P2332">
        <v>0</v>
      </c>
      <c r="Q2332" t="s">
        <v>38</v>
      </c>
      <c r="R2332">
        <v>1</v>
      </c>
      <c r="S2332">
        <v>0</v>
      </c>
      <c r="T2332"/>
      <c r="U2332"/>
      <c r="V2332"/>
      <c r="W2332"/>
      <c r="X2332">
        <v>0</v>
      </c>
      <c r="Y2332"/>
      <c r="Z2332">
        <v>0</v>
      </c>
      <c r="AA2332"/>
      <c r="AB2332"/>
      <c r="AC2332"/>
      <c r="AD2332"/>
      <c r="AE2332">
        <v>0</v>
      </c>
      <c r="AF2332"/>
      <c r="AG2332"/>
      <c r="AH2332"/>
    </row>
    <row r="2333" spans="1:34" x14ac:dyDescent="0.25">
      <c r="A2333" t="s">
        <v>3408</v>
      </c>
      <c r="B2333" t="s">
        <v>3409</v>
      </c>
      <c r="C2333"/>
      <c r="D2333" t="s">
        <v>2649</v>
      </c>
      <c r="E2333" t="s">
        <v>3001</v>
      </c>
      <c r="F2333" t="s">
        <v>3006</v>
      </c>
      <c r="G2333" t="s">
        <v>280</v>
      </c>
      <c r="H2333" t="s">
        <v>3007</v>
      </c>
      <c r="I2333" t="s">
        <v>35</v>
      </c>
      <c r="J2333"/>
      <c r="K2333">
        <v>1</v>
      </c>
      <c r="L2333">
        <v>1</v>
      </c>
      <c r="M2333" t="s">
        <v>33</v>
      </c>
      <c r="N2333">
        <v>1</v>
      </c>
      <c r="O2333"/>
      <c r="P2333">
        <v>0</v>
      </c>
      <c r="Q2333" t="s">
        <v>38</v>
      </c>
      <c r="R2333">
        <v>1</v>
      </c>
      <c r="S2333">
        <v>0</v>
      </c>
      <c r="T2333"/>
      <c r="U2333"/>
      <c r="V2333"/>
      <c r="W2333"/>
      <c r="X2333">
        <v>0</v>
      </c>
      <c r="Y2333"/>
      <c r="Z2333">
        <v>0</v>
      </c>
      <c r="AA2333"/>
      <c r="AB2333"/>
      <c r="AC2333"/>
      <c r="AD2333"/>
      <c r="AE2333">
        <v>0</v>
      </c>
      <c r="AF2333"/>
      <c r="AG2333"/>
      <c r="AH2333"/>
    </row>
    <row r="2334" spans="1:34" x14ac:dyDescent="0.25">
      <c r="A2334" t="s">
        <v>3406</v>
      </c>
      <c r="B2334" t="s">
        <v>3407</v>
      </c>
      <c r="C2334"/>
      <c r="D2334" t="s">
        <v>2649</v>
      </c>
      <c r="E2334" t="s">
        <v>3001</v>
      </c>
      <c r="F2334" t="s">
        <v>3008</v>
      </c>
      <c r="G2334" t="s">
        <v>280</v>
      </c>
      <c r="H2334" t="s">
        <v>3009</v>
      </c>
      <c r="I2334" t="s">
        <v>35</v>
      </c>
      <c r="J2334"/>
      <c r="K2334">
        <v>1</v>
      </c>
      <c r="L2334">
        <v>1</v>
      </c>
      <c r="M2334" t="s">
        <v>33</v>
      </c>
      <c r="N2334">
        <v>1</v>
      </c>
      <c r="O2334"/>
      <c r="P2334">
        <v>0</v>
      </c>
      <c r="Q2334" t="s">
        <v>38</v>
      </c>
      <c r="R2334">
        <v>1</v>
      </c>
      <c r="S2334">
        <v>0</v>
      </c>
      <c r="T2334"/>
      <c r="U2334"/>
      <c r="V2334"/>
      <c r="W2334"/>
      <c r="X2334">
        <v>0</v>
      </c>
      <c r="Y2334"/>
      <c r="Z2334">
        <v>0</v>
      </c>
      <c r="AA2334"/>
      <c r="AB2334"/>
      <c r="AC2334"/>
      <c r="AD2334"/>
      <c r="AE2334">
        <v>0</v>
      </c>
      <c r="AF2334"/>
      <c r="AG2334"/>
      <c r="AH2334"/>
    </row>
    <row r="2335" spans="1:34" x14ac:dyDescent="0.25">
      <c r="A2335" t="s">
        <v>3408</v>
      </c>
      <c r="B2335" t="s">
        <v>3409</v>
      </c>
      <c r="C2335"/>
      <c r="D2335" t="s">
        <v>2649</v>
      </c>
      <c r="E2335" t="s">
        <v>3001</v>
      </c>
      <c r="F2335" t="s">
        <v>3008</v>
      </c>
      <c r="G2335" t="s">
        <v>280</v>
      </c>
      <c r="H2335" t="s">
        <v>3009</v>
      </c>
      <c r="I2335" t="s">
        <v>35</v>
      </c>
      <c r="J2335"/>
      <c r="K2335">
        <v>1</v>
      </c>
      <c r="L2335">
        <v>1</v>
      </c>
      <c r="M2335" t="s">
        <v>33</v>
      </c>
      <c r="N2335">
        <v>1</v>
      </c>
      <c r="O2335"/>
      <c r="P2335">
        <v>0</v>
      </c>
      <c r="Q2335" t="s">
        <v>38</v>
      </c>
      <c r="R2335">
        <v>1</v>
      </c>
      <c r="S2335">
        <v>0</v>
      </c>
      <c r="T2335"/>
      <c r="U2335"/>
      <c r="V2335"/>
      <c r="W2335"/>
      <c r="X2335">
        <v>0</v>
      </c>
      <c r="Y2335"/>
      <c r="Z2335">
        <v>0</v>
      </c>
      <c r="AA2335"/>
      <c r="AB2335"/>
      <c r="AC2335"/>
      <c r="AD2335"/>
      <c r="AE2335">
        <v>0</v>
      </c>
      <c r="AF2335"/>
      <c r="AG2335"/>
      <c r="AH2335"/>
    </row>
    <row r="2336" spans="1:34" x14ac:dyDescent="0.25">
      <c r="A2336" t="s">
        <v>3406</v>
      </c>
      <c r="B2336" t="s">
        <v>3407</v>
      </c>
      <c r="C2336"/>
      <c r="D2336" t="s">
        <v>2649</v>
      </c>
      <c r="E2336" t="s">
        <v>3001</v>
      </c>
      <c r="F2336" t="s">
        <v>3010</v>
      </c>
      <c r="G2336" t="s">
        <v>280</v>
      </c>
      <c r="H2336" t="s">
        <v>3011</v>
      </c>
      <c r="I2336" t="s">
        <v>35</v>
      </c>
      <c r="J2336"/>
      <c r="K2336">
        <v>1</v>
      </c>
      <c r="L2336">
        <v>1</v>
      </c>
      <c r="M2336" t="s">
        <v>33</v>
      </c>
      <c r="N2336">
        <v>1</v>
      </c>
      <c r="O2336"/>
      <c r="P2336">
        <v>0</v>
      </c>
      <c r="Q2336" t="s">
        <v>38</v>
      </c>
      <c r="R2336">
        <v>1</v>
      </c>
      <c r="S2336">
        <v>0</v>
      </c>
      <c r="T2336"/>
      <c r="U2336"/>
      <c r="V2336"/>
      <c r="W2336"/>
      <c r="X2336">
        <v>0</v>
      </c>
      <c r="Y2336"/>
      <c r="Z2336">
        <v>0</v>
      </c>
      <c r="AA2336"/>
      <c r="AB2336"/>
      <c r="AC2336"/>
      <c r="AD2336"/>
      <c r="AE2336">
        <v>0</v>
      </c>
      <c r="AF2336"/>
      <c r="AG2336"/>
      <c r="AH2336"/>
    </row>
    <row r="2337" spans="1:34" x14ac:dyDescent="0.25">
      <c r="A2337" t="s">
        <v>3408</v>
      </c>
      <c r="B2337" t="s">
        <v>3409</v>
      </c>
      <c r="C2337"/>
      <c r="D2337" t="s">
        <v>2649</v>
      </c>
      <c r="E2337" t="s">
        <v>3001</v>
      </c>
      <c r="F2337" t="s">
        <v>3010</v>
      </c>
      <c r="G2337" t="s">
        <v>280</v>
      </c>
      <c r="H2337" t="s">
        <v>3011</v>
      </c>
      <c r="I2337" t="s">
        <v>35</v>
      </c>
      <c r="J2337"/>
      <c r="K2337">
        <v>1</v>
      </c>
      <c r="L2337">
        <v>1</v>
      </c>
      <c r="M2337" t="s">
        <v>33</v>
      </c>
      <c r="N2337">
        <v>1</v>
      </c>
      <c r="O2337"/>
      <c r="P2337">
        <v>0</v>
      </c>
      <c r="Q2337" t="s">
        <v>38</v>
      </c>
      <c r="R2337">
        <v>1</v>
      </c>
      <c r="S2337">
        <v>0</v>
      </c>
      <c r="T2337"/>
      <c r="U2337"/>
      <c r="V2337"/>
      <c r="W2337"/>
      <c r="X2337">
        <v>0</v>
      </c>
      <c r="Y2337"/>
      <c r="Z2337">
        <v>0</v>
      </c>
      <c r="AA2337"/>
      <c r="AB2337"/>
      <c r="AC2337"/>
      <c r="AD2337"/>
      <c r="AE2337">
        <v>0</v>
      </c>
      <c r="AF2337"/>
      <c r="AG2337"/>
      <c r="AH2337"/>
    </row>
    <row r="2338" spans="1:34" x14ac:dyDescent="0.25">
      <c r="A2338" t="s">
        <v>3406</v>
      </c>
      <c r="B2338" t="s">
        <v>3407</v>
      </c>
      <c r="C2338"/>
      <c r="D2338" t="s">
        <v>2649</v>
      </c>
      <c r="E2338" t="s">
        <v>3001</v>
      </c>
      <c r="F2338" t="s">
        <v>3012</v>
      </c>
      <c r="G2338" t="s">
        <v>280</v>
      </c>
      <c r="H2338" t="s">
        <v>3013</v>
      </c>
      <c r="I2338" t="s">
        <v>35</v>
      </c>
      <c r="J2338"/>
      <c r="K2338">
        <v>1</v>
      </c>
      <c r="L2338">
        <v>1</v>
      </c>
      <c r="M2338" t="s">
        <v>33</v>
      </c>
      <c r="N2338">
        <v>1</v>
      </c>
      <c r="O2338"/>
      <c r="P2338">
        <v>0</v>
      </c>
      <c r="Q2338" t="s">
        <v>38</v>
      </c>
      <c r="R2338">
        <v>1</v>
      </c>
      <c r="S2338">
        <v>0</v>
      </c>
      <c r="T2338"/>
      <c r="U2338"/>
      <c r="V2338"/>
      <c r="W2338"/>
      <c r="X2338">
        <v>0</v>
      </c>
      <c r="Y2338"/>
      <c r="Z2338">
        <v>0</v>
      </c>
      <c r="AA2338"/>
      <c r="AB2338"/>
      <c r="AC2338"/>
      <c r="AD2338"/>
      <c r="AE2338">
        <v>0</v>
      </c>
      <c r="AF2338"/>
      <c r="AG2338"/>
      <c r="AH2338"/>
    </row>
    <row r="2339" spans="1:34" x14ac:dyDescent="0.25">
      <c r="A2339" t="s">
        <v>3408</v>
      </c>
      <c r="B2339" t="s">
        <v>3409</v>
      </c>
      <c r="C2339"/>
      <c r="D2339" t="s">
        <v>2649</v>
      </c>
      <c r="E2339" t="s">
        <v>3001</v>
      </c>
      <c r="F2339" t="s">
        <v>3012</v>
      </c>
      <c r="G2339" t="s">
        <v>280</v>
      </c>
      <c r="H2339" t="s">
        <v>3013</v>
      </c>
      <c r="I2339" t="s">
        <v>35</v>
      </c>
      <c r="J2339"/>
      <c r="K2339">
        <v>1</v>
      </c>
      <c r="L2339">
        <v>1</v>
      </c>
      <c r="M2339" t="s">
        <v>33</v>
      </c>
      <c r="N2339">
        <v>1</v>
      </c>
      <c r="O2339"/>
      <c r="P2339">
        <v>0</v>
      </c>
      <c r="Q2339" t="s">
        <v>38</v>
      </c>
      <c r="R2339">
        <v>1</v>
      </c>
      <c r="S2339">
        <v>0</v>
      </c>
      <c r="T2339"/>
      <c r="U2339"/>
      <c r="V2339"/>
      <c r="W2339"/>
      <c r="X2339">
        <v>0</v>
      </c>
      <c r="Y2339"/>
      <c r="Z2339">
        <v>0</v>
      </c>
      <c r="AA2339"/>
      <c r="AB2339"/>
      <c r="AC2339"/>
      <c r="AD2339"/>
      <c r="AE2339">
        <v>0</v>
      </c>
      <c r="AF2339"/>
      <c r="AG2339"/>
      <c r="AH2339"/>
    </row>
    <row r="2340" spans="1:34" x14ac:dyDescent="0.25">
      <c r="A2340" t="s">
        <v>3406</v>
      </c>
      <c r="B2340" t="s">
        <v>3407</v>
      </c>
      <c r="C2340"/>
      <c r="D2340" t="s">
        <v>2649</v>
      </c>
      <c r="E2340" t="s">
        <v>3001</v>
      </c>
      <c r="F2340" t="s">
        <v>3014</v>
      </c>
      <c r="G2340" t="s">
        <v>280</v>
      </c>
      <c r="H2340" t="s">
        <v>3015</v>
      </c>
      <c r="I2340" t="s">
        <v>35</v>
      </c>
      <c r="J2340"/>
      <c r="K2340">
        <v>1</v>
      </c>
      <c r="L2340">
        <v>1</v>
      </c>
      <c r="M2340" t="s">
        <v>33</v>
      </c>
      <c r="N2340">
        <v>1</v>
      </c>
      <c r="O2340"/>
      <c r="P2340">
        <v>0</v>
      </c>
      <c r="Q2340" t="s">
        <v>38</v>
      </c>
      <c r="R2340">
        <v>1</v>
      </c>
      <c r="S2340">
        <v>0</v>
      </c>
      <c r="T2340"/>
      <c r="U2340"/>
      <c r="V2340"/>
      <c r="W2340"/>
      <c r="X2340">
        <v>0</v>
      </c>
      <c r="Y2340"/>
      <c r="Z2340">
        <v>0</v>
      </c>
      <c r="AA2340"/>
      <c r="AB2340"/>
      <c r="AC2340"/>
      <c r="AD2340"/>
      <c r="AE2340">
        <v>0</v>
      </c>
      <c r="AF2340"/>
      <c r="AG2340"/>
      <c r="AH2340"/>
    </row>
    <row r="2341" spans="1:34" x14ac:dyDescent="0.25">
      <c r="A2341" t="s">
        <v>3408</v>
      </c>
      <c r="B2341" t="s">
        <v>3409</v>
      </c>
      <c r="C2341"/>
      <c r="D2341" t="s">
        <v>2649</v>
      </c>
      <c r="E2341" t="s">
        <v>3001</v>
      </c>
      <c r="F2341" t="s">
        <v>3014</v>
      </c>
      <c r="G2341" t="s">
        <v>280</v>
      </c>
      <c r="H2341" t="s">
        <v>3015</v>
      </c>
      <c r="I2341" t="s">
        <v>35</v>
      </c>
      <c r="J2341"/>
      <c r="K2341">
        <v>1</v>
      </c>
      <c r="L2341">
        <v>1</v>
      </c>
      <c r="M2341" t="s">
        <v>33</v>
      </c>
      <c r="N2341">
        <v>1</v>
      </c>
      <c r="O2341"/>
      <c r="P2341">
        <v>0</v>
      </c>
      <c r="Q2341" t="s">
        <v>38</v>
      </c>
      <c r="R2341">
        <v>1</v>
      </c>
      <c r="S2341">
        <v>0</v>
      </c>
      <c r="T2341"/>
      <c r="U2341"/>
      <c r="V2341"/>
      <c r="W2341"/>
      <c r="X2341">
        <v>0</v>
      </c>
      <c r="Y2341"/>
      <c r="Z2341">
        <v>0</v>
      </c>
      <c r="AA2341"/>
      <c r="AB2341"/>
      <c r="AC2341"/>
      <c r="AD2341"/>
      <c r="AE2341">
        <v>0</v>
      </c>
      <c r="AF2341"/>
      <c r="AG2341"/>
      <c r="AH2341"/>
    </row>
    <row r="2342" spans="1:34" x14ac:dyDescent="0.25">
      <c r="A2342" t="s">
        <v>3406</v>
      </c>
      <c r="B2342" t="s">
        <v>3407</v>
      </c>
      <c r="C2342"/>
      <c r="D2342" t="s">
        <v>2649</v>
      </c>
      <c r="E2342" t="s">
        <v>3001</v>
      </c>
      <c r="F2342" t="s">
        <v>3016</v>
      </c>
      <c r="G2342" t="s">
        <v>280</v>
      </c>
      <c r="H2342" t="s">
        <v>3017</v>
      </c>
      <c r="I2342" t="s">
        <v>35</v>
      </c>
      <c r="J2342"/>
      <c r="K2342">
        <v>1</v>
      </c>
      <c r="L2342">
        <v>1</v>
      </c>
      <c r="M2342" t="s">
        <v>33</v>
      </c>
      <c r="N2342">
        <v>1</v>
      </c>
      <c r="O2342"/>
      <c r="P2342">
        <v>0</v>
      </c>
      <c r="Q2342" t="s">
        <v>38</v>
      </c>
      <c r="R2342">
        <v>1</v>
      </c>
      <c r="S2342">
        <v>0</v>
      </c>
      <c r="T2342"/>
      <c r="U2342"/>
      <c r="V2342"/>
      <c r="W2342"/>
      <c r="X2342">
        <v>0</v>
      </c>
      <c r="Y2342"/>
      <c r="Z2342">
        <v>0</v>
      </c>
      <c r="AA2342"/>
      <c r="AB2342"/>
      <c r="AC2342"/>
      <c r="AD2342"/>
      <c r="AE2342">
        <v>0</v>
      </c>
      <c r="AF2342"/>
      <c r="AG2342"/>
      <c r="AH2342"/>
    </row>
    <row r="2343" spans="1:34" x14ac:dyDescent="0.25">
      <c r="A2343" t="s">
        <v>3408</v>
      </c>
      <c r="B2343" t="s">
        <v>3409</v>
      </c>
      <c r="C2343"/>
      <c r="D2343" t="s">
        <v>2649</v>
      </c>
      <c r="E2343" t="s">
        <v>3001</v>
      </c>
      <c r="F2343" t="s">
        <v>3016</v>
      </c>
      <c r="G2343" t="s">
        <v>280</v>
      </c>
      <c r="H2343" t="s">
        <v>3017</v>
      </c>
      <c r="I2343" t="s">
        <v>35</v>
      </c>
      <c r="J2343"/>
      <c r="K2343">
        <v>1</v>
      </c>
      <c r="L2343">
        <v>1</v>
      </c>
      <c r="M2343" t="s">
        <v>33</v>
      </c>
      <c r="N2343">
        <v>1</v>
      </c>
      <c r="O2343"/>
      <c r="P2343">
        <v>0</v>
      </c>
      <c r="Q2343" t="s">
        <v>38</v>
      </c>
      <c r="R2343">
        <v>1</v>
      </c>
      <c r="S2343">
        <v>0</v>
      </c>
      <c r="T2343"/>
      <c r="U2343"/>
      <c r="V2343"/>
      <c r="W2343"/>
      <c r="X2343">
        <v>0</v>
      </c>
      <c r="Y2343"/>
      <c r="Z2343">
        <v>0</v>
      </c>
      <c r="AA2343"/>
      <c r="AB2343"/>
      <c r="AC2343"/>
      <c r="AD2343"/>
      <c r="AE2343">
        <v>0</v>
      </c>
      <c r="AF2343"/>
      <c r="AG2343"/>
      <c r="AH2343"/>
    </row>
    <row r="2344" spans="1:34" x14ac:dyDescent="0.25">
      <c r="A2344" t="s">
        <v>3406</v>
      </c>
      <c r="B2344" t="s">
        <v>3407</v>
      </c>
      <c r="C2344"/>
      <c r="D2344" t="s">
        <v>2649</v>
      </c>
      <c r="E2344" t="s">
        <v>3001</v>
      </c>
      <c r="F2344" t="s">
        <v>3018</v>
      </c>
      <c r="G2344" t="s">
        <v>280</v>
      </c>
      <c r="H2344" t="s">
        <v>3019</v>
      </c>
      <c r="I2344" t="s">
        <v>35</v>
      </c>
      <c r="J2344"/>
      <c r="K2344">
        <v>1</v>
      </c>
      <c r="L2344">
        <v>1</v>
      </c>
      <c r="M2344" t="s">
        <v>33</v>
      </c>
      <c r="N2344">
        <v>1</v>
      </c>
      <c r="O2344"/>
      <c r="P2344">
        <v>0</v>
      </c>
      <c r="Q2344" t="s">
        <v>38</v>
      </c>
      <c r="R2344">
        <v>1</v>
      </c>
      <c r="S2344">
        <v>0</v>
      </c>
      <c r="T2344"/>
      <c r="U2344"/>
      <c r="V2344"/>
      <c r="W2344"/>
      <c r="X2344">
        <v>0</v>
      </c>
      <c r="Y2344"/>
      <c r="Z2344">
        <v>0</v>
      </c>
      <c r="AA2344"/>
      <c r="AB2344"/>
      <c r="AC2344"/>
      <c r="AD2344"/>
      <c r="AE2344">
        <v>0</v>
      </c>
      <c r="AF2344"/>
      <c r="AG2344"/>
      <c r="AH2344"/>
    </row>
    <row r="2345" spans="1:34" x14ac:dyDescent="0.25">
      <c r="A2345" t="s">
        <v>3408</v>
      </c>
      <c r="B2345" t="s">
        <v>3409</v>
      </c>
      <c r="C2345"/>
      <c r="D2345" t="s">
        <v>2649</v>
      </c>
      <c r="E2345" t="s">
        <v>3001</v>
      </c>
      <c r="F2345" t="s">
        <v>3018</v>
      </c>
      <c r="G2345" t="s">
        <v>280</v>
      </c>
      <c r="H2345" t="s">
        <v>3019</v>
      </c>
      <c r="I2345" t="s">
        <v>35</v>
      </c>
      <c r="J2345"/>
      <c r="K2345">
        <v>1</v>
      </c>
      <c r="L2345">
        <v>1</v>
      </c>
      <c r="M2345" t="s">
        <v>33</v>
      </c>
      <c r="N2345">
        <v>1</v>
      </c>
      <c r="O2345"/>
      <c r="P2345">
        <v>0</v>
      </c>
      <c r="Q2345" t="s">
        <v>38</v>
      </c>
      <c r="R2345">
        <v>1</v>
      </c>
      <c r="S2345">
        <v>0</v>
      </c>
      <c r="T2345"/>
      <c r="U2345"/>
      <c r="V2345"/>
      <c r="W2345"/>
      <c r="X2345">
        <v>0</v>
      </c>
      <c r="Y2345"/>
      <c r="Z2345">
        <v>0</v>
      </c>
      <c r="AA2345"/>
      <c r="AB2345"/>
      <c r="AC2345"/>
      <c r="AD2345"/>
      <c r="AE2345">
        <v>0</v>
      </c>
      <c r="AF2345"/>
      <c r="AG2345"/>
      <c r="AH2345"/>
    </row>
    <row r="2346" spans="1:34" x14ac:dyDescent="0.25">
      <c r="A2346" t="s">
        <v>3406</v>
      </c>
      <c r="B2346" t="s">
        <v>3407</v>
      </c>
      <c r="C2346"/>
      <c r="D2346" t="s">
        <v>2649</v>
      </c>
      <c r="E2346" t="s">
        <v>3001</v>
      </c>
      <c r="F2346" t="s">
        <v>3020</v>
      </c>
      <c r="G2346" t="s">
        <v>280</v>
      </c>
      <c r="H2346" t="s">
        <v>3021</v>
      </c>
      <c r="I2346" t="s">
        <v>35</v>
      </c>
      <c r="J2346"/>
      <c r="K2346">
        <v>1</v>
      </c>
      <c r="L2346">
        <v>1</v>
      </c>
      <c r="M2346" t="s">
        <v>33</v>
      </c>
      <c r="N2346">
        <v>1</v>
      </c>
      <c r="O2346"/>
      <c r="P2346">
        <v>0</v>
      </c>
      <c r="Q2346" t="s">
        <v>38</v>
      </c>
      <c r="R2346">
        <v>1</v>
      </c>
      <c r="S2346">
        <v>0</v>
      </c>
      <c r="T2346"/>
      <c r="U2346"/>
      <c r="V2346"/>
      <c r="W2346"/>
      <c r="X2346">
        <v>0</v>
      </c>
      <c r="Y2346"/>
      <c r="Z2346">
        <v>0</v>
      </c>
      <c r="AA2346"/>
      <c r="AB2346"/>
      <c r="AC2346"/>
      <c r="AD2346"/>
      <c r="AE2346">
        <v>0</v>
      </c>
      <c r="AF2346"/>
      <c r="AG2346"/>
      <c r="AH2346"/>
    </row>
    <row r="2347" spans="1:34" x14ac:dyDescent="0.25">
      <c r="A2347" t="s">
        <v>3408</v>
      </c>
      <c r="B2347" t="s">
        <v>3409</v>
      </c>
      <c r="C2347"/>
      <c r="D2347" t="s">
        <v>2649</v>
      </c>
      <c r="E2347" t="s">
        <v>3001</v>
      </c>
      <c r="F2347" t="s">
        <v>3020</v>
      </c>
      <c r="G2347" t="s">
        <v>280</v>
      </c>
      <c r="H2347" t="s">
        <v>3021</v>
      </c>
      <c r="I2347" t="s">
        <v>35</v>
      </c>
      <c r="J2347"/>
      <c r="K2347">
        <v>1</v>
      </c>
      <c r="L2347">
        <v>1</v>
      </c>
      <c r="M2347" t="s">
        <v>33</v>
      </c>
      <c r="N2347">
        <v>1</v>
      </c>
      <c r="O2347"/>
      <c r="P2347">
        <v>0</v>
      </c>
      <c r="Q2347" t="s">
        <v>38</v>
      </c>
      <c r="R2347">
        <v>1</v>
      </c>
      <c r="S2347">
        <v>0</v>
      </c>
      <c r="T2347"/>
      <c r="U2347"/>
      <c r="V2347"/>
      <c r="W2347"/>
      <c r="X2347">
        <v>0</v>
      </c>
      <c r="Y2347"/>
      <c r="Z2347">
        <v>0</v>
      </c>
      <c r="AA2347"/>
      <c r="AB2347"/>
      <c r="AC2347"/>
      <c r="AD2347"/>
      <c r="AE2347">
        <v>0</v>
      </c>
      <c r="AF2347"/>
      <c r="AG2347"/>
      <c r="AH2347"/>
    </row>
    <row r="2348" spans="1:34" x14ac:dyDescent="0.25">
      <c r="A2348" t="s">
        <v>3406</v>
      </c>
      <c r="B2348" t="s">
        <v>3407</v>
      </c>
      <c r="C2348"/>
      <c r="D2348" t="s">
        <v>2649</v>
      </c>
      <c r="E2348" t="s">
        <v>3001</v>
      </c>
      <c r="F2348" t="s">
        <v>3022</v>
      </c>
      <c r="G2348" t="s">
        <v>280</v>
      </c>
      <c r="H2348" t="s">
        <v>3023</v>
      </c>
      <c r="I2348" t="s">
        <v>35</v>
      </c>
      <c r="J2348"/>
      <c r="K2348">
        <v>1</v>
      </c>
      <c r="L2348">
        <v>1</v>
      </c>
      <c r="M2348" t="s">
        <v>33</v>
      </c>
      <c r="N2348">
        <v>1</v>
      </c>
      <c r="O2348"/>
      <c r="P2348">
        <v>0</v>
      </c>
      <c r="Q2348" t="s">
        <v>38</v>
      </c>
      <c r="R2348">
        <v>1</v>
      </c>
      <c r="S2348">
        <v>0</v>
      </c>
      <c r="T2348"/>
      <c r="U2348"/>
      <c r="V2348"/>
      <c r="W2348"/>
      <c r="X2348">
        <v>0</v>
      </c>
      <c r="Y2348"/>
      <c r="Z2348">
        <v>0</v>
      </c>
      <c r="AA2348"/>
      <c r="AB2348"/>
      <c r="AC2348"/>
      <c r="AD2348"/>
      <c r="AE2348">
        <v>0</v>
      </c>
      <c r="AF2348"/>
      <c r="AG2348"/>
      <c r="AH2348"/>
    </row>
    <row r="2349" spans="1:34" x14ac:dyDescent="0.25">
      <c r="A2349" t="s">
        <v>3408</v>
      </c>
      <c r="B2349" t="s">
        <v>3409</v>
      </c>
      <c r="C2349"/>
      <c r="D2349" t="s">
        <v>2649</v>
      </c>
      <c r="E2349" t="s">
        <v>3001</v>
      </c>
      <c r="F2349" t="s">
        <v>3022</v>
      </c>
      <c r="G2349" t="s">
        <v>280</v>
      </c>
      <c r="H2349" t="s">
        <v>3023</v>
      </c>
      <c r="I2349" t="s">
        <v>35</v>
      </c>
      <c r="J2349"/>
      <c r="K2349">
        <v>1</v>
      </c>
      <c r="L2349">
        <v>1</v>
      </c>
      <c r="M2349" t="s">
        <v>33</v>
      </c>
      <c r="N2349">
        <v>1</v>
      </c>
      <c r="O2349"/>
      <c r="P2349">
        <v>0</v>
      </c>
      <c r="Q2349" t="s">
        <v>38</v>
      </c>
      <c r="R2349">
        <v>1</v>
      </c>
      <c r="S2349">
        <v>0</v>
      </c>
      <c r="T2349"/>
      <c r="U2349"/>
      <c r="V2349"/>
      <c r="W2349"/>
      <c r="X2349">
        <v>0</v>
      </c>
      <c r="Y2349"/>
      <c r="Z2349">
        <v>0</v>
      </c>
      <c r="AA2349"/>
      <c r="AB2349"/>
      <c r="AC2349"/>
      <c r="AD2349"/>
      <c r="AE2349">
        <v>0</v>
      </c>
      <c r="AF2349"/>
      <c r="AG2349"/>
      <c r="AH2349"/>
    </row>
    <row r="2350" spans="1:34" x14ac:dyDescent="0.25">
      <c r="A2350" t="s">
        <v>3406</v>
      </c>
      <c r="B2350" t="s">
        <v>3407</v>
      </c>
      <c r="C2350"/>
      <c r="D2350" t="s">
        <v>2649</v>
      </c>
      <c r="E2350" t="s">
        <v>3001</v>
      </c>
      <c r="F2350" t="s">
        <v>3024</v>
      </c>
      <c r="G2350" t="s">
        <v>280</v>
      </c>
      <c r="H2350" t="s">
        <v>3025</v>
      </c>
      <c r="I2350" t="s">
        <v>35</v>
      </c>
      <c r="J2350"/>
      <c r="K2350">
        <v>1</v>
      </c>
      <c r="L2350">
        <v>1</v>
      </c>
      <c r="M2350" t="s">
        <v>33</v>
      </c>
      <c r="N2350">
        <v>1</v>
      </c>
      <c r="O2350"/>
      <c r="P2350">
        <v>0</v>
      </c>
      <c r="Q2350" t="s">
        <v>38</v>
      </c>
      <c r="R2350">
        <v>1</v>
      </c>
      <c r="S2350">
        <v>0</v>
      </c>
      <c r="T2350"/>
      <c r="U2350"/>
      <c r="V2350"/>
      <c r="W2350"/>
      <c r="X2350">
        <v>0</v>
      </c>
      <c r="Y2350"/>
      <c r="Z2350">
        <v>0</v>
      </c>
      <c r="AA2350"/>
      <c r="AB2350"/>
      <c r="AC2350"/>
      <c r="AD2350"/>
      <c r="AE2350">
        <v>0</v>
      </c>
      <c r="AF2350"/>
      <c r="AG2350"/>
      <c r="AH2350"/>
    </row>
    <row r="2351" spans="1:34" x14ac:dyDescent="0.25">
      <c r="A2351" t="s">
        <v>3408</v>
      </c>
      <c r="B2351" t="s">
        <v>3409</v>
      </c>
      <c r="C2351"/>
      <c r="D2351" t="s">
        <v>2649</v>
      </c>
      <c r="E2351" t="s">
        <v>3001</v>
      </c>
      <c r="F2351" t="s">
        <v>3024</v>
      </c>
      <c r="G2351" t="s">
        <v>280</v>
      </c>
      <c r="H2351" t="s">
        <v>3025</v>
      </c>
      <c r="I2351" t="s">
        <v>35</v>
      </c>
      <c r="J2351"/>
      <c r="K2351">
        <v>1</v>
      </c>
      <c r="L2351">
        <v>1</v>
      </c>
      <c r="M2351" t="s">
        <v>33</v>
      </c>
      <c r="N2351">
        <v>1</v>
      </c>
      <c r="O2351"/>
      <c r="P2351">
        <v>0</v>
      </c>
      <c r="Q2351" t="s">
        <v>38</v>
      </c>
      <c r="R2351">
        <v>1</v>
      </c>
      <c r="S2351">
        <v>0</v>
      </c>
      <c r="T2351"/>
      <c r="U2351"/>
      <c r="V2351"/>
      <c r="W2351"/>
      <c r="X2351">
        <v>0</v>
      </c>
      <c r="Y2351"/>
      <c r="Z2351">
        <v>0</v>
      </c>
      <c r="AA2351"/>
      <c r="AB2351"/>
      <c r="AC2351"/>
      <c r="AD2351"/>
      <c r="AE2351">
        <v>0</v>
      </c>
      <c r="AF2351"/>
      <c r="AG2351"/>
      <c r="AH2351"/>
    </row>
    <row r="2352" spans="1:34" x14ac:dyDescent="0.25">
      <c r="A2352" t="s">
        <v>3406</v>
      </c>
      <c r="B2352" t="s">
        <v>3407</v>
      </c>
      <c r="C2352"/>
      <c r="D2352" t="s">
        <v>2649</v>
      </c>
      <c r="E2352" t="s">
        <v>3001</v>
      </c>
      <c r="F2352" t="s">
        <v>3026</v>
      </c>
      <c r="G2352" t="s">
        <v>280</v>
      </c>
      <c r="H2352" t="s">
        <v>3027</v>
      </c>
      <c r="I2352" t="s">
        <v>35</v>
      </c>
      <c r="J2352"/>
      <c r="K2352">
        <v>1</v>
      </c>
      <c r="L2352">
        <v>1</v>
      </c>
      <c r="M2352" t="s">
        <v>33</v>
      </c>
      <c r="N2352">
        <v>1</v>
      </c>
      <c r="O2352"/>
      <c r="P2352">
        <v>0</v>
      </c>
      <c r="Q2352" t="s">
        <v>38</v>
      </c>
      <c r="R2352">
        <v>1</v>
      </c>
      <c r="S2352">
        <v>0</v>
      </c>
      <c r="T2352"/>
      <c r="U2352"/>
      <c r="V2352"/>
      <c r="W2352"/>
      <c r="X2352">
        <v>0</v>
      </c>
      <c r="Y2352"/>
      <c r="Z2352">
        <v>0</v>
      </c>
      <c r="AA2352"/>
      <c r="AB2352"/>
      <c r="AC2352"/>
      <c r="AD2352"/>
      <c r="AE2352">
        <v>0</v>
      </c>
      <c r="AF2352"/>
      <c r="AG2352"/>
      <c r="AH2352"/>
    </row>
    <row r="2353" spans="1:34" x14ac:dyDescent="0.25">
      <c r="A2353" t="s">
        <v>3408</v>
      </c>
      <c r="B2353" t="s">
        <v>3409</v>
      </c>
      <c r="C2353"/>
      <c r="D2353" t="s">
        <v>2649</v>
      </c>
      <c r="E2353" t="s">
        <v>3001</v>
      </c>
      <c r="F2353" t="s">
        <v>3026</v>
      </c>
      <c r="G2353" t="s">
        <v>280</v>
      </c>
      <c r="H2353" t="s">
        <v>3027</v>
      </c>
      <c r="I2353" t="s">
        <v>35</v>
      </c>
      <c r="J2353"/>
      <c r="K2353">
        <v>1</v>
      </c>
      <c r="L2353">
        <v>1</v>
      </c>
      <c r="M2353" t="s">
        <v>33</v>
      </c>
      <c r="N2353">
        <v>1</v>
      </c>
      <c r="O2353"/>
      <c r="P2353">
        <v>0</v>
      </c>
      <c r="Q2353" t="s">
        <v>38</v>
      </c>
      <c r="R2353">
        <v>1</v>
      </c>
      <c r="S2353">
        <v>0</v>
      </c>
      <c r="T2353"/>
      <c r="U2353"/>
      <c r="V2353"/>
      <c r="W2353"/>
      <c r="X2353">
        <v>0</v>
      </c>
      <c r="Y2353"/>
      <c r="Z2353">
        <v>0</v>
      </c>
      <c r="AA2353"/>
      <c r="AB2353"/>
      <c r="AC2353"/>
      <c r="AD2353"/>
      <c r="AE2353">
        <v>0</v>
      </c>
      <c r="AF2353"/>
      <c r="AG2353"/>
      <c r="AH2353"/>
    </row>
    <row r="2354" spans="1:34" x14ac:dyDescent="0.25">
      <c r="A2354" t="s">
        <v>3406</v>
      </c>
      <c r="B2354" t="s">
        <v>3407</v>
      </c>
      <c r="C2354"/>
      <c r="D2354" t="s">
        <v>2649</v>
      </c>
      <c r="E2354" t="s">
        <v>3001</v>
      </c>
      <c r="F2354" t="s">
        <v>3028</v>
      </c>
      <c r="G2354" t="s">
        <v>280</v>
      </c>
      <c r="H2354" t="s">
        <v>3029</v>
      </c>
      <c r="I2354" t="s">
        <v>35</v>
      </c>
      <c r="J2354"/>
      <c r="K2354">
        <v>1</v>
      </c>
      <c r="L2354">
        <v>1</v>
      </c>
      <c r="M2354" t="s">
        <v>33</v>
      </c>
      <c r="N2354">
        <v>1</v>
      </c>
      <c r="O2354"/>
      <c r="P2354">
        <v>0</v>
      </c>
      <c r="Q2354" t="s">
        <v>38</v>
      </c>
      <c r="R2354">
        <v>1</v>
      </c>
      <c r="S2354">
        <v>0</v>
      </c>
      <c r="T2354"/>
      <c r="U2354"/>
      <c r="V2354"/>
      <c r="W2354"/>
      <c r="X2354">
        <v>0</v>
      </c>
      <c r="Y2354"/>
      <c r="Z2354">
        <v>0</v>
      </c>
      <c r="AA2354"/>
      <c r="AB2354"/>
      <c r="AC2354"/>
      <c r="AD2354"/>
      <c r="AE2354">
        <v>0</v>
      </c>
      <c r="AF2354"/>
      <c r="AG2354"/>
      <c r="AH2354"/>
    </row>
    <row r="2355" spans="1:34" x14ac:dyDescent="0.25">
      <c r="A2355" t="s">
        <v>3408</v>
      </c>
      <c r="B2355" t="s">
        <v>3409</v>
      </c>
      <c r="C2355"/>
      <c r="D2355" t="s">
        <v>2649</v>
      </c>
      <c r="E2355" t="s">
        <v>3001</v>
      </c>
      <c r="F2355" t="s">
        <v>3028</v>
      </c>
      <c r="G2355" t="s">
        <v>280</v>
      </c>
      <c r="H2355" t="s">
        <v>3029</v>
      </c>
      <c r="I2355" t="s">
        <v>35</v>
      </c>
      <c r="J2355"/>
      <c r="K2355">
        <v>1</v>
      </c>
      <c r="L2355">
        <v>1</v>
      </c>
      <c r="M2355" t="s">
        <v>33</v>
      </c>
      <c r="N2355">
        <v>1</v>
      </c>
      <c r="O2355"/>
      <c r="P2355">
        <v>0</v>
      </c>
      <c r="Q2355" t="s">
        <v>38</v>
      </c>
      <c r="R2355">
        <v>1</v>
      </c>
      <c r="S2355">
        <v>0</v>
      </c>
      <c r="T2355"/>
      <c r="U2355"/>
      <c r="V2355"/>
      <c r="W2355"/>
      <c r="X2355">
        <v>0</v>
      </c>
      <c r="Y2355"/>
      <c r="Z2355">
        <v>0</v>
      </c>
      <c r="AA2355"/>
      <c r="AB2355"/>
      <c r="AC2355"/>
      <c r="AD2355"/>
      <c r="AE2355">
        <v>0</v>
      </c>
      <c r="AF2355"/>
      <c r="AG2355"/>
      <c r="AH2355"/>
    </row>
    <row r="2356" spans="1:34" x14ac:dyDescent="0.25">
      <c r="A2356" t="s">
        <v>3406</v>
      </c>
      <c r="B2356" t="s">
        <v>3407</v>
      </c>
      <c r="C2356"/>
      <c r="D2356" t="s">
        <v>2649</v>
      </c>
      <c r="E2356" t="s">
        <v>3001</v>
      </c>
      <c r="F2356" t="s">
        <v>3030</v>
      </c>
      <c r="G2356" t="s">
        <v>280</v>
      </c>
      <c r="H2356" t="s">
        <v>3031</v>
      </c>
      <c r="I2356" t="s">
        <v>35</v>
      </c>
      <c r="J2356"/>
      <c r="K2356">
        <v>1</v>
      </c>
      <c r="L2356">
        <v>1</v>
      </c>
      <c r="M2356" t="s">
        <v>33</v>
      </c>
      <c r="N2356">
        <v>1</v>
      </c>
      <c r="O2356"/>
      <c r="P2356">
        <v>0</v>
      </c>
      <c r="Q2356" t="s">
        <v>38</v>
      </c>
      <c r="R2356">
        <v>1</v>
      </c>
      <c r="S2356">
        <v>0</v>
      </c>
      <c r="T2356"/>
      <c r="U2356"/>
      <c r="V2356"/>
      <c r="W2356"/>
      <c r="X2356">
        <v>0</v>
      </c>
      <c r="Y2356"/>
      <c r="Z2356">
        <v>0</v>
      </c>
      <c r="AA2356"/>
      <c r="AB2356"/>
      <c r="AC2356"/>
      <c r="AD2356"/>
      <c r="AE2356">
        <v>0</v>
      </c>
      <c r="AF2356"/>
      <c r="AG2356"/>
      <c r="AH2356"/>
    </row>
    <row r="2357" spans="1:34" x14ac:dyDescent="0.25">
      <c r="A2357" t="s">
        <v>3408</v>
      </c>
      <c r="B2357" t="s">
        <v>3409</v>
      </c>
      <c r="C2357"/>
      <c r="D2357" t="s">
        <v>2649</v>
      </c>
      <c r="E2357" t="s">
        <v>3001</v>
      </c>
      <c r="F2357" t="s">
        <v>3030</v>
      </c>
      <c r="G2357" t="s">
        <v>280</v>
      </c>
      <c r="H2357" t="s">
        <v>3031</v>
      </c>
      <c r="I2357" t="s">
        <v>35</v>
      </c>
      <c r="J2357"/>
      <c r="K2357">
        <v>1</v>
      </c>
      <c r="L2357">
        <v>1</v>
      </c>
      <c r="M2357" t="s">
        <v>33</v>
      </c>
      <c r="N2357">
        <v>1</v>
      </c>
      <c r="O2357"/>
      <c r="P2357">
        <v>0</v>
      </c>
      <c r="Q2357" t="s">
        <v>38</v>
      </c>
      <c r="R2357">
        <v>1</v>
      </c>
      <c r="S2357">
        <v>0</v>
      </c>
      <c r="T2357"/>
      <c r="U2357"/>
      <c r="V2357"/>
      <c r="W2357"/>
      <c r="X2357">
        <v>0</v>
      </c>
      <c r="Y2357"/>
      <c r="Z2357">
        <v>0</v>
      </c>
      <c r="AA2357"/>
      <c r="AB2357"/>
      <c r="AC2357"/>
      <c r="AD2357"/>
      <c r="AE2357">
        <v>0</v>
      </c>
      <c r="AF2357"/>
      <c r="AG2357"/>
      <c r="AH2357"/>
    </row>
    <row r="2358" spans="1:34" x14ac:dyDescent="0.25">
      <c r="A2358" t="s">
        <v>3406</v>
      </c>
      <c r="B2358" t="s">
        <v>3407</v>
      </c>
      <c r="C2358"/>
      <c r="D2358" t="s">
        <v>2649</v>
      </c>
      <c r="E2358" t="s">
        <v>3001</v>
      </c>
      <c r="F2358" t="s">
        <v>3032</v>
      </c>
      <c r="G2358" t="s">
        <v>280</v>
      </c>
      <c r="H2358" t="s">
        <v>3033</v>
      </c>
      <c r="I2358" t="s">
        <v>35</v>
      </c>
      <c r="J2358"/>
      <c r="K2358">
        <v>1</v>
      </c>
      <c r="L2358">
        <v>1</v>
      </c>
      <c r="M2358" t="s">
        <v>33</v>
      </c>
      <c r="N2358">
        <v>1</v>
      </c>
      <c r="O2358"/>
      <c r="P2358">
        <v>0</v>
      </c>
      <c r="Q2358" t="s">
        <v>38</v>
      </c>
      <c r="R2358">
        <v>1</v>
      </c>
      <c r="S2358">
        <v>0</v>
      </c>
      <c r="T2358"/>
      <c r="U2358"/>
      <c r="V2358"/>
      <c r="W2358"/>
      <c r="X2358">
        <v>0</v>
      </c>
      <c r="Y2358"/>
      <c r="Z2358">
        <v>0</v>
      </c>
      <c r="AA2358"/>
      <c r="AB2358"/>
      <c r="AC2358"/>
      <c r="AD2358"/>
      <c r="AE2358">
        <v>0</v>
      </c>
      <c r="AF2358"/>
      <c r="AG2358"/>
      <c r="AH2358"/>
    </row>
    <row r="2359" spans="1:34" x14ac:dyDescent="0.25">
      <c r="A2359" t="s">
        <v>3408</v>
      </c>
      <c r="B2359" t="s">
        <v>3409</v>
      </c>
      <c r="C2359"/>
      <c r="D2359" t="s">
        <v>2649</v>
      </c>
      <c r="E2359" t="s">
        <v>3001</v>
      </c>
      <c r="F2359" t="s">
        <v>3032</v>
      </c>
      <c r="G2359" t="s">
        <v>280</v>
      </c>
      <c r="H2359" t="s">
        <v>3033</v>
      </c>
      <c r="I2359" t="s">
        <v>35</v>
      </c>
      <c r="J2359"/>
      <c r="K2359">
        <v>1</v>
      </c>
      <c r="L2359">
        <v>1</v>
      </c>
      <c r="M2359" t="s">
        <v>33</v>
      </c>
      <c r="N2359">
        <v>1</v>
      </c>
      <c r="O2359"/>
      <c r="P2359">
        <v>0</v>
      </c>
      <c r="Q2359" t="s">
        <v>38</v>
      </c>
      <c r="R2359">
        <v>1</v>
      </c>
      <c r="S2359">
        <v>0</v>
      </c>
      <c r="T2359"/>
      <c r="U2359"/>
      <c r="V2359"/>
      <c r="W2359"/>
      <c r="X2359">
        <v>0</v>
      </c>
      <c r="Y2359"/>
      <c r="Z2359">
        <v>0</v>
      </c>
      <c r="AA2359"/>
      <c r="AB2359"/>
      <c r="AC2359"/>
      <c r="AD2359"/>
      <c r="AE2359">
        <v>0</v>
      </c>
      <c r="AF2359"/>
      <c r="AG2359"/>
      <c r="AH2359"/>
    </row>
    <row r="2360" spans="1:34" x14ac:dyDescent="0.25">
      <c r="A2360" t="s">
        <v>3406</v>
      </c>
      <c r="B2360" t="s">
        <v>3407</v>
      </c>
      <c r="C2360"/>
      <c r="D2360" t="s">
        <v>2649</v>
      </c>
      <c r="E2360" t="s">
        <v>3001</v>
      </c>
      <c r="F2360" t="s">
        <v>3034</v>
      </c>
      <c r="G2360" t="s">
        <v>280</v>
      </c>
      <c r="H2360" t="s">
        <v>3035</v>
      </c>
      <c r="I2360" t="s">
        <v>35</v>
      </c>
      <c r="J2360"/>
      <c r="K2360">
        <v>1</v>
      </c>
      <c r="L2360">
        <v>1</v>
      </c>
      <c r="M2360" t="s">
        <v>33</v>
      </c>
      <c r="N2360">
        <v>1</v>
      </c>
      <c r="O2360"/>
      <c r="P2360">
        <v>0</v>
      </c>
      <c r="Q2360" t="s">
        <v>38</v>
      </c>
      <c r="R2360">
        <v>1</v>
      </c>
      <c r="S2360">
        <v>0</v>
      </c>
      <c r="T2360"/>
      <c r="U2360"/>
      <c r="V2360"/>
      <c r="W2360"/>
      <c r="X2360">
        <v>0</v>
      </c>
      <c r="Y2360"/>
      <c r="Z2360">
        <v>0</v>
      </c>
      <c r="AA2360"/>
      <c r="AB2360"/>
      <c r="AC2360"/>
      <c r="AD2360"/>
      <c r="AE2360">
        <v>0</v>
      </c>
      <c r="AF2360"/>
      <c r="AG2360"/>
      <c r="AH2360"/>
    </row>
    <row r="2361" spans="1:34" x14ac:dyDescent="0.25">
      <c r="A2361" t="s">
        <v>3408</v>
      </c>
      <c r="B2361" t="s">
        <v>3409</v>
      </c>
      <c r="C2361"/>
      <c r="D2361" t="s">
        <v>2649</v>
      </c>
      <c r="E2361" t="s">
        <v>3001</v>
      </c>
      <c r="F2361" t="s">
        <v>3034</v>
      </c>
      <c r="G2361" t="s">
        <v>280</v>
      </c>
      <c r="H2361" t="s">
        <v>3035</v>
      </c>
      <c r="I2361" t="s">
        <v>35</v>
      </c>
      <c r="J2361"/>
      <c r="K2361">
        <v>1</v>
      </c>
      <c r="L2361">
        <v>1</v>
      </c>
      <c r="M2361" t="s">
        <v>33</v>
      </c>
      <c r="N2361">
        <v>1</v>
      </c>
      <c r="O2361"/>
      <c r="P2361">
        <v>0</v>
      </c>
      <c r="Q2361" t="s">
        <v>38</v>
      </c>
      <c r="R2361">
        <v>1</v>
      </c>
      <c r="S2361">
        <v>0</v>
      </c>
      <c r="T2361"/>
      <c r="U2361"/>
      <c r="V2361"/>
      <c r="W2361"/>
      <c r="X2361">
        <v>0</v>
      </c>
      <c r="Y2361"/>
      <c r="Z2361">
        <v>0</v>
      </c>
      <c r="AA2361"/>
      <c r="AB2361"/>
      <c r="AC2361"/>
      <c r="AD2361"/>
      <c r="AE2361">
        <v>0</v>
      </c>
      <c r="AF2361"/>
      <c r="AG2361"/>
      <c r="AH2361"/>
    </row>
    <row r="2362" spans="1:34" x14ac:dyDescent="0.25">
      <c r="A2362" t="s">
        <v>3406</v>
      </c>
      <c r="B2362" t="s">
        <v>3407</v>
      </c>
      <c r="C2362"/>
      <c r="D2362" t="s">
        <v>2649</v>
      </c>
      <c r="E2362" t="s">
        <v>3001</v>
      </c>
      <c r="F2362" t="s">
        <v>3036</v>
      </c>
      <c r="G2362" t="s">
        <v>280</v>
      </c>
      <c r="H2362" t="s">
        <v>3037</v>
      </c>
      <c r="I2362" t="s">
        <v>35</v>
      </c>
      <c r="J2362"/>
      <c r="K2362">
        <v>1</v>
      </c>
      <c r="L2362">
        <v>1</v>
      </c>
      <c r="M2362" t="s">
        <v>33</v>
      </c>
      <c r="N2362">
        <v>1</v>
      </c>
      <c r="O2362"/>
      <c r="P2362">
        <v>0</v>
      </c>
      <c r="Q2362" t="s">
        <v>38</v>
      </c>
      <c r="R2362">
        <v>1</v>
      </c>
      <c r="S2362">
        <v>0</v>
      </c>
      <c r="T2362"/>
      <c r="U2362"/>
      <c r="V2362"/>
      <c r="W2362"/>
      <c r="X2362">
        <v>0</v>
      </c>
      <c r="Y2362"/>
      <c r="Z2362">
        <v>0</v>
      </c>
      <c r="AA2362"/>
      <c r="AB2362"/>
      <c r="AC2362"/>
      <c r="AD2362"/>
      <c r="AE2362">
        <v>0</v>
      </c>
      <c r="AF2362"/>
      <c r="AG2362"/>
      <c r="AH2362"/>
    </row>
    <row r="2363" spans="1:34" x14ac:dyDescent="0.25">
      <c r="A2363" t="s">
        <v>3408</v>
      </c>
      <c r="B2363" t="s">
        <v>3409</v>
      </c>
      <c r="C2363"/>
      <c r="D2363" t="s">
        <v>2649</v>
      </c>
      <c r="E2363" t="s">
        <v>3001</v>
      </c>
      <c r="F2363" t="s">
        <v>3036</v>
      </c>
      <c r="G2363" t="s">
        <v>280</v>
      </c>
      <c r="H2363" t="s">
        <v>3037</v>
      </c>
      <c r="I2363" t="s">
        <v>35</v>
      </c>
      <c r="J2363"/>
      <c r="K2363">
        <v>1</v>
      </c>
      <c r="L2363">
        <v>1</v>
      </c>
      <c r="M2363" t="s">
        <v>33</v>
      </c>
      <c r="N2363">
        <v>1</v>
      </c>
      <c r="O2363"/>
      <c r="P2363">
        <v>0</v>
      </c>
      <c r="Q2363" t="s">
        <v>38</v>
      </c>
      <c r="R2363">
        <v>1</v>
      </c>
      <c r="S2363">
        <v>0</v>
      </c>
      <c r="T2363"/>
      <c r="U2363"/>
      <c r="V2363"/>
      <c r="W2363"/>
      <c r="X2363">
        <v>0</v>
      </c>
      <c r="Y2363"/>
      <c r="Z2363">
        <v>0</v>
      </c>
      <c r="AA2363"/>
      <c r="AB2363"/>
      <c r="AC2363"/>
      <c r="AD2363"/>
      <c r="AE2363">
        <v>0</v>
      </c>
      <c r="AF2363"/>
      <c r="AG2363"/>
      <c r="AH2363"/>
    </row>
    <row r="2364" spans="1:34" x14ac:dyDescent="0.25">
      <c r="A2364" t="s">
        <v>3406</v>
      </c>
      <c r="B2364" t="s">
        <v>3407</v>
      </c>
      <c r="C2364"/>
      <c r="D2364" t="s">
        <v>2649</v>
      </c>
      <c r="E2364" t="s">
        <v>3001</v>
      </c>
      <c r="F2364" t="s">
        <v>3038</v>
      </c>
      <c r="G2364" t="s">
        <v>280</v>
      </c>
      <c r="H2364" t="s">
        <v>3039</v>
      </c>
      <c r="I2364" t="s">
        <v>35</v>
      </c>
      <c r="J2364"/>
      <c r="K2364">
        <v>1</v>
      </c>
      <c r="L2364">
        <v>1</v>
      </c>
      <c r="M2364" t="s">
        <v>33</v>
      </c>
      <c r="N2364">
        <v>1</v>
      </c>
      <c r="O2364"/>
      <c r="P2364">
        <v>0</v>
      </c>
      <c r="Q2364" t="s">
        <v>38</v>
      </c>
      <c r="R2364">
        <v>1</v>
      </c>
      <c r="S2364">
        <v>0</v>
      </c>
      <c r="T2364"/>
      <c r="U2364"/>
      <c r="V2364"/>
      <c r="W2364"/>
      <c r="X2364">
        <v>0</v>
      </c>
      <c r="Y2364"/>
      <c r="Z2364">
        <v>0</v>
      </c>
      <c r="AA2364"/>
      <c r="AB2364"/>
      <c r="AC2364"/>
      <c r="AD2364"/>
      <c r="AE2364">
        <v>0</v>
      </c>
      <c r="AF2364"/>
      <c r="AG2364"/>
      <c r="AH2364"/>
    </row>
    <row r="2365" spans="1:34" x14ac:dyDescent="0.25">
      <c r="A2365" t="s">
        <v>3408</v>
      </c>
      <c r="B2365" t="s">
        <v>3409</v>
      </c>
      <c r="C2365"/>
      <c r="D2365" t="s">
        <v>2649</v>
      </c>
      <c r="E2365" t="s">
        <v>3001</v>
      </c>
      <c r="F2365" t="s">
        <v>3038</v>
      </c>
      <c r="G2365" t="s">
        <v>280</v>
      </c>
      <c r="H2365" t="s">
        <v>3039</v>
      </c>
      <c r="I2365" t="s">
        <v>35</v>
      </c>
      <c r="J2365"/>
      <c r="K2365">
        <v>1</v>
      </c>
      <c r="L2365">
        <v>1</v>
      </c>
      <c r="M2365" t="s">
        <v>33</v>
      </c>
      <c r="N2365">
        <v>1</v>
      </c>
      <c r="O2365"/>
      <c r="P2365">
        <v>0</v>
      </c>
      <c r="Q2365" t="s">
        <v>38</v>
      </c>
      <c r="R2365">
        <v>1</v>
      </c>
      <c r="S2365">
        <v>0</v>
      </c>
      <c r="T2365"/>
      <c r="U2365"/>
      <c r="V2365"/>
      <c r="W2365"/>
      <c r="X2365">
        <v>0</v>
      </c>
      <c r="Y2365"/>
      <c r="Z2365">
        <v>0</v>
      </c>
      <c r="AA2365"/>
      <c r="AB2365"/>
      <c r="AC2365"/>
      <c r="AD2365"/>
      <c r="AE2365">
        <v>0</v>
      </c>
      <c r="AF2365"/>
      <c r="AG2365"/>
      <c r="AH2365"/>
    </row>
    <row r="2366" spans="1:34" x14ac:dyDescent="0.25">
      <c r="A2366" t="s">
        <v>3406</v>
      </c>
      <c r="B2366" t="s">
        <v>3407</v>
      </c>
      <c r="C2366"/>
      <c r="D2366" t="s">
        <v>2649</v>
      </c>
      <c r="E2366" t="s">
        <v>3001</v>
      </c>
      <c r="F2366" t="s">
        <v>3040</v>
      </c>
      <c r="G2366" t="s">
        <v>280</v>
      </c>
      <c r="H2366" t="s">
        <v>3041</v>
      </c>
      <c r="I2366" t="s">
        <v>35</v>
      </c>
      <c r="J2366"/>
      <c r="K2366">
        <v>1</v>
      </c>
      <c r="L2366">
        <v>1</v>
      </c>
      <c r="M2366" t="s">
        <v>33</v>
      </c>
      <c r="N2366">
        <v>1</v>
      </c>
      <c r="O2366"/>
      <c r="P2366">
        <v>0</v>
      </c>
      <c r="Q2366" t="s">
        <v>38</v>
      </c>
      <c r="R2366">
        <v>1</v>
      </c>
      <c r="S2366">
        <v>0</v>
      </c>
      <c r="T2366"/>
      <c r="U2366"/>
      <c r="V2366"/>
      <c r="W2366"/>
      <c r="X2366">
        <v>0</v>
      </c>
      <c r="Y2366"/>
      <c r="Z2366">
        <v>0</v>
      </c>
      <c r="AA2366"/>
      <c r="AB2366"/>
      <c r="AC2366"/>
      <c r="AD2366"/>
      <c r="AE2366">
        <v>0</v>
      </c>
      <c r="AF2366"/>
      <c r="AG2366"/>
      <c r="AH2366"/>
    </row>
    <row r="2367" spans="1:34" x14ac:dyDescent="0.25">
      <c r="A2367" t="s">
        <v>3408</v>
      </c>
      <c r="B2367" t="s">
        <v>3409</v>
      </c>
      <c r="C2367"/>
      <c r="D2367" t="s">
        <v>2649</v>
      </c>
      <c r="E2367" t="s">
        <v>3001</v>
      </c>
      <c r="F2367" t="s">
        <v>3040</v>
      </c>
      <c r="G2367" t="s">
        <v>280</v>
      </c>
      <c r="H2367" t="s">
        <v>3041</v>
      </c>
      <c r="I2367" t="s">
        <v>35</v>
      </c>
      <c r="J2367"/>
      <c r="K2367">
        <v>1</v>
      </c>
      <c r="L2367">
        <v>1</v>
      </c>
      <c r="M2367" t="s">
        <v>33</v>
      </c>
      <c r="N2367">
        <v>1</v>
      </c>
      <c r="O2367"/>
      <c r="P2367">
        <v>0</v>
      </c>
      <c r="Q2367" t="s">
        <v>38</v>
      </c>
      <c r="R2367">
        <v>1</v>
      </c>
      <c r="S2367">
        <v>0</v>
      </c>
      <c r="T2367"/>
      <c r="U2367"/>
      <c r="V2367"/>
      <c r="W2367"/>
      <c r="X2367">
        <v>0</v>
      </c>
      <c r="Y2367"/>
      <c r="Z2367">
        <v>0</v>
      </c>
      <c r="AA2367"/>
      <c r="AB2367"/>
      <c r="AC2367"/>
      <c r="AD2367"/>
      <c r="AE2367">
        <v>0</v>
      </c>
      <c r="AF2367"/>
      <c r="AG2367"/>
      <c r="AH2367"/>
    </row>
    <row r="2368" spans="1:34" x14ac:dyDescent="0.25">
      <c r="A2368" t="s">
        <v>3406</v>
      </c>
      <c r="B2368" t="s">
        <v>3407</v>
      </c>
      <c r="C2368"/>
      <c r="D2368" t="s">
        <v>2649</v>
      </c>
      <c r="E2368" t="s">
        <v>3001</v>
      </c>
      <c r="F2368" t="s">
        <v>3042</v>
      </c>
      <c r="G2368" t="s">
        <v>280</v>
      </c>
      <c r="H2368" t="s">
        <v>3043</v>
      </c>
      <c r="I2368" t="s">
        <v>35</v>
      </c>
      <c r="J2368"/>
      <c r="K2368">
        <v>1</v>
      </c>
      <c r="L2368">
        <v>1</v>
      </c>
      <c r="M2368" t="s">
        <v>33</v>
      </c>
      <c r="N2368">
        <v>1</v>
      </c>
      <c r="O2368"/>
      <c r="P2368">
        <v>0</v>
      </c>
      <c r="Q2368" t="s">
        <v>38</v>
      </c>
      <c r="R2368">
        <v>1</v>
      </c>
      <c r="S2368">
        <v>0</v>
      </c>
      <c r="T2368"/>
      <c r="U2368"/>
      <c r="V2368"/>
      <c r="W2368"/>
      <c r="X2368">
        <v>0</v>
      </c>
      <c r="Y2368"/>
      <c r="Z2368">
        <v>0</v>
      </c>
      <c r="AA2368"/>
      <c r="AB2368"/>
      <c r="AC2368"/>
      <c r="AD2368"/>
      <c r="AE2368">
        <v>0</v>
      </c>
      <c r="AF2368"/>
      <c r="AG2368"/>
      <c r="AH2368"/>
    </row>
    <row r="2369" spans="1:34" x14ac:dyDescent="0.25">
      <c r="A2369" t="s">
        <v>3408</v>
      </c>
      <c r="B2369" t="s">
        <v>3409</v>
      </c>
      <c r="C2369"/>
      <c r="D2369" t="s">
        <v>2649</v>
      </c>
      <c r="E2369" t="s">
        <v>3001</v>
      </c>
      <c r="F2369" t="s">
        <v>3042</v>
      </c>
      <c r="G2369" t="s">
        <v>280</v>
      </c>
      <c r="H2369" t="s">
        <v>3043</v>
      </c>
      <c r="I2369" t="s">
        <v>35</v>
      </c>
      <c r="J2369"/>
      <c r="K2369">
        <v>1</v>
      </c>
      <c r="L2369">
        <v>1</v>
      </c>
      <c r="M2369" t="s">
        <v>33</v>
      </c>
      <c r="N2369">
        <v>1</v>
      </c>
      <c r="O2369"/>
      <c r="P2369">
        <v>0</v>
      </c>
      <c r="Q2369" t="s">
        <v>38</v>
      </c>
      <c r="R2369">
        <v>1</v>
      </c>
      <c r="S2369">
        <v>0</v>
      </c>
      <c r="T2369"/>
      <c r="U2369"/>
      <c r="V2369"/>
      <c r="W2369"/>
      <c r="X2369">
        <v>0</v>
      </c>
      <c r="Y2369"/>
      <c r="Z2369">
        <v>0</v>
      </c>
      <c r="AA2369"/>
      <c r="AB2369"/>
      <c r="AC2369"/>
      <c r="AD2369"/>
      <c r="AE2369">
        <v>0</v>
      </c>
      <c r="AF2369"/>
      <c r="AG2369"/>
      <c r="AH2369"/>
    </row>
    <row r="2370" spans="1:34" x14ac:dyDescent="0.25">
      <c r="A2370" t="s">
        <v>3406</v>
      </c>
      <c r="B2370" t="s">
        <v>3407</v>
      </c>
      <c r="C2370"/>
      <c r="D2370" t="s">
        <v>2649</v>
      </c>
      <c r="E2370" t="s">
        <v>3001</v>
      </c>
      <c r="F2370" t="s">
        <v>3044</v>
      </c>
      <c r="G2370" t="s">
        <v>280</v>
      </c>
      <c r="H2370" t="s">
        <v>3045</v>
      </c>
      <c r="I2370" t="s">
        <v>35</v>
      </c>
      <c r="J2370"/>
      <c r="K2370">
        <v>1</v>
      </c>
      <c r="L2370">
        <v>1</v>
      </c>
      <c r="M2370" t="s">
        <v>33</v>
      </c>
      <c r="N2370">
        <v>1</v>
      </c>
      <c r="O2370"/>
      <c r="P2370">
        <v>0</v>
      </c>
      <c r="Q2370" t="s">
        <v>38</v>
      </c>
      <c r="R2370">
        <v>1</v>
      </c>
      <c r="S2370">
        <v>0</v>
      </c>
      <c r="T2370"/>
      <c r="U2370"/>
      <c r="V2370"/>
      <c r="W2370"/>
      <c r="X2370">
        <v>0</v>
      </c>
      <c r="Y2370"/>
      <c r="Z2370">
        <v>0</v>
      </c>
      <c r="AA2370"/>
      <c r="AB2370"/>
      <c r="AC2370"/>
      <c r="AD2370"/>
      <c r="AE2370">
        <v>0</v>
      </c>
      <c r="AF2370"/>
      <c r="AG2370"/>
      <c r="AH2370"/>
    </row>
    <row r="2371" spans="1:34" x14ac:dyDescent="0.25">
      <c r="A2371" t="s">
        <v>3408</v>
      </c>
      <c r="B2371" t="s">
        <v>3409</v>
      </c>
      <c r="C2371"/>
      <c r="D2371" t="s">
        <v>2649</v>
      </c>
      <c r="E2371" t="s">
        <v>3001</v>
      </c>
      <c r="F2371" t="s">
        <v>3044</v>
      </c>
      <c r="G2371" t="s">
        <v>280</v>
      </c>
      <c r="H2371" t="s">
        <v>3045</v>
      </c>
      <c r="I2371" t="s">
        <v>35</v>
      </c>
      <c r="J2371"/>
      <c r="K2371">
        <v>1</v>
      </c>
      <c r="L2371">
        <v>1</v>
      </c>
      <c r="M2371" t="s">
        <v>33</v>
      </c>
      <c r="N2371">
        <v>1</v>
      </c>
      <c r="O2371"/>
      <c r="P2371">
        <v>0</v>
      </c>
      <c r="Q2371" t="s">
        <v>38</v>
      </c>
      <c r="R2371">
        <v>1</v>
      </c>
      <c r="S2371">
        <v>0</v>
      </c>
      <c r="T2371"/>
      <c r="U2371"/>
      <c r="V2371"/>
      <c r="W2371"/>
      <c r="X2371">
        <v>0</v>
      </c>
      <c r="Y2371"/>
      <c r="Z2371">
        <v>0</v>
      </c>
      <c r="AA2371"/>
      <c r="AB2371"/>
      <c r="AC2371"/>
      <c r="AD2371"/>
      <c r="AE2371">
        <v>0</v>
      </c>
      <c r="AF2371"/>
      <c r="AG2371"/>
      <c r="AH2371"/>
    </row>
    <row r="2372" spans="1:34" x14ac:dyDescent="0.25">
      <c r="A2372" t="s">
        <v>3406</v>
      </c>
      <c r="B2372" t="s">
        <v>3407</v>
      </c>
      <c r="C2372"/>
      <c r="D2372" t="s">
        <v>2649</v>
      </c>
      <c r="E2372" t="s">
        <v>3001</v>
      </c>
      <c r="F2372" t="s">
        <v>3046</v>
      </c>
      <c r="G2372" t="s">
        <v>280</v>
      </c>
      <c r="H2372" t="s">
        <v>3047</v>
      </c>
      <c r="I2372" t="s">
        <v>35</v>
      </c>
      <c r="J2372"/>
      <c r="K2372">
        <v>1</v>
      </c>
      <c r="L2372">
        <v>1</v>
      </c>
      <c r="M2372" t="s">
        <v>33</v>
      </c>
      <c r="N2372">
        <v>1</v>
      </c>
      <c r="O2372"/>
      <c r="P2372">
        <v>0</v>
      </c>
      <c r="Q2372" t="s">
        <v>38</v>
      </c>
      <c r="R2372">
        <v>1</v>
      </c>
      <c r="S2372">
        <v>0</v>
      </c>
      <c r="T2372"/>
      <c r="U2372"/>
      <c r="V2372"/>
      <c r="W2372"/>
      <c r="X2372">
        <v>0</v>
      </c>
      <c r="Y2372"/>
      <c r="Z2372">
        <v>0</v>
      </c>
      <c r="AA2372"/>
      <c r="AB2372"/>
      <c r="AC2372"/>
      <c r="AD2372"/>
      <c r="AE2372">
        <v>0</v>
      </c>
      <c r="AF2372"/>
      <c r="AG2372"/>
      <c r="AH2372"/>
    </row>
    <row r="2373" spans="1:34" x14ac:dyDescent="0.25">
      <c r="A2373" t="s">
        <v>3408</v>
      </c>
      <c r="B2373" t="s">
        <v>3409</v>
      </c>
      <c r="C2373"/>
      <c r="D2373" t="s">
        <v>2649</v>
      </c>
      <c r="E2373" t="s">
        <v>3001</v>
      </c>
      <c r="F2373" t="s">
        <v>3046</v>
      </c>
      <c r="G2373" t="s">
        <v>280</v>
      </c>
      <c r="H2373" t="s">
        <v>3047</v>
      </c>
      <c r="I2373" t="s">
        <v>35</v>
      </c>
      <c r="J2373"/>
      <c r="K2373">
        <v>1</v>
      </c>
      <c r="L2373">
        <v>1</v>
      </c>
      <c r="M2373" t="s">
        <v>33</v>
      </c>
      <c r="N2373">
        <v>1</v>
      </c>
      <c r="O2373"/>
      <c r="P2373">
        <v>0</v>
      </c>
      <c r="Q2373" t="s">
        <v>38</v>
      </c>
      <c r="R2373">
        <v>1</v>
      </c>
      <c r="S2373">
        <v>0</v>
      </c>
      <c r="T2373"/>
      <c r="U2373"/>
      <c r="V2373"/>
      <c r="W2373"/>
      <c r="X2373">
        <v>0</v>
      </c>
      <c r="Y2373"/>
      <c r="Z2373">
        <v>0</v>
      </c>
      <c r="AA2373"/>
      <c r="AB2373"/>
      <c r="AC2373"/>
      <c r="AD2373"/>
      <c r="AE2373">
        <v>0</v>
      </c>
      <c r="AF2373"/>
      <c r="AG2373"/>
      <c r="AH2373"/>
    </row>
    <row r="2374" spans="1:34" x14ac:dyDescent="0.25">
      <c r="A2374" t="s">
        <v>3406</v>
      </c>
      <c r="B2374" t="s">
        <v>3407</v>
      </c>
      <c r="C2374"/>
      <c r="D2374" t="s">
        <v>2649</v>
      </c>
      <c r="E2374" t="s">
        <v>3001</v>
      </c>
      <c r="F2374" t="s">
        <v>3048</v>
      </c>
      <c r="G2374" t="s">
        <v>280</v>
      </c>
      <c r="H2374" t="s">
        <v>3049</v>
      </c>
      <c r="I2374" t="s">
        <v>35</v>
      </c>
      <c r="J2374"/>
      <c r="K2374">
        <v>1</v>
      </c>
      <c r="L2374">
        <v>1</v>
      </c>
      <c r="M2374" t="s">
        <v>33</v>
      </c>
      <c r="N2374">
        <v>1</v>
      </c>
      <c r="O2374"/>
      <c r="P2374">
        <v>0</v>
      </c>
      <c r="Q2374" t="s">
        <v>38</v>
      </c>
      <c r="R2374">
        <v>1</v>
      </c>
      <c r="S2374">
        <v>0</v>
      </c>
      <c r="T2374"/>
      <c r="U2374"/>
      <c r="V2374"/>
      <c r="W2374"/>
      <c r="X2374">
        <v>0</v>
      </c>
      <c r="Y2374"/>
      <c r="Z2374">
        <v>0</v>
      </c>
      <c r="AA2374"/>
      <c r="AB2374"/>
      <c r="AC2374"/>
      <c r="AD2374"/>
      <c r="AE2374">
        <v>0</v>
      </c>
      <c r="AF2374"/>
      <c r="AG2374"/>
      <c r="AH2374"/>
    </row>
    <row r="2375" spans="1:34" x14ac:dyDescent="0.25">
      <c r="A2375" t="s">
        <v>3408</v>
      </c>
      <c r="B2375" t="s">
        <v>3409</v>
      </c>
      <c r="C2375"/>
      <c r="D2375" t="s">
        <v>2649</v>
      </c>
      <c r="E2375" t="s">
        <v>3001</v>
      </c>
      <c r="F2375" t="s">
        <v>3048</v>
      </c>
      <c r="G2375" t="s">
        <v>280</v>
      </c>
      <c r="H2375" t="s">
        <v>3049</v>
      </c>
      <c r="I2375" t="s">
        <v>35</v>
      </c>
      <c r="J2375"/>
      <c r="K2375">
        <v>1</v>
      </c>
      <c r="L2375">
        <v>1</v>
      </c>
      <c r="M2375" t="s">
        <v>33</v>
      </c>
      <c r="N2375">
        <v>1</v>
      </c>
      <c r="O2375"/>
      <c r="P2375">
        <v>0</v>
      </c>
      <c r="Q2375" t="s">
        <v>38</v>
      </c>
      <c r="R2375">
        <v>1</v>
      </c>
      <c r="S2375">
        <v>0</v>
      </c>
      <c r="T2375"/>
      <c r="U2375"/>
      <c r="V2375"/>
      <c r="W2375"/>
      <c r="X2375">
        <v>0</v>
      </c>
      <c r="Y2375"/>
      <c r="Z2375">
        <v>0</v>
      </c>
      <c r="AA2375"/>
      <c r="AB2375"/>
      <c r="AC2375"/>
      <c r="AD2375"/>
      <c r="AE2375">
        <v>0</v>
      </c>
      <c r="AF2375"/>
      <c r="AG2375"/>
      <c r="AH2375"/>
    </row>
    <row r="2376" spans="1:34" x14ac:dyDescent="0.25">
      <c r="A2376" t="s">
        <v>3406</v>
      </c>
      <c r="B2376" t="s">
        <v>3407</v>
      </c>
      <c r="C2376"/>
      <c r="D2376" t="s">
        <v>2649</v>
      </c>
      <c r="E2376" t="s">
        <v>3001</v>
      </c>
      <c r="F2376" t="s">
        <v>3050</v>
      </c>
      <c r="G2376" t="s">
        <v>280</v>
      </c>
      <c r="H2376" t="s">
        <v>3051</v>
      </c>
      <c r="I2376" t="s">
        <v>35</v>
      </c>
      <c r="J2376"/>
      <c r="K2376">
        <v>1</v>
      </c>
      <c r="L2376">
        <v>1</v>
      </c>
      <c r="M2376" t="s">
        <v>33</v>
      </c>
      <c r="N2376">
        <v>1</v>
      </c>
      <c r="O2376"/>
      <c r="P2376">
        <v>0</v>
      </c>
      <c r="Q2376" t="s">
        <v>38</v>
      </c>
      <c r="R2376">
        <v>1</v>
      </c>
      <c r="S2376">
        <v>0</v>
      </c>
      <c r="T2376"/>
      <c r="U2376"/>
      <c r="V2376"/>
      <c r="W2376"/>
      <c r="X2376">
        <v>0</v>
      </c>
      <c r="Y2376"/>
      <c r="Z2376">
        <v>0</v>
      </c>
      <c r="AA2376"/>
      <c r="AB2376"/>
      <c r="AC2376"/>
      <c r="AD2376"/>
      <c r="AE2376">
        <v>0</v>
      </c>
      <c r="AF2376"/>
      <c r="AG2376"/>
      <c r="AH2376"/>
    </row>
    <row r="2377" spans="1:34" x14ac:dyDescent="0.25">
      <c r="A2377" t="s">
        <v>3408</v>
      </c>
      <c r="B2377" t="s">
        <v>3409</v>
      </c>
      <c r="C2377"/>
      <c r="D2377" t="s">
        <v>2649</v>
      </c>
      <c r="E2377" t="s">
        <v>3001</v>
      </c>
      <c r="F2377" t="s">
        <v>3050</v>
      </c>
      <c r="G2377" t="s">
        <v>280</v>
      </c>
      <c r="H2377" t="s">
        <v>3051</v>
      </c>
      <c r="I2377" t="s">
        <v>35</v>
      </c>
      <c r="J2377"/>
      <c r="K2377">
        <v>1</v>
      </c>
      <c r="L2377">
        <v>1</v>
      </c>
      <c r="M2377" t="s">
        <v>33</v>
      </c>
      <c r="N2377">
        <v>1</v>
      </c>
      <c r="O2377"/>
      <c r="P2377">
        <v>0</v>
      </c>
      <c r="Q2377" t="s">
        <v>38</v>
      </c>
      <c r="R2377">
        <v>1</v>
      </c>
      <c r="S2377">
        <v>0</v>
      </c>
      <c r="T2377"/>
      <c r="U2377"/>
      <c r="V2377"/>
      <c r="W2377"/>
      <c r="X2377">
        <v>0</v>
      </c>
      <c r="Y2377"/>
      <c r="Z2377">
        <v>0</v>
      </c>
      <c r="AA2377"/>
      <c r="AB2377"/>
      <c r="AC2377"/>
      <c r="AD2377"/>
      <c r="AE2377">
        <v>0</v>
      </c>
      <c r="AF2377"/>
      <c r="AG2377"/>
      <c r="AH2377"/>
    </row>
    <row r="2378" spans="1:34" x14ac:dyDescent="0.25">
      <c r="A2378" t="s">
        <v>3406</v>
      </c>
      <c r="B2378" t="s">
        <v>3407</v>
      </c>
      <c r="C2378"/>
      <c r="D2378" t="s">
        <v>2649</v>
      </c>
      <c r="E2378" t="s">
        <v>3001</v>
      </c>
      <c r="F2378" t="s">
        <v>3052</v>
      </c>
      <c r="G2378" t="s">
        <v>280</v>
      </c>
      <c r="H2378" t="s">
        <v>3053</v>
      </c>
      <c r="I2378" t="s">
        <v>35</v>
      </c>
      <c r="J2378"/>
      <c r="K2378">
        <v>1</v>
      </c>
      <c r="L2378">
        <v>1</v>
      </c>
      <c r="M2378" t="s">
        <v>33</v>
      </c>
      <c r="N2378">
        <v>1</v>
      </c>
      <c r="O2378"/>
      <c r="P2378">
        <v>0</v>
      </c>
      <c r="Q2378" t="s">
        <v>38</v>
      </c>
      <c r="R2378">
        <v>1</v>
      </c>
      <c r="S2378">
        <v>0</v>
      </c>
      <c r="T2378"/>
      <c r="U2378"/>
      <c r="V2378"/>
      <c r="W2378"/>
      <c r="X2378">
        <v>0</v>
      </c>
      <c r="Y2378"/>
      <c r="Z2378">
        <v>0</v>
      </c>
      <c r="AA2378"/>
      <c r="AB2378"/>
      <c r="AC2378"/>
      <c r="AD2378"/>
      <c r="AE2378">
        <v>0</v>
      </c>
      <c r="AF2378"/>
      <c r="AG2378"/>
      <c r="AH2378"/>
    </row>
    <row r="2379" spans="1:34" x14ac:dyDescent="0.25">
      <c r="A2379" t="s">
        <v>3408</v>
      </c>
      <c r="B2379" t="s">
        <v>3409</v>
      </c>
      <c r="C2379"/>
      <c r="D2379" t="s">
        <v>2649</v>
      </c>
      <c r="E2379" t="s">
        <v>3001</v>
      </c>
      <c r="F2379" t="s">
        <v>3052</v>
      </c>
      <c r="G2379" t="s">
        <v>280</v>
      </c>
      <c r="H2379" t="s">
        <v>3053</v>
      </c>
      <c r="I2379" t="s">
        <v>35</v>
      </c>
      <c r="J2379"/>
      <c r="K2379">
        <v>1</v>
      </c>
      <c r="L2379">
        <v>1</v>
      </c>
      <c r="M2379" t="s">
        <v>33</v>
      </c>
      <c r="N2379">
        <v>1</v>
      </c>
      <c r="O2379"/>
      <c r="P2379">
        <v>0</v>
      </c>
      <c r="Q2379" t="s">
        <v>38</v>
      </c>
      <c r="R2379">
        <v>1</v>
      </c>
      <c r="S2379">
        <v>0</v>
      </c>
      <c r="T2379"/>
      <c r="U2379"/>
      <c r="V2379"/>
      <c r="W2379"/>
      <c r="X2379">
        <v>0</v>
      </c>
      <c r="Y2379"/>
      <c r="Z2379">
        <v>0</v>
      </c>
      <c r="AA2379"/>
      <c r="AB2379"/>
      <c r="AC2379"/>
      <c r="AD2379"/>
      <c r="AE2379">
        <v>0</v>
      </c>
      <c r="AF2379"/>
      <c r="AG2379"/>
      <c r="AH2379"/>
    </row>
    <row r="2380" spans="1:34" x14ac:dyDescent="0.25">
      <c r="A2380" t="s">
        <v>3406</v>
      </c>
      <c r="B2380" t="s">
        <v>3407</v>
      </c>
      <c r="C2380"/>
      <c r="D2380" t="s">
        <v>2649</v>
      </c>
      <c r="E2380" t="s">
        <v>3001</v>
      </c>
      <c r="F2380" t="s">
        <v>3054</v>
      </c>
      <c r="G2380" t="s">
        <v>280</v>
      </c>
      <c r="H2380" t="s">
        <v>3055</v>
      </c>
      <c r="I2380" t="s">
        <v>35</v>
      </c>
      <c r="J2380"/>
      <c r="K2380">
        <v>1</v>
      </c>
      <c r="L2380">
        <v>1</v>
      </c>
      <c r="M2380" t="s">
        <v>33</v>
      </c>
      <c r="N2380">
        <v>1</v>
      </c>
      <c r="O2380"/>
      <c r="P2380">
        <v>0</v>
      </c>
      <c r="Q2380" t="s">
        <v>38</v>
      </c>
      <c r="R2380">
        <v>1</v>
      </c>
      <c r="S2380">
        <v>0</v>
      </c>
      <c r="T2380"/>
      <c r="U2380"/>
      <c r="V2380"/>
      <c r="W2380"/>
      <c r="X2380">
        <v>0</v>
      </c>
      <c r="Y2380"/>
      <c r="Z2380">
        <v>0</v>
      </c>
      <c r="AA2380"/>
      <c r="AB2380"/>
      <c r="AC2380"/>
      <c r="AD2380"/>
      <c r="AE2380">
        <v>0</v>
      </c>
      <c r="AF2380"/>
      <c r="AG2380"/>
      <c r="AH2380"/>
    </row>
    <row r="2381" spans="1:34" x14ac:dyDescent="0.25">
      <c r="A2381" t="s">
        <v>3408</v>
      </c>
      <c r="B2381" t="s">
        <v>3409</v>
      </c>
      <c r="C2381"/>
      <c r="D2381" t="s">
        <v>2649</v>
      </c>
      <c r="E2381" t="s">
        <v>3001</v>
      </c>
      <c r="F2381" t="s">
        <v>3054</v>
      </c>
      <c r="G2381" t="s">
        <v>280</v>
      </c>
      <c r="H2381" t="s">
        <v>3055</v>
      </c>
      <c r="I2381" t="s">
        <v>35</v>
      </c>
      <c r="J2381"/>
      <c r="K2381">
        <v>1</v>
      </c>
      <c r="L2381">
        <v>1</v>
      </c>
      <c r="M2381" t="s">
        <v>33</v>
      </c>
      <c r="N2381">
        <v>1</v>
      </c>
      <c r="O2381"/>
      <c r="P2381">
        <v>0</v>
      </c>
      <c r="Q2381" t="s">
        <v>38</v>
      </c>
      <c r="R2381">
        <v>1</v>
      </c>
      <c r="S2381">
        <v>0</v>
      </c>
      <c r="T2381"/>
      <c r="U2381"/>
      <c r="V2381"/>
      <c r="W2381"/>
      <c r="X2381">
        <v>0</v>
      </c>
      <c r="Y2381"/>
      <c r="Z2381">
        <v>0</v>
      </c>
      <c r="AA2381"/>
      <c r="AB2381"/>
      <c r="AC2381"/>
      <c r="AD2381"/>
      <c r="AE2381">
        <v>0</v>
      </c>
      <c r="AF2381"/>
      <c r="AG2381"/>
      <c r="AH2381"/>
    </row>
    <row r="2382" spans="1:34" x14ac:dyDescent="0.25">
      <c r="A2382" t="s">
        <v>3406</v>
      </c>
      <c r="B2382" t="s">
        <v>3407</v>
      </c>
      <c r="C2382"/>
      <c r="D2382" t="s">
        <v>2649</v>
      </c>
      <c r="E2382" t="s">
        <v>3001</v>
      </c>
      <c r="F2382" t="s">
        <v>3056</v>
      </c>
      <c r="G2382" t="s">
        <v>280</v>
      </c>
      <c r="H2382" t="s">
        <v>3057</v>
      </c>
      <c r="I2382" t="s">
        <v>35</v>
      </c>
      <c r="J2382"/>
      <c r="K2382">
        <v>1</v>
      </c>
      <c r="L2382">
        <v>1</v>
      </c>
      <c r="M2382" t="s">
        <v>33</v>
      </c>
      <c r="N2382">
        <v>1</v>
      </c>
      <c r="O2382"/>
      <c r="P2382">
        <v>0</v>
      </c>
      <c r="Q2382" t="s">
        <v>38</v>
      </c>
      <c r="R2382">
        <v>1</v>
      </c>
      <c r="S2382">
        <v>0</v>
      </c>
      <c r="T2382"/>
      <c r="U2382"/>
      <c r="V2382"/>
      <c r="W2382"/>
      <c r="X2382">
        <v>0</v>
      </c>
      <c r="Y2382"/>
      <c r="Z2382">
        <v>0</v>
      </c>
      <c r="AA2382"/>
      <c r="AB2382"/>
      <c r="AC2382"/>
      <c r="AD2382"/>
      <c r="AE2382">
        <v>0</v>
      </c>
      <c r="AF2382"/>
      <c r="AG2382"/>
      <c r="AH2382"/>
    </row>
    <row r="2383" spans="1:34" x14ac:dyDescent="0.25">
      <c r="A2383" t="s">
        <v>3408</v>
      </c>
      <c r="B2383" t="s">
        <v>3409</v>
      </c>
      <c r="C2383"/>
      <c r="D2383" t="s">
        <v>2649</v>
      </c>
      <c r="E2383" t="s">
        <v>3001</v>
      </c>
      <c r="F2383" t="s">
        <v>3056</v>
      </c>
      <c r="G2383" t="s">
        <v>280</v>
      </c>
      <c r="H2383" t="s">
        <v>3057</v>
      </c>
      <c r="I2383" t="s">
        <v>35</v>
      </c>
      <c r="J2383"/>
      <c r="K2383">
        <v>1</v>
      </c>
      <c r="L2383">
        <v>1</v>
      </c>
      <c r="M2383" t="s">
        <v>33</v>
      </c>
      <c r="N2383">
        <v>1</v>
      </c>
      <c r="O2383"/>
      <c r="P2383">
        <v>0</v>
      </c>
      <c r="Q2383" t="s">
        <v>38</v>
      </c>
      <c r="R2383">
        <v>1</v>
      </c>
      <c r="S2383">
        <v>0</v>
      </c>
      <c r="T2383"/>
      <c r="U2383"/>
      <c r="V2383"/>
      <c r="W2383"/>
      <c r="X2383">
        <v>0</v>
      </c>
      <c r="Y2383"/>
      <c r="Z2383">
        <v>0</v>
      </c>
      <c r="AA2383"/>
      <c r="AB2383"/>
      <c r="AC2383"/>
      <c r="AD2383"/>
      <c r="AE2383">
        <v>0</v>
      </c>
      <c r="AF2383"/>
      <c r="AG2383"/>
      <c r="AH2383"/>
    </row>
    <row r="2384" spans="1:34" x14ac:dyDescent="0.25">
      <c r="A2384" t="s">
        <v>3406</v>
      </c>
      <c r="B2384" t="s">
        <v>3407</v>
      </c>
      <c r="C2384"/>
      <c r="D2384" t="s">
        <v>2649</v>
      </c>
      <c r="E2384" t="s">
        <v>3001</v>
      </c>
      <c r="F2384" t="s">
        <v>3058</v>
      </c>
      <c r="G2384" t="s">
        <v>280</v>
      </c>
      <c r="H2384" t="s">
        <v>3059</v>
      </c>
      <c r="I2384" t="s">
        <v>35</v>
      </c>
      <c r="J2384"/>
      <c r="K2384">
        <v>1</v>
      </c>
      <c r="L2384">
        <v>1</v>
      </c>
      <c r="M2384" t="s">
        <v>33</v>
      </c>
      <c r="N2384">
        <v>1</v>
      </c>
      <c r="O2384"/>
      <c r="P2384">
        <v>0</v>
      </c>
      <c r="Q2384" t="s">
        <v>38</v>
      </c>
      <c r="R2384">
        <v>1</v>
      </c>
      <c r="S2384">
        <v>0</v>
      </c>
      <c r="T2384"/>
      <c r="U2384"/>
      <c r="V2384"/>
      <c r="W2384"/>
      <c r="X2384">
        <v>0</v>
      </c>
      <c r="Y2384"/>
      <c r="Z2384">
        <v>0</v>
      </c>
      <c r="AA2384"/>
      <c r="AB2384"/>
      <c r="AC2384"/>
      <c r="AD2384"/>
      <c r="AE2384">
        <v>0</v>
      </c>
      <c r="AF2384"/>
      <c r="AG2384"/>
      <c r="AH2384"/>
    </row>
    <row r="2385" spans="1:34" x14ac:dyDescent="0.25">
      <c r="A2385" t="s">
        <v>3408</v>
      </c>
      <c r="B2385" t="s">
        <v>3409</v>
      </c>
      <c r="C2385"/>
      <c r="D2385" t="s">
        <v>2649</v>
      </c>
      <c r="E2385" t="s">
        <v>3001</v>
      </c>
      <c r="F2385" t="s">
        <v>3058</v>
      </c>
      <c r="G2385" t="s">
        <v>280</v>
      </c>
      <c r="H2385" t="s">
        <v>3059</v>
      </c>
      <c r="I2385" t="s">
        <v>35</v>
      </c>
      <c r="J2385"/>
      <c r="K2385">
        <v>1</v>
      </c>
      <c r="L2385">
        <v>1</v>
      </c>
      <c r="M2385" t="s">
        <v>33</v>
      </c>
      <c r="N2385">
        <v>1</v>
      </c>
      <c r="O2385"/>
      <c r="P2385">
        <v>0</v>
      </c>
      <c r="Q2385" t="s">
        <v>38</v>
      </c>
      <c r="R2385">
        <v>1</v>
      </c>
      <c r="S2385">
        <v>0</v>
      </c>
      <c r="T2385"/>
      <c r="U2385"/>
      <c r="V2385"/>
      <c r="W2385"/>
      <c r="X2385">
        <v>0</v>
      </c>
      <c r="Y2385"/>
      <c r="Z2385">
        <v>0</v>
      </c>
      <c r="AA2385"/>
      <c r="AB2385"/>
      <c r="AC2385"/>
      <c r="AD2385"/>
      <c r="AE2385">
        <v>0</v>
      </c>
      <c r="AF2385"/>
      <c r="AG2385"/>
      <c r="AH2385"/>
    </row>
    <row r="2386" spans="1:34" x14ac:dyDescent="0.25">
      <c r="A2386" t="s">
        <v>3406</v>
      </c>
      <c r="B2386" t="s">
        <v>3407</v>
      </c>
      <c r="C2386"/>
      <c r="D2386" t="s">
        <v>2649</v>
      </c>
      <c r="E2386" t="s">
        <v>3001</v>
      </c>
      <c r="F2386" t="s">
        <v>3060</v>
      </c>
      <c r="G2386" t="s">
        <v>280</v>
      </c>
      <c r="H2386" t="s">
        <v>3061</v>
      </c>
      <c r="I2386" t="s">
        <v>35</v>
      </c>
      <c r="J2386"/>
      <c r="K2386">
        <v>1</v>
      </c>
      <c r="L2386">
        <v>1</v>
      </c>
      <c r="M2386" t="s">
        <v>33</v>
      </c>
      <c r="N2386">
        <v>1</v>
      </c>
      <c r="O2386"/>
      <c r="P2386">
        <v>0</v>
      </c>
      <c r="Q2386" t="s">
        <v>38</v>
      </c>
      <c r="R2386">
        <v>1</v>
      </c>
      <c r="S2386">
        <v>0</v>
      </c>
      <c r="T2386"/>
      <c r="U2386"/>
      <c r="V2386"/>
      <c r="W2386"/>
      <c r="X2386">
        <v>0</v>
      </c>
      <c r="Y2386"/>
      <c r="Z2386">
        <v>0</v>
      </c>
      <c r="AA2386"/>
      <c r="AB2386"/>
      <c r="AC2386"/>
      <c r="AD2386"/>
      <c r="AE2386">
        <v>0</v>
      </c>
      <c r="AF2386"/>
      <c r="AG2386"/>
      <c r="AH2386"/>
    </row>
    <row r="2387" spans="1:34" x14ac:dyDescent="0.25">
      <c r="A2387" t="s">
        <v>3408</v>
      </c>
      <c r="B2387" t="s">
        <v>3409</v>
      </c>
      <c r="C2387"/>
      <c r="D2387" t="s">
        <v>2649</v>
      </c>
      <c r="E2387" t="s">
        <v>3001</v>
      </c>
      <c r="F2387" t="s">
        <v>3060</v>
      </c>
      <c r="G2387" t="s">
        <v>280</v>
      </c>
      <c r="H2387" t="s">
        <v>3061</v>
      </c>
      <c r="I2387" t="s">
        <v>35</v>
      </c>
      <c r="J2387"/>
      <c r="K2387">
        <v>1</v>
      </c>
      <c r="L2387">
        <v>1</v>
      </c>
      <c r="M2387" t="s">
        <v>33</v>
      </c>
      <c r="N2387">
        <v>1</v>
      </c>
      <c r="O2387"/>
      <c r="P2387">
        <v>0</v>
      </c>
      <c r="Q2387" t="s">
        <v>38</v>
      </c>
      <c r="R2387">
        <v>1</v>
      </c>
      <c r="S2387">
        <v>0</v>
      </c>
      <c r="T2387"/>
      <c r="U2387"/>
      <c r="V2387"/>
      <c r="W2387"/>
      <c r="X2387">
        <v>0</v>
      </c>
      <c r="Y2387"/>
      <c r="Z2387">
        <v>0</v>
      </c>
      <c r="AA2387"/>
      <c r="AB2387"/>
      <c r="AC2387"/>
      <c r="AD2387"/>
      <c r="AE2387">
        <v>0</v>
      </c>
      <c r="AF2387"/>
      <c r="AG2387"/>
      <c r="AH2387"/>
    </row>
    <row r="2388" spans="1:34" x14ac:dyDescent="0.25">
      <c r="A2388" t="s">
        <v>3406</v>
      </c>
      <c r="B2388" t="s">
        <v>3407</v>
      </c>
      <c r="C2388"/>
      <c r="D2388" t="s">
        <v>2649</v>
      </c>
      <c r="E2388" t="s">
        <v>3001</v>
      </c>
      <c r="F2388" t="s">
        <v>3062</v>
      </c>
      <c r="G2388" t="s">
        <v>280</v>
      </c>
      <c r="H2388" t="s">
        <v>3063</v>
      </c>
      <c r="I2388" t="s">
        <v>35</v>
      </c>
      <c r="J2388"/>
      <c r="K2388">
        <v>1</v>
      </c>
      <c r="L2388">
        <v>1</v>
      </c>
      <c r="M2388" t="s">
        <v>33</v>
      </c>
      <c r="N2388">
        <v>1</v>
      </c>
      <c r="O2388"/>
      <c r="P2388">
        <v>0</v>
      </c>
      <c r="Q2388" t="s">
        <v>38</v>
      </c>
      <c r="R2388">
        <v>1</v>
      </c>
      <c r="S2388">
        <v>0</v>
      </c>
      <c r="T2388"/>
      <c r="U2388"/>
      <c r="V2388"/>
      <c r="W2388"/>
      <c r="X2388">
        <v>0</v>
      </c>
      <c r="Y2388"/>
      <c r="Z2388">
        <v>0</v>
      </c>
      <c r="AA2388"/>
      <c r="AB2388"/>
      <c r="AC2388"/>
      <c r="AD2388"/>
      <c r="AE2388">
        <v>0</v>
      </c>
      <c r="AF2388"/>
      <c r="AG2388"/>
      <c r="AH2388"/>
    </row>
    <row r="2389" spans="1:34" x14ac:dyDescent="0.25">
      <c r="A2389" t="s">
        <v>3408</v>
      </c>
      <c r="B2389" t="s">
        <v>3409</v>
      </c>
      <c r="C2389"/>
      <c r="D2389" t="s">
        <v>2649</v>
      </c>
      <c r="E2389" t="s">
        <v>3001</v>
      </c>
      <c r="F2389" t="s">
        <v>3062</v>
      </c>
      <c r="G2389" t="s">
        <v>280</v>
      </c>
      <c r="H2389" t="s">
        <v>3063</v>
      </c>
      <c r="I2389" t="s">
        <v>35</v>
      </c>
      <c r="J2389"/>
      <c r="K2389">
        <v>1</v>
      </c>
      <c r="L2389">
        <v>1</v>
      </c>
      <c r="M2389" t="s">
        <v>33</v>
      </c>
      <c r="N2389">
        <v>1</v>
      </c>
      <c r="O2389"/>
      <c r="P2389">
        <v>0</v>
      </c>
      <c r="Q2389" t="s">
        <v>38</v>
      </c>
      <c r="R2389">
        <v>1</v>
      </c>
      <c r="S2389">
        <v>0</v>
      </c>
      <c r="T2389"/>
      <c r="U2389"/>
      <c r="V2389"/>
      <c r="W2389"/>
      <c r="X2389">
        <v>0</v>
      </c>
      <c r="Y2389"/>
      <c r="Z2389">
        <v>0</v>
      </c>
      <c r="AA2389"/>
      <c r="AB2389"/>
      <c r="AC2389"/>
      <c r="AD2389"/>
      <c r="AE2389">
        <v>0</v>
      </c>
      <c r="AF2389"/>
      <c r="AG2389"/>
      <c r="AH2389"/>
    </row>
    <row r="2390" spans="1:34" x14ac:dyDescent="0.25">
      <c r="A2390" t="s">
        <v>3406</v>
      </c>
      <c r="B2390" t="s">
        <v>3407</v>
      </c>
      <c r="C2390"/>
      <c r="D2390" t="s">
        <v>2649</v>
      </c>
      <c r="E2390" t="s">
        <v>3001</v>
      </c>
      <c r="F2390" t="s">
        <v>3064</v>
      </c>
      <c r="G2390" t="s">
        <v>280</v>
      </c>
      <c r="H2390" t="s">
        <v>3065</v>
      </c>
      <c r="I2390" t="s">
        <v>35</v>
      </c>
      <c r="J2390"/>
      <c r="K2390">
        <v>1</v>
      </c>
      <c r="L2390">
        <v>1</v>
      </c>
      <c r="M2390" t="s">
        <v>33</v>
      </c>
      <c r="N2390">
        <v>1</v>
      </c>
      <c r="O2390"/>
      <c r="P2390">
        <v>0</v>
      </c>
      <c r="Q2390" t="s">
        <v>38</v>
      </c>
      <c r="R2390">
        <v>1</v>
      </c>
      <c r="S2390">
        <v>0</v>
      </c>
      <c r="T2390"/>
      <c r="U2390"/>
      <c r="V2390"/>
      <c r="W2390"/>
      <c r="X2390">
        <v>0</v>
      </c>
      <c r="Y2390"/>
      <c r="Z2390">
        <v>0</v>
      </c>
      <c r="AA2390"/>
      <c r="AB2390"/>
      <c r="AC2390"/>
      <c r="AD2390"/>
      <c r="AE2390">
        <v>0</v>
      </c>
      <c r="AF2390"/>
      <c r="AG2390"/>
      <c r="AH2390"/>
    </row>
    <row r="2391" spans="1:34" x14ac:dyDescent="0.25">
      <c r="A2391" t="s">
        <v>3408</v>
      </c>
      <c r="B2391" t="s">
        <v>3409</v>
      </c>
      <c r="C2391"/>
      <c r="D2391" t="s">
        <v>2649</v>
      </c>
      <c r="E2391" t="s">
        <v>3001</v>
      </c>
      <c r="F2391" t="s">
        <v>3064</v>
      </c>
      <c r="G2391" t="s">
        <v>280</v>
      </c>
      <c r="H2391" t="s">
        <v>3065</v>
      </c>
      <c r="I2391" t="s">
        <v>35</v>
      </c>
      <c r="J2391"/>
      <c r="K2391">
        <v>1</v>
      </c>
      <c r="L2391">
        <v>1</v>
      </c>
      <c r="M2391" t="s">
        <v>33</v>
      </c>
      <c r="N2391">
        <v>1</v>
      </c>
      <c r="O2391"/>
      <c r="P2391">
        <v>0</v>
      </c>
      <c r="Q2391" t="s">
        <v>38</v>
      </c>
      <c r="R2391">
        <v>1</v>
      </c>
      <c r="S2391">
        <v>0</v>
      </c>
      <c r="T2391"/>
      <c r="U2391"/>
      <c r="V2391"/>
      <c r="W2391"/>
      <c r="X2391">
        <v>0</v>
      </c>
      <c r="Y2391"/>
      <c r="Z2391">
        <v>0</v>
      </c>
      <c r="AA2391"/>
      <c r="AB2391"/>
      <c r="AC2391"/>
      <c r="AD2391"/>
      <c r="AE2391">
        <v>0</v>
      </c>
      <c r="AF2391"/>
      <c r="AG2391"/>
      <c r="AH2391"/>
    </row>
    <row r="2392" spans="1:34" x14ac:dyDescent="0.25">
      <c r="A2392" t="s">
        <v>3406</v>
      </c>
      <c r="B2392" t="s">
        <v>3407</v>
      </c>
      <c r="C2392"/>
      <c r="D2392" t="s">
        <v>2649</v>
      </c>
      <c r="E2392" t="s">
        <v>3001</v>
      </c>
      <c r="F2392" t="s">
        <v>3066</v>
      </c>
      <c r="G2392" t="s">
        <v>280</v>
      </c>
      <c r="H2392" t="s">
        <v>3067</v>
      </c>
      <c r="I2392" t="s">
        <v>35</v>
      </c>
      <c r="J2392"/>
      <c r="K2392">
        <v>1</v>
      </c>
      <c r="L2392">
        <v>1</v>
      </c>
      <c r="M2392" t="s">
        <v>33</v>
      </c>
      <c r="N2392">
        <v>1</v>
      </c>
      <c r="O2392"/>
      <c r="P2392">
        <v>0</v>
      </c>
      <c r="Q2392" t="s">
        <v>38</v>
      </c>
      <c r="R2392">
        <v>1</v>
      </c>
      <c r="S2392">
        <v>0</v>
      </c>
      <c r="T2392"/>
      <c r="U2392"/>
      <c r="V2392"/>
      <c r="W2392"/>
      <c r="X2392">
        <v>0</v>
      </c>
      <c r="Y2392"/>
      <c r="Z2392">
        <v>0</v>
      </c>
      <c r="AA2392"/>
      <c r="AB2392"/>
      <c r="AC2392"/>
      <c r="AD2392"/>
      <c r="AE2392">
        <v>0</v>
      </c>
      <c r="AF2392"/>
      <c r="AG2392"/>
      <c r="AH2392"/>
    </row>
    <row r="2393" spans="1:34" x14ac:dyDescent="0.25">
      <c r="A2393" t="s">
        <v>3408</v>
      </c>
      <c r="B2393" t="s">
        <v>3409</v>
      </c>
      <c r="C2393"/>
      <c r="D2393" t="s">
        <v>2649</v>
      </c>
      <c r="E2393" t="s">
        <v>3001</v>
      </c>
      <c r="F2393" t="s">
        <v>3066</v>
      </c>
      <c r="G2393" t="s">
        <v>280</v>
      </c>
      <c r="H2393" t="s">
        <v>3067</v>
      </c>
      <c r="I2393" t="s">
        <v>35</v>
      </c>
      <c r="J2393"/>
      <c r="K2393">
        <v>1</v>
      </c>
      <c r="L2393">
        <v>1</v>
      </c>
      <c r="M2393" t="s">
        <v>33</v>
      </c>
      <c r="N2393">
        <v>1</v>
      </c>
      <c r="O2393"/>
      <c r="P2393">
        <v>0</v>
      </c>
      <c r="Q2393" t="s">
        <v>38</v>
      </c>
      <c r="R2393">
        <v>1</v>
      </c>
      <c r="S2393">
        <v>0</v>
      </c>
      <c r="T2393"/>
      <c r="U2393"/>
      <c r="V2393"/>
      <c r="W2393"/>
      <c r="X2393">
        <v>0</v>
      </c>
      <c r="Y2393"/>
      <c r="Z2393">
        <v>0</v>
      </c>
      <c r="AA2393"/>
      <c r="AB2393"/>
      <c r="AC2393"/>
      <c r="AD2393"/>
      <c r="AE2393">
        <v>0</v>
      </c>
      <c r="AF2393"/>
      <c r="AG2393"/>
      <c r="AH2393"/>
    </row>
    <row r="2394" spans="1:34" x14ac:dyDescent="0.25">
      <c r="A2394" t="s">
        <v>3406</v>
      </c>
      <c r="B2394" t="s">
        <v>3407</v>
      </c>
      <c r="C2394"/>
      <c r="D2394" t="s">
        <v>2649</v>
      </c>
      <c r="E2394" t="s">
        <v>3001</v>
      </c>
      <c r="F2394" t="s">
        <v>3068</v>
      </c>
      <c r="G2394" t="s">
        <v>280</v>
      </c>
      <c r="H2394" t="s">
        <v>3069</v>
      </c>
      <c r="I2394" t="s">
        <v>35</v>
      </c>
      <c r="J2394"/>
      <c r="K2394">
        <v>1</v>
      </c>
      <c r="L2394">
        <v>1</v>
      </c>
      <c r="M2394" t="s">
        <v>33</v>
      </c>
      <c r="N2394">
        <v>1</v>
      </c>
      <c r="O2394"/>
      <c r="P2394">
        <v>0</v>
      </c>
      <c r="Q2394" t="s">
        <v>38</v>
      </c>
      <c r="R2394">
        <v>1</v>
      </c>
      <c r="S2394">
        <v>0</v>
      </c>
      <c r="T2394"/>
      <c r="U2394"/>
      <c r="V2394"/>
      <c r="W2394"/>
      <c r="X2394">
        <v>0</v>
      </c>
      <c r="Y2394"/>
      <c r="Z2394">
        <v>0</v>
      </c>
      <c r="AA2394"/>
      <c r="AB2394"/>
      <c r="AC2394"/>
      <c r="AD2394"/>
      <c r="AE2394">
        <v>0</v>
      </c>
      <c r="AF2394"/>
      <c r="AG2394"/>
      <c r="AH2394"/>
    </row>
    <row r="2395" spans="1:34" x14ac:dyDescent="0.25">
      <c r="A2395" t="s">
        <v>3408</v>
      </c>
      <c r="B2395" t="s">
        <v>3409</v>
      </c>
      <c r="C2395"/>
      <c r="D2395" t="s">
        <v>2649</v>
      </c>
      <c r="E2395" t="s">
        <v>3001</v>
      </c>
      <c r="F2395" t="s">
        <v>3068</v>
      </c>
      <c r="G2395" t="s">
        <v>280</v>
      </c>
      <c r="H2395" t="s">
        <v>3069</v>
      </c>
      <c r="I2395" t="s">
        <v>35</v>
      </c>
      <c r="J2395"/>
      <c r="K2395">
        <v>1</v>
      </c>
      <c r="L2395">
        <v>1</v>
      </c>
      <c r="M2395" t="s">
        <v>33</v>
      </c>
      <c r="N2395">
        <v>1</v>
      </c>
      <c r="O2395"/>
      <c r="P2395">
        <v>0</v>
      </c>
      <c r="Q2395" t="s">
        <v>38</v>
      </c>
      <c r="R2395">
        <v>1</v>
      </c>
      <c r="S2395">
        <v>0</v>
      </c>
      <c r="T2395"/>
      <c r="U2395"/>
      <c r="V2395"/>
      <c r="W2395"/>
      <c r="X2395">
        <v>0</v>
      </c>
      <c r="Y2395"/>
      <c r="Z2395">
        <v>0</v>
      </c>
      <c r="AA2395"/>
      <c r="AB2395"/>
      <c r="AC2395"/>
      <c r="AD2395"/>
      <c r="AE2395">
        <v>0</v>
      </c>
      <c r="AF2395"/>
      <c r="AG2395"/>
      <c r="AH2395"/>
    </row>
    <row r="2396" spans="1:34" x14ac:dyDescent="0.25">
      <c r="A2396" t="s">
        <v>3406</v>
      </c>
      <c r="B2396" t="s">
        <v>3407</v>
      </c>
      <c r="C2396"/>
      <c r="D2396" t="s">
        <v>2649</v>
      </c>
      <c r="E2396" t="s">
        <v>3001</v>
      </c>
      <c r="F2396" t="s">
        <v>3070</v>
      </c>
      <c r="G2396" t="s">
        <v>280</v>
      </c>
      <c r="H2396" t="s">
        <v>3071</v>
      </c>
      <c r="I2396" t="s">
        <v>35</v>
      </c>
      <c r="J2396"/>
      <c r="K2396">
        <v>1</v>
      </c>
      <c r="L2396">
        <v>1</v>
      </c>
      <c r="M2396" t="s">
        <v>33</v>
      </c>
      <c r="N2396">
        <v>1</v>
      </c>
      <c r="O2396"/>
      <c r="P2396">
        <v>0</v>
      </c>
      <c r="Q2396" t="s">
        <v>38</v>
      </c>
      <c r="R2396">
        <v>1</v>
      </c>
      <c r="S2396">
        <v>0</v>
      </c>
      <c r="T2396"/>
      <c r="U2396"/>
      <c r="V2396"/>
      <c r="W2396"/>
      <c r="X2396">
        <v>0</v>
      </c>
      <c r="Y2396"/>
      <c r="Z2396">
        <v>0</v>
      </c>
      <c r="AA2396"/>
      <c r="AB2396"/>
      <c r="AC2396"/>
      <c r="AD2396"/>
      <c r="AE2396">
        <v>0</v>
      </c>
      <c r="AF2396"/>
      <c r="AG2396"/>
      <c r="AH2396"/>
    </row>
    <row r="2397" spans="1:34" x14ac:dyDescent="0.25">
      <c r="A2397" t="s">
        <v>3408</v>
      </c>
      <c r="B2397" t="s">
        <v>3409</v>
      </c>
      <c r="C2397"/>
      <c r="D2397" t="s">
        <v>2649</v>
      </c>
      <c r="E2397" t="s">
        <v>3001</v>
      </c>
      <c r="F2397" t="s">
        <v>3070</v>
      </c>
      <c r="G2397" t="s">
        <v>280</v>
      </c>
      <c r="H2397" t="s">
        <v>3071</v>
      </c>
      <c r="I2397" t="s">
        <v>35</v>
      </c>
      <c r="J2397"/>
      <c r="K2397">
        <v>1</v>
      </c>
      <c r="L2397">
        <v>1</v>
      </c>
      <c r="M2397" t="s">
        <v>33</v>
      </c>
      <c r="N2397">
        <v>1</v>
      </c>
      <c r="O2397"/>
      <c r="P2397">
        <v>0</v>
      </c>
      <c r="Q2397" t="s">
        <v>38</v>
      </c>
      <c r="R2397">
        <v>1</v>
      </c>
      <c r="S2397">
        <v>0</v>
      </c>
      <c r="T2397"/>
      <c r="U2397"/>
      <c r="V2397"/>
      <c r="W2397"/>
      <c r="X2397">
        <v>0</v>
      </c>
      <c r="Y2397"/>
      <c r="Z2397">
        <v>0</v>
      </c>
      <c r="AA2397"/>
      <c r="AB2397"/>
      <c r="AC2397"/>
      <c r="AD2397"/>
      <c r="AE2397">
        <v>0</v>
      </c>
      <c r="AF2397"/>
      <c r="AG2397"/>
      <c r="AH2397"/>
    </row>
    <row r="2398" spans="1:34" x14ac:dyDescent="0.25">
      <c r="A2398" t="s">
        <v>2647</v>
      </c>
      <c r="B2398" t="s">
        <v>2648</v>
      </c>
      <c r="C2398"/>
      <c r="D2398" t="s">
        <v>2649</v>
      </c>
      <c r="E2398" t="s">
        <v>3072</v>
      </c>
      <c r="F2398" t="s">
        <v>3073</v>
      </c>
      <c r="G2398" t="s">
        <v>280</v>
      </c>
      <c r="H2398" t="s">
        <v>3074</v>
      </c>
      <c r="I2398" t="s">
        <v>35</v>
      </c>
      <c r="J2398"/>
      <c r="K2398">
        <v>1</v>
      </c>
      <c r="L2398">
        <v>1</v>
      </c>
      <c r="M2398" t="s">
        <v>33</v>
      </c>
      <c r="N2398">
        <v>1</v>
      </c>
      <c r="O2398"/>
      <c r="P2398">
        <v>0</v>
      </c>
      <c r="Q2398" t="s">
        <v>38</v>
      </c>
      <c r="R2398">
        <v>1</v>
      </c>
      <c r="S2398">
        <v>0</v>
      </c>
      <c r="T2398"/>
      <c r="U2398"/>
      <c r="V2398"/>
      <c r="W2398"/>
      <c r="X2398">
        <v>0</v>
      </c>
      <c r="Y2398"/>
      <c r="Z2398">
        <v>0</v>
      </c>
      <c r="AA2398"/>
      <c r="AB2398"/>
      <c r="AC2398"/>
      <c r="AD2398"/>
      <c r="AE2398">
        <v>0</v>
      </c>
      <c r="AF2398"/>
      <c r="AG2398" t="s">
        <v>3468</v>
      </c>
      <c r="AH2398"/>
    </row>
    <row r="2399" spans="1:34" x14ac:dyDescent="0.25">
      <c r="A2399" t="s">
        <v>2647</v>
      </c>
      <c r="B2399" t="s">
        <v>2648</v>
      </c>
      <c r="C2399"/>
      <c r="D2399" t="s">
        <v>2649</v>
      </c>
      <c r="E2399" t="s">
        <v>3072</v>
      </c>
      <c r="F2399" t="s">
        <v>3075</v>
      </c>
      <c r="G2399" t="s">
        <v>280</v>
      </c>
      <c r="H2399" t="s">
        <v>3076</v>
      </c>
      <c r="I2399" t="s">
        <v>35</v>
      </c>
      <c r="J2399"/>
      <c r="K2399">
        <v>1</v>
      </c>
      <c r="L2399">
        <v>1</v>
      </c>
      <c r="M2399" t="s">
        <v>33</v>
      </c>
      <c r="N2399">
        <v>1</v>
      </c>
      <c r="O2399"/>
      <c r="P2399">
        <v>0</v>
      </c>
      <c r="Q2399" t="s">
        <v>38</v>
      </c>
      <c r="R2399">
        <v>1</v>
      </c>
      <c r="S2399">
        <v>0</v>
      </c>
      <c r="T2399"/>
      <c r="U2399"/>
      <c r="V2399"/>
      <c r="W2399"/>
      <c r="X2399">
        <v>0</v>
      </c>
      <c r="Y2399"/>
      <c r="Z2399">
        <v>0</v>
      </c>
      <c r="AA2399"/>
      <c r="AB2399"/>
      <c r="AC2399"/>
      <c r="AD2399"/>
      <c r="AE2399">
        <v>0</v>
      </c>
      <c r="AF2399"/>
      <c r="AG2399" t="s">
        <v>3468</v>
      </c>
      <c r="AH2399"/>
    </row>
    <row r="2400" spans="1:34" x14ac:dyDescent="0.25">
      <c r="A2400" t="s">
        <v>2647</v>
      </c>
      <c r="B2400" t="s">
        <v>2648</v>
      </c>
      <c r="C2400"/>
      <c r="D2400" t="s">
        <v>2649</v>
      </c>
      <c r="E2400" t="s">
        <v>3072</v>
      </c>
      <c r="F2400" t="s">
        <v>3077</v>
      </c>
      <c r="G2400" t="s">
        <v>280</v>
      </c>
      <c r="H2400" t="s">
        <v>3078</v>
      </c>
      <c r="I2400" t="s">
        <v>35</v>
      </c>
      <c r="J2400"/>
      <c r="K2400">
        <v>1</v>
      </c>
      <c r="L2400">
        <v>1</v>
      </c>
      <c r="M2400" t="s">
        <v>33</v>
      </c>
      <c r="N2400">
        <v>1</v>
      </c>
      <c r="O2400"/>
      <c r="P2400">
        <v>0</v>
      </c>
      <c r="Q2400" t="s">
        <v>38</v>
      </c>
      <c r="R2400">
        <v>1</v>
      </c>
      <c r="S2400">
        <v>0</v>
      </c>
      <c r="T2400"/>
      <c r="U2400"/>
      <c r="V2400"/>
      <c r="W2400"/>
      <c r="X2400">
        <v>0</v>
      </c>
      <c r="Y2400"/>
      <c r="Z2400">
        <v>0</v>
      </c>
      <c r="AA2400"/>
      <c r="AB2400"/>
      <c r="AC2400"/>
      <c r="AD2400"/>
      <c r="AE2400">
        <v>0</v>
      </c>
      <c r="AF2400"/>
      <c r="AG2400" t="s">
        <v>3468</v>
      </c>
      <c r="AH2400"/>
    </row>
    <row r="2401" spans="1:34" x14ac:dyDescent="0.25">
      <c r="A2401" t="s">
        <v>2671</v>
      </c>
      <c r="B2401" t="s">
        <v>2672</v>
      </c>
      <c r="C2401"/>
      <c r="D2401" t="s">
        <v>2649</v>
      </c>
      <c r="E2401" t="s">
        <v>3072</v>
      </c>
      <c r="F2401" t="s">
        <v>3079</v>
      </c>
      <c r="G2401" t="s">
        <v>280</v>
      </c>
      <c r="H2401" t="s">
        <v>3080</v>
      </c>
      <c r="I2401" t="s">
        <v>35</v>
      </c>
      <c r="J2401"/>
      <c r="K2401">
        <v>1</v>
      </c>
      <c r="L2401">
        <v>1</v>
      </c>
      <c r="M2401" t="s">
        <v>33</v>
      </c>
      <c r="N2401">
        <v>1</v>
      </c>
      <c r="O2401"/>
      <c r="P2401">
        <v>0</v>
      </c>
      <c r="Q2401" t="s">
        <v>38</v>
      </c>
      <c r="R2401">
        <v>1</v>
      </c>
      <c r="S2401">
        <v>0</v>
      </c>
      <c r="T2401"/>
      <c r="U2401"/>
      <c r="V2401"/>
      <c r="W2401"/>
      <c r="X2401">
        <v>0</v>
      </c>
      <c r="Y2401"/>
      <c r="Z2401">
        <v>0</v>
      </c>
      <c r="AA2401"/>
      <c r="AB2401"/>
      <c r="AC2401"/>
      <c r="AD2401"/>
      <c r="AE2401">
        <v>0</v>
      </c>
      <c r="AF2401"/>
      <c r="AG2401" t="s">
        <v>3468</v>
      </c>
      <c r="AH2401"/>
    </row>
    <row r="2402" spans="1:34" x14ac:dyDescent="0.25">
      <c r="A2402" t="s">
        <v>2671</v>
      </c>
      <c r="B2402" t="s">
        <v>2672</v>
      </c>
      <c r="C2402"/>
      <c r="D2402" t="s">
        <v>2649</v>
      </c>
      <c r="E2402" t="s">
        <v>3072</v>
      </c>
      <c r="F2402" t="s">
        <v>3081</v>
      </c>
      <c r="G2402" t="s">
        <v>280</v>
      </c>
      <c r="H2402" t="s">
        <v>3082</v>
      </c>
      <c r="I2402" t="s">
        <v>35</v>
      </c>
      <c r="J2402"/>
      <c r="K2402">
        <v>1</v>
      </c>
      <c r="L2402">
        <v>1</v>
      </c>
      <c r="M2402" t="s">
        <v>33</v>
      </c>
      <c r="N2402">
        <v>1</v>
      </c>
      <c r="O2402"/>
      <c r="P2402">
        <v>0</v>
      </c>
      <c r="Q2402" t="s">
        <v>38</v>
      </c>
      <c r="R2402">
        <v>1</v>
      </c>
      <c r="S2402">
        <v>0</v>
      </c>
      <c r="T2402"/>
      <c r="U2402"/>
      <c r="V2402"/>
      <c r="W2402"/>
      <c r="X2402">
        <v>0</v>
      </c>
      <c r="Y2402"/>
      <c r="Z2402">
        <v>0</v>
      </c>
      <c r="AA2402"/>
      <c r="AB2402"/>
      <c r="AC2402"/>
      <c r="AD2402"/>
      <c r="AE2402">
        <v>0</v>
      </c>
      <c r="AF2402"/>
      <c r="AG2402" t="s">
        <v>3468</v>
      </c>
      <c r="AH2402"/>
    </row>
    <row r="2403" spans="1:34" x14ac:dyDescent="0.25">
      <c r="A2403" t="s">
        <v>2671</v>
      </c>
      <c r="B2403" t="s">
        <v>2672</v>
      </c>
      <c r="C2403"/>
      <c r="D2403" t="s">
        <v>2649</v>
      </c>
      <c r="E2403" t="s">
        <v>3072</v>
      </c>
      <c r="F2403" t="s">
        <v>3083</v>
      </c>
      <c r="G2403" t="s">
        <v>280</v>
      </c>
      <c r="H2403" t="s">
        <v>3084</v>
      </c>
      <c r="I2403" t="s">
        <v>35</v>
      </c>
      <c r="J2403"/>
      <c r="K2403">
        <v>1</v>
      </c>
      <c r="L2403">
        <v>1</v>
      </c>
      <c r="M2403" t="s">
        <v>33</v>
      </c>
      <c r="N2403">
        <v>1</v>
      </c>
      <c r="O2403"/>
      <c r="P2403">
        <v>0</v>
      </c>
      <c r="Q2403" t="s">
        <v>38</v>
      </c>
      <c r="R2403">
        <v>1</v>
      </c>
      <c r="S2403">
        <v>0</v>
      </c>
      <c r="T2403"/>
      <c r="U2403"/>
      <c r="V2403"/>
      <c r="W2403"/>
      <c r="X2403">
        <v>0</v>
      </c>
      <c r="Y2403"/>
      <c r="Z2403">
        <v>0</v>
      </c>
      <c r="AA2403"/>
      <c r="AB2403"/>
      <c r="AC2403"/>
      <c r="AD2403"/>
      <c r="AE2403">
        <v>0</v>
      </c>
      <c r="AF2403"/>
      <c r="AG2403" t="s">
        <v>3468</v>
      </c>
      <c r="AH2403"/>
    </row>
    <row r="2404" spans="1:34" x14ac:dyDescent="0.25">
      <c r="A2404" t="s">
        <v>2647</v>
      </c>
      <c r="B2404" t="s">
        <v>2648</v>
      </c>
      <c r="C2404"/>
      <c r="D2404" t="s">
        <v>2649</v>
      </c>
      <c r="E2404" t="s">
        <v>3085</v>
      </c>
      <c r="F2404" t="s">
        <v>3086</v>
      </c>
      <c r="G2404" t="s">
        <v>280</v>
      </c>
      <c r="H2404" t="s">
        <v>3087</v>
      </c>
      <c r="I2404" t="s">
        <v>35</v>
      </c>
      <c r="J2404"/>
      <c r="K2404">
        <v>1</v>
      </c>
      <c r="L2404">
        <v>1</v>
      </c>
      <c r="M2404" t="s">
        <v>33</v>
      </c>
      <c r="N2404">
        <v>0.5</v>
      </c>
      <c r="O2404"/>
      <c r="P2404">
        <v>0</v>
      </c>
      <c r="Q2404" t="s">
        <v>38</v>
      </c>
      <c r="R2404">
        <v>1</v>
      </c>
      <c r="S2404">
        <v>0</v>
      </c>
      <c r="T2404"/>
      <c r="U2404"/>
      <c r="V2404"/>
      <c r="W2404"/>
      <c r="X2404">
        <v>0</v>
      </c>
      <c r="Y2404"/>
      <c r="Z2404">
        <v>0</v>
      </c>
      <c r="AA2404"/>
      <c r="AB2404"/>
      <c r="AC2404"/>
      <c r="AD2404"/>
      <c r="AE2404">
        <v>0</v>
      </c>
      <c r="AF2404"/>
      <c r="AG2404" t="s">
        <v>3468</v>
      </c>
      <c r="AH2404"/>
    </row>
    <row r="2405" spans="1:34" x14ac:dyDescent="0.25">
      <c r="A2405" t="s">
        <v>2647</v>
      </c>
      <c r="B2405" t="s">
        <v>2648</v>
      </c>
      <c r="C2405"/>
      <c r="D2405" t="s">
        <v>2649</v>
      </c>
      <c r="E2405" t="s">
        <v>3085</v>
      </c>
      <c r="F2405" t="s">
        <v>3088</v>
      </c>
      <c r="G2405" t="s">
        <v>280</v>
      </c>
      <c r="H2405" t="s">
        <v>3089</v>
      </c>
      <c r="I2405" t="s">
        <v>35</v>
      </c>
      <c r="J2405"/>
      <c r="K2405">
        <v>1</v>
      </c>
      <c r="L2405">
        <v>1</v>
      </c>
      <c r="M2405" t="s">
        <v>33</v>
      </c>
      <c r="N2405">
        <v>0.5</v>
      </c>
      <c r="O2405"/>
      <c r="P2405">
        <v>0</v>
      </c>
      <c r="Q2405" t="s">
        <v>38</v>
      </c>
      <c r="R2405">
        <v>1</v>
      </c>
      <c r="S2405">
        <v>0</v>
      </c>
      <c r="T2405"/>
      <c r="U2405"/>
      <c r="V2405"/>
      <c r="W2405"/>
      <c r="X2405">
        <v>0</v>
      </c>
      <c r="Y2405"/>
      <c r="Z2405">
        <v>0</v>
      </c>
      <c r="AA2405"/>
      <c r="AB2405"/>
      <c r="AC2405"/>
      <c r="AD2405"/>
      <c r="AE2405">
        <v>0</v>
      </c>
      <c r="AF2405"/>
      <c r="AG2405" t="s">
        <v>3468</v>
      </c>
      <c r="AH2405"/>
    </row>
    <row r="2406" spans="1:34" x14ac:dyDescent="0.25">
      <c r="A2406" t="s">
        <v>2647</v>
      </c>
      <c r="B2406" t="s">
        <v>2648</v>
      </c>
      <c r="C2406"/>
      <c r="D2406" t="s">
        <v>2649</v>
      </c>
      <c r="E2406" t="s">
        <v>3085</v>
      </c>
      <c r="F2406" t="s">
        <v>3090</v>
      </c>
      <c r="G2406" t="s">
        <v>280</v>
      </c>
      <c r="H2406" t="s">
        <v>3091</v>
      </c>
      <c r="I2406" t="s">
        <v>35</v>
      </c>
      <c r="J2406"/>
      <c r="K2406">
        <v>1</v>
      </c>
      <c r="L2406">
        <v>1</v>
      </c>
      <c r="M2406" t="s">
        <v>33</v>
      </c>
      <c r="N2406">
        <v>0.5</v>
      </c>
      <c r="O2406"/>
      <c r="P2406">
        <v>0</v>
      </c>
      <c r="Q2406" t="s">
        <v>38</v>
      </c>
      <c r="R2406">
        <v>1</v>
      </c>
      <c r="S2406">
        <v>0</v>
      </c>
      <c r="T2406"/>
      <c r="U2406"/>
      <c r="V2406"/>
      <c r="W2406"/>
      <c r="X2406">
        <v>0</v>
      </c>
      <c r="Y2406"/>
      <c r="Z2406">
        <v>0</v>
      </c>
      <c r="AA2406"/>
      <c r="AB2406"/>
      <c r="AC2406"/>
      <c r="AD2406"/>
      <c r="AE2406">
        <v>0</v>
      </c>
      <c r="AF2406"/>
      <c r="AG2406" t="s">
        <v>3468</v>
      </c>
      <c r="AH2406"/>
    </row>
    <row r="2407" spans="1:34" x14ac:dyDescent="0.25">
      <c r="A2407" t="s">
        <v>2647</v>
      </c>
      <c r="B2407" t="s">
        <v>2648</v>
      </c>
      <c r="C2407"/>
      <c r="D2407" t="s">
        <v>2649</v>
      </c>
      <c r="E2407" t="s">
        <v>3085</v>
      </c>
      <c r="F2407" t="s">
        <v>3092</v>
      </c>
      <c r="G2407" t="s">
        <v>280</v>
      </c>
      <c r="H2407" t="s">
        <v>3093</v>
      </c>
      <c r="I2407" t="s">
        <v>35</v>
      </c>
      <c r="J2407"/>
      <c r="K2407">
        <v>1</v>
      </c>
      <c r="L2407">
        <v>1</v>
      </c>
      <c r="M2407" t="s">
        <v>33</v>
      </c>
      <c r="N2407">
        <v>0.5</v>
      </c>
      <c r="O2407"/>
      <c r="P2407">
        <v>0</v>
      </c>
      <c r="Q2407" t="s">
        <v>38</v>
      </c>
      <c r="R2407">
        <v>1</v>
      </c>
      <c r="S2407">
        <v>0</v>
      </c>
      <c r="T2407"/>
      <c r="U2407"/>
      <c r="V2407"/>
      <c r="W2407"/>
      <c r="X2407">
        <v>0</v>
      </c>
      <c r="Y2407"/>
      <c r="Z2407">
        <v>0</v>
      </c>
      <c r="AA2407"/>
      <c r="AB2407"/>
      <c r="AC2407"/>
      <c r="AD2407"/>
      <c r="AE2407">
        <v>0</v>
      </c>
      <c r="AF2407"/>
      <c r="AG2407" t="s">
        <v>3468</v>
      </c>
      <c r="AH2407"/>
    </row>
    <row r="2408" spans="1:34" x14ac:dyDescent="0.25">
      <c r="A2408" t="s">
        <v>2647</v>
      </c>
      <c r="B2408" t="s">
        <v>2648</v>
      </c>
      <c r="C2408"/>
      <c r="D2408" t="s">
        <v>2649</v>
      </c>
      <c r="E2408" t="s">
        <v>3085</v>
      </c>
      <c r="F2408" t="s">
        <v>3094</v>
      </c>
      <c r="G2408" t="s">
        <v>280</v>
      </c>
      <c r="H2408" t="s">
        <v>3095</v>
      </c>
      <c r="I2408" t="s">
        <v>35</v>
      </c>
      <c r="J2408"/>
      <c r="K2408">
        <v>1</v>
      </c>
      <c r="L2408">
        <v>1</v>
      </c>
      <c r="M2408" t="s">
        <v>33</v>
      </c>
      <c r="N2408">
        <v>0.5</v>
      </c>
      <c r="O2408"/>
      <c r="P2408">
        <v>0</v>
      </c>
      <c r="Q2408" t="s">
        <v>38</v>
      </c>
      <c r="R2408">
        <v>1</v>
      </c>
      <c r="S2408">
        <v>0</v>
      </c>
      <c r="T2408"/>
      <c r="U2408"/>
      <c r="V2408"/>
      <c r="W2408"/>
      <c r="X2408">
        <v>0</v>
      </c>
      <c r="Y2408"/>
      <c r="Z2408">
        <v>0</v>
      </c>
      <c r="AA2408"/>
      <c r="AB2408"/>
      <c r="AC2408"/>
      <c r="AD2408"/>
      <c r="AE2408">
        <v>0</v>
      </c>
      <c r="AF2408"/>
      <c r="AG2408" t="s">
        <v>3468</v>
      </c>
      <c r="AH2408"/>
    </row>
    <row r="2409" spans="1:34" x14ac:dyDescent="0.25">
      <c r="A2409" t="s">
        <v>2647</v>
      </c>
      <c r="B2409" t="s">
        <v>2648</v>
      </c>
      <c r="C2409"/>
      <c r="D2409" t="s">
        <v>2649</v>
      </c>
      <c r="E2409" t="s">
        <v>3085</v>
      </c>
      <c r="F2409" t="s">
        <v>3096</v>
      </c>
      <c r="G2409" t="s">
        <v>280</v>
      </c>
      <c r="H2409" t="s">
        <v>3097</v>
      </c>
      <c r="I2409" t="s">
        <v>35</v>
      </c>
      <c r="J2409"/>
      <c r="K2409">
        <v>1</v>
      </c>
      <c r="L2409">
        <v>1</v>
      </c>
      <c r="M2409" t="s">
        <v>33</v>
      </c>
      <c r="N2409">
        <v>0.5</v>
      </c>
      <c r="O2409"/>
      <c r="P2409">
        <v>0</v>
      </c>
      <c r="Q2409" t="s">
        <v>38</v>
      </c>
      <c r="R2409">
        <v>1</v>
      </c>
      <c r="S2409">
        <v>0</v>
      </c>
      <c r="T2409"/>
      <c r="U2409"/>
      <c r="V2409"/>
      <c r="W2409"/>
      <c r="X2409">
        <v>0</v>
      </c>
      <c r="Y2409"/>
      <c r="Z2409">
        <v>0</v>
      </c>
      <c r="AA2409"/>
      <c r="AB2409"/>
      <c r="AC2409"/>
      <c r="AD2409"/>
      <c r="AE2409">
        <v>0</v>
      </c>
      <c r="AF2409"/>
      <c r="AG2409" t="s">
        <v>3468</v>
      </c>
      <c r="AH2409"/>
    </row>
    <row r="2410" spans="1:34" x14ac:dyDescent="0.25">
      <c r="A2410" t="s">
        <v>2647</v>
      </c>
      <c r="B2410" t="s">
        <v>2648</v>
      </c>
      <c r="C2410"/>
      <c r="D2410" t="s">
        <v>2649</v>
      </c>
      <c r="E2410" t="s">
        <v>3085</v>
      </c>
      <c r="F2410" t="s">
        <v>3098</v>
      </c>
      <c r="G2410" t="s">
        <v>280</v>
      </c>
      <c r="H2410" t="s">
        <v>3099</v>
      </c>
      <c r="I2410" t="s">
        <v>35</v>
      </c>
      <c r="J2410"/>
      <c r="K2410">
        <v>1</v>
      </c>
      <c r="L2410">
        <v>1</v>
      </c>
      <c r="M2410" t="s">
        <v>33</v>
      </c>
      <c r="N2410">
        <v>0.5</v>
      </c>
      <c r="O2410"/>
      <c r="P2410">
        <v>0</v>
      </c>
      <c r="Q2410" t="s">
        <v>38</v>
      </c>
      <c r="R2410">
        <v>1</v>
      </c>
      <c r="S2410">
        <v>0</v>
      </c>
      <c r="T2410"/>
      <c r="U2410"/>
      <c r="V2410"/>
      <c r="W2410"/>
      <c r="X2410">
        <v>0</v>
      </c>
      <c r="Y2410"/>
      <c r="Z2410">
        <v>0</v>
      </c>
      <c r="AA2410"/>
      <c r="AB2410"/>
      <c r="AC2410"/>
      <c r="AD2410"/>
      <c r="AE2410">
        <v>0</v>
      </c>
      <c r="AF2410"/>
      <c r="AG2410" t="s">
        <v>3468</v>
      </c>
      <c r="AH2410"/>
    </row>
    <row r="2411" spans="1:34" x14ac:dyDescent="0.25">
      <c r="A2411" t="s">
        <v>2647</v>
      </c>
      <c r="B2411" t="s">
        <v>2648</v>
      </c>
      <c r="C2411"/>
      <c r="D2411" t="s">
        <v>2649</v>
      </c>
      <c r="E2411" t="s">
        <v>3085</v>
      </c>
      <c r="F2411" t="s">
        <v>3100</v>
      </c>
      <c r="G2411" t="s">
        <v>280</v>
      </c>
      <c r="H2411" t="s">
        <v>3101</v>
      </c>
      <c r="I2411" t="s">
        <v>35</v>
      </c>
      <c r="J2411"/>
      <c r="K2411">
        <v>1</v>
      </c>
      <c r="L2411">
        <v>1</v>
      </c>
      <c r="M2411" t="s">
        <v>33</v>
      </c>
      <c r="N2411">
        <v>0.5</v>
      </c>
      <c r="O2411"/>
      <c r="P2411">
        <v>0</v>
      </c>
      <c r="Q2411" t="s">
        <v>38</v>
      </c>
      <c r="R2411">
        <v>1</v>
      </c>
      <c r="S2411">
        <v>0</v>
      </c>
      <c r="T2411"/>
      <c r="U2411"/>
      <c r="V2411"/>
      <c r="W2411"/>
      <c r="X2411">
        <v>0</v>
      </c>
      <c r="Y2411"/>
      <c r="Z2411">
        <v>0</v>
      </c>
      <c r="AA2411"/>
      <c r="AB2411"/>
      <c r="AC2411"/>
      <c r="AD2411"/>
      <c r="AE2411">
        <v>0</v>
      </c>
      <c r="AF2411"/>
      <c r="AG2411" t="s">
        <v>3468</v>
      </c>
      <c r="AH2411"/>
    </row>
    <row r="2412" spans="1:34" x14ac:dyDescent="0.25">
      <c r="A2412" t="s">
        <v>2671</v>
      </c>
      <c r="B2412" t="s">
        <v>2672</v>
      </c>
      <c r="C2412"/>
      <c r="D2412" t="s">
        <v>2649</v>
      </c>
      <c r="E2412" t="s">
        <v>3085</v>
      </c>
      <c r="F2412" t="s">
        <v>3102</v>
      </c>
      <c r="G2412" t="s">
        <v>280</v>
      </c>
      <c r="H2412" t="s">
        <v>3103</v>
      </c>
      <c r="I2412" t="s">
        <v>35</v>
      </c>
      <c r="J2412"/>
      <c r="K2412">
        <v>1</v>
      </c>
      <c r="L2412">
        <v>1</v>
      </c>
      <c r="M2412" t="s">
        <v>33</v>
      </c>
      <c r="N2412">
        <v>0.5</v>
      </c>
      <c r="O2412"/>
      <c r="P2412">
        <v>0</v>
      </c>
      <c r="Q2412" t="s">
        <v>38</v>
      </c>
      <c r="R2412">
        <v>1</v>
      </c>
      <c r="S2412">
        <v>0</v>
      </c>
      <c r="T2412"/>
      <c r="U2412"/>
      <c r="V2412"/>
      <c r="W2412"/>
      <c r="X2412">
        <v>0</v>
      </c>
      <c r="Y2412"/>
      <c r="Z2412">
        <v>0</v>
      </c>
      <c r="AA2412"/>
      <c r="AB2412"/>
      <c r="AC2412"/>
      <c r="AD2412"/>
      <c r="AE2412">
        <v>0</v>
      </c>
      <c r="AF2412"/>
      <c r="AG2412" t="s">
        <v>3468</v>
      </c>
      <c r="AH2412"/>
    </row>
    <row r="2413" spans="1:34" x14ac:dyDescent="0.25">
      <c r="A2413" t="s">
        <v>2671</v>
      </c>
      <c r="B2413" t="s">
        <v>2672</v>
      </c>
      <c r="C2413"/>
      <c r="D2413" t="s">
        <v>2649</v>
      </c>
      <c r="E2413" t="s">
        <v>3085</v>
      </c>
      <c r="F2413" t="s">
        <v>3104</v>
      </c>
      <c r="G2413" t="s">
        <v>280</v>
      </c>
      <c r="H2413" t="s">
        <v>3105</v>
      </c>
      <c r="I2413" t="s">
        <v>35</v>
      </c>
      <c r="J2413"/>
      <c r="K2413">
        <v>1</v>
      </c>
      <c r="L2413">
        <v>1</v>
      </c>
      <c r="M2413" t="s">
        <v>33</v>
      </c>
      <c r="N2413">
        <v>0.5</v>
      </c>
      <c r="O2413"/>
      <c r="P2413">
        <v>0</v>
      </c>
      <c r="Q2413" t="s">
        <v>38</v>
      </c>
      <c r="R2413">
        <v>1</v>
      </c>
      <c r="S2413">
        <v>0</v>
      </c>
      <c r="T2413"/>
      <c r="U2413"/>
      <c r="V2413"/>
      <c r="W2413"/>
      <c r="X2413">
        <v>0</v>
      </c>
      <c r="Y2413"/>
      <c r="Z2413">
        <v>0</v>
      </c>
      <c r="AA2413"/>
      <c r="AB2413"/>
      <c r="AC2413"/>
      <c r="AD2413"/>
      <c r="AE2413">
        <v>0</v>
      </c>
      <c r="AF2413"/>
      <c r="AG2413" t="s">
        <v>3468</v>
      </c>
      <c r="AH2413"/>
    </row>
    <row r="2414" spans="1:34" x14ac:dyDescent="0.25">
      <c r="A2414" t="s">
        <v>2671</v>
      </c>
      <c r="B2414" t="s">
        <v>2672</v>
      </c>
      <c r="C2414"/>
      <c r="D2414" t="s">
        <v>2649</v>
      </c>
      <c r="E2414" t="s">
        <v>3085</v>
      </c>
      <c r="F2414" t="s">
        <v>3106</v>
      </c>
      <c r="G2414" t="s">
        <v>280</v>
      </c>
      <c r="H2414" t="s">
        <v>3107</v>
      </c>
      <c r="I2414" t="s">
        <v>35</v>
      </c>
      <c r="J2414"/>
      <c r="K2414">
        <v>1</v>
      </c>
      <c r="L2414">
        <v>1</v>
      </c>
      <c r="M2414" t="s">
        <v>33</v>
      </c>
      <c r="N2414">
        <v>0.5</v>
      </c>
      <c r="O2414"/>
      <c r="P2414">
        <v>0</v>
      </c>
      <c r="Q2414" t="s">
        <v>38</v>
      </c>
      <c r="R2414">
        <v>1</v>
      </c>
      <c r="S2414">
        <v>0</v>
      </c>
      <c r="T2414"/>
      <c r="U2414"/>
      <c r="V2414"/>
      <c r="W2414"/>
      <c r="X2414">
        <v>0</v>
      </c>
      <c r="Y2414"/>
      <c r="Z2414">
        <v>0</v>
      </c>
      <c r="AA2414"/>
      <c r="AB2414"/>
      <c r="AC2414"/>
      <c r="AD2414"/>
      <c r="AE2414">
        <v>0</v>
      </c>
      <c r="AF2414"/>
      <c r="AG2414" t="s">
        <v>3468</v>
      </c>
      <c r="AH2414"/>
    </row>
    <row r="2415" spans="1:34" x14ac:dyDescent="0.25">
      <c r="A2415" t="s">
        <v>2671</v>
      </c>
      <c r="B2415" t="s">
        <v>2672</v>
      </c>
      <c r="C2415"/>
      <c r="D2415" t="s">
        <v>2649</v>
      </c>
      <c r="E2415" t="s">
        <v>3085</v>
      </c>
      <c r="F2415" t="s">
        <v>3108</v>
      </c>
      <c r="G2415" t="s">
        <v>280</v>
      </c>
      <c r="H2415" t="s">
        <v>3109</v>
      </c>
      <c r="I2415" t="s">
        <v>35</v>
      </c>
      <c r="J2415"/>
      <c r="K2415">
        <v>1</v>
      </c>
      <c r="L2415">
        <v>1</v>
      </c>
      <c r="M2415" t="s">
        <v>33</v>
      </c>
      <c r="N2415">
        <v>0.5</v>
      </c>
      <c r="O2415"/>
      <c r="P2415">
        <v>0</v>
      </c>
      <c r="Q2415" t="s">
        <v>38</v>
      </c>
      <c r="R2415">
        <v>1</v>
      </c>
      <c r="S2415">
        <v>0</v>
      </c>
      <c r="T2415"/>
      <c r="U2415"/>
      <c r="V2415"/>
      <c r="W2415"/>
      <c r="X2415">
        <v>0</v>
      </c>
      <c r="Y2415"/>
      <c r="Z2415">
        <v>0</v>
      </c>
      <c r="AA2415"/>
      <c r="AB2415"/>
      <c r="AC2415"/>
      <c r="AD2415"/>
      <c r="AE2415">
        <v>0</v>
      </c>
      <c r="AF2415"/>
      <c r="AG2415" t="s">
        <v>3468</v>
      </c>
      <c r="AH2415"/>
    </row>
    <row r="2416" spans="1:34" x14ac:dyDescent="0.25">
      <c r="A2416" t="s">
        <v>2671</v>
      </c>
      <c r="B2416" t="s">
        <v>2672</v>
      </c>
      <c r="C2416"/>
      <c r="D2416" t="s">
        <v>2649</v>
      </c>
      <c r="E2416" t="s">
        <v>3085</v>
      </c>
      <c r="F2416" t="s">
        <v>3110</v>
      </c>
      <c r="G2416" t="s">
        <v>280</v>
      </c>
      <c r="H2416" t="s">
        <v>3111</v>
      </c>
      <c r="I2416" t="s">
        <v>35</v>
      </c>
      <c r="J2416"/>
      <c r="K2416">
        <v>1</v>
      </c>
      <c r="L2416">
        <v>1</v>
      </c>
      <c r="M2416" t="s">
        <v>33</v>
      </c>
      <c r="N2416">
        <v>0.5</v>
      </c>
      <c r="O2416"/>
      <c r="P2416">
        <v>0</v>
      </c>
      <c r="Q2416" t="s">
        <v>38</v>
      </c>
      <c r="R2416">
        <v>1</v>
      </c>
      <c r="S2416">
        <v>0</v>
      </c>
      <c r="T2416"/>
      <c r="U2416"/>
      <c r="V2416"/>
      <c r="W2416"/>
      <c r="X2416">
        <v>0</v>
      </c>
      <c r="Y2416"/>
      <c r="Z2416">
        <v>0</v>
      </c>
      <c r="AA2416"/>
      <c r="AB2416"/>
      <c r="AC2416"/>
      <c r="AD2416"/>
      <c r="AE2416">
        <v>0</v>
      </c>
      <c r="AF2416"/>
      <c r="AG2416" t="s">
        <v>3468</v>
      </c>
      <c r="AH2416"/>
    </row>
    <row r="2417" spans="1:34" x14ac:dyDescent="0.25">
      <c r="A2417" t="s">
        <v>2671</v>
      </c>
      <c r="B2417" t="s">
        <v>2672</v>
      </c>
      <c r="C2417"/>
      <c r="D2417" t="s">
        <v>2649</v>
      </c>
      <c r="E2417" t="s">
        <v>3085</v>
      </c>
      <c r="F2417" t="s">
        <v>3112</v>
      </c>
      <c r="G2417" t="s">
        <v>280</v>
      </c>
      <c r="H2417" t="s">
        <v>3113</v>
      </c>
      <c r="I2417" t="s">
        <v>35</v>
      </c>
      <c r="J2417"/>
      <c r="K2417">
        <v>1</v>
      </c>
      <c r="L2417">
        <v>1</v>
      </c>
      <c r="M2417" t="s">
        <v>33</v>
      </c>
      <c r="N2417">
        <v>0.5</v>
      </c>
      <c r="O2417"/>
      <c r="P2417">
        <v>0</v>
      </c>
      <c r="Q2417" t="s">
        <v>38</v>
      </c>
      <c r="R2417">
        <v>1</v>
      </c>
      <c r="S2417">
        <v>0</v>
      </c>
      <c r="T2417"/>
      <c r="U2417"/>
      <c r="V2417"/>
      <c r="W2417"/>
      <c r="X2417">
        <v>0</v>
      </c>
      <c r="Y2417"/>
      <c r="Z2417">
        <v>0</v>
      </c>
      <c r="AA2417"/>
      <c r="AB2417"/>
      <c r="AC2417"/>
      <c r="AD2417"/>
      <c r="AE2417">
        <v>0</v>
      </c>
      <c r="AF2417"/>
      <c r="AG2417" t="s">
        <v>3468</v>
      </c>
      <c r="AH2417"/>
    </row>
    <row r="2418" spans="1:34" x14ac:dyDescent="0.25">
      <c r="A2418" t="s">
        <v>2671</v>
      </c>
      <c r="B2418" t="s">
        <v>2672</v>
      </c>
      <c r="C2418"/>
      <c r="D2418" t="s">
        <v>2649</v>
      </c>
      <c r="E2418" t="s">
        <v>3085</v>
      </c>
      <c r="F2418" t="s">
        <v>3114</v>
      </c>
      <c r="G2418" t="s">
        <v>280</v>
      </c>
      <c r="H2418" t="s">
        <v>3115</v>
      </c>
      <c r="I2418" t="s">
        <v>35</v>
      </c>
      <c r="J2418"/>
      <c r="K2418">
        <v>1</v>
      </c>
      <c r="L2418">
        <v>1</v>
      </c>
      <c r="M2418" t="s">
        <v>33</v>
      </c>
      <c r="N2418">
        <v>0.5</v>
      </c>
      <c r="O2418"/>
      <c r="P2418">
        <v>0</v>
      </c>
      <c r="Q2418" t="s">
        <v>38</v>
      </c>
      <c r="R2418">
        <v>1</v>
      </c>
      <c r="S2418">
        <v>0</v>
      </c>
      <c r="T2418"/>
      <c r="U2418"/>
      <c r="V2418"/>
      <c r="W2418"/>
      <c r="X2418">
        <v>0</v>
      </c>
      <c r="Y2418"/>
      <c r="Z2418">
        <v>0</v>
      </c>
      <c r="AA2418"/>
      <c r="AB2418"/>
      <c r="AC2418"/>
      <c r="AD2418"/>
      <c r="AE2418">
        <v>0</v>
      </c>
      <c r="AF2418"/>
      <c r="AG2418" t="s">
        <v>3468</v>
      </c>
      <c r="AH2418"/>
    </row>
    <row r="2419" spans="1:34" x14ac:dyDescent="0.25">
      <c r="A2419" t="s">
        <v>2671</v>
      </c>
      <c r="B2419" t="s">
        <v>2672</v>
      </c>
      <c r="C2419"/>
      <c r="D2419" t="s">
        <v>2649</v>
      </c>
      <c r="E2419" t="s">
        <v>3085</v>
      </c>
      <c r="F2419" t="s">
        <v>3116</v>
      </c>
      <c r="G2419" t="s">
        <v>280</v>
      </c>
      <c r="H2419" t="s">
        <v>3117</v>
      </c>
      <c r="I2419" t="s">
        <v>35</v>
      </c>
      <c r="J2419"/>
      <c r="K2419">
        <v>1</v>
      </c>
      <c r="L2419">
        <v>1</v>
      </c>
      <c r="M2419" t="s">
        <v>33</v>
      </c>
      <c r="N2419">
        <v>0.5</v>
      </c>
      <c r="O2419"/>
      <c r="P2419">
        <v>0</v>
      </c>
      <c r="Q2419" t="s">
        <v>38</v>
      </c>
      <c r="R2419">
        <v>1</v>
      </c>
      <c r="S2419">
        <v>0</v>
      </c>
      <c r="T2419"/>
      <c r="U2419"/>
      <c r="V2419"/>
      <c r="W2419"/>
      <c r="X2419">
        <v>0</v>
      </c>
      <c r="Y2419"/>
      <c r="Z2419">
        <v>0</v>
      </c>
      <c r="AA2419"/>
      <c r="AB2419"/>
      <c r="AC2419"/>
      <c r="AD2419"/>
      <c r="AE2419">
        <v>0</v>
      </c>
      <c r="AF2419"/>
      <c r="AG2419" t="s">
        <v>3468</v>
      </c>
      <c r="AH2419"/>
    </row>
    <row r="2420" spans="1:34" x14ac:dyDescent="0.25">
      <c r="A2420" t="s">
        <v>2039</v>
      </c>
      <c r="B2420" t="s">
        <v>2040</v>
      </c>
      <c r="C2420"/>
      <c r="D2420" t="s">
        <v>2649</v>
      </c>
      <c r="E2420" t="s">
        <v>3118</v>
      </c>
      <c r="F2420" t="s">
        <v>3119</v>
      </c>
      <c r="G2420" t="s">
        <v>280</v>
      </c>
      <c r="H2420" t="s">
        <v>3120</v>
      </c>
      <c r="I2420" t="s">
        <v>35</v>
      </c>
      <c r="J2420"/>
      <c r="K2420">
        <v>1</v>
      </c>
      <c r="L2420">
        <v>1</v>
      </c>
      <c r="M2420" t="s">
        <v>33</v>
      </c>
      <c r="N2420">
        <v>0.5</v>
      </c>
      <c r="O2420"/>
      <c r="P2420">
        <v>0</v>
      </c>
      <c r="Q2420" t="s">
        <v>38</v>
      </c>
      <c r="R2420">
        <v>1</v>
      </c>
      <c r="S2420">
        <v>0</v>
      </c>
      <c r="T2420"/>
      <c r="U2420"/>
      <c r="V2420"/>
      <c r="W2420"/>
      <c r="X2420">
        <v>0</v>
      </c>
      <c r="Y2420"/>
      <c r="Z2420">
        <v>0</v>
      </c>
      <c r="AA2420"/>
      <c r="AB2420"/>
      <c r="AC2420"/>
      <c r="AD2420"/>
      <c r="AE2420">
        <v>0</v>
      </c>
      <c r="AF2420"/>
      <c r="AG2420" t="s">
        <v>3468</v>
      </c>
      <c r="AH2420"/>
    </row>
    <row r="2421" spans="1:34" x14ac:dyDescent="0.25">
      <c r="A2421" t="s">
        <v>2039</v>
      </c>
      <c r="B2421" t="s">
        <v>2040</v>
      </c>
      <c r="C2421"/>
      <c r="D2421" t="s">
        <v>2649</v>
      </c>
      <c r="E2421" t="s">
        <v>3118</v>
      </c>
      <c r="F2421" t="s">
        <v>3121</v>
      </c>
      <c r="G2421" t="s">
        <v>280</v>
      </c>
      <c r="H2421" t="s">
        <v>3122</v>
      </c>
      <c r="I2421" t="s">
        <v>35</v>
      </c>
      <c r="J2421"/>
      <c r="K2421">
        <v>1</v>
      </c>
      <c r="L2421">
        <v>1</v>
      </c>
      <c r="M2421" t="s">
        <v>33</v>
      </c>
      <c r="N2421">
        <v>0.5</v>
      </c>
      <c r="O2421"/>
      <c r="P2421">
        <v>0</v>
      </c>
      <c r="Q2421" t="s">
        <v>38</v>
      </c>
      <c r="R2421">
        <v>1</v>
      </c>
      <c r="S2421">
        <v>0</v>
      </c>
      <c r="T2421"/>
      <c r="U2421"/>
      <c r="V2421"/>
      <c r="W2421"/>
      <c r="X2421">
        <v>0</v>
      </c>
      <c r="Y2421"/>
      <c r="Z2421">
        <v>0</v>
      </c>
      <c r="AA2421"/>
      <c r="AB2421"/>
      <c r="AC2421"/>
      <c r="AD2421"/>
      <c r="AE2421">
        <v>0</v>
      </c>
      <c r="AF2421"/>
      <c r="AG2421" t="s">
        <v>3468</v>
      </c>
      <c r="AH2421"/>
    </row>
    <row r="2422" spans="1:34" x14ac:dyDescent="0.25">
      <c r="A2422" t="s">
        <v>1945</v>
      </c>
      <c r="B2422" t="s">
        <v>1946</v>
      </c>
      <c r="C2422"/>
      <c r="D2422" t="s">
        <v>2649</v>
      </c>
      <c r="E2422" t="s">
        <v>3123</v>
      </c>
      <c r="F2422" t="s">
        <v>2651</v>
      </c>
      <c r="G2422" t="s">
        <v>280</v>
      </c>
      <c r="H2422" t="s">
        <v>3124</v>
      </c>
      <c r="I2422" t="s">
        <v>41</v>
      </c>
      <c r="J2422"/>
      <c r="K2422">
        <v>1</v>
      </c>
      <c r="L2422">
        <v>1</v>
      </c>
      <c r="M2422" t="s">
        <v>33</v>
      </c>
      <c r="N2422">
        <v>1</v>
      </c>
      <c r="O2422"/>
      <c r="P2422">
        <v>0</v>
      </c>
      <c r="Q2422"/>
      <c r="R2422">
        <v>0</v>
      </c>
      <c r="S2422">
        <v>0</v>
      </c>
      <c r="T2422"/>
      <c r="U2422"/>
      <c r="V2422"/>
      <c r="W2422"/>
      <c r="X2422">
        <v>0</v>
      </c>
      <c r="Y2422"/>
      <c r="Z2422">
        <v>0</v>
      </c>
      <c r="AA2422"/>
      <c r="AB2422"/>
      <c r="AC2422"/>
      <c r="AD2422"/>
      <c r="AE2422">
        <v>0</v>
      </c>
      <c r="AF2422"/>
      <c r="AG2422"/>
      <c r="AH2422"/>
    </row>
    <row r="2423" spans="1:34" x14ac:dyDescent="0.25">
      <c r="A2423" t="s">
        <v>1945</v>
      </c>
      <c r="B2423" t="s">
        <v>1946</v>
      </c>
      <c r="C2423"/>
      <c r="D2423" t="s">
        <v>2649</v>
      </c>
      <c r="E2423" t="s">
        <v>3123</v>
      </c>
      <c r="F2423" t="s">
        <v>2653</v>
      </c>
      <c r="G2423" t="s">
        <v>280</v>
      </c>
      <c r="H2423" t="s">
        <v>3125</v>
      </c>
      <c r="I2423" t="s">
        <v>41</v>
      </c>
      <c r="J2423"/>
      <c r="K2423">
        <v>1</v>
      </c>
      <c r="L2423">
        <v>1</v>
      </c>
      <c r="M2423" t="s">
        <v>33</v>
      </c>
      <c r="N2423">
        <v>1</v>
      </c>
      <c r="O2423"/>
      <c r="P2423">
        <v>0</v>
      </c>
      <c r="Q2423"/>
      <c r="R2423">
        <v>0</v>
      </c>
      <c r="S2423">
        <v>0</v>
      </c>
      <c r="T2423"/>
      <c r="U2423"/>
      <c r="V2423"/>
      <c r="W2423"/>
      <c r="X2423">
        <v>0</v>
      </c>
      <c r="Y2423"/>
      <c r="Z2423">
        <v>0</v>
      </c>
      <c r="AA2423"/>
      <c r="AB2423"/>
      <c r="AC2423"/>
      <c r="AD2423"/>
      <c r="AE2423">
        <v>0</v>
      </c>
      <c r="AF2423"/>
      <c r="AG2423"/>
      <c r="AH2423"/>
    </row>
    <row r="2424" spans="1:34" x14ac:dyDescent="0.25">
      <c r="A2424" t="s">
        <v>1945</v>
      </c>
      <c r="B2424" t="s">
        <v>1946</v>
      </c>
      <c r="C2424"/>
      <c r="D2424" t="s">
        <v>2649</v>
      </c>
      <c r="E2424" t="s">
        <v>3123</v>
      </c>
      <c r="F2424" t="s">
        <v>2655</v>
      </c>
      <c r="G2424" t="s">
        <v>280</v>
      </c>
      <c r="H2424" t="s">
        <v>3126</v>
      </c>
      <c r="I2424" t="s">
        <v>41</v>
      </c>
      <c r="J2424"/>
      <c r="K2424">
        <v>1</v>
      </c>
      <c r="L2424">
        <v>1</v>
      </c>
      <c r="M2424" t="s">
        <v>33</v>
      </c>
      <c r="N2424">
        <v>1</v>
      </c>
      <c r="O2424"/>
      <c r="P2424">
        <v>0</v>
      </c>
      <c r="Q2424"/>
      <c r="R2424">
        <v>0</v>
      </c>
      <c r="S2424">
        <v>0</v>
      </c>
      <c r="T2424"/>
      <c r="U2424"/>
      <c r="V2424"/>
      <c r="W2424"/>
      <c r="X2424">
        <v>0</v>
      </c>
      <c r="Y2424"/>
      <c r="Z2424">
        <v>0</v>
      </c>
      <c r="AA2424"/>
      <c r="AB2424"/>
      <c r="AC2424"/>
      <c r="AD2424"/>
      <c r="AE2424">
        <v>0</v>
      </c>
      <c r="AF2424"/>
      <c r="AG2424"/>
      <c r="AH2424"/>
    </row>
    <row r="2425" spans="1:34" x14ac:dyDescent="0.25">
      <c r="A2425" t="s">
        <v>1945</v>
      </c>
      <c r="B2425" t="s">
        <v>1946</v>
      </c>
      <c r="C2425"/>
      <c r="D2425" t="s">
        <v>2649</v>
      </c>
      <c r="E2425" t="s">
        <v>3123</v>
      </c>
      <c r="F2425" t="s">
        <v>2657</v>
      </c>
      <c r="G2425" t="s">
        <v>280</v>
      </c>
      <c r="H2425" t="s">
        <v>3127</v>
      </c>
      <c r="I2425" t="s">
        <v>41</v>
      </c>
      <c r="J2425"/>
      <c r="K2425">
        <v>1</v>
      </c>
      <c r="L2425">
        <v>1</v>
      </c>
      <c r="M2425" t="s">
        <v>33</v>
      </c>
      <c r="N2425">
        <v>1</v>
      </c>
      <c r="O2425"/>
      <c r="P2425">
        <v>0</v>
      </c>
      <c r="Q2425"/>
      <c r="R2425">
        <v>0</v>
      </c>
      <c r="S2425">
        <v>0</v>
      </c>
      <c r="T2425"/>
      <c r="U2425"/>
      <c r="V2425"/>
      <c r="W2425"/>
      <c r="X2425">
        <v>0</v>
      </c>
      <c r="Y2425"/>
      <c r="Z2425">
        <v>0</v>
      </c>
      <c r="AA2425"/>
      <c r="AB2425"/>
      <c r="AC2425"/>
      <c r="AD2425"/>
      <c r="AE2425">
        <v>0</v>
      </c>
      <c r="AF2425"/>
      <c r="AG2425"/>
      <c r="AH2425"/>
    </row>
    <row r="2426" spans="1:34" x14ac:dyDescent="0.25">
      <c r="A2426" t="s">
        <v>1945</v>
      </c>
      <c r="B2426" t="s">
        <v>1946</v>
      </c>
      <c r="C2426"/>
      <c r="D2426" t="s">
        <v>2649</v>
      </c>
      <c r="E2426" t="s">
        <v>3123</v>
      </c>
      <c r="F2426" t="s">
        <v>2659</v>
      </c>
      <c r="G2426" t="s">
        <v>280</v>
      </c>
      <c r="H2426" t="s">
        <v>3128</v>
      </c>
      <c r="I2426" t="s">
        <v>41</v>
      </c>
      <c r="J2426"/>
      <c r="K2426">
        <v>1</v>
      </c>
      <c r="L2426">
        <v>1</v>
      </c>
      <c r="M2426" t="s">
        <v>33</v>
      </c>
      <c r="N2426">
        <v>1</v>
      </c>
      <c r="O2426"/>
      <c r="P2426">
        <v>0</v>
      </c>
      <c r="Q2426"/>
      <c r="R2426">
        <v>0</v>
      </c>
      <c r="S2426">
        <v>0</v>
      </c>
      <c r="T2426"/>
      <c r="U2426"/>
      <c r="V2426"/>
      <c r="W2426"/>
      <c r="X2426">
        <v>0</v>
      </c>
      <c r="Y2426"/>
      <c r="Z2426">
        <v>0</v>
      </c>
      <c r="AA2426"/>
      <c r="AB2426"/>
      <c r="AC2426"/>
      <c r="AD2426"/>
      <c r="AE2426">
        <v>0</v>
      </c>
      <c r="AF2426"/>
      <c r="AG2426"/>
      <c r="AH2426"/>
    </row>
    <row r="2427" spans="1:34" x14ac:dyDescent="0.25">
      <c r="A2427" t="s">
        <v>1945</v>
      </c>
      <c r="B2427" t="s">
        <v>1946</v>
      </c>
      <c r="C2427"/>
      <c r="D2427" t="s">
        <v>2649</v>
      </c>
      <c r="E2427" t="s">
        <v>3123</v>
      </c>
      <c r="F2427" t="s">
        <v>2661</v>
      </c>
      <c r="G2427" t="s">
        <v>280</v>
      </c>
      <c r="H2427" t="s">
        <v>3129</v>
      </c>
      <c r="I2427" t="s">
        <v>41</v>
      </c>
      <c r="J2427"/>
      <c r="K2427">
        <v>1</v>
      </c>
      <c r="L2427">
        <v>1</v>
      </c>
      <c r="M2427" t="s">
        <v>33</v>
      </c>
      <c r="N2427">
        <v>1</v>
      </c>
      <c r="O2427"/>
      <c r="P2427">
        <v>0</v>
      </c>
      <c r="Q2427"/>
      <c r="R2427">
        <v>0</v>
      </c>
      <c r="S2427">
        <v>0</v>
      </c>
      <c r="T2427"/>
      <c r="U2427"/>
      <c r="V2427"/>
      <c r="W2427"/>
      <c r="X2427">
        <v>0</v>
      </c>
      <c r="Y2427"/>
      <c r="Z2427">
        <v>0</v>
      </c>
      <c r="AA2427"/>
      <c r="AB2427"/>
      <c r="AC2427"/>
      <c r="AD2427"/>
      <c r="AE2427">
        <v>0</v>
      </c>
      <c r="AF2427"/>
      <c r="AG2427"/>
      <c r="AH2427"/>
    </row>
    <row r="2428" spans="1:34" x14ac:dyDescent="0.25">
      <c r="A2428" t="s">
        <v>1945</v>
      </c>
      <c r="B2428" t="s">
        <v>1946</v>
      </c>
      <c r="C2428"/>
      <c r="D2428" t="s">
        <v>2649</v>
      </c>
      <c r="E2428" t="s">
        <v>3123</v>
      </c>
      <c r="F2428" t="s">
        <v>2663</v>
      </c>
      <c r="G2428" t="s">
        <v>280</v>
      </c>
      <c r="H2428" t="s">
        <v>3130</v>
      </c>
      <c r="I2428" t="s">
        <v>41</v>
      </c>
      <c r="J2428"/>
      <c r="K2428">
        <v>1</v>
      </c>
      <c r="L2428">
        <v>1</v>
      </c>
      <c r="M2428" t="s">
        <v>33</v>
      </c>
      <c r="N2428">
        <v>1</v>
      </c>
      <c r="O2428"/>
      <c r="P2428">
        <v>0</v>
      </c>
      <c r="Q2428"/>
      <c r="R2428">
        <v>0</v>
      </c>
      <c r="S2428">
        <v>0</v>
      </c>
      <c r="T2428"/>
      <c r="U2428"/>
      <c r="V2428"/>
      <c r="W2428"/>
      <c r="X2428">
        <v>0</v>
      </c>
      <c r="Y2428"/>
      <c r="Z2428">
        <v>0</v>
      </c>
      <c r="AA2428"/>
      <c r="AB2428"/>
      <c r="AC2428"/>
      <c r="AD2428"/>
      <c r="AE2428">
        <v>0</v>
      </c>
      <c r="AF2428"/>
      <c r="AG2428"/>
      <c r="AH2428"/>
    </row>
    <row r="2429" spans="1:34" x14ac:dyDescent="0.25">
      <c r="A2429" t="s">
        <v>1945</v>
      </c>
      <c r="B2429" t="s">
        <v>1946</v>
      </c>
      <c r="C2429"/>
      <c r="D2429" t="s">
        <v>2649</v>
      </c>
      <c r="E2429" t="s">
        <v>3123</v>
      </c>
      <c r="F2429" t="s">
        <v>2665</v>
      </c>
      <c r="G2429" t="s">
        <v>280</v>
      </c>
      <c r="H2429" t="s">
        <v>3131</v>
      </c>
      <c r="I2429" t="s">
        <v>41</v>
      </c>
      <c r="J2429"/>
      <c r="K2429">
        <v>1</v>
      </c>
      <c r="L2429">
        <v>1</v>
      </c>
      <c r="M2429" t="s">
        <v>33</v>
      </c>
      <c r="N2429">
        <v>1</v>
      </c>
      <c r="O2429"/>
      <c r="P2429">
        <v>0</v>
      </c>
      <c r="Q2429"/>
      <c r="R2429">
        <v>0</v>
      </c>
      <c r="S2429">
        <v>0</v>
      </c>
      <c r="T2429"/>
      <c r="U2429"/>
      <c r="V2429"/>
      <c r="W2429"/>
      <c r="X2429">
        <v>0</v>
      </c>
      <c r="Y2429"/>
      <c r="Z2429">
        <v>0</v>
      </c>
      <c r="AA2429"/>
      <c r="AB2429"/>
      <c r="AC2429"/>
      <c r="AD2429"/>
      <c r="AE2429">
        <v>0</v>
      </c>
      <c r="AF2429"/>
      <c r="AG2429"/>
      <c r="AH2429"/>
    </row>
    <row r="2430" spans="1:34" x14ac:dyDescent="0.25">
      <c r="A2430" t="s">
        <v>1945</v>
      </c>
      <c r="B2430" t="s">
        <v>1946</v>
      </c>
      <c r="C2430"/>
      <c r="D2430" t="s">
        <v>2649</v>
      </c>
      <c r="E2430" t="s">
        <v>3123</v>
      </c>
      <c r="F2430" t="s">
        <v>2667</v>
      </c>
      <c r="G2430" t="s">
        <v>280</v>
      </c>
      <c r="H2430" t="s">
        <v>3132</v>
      </c>
      <c r="I2430" t="s">
        <v>41</v>
      </c>
      <c r="J2430"/>
      <c r="K2430">
        <v>1</v>
      </c>
      <c r="L2430">
        <v>1</v>
      </c>
      <c r="M2430" t="s">
        <v>33</v>
      </c>
      <c r="N2430">
        <v>1</v>
      </c>
      <c r="O2430"/>
      <c r="P2430">
        <v>0</v>
      </c>
      <c r="Q2430"/>
      <c r="R2430">
        <v>0</v>
      </c>
      <c r="S2430">
        <v>0</v>
      </c>
      <c r="T2430"/>
      <c r="U2430"/>
      <c r="V2430"/>
      <c r="W2430"/>
      <c r="X2430">
        <v>0</v>
      </c>
      <c r="Y2430"/>
      <c r="Z2430">
        <v>0</v>
      </c>
      <c r="AA2430"/>
      <c r="AB2430"/>
      <c r="AC2430"/>
      <c r="AD2430"/>
      <c r="AE2430">
        <v>0</v>
      </c>
      <c r="AF2430"/>
      <c r="AG2430"/>
      <c r="AH2430"/>
    </row>
    <row r="2431" spans="1:34" x14ac:dyDescent="0.25">
      <c r="A2431" t="s">
        <v>1945</v>
      </c>
      <c r="B2431" t="s">
        <v>1946</v>
      </c>
      <c r="C2431"/>
      <c r="D2431" t="s">
        <v>2649</v>
      </c>
      <c r="E2431" t="s">
        <v>3123</v>
      </c>
      <c r="F2431" t="s">
        <v>2669</v>
      </c>
      <c r="G2431" t="s">
        <v>280</v>
      </c>
      <c r="H2431" t="s">
        <v>3133</v>
      </c>
      <c r="I2431" t="s">
        <v>41</v>
      </c>
      <c r="J2431"/>
      <c r="K2431">
        <v>1</v>
      </c>
      <c r="L2431">
        <v>1</v>
      </c>
      <c r="M2431" t="s">
        <v>33</v>
      </c>
      <c r="N2431">
        <v>1</v>
      </c>
      <c r="O2431"/>
      <c r="P2431">
        <v>0</v>
      </c>
      <c r="Q2431"/>
      <c r="R2431">
        <v>0</v>
      </c>
      <c r="S2431">
        <v>0</v>
      </c>
      <c r="T2431"/>
      <c r="U2431"/>
      <c r="V2431"/>
      <c r="W2431"/>
      <c r="X2431">
        <v>0</v>
      </c>
      <c r="Y2431"/>
      <c r="Z2431">
        <v>0</v>
      </c>
      <c r="AA2431"/>
      <c r="AB2431"/>
      <c r="AC2431"/>
      <c r="AD2431"/>
      <c r="AE2431">
        <v>0</v>
      </c>
      <c r="AF2431"/>
      <c r="AG2431"/>
      <c r="AH2431"/>
    </row>
    <row r="2432" spans="1:34" x14ac:dyDescent="0.25">
      <c r="A2432" t="s">
        <v>1945</v>
      </c>
      <c r="B2432" t="s">
        <v>1946</v>
      </c>
      <c r="C2432"/>
      <c r="D2432" t="s">
        <v>2649</v>
      </c>
      <c r="E2432" t="s">
        <v>3123</v>
      </c>
      <c r="F2432" t="s">
        <v>3134</v>
      </c>
      <c r="G2432" t="s">
        <v>280</v>
      </c>
      <c r="H2432" t="s">
        <v>3135</v>
      </c>
      <c r="I2432" t="s">
        <v>41</v>
      </c>
      <c r="J2432"/>
      <c r="K2432">
        <v>1</v>
      </c>
      <c r="L2432">
        <v>1</v>
      </c>
      <c r="M2432" t="s">
        <v>33</v>
      </c>
      <c r="N2432">
        <v>1</v>
      </c>
      <c r="O2432"/>
      <c r="P2432">
        <v>0</v>
      </c>
      <c r="Q2432"/>
      <c r="R2432">
        <v>0</v>
      </c>
      <c r="S2432">
        <v>0</v>
      </c>
      <c r="T2432"/>
      <c r="U2432"/>
      <c r="V2432"/>
      <c r="W2432"/>
      <c r="X2432">
        <v>0</v>
      </c>
      <c r="Y2432"/>
      <c r="Z2432">
        <v>0</v>
      </c>
      <c r="AA2432"/>
      <c r="AB2432"/>
      <c r="AC2432"/>
      <c r="AD2432"/>
      <c r="AE2432">
        <v>0</v>
      </c>
      <c r="AF2432"/>
      <c r="AG2432"/>
      <c r="AH2432"/>
    </row>
    <row r="2433" spans="1:34" x14ac:dyDescent="0.25">
      <c r="A2433" t="s">
        <v>1945</v>
      </c>
      <c r="B2433" t="s">
        <v>1946</v>
      </c>
      <c r="C2433"/>
      <c r="D2433" t="s">
        <v>2649</v>
      </c>
      <c r="E2433" t="s">
        <v>3123</v>
      </c>
      <c r="F2433" t="s">
        <v>3136</v>
      </c>
      <c r="G2433" t="s">
        <v>280</v>
      </c>
      <c r="H2433" t="s">
        <v>3137</v>
      </c>
      <c r="I2433" t="s">
        <v>41</v>
      </c>
      <c r="J2433"/>
      <c r="K2433">
        <v>1</v>
      </c>
      <c r="L2433">
        <v>1</v>
      </c>
      <c r="M2433" t="s">
        <v>33</v>
      </c>
      <c r="N2433">
        <v>1</v>
      </c>
      <c r="O2433"/>
      <c r="P2433">
        <v>0</v>
      </c>
      <c r="Q2433"/>
      <c r="R2433">
        <v>0</v>
      </c>
      <c r="S2433">
        <v>0</v>
      </c>
      <c r="T2433"/>
      <c r="U2433"/>
      <c r="V2433"/>
      <c r="W2433"/>
      <c r="X2433">
        <v>0</v>
      </c>
      <c r="Y2433"/>
      <c r="Z2433">
        <v>0</v>
      </c>
      <c r="AA2433"/>
      <c r="AB2433"/>
      <c r="AC2433"/>
      <c r="AD2433"/>
      <c r="AE2433">
        <v>0</v>
      </c>
      <c r="AF2433"/>
      <c r="AG2433"/>
      <c r="AH2433"/>
    </row>
    <row r="2434" spans="1:34" x14ac:dyDescent="0.25">
      <c r="A2434" t="s">
        <v>1945</v>
      </c>
      <c r="B2434" t="s">
        <v>1946</v>
      </c>
      <c r="C2434"/>
      <c r="D2434" t="s">
        <v>2649</v>
      </c>
      <c r="E2434" t="s">
        <v>3123</v>
      </c>
      <c r="F2434" t="s">
        <v>3138</v>
      </c>
      <c r="G2434" t="s">
        <v>280</v>
      </c>
      <c r="H2434" t="s">
        <v>3139</v>
      </c>
      <c r="I2434" t="s">
        <v>41</v>
      </c>
      <c r="J2434"/>
      <c r="K2434">
        <v>1</v>
      </c>
      <c r="L2434">
        <v>1</v>
      </c>
      <c r="M2434" t="s">
        <v>33</v>
      </c>
      <c r="N2434">
        <v>1</v>
      </c>
      <c r="O2434"/>
      <c r="P2434">
        <v>0</v>
      </c>
      <c r="Q2434"/>
      <c r="R2434">
        <v>0</v>
      </c>
      <c r="S2434">
        <v>0</v>
      </c>
      <c r="T2434"/>
      <c r="U2434"/>
      <c r="V2434"/>
      <c r="W2434"/>
      <c r="X2434">
        <v>0</v>
      </c>
      <c r="Y2434"/>
      <c r="Z2434">
        <v>0</v>
      </c>
      <c r="AA2434"/>
      <c r="AB2434"/>
      <c r="AC2434"/>
      <c r="AD2434"/>
      <c r="AE2434">
        <v>0</v>
      </c>
      <c r="AF2434"/>
      <c r="AG2434"/>
      <c r="AH2434"/>
    </row>
    <row r="2435" spans="1:34" x14ac:dyDescent="0.25">
      <c r="A2435" t="s">
        <v>1945</v>
      </c>
      <c r="B2435" t="s">
        <v>1946</v>
      </c>
      <c r="C2435"/>
      <c r="D2435" t="s">
        <v>2649</v>
      </c>
      <c r="E2435" t="s">
        <v>3123</v>
      </c>
      <c r="F2435" t="s">
        <v>3140</v>
      </c>
      <c r="G2435" t="s">
        <v>280</v>
      </c>
      <c r="H2435" t="s">
        <v>3141</v>
      </c>
      <c r="I2435" t="s">
        <v>41</v>
      </c>
      <c r="J2435"/>
      <c r="K2435">
        <v>1</v>
      </c>
      <c r="L2435">
        <v>1</v>
      </c>
      <c r="M2435" t="s">
        <v>33</v>
      </c>
      <c r="N2435">
        <v>1</v>
      </c>
      <c r="O2435"/>
      <c r="P2435">
        <v>0</v>
      </c>
      <c r="Q2435"/>
      <c r="R2435">
        <v>0</v>
      </c>
      <c r="S2435">
        <v>0</v>
      </c>
      <c r="T2435"/>
      <c r="U2435"/>
      <c r="V2435"/>
      <c r="W2435"/>
      <c r="X2435">
        <v>0</v>
      </c>
      <c r="Y2435"/>
      <c r="Z2435">
        <v>0</v>
      </c>
      <c r="AA2435"/>
      <c r="AB2435"/>
      <c r="AC2435"/>
      <c r="AD2435"/>
      <c r="AE2435">
        <v>0</v>
      </c>
      <c r="AF2435"/>
      <c r="AG2435"/>
      <c r="AH2435"/>
    </row>
    <row r="2436" spans="1:34" x14ac:dyDescent="0.25">
      <c r="A2436" t="s">
        <v>1945</v>
      </c>
      <c r="B2436" t="s">
        <v>1946</v>
      </c>
      <c r="C2436"/>
      <c r="D2436" t="s">
        <v>2649</v>
      </c>
      <c r="E2436" t="s">
        <v>3123</v>
      </c>
      <c r="F2436" t="s">
        <v>3142</v>
      </c>
      <c r="G2436" t="s">
        <v>280</v>
      </c>
      <c r="H2436" t="s">
        <v>3143</v>
      </c>
      <c r="I2436" t="s">
        <v>41</v>
      </c>
      <c r="J2436"/>
      <c r="K2436">
        <v>1</v>
      </c>
      <c r="L2436">
        <v>1</v>
      </c>
      <c r="M2436" t="s">
        <v>33</v>
      </c>
      <c r="N2436">
        <v>1</v>
      </c>
      <c r="O2436"/>
      <c r="P2436">
        <v>0</v>
      </c>
      <c r="Q2436"/>
      <c r="R2436">
        <v>0</v>
      </c>
      <c r="S2436">
        <v>0</v>
      </c>
      <c r="T2436"/>
      <c r="U2436"/>
      <c r="V2436"/>
      <c r="W2436"/>
      <c r="X2436">
        <v>0</v>
      </c>
      <c r="Y2436"/>
      <c r="Z2436">
        <v>0</v>
      </c>
      <c r="AA2436"/>
      <c r="AB2436"/>
      <c r="AC2436"/>
      <c r="AD2436"/>
      <c r="AE2436">
        <v>0</v>
      </c>
      <c r="AF2436"/>
      <c r="AG2436"/>
      <c r="AH2436"/>
    </row>
    <row r="2437" spans="1:34" x14ac:dyDescent="0.25">
      <c r="A2437" t="s">
        <v>1945</v>
      </c>
      <c r="B2437" t="s">
        <v>1946</v>
      </c>
      <c r="C2437"/>
      <c r="D2437" t="s">
        <v>2649</v>
      </c>
      <c r="E2437" t="s">
        <v>3123</v>
      </c>
      <c r="F2437" t="s">
        <v>3144</v>
      </c>
      <c r="G2437" t="s">
        <v>280</v>
      </c>
      <c r="H2437" t="s">
        <v>3145</v>
      </c>
      <c r="I2437" t="s">
        <v>41</v>
      </c>
      <c r="J2437"/>
      <c r="K2437">
        <v>1</v>
      </c>
      <c r="L2437">
        <v>1</v>
      </c>
      <c r="M2437" t="s">
        <v>33</v>
      </c>
      <c r="N2437">
        <v>1</v>
      </c>
      <c r="O2437"/>
      <c r="P2437">
        <v>0</v>
      </c>
      <c r="Q2437"/>
      <c r="R2437">
        <v>0</v>
      </c>
      <c r="S2437">
        <v>0</v>
      </c>
      <c r="T2437"/>
      <c r="U2437"/>
      <c r="V2437"/>
      <c r="W2437"/>
      <c r="X2437">
        <v>0</v>
      </c>
      <c r="Y2437"/>
      <c r="Z2437">
        <v>0</v>
      </c>
      <c r="AA2437"/>
      <c r="AB2437"/>
      <c r="AC2437"/>
      <c r="AD2437"/>
      <c r="AE2437">
        <v>0</v>
      </c>
      <c r="AF2437"/>
      <c r="AG2437"/>
      <c r="AH2437"/>
    </row>
    <row r="2438" spans="1:34" x14ac:dyDescent="0.25">
      <c r="A2438" t="s">
        <v>1945</v>
      </c>
      <c r="B2438" t="s">
        <v>1946</v>
      </c>
      <c r="C2438"/>
      <c r="D2438" t="s">
        <v>2649</v>
      </c>
      <c r="E2438" t="s">
        <v>3123</v>
      </c>
      <c r="F2438" t="s">
        <v>3146</v>
      </c>
      <c r="G2438" t="s">
        <v>280</v>
      </c>
      <c r="H2438" t="s">
        <v>3147</v>
      </c>
      <c r="I2438" t="s">
        <v>41</v>
      </c>
      <c r="J2438"/>
      <c r="K2438">
        <v>1</v>
      </c>
      <c r="L2438">
        <v>1</v>
      </c>
      <c r="M2438" t="s">
        <v>33</v>
      </c>
      <c r="N2438">
        <v>1</v>
      </c>
      <c r="O2438"/>
      <c r="P2438">
        <v>0</v>
      </c>
      <c r="Q2438"/>
      <c r="R2438">
        <v>0</v>
      </c>
      <c r="S2438">
        <v>0</v>
      </c>
      <c r="T2438"/>
      <c r="U2438"/>
      <c r="V2438"/>
      <c r="W2438"/>
      <c r="X2438">
        <v>0</v>
      </c>
      <c r="Y2438"/>
      <c r="Z2438">
        <v>0</v>
      </c>
      <c r="AA2438"/>
      <c r="AB2438"/>
      <c r="AC2438"/>
      <c r="AD2438"/>
      <c r="AE2438">
        <v>0</v>
      </c>
      <c r="AF2438"/>
      <c r="AG2438"/>
      <c r="AH2438"/>
    </row>
    <row r="2439" spans="1:34" x14ac:dyDescent="0.25">
      <c r="A2439" t="s">
        <v>1945</v>
      </c>
      <c r="B2439" t="s">
        <v>1946</v>
      </c>
      <c r="C2439"/>
      <c r="D2439" t="s">
        <v>2649</v>
      </c>
      <c r="E2439" t="s">
        <v>3123</v>
      </c>
      <c r="F2439" t="s">
        <v>3148</v>
      </c>
      <c r="G2439" t="s">
        <v>280</v>
      </c>
      <c r="H2439" t="s">
        <v>3149</v>
      </c>
      <c r="I2439" t="s">
        <v>41</v>
      </c>
      <c r="J2439"/>
      <c r="K2439">
        <v>1</v>
      </c>
      <c r="L2439">
        <v>1</v>
      </c>
      <c r="M2439" t="s">
        <v>33</v>
      </c>
      <c r="N2439">
        <v>1</v>
      </c>
      <c r="O2439"/>
      <c r="P2439">
        <v>0</v>
      </c>
      <c r="Q2439"/>
      <c r="R2439">
        <v>0</v>
      </c>
      <c r="S2439">
        <v>0</v>
      </c>
      <c r="T2439"/>
      <c r="U2439"/>
      <c r="V2439"/>
      <c r="W2439"/>
      <c r="X2439">
        <v>0</v>
      </c>
      <c r="Y2439"/>
      <c r="Z2439">
        <v>0</v>
      </c>
      <c r="AA2439"/>
      <c r="AB2439"/>
      <c r="AC2439"/>
      <c r="AD2439"/>
      <c r="AE2439">
        <v>0</v>
      </c>
      <c r="AF2439"/>
      <c r="AG2439"/>
      <c r="AH2439"/>
    </row>
    <row r="2440" spans="1:34" x14ac:dyDescent="0.25">
      <c r="A2440" t="s">
        <v>1945</v>
      </c>
      <c r="B2440" t="s">
        <v>1946</v>
      </c>
      <c r="C2440"/>
      <c r="D2440" t="s">
        <v>2649</v>
      </c>
      <c r="E2440" t="s">
        <v>3123</v>
      </c>
      <c r="F2440" t="s">
        <v>2689</v>
      </c>
      <c r="G2440" t="s">
        <v>280</v>
      </c>
      <c r="H2440" t="s">
        <v>3150</v>
      </c>
      <c r="I2440" t="s">
        <v>41</v>
      </c>
      <c r="J2440"/>
      <c r="K2440">
        <v>1</v>
      </c>
      <c r="L2440">
        <v>1</v>
      </c>
      <c r="M2440" t="s">
        <v>33</v>
      </c>
      <c r="N2440">
        <v>1</v>
      </c>
      <c r="O2440"/>
      <c r="P2440">
        <v>0</v>
      </c>
      <c r="Q2440"/>
      <c r="R2440">
        <v>0</v>
      </c>
      <c r="S2440">
        <v>0</v>
      </c>
      <c r="T2440"/>
      <c r="U2440"/>
      <c r="V2440"/>
      <c r="W2440"/>
      <c r="X2440">
        <v>0</v>
      </c>
      <c r="Y2440"/>
      <c r="Z2440">
        <v>0</v>
      </c>
      <c r="AA2440"/>
      <c r="AB2440"/>
      <c r="AC2440"/>
      <c r="AD2440"/>
      <c r="AE2440">
        <v>0</v>
      </c>
      <c r="AF2440"/>
      <c r="AG2440"/>
      <c r="AH2440"/>
    </row>
    <row r="2441" spans="1:34" x14ac:dyDescent="0.25">
      <c r="A2441" t="s">
        <v>1945</v>
      </c>
      <c r="B2441" t="s">
        <v>1946</v>
      </c>
      <c r="C2441"/>
      <c r="D2441" t="s">
        <v>2649</v>
      </c>
      <c r="E2441" t="s">
        <v>3123</v>
      </c>
      <c r="F2441" t="s">
        <v>2691</v>
      </c>
      <c r="G2441" t="s">
        <v>280</v>
      </c>
      <c r="H2441" t="s">
        <v>3151</v>
      </c>
      <c r="I2441" t="s">
        <v>41</v>
      </c>
      <c r="J2441"/>
      <c r="K2441">
        <v>1</v>
      </c>
      <c r="L2441">
        <v>1</v>
      </c>
      <c r="M2441" t="s">
        <v>33</v>
      </c>
      <c r="N2441">
        <v>1</v>
      </c>
      <c r="O2441"/>
      <c r="P2441">
        <v>0</v>
      </c>
      <c r="Q2441"/>
      <c r="R2441">
        <v>0</v>
      </c>
      <c r="S2441">
        <v>0</v>
      </c>
      <c r="T2441"/>
      <c r="U2441"/>
      <c r="V2441"/>
      <c r="W2441"/>
      <c r="X2441">
        <v>0</v>
      </c>
      <c r="Y2441"/>
      <c r="Z2441">
        <v>0</v>
      </c>
      <c r="AA2441"/>
      <c r="AB2441"/>
      <c r="AC2441"/>
      <c r="AD2441"/>
      <c r="AE2441">
        <v>0</v>
      </c>
      <c r="AF2441"/>
      <c r="AG2441"/>
      <c r="AH2441"/>
    </row>
    <row r="2442" spans="1:34" x14ac:dyDescent="0.25">
      <c r="A2442" t="s">
        <v>1945</v>
      </c>
      <c r="B2442" t="s">
        <v>1946</v>
      </c>
      <c r="C2442"/>
      <c r="D2442" t="s">
        <v>2649</v>
      </c>
      <c r="E2442" t="s">
        <v>3123</v>
      </c>
      <c r="F2442" t="s">
        <v>3152</v>
      </c>
      <c r="G2442" t="s">
        <v>280</v>
      </c>
      <c r="H2442" t="s">
        <v>3153</v>
      </c>
      <c r="I2442" t="s">
        <v>41</v>
      </c>
      <c r="J2442"/>
      <c r="K2442">
        <v>1</v>
      </c>
      <c r="L2442">
        <v>1</v>
      </c>
      <c r="M2442" t="s">
        <v>33</v>
      </c>
      <c r="N2442">
        <v>1</v>
      </c>
      <c r="O2442"/>
      <c r="P2442">
        <v>0</v>
      </c>
      <c r="Q2442"/>
      <c r="R2442">
        <v>0</v>
      </c>
      <c r="S2442">
        <v>0</v>
      </c>
      <c r="T2442"/>
      <c r="U2442"/>
      <c r="V2442"/>
      <c r="W2442"/>
      <c r="X2442">
        <v>0</v>
      </c>
      <c r="Y2442"/>
      <c r="Z2442">
        <v>0</v>
      </c>
      <c r="AA2442"/>
      <c r="AB2442"/>
      <c r="AC2442"/>
      <c r="AD2442"/>
      <c r="AE2442">
        <v>0</v>
      </c>
      <c r="AF2442"/>
      <c r="AG2442"/>
      <c r="AH2442"/>
    </row>
    <row r="2443" spans="1:34" x14ac:dyDescent="0.25">
      <c r="A2443" t="s">
        <v>1945</v>
      </c>
      <c r="B2443" t="s">
        <v>1946</v>
      </c>
      <c r="C2443"/>
      <c r="D2443" t="s">
        <v>2649</v>
      </c>
      <c r="E2443" t="s">
        <v>3123</v>
      </c>
      <c r="F2443" t="s">
        <v>3154</v>
      </c>
      <c r="G2443" t="s">
        <v>280</v>
      </c>
      <c r="H2443" t="s">
        <v>3155</v>
      </c>
      <c r="I2443" t="s">
        <v>41</v>
      </c>
      <c r="J2443"/>
      <c r="K2443">
        <v>1</v>
      </c>
      <c r="L2443">
        <v>1</v>
      </c>
      <c r="M2443" t="s">
        <v>33</v>
      </c>
      <c r="N2443">
        <v>1</v>
      </c>
      <c r="O2443"/>
      <c r="P2443">
        <v>0</v>
      </c>
      <c r="Q2443"/>
      <c r="R2443">
        <v>0</v>
      </c>
      <c r="S2443">
        <v>0</v>
      </c>
      <c r="T2443"/>
      <c r="U2443"/>
      <c r="V2443"/>
      <c r="W2443"/>
      <c r="X2443">
        <v>0</v>
      </c>
      <c r="Y2443"/>
      <c r="Z2443">
        <v>0</v>
      </c>
      <c r="AA2443"/>
      <c r="AB2443"/>
      <c r="AC2443"/>
      <c r="AD2443"/>
      <c r="AE2443">
        <v>0</v>
      </c>
      <c r="AF2443"/>
      <c r="AG2443"/>
      <c r="AH2443"/>
    </row>
    <row r="2444" spans="1:34" x14ac:dyDescent="0.25">
      <c r="A2444" t="s">
        <v>1945</v>
      </c>
      <c r="B2444" t="s">
        <v>1946</v>
      </c>
      <c r="C2444"/>
      <c r="D2444" t="s">
        <v>2649</v>
      </c>
      <c r="E2444" t="s">
        <v>3123</v>
      </c>
      <c r="F2444" t="s">
        <v>3156</v>
      </c>
      <c r="G2444" t="s">
        <v>280</v>
      </c>
      <c r="H2444" t="s">
        <v>3157</v>
      </c>
      <c r="I2444" t="s">
        <v>41</v>
      </c>
      <c r="J2444"/>
      <c r="K2444">
        <v>1</v>
      </c>
      <c r="L2444">
        <v>1</v>
      </c>
      <c r="M2444" t="s">
        <v>33</v>
      </c>
      <c r="N2444">
        <v>1</v>
      </c>
      <c r="O2444"/>
      <c r="P2444">
        <v>0</v>
      </c>
      <c r="Q2444"/>
      <c r="R2444">
        <v>0</v>
      </c>
      <c r="S2444">
        <v>0</v>
      </c>
      <c r="T2444"/>
      <c r="U2444"/>
      <c r="V2444"/>
      <c r="W2444"/>
      <c r="X2444">
        <v>0</v>
      </c>
      <c r="Y2444"/>
      <c r="Z2444">
        <v>0</v>
      </c>
      <c r="AA2444"/>
      <c r="AB2444"/>
      <c r="AC2444"/>
      <c r="AD2444"/>
      <c r="AE2444">
        <v>0</v>
      </c>
      <c r="AF2444"/>
      <c r="AG2444"/>
      <c r="AH2444"/>
    </row>
    <row r="2445" spans="1:34" x14ac:dyDescent="0.25">
      <c r="A2445" t="s">
        <v>1945</v>
      </c>
      <c r="B2445" t="s">
        <v>1946</v>
      </c>
      <c r="C2445"/>
      <c r="D2445" t="s">
        <v>2649</v>
      </c>
      <c r="E2445" t="s">
        <v>3123</v>
      </c>
      <c r="F2445" t="s">
        <v>3158</v>
      </c>
      <c r="G2445" t="s">
        <v>280</v>
      </c>
      <c r="H2445" t="s">
        <v>3159</v>
      </c>
      <c r="I2445" t="s">
        <v>41</v>
      </c>
      <c r="J2445"/>
      <c r="K2445">
        <v>1</v>
      </c>
      <c r="L2445">
        <v>1</v>
      </c>
      <c r="M2445" t="s">
        <v>33</v>
      </c>
      <c r="N2445">
        <v>1</v>
      </c>
      <c r="O2445"/>
      <c r="P2445">
        <v>0</v>
      </c>
      <c r="Q2445"/>
      <c r="R2445">
        <v>0</v>
      </c>
      <c r="S2445">
        <v>0</v>
      </c>
      <c r="T2445"/>
      <c r="U2445"/>
      <c r="V2445"/>
      <c r="W2445"/>
      <c r="X2445">
        <v>0</v>
      </c>
      <c r="Y2445"/>
      <c r="Z2445">
        <v>0</v>
      </c>
      <c r="AA2445"/>
      <c r="AB2445"/>
      <c r="AC2445"/>
      <c r="AD2445"/>
      <c r="AE2445">
        <v>0</v>
      </c>
      <c r="AF2445"/>
      <c r="AG2445"/>
      <c r="AH2445"/>
    </row>
    <row r="2446" spans="1:34" x14ac:dyDescent="0.25">
      <c r="A2446" t="s">
        <v>1945</v>
      </c>
      <c r="B2446" t="s">
        <v>1946</v>
      </c>
      <c r="C2446"/>
      <c r="D2446" t="s">
        <v>2649</v>
      </c>
      <c r="E2446" t="s">
        <v>3123</v>
      </c>
      <c r="F2446" t="s">
        <v>3160</v>
      </c>
      <c r="G2446" t="s">
        <v>280</v>
      </c>
      <c r="H2446" t="s">
        <v>3161</v>
      </c>
      <c r="I2446" t="s">
        <v>41</v>
      </c>
      <c r="J2446"/>
      <c r="K2446">
        <v>1</v>
      </c>
      <c r="L2446">
        <v>1</v>
      </c>
      <c r="M2446" t="s">
        <v>33</v>
      </c>
      <c r="N2446">
        <v>1</v>
      </c>
      <c r="O2446"/>
      <c r="P2446">
        <v>0</v>
      </c>
      <c r="Q2446"/>
      <c r="R2446">
        <v>0</v>
      </c>
      <c r="S2446">
        <v>0</v>
      </c>
      <c r="T2446"/>
      <c r="U2446"/>
      <c r="V2446"/>
      <c r="W2446"/>
      <c r="X2446">
        <v>0</v>
      </c>
      <c r="Y2446"/>
      <c r="Z2446">
        <v>0</v>
      </c>
      <c r="AA2446"/>
      <c r="AB2446"/>
      <c r="AC2446"/>
      <c r="AD2446"/>
      <c r="AE2446">
        <v>0</v>
      </c>
      <c r="AF2446"/>
      <c r="AG2446"/>
      <c r="AH2446"/>
    </row>
    <row r="2447" spans="1:34" x14ac:dyDescent="0.25">
      <c r="A2447" t="s">
        <v>2058</v>
      </c>
      <c r="B2447" t="s">
        <v>2059</v>
      </c>
      <c r="C2447"/>
      <c r="D2447" t="s">
        <v>2649</v>
      </c>
      <c r="E2447" t="s">
        <v>3162</v>
      </c>
      <c r="F2447" t="s">
        <v>2661</v>
      </c>
      <c r="G2447" t="s">
        <v>280</v>
      </c>
      <c r="H2447" t="s">
        <v>3163</v>
      </c>
      <c r="I2447" t="s">
        <v>35</v>
      </c>
      <c r="J2447"/>
      <c r="K2447">
        <v>1</v>
      </c>
      <c r="L2447">
        <v>1</v>
      </c>
      <c r="M2447" t="s">
        <v>33</v>
      </c>
      <c r="N2447">
        <v>1</v>
      </c>
      <c r="O2447"/>
      <c r="P2447">
        <v>0</v>
      </c>
      <c r="Q2447" t="s">
        <v>38</v>
      </c>
      <c r="R2447">
        <v>1</v>
      </c>
      <c r="S2447">
        <v>0</v>
      </c>
      <c r="T2447"/>
      <c r="U2447"/>
      <c r="V2447"/>
      <c r="W2447"/>
      <c r="X2447">
        <v>0</v>
      </c>
      <c r="Y2447"/>
      <c r="Z2447">
        <v>0</v>
      </c>
      <c r="AA2447"/>
      <c r="AB2447"/>
      <c r="AC2447"/>
      <c r="AD2447"/>
      <c r="AE2447">
        <v>0</v>
      </c>
      <c r="AF2447"/>
      <c r="AG2447" t="s">
        <v>3469</v>
      </c>
      <c r="AH2447"/>
    </row>
    <row r="2448" spans="1:34" x14ac:dyDescent="0.25">
      <c r="A2448" t="s">
        <v>2058</v>
      </c>
      <c r="B2448" t="s">
        <v>2059</v>
      </c>
      <c r="C2448"/>
      <c r="D2448" t="s">
        <v>2649</v>
      </c>
      <c r="E2448" t="s">
        <v>3162</v>
      </c>
      <c r="F2448" t="s">
        <v>3146</v>
      </c>
      <c r="G2448" t="s">
        <v>280</v>
      </c>
      <c r="H2448" t="s">
        <v>3164</v>
      </c>
      <c r="I2448" t="s">
        <v>35</v>
      </c>
      <c r="J2448"/>
      <c r="K2448">
        <v>1</v>
      </c>
      <c r="L2448">
        <v>1</v>
      </c>
      <c r="M2448" t="s">
        <v>33</v>
      </c>
      <c r="N2448">
        <v>1</v>
      </c>
      <c r="O2448"/>
      <c r="P2448">
        <v>0</v>
      </c>
      <c r="Q2448" t="s">
        <v>38</v>
      </c>
      <c r="R2448">
        <v>1</v>
      </c>
      <c r="S2448">
        <v>0</v>
      </c>
      <c r="T2448"/>
      <c r="U2448"/>
      <c r="V2448"/>
      <c r="W2448"/>
      <c r="X2448">
        <v>0</v>
      </c>
      <c r="Y2448"/>
      <c r="Z2448">
        <v>0</v>
      </c>
      <c r="AA2448"/>
      <c r="AB2448"/>
      <c r="AC2448"/>
      <c r="AD2448"/>
      <c r="AE2448">
        <v>0</v>
      </c>
      <c r="AF2448"/>
      <c r="AG2448" t="s">
        <v>3469</v>
      </c>
      <c r="AH2448"/>
    </row>
    <row r="2449" spans="1:34" x14ac:dyDescent="0.25">
      <c r="A2449" t="s">
        <v>2058</v>
      </c>
      <c r="B2449" t="s">
        <v>2059</v>
      </c>
      <c r="C2449"/>
      <c r="D2449" t="s">
        <v>2649</v>
      </c>
      <c r="E2449" t="s">
        <v>3162</v>
      </c>
      <c r="F2449" t="s">
        <v>3165</v>
      </c>
      <c r="G2449" t="s">
        <v>280</v>
      </c>
      <c r="H2449" t="s">
        <v>3166</v>
      </c>
      <c r="I2449" t="s">
        <v>35</v>
      </c>
      <c r="J2449"/>
      <c r="K2449">
        <v>1</v>
      </c>
      <c r="L2449">
        <v>1</v>
      </c>
      <c r="M2449" t="s">
        <v>33</v>
      </c>
      <c r="N2449">
        <v>1</v>
      </c>
      <c r="O2449"/>
      <c r="P2449">
        <v>0</v>
      </c>
      <c r="Q2449" t="s">
        <v>38</v>
      </c>
      <c r="R2449">
        <v>1</v>
      </c>
      <c r="S2449">
        <v>0</v>
      </c>
      <c r="T2449"/>
      <c r="U2449"/>
      <c r="V2449"/>
      <c r="W2449"/>
      <c r="X2449">
        <v>0</v>
      </c>
      <c r="Y2449"/>
      <c r="Z2449">
        <v>0</v>
      </c>
      <c r="AA2449"/>
      <c r="AB2449"/>
      <c r="AC2449"/>
      <c r="AD2449"/>
      <c r="AE2449">
        <v>0</v>
      </c>
      <c r="AF2449"/>
      <c r="AG2449" t="s">
        <v>3469</v>
      </c>
      <c r="AH2449"/>
    </row>
    <row r="2450" spans="1:34" x14ac:dyDescent="0.25">
      <c r="A2450" t="s">
        <v>3167</v>
      </c>
      <c r="B2450" t="s">
        <v>3168</v>
      </c>
      <c r="C2450"/>
      <c r="D2450" t="s">
        <v>2649</v>
      </c>
      <c r="E2450" t="s">
        <v>3169</v>
      </c>
      <c r="F2450" t="s">
        <v>2661</v>
      </c>
      <c r="G2450" t="s">
        <v>280</v>
      </c>
      <c r="H2450" t="s">
        <v>3170</v>
      </c>
      <c r="I2450" t="s">
        <v>35</v>
      </c>
      <c r="J2450"/>
      <c r="K2450">
        <v>1</v>
      </c>
      <c r="L2450">
        <v>1</v>
      </c>
      <c r="M2450" t="s">
        <v>33</v>
      </c>
      <c r="N2450">
        <v>1</v>
      </c>
      <c r="O2450"/>
      <c r="P2450">
        <v>0</v>
      </c>
      <c r="Q2450" t="s">
        <v>38</v>
      </c>
      <c r="R2450">
        <v>1</v>
      </c>
      <c r="S2450">
        <v>0</v>
      </c>
      <c r="T2450"/>
      <c r="U2450"/>
      <c r="V2450"/>
      <c r="W2450"/>
      <c r="X2450">
        <v>0</v>
      </c>
      <c r="Y2450"/>
      <c r="Z2450">
        <v>0</v>
      </c>
      <c r="AA2450"/>
      <c r="AB2450"/>
      <c r="AC2450"/>
      <c r="AD2450"/>
      <c r="AE2450">
        <v>0</v>
      </c>
      <c r="AF2450"/>
      <c r="AG2450" t="s">
        <v>3465</v>
      </c>
      <c r="AH2450"/>
    </row>
    <row r="2451" spans="1:34" x14ac:dyDescent="0.25">
      <c r="A2451" t="s">
        <v>3167</v>
      </c>
      <c r="B2451" t="s">
        <v>3168</v>
      </c>
      <c r="C2451"/>
      <c r="D2451" t="s">
        <v>2649</v>
      </c>
      <c r="E2451" t="s">
        <v>3169</v>
      </c>
      <c r="F2451" t="s">
        <v>3171</v>
      </c>
      <c r="G2451" t="s">
        <v>280</v>
      </c>
      <c r="H2451" t="s">
        <v>3172</v>
      </c>
      <c r="I2451" t="s">
        <v>35</v>
      </c>
      <c r="J2451"/>
      <c r="K2451">
        <v>1</v>
      </c>
      <c r="L2451">
        <v>1</v>
      </c>
      <c r="M2451" t="s">
        <v>33</v>
      </c>
      <c r="N2451">
        <v>1</v>
      </c>
      <c r="O2451"/>
      <c r="P2451">
        <v>0</v>
      </c>
      <c r="Q2451" t="s">
        <v>38</v>
      </c>
      <c r="R2451">
        <v>1</v>
      </c>
      <c r="S2451">
        <v>0</v>
      </c>
      <c r="T2451"/>
      <c r="U2451"/>
      <c r="V2451"/>
      <c r="W2451"/>
      <c r="X2451">
        <v>0</v>
      </c>
      <c r="Y2451"/>
      <c r="Z2451">
        <v>0</v>
      </c>
      <c r="AA2451"/>
      <c r="AB2451"/>
      <c r="AC2451"/>
      <c r="AD2451"/>
      <c r="AE2451">
        <v>0</v>
      </c>
      <c r="AF2451"/>
      <c r="AG2451" t="s">
        <v>3465</v>
      </c>
      <c r="AH2451"/>
    </row>
    <row r="2452" spans="1:34" x14ac:dyDescent="0.25">
      <c r="A2452" t="s">
        <v>3167</v>
      </c>
      <c r="B2452" t="s">
        <v>3168</v>
      </c>
      <c r="C2452"/>
      <c r="D2452" t="s">
        <v>2649</v>
      </c>
      <c r="E2452" t="s">
        <v>3169</v>
      </c>
      <c r="F2452" t="s">
        <v>3148</v>
      </c>
      <c r="G2452" t="s">
        <v>280</v>
      </c>
      <c r="H2452" t="s">
        <v>3173</v>
      </c>
      <c r="I2452" t="s">
        <v>35</v>
      </c>
      <c r="J2452"/>
      <c r="K2452">
        <v>1</v>
      </c>
      <c r="L2452">
        <v>1</v>
      </c>
      <c r="M2452" t="s">
        <v>33</v>
      </c>
      <c r="N2452">
        <v>1</v>
      </c>
      <c r="O2452"/>
      <c r="P2452">
        <v>0</v>
      </c>
      <c r="Q2452" t="s">
        <v>38</v>
      </c>
      <c r="R2452">
        <v>1</v>
      </c>
      <c r="S2452">
        <v>0</v>
      </c>
      <c r="T2452"/>
      <c r="U2452"/>
      <c r="V2452"/>
      <c r="W2452"/>
      <c r="X2452">
        <v>0</v>
      </c>
      <c r="Y2452"/>
      <c r="Z2452">
        <v>0</v>
      </c>
      <c r="AA2452"/>
      <c r="AB2452"/>
      <c r="AC2452"/>
      <c r="AD2452"/>
      <c r="AE2452">
        <v>0</v>
      </c>
      <c r="AF2452"/>
      <c r="AG2452" t="s">
        <v>3465</v>
      </c>
      <c r="AH2452"/>
    </row>
    <row r="2453" spans="1:34" x14ac:dyDescent="0.25">
      <c r="A2453" t="s">
        <v>3167</v>
      </c>
      <c r="B2453" t="s">
        <v>3168</v>
      </c>
      <c r="C2453"/>
      <c r="D2453" t="s">
        <v>2649</v>
      </c>
      <c r="E2453" t="s">
        <v>3169</v>
      </c>
      <c r="F2453" t="s">
        <v>3174</v>
      </c>
      <c r="G2453" t="s">
        <v>280</v>
      </c>
      <c r="H2453" t="s">
        <v>3175</v>
      </c>
      <c r="I2453" t="s">
        <v>35</v>
      </c>
      <c r="J2453"/>
      <c r="K2453">
        <v>1</v>
      </c>
      <c r="L2453">
        <v>1</v>
      </c>
      <c r="M2453" t="s">
        <v>33</v>
      </c>
      <c r="N2453">
        <v>1</v>
      </c>
      <c r="O2453"/>
      <c r="P2453">
        <v>0</v>
      </c>
      <c r="Q2453" t="s">
        <v>38</v>
      </c>
      <c r="R2453">
        <v>1</v>
      </c>
      <c r="S2453">
        <v>0</v>
      </c>
      <c r="T2453"/>
      <c r="U2453"/>
      <c r="V2453"/>
      <c r="W2453"/>
      <c r="X2453">
        <v>0</v>
      </c>
      <c r="Y2453"/>
      <c r="Z2453">
        <v>0</v>
      </c>
      <c r="AA2453"/>
      <c r="AB2453"/>
      <c r="AC2453"/>
      <c r="AD2453"/>
      <c r="AE2453">
        <v>0</v>
      </c>
      <c r="AF2453"/>
      <c r="AG2453" t="s">
        <v>3465</v>
      </c>
      <c r="AH2453"/>
    </row>
    <row r="2454" spans="1:34" x14ac:dyDescent="0.25">
      <c r="A2454" t="s">
        <v>3167</v>
      </c>
      <c r="B2454" t="s">
        <v>3168</v>
      </c>
      <c r="C2454"/>
      <c r="D2454" t="s">
        <v>2649</v>
      </c>
      <c r="E2454" t="s">
        <v>3169</v>
      </c>
      <c r="F2454" t="s">
        <v>3176</v>
      </c>
      <c r="G2454" t="s">
        <v>280</v>
      </c>
      <c r="H2454" t="s">
        <v>3177</v>
      </c>
      <c r="I2454" t="s">
        <v>35</v>
      </c>
      <c r="J2454"/>
      <c r="K2454">
        <v>1</v>
      </c>
      <c r="L2454">
        <v>1</v>
      </c>
      <c r="M2454" t="s">
        <v>33</v>
      </c>
      <c r="N2454">
        <v>1</v>
      </c>
      <c r="O2454"/>
      <c r="P2454">
        <v>0</v>
      </c>
      <c r="Q2454" t="s">
        <v>38</v>
      </c>
      <c r="R2454">
        <v>1</v>
      </c>
      <c r="S2454">
        <v>0</v>
      </c>
      <c r="T2454"/>
      <c r="U2454"/>
      <c r="V2454"/>
      <c r="W2454"/>
      <c r="X2454">
        <v>0</v>
      </c>
      <c r="Y2454"/>
      <c r="Z2454">
        <v>0</v>
      </c>
      <c r="AA2454"/>
      <c r="AB2454"/>
      <c r="AC2454"/>
      <c r="AD2454"/>
      <c r="AE2454">
        <v>0</v>
      </c>
      <c r="AF2454"/>
      <c r="AG2454" t="s">
        <v>3465</v>
      </c>
      <c r="AH2454"/>
    </row>
    <row r="2455" spans="1:34" x14ac:dyDescent="0.25">
      <c r="A2455" t="s">
        <v>3167</v>
      </c>
      <c r="B2455" t="s">
        <v>3168</v>
      </c>
      <c r="C2455"/>
      <c r="D2455" t="s">
        <v>2649</v>
      </c>
      <c r="E2455" t="s">
        <v>3169</v>
      </c>
      <c r="F2455" t="s">
        <v>3178</v>
      </c>
      <c r="G2455" t="s">
        <v>280</v>
      </c>
      <c r="H2455" t="s">
        <v>3179</v>
      </c>
      <c r="I2455" t="s">
        <v>35</v>
      </c>
      <c r="J2455"/>
      <c r="K2455">
        <v>1</v>
      </c>
      <c r="L2455">
        <v>1</v>
      </c>
      <c r="M2455" t="s">
        <v>33</v>
      </c>
      <c r="N2455">
        <v>1</v>
      </c>
      <c r="O2455"/>
      <c r="P2455">
        <v>0</v>
      </c>
      <c r="Q2455" t="s">
        <v>38</v>
      </c>
      <c r="R2455">
        <v>1</v>
      </c>
      <c r="S2455">
        <v>0</v>
      </c>
      <c r="T2455"/>
      <c r="U2455"/>
      <c r="V2455"/>
      <c r="W2455"/>
      <c r="X2455">
        <v>0</v>
      </c>
      <c r="Y2455"/>
      <c r="Z2455">
        <v>0</v>
      </c>
      <c r="AA2455"/>
      <c r="AB2455"/>
      <c r="AC2455"/>
      <c r="AD2455"/>
      <c r="AE2455">
        <v>0</v>
      </c>
      <c r="AF2455"/>
      <c r="AG2455" t="s">
        <v>3465</v>
      </c>
      <c r="AH2455"/>
    </row>
    <row r="2456" spans="1:34" x14ac:dyDescent="0.25">
      <c r="A2456" t="s">
        <v>3180</v>
      </c>
      <c r="B2456" t="s">
        <v>3181</v>
      </c>
      <c r="C2456"/>
      <c r="D2456" t="s">
        <v>383</v>
      </c>
      <c r="E2456" t="s">
        <v>3182</v>
      </c>
      <c r="F2456" t="s">
        <v>3183</v>
      </c>
      <c r="G2456"/>
      <c r="H2456" t="s">
        <v>3184</v>
      </c>
      <c r="I2456" t="s">
        <v>35</v>
      </c>
      <c r="J2456"/>
      <c r="K2456">
        <v>1</v>
      </c>
      <c r="L2456">
        <v>1</v>
      </c>
      <c r="M2456" t="s">
        <v>33</v>
      </c>
      <c r="N2456">
        <v>0</v>
      </c>
      <c r="O2456"/>
      <c r="P2456">
        <v>0</v>
      </c>
      <c r="Q2456" t="s">
        <v>38</v>
      </c>
      <c r="R2456">
        <v>1</v>
      </c>
      <c r="S2456">
        <v>0</v>
      </c>
      <c r="T2456"/>
      <c r="U2456"/>
      <c r="V2456"/>
      <c r="W2456"/>
      <c r="X2456">
        <v>0</v>
      </c>
      <c r="Y2456"/>
      <c r="Z2456">
        <v>0</v>
      </c>
      <c r="AA2456"/>
      <c r="AB2456"/>
      <c r="AC2456"/>
      <c r="AD2456"/>
      <c r="AE2456">
        <v>0</v>
      </c>
      <c r="AF2456"/>
      <c r="AG2456"/>
      <c r="AH2456"/>
    </row>
    <row r="2457" spans="1:34" x14ac:dyDescent="0.25">
      <c r="A2457" t="s">
        <v>3180</v>
      </c>
      <c r="B2457" t="s">
        <v>3181</v>
      </c>
      <c r="C2457"/>
      <c r="D2457" t="s">
        <v>383</v>
      </c>
      <c r="E2457" t="s">
        <v>3182</v>
      </c>
      <c r="F2457" t="s">
        <v>3185</v>
      </c>
      <c r="G2457"/>
      <c r="H2457" t="s">
        <v>3186</v>
      </c>
      <c r="I2457" t="s">
        <v>35</v>
      </c>
      <c r="J2457"/>
      <c r="K2457">
        <v>1</v>
      </c>
      <c r="L2457">
        <v>1</v>
      </c>
      <c r="M2457" t="s">
        <v>33</v>
      </c>
      <c r="N2457">
        <v>0</v>
      </c>
      <c r="O2457"/>
      <c r="P2457">
        <v>0</v>
      </c>
      <c r="Q2457" t="s">
        <v>38</v>
      </c>
      <c r="R2457">
        <v>1</v>
      </c>
      <c r="S2457">
        <v>0</v>
      </c>
      <c r="T2457"/>
      <c r="U2457"/>
      <c r="V2457"/>
      <c r="W2457"/>
      <c r="X2457">
        <v>0</v>
      </c>
      <c r="Y2457"/>
      <c r="Z2457">
        <v>0</v>
      </c>
      <c r="AA2457"/>
      <c r="AB2457"/>
      <c r="AC2457"/>
      <c r="AD2457"/>
      <c r="AE2457">
        <v>0</v>
      </c>
      <c r="AF2457"/>
      <c r="AG2457"/>
      <c r="AH2457"/>
    </row>
    <row r="2458" spans="1:34" x14ac:dyDescent="0.25">
      <c r="A2458" t="s">
        <v>3180</v>
      </c>
      <c r="B2458" t="s">
        <v>3181</v>
      </c>
      <c r="C2458"/>
      <c r="D2458" t="s">
        <v>383</v>
      </c>
      <c r="E2458" t="s">
        <v>3182</v>
      </c>
      <c r="F2458" t="s">
        <v>3187</v>
      </c>
      <c r="G2458"/>
      <c r="H2458" t="s">
        <v>3188</v>
      </c>
      <c r="I2458" t="s">
        <v>35</v>
      </c>
      <c r="J2458"/>
      <c r="K2458">
        <v>1</v>
      </c>
      <c r="L2458">
        <v>1</v>
      </c>
      <c r="M2458" t="s">
        <v>33</v>
      </c>
      <c r="N2458">
        <v>0</v>
      </c>
      <c r="O2458"/>
      <c r="P2458">
        <v>0</v>
      </c>
      <c r="Q2458" t="s">
        <v>38</v>
      </c>
      <c r="R2458">
        <v>1</v>
      </c>
      <c r="S2458">
        <v>0</v>
      </c>
      <c r="T2458"/>
      <c r="U2458"/>
      <c r="V2458"/>
      <c r="W2458"/>
      <c r="X2458">
        <v>0</v>
      </c>
      <c r="Y2458"/>
      <c r="Z2458">
        <v>0</v>
      </c>
      <c r="AA2458"/>
      <c r="AB2458"/>
      <c r="AC2458"/>
      <c r="AD2458"/>
      <c r="AE2458">
        <v>0</v>
      </c>
      <c r="AF2458"/>
      <c r="AG2458"/>
      <c r="AH2458"/>
    </row>
    <row r="2459" spans="1:34" x14ac:dyDescent="0.25">
      <c r="A2459" t="s">
        <v>3180</v>
      </c>
      <c r="B2459" t="s">
        <v>3181</v>
      </c>
      <c r="C2459"/>
      <c r="D2459" t="s">
        <v>383</v>
      </c>
      <c r="E2459" t="s">
        <v>3182</v>
      </c>
      <c r="F2459" t="s">
        <v>3189</v>
      </c>
      <c r="G2459"/>
      <c r="H2459" t="s">
        <v>3190</v>
      </c>
      <c r="I2459" t="s">
        <v>35</v>
      </c>
      <c r="J2459"/>
      <c r="K2459">
        <v>1</v>
      </c>
      <c r="L2459">
        <v>1</v>
      </c>
      <c r="M2459" t="s">
        <v>33</v>
      </c>
      <c r="N2459">
        <v>0</v>
      </c>
      <c r="O2459"/>
      <c r="P2459">
        <v>0</v>
      </c>
      <c r="Q2459" t="s">
        <v>38</v>
      </c>
      <c r="R2459">
        <v>1</v>
      </c>
      <c r="S2459">
        <v>0</v>
      </c>
      <c r="T2459"/>
      <c r="U2459"/>
      <c r="V2459"/>
      <c r="W2459"/>
      <c r="X2459">
        <v>0</v>
      </c>
      <c r="Y2459"/>
      <c r="Z2459">
        <v>0</v>
      </c>
      <c r="AA2459"/>
      <c r="AB2459"/>
      <c r="AC2459"/>
      <c r="AD2459"/>
      <c r="AE2459">
        <v>0</v>
      </c>
      <c r="AF2459"/>
      <c r="AG2459"/>
      <c r="AH2459"/>
    </row>
    <row r="2460" spans="1:34" x14ac:dyDescent="0.25">
      <c r="A2460" t="s">
        <v>3180</v>
      </c>
      <c r="B2460" t="s">
        <v>3181</v>
      </c>
      <c r="C2460"/>
      <c r="D2460" t="s">
        <v>383</v>
      </c>
      <c r="E2460" t="s">
        <v>3182</v>
      </c>
      <c r="F2460" t="s">
        <v>3191</v>
      </c>
      <c r="G2460"/>
      <c r="H2460" t="s">
        <v>3192</v>
      </c>
      <c r="I2460" t="s">
        <v>35</v>
      </c>
      <c r="J2460"/>
      <c r="K2460">
        <v>1</v>
      </c>
      <c r="L2460">
        <v>1</v>
      </c>
      <c r="M2460" t="s">
        <v>33</v>
      </c>
      <c r="N2460">
        <v>0</v>
      </c>
      <c r="O2460"/>
      <c r="P2460">
        <v>0</v>
      </c>
      <c r="Q2460" t="s">
        <v>38</v>
      </c>
      <c r="R2460">
        <v>1</v>
      </c>
      <c r="S2460">
        <v>0</v>
      </c>
      <c r="T2460"/>
      <c r="U2460"/>
      <c r="V2460"/>
      <c r="W2460"/>
      <c r="X2460">
        <v>0</v>
      </c>
      <c r="Y2460"/>
      <c r="Z2460">
        <v>0</v>
      </c>
      <c r="AA2460"/>
      <c r="AB2460"/>
      <c r="AC2460"/>
      <c r="AD2460"/>
      <c r="AE2460">
        <v>0</v>
      </c>
      <c r="AF2460"/>
      <c r="AG2460"/>
      <c r="AH2460"/>
    </row>
    <row r="2461" spans="1:34" x14ac:dyDescent="0.25">
      <c r="A2461" t="s">
        <v>3180</v>
      </c>
      <c r="B2461" t="s">
        <v>3181</v>
      </c>
      <c r="C2461"/>
      <c r="D2461" t="s">
        <v>383</v>
      </c>
      <c r="E2461" t="s">
        <v>3182</v>
      </c>
      <c r="F2461" t="s">
        <v>3193</v>
      </c>
      <c r="G2461"/>
      <c r="H2461" t="s">
        <v>3194</v>
      </c>
      <c r="I2461" t="s">
        <v>35</v>
      </c>
      <c r="J2461"/>
      <c r="K2461">
        <v>1</v>
      </c>
      <c r="L2461">
        <v>1</v>
      </c>
      <c r="M2461" t="s">
        <v>33</v>
      </c>
      <c r="N2461">
        <v>0</v>
      </c>
      <c r="O2461"/>
      <c r="P2461">
        <v>0</v>
      </c>
      <c r="Q2461" t="s">
        <v>38</v>
      </c>
      <c r="R2461">
        <v>1</v>
      </c>
      <c r="S2461">
        <v>0</v>
      </c>
      <c r="T2461"/>
      <c r="U2461"/>
      <c r="V2461"/>
      <c r="W2461"/>
      <c r="X2461">
        <v>0</v>
      </c>
      <c r="Y2461"/>
      <c r="Z2461">
        <v>0</v>
      </c>
      <c r="AA2461"/>
      <c r="AB2461"/>
      <c r="AC2461"/>
      <c r="AD2461"/>
      <c r="AE2461">
        <v>0</v>
      </c>
      <c r="AF2461"/>
      <c r="AG2461"/>
      <c r="AH2461"/>
    </row>
    <row r="2462" spans="1:34" x14ac:dyDescent="0.25">
      <c r="A2462" t="s">
        <v>3180</v>
      </c>
      <c r="B2462" t="s">
        <v>3181</v>
      </c>
      <c r="C2462"/>
      <c r="D2462" t="s">
        <v>383</v>
      </c>
      <c r="E2462" t="s">
        <v>3182</v>
      </c>
      <c r="F2462" t="s">
        <v>3195</v>
      </c>
      <c r="G2462"/>
      <c r="H2462" t="s">
        <v>3196</v>
      </c>
      <c r="I2462" t="s">
        <v>35</v>
      </c>
      <c r="J2462"/>
      <c r="K2462">
        <v>1</v>
      </c>
      <c r="L2462">
        <v>1</v>
      </c>
      <c r="M2462" t="s">
        <v>33</v>
      </c>
      <c r="N2462">
        <v>0</v>
      </c>
      <c r="O2462"/>
      <c r="P2462">
        <v>0</v>
      </c>
      <c r="Q2462" t="s">
        <v>38</v>
      </c>
      <c r="R2462">
        <v>1</v>
      </c>
      <c r="S2462">
        <v>0</v>
      </c>
      <c r="T2462"/>
      <c r="U2462"/>
      <c r="V2462"/>
      <c r="W2462"/>
      <c r="X2462">
        <v>0</v>
      </c>
      <c r="Y2462"/>
      <c r="Z2462">
        <v>0</v>
      </c>
      <c r="AA2462"/>
      <c r="AB2462"/>
      <c r="AC2462"/>
      <c r="AD2462"/>
      <c r="AE2462">
        <v>0</v>
      </c>
      <c r="AF2462"/>
      <c r="AG2462"/>
      <c r="AH2462"/>
    </row>
    <row r="2463" spans="1:34" x14ac:dyDescent="0.25">
      <c r="A2463" t="s">
        <v>3180</v>
      </c>
      <c r="B2463" t="s">
        <v>3181</v>
      </c>
      <c r="C2463"/>
      <c r="D2463" t="s">
        <v>383</v>
      </c>
      <c r="E2463" t="s">
        <v>3182</v>
      </c>
      <c r="F2463" t="s">
        <v>3197</v>
      </c>
      <c r="G2463"/>
      <c r="H2463" t="s">
        <v>3198</v>
      </c>
      <c r="I2463" t="s">
        <v>35</v>
      </c>
      <c r="J2463"/>
      <c r="K2463">
        <v>1</v>
      </c>
      <c r="L2463">
        <v>1</v>
      </c>
      <c r="M2463" t="s">
        <v>33</v>
      </c>
      <c r="N2463">
        <v>0</v>
      </c>
      <c r="O2463"/>
      <c r="P2463">
        <v>0</v>
      </c>
      <c r="Q2463" t="s">
        <v>38</v>
      </c>
      <c r="R2463">
        <v>1</v>
      </c>
      <c r="S2463">
        <v>0</v>
      </c>
      <c r="T2463"/>
      <c r="U2463"/>
      <c r="V2463"/>
      <c r="W2463"/>
      <c r="X2463">
        <v>0</v>
      </c>
      <c r="Y2463"/>
      <c r="Z2463">
        <v>0</v>
      </c>
      <c r="AA2463"/>
      <c r="AB2463"/>
      <c r="AC2463"/>
      <c r="AD2463"/>
      <c r="AE2463">
        <v>0</v>
      </c>
      <c r="AF2463"/>
      <c r="AG2463"/>
      <c r="AH2463"/>
    </row>
    <row r="2464" spans="1:34" x14ac:dyDescent="0.25">
      <c r="A2464" t="s">
        <v>3199</v>
      </c>
      <c r="B2464" t="s">
        <v>3200</v>
      </c>
      <c r="C2464"/>
      <c r="D2464" t="s">
        <v>1778</v>
      </c>
      <c r="E2464" t="s">
        <v>3201</v>
      </c>
      <c r="F2464" t="s">
        <v>3202</v>
      </c>
      <c r="G2464"/>
      <c r="H2464" t="s">
        <v>3203</v>
      </c>
      <c r="I2464" t="s">
        <v>35</v>
      </c>
      <c r="J2464"/>
      <c r="K2464">
        <v>1</v>
      </c>
      <c r="L2464">
        <v>1</v>
      </c>
      <c r="M2464" t="s">
        <v>33</v>
      </c>
      <c r="N2464">
        <v>0</v>
      </c>
      <c r="O2464"/>
      <c r="P2464">
        <v>0</v>
      </c>
      <c r="Q2464" t="s">
        <v>38</v>
      </c>
      <c r="R2464">
        <v>1</v>
      </c>
      <c r="S2464">
        <v>0</v>
      </c>
      <c r="T2464"/>
      <c r="U2464"/>
      <c r="V2464"/>
      <c r="W2464"/>
      <c r="X2464">
        <v>0</v>
      </c>
      <c r="Y2464"/>
      <c r="Z2464">
        <v>0</v>
      </c>
      <c r="AA2464"/>
      <c r="AB2464"/>
      <c r="AC2464"/>
      <c r="AD2464"/>
      <c r="AE2464">
        <v>0</v>
      </c>
      <c r="AF2464"/>
      <c r="AG2464"/>
      <c r="AH2464"/>
    </row>
    <row r="2465" spans="1:34" x14ac:dyDescent="0.25">
      <c r="A2465" t="s">
        <v>3199</v>
      </c>
      <c r="B2465" t="s">
        <v>3200</v>
      </c>
      <c r="C2465"/>
      <c r="D2465" t="s">
        <v>1778</v>
      </c>
      <c r="E2465" t="s">
        <v>3201</v>
      </c>
      <c r="F2465" t="s">
        <v>3204</v>
      </c>
      <c r="G2465"/>
      <c r="H2465" t="s">
        <v>3205</v>
      </c>
      <c r="I2465" t="s">
        <v>35</v>
      </c>
      <c r="J2465"/>
      <c r="K2465">
        <v>1</v>
      </c>
      <c r="L2465">
        <v>1</v>
      </c>
      <c r="M2465" t="s">
        <v>33</v>
      </c>
      <c r="N2465">
        <v>0</v>
      </c>
      <c r="O2465"/>
      <c r="P2465">
        <v>0</v>
      </c>
      <c r="Q2465" t="s">
        <v>38</v>
      </c>
      <c r="R2465">
        <v>1</v>
      </c>
      <c r="S2465">
        <v>0</v>
      </c>
      <c r="T2465"/>
      <c r="U2465"/>
      <c r="V2465"/>
      <c r="W2465"/>
      <c r="X2465">
        <v>0</v>
      </c>
      <c r="Y2465"/>
      <c r="Z2465">
        <v>0</v>
      </c>
      <c r="AA2465"/>
      <c r="AB2465"/>
      <c r="AC2465"/>
      <c r="AD2465"/>
      <c r="AE2465">
        <v>0</v>
      </c>
      <c r="AF2465"/>
      <c r="AG2465"/>
      <c r="AH2465"/>
    </row>
    <row r="2466" spans="1:34" x14ac:dyDescent="0.25">
      <c r="A2466" t="s">
        <v>3199</v>
      </c>
      <c r="B2466" t="s">
        <v>3200</v>
      </c>
      <c r="C2466"/>
      <c r="D2466" t="s">
        <v>1778</v>
      </c>
      <c r="E2466" t="s">
        <v>3206</v>
      </c>
      <c r="F2466" t="s">
        <v>3207</v>
      </c>
      <c r="G2466"/>
      <c r="H2466" t="s">
        <v>3208</v>
      </c>
      <c r="I2466" t="s">
        <v>35</v>
      </c>
      <c r="J2466"/>
      <c r="K2466">
        <v>1</v>
      </c>
      <c r="L2466">
        <v>1</v>
      </c>
      <c r="M2466" t="s">
        <v>33</v>
      </c>
      <c r="N2466">
        <v>0</v>
      </c>
      <c r="O2466"/>
      <c r="P2466">
        <v>0</v>
      </c>
      <c r="Q2466" t="s">
        <v>38</v>
      </c>
      <c r="R2466">
        <v>1</v>
      </c>
      <c r="S2466">
        <v>0</v>
      </c>
      <c r="T2466"/>
      <c r="U2466"/>
      <c r="V2466"/>
      <c r="W2466"/>
      <c r="X2466">
        <v>0</v>
      </c>
      <c r="Y2466"/>
      <c r="Z2466">
        <v>0</v>
      </c>
      <c r="AA2466"/>
      <c r="AB2466"/>
      <c r="AC2466"/>
      <c r="AD2466"/>
      <c r="AE2466">
        <v>0</v>
      </c>
      <c r="AF2466"/>
      <c r="AG2466"/>
      <c r="AH2466"/>
    </row>
    <row r="2467" spans="1:34" x14ac:dyDescent="0.25">
      <c r="A2467" t="s">
        <v>3199</v>
      </c>
      <c r="B2467" t="s">
        <v>3200</v>
      </c>
      <c r="C2467"/>
      <c r="D2467" t="s">
        <v>1778</v>
      </c>
      <c r="E2467" t="s">
        <v>3206</v>
      </c>
      <c r="F2467" t="s">
        <v>3209</v>
      </c>
      <c r="G2467"/>
      <c r="H2467" t="s">
        <v>3210</v>
      </c>
      <c r="I2467" t="s">
        <v>35</v>
      </c>
      <c r="J2467"/>
      <c r="K2467">
        <v>1</v>
      </c>
      <c r="L2467">
        <v>1</v>
      </c>
      <c r="M2467" t="s">
        <v>33</v>
      </c>
      <c r="N2467">
        <v>0</v>
      </c>
      <c r="O2467"/>
      <c r="P2467">
        <v>0</v>
      </c>
      <c r="Q2467" t="s">
        <v>38</v>
      </c>
      <c r="R2467">
        <v>1</v>
      </c>
      <c r="S2467">
        <v>0</v>
      </c>
      <c r="T2467"/>
      <c r="U2467"/>
      <c r="V2467"/>
      <c r="W2467"/>
      <c r="X2467">
        <v>0</v>
      </c>
      <c r="Y2467"/>
      <c r="Z2467">
        <v>0</v>
      </c>
      <c r="AA2467"/>
      <c r="AB2467"/>
      <c r="AC2467"/>
      <c r="AD2467"/>
      <c r="AE2467">
        <v>0</v>
      </c>
      <c r="AF2467"/>
      <c r="AG2467"/>
      <c r="AH2467"/>
    </row>
    <row r="2468" spans="1:34" x14ac:dyDescent="0.25">
      <c r="A2468" t="s">
        <v>3199</v>
      </c>
      <c r="B2468" t="s">
        <v>3200</v>
      </c>
      <c r="C2468"/>
      <c r="D2468" t="s">
        <v>1778</v>
      </c>
      <c r="E2468" t="s">
        <v>3206</v>
      </c>
      <c r="F2468" t="s">
        <v>3211</v>
      </c>
      <c r="G2468"/>
      <c r="H2468" t="s">
        <v>3212</v>
      </c>
      <c r="I2468" t="s">
        <v>35</v>
      </c>
      <c r="J2468"/>
      <c r="K2468">
        <v>1</v>
      </c>
      <c r="L2468">
        <v>1</v>
      </c>
      <c r="M2468" t="s">
        <v>33</v>
      </c>
      <c r="N2468">
        <v>0</v>
      </c>
      <c r="O2468"/>
      <c r="P2468">
        <v>0</v>
      </c>
      <c r="Q2468" t="s">
        <v>38</v>
      </c>
      <c r="R2468">
        <v>1</v>
      </c>
      <c r="S2468">
        <v>0</v>
      </c>
      <c r="T2468"/>
      <c r="U2468"/>
      <c r="V2468"/>
      <c r="W2468"/>
      <c r="X2468">
        <v>0</v>
      </c>
      <c r="Y2468"/>
      <c r="Z2468">
        <v>0</v>
      </c>
      <c r="AA2468"/>
      <c r="AB2468"/>
      <c r="AC2468"/>
      <c r="AD2468"/>
      <c r="AE2468">
        <v>0</v>
      </c>
      <c r="AF2468"/>
      <c r="AG2468"/>
      <c r="AH2468"/>
    </row>
    <row r="2469" spans="1:34" x14ac:dyDescent="0.25">
      <c r="A2469" t="s">
        <v>3199</v>
      </c>
      <c r="B2469" t="s">
        <v>3200</v>
      </c>
      <c r="C2469"/>
      <c r="D2469" t="s">
        <v>1778</v>
      </c>
      <c r="E2469" t="s">
        <v>3213</v>
      </c>
      <c r="F2469" t="s">
        <v>3207</v>
      </c>
      <c r="G2469"/>
      <c r="H2469" t="s">
        <v>3214</v>
      </c>
      <c r="I2469" t="s">
        <v>35</v>
      </c>
      <c r="J2469"/>
      <c r="K2469">
        <v>1</v>
      </c>
      <c r="L2469">
        <v>1</v>
      </c>
      <c r="M2469" t="s">
        <v>33</v>
      </c>
      <c r="N2469">
        <v>0</v>
      </c>
      <c r="O2469"/>
      <c r="P2469">
        <v>0</v>
      </c>
      <c r="Q2469" t="s">
        <v>38</v>
      </c>
      <c r="R2469">
        <v>1</v>
      </c>
      <c r="S2469">
        <v>0</v>
      </c>
      <c r="T2469"/>
      <c r="U2469"/>
      <c r="V2469"/>
      <c r="W2469"/>
      <c r="X2469">
        <v>0</v>
      </c>
      <c r="Y2469"/>
      <c r="Z2469">
        <v>0</v>
      </c>
      <c r="AA2469"/>
      <c r="AB2469"/>
      <c r="AC2469"/>
      <c r="AD2469"/>
      <c r="AE2469">
        <v>0</v>
      </c>
      <c r="AF2469"/>
      <c r="AG2469"/>
      <c r="AH2469"/>
    </row>
    <row r="2470" spans="1:34" x14ac:dyDescent="0.25">
      <c r="A2470" t="s">
        <v>3199</v>
      </c>
      <c r="B2470" t="s">
        <v>3200</v>
      </c>
      <c r="C2470"/>
      <c r="D2470" t="s">
        <v>1778</v>
      </c>
      <c r="E2470" t="s">
        <v>3213</v>
      </c>
      <c r="F2470" t="s">
        <v>3215</v>
      </c>
      <c r="G2470"/>
      <c r="H2470" t="s">
        <v>3216</v>
      </c>
      <c r="I2470" t="s">
        <v>35</v>
      </c>
      <c r="J2470"/>
      <c r="K2470">
        <v>1</v>
      </c>
      <c r="L2470">
        <v>1</v>
      </c>
      <c r="M2470" t="s">
        <v>33</v>
      </c>
      <c r="N2470">
        <v>0</v>
      </c>
      <c r="O2470"/>
      <c r="P2470">
        <v>0</v>
      </c>
      <c r="Q2470" t="s">
        <v>38</v>
      </c>
      <c r="R2470">
        <v>1</v>
      </c>
      <c r="S2470">
        <v>0</v>
      </c>
      <c r="T2470"/>
      <c r="U2470"/>
      <c r="V2470"/>
      <c r="W2470"/>
      <c r="X2470">
        <v>0</v>
      </c>
      <c r="Y2470"/>
      <c r="Z2470">
        <v>0</v>
      </c>
      <c r="AA2470"/>
      <c r="AB2470"/>
      <c r="AC2470"/>
      <c r="AD2470"/>
      <c r="AE2470">
        <v>0</v>
      </c>
      <c r="AF2470"/>
      <c r="AG2470"/>
      <c r="AH2470"/>
    </row>
    <row r="2471" spans="1:34" x14ac:dyDescent="0.25">
      <c r="A2471" t="s">
        <v>3199</v>
      </c>
      <c r="B2471" t="s">
        <v>3200</v>
      </c>
      <c r="C2471"/>
      <c r="D2471" t="s">
        <v>1778</v>
      </c>
      <c r="E2471" t="s">
        <v>3213</v>
      </c>
      <c r="F2471" t="s">
        <v>3211</v>
      </c>
      <c r="G2471"/>
      <c r="H2471" t="s">
        <v>3217</v>
      </c>
      <c r="I2471" t="s">
        <v>35</v>
      </c>
      <c r="J2471"/>
      <c r="K2471">
        <v>1</v>
      </c>
      <c r="L2471">
        <v>1</v>
      </c>
      <c r="M2471" t="s">
        <v>33</v>
      </c>
      <c r="N2471">
        <v>0</v>
      </c>
      <c r="O2471"/>
      <c r="P2471">
        <v>0</v>
      </c>
      <c r="Q2471" t="s">
        <v>38</v>
      </c>
      <c r="R2471">
        <v>1</v>
      </c>
      <c r="S2471">
        <v>0</v>
      </c>
      <c r="T2471"/>
      <c r="U2471"/>
      <c r="V2471"/>
      <c r="W2471"/>
      <c r="X2471">
        <v>0</v>
      </c>
      <c r="Y2471"/>
      <c r="Z2471">
        <v>0</v>
      </c>
      <c r="AA2471"/>
      <c r="AB2471"/>
      <c r="AC2471"/>
      <c r="AD2471"/>
      <c r="AE2471">
        <v>0</v>
      </c>
      <c r="AF2471"/>
      <c r="AG2471"/>
      <c r="AH2471"/>
    </row>
    <row r="2472" spans="1:34" x14ac:dyDescent="0.25">
      <c r="A2472" t="s">
        <v>3199</v>
      </c>
      <c r="B2472" t="s">
        <v>3200</v>
      </c>
      <c r="C2472"/>
      <c r="D2472" t="s">
        <v>1778</v>
      </c>
      <c r="E2472" t="s">
        <v>3218</v>
      </c>
      <c r="F2472" t="s">
        <v>3219</v>
      </c>
      <c r="G2472"/>
      <c r="H2472" t="s">
        <v>3220</v>
      </c>
      <c r="I2472" t="s">
        <v>35</v>
      </c>
      <c r="J2472"/>
      <c r="K2472">
        <v>1</v>
      </c>
      <c r="L2472">
        <v>1</v>
      </c>
      <c r="M2472" t="s">
        <v>33</v>
      </c>
      <c r="N2472">
        <v>0</v>
      </c>
      <c r="O2472"/>
      <c r="P2472">
        <v>0</v>
      </c>
      <c r="Q2472" t="s">
        <v>38</v>
      </c>
      <c r="R2472">
        <v>1</v>
      </c>
      <c r="S2472">
        <v>0</v>
      </c>
      <c r="T2472"/>
      <c r="U2472"/>
      <c r="V2472"/>
      <c r="W2472"/>
      <c r="X2472">
        <v>0</v>
      </c>
      <c r="Y2472"/>
      <c r="Z2472">
        <v>0</v>
      </c>
      <c r="AA2472"/>
      <c r="AB2472"/>
      <c r="AC2472"/>
      <c r="AD2472"/>
      <c r="AE2472">
        <v>0</v>
      </c>
      <c r="AF2472"/>
      <c r="AG2472"/>
      <c r="AH2472"/>
    </row>
    <row r="2473" spans="1:34" x14ac:dyDescent="0.25">
      <c r="A2473" t="s">
        <v>3199</v>
      </c>
      <c r="B2473" t="s">
        <v>3200</v>
      </c>
      <c r="C2473"/>
      <c r="D2473" t="s">
        <v>1778</v>
      </c>
      <c r="E2473" t="s">
        <v>3218</v>
      </c>
      <c r="F2473" t="s">
        <v>3221</v>
      </c>
      <c r="G2473"/>
      <c r="H2473" t="s">
        <v>3222</v>
      </c>
      <c r="I2473" t="s">
        <v>35</v>
      </c>
      <c r="J2473"/>
      <c r="K2473">
        <v>1</v>
      </c>
      <c r="L2473">
        <v>1</v>
      </c>
      <c r="M2473" t="s">
        <v>33</v>
      </c>
      <c r="N2473">
        <v>0</v>
      </c>
      <c r="O2473"/>
      <c r="P2473">
        <v>0</v>
      </c>
      <c r="Q2473" t="s">
        <v>38</v>
      </c>
      <c r="R2473">
        <v>1</v>
      </c>
      <c r="S2473">
        <v>0</v>
      </c>
      <c r="T2473"/>
      <c r="U2473"/>
      <c r="V2473"/>
      <c r="W2473"/>
      <c r="X2473">
        <v>0</v>
      </c>
      <c r="Y2473"/>
      <c r="Z2473">
        <v>0</v>
      </c>
      <c r="AA2473"/>
      <c r="AB2473"/>
      <c r="AC2473"/>
      <c r="AD2473"/>
      <c r="AE2473">
        <v>0</v>
      </c>
      <c r="AF2473"/>
      <c r="AG2473"/>
      <c r="AH2473"/>
    </row>
    <row r="2474" spans="1:34" x14ac:dyDescent="0.25">
      <c r="A2474" t="s">
        <v>3199</v>
      </c>
      <c r="B2474" t="s">
        <v>3200</v>
      </c>
      <c r="C2474"/>
      <c r="D2474" t="s">
        <v>1778</v>
      </c>
      <c r="E2474" t="s">
        <v>3218</v>
      </c>
      <c r="F2474" t="s">
        <v>3223</v>
      </c>
      <c r="G2474"/>
      <c r="H2474" t="s">
        <v>3224</v>
      </c>
      <c r="I2474" t="s">
        <v>35</v>
      </c>
      <c r="J2474"/>
      <c r="K2474">
        <v>1</v>
      </c>
      <c r="L2474">
        <v>1</v>
      </c>
      <c r="M2474" t="s">
        <v>33</v>
      </c>
      <c r="N2474">
        <v>0</v>
      </c>
      <c r="O2474"/>
      <c r="P2474">
        <v>0</v>
      </c>
      <c r="Q2474" t="s">
        <v>38</v>
      </c>
      <c r="R2474">
        <v>1</v>
      </c>
      <c r="S2474">
        <v>0</v>
      </c>
      <c r="T2474"/>
      <c r="U2474"/>
      <c r="V2474"/>
      <c r="W2474"/>
      <c r="X2474">
        <v>0</v>
      </c>
      <c r="Y2474"/>
      <c r="Z2474">
        <v>0</v>
      </c>
      <c r="AA2474"/>
      <c r="AB2474"/>
      <c r="AC2474"/>
      <c r="AD2474"/>
      <c r="AE2474">
        <v>0</v>
      </c>
      <c r="AF2474"/>
      <c r="AG2474"/>
      <c r="AH2474"/>
    </row>
    <row r="2475" spans="1:34" x14ac:dyDescent="0.25">
      <c r="A2475" t="s">
        <v>3199</v>
      </c>
      <c r="B2475" t="s">
        <v>3200</v>
      </c>
      <c r="C2475"/>
      <c r="D2475" t="s">
        <v>1778</v>
      </c>
      <c r="E2475" t="s">
        <v>3218</v>
      </c>
      <c r="F2475" t="s">
        <v>3225</v>
      </c>
      <c r="G2475"/>
      <c r="H2475" t="s">
        <v>3226</v>
      </c>
      <c r="I2475" t="s">
        <v>35</v>
      </c>
      <c r="J2475"/>
      <c r="K2475">
        <v>1</v>
      </c>
      <c r="L2475">
        <v>1</v>
      </c>
      <c r="M2475" t="s">
        <v>33</v>
      </c>
      <c r="N2475">
        <v>0</v>
      </c>
      <c r="O2475"/>
      <c r="P2475">
        <v>0</v>
      </c>
      <c r="Q2475" t="s">
        <v>38</v>
      </c>
      <c r="R2475">
        <v>1</v>
      </c>
      <c r="S2475">
        <v>0</v>
      </c>
      <c r="T2475"/>
      <c r="U2475"/>
      <c r="V2475"/>
      <c r="W2475"/>
      <c r="X2475">
        <v>0</v>
      </c>
      <c r="Y2475"/>
      <c r="Z2475">
        <v>0</v>
      </c>
      <c r="AA2475"/>
      <c r="AB2475"/>
      <c r="AC2475"/>
      <c r="AD2475"/>
      <c r="AE2475">
        <v>0</v>
      </c>
      <c r="AF2475"/>
      <c r="AG2475"/>
      <c r="AH2475"/>
    </row>
    <row r="2476" spans="1:34" x14ac:dyDescent="0.25">
      <c r="A2476" t="s">
        <v>3199</v>
      </c>
      <c r="B2476" t="s">
        <v>3200</v>
      </c>
      <c r="C2476"/>
      <c r="D2476" t="s">
        <v>1778</v>
      </c>
      <c r="E2476" t="s">
        <v>3218</v>
      </c>
      <c r="F2476" t="s">
        <v>3227</v>
      </c>
      <c r="G2476"/>
      <c r="H2476" t="s">
        <v>3228</v>
      </c>
      <c r="I2476" t="s">
        <v>35</v>
      </c>
      <c r="J2476"/>
      <c r="K2476">
        <v>1</v>
      </c>
      <c r="L2476">
        <v>1</v>
      </c>
      <c r="M2476" t="s">
        <v>33</v>
      </c>
      <c r="N2476">
        <v>0</v>
      </c>
      <c r="O2476"/>
      <c r="P2476">
        <v>0</v>
      </c>
      <c r="Q2476" t="s">
        <v>38</v>
      </c>
      <c r="R2476">
        <v>1</v>
      </c>
      <c r="S2476">
        <v>0</v>
      </c>
      <c r="T2476"/>
      <c r="U2476"/>
      <c r="V2476"/>
      <c r="W2476"/>
      <c r="X2476">
        <v>0</v>
      </c>
      <c r="Y2476"/>
      <c r="Z2476">
        <v>0</v>
      </c>
      <c r="AA2476"/>
      <c r="AB2476"/>
      <c r="AC2476"/>
      <c r="AD2476"/>
      <c r="AE2476">
        <v>0</v>
      </c>
      <c r="AF2476"/>
      <c r="AG2476"/>
      <c r="AH2476"/>
    </row>
    <row r="2477" spans="1:34" x14ac:dyDescent="0.25">
      <c r="A2477" t="s">
        <v>3199</v>
      </c>
      <c r="B2477" t="s">
        <v>3200</v>
      </c>
      <c r="C2477"/>
      <c r="D2477" t="s">
        <v>1778</v>
      </c>
      <c r="E2477" t="s">
        <v>3218</v>
      </c>
      <c r="F2477" t="s">
        <v>3229</v>
      </c>
      <c r="G2477"/>
      <c r="H2477" t="s">
        <v>3230</v>
      </c>
      <c r="I2477" t="s">
        <v>35</v>
      </c>
      <c r="J2477"/>
      <c r="K2477">
        <v>1</v>
      </c>
      <c r="L2477">
        <v>1</v>
      </c>
      <c r="M2477" t="s">
        <v>33</v>
      </c>
      <c r="N2477">
        <v>0</v>
      </c>
      <c r="O2477"/>
      <c r="P2477">
        <v>0</v>
      </c>
      <c r="Q2477" t="s">
        <v>38</v>
      </c>
      <c r="R2477">
        <v>1</v>
      </c>
      <c r="S2477">
        <v>0</v>
      </c>
      <c r="T2477"/>
      <c r="U2477"/>
      <c r="V2477"/>
      <c r="W2477"/>
      <c r="X2477">
        <v>0</v>
      </c>
      <c r="Y2477"/>
      <c r="Z2477">
        <v>0</v>
      </c>
      <c r="AA2477"/>
      <c r="AB2477"/>
      <c r="AC2477"/>
      <c r="AD2477"/>
      <c r="AE2477">
        <v>0</v>
      </c>
      <c r="AF2477"/>
      <c r="AG2477"/>
      <c r="AH2477"/>
    </row>
    <row r="2478" spans="1:34" x14ac:dyDescent="0.25">
      <c r="A2478" t="s">
        <v>3231</v>
      </c>
      <c r="B2478" t="s">
        <v>3232</v>
      </c>
      <c r="C2478"/>
      <c r="D2478" t="s">
        <v>3233</v>
      </c>
      <c r="E2478" t="s">
        <v>3234</v>
      </c>
      <c r="F2478" t="s">
        <v>3235</v>
      </c>
      <c r="G2478"/>
      <c r="H2478" t="s">
        <v>3236</v>
      </c>
      <c r="I2478" t="s">
        <v>35</v>
      </c>
      <c r="J2478"/>
      <c r="K2478">
        <v>1</v>
      </c>
      <c r="L2478">
        <v>1</v>
      </c>
      <c r="M2478" t="s">
        <v>33</v>
      </c>
      <c r="N2478">
        <v>0</v>
      </c>
      <c r="O2478"/>
      <c r="P2478">
        <v>0</v>
      </c>
      <c r="Q2478" t="s">
        <v>38</v>
      </c>
      <c r="R2478">
        <v>1</v>
      </c>
      <c r="S2478">
        <v>0</v>
      </c>
      <c r="T2478"/>
      <c r="U2478"/>
      <c r="V2478"/>
      <c r="W2478"/>
      <c r="X2478">
        <v>0</v>
      </c>
      <c r="Y2478"/>
      <c r="Z2478">
        <v>0</v>
      </c>
      <c r="AA2478"/>
      <c r="AB2478"/>
      <c r="AC2478"/>
      <c r="AD2478"/>
      <c r="AE2478">
        <v>0</v>
      </c>
      <c r="AF2478"/>
      <c r="AG2478"/>
      <c r="AH2478"/>
    </row>
    <row r="2479" spans="1:34" x14ac:dyDescent="0.25">
      <c r="A2479" t="s">
        <v>3231</v>
      </c>
      <c r="B2479" t="s">
        <v>3232</v>
      </c>
      <c r="C2479"/>
      <c r="D2479" t="s">
        <v>3233</v>
      </c>
      <c r="E2479" t="s">
        <v>3234</v>
      </c>
      <c r="F2479" t="s">
        <v>3237</v>
      </c>
      <c r="G2479"/>
      <c r="H2479" t="s">
        <v>3238</v>
      </c>
      <c r="I2479" t="s">
        <v>35</v>
      </c>
      <c r="J2479"/>
      <c r="K2479">
        <v>1</v>
      </c>
      <c r="L2479">
        <v>1</v>
      </c>
      <c r="M2479" t="s">
        <v>33</v>
      </c>
      <c r="N2479">
        <v>0</v>
      </c>
      <c r="O2479"/>
      <c r="P2479">
        <v>0</v>
      </c>
      <c r="Q2479" t="s">
        <v>38</v>
      </c>
      <c r="R2479">
        <v>1</v>
      </c>
      <c r="S2479">
        <v>0</v>
      </c>
      <c r="T2479"/>
      <c r="U2479"/>
      <c r="V2479"/>
      <c r="W2479"/>
      <c r="X2479">
        <v>0</v>
      </c>
      <c r="Y2479"/>
      <c r="Z2479">
        <v>0</v>
      </c>
      <c r="AA2479"/>
      <c r="AB2479"/>
      <c r="AC2479"/>
      <c r="AD2479"/>
      <c r="AE2479">
        <v>0</v>
      </c>
      <c r="AF2479"/>
      <c r="AG2479"/>
      <c r="AH2479"/>
    </row>
    <row r="2480" spans="1:34" x14ac:dyDescent="0.25">
      <c r="A2480" t="s">
        <v>3231</v>
      </c>
      <c r="B2480" t="s">
        <v>3232</v>
      </c>
      <c r="C2480"/>
      <c r="D2480" t="s">
        <v>3233</v>
      </c>
      <c r="E2480" t="s">
        <v>3234</v>
      </c>
      <c r="F2480" t="s">
        <v>3239</v>
      </c>
      <c r="G2480"/>
      <c r="H2480" t="s">
        <v>3240</v>
      </c>
      <c r="I2480" t="s">
        <v>35</v>
      </c>
      <c r="J2480"/>
      <c r="K2480">
        <v>1</v>
      </c>
      <c r="L2480">
        <v>1</v>
      </c>
      <c r="M2480" t="s">
        <v>33</v>
      </c>
      <c r="N2480">
        <v>0</v>
      </c>
      <c r="O2480"/>
      <c r="P2480">
        <v>0</v>
      </c>
      <c r="Q2480" t="s">
        <v>38</v>
      </c>
      <c r="R2480">
        <v>1</v>
      </c>
      <c r="S2480">
        <v>0</v>
      </c>
      <c r="T2480"/>
      <c r="U2480"/>
      <c r="V2480"/>
      <c r="W2480"/>
      <c r="X2480">
        <v>0</v>
      </c>
      <c r="Y2480"/>
      <c r="Z2480">
        <v>0</v>
      </c>
      <c r="AA2480"/>
      <c r="AB2480"/>
      <c r="AC2480"/>
      <c r="AD2480"/>
      <c r="AE2480">
        <v>0</v>
      </c>
      <c r="AF2480"/>
      <c r="AG2480"/>
      <c r="AH2480"/>
    </row>
    <row r="2481" spans="1:34" x14ac:dyDescent="0.25">
      <c r="A2481" t="s">
        <v>3231</v>
      </c>
      <c r="B2481" t="s">
        <v>3232</v>
      </c>
      <c r="C2481"/>
      <c r="D2481" t="s">
        <v>3233</v>
      </c>
      <c r="E2481" t="s">
        <v>3234</v>
      </c>
      <c r="F2481" t="s">
        <v>3241</v>
      </c>
      <c r="G2481"/>
      <c r="H2481" t="s">
        <v>3242</v>
      </c>
      <c r="I2481" t="s">
        <v>35</v>
      </c>
      <c r="J2481"/>
      <c r="K2481">
        <v>1</v>
      </c>
      <c r="L2481">
        <v>1</v>
      </c>
      <c r="M2481" t="s">
        <v>33</v>
      </c>
      <c r="N2481">
        <v>0</v>
      </c>
      <c r="O2481"/>
      <c r="P2481">
        <v>0</v>
      </c>
      <c r="Q2481" t="s">
        <v>38</v>
      </c>
      <c r="R2481">
        <v>1</v>
      </c>
      <c r="S2481">
        <v>0</v>
      </c>
      <c r="T2481"/>
      <c r="U2481"/>
      <c r="V2481"/>
      <c r="W2481"/>
      <c r="X2481">
        <v>0</v>
      </c>
      <c r="Y2481"/>
      <c r="Z2481">
        <v>0</v>
      </c>
      <c r="AA2481"/>
      <c r="AB2481"/>
      <c r="AC2481"/>
      <c r="AD2481"/>
      <c r="AE2481">
        <v>0</v>
      </c>
      <c r="AF2481"/>
      <c r="AG2481"/>
      <c r="AH2481"/>
    </row>
    <row r="2482" spans="1:34" x14ac:dyDescent="0.25">
      <c r="A2482" t="s">
        <v>3231</v>
      </c>
      <c r="B2482" t="s">
        <v>3232</v>
      </c>
      <c r="C2482"/>
      <c r="D2482" t="s">
        <v>3233</v>
      </c>
      <c r="E2482" t="s">
        <v>3234</v>
      </c>
      <c r="F2482" t="s">
        <v>3243</v>
      </c>
      <c r="G2482"/>
      <c r="H2482" t="s">
        <v>3244</v>
      </c>
      <c r="I2482" t="s">
        <v>35</v>
      </c>
      <c r="J2482"/>
      <c r="K2482">
        <v>1</v>
      </c>
      <c r="L2482">
        <v>1</v>
      </c>
      <c r="M2482" t="s">
        <v>33</v>
      </c>
      <c r="N2482">
        <v>0</v>
      </c>
      <c r="O2482"/>
      <c r="P2482">
        <v>0</v>
      </c>
      <c r="Q2482" t="s">
        <v>38</v>
      </c>
      <c r="R2482">
        <v>1</v>
      </c>
      <c r="S2482">
        <v>0</v>
      </c>
      <c r="T2482"/>
      <c r="U2482"/>
      <c r="V2482"/>
      <c r="W2482"/>
      <c r="X2482">
        <v>0</v>
      </c>
      <c r="Y2482"/>
      <c r="Z2482">
        <v>0</v>
      </c>
      <c r="AA2482"/>
      <c r="AB2482"/>
      <c r="AC2482"/>
      <c r="AD2482"/>
      <c r="AE2482">
        <v>0</v>
      </c>
      <c r="AF2482"/>
      <c r="AG2482"/>
      <c r="AH2482"/>
    </row>
    <row r="2483" spans="1:34" x14ac:dyDescent="0.25">
      <c r="A2483" t="s">
        <v>3231</v>
      </c>
      <c r="B2483" t="s">
        <v>3232</v>
      </c>
      <c r="C2483"/>
      <c r="D2483" t="s">
        <v>3233</v>
      </c>
      <c r="E2483" t="s">
        <v>3234</v>
      </c>
      <c r="F2483" t="s">
        <v>3245</v>
      </c>
      <c r="G2483"/>
      <c r="H2483" t="s">
        <v>3246</v>
      </c>
      <c r="I2483" t="s">
        <v>35</v>
      </c>
      <c r="J2483"/>
      <c r="K2483">
        <v>1</v>
      </c>
      <c r="L2483">
        <v>1</v>
      </c>
      <c r="M2483" t="s">
        <v>33</v>
      </c>
      <c r="N2483">
        <v>0</v>
      </c>
      <c r="O2483"/>
      <c r="P2483">
        <v>0</v>
      </c>
      <c r="Q2483" t="s">
        <v>38</v>
      </c>
      <c r="R2483">
        <v>1</v>
      </c>
      <c r="S2483">
        <v>0</v>
      </c>
      <c r="T2483"/>
      <c r="U2483"/>
      <c r="V2483"/>
      <c r="W2483"/>
      <c r="X2483">
        <v>0</v>
      </c>
      <c r="Y2483"/>
      <c r="Z2483">
        <v>0</v>
      </c>
      <c r="AA2483"/>
      <c r="AB2483"/>
      <c r="AC2483"/>
      <c r="AD2483"/>
      <c r="AE2483">
        <v>0</v>
      </c>
      <c r="AF2483"/>
      <c r="AG2483"/>
      <c r="AH2483"/>
    </row>
    <row r="2484" spans="1:34" x14ac:dyDescent="0.25">
      <c r="A2484" t="s">
        <v>3596</v>
      </c>
      <c r="B2484" t="s">
        <v>3247</v>
      </c>
      <c r="C2484"/>
      <c r="D2484" t="s">
        <v>3233</v>
      </c>
      <c r="E2484" t="s">
        <v>3248</v>
      </c>
      <c r="F2484" t="s">
        <v>3249</v>
      </c>
      <c r="G2484"/>
      <c r="H2484" t="s">
        <v>3250</v>
      </c>
      <c r="I2484" t="s">
        <v>35</v>
      </c>
      <c r="J2484"/>
      <c r="K2484">
        <v>1</v>
      </c>
      <c r="L2484">
        <v>1</v>
      </c>
      <c r="M2484" t="s">
        <v>33</v>
      </c>
      <c r="N2484">
        <v>0</v>
      </c>
      <c r="O2484"/>
      <c r="P2484">
        <v>0</v>
      </c>
      <c r="Q2484" t="s">
        <v>38</v>
      </c>
      <c r="R2484">
        <v>1</v>
      </c>
      <c r="S2484">
        <v>0</v>
      </c>
      <c r="T2484"/>
      <c r="U2484"/>
      <c r="V2484"/>
      <c r="W2484"/>
      <c r="X2484">
        <v>0</v>
      </c>
      <c r="Y2484"/>
      <c r="Z2484">
        <v>0</v>
      </c>
      <c r="AA2484"/>
      <c r="AB2484"/>
      <c r="AC2484"/>
      <c r="AD2484"/>
      <c r="AE2484">
        <v>0</v>
      </c>
      <c r="AF2484"/>
      <c r="AG2484"/>
      <c r="AH2484"/>
    </row>
    <row r="2485" spans="1:34" x14ac:dyDescent="0.25">
      <c r="A2485" t="s">
        <v>3597</v>
      </c>
      <c r="B2485" t="s">
        <v>3247</v>
      </c>
      <c r="C2485"/>
      <c r="D2485" t="s">
        <v>3233</v>
      </c>
      <c r="E2485" t="s">
        <v>3248</v>
      </c>
      <c r="F2485" t="s">
        <v>3249</v>
      </c>
      <c r="G2485"/>
      <c r="H2485" t="s">
        <v>3250</v>
      </c>
      <c r="I2485" t="s">
        <v>35</v>
      </c>
      <c r="J2485"/>
      <c r="K2485">
        <v>1</v>
      </c>
      <c r="L2485">
        <v>1</v>
      </c>
      <c r="M2485" t="s">
        <v>33</v>
      </c>
      <c r="N2485">
        <v>0</v>
      </c>
      <c r="O2485"/>
      <c r="P2485">
        <v>0</v>
      </c>
      <c r="Q2485" t="s">
        <v>38</v>
      </c>
      <c r="R2485">
        <v>1</v>
      </c>
      <c r="S2485">
        <v>0</v>
      </c>
      <c r="T2485"/>
      <c r="U2485"/>
      <c r="V2485"/>
      <c r="W2485"/>
      <c r="X2485">
        <v>0</v>
      </c>
      <c r="Y2485"/>
      <c r="Z2485">
        <v>0</v>
      </c>
      <c r="AA2485"/>
      <c r="AB2485"/>
      <c r="AC2485"/>
      <c r="AD2485"/>
      <c r="AE2485">
        <v>0</v>
      </c>
      <c r="AF2485"/>
      <c r="AG2485"/>
      <c r="AH2485"/>
    </row>
    <row r="2486" spans="1:34" x14ac:dyDescent="0.25">
      <c r="A2486" t="s">
        <v>3598</v>
      </c>
      <c r="B2486" t="s">
        <v>3247</v>
      </c>
      <c r="C2486"/>
      <c r="D2486" t="s">
        <v>3233</v>
      </c>
      <c r="E2486" t="s">
        <v>3248</v>
      </c>
      <c r="F2486" t="s">
        <v>3249</v>
      </c>
      <c r="G2486"/>
      <c r="H2486" t="s">
        <v>3250</v>
      </c>
      <c r="I2486" t="s">
        <v>35</v>
      </c>
      <c r="J2486"/>
      <c r="K2486">
        <v>1</v>
      </c>
      <c r="L2486">
        <v>1</v>
      </c>
      <c r="M2486" t="s">
        <v>33</v>
      </c>
      <c r="N2486">
        <v>0</v>
      </c>
      <c r="O2486"/>
      <c r="P2486">
        <v>0</v>
      </c>
      <c r="Q2486" t="s">
        <v>38</v>
      </c>
      <c r="R2486">
        <v>1</v>
      </c>
      <c r="S2486">
        <v>0</v>
      </c>
      <c r="T2486"/>
      <c r="U2486"/>
      <c r="V2486"/>
      <c r="W2486"/>
      <c r="X2486">
        <v>0</v>
      </c>
      <c r="Y2486"/>
      <c r="Z2486">
        <v>0</v>
      </c>
      <c r="AA2486"/>
      <c r="AB2486"/>
      <c r="AC2486"/>
      <c r="AD2486"/>
      <c r="AE2486">
        <v>0</v>
      </c>
      <c r="AF2486"/>
      <c r="AG2486"/>
      <c r="AH2486"/>
    </row>
    <row r="2487" spans="1:34" x14ac:dyDescent="0.25">
      <c r="A2487" t="s">
        <v>3599</v>
      </c>
      <c r="B2487" t="s">
        <v>3247</v>
      </c>
      <c r="C2487"/>
      <c r="D2487" t="s">
        <v>3233</v>
      </c>
      <c r="E2487" t="s">
        <v>3248</v>
      </c>
      <c r="F2487" t="s">
        <v>3249</v>
      </c>
      <c r="G2487"/>
      <c r="H2487" t="s">
        <v>3250</v>
      </c>
      <c r="I2487" t="s">
        <v>35</v>
      </c>
      <c r="J2487"/>
      <c r="K2487">
        <v>1</v>
      </c>
      <c r="L2487">
        <v>1</v>
      </c>
      <c r="M2487" t="s">
        <v>33</v>
      </c>
      <c r="N2487">
        <v>0</v>
      </c>
      <c r="O2487"/>
      <c r="P2487">
        <v>0</v>
      </c>
      <c r="Q2487" t="s">
        <v>38</v>
      </c>
      <c r="R2487">
        <v>1</v>
      </c>
      <c r="S2487">
        <v>0</v>
      </c>
      <c r="T2487"/>
      <c r="U2487"/>
      <c r="V2487"/>
      <c r="W2487"/>
      <c r="X2487">
        <v>0</v>
      </c>
      <c r="Y2487"/>
      <c r="Z2487">
        <v>0</v>
      </c>
      <c r="AA2487"/>
      <c r="AB2487"/>
      <c r="AC2487"/>
      <c r="AD2487"/>
      <c r="AE2487">
        <v>0</v>
      </c>
      <c r="AF2487"/>
      <c r="AG2487"/>
      <c r="AH2487"/>
    </row>
    <row r="2488" spans="1:34" x14ac:dyDescent="0.25">
      <c r="A2488" t="s">
        <v>3600</v>
      </c>
      <c r="B2488" t="s">
        <v>3247</v>
      </c>
      <c r="C2488"/>
      <c r="D2488" t="s">
        <v>3233</v>
      </c>
      <c r="E2488" t="s">
        <v>3248</v>
      </c>
      <c r="F2488" t="s">
        <v>3249</v>
      </c>
      <c r="G2488"/>
      <c r="H2488" t="s">
        <v>3250</v>
      </c>
      <c r="I2488" t="s">
        <v>35</v>
      </c>
      <c r="J2488"/>
      <c r="K2488">
        <v>1</v>
      </c>
      <c r="L2488">
        <v>1</v>
      </c>
      <c r="M2488" t="s">
        <v>33</v>
      </c>
      <c r="N2488">
        <v>0</v>
      </c>
      <c r="O2488"/>
      <c r="P2488">
        <v>0</v>
      </c>
      <c r="Q2488" t="s">
        <v>38</v>
      </c>
      <c r="R2488">
        <v>1</v>
      </c>
      <c r="S2488">
        <v>0</v>
      </c>
      <c r="T2488"/>
      <c r="U2488"/>
      <c r="V2488"/>
      <c r="W2488"/>
      <c r="X2488">
        <v>0</v>
      </c>
      <c r="Y2488"/>
      <c r="Z2488">
        <v>0</v>
      </c>
      <c r="AA2488"/>
      <c r="AB2488"/>
      <c r="AC2488"/>
      <c r="AD2488"/>
      <c r="AE2488">
        <v>0</v>
      </c>
      <c r="AF2488"/>
      <c r="AG2488"/>
      <c r="AH2488"/>
    </row>
    <row r="2489" spans="1:34" x14ac:dyDescent="0.25">
      <c r="A2489" t="s">
        <v>3601</v>
      </c>
      <c r="B2489" t="s">
        <v>3247</v>
      </c>
      <c r="C2489"/>
      <c r="D2489" t="s">
        <v>3233</v>
      </c>
      <c r="E2489" t="s">
        <v>3248</v>
      </c>
      <c r="F2489" t="s">
        <v>3249</v>
      </c>
      <c r="G2489"/>
      <c r="H2489" t="s">
        <v>3250</v>
      </c>
      <c r="I2489" t="s">
        <v>35</v>
      </c>
      <c r="J2489"/>
      <c r="K2489">
        <v>1</v>
      </c>
      <c r="L2489">
        <v>1</v>
      </c>
      <c r="M2489" t="s">
        <v>33</v>
      </c>
      <c r="N2489">
        <v>0</v>
      </c>
      <c r="O2489"/>
      <c r="P2489">
        <v>0</v>
      </c>
      <c r="Q2489" t="s">
        <v>38</v>
      </c>
      <c r="R2489">
        <v>1</v>
      </c>
      <c r="S2489">
        <v>0</v>
      </c>
      <c r="T2489"/>
      <c r="U2489"/>
      <c r="V2489"/>
      <c r="W2489"/>
      <c r="X2489">
        <v>0</v>
      </c>
      <c r="Y2489"/>
      <c r="Z2489">
        <v>0</v>
      </c>
      <c r="AA2489"/>
      <c r="AB2489"/>
      <c r="AC2489"/>
      <c r="AD2489"/>
      <c r="AE2489">
        <v>0</v>
      </c>
      <c r="AF2489"/>
      <c r="AG2489"/>
      <c r="AH2489"/>
    </row>
    <row r="2490" spans="1:34" x14ac:dyDescent="0.25">
      <c r="A2490" t="s">
        <v>3602</v>
      </c>
      <c r="B2490" t="s">
        <v>3247</v>
      </c>
      <c r="C2490"/>
      <c r="D2490" t="s">
        <v>3233</v>
      </c>
      <c r="E2490" t="s">
        <v>3248</v>
      </c>
      <c r="F2490" t="s">
        <v>3249</v>
      </c>
      <c r="G2490"/>
      <c r="H2490" t="s">
        <v>3250</v>
      </c>
      <c r="I2490" t="s">
        <v>35</v>
      </c>
      <c r="J2490"/>
      <c r="K2490">
        <v>1</v>
      </c>
      <c r="L2490">
        <v>1</v>
      </c>
      <c r="M2490" t="s">
        <v>33</v>
      </c>
      <c r="N2490">
        <v>0</v>
      </c>
      <c r="O2490"/>
      <c r="P2490">
        <v>0</v>
      </c>
      <c r="Q2490" t="s">
        <v>38</v>
      </c>
      <c r="R2490">
        <v>1</v>
      </c>
      <c r="S2490">
        <v>0</v>
      </c>
      <c r="T2490"/>
      <c r="U2490"/>
      <c r="V2490"/>
      <c r="W2490"/>
      <c r="X2490">
        <v>0</v>
      </c>
      <c r="Y2490"/>
      <c r="Z2490">
        <v>0</v>
      </c>
      <c r="AA2490"/>
      <c r="AB2490"/>
      <c r="AC2490"/>
      <c r="AD2490"/>
      <c r="AE2490">
        <v>0</v>
      </c>
      <c r="AF2490"/>
      <c r="AG2490"/>
      <c r="AH2490"/>
    </row>
    <row r="2491" spans="1:34" x14ac:dyDescent="0.25">
      <c r="A2491" t="s">
        <v>3603</v>
      </c>
      <c r="B2491" t="s">
        <v>3247</v>
      </c>
      <c r="C2491"/>
      <c r="D2491" t="s">
        <v>3233</v>
      </c>
      <c r="E2491" t="s">
        <v>3248</v>
      </c>
      <c r="F2491" t="s">
        <v>3249</v>
      </c>
      <c r="G2491"/>
      <c r="H2491" t="s">
        <v>3250</v>
      </c>
      <c r="I2491" t="s">
        <v>35</v>
      </c>
      <c r="J2491"/>
      <c r="K2491">
        <v>1</v>
      </c>
      <c r="L2491">
        <v>1</v>
      </c>
      <c r="M2491" t="s">
        <v>33</v>
      </c>
      <c r="N2491">
        <v>0</v>
      </c>
      <c r="O2491"/>
      <c r="P2491">
        <v>0</v>
      </c>
      <c r="Q2491" t="s">
        <v>38</v>
      </c>
      <c r="R2491">
        <v>1</v>
      </c>
      <c r="S2491">
        <v>0</v>
      </c>
      <c r="T2491"/>
      <c r="U2491"/>
      <c r="V2491"/>
      <c r="W2491"/>
      <c r="X2491">
        <v>0</v>
      </c>
      <c r="Y2491"/>
      <c r="Z2491">
        <v>0</v>
      </c>
      <c r="AA2491"/>
      <c r="AB2491"/>
      <c r="AC2491"/>
      <c r="AD2491"/>
      <c r="AE2491">
        <v>0</v>
      </c>
      <c r="AF2491"/>
      <c r="AG2491"/>
      <c r="AH2491"/>
    </row>
    <row r="2492" spans="1:34" x14ac:dyDescent="0.25">
      <c r="A2492" t="s">
        <v>3596</v>
      </c>
      <c r="B2492" t="s">
        <v>3247</v>
      </c>
      <c r="C2492"/>
      <c r="D2492" t="s">
        <v>3233</v>
      </c>
      <c r="E2492" t="s">
        <v>3248</v>
      </c>
      <c r="F2492" t="s">
        <v>3251</v>
      </c>
      <c r="G2492"/>
      <c r="H2492" t="s">
        <v>3252</v>
      </c>
      <c r="I2492" t="s">
        <v>35</v>
      </c>
      <c r="J2492"/>
      <c r="K2492">
        <v>1</v>
      </c>
      <c r="L2492">
        <v>1</v>
      </c>
      <c r="M2492" t="s">
        <v>33</v>
      </c>
      <c r="N2492">
        <v>0</v>
      </c>
      <c r="O2492"/>
      <c r="P2492">
        <v>0</v>
      </c>
      <c r="Q2492" t="s">
        <v>38</v>
      </c>
      <c r="R2492">
        <v>1</v>
      </c>
      <c r="S2492">
        <v>0</v>
      </c>
      <c r="T2492"/>
      <c r="U2492"/>
      <c r="V2492"/>
      <c r="W2492"/>
      <c r="X2492">
        <v>0</v>
      </c>
      <c r="Y2492"/>
      <c r="Z2492">
        <v>0</v>
      </c>
      <c r="AA2492"/>
      <c r="AB2492"/>
      <c r="AC2492"/>
      <c r="AD2492"/>
      <c r="AE2492">
        <v>0</v>
      </c>
      <c r="AF2492"/>
      <c r="AG2492"/>
      <c r="AH2492"/>
    </row>
    <row r="2493" spans="1:34" x14ac:dyDescent="0.25">
      <c r="A2493" t="s">
        <v>3597</v>
      </c>
      <c r="B2493" t="s">
        <v>3247</v>
      </c>
      <c r="C2493"/>
      <c r="D2493" t="s">
        <v>3233</v>
      </c>
      <c r="E2493" t="s">
        <v>3248</v>
      </c>
      <c r="F2493" t="s">
        <v>3251</v>
      </c>
      <c r="G2493"/>
      <c r="H2493" t="s">
        <v>3252</v>
      </c>
      <c r="I2493" t="s">
        <v>35</v>
      </c>
      <c r="J2493"/>
      <c r="K2493">
        <v>1</v>
      </c>
      <c r="L2493">
        <v>1</v>
      </c>
      <c r="M2493" t="s">
        <v>33</v>
      </c>
      <c r="N2493">
        <v>0</v>
      </c>
      <c r="O2493"/>
      <c r="P2493">
        <v>0</v>
      </c>
      <c r="Q2493" t="s">
        <v>38</v>
      </c>
      <c r="R2493">
        <v>1</v>
      </c>
      <c r="S2493">
        <v>0</v>
      </c>
      <c r="T2493"/>
      <c r="U2493"/>
      <c r="V2493"/>
      <c r="W2493"/>
      <c r="X2493">
        <v>0</v>
      </c>
      <c r="Y2493"/>
      <c r="Z2493">
        <v>0</v>
      </c>
      <c r="AA2493"/>
      <c r="AB2493"/>
      <c r="AC2493"/>
      <c r="AD2493"/>
      <c r="AE2493">
        <v>0</v>
      </c>
      <c r="AF2493"/>
      <c r="AG2493"/>
      <c r="AH2493"/>
    </row>
    <row r="2494" spans="1:34" x14ac:dyDescent="0.25">
      <c r="A2494" t="s">
        <v>3598</v>
      </c>
      <c r="B2494" t="s">
        <v>3247</v>
      </c>
      <c r="C2494"/>
      <c r="D2494" t="s">
        <v>3233</v>
      </c>
      <c r="E2494" t="s">
        <v>3248</v>
      </c>
      <c r="F2494" t="s">
        <v>3251</v>
      </c>
      <c r="G2494"/>
      <c r="H2494" t="s">
        <v>3252</v>
      </c>
      <c r="I2494" t="s">
        <v>35</v>
      </c>
      <c r="J2494"/>
      <c r="K2494">
        <v>1</v>
      </c>
      <c r="L2494">
        <v>1</v>
      </c>
      <c r="M2494" t="s">
        <v>33</v>
      </c>
      <c r="N2494">
        <v>0</v>
      </c>
      <c r="O2494"/>
      <c r="P2494">
        <v>0</v>
      </c>
      <c r="Q2494" t="s">
        <v>38</v>
      </c>
      <c r="R2494">
        <v>1</v>
      </c>
      <c r="S2494">
        <v>0</v>
      </c>
      <c r="T2494"/>
      <c r="U2494"/>
      <c r="V2494"/>
      <c r="W2494"/>
      <c r="X2494">
        <v>0</v>
      </c>
      <c r="Y2494"/>
      <c r="Z2494">
        <v>0</v>
      </c>
      <c r="AA2494"/>
      <c r="AB2494"/>
      <c r="AC2494"/>
      <c r="AD2494"/>
      <c r="AE2494">
        <v>0</v>
      </c>
      <c r="AF2494"/>
      <c r="AG2494"/>
      <c r="AH2494"/>
    </row>
    <row r="2495" spans="1:34" x14ac:dyDescent="0.25">
      <c r="A2495" t="s">
        <v>3599</v>
      </c>
      <c r="B2495" t="s">
        <v>3247</v>
      </c>
      <c r="C2495"/>
      <c r="D2495" t="s">
        <v>3233</v>
      </c>
      <c r="E2495" t="s">
        <v>3248</v>
      </c>
      <c r="F2495" t="s">
        <v>3251</v>
      </c>
      <c r="G2495"/>
      <c r="H2495" t="s">
        <v>3252</v>
      </c>
      <c r="I2495" t="s">
        <v>35</v>
      </c>
      <c r="J2495"/>
      <c r="K2495">
        <v>1</v>
      </c>
      <c r="L2495">
        <v>1</v>
      </c>
      <c r="M2495" t="s">
        <v>33</v>
      </c>
      <c r="N2495">
        <v>0</v>
      </c>
      <c r="O2495"/>
      <c r="P2495">
        <v>0</v>
      </c>
      <c r="Q2495" t="s">
        <v>38</v>
      </c>
      <c r="R2495">
        <v>1</v>
      </c>
      <c r="S2495">
        <v>0</v>
      </c>
      <c r="T2495"/>
      <c r="U2495"/>
      <c r="V2495"/>
      <c r="W2495"/>
      <c r="X2495">
        <v>0</v>
      </c>
      <c r="Y2495"/>
      <c r="Z2495">
        <v>0</v>
      </c>
      <c r="AA2495"/>
      <c r="AB2495"/>
      <c r="AC2495"/>
      <c r="AD2495"/>
      <c r="AE2495">
        <v>0</v>
      </c>
      <c r="AF2495"/>
      <c r="AG2495"/>
      <c r="AH2495"/>
    </row>
    <row r="2496" spans="1:34" x14ac:dyDescent="0.25">
      <c r="A2496" t="s">
        <v>3600</v>
      </c>
      <c r="B2496" t="s">
        <v>3247</v>
      </c>
      <c r="C2496"/>
      <c r="D2496" t="s">
        <v>3233</v>
      </c>
      <c r="E2496" t="s">
        <v>3248</v>
      </c>
      <c r="F2496" t="s">
        <v>3251</v>
      </c>
      <c r="G2496"/>
      <c r="H2496" t="s">
        <v>3252</v>
      </c>
      <c r="I2496" t="s">
        <v>35</v>
      </c>
      <c r="J2496"/>
      <c r="K2496">
        <v>1</v>
      </c>
      <c r="L2496">
        <v>1</v>
      </c>
      <c r="M2496" t="s">
        <v>33</v>
      </c>
      <c r="N2496">
        <v>0</v>
      </c>
      <c r="O2496"/>
      <c r="P2496">
        <v>0</v>
      </c>
      <c r="Q2496" t="s">
        <v>38</v>
      </c>
      <c r="R2496">
        <v>1</v>
      </c>
      <c r="S2496">
        <v>0</v>
      </c>
      <c r="T2496"/>
      <c r="U2496"/>
      <c r="V2496"/>
      <c r="W2496"/>
      <c r="X2496">
        <v>0</v>
      </c>
      <c r="Y2496"/>
      <c r="Z2496">
        <v>0</v>
      </c>
      <c r="AA2496"/>
      <c r="AB2496"/>
      <c r="AC2496"/>
      <c r="AD2496"/>
      <c r="AE2496">
        <v>0</v>
      </c>
      <c r="AF2496"/>
      <c r="AG2496"/>
      <c r="AH2496"/>
    </row>
    <row r="2497" spans="1:34" x14ac:dyDescent="0.25">
      <c r="A2497" t="s">
        <v>3601</v>
      </c>
      <c r="B2497" t="s">
        <v>3247</v>
      </c>
      <c r="C2497"/>
      <c r="D2497" t="s">
        <v>3233</v>
      </c>
      <c r="E2497" t="s">
        <v>3248</v>
      </c>
      <c r="F2497" t="s">
        <v>3251</v>
      </c>
      <c r="G2497"/>
      <c r="H2497" t="s">
        <v>3252</v>
      </c>
      <c r="I2497" t="s">
        <v>35</v>
      </c>
      <c r="J2497"/>
      <c r="K2497">
        <v>1</v>
      </c>
      <c r="L2497">
        <v>1</v>
      </c>
      <c r="M2497" t="s">
        <v>33</v>
      </c>
      <c r="N2497">
        <v>0</v>
      </c>
      <c r="O2497"/>
      <c r="P2497">
        <v>0</v>
      </c>
      <c r="Q2497" t="s">
        <v>38</v>
      </c>
      <c r="R2497">
        <v>1</v>
      </c>
      <c r="S2497">
        <v>0</v>
      </c>
      <c r="T2497"/>
      <c r="U2497"/>
      <c r="V2497"/>
      <c r="W2497"/>
      <c r="X2497">
        <v>0</v>
      </c>
      <c r="Y2497"/>
      <c r="Z2497">
        <v>0</v>
      </c>
      <c r="AA2497"/>
      <c r="AB2497"/>
      <c r="AC2497"/>
      <c r="AD2497"/>
      <c r="AE2497">
        <v>0</v>
      </c>
      <c r="AF2497"/>
      <c r="AG2497"/>
      <c r="AH2497"/>
    </row>
    <row r="2498" spans="1:34" x14ac:dyDescent="0.25">
      <c r="A2498" t="s">
        <v>3602</v>
      </c>
      <c r="B2498" t="s">
        <v>3247</v>
      </c>
      <c r="C2498"/>
      <c r="D2498" t="s">
        <v>3233</v>
      </c>
      <c r="E2498" t="s">
        <v>3248</v>
      </c>
      <c r="F2498" t="s">
        <v>3251</v>
      </c>
      <c r="G2498"/>
      <c r="H2498" t="s">
        <v>3252</v>
      </c>
      <c r="I2498" t="s">
        <v>35</v>
      </c>
      <c r="J2498"/>
      <c r="K2498">
        <v>1</v>
      </c>
      <c r="L2498">
        <v>1</v>
      </c>
      <c r="M2498" t="s">
        <v>33</v>
      </c>
      <c r="N2498">
        <v>0</v>
      </c>
      <c r="O2498"/>
      <c r="P2498">
        <v>0</v>
      </c>
      <c r="Q2498" t="s">
        <v>38</v>
      </c>
      <c r="R2498">
        <v>1</v>
      </c>
      <c r="S2498">
        <v>0</v>
      </c>
      <c r="T2498"/>
      <c r="U2498"/>
      <c r="V2498"/>
      <c r="W2498"/>
      <c r="X2498">
        <v>0</v>
      </c>
      <c r="Y2498"/>
      <c r="Z2498">
        <v>0</v>
      </c>
      <c r="AA2498"/>
      <c r="AB2498"/>
      <c r="AC2498"/>
      <c r="AD2498"/>
      <c r="AE2498">
        <v>0</v>
      </c>
      <c r="AF2498"/>
      <c r="AG2498"/>
      <c r="AH2498"/>
    </row>
    <row r="2499" spans="1:34" x14ac:dyDescent="0.25">
      <c r="A2499" t="s">
        <v>3603</v>
      </c>
      <c r="B2499" t="s">
        <v>3247</v>
      </c>
      <c r="C2499"/>
      <c r="D2499" t="s">
        <v>3233</v>
      </c>
      <c r="E2499" t="s">
        <v>3248</v>
      </c>
      <c r="F2499" t="s">
        <v>3251</v>
      </c>
      <c r="G2499"/>
      <c r="H2499" t="s">
        <v>3252</v>
      </c>
      <c r="I2499" t="s">
        <v>35</v>
      </c>
      <c r="J2499"/>
      <c r="K2499">
        <v>1</v>
      </c>
      <c r="L2499">
        <v>1</v>
      </c>
      <c r="M2499" t="s">
        <v>33</v>
      </c>
      <c r="N2499">
        <v>0</v>
      </c>
      <c r="O2499"/>
      <c r="P2499">
        <v>0</v>
      </c>
      <c r="Q2499" t="s">
        <v>38</v>
      </c>
      <c r="R2499">
        <v>1</v>
      </c>
      <c r="S2499">
        <v>0</v>
      </c>
      <c r="T2499"/>
      <c r="U2499"/>
      <c r="V2499"/>
      <c r="W2499"/>
      <c r="X2499">
        <v>0</v>
      </c>
      <c r="Y2499"/>
      <c r="Z2499">
        <v>0</v>
      </c>
      <c r="AA2499"/>
      <c r="AB2499"/>
      <c r="AC2499"/>
      <c r="AD2499"/>
      <c r="AE2499">
        <v>0</v>
      </c>
      <c r="AF2499"/>
      <c r="AG2499"/>
      <c r="AH2499"/>
    </row>
    <row r="2500" spans="1:34" x14ac:dyDescent="0.25">
      <c r="A2500" t="s">
        <v>3596</v>
      </c>
      <c r="B2500" t="s">
        <v>3247</v>
      </c>
      <c r="C2500"/>
      <c r="D2500" t="s">
        <v>3233</v>
      </c>
      <c r="E2500" t="s">
        <v>3248</v>
      </c>
      <c r="F2500" t="s">
        <v>3253</v>
      </c>
      <c r="G2500"/>
      <c r="H2500" t="s">
        <v>3254</v>
      </c>
      <c r="I2500" t="s">
        <v>35</v>
      </c>
      <c r="J2500"/>
      <c r="K2500">
        <v>1</v>
      </c>
      <c r="L2500">
        <v>1</v>
      </c>
      <c r="M2500" t="s">
        <v>33</v>
      </c>
      <c r="N2500">
        <v>0</v>
      </c>
      <c r="O2500"/>
      <c r="P2500">
        <v>0</v>
      </c>
      <c r="Q2500" t="s">
        <v>38</v>
      </c>
      <c r="R2500">
        <v>1</v>
      </c>
      <c r="S2500">
        <v>0</v>
      </c>
      <c r="T2500"/>
      <c r="U2500"/>
      <c r="V2500"/>
      <c r="W2500"/>
      <c r="X2500">
        <v>0</v>
      </c>
      <c r="Y2500"/>
      <c r="Z2500">
        <v>0</v>
      </c>
      <c r="AA2500"/>
      <c r="AB2500"/>
      <c r="AC2500"/>
      <c r="AD2500"/>
      <c r="AE2500">
        <v>0</v>
      </c>
      <c r="AF2500"/>
      <c r="AG2500"/>
      <c r="AH2500"/>
    </row>
    <row r="2501" spans="1:34" x14ac:dyDescent="0.25">
      <c r="A2501" t="s">
        <v>3597</v>
      </c>
      <c r="B2501" t="s">
        <v>3247</v>
      </c>
      <c r="C2501"/>
      <c r="D2501" t="s">
        <v>3233</v>
      </c>
      <c r="E2501" t="s">
        <v>3248</v>
      </c>
      <c r="F2501" t="s">
        <v>3253</v>
      </c>
      <c r="G2501"/>
      <c r="H2501" t="s">
        <v>3254</v>
      </c>
      <c r="I2501" t="s">
        <v>35</v>
      </c>
      <c r="J2501"/>
      <c r="K2501">
        <v>1</v>
      </c>
      <c r="L2501">
        <v>1</v>
      </c>
      <c r="M2501" t="s">
        <v>33</v>
      </c>
      <c r="N2501">
        <v>0</v>
      </c>
      <c r="O2501"/>
      <c r="P2501">
        <v>0</v>
      </c>
      <c r="Q2501" t="s">
        <v>38</v>
      </c>
      <c r="R2501">
        <v>1</v>
      </c>
      <c r="S2501">
        <v>0</v>
      </c>
      <c r="T2501"/>
      <c r="U2501"/>
      <c r="V2501"/>
      <c r="W2501"/>
      <c r="X2501">
        <v>0</v>
      </c>
      <c r="Y2501"/>
      <c r="Z2501">
        <v>0</v>
      </c>
      <c r="AA2501"/>
      <c r="AB2501"/>
      <c r="AC2501"/>
      <c r="AD2501"/>
      <c r="AE2501">
        <v>0</v>
      </c>
      <c r="AF2501"/>
      <c r="AG2501"/>
      <c r="AH2501"/>
    </row>
    <row r="2502" spans="1:34" x14ac:dyDescent="0.25">
      <c r="A2502" t="s">
        <v>3598</v>
      </c>
      <c r="B2502" t="s">
        <v>3247</v>
      </c>
      <c r="C2502"/>
      <c r="D2502" t="s">
        <v>3233</v>
      </c>
      <c r="E2502" t="s">
        <v>3248</v>
      </c>
      <c r="F2502" t="s">
        <v>3253</v>
      </c>
      <c r="G2502"/>
      <c r="H2502" t="s">
        <v>3254</v>
      </c>
      <c r="I2502" t="s">
        <v>35</v>
      </c>
      <c r="J2502"/>
      <c r="K2502">
        <v>1</v>
      </c>
      <c r="L2502">
        <v>1</v>
      </c>
      <c r="M2502" t="s">
        <v>33</v>
      </c>
      <c r="N2502">
        <v>0</v>
      </c>
      <c r="O2502"/>
      <c r="P2502">
        <v>0</v>
      </c>
      <c r="Q2502" t="s">
        <v>38</v>
      </c>
      <c r="R2502">
        <v>1</v>
      </c>
      <c r="S2502">
        <v>0</v>
      </c>
      <c r="T2502"/>
      <c r="U2502"/>
      <c r="V2502"/>
      <c r="W2502"/>
      <c r="X2502">
        <v>0</v>
      </c>
      <c r="Y2502"/>
      <c r="Z2502">
        <v>0</v>
      </c>
      <c r="AA2502"/>
      <c r="AB2502"/>
      <c r="AC2502"/>
      <c r="AD2502"/>
      <c r="AE2502">
        <v>0</v>
      </c>
      <c r="AF2502"/>
      <c r="AG2502"/>
      <c r="AH2502"/>
    </row>
    <row r="2503" spans="1:34" x14ac:dyDescent="0.25">
      <c r="A2503" t="s">
        <v>3599</v>
      </c>
      <c r="B2503" t="s">
        <v>3247</v>
      </c>
      <c r="C2503"/>
      <c r="D2503" t="s">
        <v>3233</v>
      </c>
      <c r="E2503" t="s">
        <v>3248</v>
      </c>
      <c r="F2503" t="s">
        <v>3253</v>
      </c>
      <c r="G2503"/>
      <c r="H2503" t="s">
        <v>3254</v>
      </c>
      <c r="I2503" t="s">
        <v>35</v>
      </c>
      <c r="J2503"/>
      <c r="K2503">
        <v>1</v>
      </c>
      <c r="L2503">
        <v>1</v>
      </c>
      <c r="M2503" t="s">
        <v>33</v>
      </c>
      <c r="N2503">
        <v>0</v>
      </c>
      <c r="O2503"/>
      <c r="P2503">
        <v>0</v>
      </c>
      <c r="Q2503" t="s">
        <v>38</v>
      </c>
      <c r="R2503">
        <v>1</v>
      </c>
      <c r="S2503">
        <v>0</v>
      </c>
      <c r="T2503"/>
      <c r="U2503"/>
      <c r="V2503"/>
      <c r="W2503"/>
      <c r="X2503">
        <v>0</v>
      </c>
      <c r="Y2503"/>
      <c r="Z2503">
        <v>0</v>
      </c>
      <c r="AA2503"/>
      <c r="AB2503"/>
      <c r="AC2503"/>
      <c r="AD2503"/>
      <c r="AE2503">
        <v>0</v>
      </c>
      <c r="AF2503"/>
      <c r="AG2503"/>
      <c r="AH2503"/>
    </row>
    <row r="2504" spans="1:34" x14ac:dyDescent="0.25">
      <c r="A2504" t="s">
        <v>3600</v>
      </c>
      <c r="B2504" t="s">
        <v>3247</v>
      </c>
      <c r="C2504"/>
      <c r="D2504" t="s">
        <v>3233</v>
      </c>
      <c r="E2504" t="s">
        <v>3248</v>
      </c>
      <c r="F2504" t="s">
        <v>3253</v>
      </c>
      <c r="G2504"/>
      <c r="H2504" t="s">
        <v>3254</v>
      </c>
      <c r="I2504" t="s">
        <v>35</v>
      </c>
      <c r="J2504"/>
      <c r="K2504">
        <v>1</v>
      </c>
      <c r="L2504">
        <v>1</v>
      </c>
      <c r="M2504" t="s">
        <v>33</v>
      </c>
      <c r="N2504">
        <v>0</v>
      </c>
      <c r="O2504"/>
      <c r="P2504">
        <v>0</v>
      </c>
      <c r="Q2504" t="s">
        <v>38</v>
      </c>
      <c r="R2504">
        <v>1</v>
      </c>
      <c r="S2504">
        <v>0</v>
      </c>
      <c r="T2504"/>
      <c r="U2504"/>
      <c r="V2504"/>
      <c r="W2504"/>
      <c r="X2504">
        <v>0</v>
      </c>
      <c r="Y2504"/>
      <c r="Z2504">
        <v>0</v>
      </c>
      <c r="AA2504"/>
      <c r="AB2504"/>
      <c r="AC2504"/>
      <c r="AD2504"/>
      <c r="AE2504">
        <v>0</v>
      </c>
      <c r="AF2504"/>
      <c r="AG2504"/>
      <c r="AH2504"/>
    </row>
    <row r="2505" spans="1:34" x14ac:dyDescent="0.25">
      <c r="A2505" t="s">
        <v>3601</v>
      </c>
      <c r="B2505" t="s">
        <v>3247</v>
      </c>
      <c r="C2505"/>
      <c r="D2505" t="s">
        <v>3233</v>
      </c>
      <c r="E2505" t="s">
        <v>3248</v>
      </c>
      <c r="F2505" t="s">
        <v>3253</v>
      </c>
      <c r="G2505"/>
      <c r="H2505" t="s">
        <v>3254</v>
      </c>
      <c r="I2505" t="s">
        <v>35</v>
      </c>
      <c r="J2505"/>
      <c r="K2505">
        <v>1</v>
      </c>
      <c r="L2505">
        <v>1</v>
      </c>
      <c r="M2505" t="s">
        <v>33</v>
      </c>
      <c r="N2505">
        <v>0</v>
      </c>
      <c r="O2505"/>
      <c r="P2505">
        <v>0</v>
      </c>
      <c r="Q2505" t="s">
        <v>38</v>
      </c>
      <c r="R2505">
        <v>1</v>
      </c>
      <c r="S2505">
        <v>0</v>
      </c>
      <c r="T2505"/>
      <c r="U2505"/>
      <c r="V2505"/>
      <c r="W2505"/>
      <c r="X2505">
        <v>0</v>
      </c>
      <c r="Y2505"/>
      <c r="Z2505">
        <v>0</v>
      </c>
      <c r="AA2505"/>
      <c r="AB2505"/>
      <c r="AC2505"/>
      <c r="AD2505"/>
      <c r="AE2505">
        <v>0</v>
      </c>
      <c r="AF2505"/>
      <c r="AG2505"/>
      <c r="AH2505"/>
    </row>
    <row r="2506" spans="1:34" x14ac:dyDescent="0.25">
      <c r="A2506" t="s">
        <v>3602</v>
      </c>
      <c r="B2506" t="s">
        <v>3247</v>
      </c>
      <c r="C2506"/>
      <c r="D2506" t="s">
        <v>3233</v>
      </c>
      <c r="E2506" t="s">
        <v>3248</v>
      </c>
      <c r="F2506" t="s">
        <v>3253</v>
      </c>
      <c r="G2506"/>
      <c r="H2506" t="s">
        <v>3254</v>
      </c>
      <c r="I2506" t="s">
        <v>35</v>
      </c>
      <c r="J2506"/>
      <c r="K2506">
        <v>1</v>
      </c>
      <c r="L2506">
        <v>1</v>
      </c>
      <c r="M2506" t="s">
        <v>33</v>
      </c>
      <c r="N2506">
        <v>0</v>
      </c>
      <c r="O2506"/>
      <c r="P2506">
        <v>0</v>
      </c>
      <c r="Q2506" t="s">
        <v>38</v>
      </c>
      <c r="R2506">
        <v>1</v>
      </c>
      <c r="S2506">
        <v>0</v>
      </c>
      <c r="T2506"/>
      <c r="U2506"/>
      <c r="V2506"/>
      <c r="W2506"/>
      <c r="X2506">
        <v>0</v>
      </c>
      <c r="Y2506"/>
      <c r="Z2506">
        <v>0</v>
      </c>
      <c r="AA2506"/>
      <c r="AB2506"/>
      <c r="AC2506"/>
      <c r="AD2506"/>
      <c r="AE2506">
        <v>0</v>
      </c>
      <c r="AF2506"/>
      <c r="AG2506"/>
      <c r="AH2506"/>
    </row>
    <row r="2507" spans="1:34" x14ac:dyDescent="0.25">
      <c r="A2507" t="s">
        <v>3603</v>
      </c>
      <c r="B2507" t="s">
        <v>3247</v>
      </c>
      <c r="C2507"/>
      <c r="D2507" t="s">
        <v>3233</v>
      </c>
      <c r="E2507" t="s">
        <v>3248</v>
      </c>
      <c r="F2507" t="s">
        <v>3253</v>
      </c>
      <c r="G2507"/>
      <c r="H2507" t="s">
        <v>3254</v>
      </c>
      <c r="I2507" t="s">
        <v>35</v>
      </c>
      <c r="J2507"/>
      <c r="K2507">
        <v>1</v>
      </c>
      <c r="L2507">
        <v>1</v>
      </c>
      <c r="M2507" t="s">
        <v>33</v>
      </c>
      <c r="N2507">
        <v>0</v>
      </c>
      <c r="O2507"/>
      <c r="P2507">
        <v>0</v>
      </c>
      <c r="Q2507" t="s">
        <v>38</v>
      </c>
      <c r="R2507">
        <v>1</v>
      </c>
      <c r="S2507">
        <v>0</v>
      </c>
      <c r="T2507"/>
      <c r="U2507"/>
      <c r="V2507"/>
      <c r="W2507"/>
      <c r="X2507">
        <v>0</v>
      </c>
      <c r="Y2507"/>
      <c r="Z2507">
        <v>0</v>
      </c>
      <c r="AA2507"/>
      <c r="AB2507"/>
      <c r="AC2507"/>
      <c r="AD2507"/>
      <c r="AE2507">
        <v>0</v>
      </c>
      <c r="AF2507"/>
      <c r="AG2507"/>
      <c r="AH2507"/>
    </row>
    <row r="2508" spans="1:34" x14ac:dyDescent="0.25">
      <c r="A2508" t="s">
        <v>3596</v>
      </c>
      <c r="B2508" t="s">
        <v>3247</v>
      </c>
      <c r="C2508"/>
      <c r="D2508" t="s">
        <v>3233</v>
      </c>
      <c r="E2508" t="s">
        <v>3248</v>
      </c>
      <c r="F2508" t="s">
        <v>3255</v>
      </c>
      <c r="G2508"/>
      <c r="H2508" t="s">
        <v>3256</v>
      </c>
      <c r="I2508" t="s">
        <v>35</v>
      </c>
      <c r="J2508"/>
      <c r="K2508">
        <v>1</v>
      </c>
      <c r="L2508">
        <v>1</v>
      </c>
      <c r="M2508" t="s">
        <v>33</v>
      </c>
      <c r="N2508">
        <v>0</v>
      </c>
      <c r="O2508"/>
      <c r="P2508">
        <v>0</v>
      </c>
      <c r="Q2508" t="s">
        <v>38</v>
      </c>
      <c r="R2508">
        <v>1</v>
      </c>
      <c r="S2508">
        <v>0</v>
      </c>
      <c r="T2508"/>
      <c r="U2508"/>
      <c r="V2508"/>
      <c r="W2508"/>
      <c r="X2508">
        <v>0</v>
      </c>
      <c r="Y2508"/>
      <c r="Z2508">
        <v>0</v>
      </c>
      <c r="AA2508"/>
      <c r="AB2508"/>
      <c r="AC2508"/>
      <c r="AD2508"/>
      <c r="AE2508">
        <v>0</v>
      </c>
      <c r="AF2508"/>
      <c r="AG2508"/>
      <c r="AH2508"/>
    </row>
    <row r="2509" spans="1:34" x14ac:dyDescent="0.25">
      <c r="A2509" t="s">
        <v>3597</v>
      </c>
      <c r="B2509" t="s">
        <v>3247</v>
      </c>
      <c r="C2509"/>
      <c r="D2509" t="s">
        <v>3233</v>
      </c>
      <c r="E2509" t="s">
        <v>3248</v>
      </c>
      <c r="F2509" t="s">
        <v>3255</v>
      </c>
      <c r="G2509"/>
      <c r="H2509" t="s">
        <v>3256</v>
      </c>
      <c r="I2509" t="s">
        <v>35</v>
      </c>
      <c r="J2509"/>
      <c r="K2509">
        <v>1</v>
      </c>
      <c r="L2509">
        <v>1</v>
      </c>
      <c r="M2509" t="s">
        <v>33</v>
      </c>
      <c r="N2509">
        <v>0</v>
      </c>
      <c r="O2509"/>
      <c r="P2509">
        <v>0</v>
      </c>
      <c r="Q2509" t="s">
        <v>38</v>
      </c>
      <c r="R2509">
        <v>1</v>
      </c>
      <c r="S2509">
        <v>0</v>
      </c>
      <c r="T2509"/>
      <c r="U2509"/>
      <c r="V2509"/>
      <c r="W2509"/>
      <c r="X2509">
        <v>0</v>
      </c>
      <c r="Y2509"/>
      <c r="Z2509">
        <v>0</v>
      </c>
      <c r="AA2509"/>
      <c r="AB2509"/>
      <c r="AC2509"/>
      <c r="AD2509"/>
      <c r="AE2509">
        <v>0</v>
      </c>
      <c r="AF2509"/>
      <c r="AG2509"/>
      <c r="AH2509"/>
    </row>
    <row r="2510" spans="1:34" x14ac:dyDescent="0.25">
      <c r="A2510" t="s">
        <v>3598</v>
      </c>
      <c r="B2510" t="s">
        <v>3247</v>
      </c>
      <c r="C2510"/>
      <c r="D2510" t="s">
        <v>3233</v>
      </c>
      <c r="E2510" t="s">
        <v>3248</v>
      </c>
      <c r="F2510" t="s">
        <v>3255</v>
      </c>
      <c r="G2510"/>
      <c r="H2510" t="s">
        <v>3256</v>
      </c>
      <c r="I2510" t="s">
        <v>35</v>
      </c>
      <c r="J2510"/>
      <c r="K2510">
        <v>1</v>
      </c>
      <c r="L2510">
        <v>1</v>
      </c>
      <c r="M2510" t="s">
        <v>33</v>
      </c>
      <c r="N2510">
        <v>0</v>
      </c>
      <c r="O2510"/>
      <c r="P2510">
        <v>0</v>
      </c>
      <c r="Q2510" t="s">
        <v>38</v>
      </c>
      <c r="R2510">
        <v>1</v>
      </c>
      <c r="S2510">
        <v>0</v>
      </c>
      <c r="T2510"/>
      <c r="U2510"/>
      <c r="V2510"/>
      <c r="W2510"/>
      <c r="X2510">
        <v>0</v>
      </c>
      <c r="Y2510"/>
      <c r="Z2510">
        <v>0</v>
      </c>
      <c r="AA2510"/>
      <c r="AB2510"/>
      <c r="AC2510"/>
      <c r="AD2510"/>
      <c r="AE2510">
        <v>0</v>
      </c>
      <c r="AF2510"/>
      <c r="AG2510"/>
      <c r="AH2510"/>
    </row>
    <row r="2511" spans="1:34" x14ac:dyDescent="0.25">
      <c r="A2511" t="s">
        <v>3599</v>
      </c>
      <c r="B2511" t="s">
        <v>3247</v>
      </c>
      <c r="C2511"/>
      <c r="D2511" t="s">
        <v>3233</v>
      </c>
      <c r="E2511" t="s">
        <v>3248</v>
      </c>
      <c r="F2511" t="s">
        <v>3255</v>
      </c>
      <c r="G2511"/>
      <c r="H2511" t="s">
        <v>3256</v>
      </c>
      <c r="I2511" t="s">
        <v>35</v>
      </c>
      <c r="J2511"/>
      <c r="K2511">
        <v>1</v>
      </c>
      <c r="L2511">
        <v>1</v>
      </c>
      <c r="M2511" t="s">
        <v>33</v>
      </c>
      <c r="N2511">
        <v>0</v>
      </c>
      <c r="O2511"/>
      <c r="P2511">
        <v>0</v>
      </c>
      <c r="Q2511" t="s">
        <v>38</v>
      </c>
      <c r="R2511">
        <v>1</v>
      </c>
      <c r="S2511">
        <v>0</v>
      </c>
      <c r="T2511"/>
      <c r="U2511"/>
      <c r="V2511"/>
      <c r="W2511"/>
      <c r="X2511">
        <v>0</v>
      </c>
      <c r="Y2511"/>
      <c r="Z2511">
        <v>0</v>
      </c>
      <c r="AA2511"/>
      <c r="AB2511"/>
      <c r="AC2511"/>
      <c r="AD2511"/>
      <c r="AE2511">
        <v>0</v>
      </c>
      <c r="AF2511"/>
      <c r="AG2511"/>
      <c r="AH2511"/>
    </row>
    <row r="2512" spans="1:34" x14ac:dyDescent="0.25">
      <c r="A2512" t="s">
        <v>3600</v>
      </c>
      <c r="B2512" t="s">
        <v>3247</v>
      </c>
      <c r="C2512"/>
      <c r="D2512" t="s">
        <v>3233</v>
      </c>
      <c r="E2512" t="s">
        <v>3248</v>
      </c>
      <c r="F2512" t="s">
        <v>3255</v>
      </c>
      <c r="G2512"/>
      <c r="H2512" t="s">
        <v>3256</v>
      </c>
      <c r="I2512" t="s">
        <v>35</v>
      </c>
      <c r="J2512"/>
      <c r="K2512">
        <v>1</v>
      </c>
      <c r="L2512">
        <v>1</v>
      </c>
      <c r="M2512" t="s">
        <v>33</v>
      </c>
      <c r="N2512">
        <v>0</v>
      </c>
      <c r="O2512"/>
      <c r="P2512">
        <v>0</v>
      </c>
      <c r="Q2512" t="s">
        <v>38</v>
      </c>
      <c r="R2512">
        <v>1</v>
      </c>
      <c r="S2512">
        <v>0</v>
      </c>
      <c r="T2512"/>
      <c r="U2512"/>
      <c r="V2512"/>
      <c r="W2512"/>
      <c r="X2512">
        <v>0</v>
      </c>
      <c r="Y2512"/>
      <c r="Z2512">
        <v>0</v>
      </c>
      <c r="AA2512"/>
      <c r="AB2512"/>
      <c r="AC2512"/>
      <c r="AD2512"/>
      <c r="AE2512">
        <v>0</v>
      </c>
      <c r="AF2512"/>
      <c r="AG2512"/>
      <c r="AH2512"/>
    </row>
    <row r="2513" spans="1:34" x14ac:dyDescent="0.25">
      <c r="A2513" t="s">
        <v>3601</v>
      </c>
      <c r="B2513" t="s">
        <v>3247</v>
      </c>
      <c r="C2513"/>
      <c r="D2513" t="s">
        <v>3233</v>
      </c>
      <c r="E2513" t="s">
        <v>3248</v>
      </c>
      <c r="F2513" t="s">
        <v>3255</v>
      </c>
      <c r="G2513"/>
      <c r="H2513" t="s">
        <v>3256</v>
      </c>
      <c r="I2513" t="s">
        <v>35</v>
      </c>
      <c r="J2513"/>
      <c r="K2513">
        <v>1</v>
      </c>
      <c r="L2513">
        <v>1</v>
      </c>
      <c r="M2513" t="s">
        <v>33</v>
      </c>
      <c r="N2513">
        <v>0</v>
      </c>
      <c r="O2513"/>
      <c r="P2513">
        <v>0</v>
      </c>
      <c r="Q2513" t="s">
        <v>38</v>
      </c>
      <c r="R2513">
        <v>1</v>
      </c>
      <c r="S2513">
        <v>0</v>
      </c>
      <c r="T2513"/>
      <c r="U2513"/>
      <c r="V2513"/>
      <c r="W2513"/>
      <c r="X2513">
        <v>0</v>
      </c>
      <c r="Y2513"/>
      <c r="Z2513">
        <v>0</v>
      </c>
      <c r="AA2513"/>
      <c r="AB2513"/>
      <c r="AC2513"/>
      <c r="AD2513"/>
      <c r="AE2513">
        <v>0</v>
      </c>
      <c r="AF2513"/>
      <c r="AG2513"/>
      <c r="AH2513"/>
    </row>
    <row r="2514" spans="1:34" x14ac:dyDescent="0.25">
      <c r="A2514" t="s">
        <v>3602</v>
      </c>
      <c r="B2514" t="s">
        <v>3247</v>
      </c>
      <c r="C2514"/>
      <c r="D2514" t="s">
        <v>3233</v>
      </c>
      <c r="E2514" t="s">
        <v>3248</v>
      </c>
      <c r="F2514" t="s">
        <v>3255</v>
      </c>
      <c r="G2514"/>
      <c r="H2514" t="s">
        <v>3256</v>
      </c>
      <c r="I2514" t="s">
        <v>35</v>
      </c>
      <c r="J2514"/>
      <c r="K2514">
        <v>1</v>
      </c>
      <c r="L2514">
        <v>1</v>
      </c>
      <c r="M2514" t="s">
        <v>33</v>
      </c>
      <c r="N2514">
        <v>0</v>
      </c>
      <c r="O2514"/>
      <c r="P2514">
        <v>0</v>
      </c>
      <c r="Q2514" t="s">
        <v>38</v>
      </c>
      <c r="R2514">
        <v>1</v>
      </c>
      <c r="S2514">
        <v>0</v>
      </c>
      <c r="T2514"/>
      <c r="U2514"/>
      <c r="V2514"/>
      <c r="W2514"/>
      <c r="X2514">
        <v>0</v>
      </c>
      <c r="Y2514"/>
      <c r="Z2514">
        <v>0</v>
      </c>
      <c r="AA2514"/>
      <c r="AB2514"/>
      <c r="AC2514"/>
      <c r="AD2514"/>
      <c r="AE2514">
        <v>0</v>
      </c>
      <c r="AF2514"/>
      <c r="AG2514"/>
      <c r="AH2514"/>
    </row>
    <row r="2515" spans="1:34" x14ac:dyDescent="0.25">
      <c r="A2515" t="s">
        <v>3603</v>
      </c>
      <c r="B2515" t="s">
        <v>3247</v>
      </c>
      <c r="C2515"/>
      <c r="D2515" t="s">
        <v>3233</v>
      </c>
      <c r="E2515" t="s">
        <v>3248</v>
      </c>
      <c r="F2515" t="s">
        <v>3255</v>
      </c>
      <c r="G2515"/>
      <c r="H2515" t="s">
        <v>3256</v>
      </c>
      <c r="I2515" t="s">
        <v>35</v>
      </c>
      <c r="J2515"/>
      <c r="K2515">
        <v>1</v>
      </c>
      <c r="L2515">
        <v>1</v>
      </c>
      <c r="M2515" t="s">
        <v>33</v>
      </c>
      <c r="N2515">
        <v>0</v>
      </c>
      <c r="O2515"/>
      <c r="P2515">
        <v>0</v>
      </c>
      <c r="Q2515" t="s">
        <v>38</v>
      </c>
      <c r="R2515">
        <v>1</v>
      </c>
      <c r="S2515">
        <v>0</v>
      </c>
      <c r="T2515"/>
      <c r="U2515"/>
      <c r="V2515"/>
      <c r="W2515"/>
      <c r="X2515">
        <v>0</v>
      </c>
      <c r="Y2515"/>
      <c r="Z2515">
        <v>0</v>
      </c>
      <c r="AA2515"/>
      <c r="AB2515"/>
      <c r="AC2515"/>
      <c r="AD2515"/>
      <c r="AE2515">
        <v>0</v>
      </c>
      <c r="AF2515"/>
      <c r="AG2515"/>
      <c r="AH2515"/>
    </row>
    <row r="2516" spans="1:34" x14ac:dyDescent="0.25">
      <c r="A2516" t="s">
        <v>3596</v>
      </c>
      <c r="B2516" t="s">
        <v>3247</v>
      </c>
      <c r="C2516"/>
      <c r="D2516" t="s">
        <v>3233</v>
      </c>
      <c r="E2516" t="s">
        <v>3248</v>
      </c>
      <c r="F2516" t="s">
        <v>3257</v>
      </c>
      <c r="G2516"/>
      <c r="H2516" t="s">
        <v>3258</v>
      </c>
      <c r="I2516" t="s">
        <v>35</v>
      </c>
      <c r="J2516"/>
      <c r="K2516">
        <v>1</v>
      </c>
      <c r="L2516">
        <v>1</v>
      </c>
      <c r="M2516" t="s">
        <v>33</v>
      </c>
      <c r="N2516">
        <v>0</v>
      </c>
      <c r="O2516"/>
      <c r="P2516">
        <v>0</v>
      </c>
      <c r="Q2516" t="s">
        <v>38</v>
      </c>
      <c r="R2516">
        <v>1</v>
      </c>
      <c r="S2516">
        <v>0</v>
      </c>
      <c r="T2516"/>
      <c r="U2516"/>
      <c r="V2516"/>
      <c r="W2516"/>
      <c r="X2516">
        <v>0</v>
      </c>
      <c r="Y2516"/>
      <c r="Z2516">
        <v>0</v>
      </c>
      <c r="AA2516"/>
      <c r="AB2516"/>
      <c r="AC2516"/>
      <c r="AD2516"/>
      <c r="AE2516">
        <v>0</v>
      </c>
      <c r="AF2516"/>
      <c r="AG2516"/>
      <c r="AH2516"/>
    </row>
    <row r="2517" spans="1:34" x14ac:dyDescent="0.25">
      <c r="A2517" t="s">
        <v>3597</v>
      </c>
      <c r="B2517" t="s">
        <v>3247</v>
      </c>
      <c r="C2517"/>
      <c r="D2517" t="s">
        <v>3233</v>
      </c>
      <c r="E2517" t="s">
        <v>3248</v>
      </c>
      <c r="F2517" t="s">
        <v>3257</v>
      </c>
      <c r="G2517"/>
      <c r="H2517" t="s">
        <v>3258</v>
      </c>
      <c r="I2517" t="s">
        <v>35</v>
      </c>
      <c r="J2517"/>
      <c r="K2517">
        <v>1</v>
      </c>
      <c r="L2517">
        <v>1</v>
      </c>
      <c r="M2517" t="s">
        <v>33</v>
      </c>
      <c r="N2517">
        <v>0</v>
      </c>
      <c r="O2517"/>
      <c r="P2517">
        <v>0</v>
      </c>
      <c r="Q2517" t="s">
        <v>38</v>
      </c>
      <c r="R2517">
        <v>1</v>
      </c>
      <c r="S2517">
        <v>0</v>
      </c>
      <c r="T2517"/>
      <c r="U2517"/>
      <c r="V2517"/>
      <c r="W2517"/>
      <c r="X2517">
        <v>0</v>
      </c>
      <c r="Y2517"/>
      <c r="Z2517">
        <v>0</v>
      </c>
      <c r="AA2517"/>
      <c r="AB2517"/>
      <c r="AC2517"/>
      <c r="AD2517"/>
      <c r="AE2517">
        <v>0</v>
      </c>
      <c r="AF2517"/>
      <c r="AG2517"/>
      <c r="AH2517"/>
    </row>
    <row r="2518" spans="1:34" x14ac:dyDescent="0.25">
      <c r="A2518" t="s">
        <v>3598</v>
      </c>
      <c r="B2518" t="s">
        <v>3247</v>
      </c>
      <c r="C2518"/>
      <c r="D2518" t="s">
        <v>3233</v>
      </c>
      <c r="E2518" t="s">
        <v>3248</v>
      </c>
      <c r="F2518" t="s">
        <v>3257</v>
      </c>
      <c r="G2518"/>
      <c r="H2518" t="s">
        <v>3258</v>
      </c>
      <c r="I2518" t="s">
        <v>35</v>
      </c>
      <c r="J2518"/>
      <c r="K2518">
        <v>1</v>
      </c>
      <c r="L2518">
        <v>1</v>
      </c>
      <c r="M2518" t="s">
        <v>33</v>
      </c>
      <c r="N2518">
        <v>0</v>
      </c>
      <c r="O2518"/>
      <c r="P2518">
        <v>0</v>
      </c>
      <c r="Q2518" t="s">
        <v>38</v>
      </c>
      <c r="R2518">
        <v>1</v>
      </c>
      <c r="S2518">
        <v>0</v>
      </c>
      <c r="T2518"/>
      <c r="U2518"/>
      <c r="V2518"/>
      <c r="W2518"/>
      <c r="X2518">
        <v>0</v>
      </c>
      <c r="Y2518"/>
      <c r="Z2518">
        <v>0</v>
      </c>
      <c r="AA2518"/>
      <c r="AB2518"/>
      <c r="AC2518"/>
      <c r="AD2518"/>
      <c r="AE2518">
        <v>0</v>
      </c>
      <c r="AF2518"/>
      <c r="AG2518"/>
      <c r="AH2518"/>
    </row>
    <row r="2519" spans="1:34" x14ac:dyDescent="0.25">
      <c r="A2519" t="s">
        <v>3599</v>
      </c>
      <c r="B2519" t="s">
        <v>3247</v>
      </c>
      <c r="C2519"/>
      <c r="D2519" t="s">
        <v>3233</v>
      </c>
      <c r="E2519" t="s">
        <v>3248</v>
      </c>
      <c r="F2519" t="s">
        <v>3257</v>
      </c>
      <c r="G2519"/>
      <c r="H2519" t="s">
        <v>3258</v>
      </c>
      <c r="I2519" t="s">
        <v>35</v>
      </c>
      <c r="J2519"/>
      <c r="K2519">
        <v>1</v>
      </c>
      <c r="L2519">
        <v>1</v>
      </c>
      <c r="M2519" t="s">
        <v>33</v>
      </c>
      <c r="N2519">
        <v>0</v>
      </c>
      <c r="O2519"/>
      <c r="P2519">
        <v>0</v>
      </c>
      <c r="Q2519" t="s">
        <v>38</v>
      </c>
      <c r="R2519">
        <v>1</v>
      </c>
      <c r="S2519">
        <v>0</v>
      </c>
      <c r="T2519"/>
      <c r="U2519"/>
      <c r="V2519"/>
      <c r="W2519"/>
      <c r="X2519">
        <v>0</v>
      </c>
      <c r="Y2519"/>
      <c r="Z2519">
        <v>0</v>
      </c>
      <c r="AA2519"/>
      <c r="AB2519"/>
      <c r="AC2519"/>
      <c r="AD2519"/>
      <c r="AE2519">
        <v>0</v>
      </c>
      <c r="AF2519"/>
      <c r="AG2519"/>
      <c r="AH2519"/>
    </row>
    <row r="2520" spans="1:34" x14ac:dyDescent="0.25">
      <c r="A2520" t="s">
        <v>3600</v>
      </c>
      <c r="B2520" t="s">
        <v>3247</v>
      </c>
      <c r="C2520"/>
      <c r="D2520" t="s">
        <v>3233</v>
      </c>
      <c r="E2520" t="s">
        <v>3248</v>
      </c>
      <c r="F2520" t="s">
        <v>3257</v>
      </c>
      <c r="G2520"/>
      <c r="H2520" t="s">
        <v>3258</v>
      </c>
      <c r="I2520" t="s">
        <v>35</v>
      </c>
      <c r="J2520"/>
      <c r="K2520">
        <v>1</v>
      </c>
      <c r="L2520">
        <v>1</v>
      </c>
      <c r="M2520" t="s">
        <v>33</v>
      </c>
      <c r="N2520">
        <v>0</v>
      </c>
      <c r="O2520"/>
      <c r="P2520">
        <v>0</v>
      </c>
      <c r="Q2520" t="s">
        <v>38</v>
      </c>
      <c r="R2520">
        <v>1</v>
      </c>
      <c r="S2520">
        <v>0</v>
      </c>
      <c r="T2520"/>
      <c r="U2520"/>
      <c r="V2520"/>
      <c r="W2520"/>
      <c r="X2520">
        <v>0</v>
      </c>
      <c r="Y2520"/>
      <c r="Z2520">
        <v>0</v>
      </c>
      <c r="AA2520"/>
      <c r="AB2520"/>
      <c r="AC2520"/>
      <c r="AD2520"/>
      <c r="AE2520">
        <v>0</v>
      </c>
      <c r="AF2520"/>
      <c r="AG2520"/>
      <c r="AH2520"/>
    </row>
    <row r="2521" spans="1:34" x14ac:dyDescent="0.25">
      <c r="A2521" t="s">
        <v>3601</v>
      </c>
      <c r="B2521" t="s">
        <v>3247</v>
      </c>
      <c r="C2521"/>
      <c r="D2521" t="s">
        <v>3233</v>
      </c>
      <c r="E2521" t="s">
        <v>3248</v>
      </c>
      <c r="F2521" t="s">
        <v>3257</v>
      </c>
      <c r="G2521"/>
      <c r="H2521" t="s">
        <v>3258</v>
      </c>
      <c r="I2521" t="s">
        <v>35</v>
      </c>
      <c r="J2521"/>
      <c r="K2521">
        <v>1</v>
      </c>
      <c r="L2521">
        <v>1</v>
      </c>
      <c r="M2521" t="s">
        <v>33</v>
      </c>
      <c r="N2521">
        <v>0</v>
      </c>
      <c r="O2521"/>
      <c r="P2521">
        <v>0</v>
      </c>
      <c r="Q2521" t="s">
        <v>38</v>
      </c>
      <c r="R2521">
        <v>1</v>
      </c>
      <c r="S2521">
        <v>0</v>
      </c>
      <c r="T2521"/>
      <c r="U2521"/>
      <c r="V2521"/>
      <c r="W2521"/>
      <c r="X2521">
        <v>0</v>
      </c>
      <c r="Y2521"/>
      <c r="Z2521">
        <v>0</v>
      </c>
      <c r="AA2521"/>
      <c r="AB2521"/>
      <c r="AC2521"/>
      <c r="AD2521"/>
      <c r="AE2521">
        <v>0</v>
      </c>
      <c r="AF2521"/>
      <c r="AG2521"/>
      <c r="AH2521"/>
    </row>
    <row r="2522" spans="1:34" x14ac:dyDescent="0.25">
      <c r="A2522" t="s">
        <v>3602</v>
      </c>
      <c r="B2522" t="s">
        <v>3247</v>
      </c>
      <c r="C2522"/>
      <c r="D2522" t="s">
        <v>3233</v>
      </c>
      <c r="E2522" t="s">
        <v>3248</v>
      </c>
      <c r="F2522" t="s">
        <v>3257</v>
      </c>
      <c r="G2522"/>
      <c r="H2522" t="s">
        <v>3258</v>
      </c>
      <c r="I2522" t="s">
        <v>35</v>
      </c>
      <c r="J2522"/>
      <c r="K2522">
        <v>1</v>
      </c>
      <c r="L2522">
        <v>1</v>
      </c>
      <c r="M2522" t="s">
        <v>33</v>
      </c>
      <c r="N2522">
        <v>0</v>
      </c>
      <c r="O2522"/>
      <c r="P2522">
        <v>0</v>
      </c>
      <c r="Q2522" t="s">
        <v>38</v>
      </c>
      <c r="R2522">
        <v>1</v>
      </c>
      <c r="S2522">
        <v>0</v>
      </c>
      <c r="T2522"/>
      <c r="U2522"/>
      <c r="V2522"/>
      <c r="W2522"/>
      <c r="X2522">
        <v>0</v>
      </c>
      <c r="Y2522"/>
      <c r="Z2522">
        <v>0</v>
      </c>
      <c r="AA2522"/>
      <c r="AB2522"/>
      <c r="AC2522"/>
      <c r="AD2522"/>
      <c r="AE2522">
        <v>0</v>
      </c>
      <c r="AF2522"/>
      <c r="AG2522"/>
      <c r="AH2522"/>
    </row>
    <row r="2523" spans="1:34" x14ac:dyDescent="0.25">
      <c r="A2523" t="s">
        <v>3603</v>
      </c>
      <c r="B2523" t="s">
        <v>3247</v>
      </c>
      <c r="C2523"/>
      <c r="D2523" t="s">
        <v>3233</v>
      </c>
      <c r="E2523" t="s">
        <v>3248</v>
      </c>
      <c r="F2523" t="s">
        <v>3257</v>
      </c>
      <c r="G2523"/>
      <c r="H2523" t="s">
        <v>3258</v>
      </c>
      <c r="I2523" t="s">
        <v>35</v>
      </c>
      <c r="J2523"/>
      <c r="K2523">
        <v>1</v>
      </c>
      <c r="L2523">
        <v>1</v>
      </c>
      <c r="M2523" t="s">
        <v>33</v>
      </c>
      <c r="N2523">
        <v>0</v>
      </c>
      <c r="O2523"/>
      <c r="P2523">
        <v>0</v>
      </c>
      <c r="Q2523" t="s">
        <v>38</v>
      </c>
      <c r="R2523">
        <v>1</v>
      </c>
      <c r="S2523">
        <v>0</v>
      </c>
      <c r="T2523"/>
      <c r="U2523"/>
      <c r="V2523"/>
      <c r="W2523"/>
      <c r="X2523">
        <v>0</v>
      </c>
      <c r="Y2523"/>
      <c r="Z2523">
        <v>0</v>
      </c>
      <c r="AA2523"/>
      <c r="AB2523"/>
      <c r="AC2523"/>
      <c r="AD2523"/>
      <c r="AE2523">
        <v>0</v>
      </c>
      <c r="AF2523"/>
      <c r="AG2523"/>
      <c r="AH2523"/>
    </row>
    <row r="2524" spans="1:34" x14ac:dyDescent="0.25">
      <c r="A2524" t="s">
        <v>3596</v>
      </c>
      <c r="B2524" t="s">
        <v>3247</v>
      </c>
      <c r="C2524"/>
      <c r="D2524" t="s">
        <v>3233</v>
      </c>
      <c r="E2524" t="s">
        <v>3248</v>
      </c>
      <c r="F2524" t="s">
        <v>3259</v>
      </c>
      <c r="G2524"/>
      <c r="H2524" t="s">
        <v>3260</v>
      </c>
      <c r="I2524" t="s">
        <v>35</v>
      </c>
      <c r="J2524"/>
      <c r="K2524">
        <v>1</v>
      </c>
      <c r="L2524">
        <v>1</v>
      </c>
      <c r="M2524" t="s">
        <v>33</v>
      </c>
      <c r="N2524">
        <v>0</v>
      </c>
      <c r="O2524"/>
      <c r="P2524">
        <v>0</v>
      </c>
      <c r="Q2524" t="s">
        <v>38</v>
      </c>
      <c r="R2524">
        <v>1</v>
      </c>
      <c r="S2524">
        <v>0</v>
      </c>
      <c r="T2524"/>
      <c r="U2524"/>
      <c r="V2524"/>
      <c r="W2524"/>
      <c r="X2524">
        <v>0</v>
      </c>
      <c r="Y2524"/>
      <c r="Z2524">
        <v>0</v>
      </c>
      <c r="AA2524"/>
      <c r="AB2524"/>
      <c r="AC2524"/>
      <c r="AD2524"/>
      <c r="AE2524">
        <v>0</v>
      </c>
      <c r="AF2524"/>
      <c r="AG2524"/>
      <c r="AH2524"/>
    </row>
    <row r="2525" spans="1:34" x14ac:dyDescent="0.25">
      <c r="A2525" t="s">
        <v>3597</v>
      </c>
      <c r="B2525" t="s">
        <v>3247</v>
      </c>
      <c r="C2525"/>
      <c r="D2525" t="s">
        <v>3233</v>
      </c>
      <c r="E2525" t="s">
        <v>3248</v>
      </c>
      <c r="F2525" t="s">
        <v>3259</v>
      </c>
      <c r="G2525"/>
      <c r="H2525" t="s">
        <v>3260</v>
      </c>
      <c r="I2525" t="s">
        <v>35</v>
      </c>
      <c r="J2525"/>
      <c r="K2525">
        <v>1</v>
      </c>
      <c r="L2525">
        <v>1</v>
      </c>
      <c r="M2525" t="s">
        <v>33</v>
      </c>
      <c r="N2525">
        <v>0</v>
      </c>
      <c r="O2525"/>
      <c r="P2525">
        <v>0</v>
      </c>
      <c r="Q2525" t="s">
        <v>38</v>
      </c>
      <c r="R2525">
        <v>1</v>
      </c>
      <c r="S2525">
        <v>0</v>
      </c>
      <c r="T2525"/>
      <c r="U2525"/>
      <c r="V2525"/>
      <c r="W2525"/>
      <c r="X2525">
        <v>0</v>
      </c>
      <c r="Y2525"/>
      <c r="Z2525">
        <v>0</v>
      </c>
      <c r="AA2525"/>
      <c r="AB2525"/>
      <c r="AC2525"/>
      <c r="AD2525"/>
      <c r="AE2525">
        <v>0</v>
      </c>
      <c r="AF2525"/>
      <c r="AG2525"/>
      <c r="AH2525"/>
    </row>
    <row r="2526" spans="1:34" x14ac:dyDescent="0.25">
      <c r="A2526" t="s">
        <v>3598</v>
      </c>
      <c r="B2526" t="s">
        <v>3247</v>
      </c>
      <c r="C2526"/>
      <c r="D2526" t="s">
        <v>3233</v>
      </c>
      <c r="E2526" t="s">
        <v>3248</v>
      </c>
      <c r="F2526" t="s">
        <v>3259</v>
      </c>
      <c r="G2526"/>
      <c r="H2526" t="s">
        <v>3260</v>
      </c>
      <c r="I2526" t="s">
        <v>35</v>
      </c>
      <c r="J2526"/>
      <c r="K2526">
        <v>1</v>
      </c>
      <c r="L2526">
        <v>1</v>
      </c>
      <c r="M2526" t="s">
        <v>33</v>
      </c>
      <c r="N2526">
        <v>0</v>
      </c>
      <c r="O2526"/>
      <c r="P2526">
        <v>0</v>
      </c>
      <c r="Q2526" t="s">
        <v>38</v>
      </c>
      <c r="R2526">
        <v>1</v>
      </c>
      <c r="S2526">
        <v>0</v>
      </c>
      <c r="T2526"/>
      <c r="U2526"/>
      <c r="V2526"/>
      <c r="W2526"/>
      <c r="X2526">
        <v>0</v>
      </c>
      <c r="Y2526"/>
      <c r="Z2526">
        <v>0</v>
      </c>
      <c r="AA2526"/>
      <c r="AB2526"/>
      <c r="AC2526"/>
      <c r="AD2526"/>
      <c r="AE2526">
        <v>0</v>
      </c>
      <c r="AF2526"/>
      <c r="AG2526"/>
      <c r="AH2526"/>
    </row>
    <row r="2527" spans="1:34" x14ac:dyDescent="0.25">
      <c r="A2527" t="s">
        <v>3599</v>
      </c>
      <c r="B2527" t="s">
        <v>3247</v>
      </c>
      <c r="C2527"/>
      <c r="D2527" t="s">
        <v>3233</v>
      </c>
      <c r="E2527" t="s">
        <v>3248</v>
      </c>
      <c r="F2527" t="s">
        <v>3259</v>
      </c>
      <c r="G2527"/>
      <c r="H2527" t="s">
        <v>3260</v>
      </c>
      <c r="I2527" t="s">
        <v>35</v>
      </c>
      <c r="J2527"/>
      <c r="K2527">
        <v>1</v>
      </c>
      <c r="L2527">
        <v>1</v>
      </c>
      <c r="M2527" t="s">
        <v>33</v>
      </c>
      <c r="N2527">
        <v>0</v>
      </c>
      <c r="O2527"/>
      <c r="P2527">
        <v>0</v>
      </c>
      <c r="Q2527" t="s">
        <v>38</v>
      </c>
      <c r="R2527">
        <v>1</v>
      </c>
      <c r="S2527">
        <v>0</v>
      </c>
      <c r="T2527"/>
      <c r="U2527"/>
      <c r="V2527"/>
      <c r="W2527"/>
      <c r="X2527">
        <v>0</v>
      </c>
      <c r="Y2527"/>
      <c r="Z2527">
        <v>0</v>
      </c>
      <c r="AA2527"/>
      <c r="AB2527"/>
      <c r="AC2527"/>
      <c r="AD2527"/>
      <c r="AE2527">
        <v>0</v>
      </c>
      <c r="AF2527"/>
      <c r="AG2527"/>
      <c r="AH2527"/>
    </row>
    <row r="2528" spans="1:34" x14ac:dyDescent="0.25">
      <c r="A2528" t="s">
        <v>3600</v>
      </c>
      <c r="B2528" t="s">
        <v>3247</v>
      </c>
      <c r="C2528"/>
      <c r="D2528" t="s">
        <v>3233</v>
      </c>
      <c r="E2528" t="s">
        <v>3248</v>
      </c>
      <c r="F2528" t="s">
        <v>3259</v>
      </c>
      <c r="G2528"/>
      <c r="H2528" t="s">
        <v>3260</v>
      </c>
      <c r="I2528" t="s">
        <v>35</v>
      </c>
      <c r="J2528"/>
      <c r="K2528">
        <v>1</v>
      </c>
      <c r="L2528">
        <v>1</v>
      </c>
      <c r="M2528" t="s">
        <v>33</v>
      </c>
      <c r="N2528">
        <v>0</v>
      </c>
      <c r="O2528"/>
      <c r="P2528">
        <v>0</v>
      </c>
      <c r="Q2528" t="s">
        <v>38</v>
      </c>
      <c r="R2528">
        <v>1</v>
      </c>
      <c r="S2528">
        <v>0</v>
      </c>
      <c r="T2528"/>
      <c r="U2528"/>
      <c r="V2528"/>
      <c r="W2528"/>
      <c r="X2528">
        <v>0</v>
      </c>
      <c r="Y2528"/>
      <c r="Z2528">
        <v>0</v>
      </c>
      <c r="AA2528"/>
      <c r="AB2528"/>
      <c r="AC2528"/>
      <c r="AD2528"/>
      <c r="AE2528">
        <v>0</v>
      </c>
      <c r="AF2528"/>
      <c r="AG2528"/>
      <c r="AH2528"/>
    </row>
    <row r="2529" spans="1:34" x14ac:dyDescent="0.25">
      <c r="A2529" t="s">
        <v>3601</v>
      </c>
      <c r="B2529" t="s">
        <v>3247</v>
      </c>
      <c r="C2529"/>
      <c r="D2529" t="s">
        <v>3233</v>
      </c>
      <c r="E2529" t="s">
        <v>3248</v>
      </c>
      <c r="F2529" t="s">
        <v>3259</v>
      </c>
      <c r="G2529"/>
      <c r="H2529" t="s">
        <v>3260</v>
      </c>
      <c r="I2529" t="s">
        <v>35</v>
      </c>
      <c r="J2529"/>
      <c r="K2529">
        <v>1</v>
      </c>
      <c r="L2529">
        <v>1</v>
      </c>
      <c r="M2529" t="s">
        <v>33</v>
      </c>
      <c r="N2529">
        <v>0</v>
      </c>
      <c r="O2529"/>
      <c r="P2529">
        <v>0</v>
      </c>
      <c r="Q2529" t="s">
        <v>38</v>
      </c>
      <c r="R2529">
        <v>1</v>
      </c>
      <c r="S2529">
        <v>0</v>
      </c>
      <c r="T2529"/>
      <c r="U2529"/>
      <c r="V2529"/>
      <c r="W2529"/>
      <c r="X2529">
        <v>0</v>
      </c>
      <c r="Y2529"/>
      <c r="Z2529">
        <v>0</v>
      </c>
      <c r="AA2529"/>
      <c r="AB2529"/>
      <c r="AC2529"/>
      <c r="AD2529"/>
      <c r="AE2529">
        <v>0</v>
      </c>
      <c r="AF2529"/>
      <c r="AG2529"/>
      <c r="AH2529"/>
    </row>
    <row r="2530" spans="1:34" x14ac:dyDescent="0.25">
      <c r="A2530" t="s">
        <v>3602</v>
      </c>
      <c r="B2530" t="s">
        <v>3247</v>
      </c>
      <c r="C2530"/>
      <c r="D2530" t="s">
        <v>3233</v>
      </c>
      <c r="E2530" t="s">
        <v>3248</v>
      </c>
      <c r="F2530" t="s">
        <v>3259</v>
      </c>
      <c r="G2530"/>
      <c r="H2530" t="s">
        <v>3260</v>
      </c>
      <c r="I2530" t="s">
        <v>35</v>
      </c>
      <c r="J2530"/>
      <c r="K2530">
        <v>1</v>
      </c>
      <c r="L2530">
        <v>1</v>
      </c>
      <c r="M2530" t="s">
        <v>33</v>
      </c>
      <c r="N2530">
        <v>0</v>
      </c>
      <c r="O2530"/>
      <c r="P2530">
        <v>0</v>
      </c>
      <c r="Q2530" t="s">
        <v>38</v>
      </c>
      <c r="R2530">
        <v>1</v>
      </c>
      <c r="S2530">
        <v>0</v>
      </c>
      <c r="T2530"/>
      <c r="U2530"/>
      <c r="V2530"/>
      <c r="W2530"/>
      <c r="X2530">
        <v>0</v>
      </c>
      <c r="Y2530"/>
      <c r="Z2530">
        <v>0</v>
      </c>
      <c r="AA2530"/>
      <c r="AB2530"/>
      <c r="AC2530"/>
      <c r="AD2530"/>
      <c r="AE2530">
        <v>0</v>
      </c>
      <c r="AF2530"/>
      <c r="AG2530"/>
      <c r="AH2530"/>
    </row>
    <row r="2531" spans="1:34" x14ac:dyDescent="0.25">
      <c r="A2531" t="s">
        <v>3603</v>
      </c>
      <c r="B2531" t="s">
        <v>3247</v>
      </c>
      <c r="C2531"/>
      <c r="D2531" t="s">
        <v>3233</v>
      </c>
      <c r="E2531" t="s">
        <v>3248</v>
      </c>
      <c r="F2531" t="s">
        <v>3259</v>
      </c>
      <c r="G2531"/>
      <c r="H2531" t="s">
        <v>3260</v>
      </c>
      <c r="I2531" t="s">
        <v>35</v>
      </c>
      <c r="J2531"/>
      <c r="K2531">
        <v>1</v>
      </c>
      <c r="L2531">
        <v>1</v>
      </c>
      <c r="M2531" t="s">
        <v>33</v>
      </c>
      <c r="N2531">
        <v>0</v>
      </c>
      <c r="O2531"/>
      <c r="P2531">
        <v>0</v>
      </c>
      <c r="Q2531" t="s">
        <v>38</v>
      </c>
      <c r="R2531">
        <v>1</v>
      </c>
      <c r="S2531">
        <v>0</v>
      </c>
      <c r="T2531"/>
      <c r="U2531"/>
      <c r="V2531"/>
      <c r="W2531"/>
      <c r="X2531">
        <v>0</v>
      </c>
      <c r="Y2531"/>
      <c r="Z2531">
        <v>0</v>
      </c>
      <c r="AA2531"/>
      <c r="AB2531"/>
      <c r="AC2531"/>
      <c r="AD2531"/>
      <c r="AE2531">
        <v>0</v>
      </c>
      <c r="AF2531"/>
      <c r="AG2531"/>
      <c r="AH2531"/>
    </row>
    <row r="2532" spans="1:34" x14ac:dyDescent="0.25">
      <c r="A2532" t="s">
        <v>3596</v>
      </c>
      <c r="B2532" t="s">
        <v>3247</v>
      </c>
      <c r="C2532"/>
      <c r="D2532" t="s">
        <v>3233</v>
      </c>
      <c r="E2532" t="s">
        <v>3248</v>
      </c>
      <c r="F2532" t="s">
        <v>3261</v>
      </c>
      <c r="G2532"/>
      <c r="H2532" t="s">
        <v>3262</v>
      </c>
      <c r="I2532" t="s">
        <v>35</v>
      </c>
      <c r="J2532"/>
      <c r="K2532">
        <v>1</v>
      </c>
      <c r="L2532">
        <v>1</v>
      </c>
      <c r="M2532" t="s">
        <v>33</v>
      </c>
      <c r="N2532">
        <v>0</v>
      </c>
      <c r="O2532"/>
      <c r="P2532">
        <v>0</v>
      </c>
      <c r="Q2532" t="s">
        <v>38</v>
      </c>
      <c r="R2532">
        <v>1</v>
      </c>
      <c r="S2532">
        <v>0</v>
      </c>
      <c r="T2532"/>
      <c r="U2532"/>
      <c r="V2532"/>
      <c r="W2532"/>
      <c r="X2532">
        <v>0</v>
      </c>
      <c r="Y2532"/>
      <c r="Z2532">
        <v>0</v>
      </c>
      <c r="AA2532"/>
      <c r="AB2532"/>
      <c r="AC2532"/>
      <c r="AD2532"/>
      <c r="AE2532">
        <v>0</v>
      </c>
      <c r="AF2532"/>
      <c r="AG2532"/>
      <c r="AH2532"/>
    </row>
    <row r="2533" spans="1:34" x14ac:dyDescent="0.25">
      <c r="A2533" t="s">
        <v>3597</v>
      </c>
      <c r="B2533" t="s">
        <v>3247</v>
      </c>
      <c r="C2533"/>
      <c r="D2533" t="s">
        <v>3233</v>
      </c>
      <c r="E2533" t="s">
        <v>3248</v>
      </c>
      <c r="F2533" t="s">
        <v>3261</v>
      </c>
      <c r="G2533"/>
      <c r="H2533" t="s">
        <v>3262</v>
      </c>
      <c r="I2533" t="s">
        <v>35</v>
      </c>
      <c r="J2533"/>
      <c r="K2533">
        <v>1</v>
      </c>
      <c r="L2533">
        <v>1</v>
      </c>
      <c r="M2533" t="s">
        <v>33</v>
      </c>
      <c r="N2533">
        <v>0</v>
      </c>
      <c r="O2533"/>
      <c r="P2533">
        <v>0</v>
      </c>
      <c r="Q2533" t="s">
        <v>38</v>
      </c>
      <c r="R2533">
        <v>1</v>
      </c>
      <c r="S2533">
        <v>0</v>
      </c>
      <c r="T2533"/>
      <c r="U2533"/>
      <c r="V2533"/>
      <c r="W2533"/>
      <c r="X2533">
        <v>0</v>
      </c>
      <c r="Y2533"/>
      <c r="Z2533">
        <v>0</v>
      </c>
      <c r="AA2533"/>
      <c r="AB2533"/>
      <c r="AC2533"/>
      <c r="AD2533"/>
      <c r="AE2533">
        <v>0</v>
      </c>
      <c r="AF2533"/>
      <c r="AG2533"/>
      <c r="AH2533"/>
    </row>
    <row r="2534" spans="1:34" x14ac:dyDescent="0.25">
      <c r="A2534" t="s">
        <v>3598</v>
      </c>
      <c r="B2534" t="s">
        <v>3247</v>
      </c>
      <c r="C2534"/>
      <c r="D2534" t="s">
        <v>3233</v>
      </c>
      <c r="E2534" t="s">
        <v>3248</v>
      </c>
      <c r="F2534" t="s">
        <v>3261</v>
      </c>
      <c r="G2534"/>
      <c r="H2534" t="s">
        <v>3262</v>
      </c>
      <c r="I2534" t="s">
        <v>35</v>
      </c>
      <c r="J2534"/>
      <c r="K2534">
        <v>1</v>
      </c>
      <c r="L2534">
        <v>1</v>
      </c>
      <c r="M2534" t="s">
        <v>33</v>
      </c>
      <c r="N2534">
        <v>0</v>
      </c>
      <c r="O2534"/>
      <c r="P2534">
        <v>0</v>
      </c>
      <c r="Q2534" t="s">
        <v>38</v>
      </c>
      <c r="R2534">
        <v>1</v>
      </c>
      <c r="S2534">
        <v>0</v>
      </c>
      <c r="T2534"/>
      <c r="U2534"/>
      <c r="V2534"/>
      <c r="W2534"/>
      <c r="X2534">
        <v>0</v>
      </c>
      <c r="Y2534"/>
      <c r="Z2534">
        <v>0</v>
      </c>
      <c r="AA2534"/>
      <c r="AB2534"/>
      <c r="AC2534"/>
      <c r="AD2534"/>
      <c r="AE2534">
        <v>0</v>
      </c>
      <c r="AF2534"/>
      <c r="AG2534"/>
      <c r="AH2534"/>
    </row>
    <row r="2535" spans="1:34" x14ac:dyDescent="0.25">
      <c r="A2535" t="s">
        <v>3599</v>
      </c>
      <c r="B2535" t="s">
        <v>3247</v>
      </c>
      <c r="C2535"/>
      <c r="D2535" t="s">
        <v>3233</v>
      </c>
      <c r="E2535" t="s">
        <v>3248</v>
      </c>
      <c r="F2535" t="s">
        <v>3261</v>
      </c>
      <c r="G2535"/>
      <c r="H2535" t="s">
        <v>3262</v>
      </c>
      <c r="I2535" t="s">
        <v>35</v>
      </c>
      <c r="J2535"/>
      <c r="K2535">
        <v>1</v>
      </c>
      <c r="L2535">
        <v>1</v>
      </c>
      <c r="M2535" t="s">
        <v>33</v>
      </c>
      <c r="N2535">
        <v>0</v>
      </c>
      <c r="O2535"/>
      <c r="P2535">
        <v>0</v>
      </c>
      <c r="Q2535" t="s">
        <v>38</v>
      </c>
      <c r="R2535">
        <v>1</v>
      </c>
      <c r="S2535">
        <v>0</v>
      </c>
      <c r="T2535"/>
      <c r="U2535"/>
      <c r="V2535"/>
      <c r="W2535"/>
      <c r="X2535">
        <v>0</v>
      </c>
      <c r="Y2535"/>
      <c r="Z2535">
        <v>0</v>
      </c>
      <c r="AA2535"/>
      <c r="AB2535"/>
      <c r="AC2535"/>
      <c r="AD2535"/>
      <c r="AE2535">
        <v>0</v>
      </c>
      <c r="AF2535"/>
      <c r="AG2535"/>
      <c r="AH2535"/>
    </row>
    <row r="2536" spans="1:34" x14ac:dyDescent="0.25">
      <c r="A2536" t="s">
        <v>3600</v>
      </c>
      <c r="B2536" t="s">
        <v>3247</v>
      </c>
      <c r="C2536"/>
      <c r="D2536" t="s">
        <v>3233</v>
      </c>
      <c r="E2536" t="s">
        <v>3248</v>
      </c>
      <c r="F2536" t="s">
        <v>3261</v>
      </c>
      <c r="G2536"/>
      <c r="H2536" t="s">
        <v>3262</v>
      </c>
      <c r="I2536" t="s">
        <v>35</v>
      </c>
      <c r="J2536"/>
      <c r="K2536">
        <v>1</v>
      </c>
      <c r="L2536">
        <v>1</v>
      </c>
      <c r="M2536" t="s">
        <v>33</v>
      </c>
      <c r="N2536">
        <v>0</v>
      </c>
      <c r="O2536"/>
      <c r="P2536">
        <v>0</v>
      </c>
      <c r="Q2536" t="s">
        <v>38</v>
      </c>
      <c r="R2536">
        <v>1</v>
      </c>
      <c r="S2536">
        <v>0</v>
      </c>
      <c r="T2536"/>
      <c r="U2536"/>
      <c r="V2536"/>
      <c r="W2536"/>
      <c r="X2536">
        <v>0</v>
      </c>
      <c r="Y2536"/>
      <c r="Z2536">
        <v>0</v>
      </c>
      <c r="AA2536"/>
      <c r="AB2536"/>
      <c r="AC2536"/>
      <c r="AD2536"/>
      <c r="AE2536">
        <v>0</v>
      </c>
      <c r="AF2536"/>
      <c r="AG2536"/>
      <c r="AH2536"/>
    </row>
    <row r="2537" spans="1:34" x14ac:dyDescent="0.25">
      <c r="A2537" t="s">
        <v>3601</v>
      </c>
      <c r="B2537" t="s">
        <v>3247</v>
      </c>
      <c r="C2537"/>
      <c r="D2537" t="s">
        <v>3233</v>
      </c>
      <c r="E2537" t="s">
        <v>3248</v>
      </c>
      <c r="F2537" t="s">
        <v>3261</v>
      </c>
      <c r="G2537"/>
      <c r="H2537" t="s">
        <v>3262</v>
      </c>
      <c r="I2537" t="s">
        <v>35</v>
      </c>
      <c r="J2537"/>
      <c r="K2537">
        <v>1</v>
      </c>
      <c r="L2537">
        <v>1</v>
      </c>
      <c r="M2537" t="s">
        <v>33</v>
      </c>
      <c r="N2537">
        <v>0</v>
      </c>
      <c r="O2537"/>
      <c r="P2537">
        <v>0</v>
      </c>
      <c r="Q2537" t="s">
        <v>38</v>
      </c>
      <c r="R2537">
        <v>1</v>
      </c>
      <c r="S2537">
        <v>0</v>
      </c>
      <c r="T2537"/>
      <c r="U2537"/>
      <c r="V2537"/>
      <c r="W2537"/>
      <c r="X2537">
        <v>0</v>
      </c>
      <c r="Y2537"/>
      <c r="Z2537">
        <v>0</v>
      </c>
      <c r="AA2537"/>
      <c r="AB2537"/>
      <c r="AC2537"/>
      <c r="AD2537"/>
      <c r="AE2537">
        <v>0</v>
      </c>
      <c r="AF2537"/>
      <c r="AG2537"/>
      <c r="AH2537"/>
    </row>
    <row r="2538" spans="1:34" x14ac:dyDescent="0.25">
      <c r="A2538" t="s">
        <v>3602</v>
      </c>
      <c r="B2538" t="s">
        <v>3247</v>
      </c>
      <c r="C2538"/>
      <c r="D2538" t="s">
        <v>3233</v>
      </c>
      <c r="E2538" t="s">
        <v>3248</v>
      </c>
      <c r="F2538" t="s">
        <v>3261</v>
      </c>
      <c r="G2538"/>
      <c r="H2538" t="s">
        <v>3262</v>
      </c>
      <c r="I2538" t="s">
        <v>35</v>
      </c>
      <c r="J2538"/>
      <c r="K2538">
        <v>1</v>
      </c>
      <c r="L2538">
        <v>1</v>
      </c>
      <c r="M2538" t="s">
        <v>33</v>
      </c>
      <c r="N2538">
        <v>0</v>
      </c>
      <c r="O2538"/>
      <c r="P2538">
        <v>0</v>
      </c>
      <c r="Q2538" t="s">
        <v>38</v>
      </c>
      <c r="R2538">
        <v>1</v>
      </c>
      <c r="S2538">
        <v>0</v>
      </c>
      <c r="T2538"/>
      <c r="U2538"/>
      <c r="V2538"/>
      <c r="W2538"/>
      <c r="X2538">
        <v>0</v>
      </c>
      <c r="Y2538"/>
      <c r="Z2538">
        <v>0</v>
      </c>
      <c r="AA2538"/>
      <c r="AB2538"/>
      <c r="AC2538"/>
      <c r="AD2538"/>
      <c r="AE2538">
        <v>0</v>
      </c>
      <c r="AF2538"/>
      <c r="AG2538"/>
      <c r="AH2538"/>
    </row>
    <row r="2539" spans="1:34" x14ac:dyDescent="0.25">
      <c r="A2539" t="s">
        <v>3603</v>
      </c>
      <c r="B2539" t="s">
        <v>3247</v>
      </c>
      <c r="C2539"/>
      <c r="D2539" t="s">
        <v>3233</v>
      </c>
      <c r="E2539" t="s">
        <v>3248</v>
      </c>
      <c r="F2539" t="s">
        <v>3261</v>
      </c>
      <c r="G2539"/>
      <c r="H2539" t="s">
        <v>3262</v>
      </c>
      <c r="I2539" t="s">
        <v>35</v>
      </c>
      <c r="J2539"/>
      <c r="K2539">
        <v>1</v>
      </c>
      <c r="L2539">
        <v>1</v>
      </c>
      <c r="M2539" t="s">
        <v>33</v>
      </c>
      <c r="N2539">
        <v>0</v>
      </c>
      <c r="O2539"/>
      <c r="P2539">
        <v>0</v>
      </c>
      <c r="Q2539" t="s">
        <v>38</v>
      </c>
      <c r="R2539">
        <v>1</v>
      </c>
      <c r="S2539">
        <v>0</v>
      </c>
      <c r="T2539"/>
      <c r="U2539"/>
      <c r="V2539"/>
      <c r="W2539"/>
      <c r="X2539">
        <v>0</v>
      </c>
      <c r="Y2539"/>
      <c r="Z2539">
        <v>0</v>
      </c>
      <c r="AA2539"/>
      <c r="AB2539"/>
      <c r="AC2539"/>
      <c r="AD2539"/>
      <c r="AE2539">
        <v>0</v>
      </c>
      <c r="AF2539"/>
      <c r="AG2539"/>
      <c r="AH2539"/>
    </row>
    <row r="2540" spans="1:34" x14ac:dyDescent="0.25">
      <c r="A2540" t="s">
        <v>3596</v>
      </c>
      <c r="B2540" t="s">
        <v>3247</v>
      </c>
      <c r="C2540"/>
      <c r="D2540" t="s">
        <v>3233</v>
      </c>
      <c r="E2540" t="s">
        <v>3248</v>
      </c>
      <c r="F2540" t="s">
        <v>3263</v>
      </c>
      <c r="G2540"/>
      <c r="H2540" t="s">
        <v>3264</v>
      </c>
      <c r="I2540" t="s">
        <v>35</v>
      </c>
      <c r="J2540"/>
      <c r="K2540">
        <v>1</v>
      </c>
      <c r="L2540">
        <v>1</v>
      </c>
      <c r="M2540" t="s">
        <v>33</v>
      </c>
      <c r="N2540">
        <v>0</v>
      </c>
      <c r="O2540"/>
      <c r="P2540">
        <v>0</v>
      </c>
      <c r="Q2540" t="s">
        <v>38</v>
      </c>
      <c r="R2540">
        <v>1</v>
      </c>
      <c r="S2540">
        <v>0</v>
      </c>
      <c r="T2540"/>
      <c r="U2540"/>
      <c r="V2540"/>
      <c r="W2540"/>
      <c r="X2540">
        <v>0</v>
      </c>
      <c r="Y2540"/>
      <c r="Z2540">
        <v>0</v>
      </c>
      <c r="AA2540"/>
      <c r="AB2540"/>
      <c r="AC2540"/>
      <c r="AD2540"/>
      <c r="AE2540">
        <v>0</v>
      </c>
      <c r="AF2540"/>
      <c r="AG2540"/>
      <c r="AH2540"/>
    </row>
    <row r="2541" spans="1:34" x14ac:dyDescent="0.25">
      <c r="A2541" t="s">
        <v>3597</v>
      </c>
      <c r="B2541" t="s">
        <v>3247</v>
      </c>
      <c r="C2541"/>
      <c r="D2541" t="s">
        <v>3233</v>
      </c>
      <c r="E2541" t="s">
        <v>3248</v>
      </c>
      <c r="F2541" t="s">
        <v>3263</v>
      </c>
      <c r="G2541"/>
      <c r="H2541" t="s">
        <v>3264</v>
      </c>
      <c r="I2541" t="s">
        <v>35</v>
      </c>
      <c r="J2541"/>
      <c r="K2541">
        <v>1</v>
      </c>
      <c r="L2541">
        <v>1</v>
      </c>
      <c r="M2541" t="s">
        <v>33</v>
      </c>
      <c r="N2541">
        <v>0</v>
      </c>
      <c r="O2541"/>
      <c r="P2541">
        <v>0</v>
      </c>
      <c r="Q2541" t="s">
        <v>38</v>
      </c>
      <c r="R2541">
        <v>1</v>
      </c>
      <c r="S2541">
        <v>0</v>
      </c>
      <c r="T2541"/>
      <c r="U2541"/>
      <c r="V2541"/>
      <c r="W2541"/>
      <c r="X2541">
        <v>0</v>
      </c>
      <c r="Y2541"/>
      <c r="Z2541">
        <v>0</v>
      </c>
      <c r="AA2541"/>
      <c r="AB2541"/>
      <c r="AC2541"/>
      <c r="AD2541"/>
      <c r="AE2541">
        <v>0</v>
      </c>
      <c r="AF2541"/>
      <c r="AG2541"/>
      <c r="AH2541"/>
    </row>
    <row r="2542" spans="1:34" x14ac:dyDescent="0.25">
      <c r="A2542" t="s">
        <v>3598</v>
      </c>
      <c r="B2542" t="s">
        <v>3247</v>
      </c>
      <c r="C2542"/>
      <c r="D2542" t="s">
        <v>3233</v>
      </c>
      <c r="E2542" t="s">
        <v>3248</v>
      </c>
      <c r="F2542" t="s">
        <v>3263</v>
      </c>
      <c r="G2542"/>
      <c r="H2542" t="s">
        <v>3264</v>
      </c>
      <c r="I2542" t="s">
        <v>35</v>
      </c>
      <c r="J2542"/>
      <c r="K2542">
        <v>1</v>
      </c>
      <c r="L2542">
        <v>1</v>
      </c>
      <c r="M2542" t="s">
        <v>33</v>
      </c>
      <c r="N2542">
        <v>0</v>
      </c>
      <c r="O2542"/>
      <c r="P2542">
        <v>0</v>
      </c>
      <c r="Q2542" t="s">
        <v>38</v>
      </c>
      <c r="R2542">
        <v>1</v>
      </c>
      <c r="S2542">
        <v>0</v>
      </c>
      <c r="T2542"/>
      <c r="U2542"/>
      <c r="V2542"/>
      <c r="W2542"/>
      <c r="X2542">
        <v>0</v>
      </c>
      <c r="Y2542"/>
      <c r="Z2542">
        <v>0</v>
      </c>
      <c r="AA2542"/>
      <c r="AB2542"/>
      <c r="AC2542"/>
      <c r="AD2542"/>
      <c r="AE2542">
        <v>0</v>
      </c>
      <c r="AF2542"/>
      <c r="AG2542"/>
      <c r="AH2542"/>
    </row>
    <row r="2543" spans="1:34" x14ac:dyDescent="0.25">
      <c r="A2543" t="s">
        <v>3599</v>
      </c>
      <c r="B2543" t="s">
        <v>3247</v>
      </c>
      <c r="C2543"/>
      <c r="D2543" t="s">
        <v>3233</v>
      </c>
      <c r="E2543" t="s">
        <v>3248</v>
      </c>
      <c r="F2543" t="s">
        <v>3263</v>
      </c>
      <c r="G2543"/>
      <c r="H2543" t="s">
        <v>3264</v>
      </c>
      <c r="I2543" t="s">
        <v>35</v>
      </c>
      <c r="J2543"/>
      <c r="K2543">
        <v>1</v>
      </c>
      <c r="L2543">
        <v>1</v>
      </c>
      <c r="M2543" t="s">
        <v>33</v>
      </c>
      <c r="N2543">
        <v>0</v>
      </c>
      <c r="O2543"/>
      <c r="P2543">
        <v>0</v>
      </c>
      <c r="Q2543" t="s">
        <v>38</v>
      </c>
      <c r="R2543">
        <v>1</v>
      </c>
      <c r="S2543">
        <v>0</v>
      </c>
      <c r="T2543"/>
      <c r="U2543"/>
      <c r="V2543"/>
      <c r="W2543"/>
      <c r="X2543">
        <v>0</v>
      </c>
      <c r="Y2543"/>
      <c r="Z2543">
        <v>0</v>
      </c>
      <c r="AA2543"/>
      <c r="AB2543"/>
      <c r="AC2543"/>
      <c r="AD2543"/>
      <c r="AE2543">
        <v>0</v>
      </c>
      <c r="AF2543"/>
      <c r="AG2543"/>
      <c r="AH2543"/>
    </row>
    <row r="2544" spans="1:34" x14ac:dyDescent="0.25">
      <c r="A2544" t="s">
        <v>3600</v>
      </c>
      <c r="B2544" t="s">
        <v>3247</v>
      </c>
      <c r="C2544"/>
      <c r="D2544" t="s">
        <v>3233</v>
      </c>
      <c r="E2544" t="s">
        <v>3248</v>
      </c>
      <c r="F2544" t="s">
        <v>3263</v>
      </c>
      <c r="G2544"/>
      <c r="H2544" t="s">
        <v>3264</v>
      </c>
      <c r="I2544" t="s">
        <v>35</v>
      </c>
      <c r="J2544"/>
      <c r="K2544">
        <v>1</v>
      </c>
      <c r="L2544">
        <v>1</v>
      </c>
      <c r="M2544" t="s">
        <v>33</v>
      </c>
      <c r="N2544">
        <v>0</v>
      </c>
      <c r="O2544"/>
      <c r="P2544">
        <v>0</v>
      </c>
      <c r="Q2544" t="s">
        <v>38</v>
      </c>
      <c r="R2544">
        <v>1</v>
      </c>
      <c r="S2544">
        <v>0</v>
      </c>
      <c r="T2544"/>
      <c r="U2544"/>
      <c r="V2544"/>
      <c r="W2544"/>
      <c r="X2544">
        <v>0</v>
      </c>
      <c r="Y2544"/>
      <c r="Z2544">
        <v>0</v>
      </c>
      <c r="AA2544"/>
      <c r="AB2544"/>
      <c r="AC2544"/>
      <c r="AD2544"/>
      <c r="AE2544">
        <v>0</v>
      </c>
      <c r="AF2544"/>
      <c r="AG2544"/>
      <c r="AH2544"/>
    </row>
    <row r="2545" spans="1:34" x14ac:dyDescent="0.25">
      <c r="A2545" t="s">
        <v>3601</v>
      </c>
      <c r="B2545" t="s">
        <v>3247</v>
      </c>
      <c r="C2545"/>
      <c r="D2545" t="s">
        <v>3233</v>
      </c>
      <c r="E2545" t="s">
        <v>3248</v>
      </c>
      <c r="F2545" t="s">
        <v>3263</v>
      </c>
      <c r="G2545"/>
      <c r="H2545" t="s">
        <v>3264</v>
      </c>
      <c r="I2545" t="s">
        <v>35</v>
      </c>
      <c r="J2545"/>
      <c r="K2545">
        <v>1</v>
      </c>
      <c r="L2545">
        <v>1</v>
      </c>
      <c r="M2545" t="s">
        <v>33</v>
      </c>
      <c r="N2545">
        <v>0</v>
      </c>
      <c r="O2545"/>
      <c r="P2545">
        <v>0</v>
      </c>
      <c r="Q2545" t="s">
        <v>38</v>
      </c>
      <c r="R2545">
        <v>1</v>
      </c>
      <c r="S2545">
        <v>0</v>
      </c>
      <c r="T2545"/>
      <c r="U2545"/>
      <c r="V2545"/>
      <c r="W2545"/>
      <c r="X2545">
        <v>0</v>
      </c>
      <c r="Y2545"/>
      <c r="Z2545">
        <v>0</v>
      </c>
      <c r="AA2545"/>
      <c r="AB2545"/>
      <c r="AC2545"/>
      <c r="AD2545"/>
      <c r="AE2545">
        <v>0</v>
      </c>
      <c r="AF2545"/>
      <c r="AG2545"/>
      <c r="AH2545"/>
    </row>
    <row r="2546" spans="1:34" x14ac:dyDescent="0.25">
      <c r="A2546" t="s">
        <v>3602</v>
      </c>
      <c r="B2546" t="s">
        <v>3247</v>
      </c>
      <c r="C2546"/>
      <c r="D2546" t="s">
        <v>3233</v>
      </c>
      <c r="E2546" t="s">
        <v>3248</v>
      </c>
      <c r="F2546" t="s">
        <v>3263</v>
      </c>
      <c r="G2546"/>
      <c r="H2546" t="s">
        <v>3264</v>
      </c>
      <c r="I2546" t="s">
        <v>35</v>
      </c>
      <c r="J2546"/>
      <c r="K2546">
        <v>1</v>
      </c>
      <c r="L2546">
        <v>1</v>
      </c>
      <c r="M2546" t="s">
        <v>33</v>
      </c>
      <c r="N2546">
        <v>0</v>
      </c>
      <c r="O2546"/>
      <c r="P2546">
        <v>0</v>
      </c>
      <c r="Q2546" t="s">
        <v>38</v>
      </c>
      <c r="R2546">
        <v>1</v>
      </c>
      <c r="S2546">
        <v>0</v>
      </c>
      <c r="T2546"/>
      <c r="U2546"/>
      <c r="V2546"/>
      <c r="W2546"/>
      <c r="X2546">
        <v>0</v>
      </c>
      <c r="Y2546"/>
      <c r="Z2546">
        <v>0</v>
      </c>
      <c r="AA2546"/>
      <c r="AB2546"/>
      <c r="AC2546"/>
      <c r="AD2546"/>
      <c r="AE2546">
        <v>0</v>
      </c>
      <c r="AF2546"/>
      <c r="AG2546"/>
      <c r="AH2546"/>
    </row>
    <row r="2547" spans="1:34" x14ac:dyDescent="0.25">
      <c r="A2547" t="s">
        <v>3603</v>
      </c>
      <c r="B2547" t="s">
        <v>3247</v>
      </c>
      <c r="C2547"/>
      <c r="D2547" t="s">
        <v>3233</v>
      </c>
      <c r="E2547" t="s">
        <v>3248</v>
      </c>
      <c r="F2547" t="s">
        <v>3263</v>
      </c>
      <c r="G2547"/>
      <c r="H2547" t="s">
        <v>3264</v>
      </c>
      <c r="I2547" t="s">
        <v>35</v>
      </c>
      <c r="J2547"/>
      <c r="K2547">
        <v>1</v>
      </c>
      <c r="L2547">
        <v>1</v>
      </c>
      <c r="M2547" t="s">
        <v>33</v>
      </c>
      <c r="N2547">
        <v>0</v>
      </c>
      <c r="O2547"/>
      <c r="P2547">
        <v>0</v>
      </c>
      <c r="Q2547" t="s">
        <v>38</v>
      </c>
      <c r="R2547">
        <v>1</v>
      </c>
      <c r="S2547">
        <v>0</v>
      </c>
      <c r="T2547"/>
      <c r="U2547"/>
      <c r="V2547"/>
      <c r="W2547"/>
      <c r="X2547">
        <v>0</v>
      </c>
      <c r="Y2547"/>
      <c r="Z2547">
        <v>0</v>
      </c>
      <c r="AA2547"/>
      <c r="AB2547"/>
      <c r="AC2547"/>
      <c r="AD2547"/>
      <c r="AE2547">
        <v>0</v>
      </c>
      <c r="AF2547"/>
      <c r="AG2547"/>
      <c r="AH2547"/>
    </row>
    <row r="2548" spans="1:34" x14ac:dyDescent="0.25">
      <c r="A2548" t="s">
        <v>3596</v>
      </c>
      <c r="B2548" t="s">
        <v>3247</v>
      </c>
      <c r="C2548"/>
      <c r="D2548" t="s">
        <v>3233</v>
      </c>
      <c r="E2548" t="s">
        <v>3248</v>
      </c>
      <c r="F2548" t="s">
        <v>3265</v>
      </c>
      <c r="G2548"/>
      <c r="H2548" t="s">
        <v>3266</v>
      </c>
      <c r="I2548" t="s">
        <v>35</v>
      </c>
      <c r="J2548"/>
      <c r="K2548">
        <v>1</v>
      </c>
      <c r="L2548">
        <v>1</v>
      </c>
      <c r="M2548" t="s">
        <v>33</v>
      </c>
      <c r="N2548">
        <v>0</v>
      </c>
      <c r="O2548"/>
      <c r="P2548">
        <v>0</v>
      </c>
      <c r="Q2548" t="s">
        <v>38</v>
      </c>
      <c r="R2548">
        <v>1</v>
      </c>
      <c r="S2548">
        <v>0</v>
      </c>
      <c r="T2548"/>
      <c r="U2548"/>
      <c r="V2548"/>
      <c r="W2548"/>
      <c r="X2548">
        <v>0</v>
      </c>
      <c r="Y2548"/>
      <c r="Z2548">
        <v>0</v>
      </c>
      <c r="AA2548"/>
      <c r="AB2548"/>
      <c r="AC2548"/>
      <c r="AD2548"/>
      <c r="AE2548">
        <v>0</v>
      </c>
      <c r="AF2548"/>
      <c r="AG2548"/>
      <c r="AH2548"/>
    </row>
    <row r="2549" spans="1:34" x14ac:dyDescent="0.25">
      <c r="A2549" t="s">
        <v>3597</v>
      </c>
      <c r="B2549" t="s">
        <v>3247</v>
      </c>
      <c r="C2549"/>
      <c r="D2549" t="s">
        <v>3233</v>
      </c>
      <c r="E2549" t="s">
        <v>3248</v>
      </c>
      <c r="F2549" t="s">
        <v>3265</v>
      </c>
      <c r="G2549"/>
      <c r="H2549" t="s">
        <v>3266</v>
      </c>
      <c r="I2549" t="s">
        <v>35</v>
      </c>
      <c r="J2549"/>
      <c r="K2549">
        <v>1</v>
      </c>
      <c r="L2549">
        <v>1</v>
      </c>
      <c r="M2549" t="s">
        <v>33</v>
      </c>
      <c r="N2549">
        <v>0</v>
      </c>
      <c r="O2549"/>
      <c r="P2549">
        <v>0</v>
      </c>
      <c r="Q2549" t="s">
        <v>38</v>
      </c>
      <c r="R2549">
        <v>1</v>
      </c>
      <c r="S2549">
        <v>0</v>
      </c>
      <c r="T2549"/>
      <c r="U2549"/>
      <c r="V2549"/>
      <c r="W2549"/>
      <c r="X2549">
        <v>0</v>
      </c>
      <c r="Y2549"/>
      <c r="Z2549">
        <v>0</v>
      </c>
      <c r="AA2549"/>
      <c r="AB2549"/>
      <c r="AC2549"/>
      <c r="AD2549"/>
      <c r="AE2549">
        <v>0</v>
      </c>
      <c r="AF2549"/>
      <c r="AG2549"/>
      <c r="AH2549"/>
    </row>
    <row r="2550" spans="1:34" x14ac:dyDescent="0.25">
      <c r="A2550" t="s">
        <v>3598</v>
      </c>
      <c r="B2550" t="s">
        <v>3247</v>
      </c>
      <c r="C2550"/>
      <c r="D2550" t="s">
        <v>3233</v>
      </c>
      <c r="E2550" t="s">
        <v>3248</v>
      </c>
      <c r="F2550" t="s">
        <v>3265</v>
      </c>
      <c r="G2550"/>
      <c r="H2550" t="s">
        <v>3266</v>
      </c>
      <c r="I2550" t="s">
        <v>35</v>
      </c>
      <c r="J2550"/>
      <c r="K2550">
        <v>1</v>
      </c>
      <c r="L2550">
        <v>1</v>
      </c>
      <c r="M2550" t="s">
        <v>33</v>
      </c>
      <c r="N2550">
        <v>0</v>
      </c>
      <c r="O2550"/>
      <c r="P2550">
        <v>0</v>
      </c>
      <c r="Q2550" t="s">
        <v>38</v>
      </c>
      <c r="R2550">
        <v>1</v>
      </c>
      <c r="S2550">
        <v>0</v>
      </c>
      <c r="T2550"/>
      <c r="U2550"/>
      <c r="V2550"/>
      <c r="W2550"/>
      <c r="X2550">
        <v>0</v>
      </c>
      <c r="Y2550"/>
      <c r="Z2550">
        <v>0</v>
      </c>
      <c r="AA2550"/>
      <c r="AB2550"/>
      <c r="AC2550"/>
      <c r="AD2550"/>
      <c r="AE2550">
        <v>0</v>
      </c>
      <c r="AF2550"/>
      <c r="AG2550"/>
      <c r="AH2550"/>
    </row>
    <row r="2551" spans="1:34" x14ac:dyDescent="0.25">
      <c r="A2551" t="s">
        <v>3599</v>
      </c>
      <c r="B2551" t="s">
        <v>3247</v>
      </c>
      <c r="C2551"/>
      <c r="D2551" t="s">
        <v>3233</v>
      </c>
      <c r="E2551" t="s">
        <v>3248</v>
      </c>
      <c r="F2551" t="s">
        <v>3265</v>
      </c>
      <c r="G2551"/>
      <c r="H2551" t="s">
        <v>3266</v>
      </c>
      <c r="I2551" t="s">
        <v>35</v>
      </c>
      <c r="J2551"/>
      <c r="K2551">
        <v>1</v>
      </c>
      <c r="L2551">
        <v>1</v>
      </c>
      <c r="M2551" t="s">
        <v>33</v>
      </c>
      <c r="N2551">
        <v>0</v>
      </c>
      <c r="O2551"/>
      <c r="P2551">
        <v>0</v>
      </c>
      <c r="Q2551" t="s">
        <v>38</v>
      </c>
      <c r="R2551">
        <v>1</v>
      </c>
      <c r="S2551">
        <v>0</v>
      </c>
      <c r="T2551"/>
      <c r="U2551"/>
      <c r="V2551"/>
      <c r="W2551"/>
      <c r="X2551">
        <v>0</v>
      </c>
      <c r="Y2551"/>
      <c r="Z2551">
        <v>0</v>
      </c>
      <c r="AA2551"/>
      <c r="AB2551"/>
      <c r="AC2551"/>
      <c r="AD2551"/>
      <c r="AE2551">
        <v>0</v>
      </c>
      <c r="AF2551"/>
      <c r="AG2551"/>
      <c r="AH2551"/>
    </row>
    <row r="2552" spans="1:34" x14ac:dyDescent="0.25">
      <c r="A2552" t="s">
        <v>3600</v>
      </c>
      <c r="B2552" t="s">
        <v>3247</v>
      </c>
      <c r="C2552"/>
      <c r="D2552" t="s">
        <v>3233</v>
      </c>
      <c r="E2552" t="s">
        <v>3248</v>
      </c>
      <c r="F2552" t="s">
        <v>3265</v>
      </c>
      <c r="G2552"/>
      <c r="H2552" t="s">
        <v>3266</v>
      </c>
      <c r="I2552" t="s">
        <v>35</v>
      </c>
      <c r="J2552"/>
      <c r="K2552">
        <v>1</v>
      </c>
      <c r="L2552">
        <v>1</v>
      </c>
      <c r="M2552" t="s">
        <v>33</v>
      </c>
      <c r="N2552">
        <v>0</v>
      </c>
      <c r="O2552"/>
      <c r="P2552">
        <v>0</v>
      </c>
      <c r="Q2552" t="s">
        <v>38</v>
      </c>
      <c r="R2552">
        <v>1</v>
      </c>
      <c r="S2552">
        <v>0</v>
      </c>
      <c r="T2552"/>
      <c r="U2552"/>
      <c r="V2552"/>
      <c r="W2552"/>
      <c r="X2552">
        <v>0</v>
      </c>
      <c r="Y2552"/>
      <c r="Z2552">
        <v>0</v>
      </c>
      <c r="AA2552"/>
      <c r="AB2552"/>
      <c r="AC2552"/>
      <c r="AD2552"/>
      <c r="AE2552">
        <v>0</v>
      </c>
      <c r="AF2552"/>
      <c r="AG2552"/>
      <c r="AH2552"/>
    </row>
    <row r="2553" spans="1:34" x14ac:dyDescent="0.25">
      <c r="A2553" t="s">
        <v>3601</v>
      </c>
      <c r="B2553" t="s">
        <v>3247</v>
      </c>
      <c r="C2553"/>
      <c r="D2553" t="s">
        <v>3233</v>
      </c>
      <c r="E2553" t="s">
        <v>3248</v>
      </c>
      <c r="F2553" t="s">
        <v>3265</v>
      </c>
      <c r="G2553"/>
      <c r="H2553" t="s">
        <v>3266</v>
      </c>
      <c r="I2553" t="s">
        <v>35</v>
      </c>
      <c r="J2553"/>
      <c r="K2553">
        <v>1</v>
      </c>
      <c r="L2553">
        <v>1</v>
      </c>
      <c r="M2553" t="s">
        <v>33</v>
      </c>
      <c r="N2553">
        <v>0</v>
      </c>
      <c r="O2553"/>
      <c r="P2553">
        <v>0</v>
      </c>
      <c r="Q2553" t="s">
        <v>38</v>
      </c>
      <c r="R2553">
        <v>1</v>
      </c>
      <c r="S2553">
        <v>0</v>
      </c>
      <c r="T2553"/>
      <c r="U2553"/>
      <c r="V2553"/>
      <c r="W2553"/>
      <c r="X2553">
        <v>0</v>
      </c>
      <c r="Y2553"/>
      <c r="Z2553">
        <v>0</v>
      </c>
      <c r="AA2553"/>
      <c r="AB2553"/>
      <c r="AC2553"/>
      <c r="AD2553"/>
      <c r="AE2553">
        <v>0</v>
      </c>
      <c r="AF2553"/>
      <c r="AG2553"/>
      <c r="AH2553"/>
    </row>
    <row r="2554" spans="1:34" x14ac:dyDescent="0.25">
      <c r="A2554" t="s">
        <v>3602</v>
      </c>
      <c r="B2554" t="s">
        <v>3247</v>
      </c>
      <c r="C2554"/>
      <c r="D2554" t="s">
        <v>3233</v>
      </c>
      <c r="E2554" t="s">
        <v>3248</v>
      </c>
      <c r="F2554" t="s">
        <v>3265</v>
      </c>
      <c r="G2554"/>
      <c r="H2554" t="s">
        <v>3266</v>
      </c>
      <c r="I2554" t="s">
        <v>35</v>
      </c>
      <c r="J2554"/>
      <c r="K2554">
        <v>1</v>
      </c>
      <c r="L2554">
        <v>1</v>
      </c>
      <c r="M2554" t="s">
        <v>33</v>
      </c>
      <c r="N2554">
        <v>0</v>
      </c>
      <c r="O2554"/>
      <c r="P2554">
        <v>0</v>
      </c>
      <c r="Q2554" t="s">
        <v>38</v>
      </c>
      <c r="R2554">
        <v>1</v>
      </c>
      <c r="S2554">
        <v>0</v>
      </c>
      <c r="T2554"/>
      <c r="U2554"/>
      <c r="V2554"/>
      <c r="W2554"/>
      <c r="X2554">
        <v>0</v>
      </c>
      <c r="Y2554"/>
      <c r="Z2554">
        <v>0</v>
      </c>
      <c r="AA2554"/>
      <c r="AB2554"/>
      <c r="AC2554"/>
      <c r="AD2554"/>
      <c r="AE2554">
        <v>0</v>
      </c>
      <c r="AF2554"/>
      <c r="AG2554"/>
      <c r="AH2554"/>
    </row>
    <row r="2555" spans="1:34" x14ac:dyDescent="0.25">
      <c r="A2555" t="s">
        <v>3603</v>
      </c>
      <c r="B2555" t="s">
        <v>3247</v>
      </c>
      <c r="C2555"/>
      <c r="D2555" t="s">
        <v>3233</v>
      </c>
      <c r="E2555" t="s">
        <v>3248</v>
      </c>
      <c r="F2555" t="s">
        <v>3265</v>
      </c>
      <c r="G2555"/>
      <c r="H2555" t="s">
        <v>3266</v>
      </c>
      <c r="I2555" t="s">
        <v>35</v>
      </c>
      <c r="J2555"/>
      <c r="K2555">
        <v>1</v>
      </c>
      <c r="L2555">
        <v>1</v>
      </c>
      <c r="M2555" t="s">
        <v>33</v>
      </c>
      <c r="N2555">
        <v>0</v>
      </c>
      <c r="O2555"/>
      <c r="P2555">
        <v>0</v>
      </c>
      <c r="Q2555" t="s">
        <v>38</v>
      </c>
      <c r="R2555">
        <v>1</v>
      </c>
      <c r="S2555">
        <v>0</v>
      </c>
      <c r="T2555"/>
      <c r="U2555"/>
      <c r="V2555"/>
      <c r="W2555"/>
      <c r="X2555">
        <v>0</v>
      </c>
      <c r="Y2555"/>
      <c r="Z2555">
        <v>0</v>
      </c>
      <c r="AA2555"/>
      <c r="AB2555"/>
      <c r="AC2555"/>
      <c r="AD2555"/>
      <c r="AE2555">
        <v>0</v>
      </c>
      <c r="AF2555"/>
      <c r="AG2555"/>
      <c r="AH2555"/>
    </row>
    <row r="2556" spans="1:34" x14ac:dyDescent="0.25">
      <c r="A2556" t="s">
        <v>3596</v>
      </c>
      <c r="B2556" t="s">
        <v>3247</v>
      </c>
      <c r="C2556"/>
      <c r="D2556" t="s">
        <v>3233</v>
      </c>
      <c r="E2556" t="s">
        <v>3248</v>
      </c>
      <c r="F2556" t="s">
        <v>3267</v>
      </c>
      <c r="G2556"/>
      <c r="H2556" t="s">
        <v>3268</v>
      </c>
      <c r="I2556" t="s">
        <v>35</v>
      </c>
      <c r="J2556"/>
      <c r="K2556">
        <v>1</v>
      </c>
      <c r="L2556">
        <v>1</v>
      </c>
      <c r="M2556" t="s">
        <v>33</v>
      </c>
      <c r="N2556">
        <v>0</v>
      </c>
      <c r="O2556"/>
      <c r="P2556">
        <v>0</v>
      </c>
      <c r="Q2556" t="s">
        <v>38</v>
      </c>
      <c r="R2556">
        <v>1</v>
      </c>
      <c r="S2556">
        <v>0</v>
      </c>
      <c r="T2556"/>
      <c r="U2556"/>
      <c r="V2556"/>
      <c r="W2556"/>
      <c r="X2556">
        <v>0</v>
      </c>
      <c r="Y2556"/>
      <c r="Z2556">
        <v>0</v>
      </c>
      <c r="AA2556"/>
      <c r="AB2556"/>
      <c r="AC2556"/>
      <c r="AD2556"/>
      <c r="AE2556">
        <v>0</v>
      </c>
      <c r="AF2556"/>
      <c r="AG2556"/>
      <c r="AH2556"/>
    </row>
    <row r="2557" spans="1:34" x14ac:dyDescent="0.25">
      <c r="A2557" t="s">
        <v>3597</v>
      </c>
      <c r="B2557" t="s">
        <v>3247</v>
      </c>
      <c r="C2557"/>
      <c r="D2557" t="s">
        <v>3233</v>
      </c>
      <c r="E2557" t="s">
        <v>3248</v>
      </c>
      <c r="F2557" t="s">
        <v>3267</v>
      </c>
      <c r="G2557"/>
      <c r="H2557" t="s">
        <v>3268</v>
      </c>
      <c r="I2557" t="s">
        <v>35</v>
      </c>
      <c r="J2557"/>
      <c r="K2557">
        <v>1</v>
      </c>
      <c r="L2557">
        <v>1</v>
      </c>
      <c r="M2557" t="s">
        <v>33</v>
      </c>
      <c r="N2557">
        <v>0</v>
      </c>
      <c r="O2557"/>
      <c r="P2557">
        <v>0</v>
      </c>
      <c r="Q2557" t="s">
        <v>38</v>
      </c>
      <c r="R2557">
        <v>1</v>
      </c>
      <c r="S2557">
        <v>0</v>
      </c>
      <c r="T2557"/>
      <c r="U2557"/>
      <c r="V2557"/>
      <c r="W2557"/>
      <c r="X2557">
        <v>0</v>
      </c>
      <c r="Y2557"/>
      <c r="Z2557">
        <v>0</v>
      </c>
      <c r="AA2557"/>
      <c r="AB2557"/>
      <c r="AC2557"/>
      <c r="AD2557"/>
      <c r="AE2557">
        <v>0</v>
      </c>
      <c r="AF2557"/>
      <c r="AG2557"/>
      <c r="AH2557"/>
    </row>
    <row r="2558" spans="1:34" x14ac:dyDescent="0.25">
      <c r="A2558" t="s">
        <v>3598</v>
      </c>
      <c r="B2558" t="s">
        <v>3247</v>
      </c>
      <c r="C2558"/>
      <c r="D2558" t="s">
        <v>3233</v>
      </c>
      <c r="E2558" t="s">
        <v>3248</v>
      </c>
      <c r="F2558" t="s">
        <v>3267</v>
      </c>
      <c r="G2558"/>
      <c r="H2558" t="s">
        <v>3268</v>
      </c>
      <c r="I2558" t="s">
        <v>35</v>
      </c>
      <c r="J2558"/>
      <c r="K2558">
        <v>1</v>
      </c>
      <c r="L2558">
        <v>1</v>
      </c>
      <c r="M2558" t="s">
        <v>33</v>
      </c>
      <c r="N2558">
        <v>0</v>
      </c>
      <c r="O2558"/>
      <c r="P2558">
        <v>0</v>
      </c>
      <c r="Q2558" t="s">
        <v>38</v>
      </c>
      <c r="R2558">
        <v>1</v>
      </c>
      <c r="S2558">
        <v>0</v>
      </c>
      <c r="T2558"/>
      <c r="U2558"/>
      <c r="V2558"/>
      <c r="W2558"/>
      <c r="X2558">
        <v>0</v>
      </c>
      <c r="Y2558"/>
      <c r="Z2558">
        <v>0</v>
      </c>
      <c r="AA2558"/>
      <c r="AB2558"/>
      <c r="AC2558"/>
      <c r="AD2558"/>
      <c r="AE2558">
        <v>0</v>
      </c>
      <c r="AF2558"/>
      <c r="AG2558"/>
      <c r="AH2558"/>
    </row>
    <row r="2559" spans="1:34" x14ac:dyDescent="0.25">
      <c r="A2559" t="s">
        <v>3599</v>
      </c>
      <c r="B2559" t="s">
        <v>3247</v>
      </c>
      <c r="C2559"/>
      <c r="D2559" t="s">
        <v>3233</v>
      </c>
      <c r="E2559" t="s">
        <v>3248</v>
      </c>
      <c r="F2559" t="s">
        <v>3267</v>
      </c>
      <c r="G2559"/>
      <c r="H2559" t="s">
        <v>3268</v>
      </c>
      <c r="I2559" t="s">
        <v>35</v>
      </c>
      <c r="J2559"/>
      <c r="K2559">
        <v>1</v>
      </c>
      <c r="L2559">
        <v>1</v>
      </c>
      <c r="M2559" t="s">
        <v>33</v>
      </c>
      <c r="N2559">
        <v>0</v>
      </c>
      <c r="O2559"/>
      <c r="P2559">
        <v>0</v>
      </c>
      <c r="Q2559" t="s">
        <v>38</v>
      </c>
      <c r="R2559">
        <v>1</v>
      </c>
      <c r="S2559">
        <v>0</v>
      </c>
      <c r="T2559"/>
      <c r="U2559"/>
      <c r="V2559"/>
      <c r="W2559"/>
      <c r="X2559">
        <v>0</v>
      </c>
      <c r="Y2559"/>
      <c r="Z2559">
        <v>0</v>
      </c>
      <c r="AA2559"/>
      <c r="AB2559"/>
      <c r="AC2559"/>
      <c r="AD2559"/>
      <c r="AE2559">
        <v>0</v>
      </c>
      <c r="AF2559"/>
      <c r="AG2559"/>
      <c r="AH2559"/>
    </row>
    <row r="2560" spans="1:34" x14ac:dyDescent="0.25">
      <c r="A2560" t="s">
        <v>3600</v>
      </c>
      <c r="B2560" t="s">
        <v>3247</v>
      </c>
      <c r="C2560"/>
      <c r="D2560" t="s">
        <v>3233</v>
      </c>
      <c r="E2560" t="s">
        <v>3248</v>
      </c>
      <c r="F2560" t="s">
        <v>3267</v>
      </c>
      <c r="G2560"/>
      <c r="H2560" t="s">
        <v>3268</v>
      </c>
      <c r="I2560" t="s">
        <v>35</v>
      </c>
      <c r="J2560"/>
      <c r="K2560">
        <v>1</v>
      </c>
      <c r="L2560">
        <v>1</v>
      </c>
      <c r="M2560" t="s">
        <v>33</v>
      </c>
      <c r="N2560">
        <v>0</v>
      </c>
      <c r="O2560"/>
      <c r="P2560">
        <v>0</v>
      </c>
      <c r="Q2560" t="s">
        <v>38</v>
      </c>
      <c r="R2560">
        <v>1</v>
      </c>
      <c r="S2560">
        <v>0</v>
      </c>
      <c r="T2560"/>
      <c r="U2560"/>
      <c r="V2560"/>
      <c r="W2560"/>
      <c r="X2560">
        <v>0</v>
      </c>
      <c r="Y2560"/>
      <c r="Z2560">
        <v>0</v>
      </c>
      <c r="AA2560"/>
      <c r="AB2560"/>
      <c r="AC2560"/>
      <c r="AD2560"/>
      <c r="AE2560">
        <v>0</v>
      </c>
      <c r="AF2560"/>
      <c r="AG2560"/>
      <c r="AH2560"/>
    </row>
    <row r="2561" spans="1:34" x14ac:dyDescent="0.25">
      <c r="A2561" t="s">
        <v>3601</v>
      </c>
      <c r="B2561" t="s">
        <v>3247</v>
      </c>
      <c r="C2561"/>
      <c r="D2561" t="s">
        <v>3233</v>
      </c>
      <c r="E2561" t="s">
        <v>3248</v>
      </c>
      <c r="F2561" t="s">
        <v>3267</v>
      </c>
      <c r="G2561"/>
      <c r="H2561" t="s">
        <v>3268</v>
      </c>
      <c r="I2561" t="s">
        <v>35</v>
      </c>
      <c r="J2561"/>
      <c r="K2561">
        <v>1</v>
      </c>
      <c r="L2561">
        <v>1</v>
      </c>
      <c r="M2561" t="s">
        <v>33</v>
      </c>
      <c r="N2561">
        <v>0</v>
      </c>
      <c r="O2561"/>
      <c r="P2561">
        <v>0</v>
      </c>
      <c r="Q2561" t="s">
        <v>38</v>
      </c>
      <c r="R2561">
        <v>1</v>
      </c>
      <c r="S2561">
        <v>0</v>
      </c>
      <c r="T2561"/>
      <c r="U2561"/>
      <c r="V2561"/>
      <c r="W2561"/>
      <c r="X2561">
        <v>0</v>
      </c>
      <c r="Y2561"/>
      <c r="Z2561">
        <v>0</v>
      </c>
      <c r="AA2561"/>
      <c r="AB2561"/>
      <c r="AC2561"/>
      <c r="AD2561"/>
      <c r="AE2561">
        <v>0</v>
      </c>
      <c r="AF2561"/>
      <c r="AG2561"/>
      <c r="AH2561"/>
    </row>
    <row r="2562" spans="1:34" x14ac:dyDescent="0.25">
      <c r="A2562" t="s">
        <v>3602</v>
      </c>
      <c r="B2562" t="s">
        <v>3247</v>
      </c>
      <c r="C2562"/>
      <c r="D2562" t="s">
        <v>3233</v>
      </c>
      <c r="E2562" t="s">
        <v>3248</v>
      </c>
      <c r="F2562" t="s">
        <v>3267</v>
      </c>
      <c r="G2562"/>
      <c r="H2562" t="s">
        <v>3268</v>
      </c>
      <c r="I2562" t="s">
        <v>35</v>
      </c>
      <c r="J2562"/>
      <c r="K2562">
        <v>1</v>
      </c>
      <c r="L2562">
        <v>1</v>
      </c>
      <c r="M2562" t="s">
        <v>33</v>
      </c>
      <c r="N2562">
        <v>0</v>
      </c>
      <c r="O2562"/>
      <c r="P2562">
        <v>0</v>
      </c>
      <c r="Q2562" t="s">
        <v>38</v>
      </c>
      <c r="R2562">
        <v>1</v>
      </c>
      <c r="S2562">
        <v>0</v>
      </c>
      <c r="T2562"/>
      <c r="U2562"/>
      <c r="V2562"/>
      <c r="W2562"/>
      <c r="X2562">
        <v>0</v>
      </c>
      <c r="Y2562"/>
      <c r="Z2562">
        <v>0</v>
      </c>
      <c r="AA2562"/>
      <c r="AB2562"/>
      <c r="AC2562"/>
      <c r="AD2562"/>
      <c r="AE2562">
        <v>0</v>
      </c>
      <c r="AF2562"/>
      <c r="AG2562"/>
      <c r="AH2562"/>
    </row>
    <row r="2563" spans="1:34" x14ac:dyDescent="0.25">
      <c r="A2563" t="s">
        <v>3603</v>
      </c>
      <c r="B2563" t="s">
        <v>3247</v>
      </c>
      <c r="C2563"/>
      <c r="D2563" t="s">
        <v>3233</v>
      </c>
      <c r="E2563" t="s">
        <v>3248</v>
      </c>
      <c r="F2563" t="s">
        <v>3267</v>
      </c>
      <c r="G2563"/>
      <c r="H2563" t="s">
        <v>3268</v>
      </c>
      <c r="I2563" t="s">
        <v>35</v>
      </c>
      <c r="J2563"/>
      <c r="K2563">
        <v>1</v>
      </c>
      <c r="L2563">
        <v>1</v>
      </c>
      <c r="M2563" t="s">
        <v>33</v>
      </c>
      <c r="N2563">
        <v>0</v>
      </c>
      <c r="O2563"/>
      <c r="P2563">
        <v>0</v>
      </c>
      <c r="Q2563" t="s">
        <v>38</v>
      </c>
      <c r="R2563">
        <v>1</v>
      </c>
      <c r="S2563">
        <v>0</v>
      </c>
      <c r="T2563"/>
      <c r="U2563"/>
      <c r="V2563"/>
      <c r="W2563"/>
      <c r="X2563">
        <v>0</v>
      </c>
      <c r="Y2563"/>
      <c r="Z2563">
        <v>0</v>
      </c>
      <c r="AA2563"/>
      <c r="AB2563"/>
      <c r="AC2563"/>
      <c r="AD2563"/>
      <c r="AE2563">
        <v>0</v>
      </c>
      <c r="AF2563"/>
      <c r="AG2563"/>
      <c r="AH2563"/>
    </row>
    <row r="2564" spans="1:34" x14ac:dyDescent="0.25">
      <c r="A2564" t="s">
        <v>3269</v>
      </c>
      <c r="B2564" t="s">
        <v>3270</v>
      </c>
      <c r="C2564"/>
      <c r="D2564" t="s">
        <v>3271</v>
      </c>
      <c r="E2564" t="s">
        <v>3272</v>
      </c>
      <c r="F2564" t="s">
        <v>3272</v>
      </c>
      <c r="G2564" t="s">
        <v>259</v>
      </c>
      <c r="H2564" t="s">
        <v>3273</v>
      </c>
      <c r="I2564" t="s">
        <v>35</v>
      </c>
      <c r="J2564"/>
      <c r="K2564">
        <v>1</v>
      </c>
      <c r="L2564">
        <v>1</v>
      </c>
      <c r="M2564" t="s">
        <v>33</v>
      </c>
      <c r="N2564">
        <v>1</v>
      </c>
      <c r="O2564"/>
      <c r="P2564">
        <v>0</v>
      </c>
      <c r="Q2564" t="s">
        <v>38</v>
      </c>
      <c r="R2564">
        <v>1</v>
      </c>
      <c r="S2564">
        <v>0</v>
      </c>
      <c r="T2564"/>
      <c r="U2564"/>
      <c r="V2564"/>
      <c r="W2564"/>
      <c r="X2564">
        <v>0</v>
      </c>
      <c r="Y2564"/>
      <c r="Z2564">
        <v>0</v>
      </c>
      <c r="AA2564"/>
      <c r="AB2564"/>
      <c r="AC2564"/>
      <c r="AD2564"/>
      <c r="AE2564">
        <v>0</v>
      </c>
      <c r="AF2564"/>
      <c r="AG2564" t="s">
        <v>3468</v>
      </c>
      <c r="AH2564"/>
    </row>
    <row r="2565" spans="1:34" x14ac:dyDescent="0.25">
      <c r="A2565" t="s">
        <v>3269</v>
      </c>
      <c r="B2565" t="s">
        <v>3270</v>
      </c>
      <c r="C2565"/>
      <c r="D2565" t="s">
        <v>3271</v>
      </c>
      <c r="E2565" t="s">
        <v>3274</v>
      </c>
      <c r="F2565" t="s">
        <v>3275</v>
      </c>
      <c r="G2565" t="s">
        <v>259</v>
      </c>
      <c r="H2565" t="s">
        <v>3276</v>
      </c>
      <c r="I2565" t="s">
        <v>35</v>
      </c>
      <c r="J2565"/>
      <c r="K2565">
        <v>1</v>
      </c>
      <c r="L2565">
        <v>1</v>
      </c>
      <c r="M2565" t="s">
        <v>33</v>
      </c>
      <c r="N2565">
        <v>1</v>
      </c>
      <c r="O2565"/>
      <c r="P2565">
        <v>0</v>
      </c>
      <c r="Q2565" t="s">
        <v>38</v>
      </c>
      <c r="R2565">
        <v>1</v>
      </c>
      <c r="S2565">
        <v>0</v>
      </c>
      <c r="T2565"/>
      <c r="U2565"/>
      <c r="V2565"/>
      <c r="W2565"/>
      <c r="X2565">
        <v>0</v>
      </c>
      <c r="Y2565"/>
      <c r="Z2565">
        <v>0</v>
      </c>
      <c r="AA2565"/>
      <c r="AB2565"/>
      <c r="AC2565"/>
      <c r="AD2565"/>
      <c r="AE2565">
        <v>0</v>
      </c>
      <c r="AF2565"/>
      <c r="AG2565" t="s">
        <v>3468</v>
      </c>
      <c r="AH2565"/>
    </row>
    <row r="2566" spans="1:34" x14ac:dyDescent="0.25">
      <c r="A2566" t="s">
        <v>3269</v>
      </c>
      <c r="B2566" t="s">
        <v>3270</v>
      </c>
      <c r="C2566"/>
      <c r="D2566" t="s">
        <v>3271</v>
      </c>
      <c r="E2566" t="s">
        <v>3274</v>
      </c>
      <c r="F2566" t="s">
        <v>3277</v>
      </c>
      <c r="G2566" t="s">
        <v>259</v>
      </c>
      <c r="H2566" t="s">
        <v>3278</v>
      </c>
      <c r="I2566" t="s">
        <v>35</v>
      </c>
      <c r="J2566"/>
      <c r="K2566">
        <v>1</v>
      </c>
      <c r="L2566">
        <v>1</v>
      </c>
      <c r="M2566" t="s">
        <v>33</v>
      </c>
      <c r="N2566">
        <v>1</v>
      </c>
      <c r="O2566"/>
      <c r="P2566">
        <v>0</v>
      </c>
      <c r="Q2566" t="s">
        <v>38</v>
      </c>
      <c r="R2566">
        <v>1</v>
      </c>
      <c r="S2566">
        <v>0</v>
      </c>
      <c r="T2566"/>
      <c r="U2566"/>
      <c r="V2566"/>
      <c r="W2566"/>
      <c r="X2566">
        <v>0</v>
      </c>
      <c r="Y2566"/>
      <c r="Z2566">
        <v>0</v>
      </c>
      <c r="AA2566"/>
      <c r="AB2566"/>
      <c r="AC2566"/>
      <c r="AD2566"/>
      <c r="AE2566">
        <v>0</v>
      </c>
      <c r="AF2566"/>
      <c r="AG2566" t="s">
        <v>3468</v>
      </c>
      <c r="AH2566"/>
    </row>
    <row r="2567" spans="1:34" x14ac:dyDescent="0.25">
      <c r="A2567" t="s">
        <v>3269</v>
      </c>
      <c r="B2567" t="s">
        <v>3270</v>
      </c>
      <c r="C2567"/>
      <c r="D2567" t="s">
        <v>3271</v>
      </c>
      <c r="E2567" t="s">
        <v>3274</v>
      </c>
      <c r="F2567" t="s">
        <v>3279</v>
      </c>
      <c r="G2567" t="s">
        <v>259</v>
      </c>
      <c r="H2567" t="s">
        <v>3280</v>
      </c>
      <c r="I2567" t="s">
        <v>35</v>
      </c>
      <c r="J2567"/>
      <c r="K2567">
        <v>1</v>
      </c>
      <c r="L2567">
        <v>1</v>
      </c>
      <c r="M2567" t="s">
        <v>33</v>
      </c>
      <c r="N2567">
        <v>1</v>
      </c>
      <c r="O2567"/>
      <c r="P2567">
        <v>0</v>
      </c>
      <c r="Q2567" t="s">
        <v>38</v>
      </c>
      <c r="R2567">
        <v>1</v>
      </c>
      <c r="S2567">
        <v>0</v>
      </c>
      <c r="T2567"/>
      <c r="U2567"/>
      <c r="V2567"/>
      <c r="W2567"/>
      <c r="X2567">
        <v>0</v>
      </c>
      <c r="Y2567"/>
      <c r="Z2567">
        <v>0</v>
      </c>
      <c r="AA2567"/>
      <c r="AB2567"/>
      <c r="AC2567"/>
      <c r="AD2567"/>
      <c r="AE2567">
        <v>0</v>
      </c>
      <c r="AF2567"/>
      <c r="AG2567" t="s">
        <v>3468</v>
      </c>
      <c r="AH2567"/>
    </row>
    <row r="2568" spans="1:34" x14ac:dyDescent="0.25">
      <c r="A2568" t="s">
        <v>3269</v>
      </c>
      <c r="B2568" t="s">
        <v>3270</v>
      </c>
      <c r="C2568"/>
      <c r="D2568" t="s">
        <v>3271</v>
      </c>
      <c r="E2568" t="s">
        <v>3274</v>
      </c>
      <c r="F2568" t="s">
        <v>3281</v>
      </c>
      <c r="G2568" t="s">
        <v>259</v>
      </c>
      <c r="H2568" t="s">
        <v>3282</v>
      </c>
      <c r="I2568" t="s">
        <v>35</v>
      </c>
      <c r="J2568"/>
      <c r="K2568">
        <v>1</v>
      </c>
      <c r="L2568">
        <v>1</v>
      </c>
      <c r="M2568" t="s">
        <v>33</v>
      </c>
      <c r="N2568">
        <v>1</v>
      </c>
      <c r="O2568"/>
      <c r="P2568">
        <v>0</v>
      </c>
      <c r="Q2568" t="s">
        <v>38</v>
      </c>
      <c r="R2568">
        <v>1</v>
      </c>
      <c r="S2568">
        <v>0</v>
      </c>
      <c r="T2568"/>
      <c r="U2568"/>
      <c r="V2568"/>
      <c r="W2568"/>
      <c r="X2568">
        <v>0</v>
      </c>
      <c r="Y2568"/>
      <c r="Z2568">
        <v>0</v>
      </c>
      <c r="AA2568"/>
      <c r="AB2568"/>
      <c r="AC2568"/>
      <c r="AD2568"/>
      <c r="AE2568">
        <v>0</v>
      </c>
      <c r="AF2568"/>
      <c r="AG2568" t="s">
        <v>3468</v>
      </c>
      <c r="AH2568"/>
    </row>
    <row r="2569" spans="1:34" x14ac:dyDescent="0.25">
      <c r="A2569" t="s">
        <v>3269</v>
      </c>
      <c r="B2569" t="s">
        <v>3270</v>
      </c>
      <c r="C2569"/>
      <c r="D2569" t="s">
        <v>3271</v>
      </c>
      <c r="E2569" t="s">
        <v>3274</v>
      </c>
      <c r="F2569" t="s">
        <v>3283</v>
      </c>
      <c r="G2569" t="s">
        <v>259</v>
      </c>
      <c r="H2569" t="s">
        <v>3284</v>
      </c>
      <c r="I2569" t="s">
        <v>35</v>
      </c>
      <c r="J2569"/>
      <c r="K2569">
        <v>1</v>
      </c>
      <c r="L2569">
        <v>1</v>
      </c>
      <c r="M2569" t="s">
        <v>33</v>
      </c>
      <c r="N2569">
        <v>1</v>
      </c>
      <c r="O2569"/>
      <c r="P2569">
        <v>0</v>
      </c>
      <c r="Q2569" t="s">
        <v>38</v>
      </c>
      <c r="R2569">
        <v>1</v>
      </c>
      <c r="S2569">
        <v>0</v>
      </c>
      <c r="T2569"/>
      <c r="U2569"/>
      <c r="V2569"/>
      <c r="W2569"/>
      <c r="X2569">
        <v>0</v>
      </c>
      <c r="Y2569"/>
      <c r="Z2569">
        <v>0</v>
      </c>
      <c r="AA2569"/>
      <c r="AB2569"/>
      <c r="AC2569"/>
      <c r="AD2569"/>
      <c r="AE2569">
        <v>0</v>
      </c>
      <c r="AF2569"/>
      <c r="AG2569" t="s">
        <v>3468</v>
      </c>
      <c r="AH2569"/>
    </row>
    <row r="2570" spans="1:34" x14ac:dyDescent="0.25">
      <c r="A2570" t="s">
        <v>3269</v>
      </c>
      <c r="B2570" t="s">
        <v>3270</v>
      </c>
      <c r="C2570"/>
      <c r="D2570" t="s">
        <v>3271</v>
      </c>
      <c r="E2570" t="s">
        <v>3285</v>
      </c>
      <c r="F2570" t="s">
        <v>3286</v>
      </c>
      <c r="G2570" t="s">
        <v>259</v>
      </c>
      <c r="H2570" t="s">
        <v>3287</v>
      </c>
      <c r="I2570" t="s">
        <v>35</v>
      </c>
      <c r="J2570"/>
      <c r="K2570">
        <v>1</v>
      </c>
      <c r="L2570">
        <v>1</v>
      </c>
      <c r="M2570" t="s">
        <v>33</v>
      </c>
      <c r="N2570">
        <v>0</v>
      </c>
      <c r="O2570"/>
      <c r="P2570">
        <v>0</v>
      </c>
      <c r="Q2570" t="s">
        <v>38</v>
      </c>
      <c r="R2570">
        <v>1</v>
      </c>
      <c r="S2570">
        <v>0</v>
      </c>
      <c r="T2570"/>
      <c r="U2570"/>
      <c r="V2570"/>
      <c r="W2570"/>
      <c r="X2570">
        <v>0</v>
      </c>
      <c r="Y2570"/>
      <c r="Z2570">
        <v>0</v>
      </c>
      <c r="AA2570"/>
      <c r="AB2570"/>
      <c r="AC2570"/>
      <c r="AD2570"/>
      <c r="AE2570">
        <v>0</v>
      </c>
      <c r="AF2570"/>
      <c r="AG2570"/>
      <c r="AH2570"/>
    </row>
    <row r="2571" spans="1:34" x14ac:dyDescent="0.25">
      <c r="A2571" t="s">
        <v>3460</v>
      </c>
      <c r="B2571" t="s">
        <v>3461</v>
      </c>
      <c r="C2571"/>
      <c r="D2571" t="s">
        <v>3271</v>
      </c>
      <c r="E2571" t="s">
        <v>3285</v>
      </c>
      <c r="F2571" t="s">
        <v>3286</v>
      </c>
      <c r="G2571" t="s">
        <v>259</v>
      </c>
      <c r="H2571" t="s">
        <v>3287</v>
      </c>
      <c r="I2571" t="s">
        <v>35</v>
      </c>
      <c r="J2571"/>
      <c r="K2571">
        <v>1</v>
      </c>
      <c r="L2571">
        <v>1</v>
      </c>
      <c r="M2571" t="s">
        <v>33</v>
      </c>
      <c r="N2571">
        <v>0</v>
      </c>
      <c r="O2571"/>
      <c r="P2571">
        <v>0</v>
      </c>
      <c r="Q2571" t="s">
        <v>38</v>
      </c>
      <c r="R2571">
        <v>1</v>
      </c>
      <c r="S2571">
        <v>0</v>
      </c>
      <c r="T2571"/>
      <c r="U2571"/>
      <c r="V2571"/>
      <c r="W2571"/>
      <c r="X2571">
        <v>0</v>
      </c>
      <c r="Y2571"/>
      <c r="Z2571">
        <v>0</v>
      </c>
      <c r="AA2571"/>
      <c r="AB2571"/>
      <c r="AC2571"/>
      <c r="AD2571"/>
      <c r="AE2571">
        <v>0</v>
      </c>
      <c r="AF2571"/>
      <c r="AG2571"/>
      <c r="AH2571"/>
    </row>
    <row r="2572" spans="1:34" x14ac:dyDescent="0.25">
      <c r="A2572" t="s">
        <v>3269</v>
      </c>
      <c r="B2572" t="s">
        <v>3270</v>
      </c>
      <c r="C2572"/>
      <c r="D2572" t="s">
        <v>3271</v>
      </c>
      <c r="E2572" t="s">
        <v>3285</v>
      </c>
      <c r="F2572" t="s">
        <v>3288</v>
      </c>
      <c r="G2572" t="s">
        <v>259</v>
      </c>
      <c r="H2572" t="s">
        <v>3289</v>
      </c>
      <c r="I2572" t="s">
        <v>35</v>
      </c>
      <c r="J2572"/>
      <c r="K2572">
        <v>1</v>
      </c>
      <c r="L2572">
        <v>1</v>
      </c>
      <c r="M2572" t="s">
        <v>33</v>
      </c>
      <c r="N2572">
        <v>0</v>
      </c>
      <c r="O2572"/>
      <c r="P2572">
        <v>0</v>
      </c>
      <c r="Q2572" t="s">
        <v>38</v>
      </c>
      <c r="R2572">
        <v>1</v>
      </c>
      <c r="S2572">
        <v>0</v>
      </c>
      <c r="T2572"/>
      <c r="U2572"/>
      <c r="V2572"/>
      <c r="W2572"/>
      <c r="X2572">
        <v>0</v>
      </c>
      <c r="Y2572"/>
      <c r="Z2572">
        <v>0</v>
      </c>
      <c r="AA2572"/>
      <c r="AB2572"/>
      <c r="AC2572"/>
      <c r="AD2572"/>
      <c r="AE2572">
        <v>0</v>
      </c>
      <c r="AF2572"/>
      <c r="AG2572"/>
      <c r="AH2572"/>
    </row>
    <row r="2573" spans="1:34" x14ac:dyDescent="0.25">
      <c r="A2573" t="s">
        <v>3460</v>
      </c>
      <c r="B2573" t="s">
        <v>3461</v>
      </c>
      <c r="C2573"/>
      <c r="D2573" t="s">
        <v>3271</v>
      </c>
      <c r="E2573" t="s">
        <v>3285</v>
      </c>
      <c r="F2573" t="s">
        <v>3288</v>
      </c>
      <c r="G2573" t="s">
        <v>259</v>
      </c>
      <c r="H2573" t="s">
        <v>3289</v>
      </c>
      <c r="I2573" t="s">
        <v>35</v>
      </c>
      <c r="J2573"/>
      <c r="K2573">
        <v>1</v>
      </c>
      <c r="L2573">
        <v>1</v>
      </c>
      <c r="M2573" t="s">
        <v>33</v>
      </c>
      <c r="N2573">
        <v>0</v>
      </c>
      <c r="O2573"/>
      <c r="P2573">
        <v>0</v>
      </c>
      <c r="Q2573" t="s">
        <v>38</v>
      </c>
      <c r="R2573">
        <v>1</v>
      </c>
      <c r="S2573">
        <v>0</v>
      </c>
      <c r="T2573"/>
      <c r="U2573"/>
      <c r="V2573"/>
      <c r="W2573"/>
      <c r="X2573">
        <v>0</v>
      </c>
      <c r="Y2573"/>
      <c r="Z2573">
        <v>0</v>
      </c>
      <c r="AA2573"/>
      <c r="AB2573"/>
      <c r="AC2573"/>
      <c r="AD2573"/>
      <c r="AE2573">
        <v>0</v>
      </c>
      <c r="AF2573"/>
      <c r="AG2573"/>
      <c r="AH2573"/>
    </row>
    <row r="2574" spans="1:34" x14ac:dyDescent="0.25">
      <c r="A2574" t="s">
        <v>3269</v>
      </c>
      <c r="B2574" t="s">
        <v>3270</v>
      </c>
      <c r="C2574"/>
      <c r="D2574" t="s">
        <v>3271</v>
      </c>
      <c r="E2574" t="s">
        <v>3285</v>
      </c>
      <c r="F2574" t="s">
        <v>3290</v>
      </c>
      <c r="G2574" t="s">
        <v>259</v>
      </c>
      <c r="H2574" t="s">
        <v>3291</v>
      </c>
      <c r="I2574" t="s">
        <v>35</v>
      </c>
      <c r="J2574"/>
      <c r="K2574">
        <v>1</v>
      </c>
      <c r="L2574">
        <v>1</v>
      </c>
      <c r="M2574" t="s">
        <v>33</v>
      </c>
      <c r="N2574">
        <v>0</v>
      </c>
      <c r="O2574"/>
      <c r="P2574">
        <v>0</v>
      </c>
      <c r="Q2574" t="s">
        <v>38</v>
      </c>
      <c r="R2574">
        <v>1</v>
      </c>
      <c r="S2574">
        <v>0</v>
      </c>
      <c r="T2574"/>
      <c r="U2574"/>
      <c r="V2574"/>
      <c r="W2574"/>
      <c r="X2574">
        <v>0</v>
      </c>
      <c r="Y2574"/>
      <c r="Z2574">
        <v>0</v>
      </c>
      <c r="AA2574"/>
      <c r="AB2574"/>
      <c r="AC2574"/>
      <c r="AD2574"/>
      <c r="AE2574">
        <v>0</v>
      </c>
      <c r="AF2574"/>
      <c r="AG2574"/>
      <c r="AH2574"/>
    </row>
    <row r="2575" spans="1:34" x14ac:dyDescent="0.25">
      <c r="A2575" t="s">
        <v>3460</v>
      </c>
      <c r="B2575" t="s">
        <v>3461</v>
      </c>
      <c r="C2575"/>
      <c r="D2575" t="s">
        <v>3271</v>
      </c>
      <c r="E2575" t="s">
        <v>3285</v>
      </c>
      <c r="F2575" t="s">
        <v>3290</v>
      </c>
      <c r="G2575" t="s">
        <v>259</v>
      </c>
      <c r="H2575" t="s">
        <v>3291</v>
      </c>
      <c r="I2575" t="s">
        <v>35</v>
      </c>
      <c r="J2575"/>
      <c r="K2575">
        <v>1</v>
      </c>
      <c r="L2575">
        <v>1</v>
      </c>
      <c r="M2575" t="s">
        <v>33</v>
      </c>
      <c r="N2575">
        <v>0</v>
      </c>
      <c r="O2575"/>
      <c r="P2575">
        <v>0</v>
      </c>
      <c r="Q2575" t="s">
        <v>38</v>
      </c>
      <c r="R2575">
        <v>1</v>
      </c>
      <c r="S2575">
        <v>0</v>
      </c>
      <c r="T2575"/>
      <c r="U2575"/>
      <c r="V2575"/>
      <c r="W2575"/>
      <c r="X2575">
        <v>0</v>
      </c>
      <c r="Y2575"/>
      <c r="Z2575">
        <v>0</v>
      </c>
      <c r="AA2575"/>
      <c r="AB2575"/>
      <c r="AC2575"/>
      <c r="AD2575"/>
      <c r="AE2575">
        <v>0</v>
      </c>
      <c r="AF2575"/>
      <c r="AG2575"/>
      <c r="AH2575"/>
    </row>
    <row r="2576" spans="1:34" x14ac:dyDescent="0.25">
      <c r="A2576" t="s">
        <v>3269</v>
      </c>
      <c r="B2576" t="s">
        <v>3270</v>
      </c>
      <c r="C2576"/>
      <c r="D2576" t="s">
        <v>3271</v>
      </c>
      <c r="E2576" t="s">
        <v>3292</v>
      </c>
      <c r="F2576" t="s">
        <v>401</v>
      </c>
      <c r="G2576" t="s">
        <v>259</v>
      </c>
      <c r="H2576" t="s">
        <v>3293</v>
      </c>
      <c r="I2576" t="s">
        <v>35</v>
      </c>
      <c r="J2576"/>
      <c r="K2576">
        <v>1</v>
      </c>
      <c r="L2576">
        <v>1</v>
      </c>
      <c r="M2576" t="s">
        <v>33</v>
      </c>
      <c r="N2576">
        <v>1</v>
      </c>
      <c r="O2576"/>
      <c r="P2576">
        <v>0</v>
      </c>
      <c r="Q2576" t="s">
        <v>38</v>
      </c>
      <c r="R2576">
        <v>1</v>
      </c>
      <c r="S2576">
        <v>0</v>
      </c>
      <c r="T2576"/>
      <c r="U2576"/>
      <c r="V2576"/>
      <c r="W2576"/>
      <c r="X2576">
        <v>0</v>
      </c>
      <c r="Y2576"/>
      <c r="Z2576">
        <v>0</v>
      </c>
      <c r="AA2576"/>
      <c r="AB2576"/>
      <c r="AC2576"/>
      <c r="AD2576"/>
      <c r="AE2576">
        <v>0</v>
      </c>
      <c r="AF2576"/>
      <c r="AG2576" t="s">
        <v>3468</v>
      </c>
      <c r="AH2576"/>
    </row>
    <row r="2577" spans="1:34" x14ac:dyDescent="0.25">
      <c r="A2577" t="s">
        <v>3269</v>
      </c>
      <c r="B2577" t="s">
        <v>3270</v>
      </c>
      <c r="C2577"/>
      <c r="D2577" t="s">
        <v>3271</v>
      </c>
      <c r="E2577" t="s">
        <v>3292</v>
      </c>
      <c r="F2577" t="s">
        <v>420</v>
      </c>
      <c r="G2577" t="s">
        <v>259</v>
      </c>
      <c r="H2577" t="s">
        <v>3294</v>
      </c>
      <c r="I2577" t="s">
        <v>35</v>
      </c>
      <c r="J2577"/>
      <c r="K2577">
        <v>1</v>
      </c>
      <c r="L2577">
        <v>1</v>
      </c>
      <c r="M2577" t="s">
        <v>33</v>
      </c>
      <c r="N2577">
        <v>1</v>
      </c>
      <c r="O2577"/>
      <c r="P2577">
        <v>0</v>
      </c>
      <c r="Q2577" t="s">
        <v>38</v>
      </c>
      <c r="R2577">
        <v>1</v>
      </c>
      <c r="S2577">
        <v>0</v>
      </c>
      <c r="T2577"/>
      <c r="U2577"/>
      <c r="V2577"/>
      <c r="W2577"/>
      <c r="X2577">
        <v>0</v>
      </c>
      <c r="Y2577"/>
      <c r="Z2577">
        <v>0</v>
      </c>
      <c r="AA2577"/>
      <c r="AB2577"/>
      <c r="AC2577"/>
      <c r="AD2577"/>
      <c r="AE2577">
        <v>0</v>
      </c>
      <c r="AF2577"/>
      <c r="AG2577" t="s">
        <v>3468</v>
      </c>
      <c r="AH2577"/>
    </row>
    <row r="2578" spans="1:34" x14ac:dyDescent="0.25">
      <c r="A2578" t="s">
        <v>3269</v>
      </c>
      <c r="B2578" t="s">
        <v>3270</v>
      </c>
      <c r="C2578"/>
      <c r="D2578" t="s">
        <v>3271</v>
      </c>
      <c r="E2578" t="s">
        <v>3292</v>
      </c>
      <c r="F2578" t="s">
        <v>445</v>
      </c>
      <c r="G2578" t="s">
        <v>259</v>
      </c>
      <c r="H2578" t="s">
        <v>3295</v>
      </c>
      <c r="I2578" t="s">
        <v>35</v>
      </c>
      <c r="J2578"/>
      <c r="K2578">
        <v>1</v>
      </c>
      <c r="L2578">
        <v>1</v>
      </c>
      <c r="M2578" t="s">
        <v>33</v>
      </c>
      <c r="N2578">
        <v>1</v>
      </c>
      <c r="O2578"/>
      <c r="P2578">
        <v>0</v>
      </c>
      <c r="Q2578" t="s">
        <v>38</v>
      </c>
      <c r="R2578">
        <v>1</v>
      </c>
      <c r="S2578">
        <v>0</v>
      </c>
      <c r="T2578"/>
      <c r="U2578"/>
      <c r="V2578"/>
      <c r="W2578"/>
      <c r="X2578">
        <v>0</v>
      </c>
      <c r="Y2578"/>
      <c r="Z2578">
        <v>0</v>
      </c>
      <c r="AA2578"/>
      <c r="AB2578"/>
      <c r="AC2578"/>
      <c r="AD2578"/>
      <c r="AE2578">
        <v>0</v>
      </c>
      <c r="AF2578"/>
      <c r="AG2578" t="s">
        <v>3468</v>
      </c>
      <c r="AH2578"/>
    </row>
    <row r="2579" spans="1:34" x14ac:dyDescent="0.25">
      <c r="A2579" t="s">
        <v>3269</v>
      </c>
      <c r="B2579" t="s">
        <v>3270</v>
      </c>
      <c r="C2579"/>
      <c r="D2579" t="s">
        <v>3271</v>
      </c>
      <c r="E2579" t="s">
        <v>3292</v>
      </c>
      <c r="F2579" t="s">
        <v>459</v>
      </c>
      <c r="G2579" t="s">
        <v>259</v>
      </c>
      <c r="H2579" t="s">
        <v>3296</v>
      </c>
      <c r="I2579" t="s">
        <v>35</v>
      </c>
      <c r="J2579"/>
      <c r="K2579">
        <v>1</v>
      </c>
      <c r="L2579">
        <v>1</v>
      </c>
      <c r="M2579" t="s">
        <v>33</v>
      </c>
      <c r="N2579">
        <v>1</v>
      </c>
      <c r="O2579"/>
      <c r="P2579">
        <v>0</v>
      </c>
      <c r="Q2579" t="s">
        <v>38</v>
      </c>
      <c r="R2579">
        <v>1</v>
      </c>
      <c r="S2579">
        <v>0</v>
      </c>
      <c r="T2579"/>
      <c r="U2579"/>
      <c r="V2579"/>
      <c r="W2579"/>
      <c r="X2579">
        <v>0</v>
      </c>
      <c r="Y2579"/>
      <c r="Z2579">
        <v>0</v>
      </c>
      <c r="AA2579"/>
      <c r="AB2579"/>
      <c r="AC2579"/>
      <c r="AD2579"/>
      <c r="AE2579">
        <v>0</v>
      </c>
      <c r="AF2579"/>
      <c r="AG2579" t="s">
        <v>3468</v>
      </c>
      <c r="AH2579"/>
    </row>
    <row r="2580" spans="1:34" x14ac:dyDescent="0.25">
      <c r="A2580" t="s">
        <v>3269</v>
      </c>
      <c r="B2580" t="s">
        <v>3270</v>
      </c>
      <c r="C2580"/>
      <c r="D2580" t="s">
        <v>3271</v>
      </c>
      <c r="E2580" t="s">
        <v>3292</v>
      </c>
      <c r="F2580" t="s">
        <v>528</v>
      </c>
      <c r="G2580" t="s">
        <v>259</v>
      </c>
      <c r="H2580" t="s">
        <v>3297</v>
      </c>
      <c r="I2580" t="s">
        <v>35</v>
      </c>
      <c r="J2580"/>
      <c r="K2580">
        <v>1</v>
      </c>
      <c r="L2580">
        <v>1</v>
      </c>
      <c r="M2580" t="s">
        <v>33</v>
      </c>
      <c r="N2580">
        <v>1</v>
      </c>
      <c r="O2580"/>
      <c r="P2580">
        <v>0</v>
      </c>
      <c r="Q2580" t="s">
        <v>38</v>
      </c>
      <c r="R2580">
        <v>1</v>
      </c>
      <c r="S2580">
        <v>0</v>
      </c>
      <c r="T2580"/>
      <c r="U2580"/>
      <c r="V2580"/>
      <c r="W2580"/>
      <c r="X2580">
        <v>0</v>
      </c>
      <c r="Y2580"/>
      <c r="Z2580">
        <v>0</v>
      </c>
      <c r="AA2580"/>
      <c r="AB2580"/>
      <c r="AC2580"/>
      <c r="AD2580"/>
      <c r="AE2580">
        <v>0</v>
      </c>
      <c r="AF2580"/>
      <c r="AG2580" t="s">
        <v>3468</v>
      </c>
      <c r="AH2580"/>
    </row>
    <row r="2581" spans="1:34" x14ac:dyDescent="0.25">
      <c r="A2581" t="s">
        <v>3269</v>
      </c>
      <c r="B2581" t="s">
        <v>3270</v>
      </c>
      <c r="C2581"/>
      <c r="D2581" t="s">
        <v>3271</v>
      </c>
      <c r="E2581" t="s">
        <v>3292</v>
      </c>
      <c r="F2581" t="s">
        <v>563</v>
      </c>
      <c r="G2581" t="s">
        <v>259</v>
      </c>
      <c r="H2581" t="s">
        <v>3298</v>
      </c>
      <c r="I2581" t="s">
        <v>35</v>
      </c>
      <c r="J2581"/>
      <c r="K2581">
        <v>1</v>
      </c>
      <c r="L2581">
        <v>1</v>
      </c>
      <c r="M2581" t="s">
        <v>33</v>
      </c>
      <c r="N2581">
        <v>1</v>
      </c>
      <c r="O2581"/>
      <c r="P2581">
        <v>0</v>
      </c>
      <c r="Q2581" t="s">
        <v>38</v>
      </c>
      <c r="R2581">
        <v>1</v>
      </c>
      <c r="S2581">
        <v>0</v>
      </c>
      <c r="T2581"/>
      <c r="U2581"/>
      <c r="V2581"/>
      <c r="W2581"/>
      <c r="X2581">
        <v>0</v>
      </c>
      <c r="Y2581"/>
      <c r="Z2581">
        <v>0</v>
      </c>
      <c r="AA2581"/>
      <c r="AB2581"/>
      <c r="AC2581"/>
      <c r="AD2581"/>
      <c r="AE2581">
        <v>0</v>
      </c>
      <c r="AF2581"/>
      <c r="AG2581" t="s">
        <v>3468</v>
      </c>
      <c r="AH2581"/>
    </row>
    <row r="2582" spans="1:34" x14ac:dyDescent="0.25">
      <c r="A2582" t="s">
        <v>3269</v>
      </c>
      <c r="B2582" t="s">
        <v>3270</v>
      </c>
      <c r="C2582"/>
      <c r="D2582" t="s">
        <v>3271</v>
      </c>
      <c r="E2582" t="s">
        <v>3292</v>
      </c>
      <c r="F2582" t="s">
        <v>573</v>
      </c>
      <c r="G2582" t="s">
        <v>259</v>
      </c>
      <c r="H2582" t="s">
        <v>3299</v>
      </c>
      <c r="I2582" t="s">
        <v>35</v>
      </c>
      <c r="J2582"/>
      <c r="K2582">
        <v>1</v>
      </c>
      <c r="L2582">
        <v>1</v>
      </c>
      <c r="M2582" t="s">
        <v>33</v>
      </c>
      <c r="N2582">
        <v>1</v>
      </c>
      <c r="O2582"/>
      <c r="P2582">
        <v>0</v>
      </c>
      <c r="Q2582" t="s">
        <v>38</v>
      </c>
      <c r="R2582">
        <v>1</v>
      </c>
      <c r="S2582">
        <v>0</v>
      </c>
      <c r="T2582"/>
      <c r="U2582"/>
      <c r="V2582"/>
      <c r="W2582"/>
      <c r="X2582">
        <v>0</v>
      </c>
      <c r="Y2582"/>
      <c r="Z2582">
        <v>0</v>
      </c>
      <c r="AA2582"/>
      <c r="AB2582"/>
      <c r="AC2582"/>
      <c r="AD2582"/>
      <c r="AE2582">
        <v>0</v>
      </c>
      <c r="AF2582"/>
      <c r="AG2582" t="s">
        <v>3468</v>
      </c>
      <c r="AH2582"/>
    </row>
    <row r="2583" spans="1:34" x14ac:dyDescent="0.25">
      <c r="A2583" t="s">
        <v>3269</v>
      </c>
      <c r="B2583" t="s">
        <v>3270</v>
      </c>
      <c r="C2583"/>
      <c r="D2583" t="s">
        <v>3271</v>
      </c>
      <c r="E2583" t="s">
        <v>3292</v>
      </c>
      <c r="F2583" t="s">
        <v>706</v>
      </c>
      <c r="G2583" t="s">
        <v>259</v>
      </c>
      <c r="H2583" t="s">
        <v>3300</v>
      </c>
      <c r="I2583" t="s">
        <v>35</v>
      </c>
      <c r="J2583"/>
      <c r="K2583">
        <v>1</v>
      </c>
      <c r="L2583">
        <v>1</v>
      </c>
      <c r="M2583" t="s">
        <v>33</v>
      </c>
      <c r="N2583">
        <v>1</v>
      </c>
      <c r="O2583"/>
      <c r="P2583">
        <v>0</v>
      </c>
      <c r="Q2583" t="s">
        <v>38</v>
      </c>
      <c r="R2583">
        <v>1</v>
      </c>
      <c r="S2583">
        <v>0</v>
      </c>
      <c r="T2583"/>
      <c r="U2583"/>
      <c r="V2583"/>
      <c r="W2583"/>
      <c r="X2583">
        <v>0</v>
      </c>
      <c r="Y2583"/>
      <c r="Z2583">
        <v>0</v>
      </c>
      <c r="AA2583"/>
      <c r="AB2583"/>
      <c r="AC2583"/>
      <c r="AD2583"/>
      <c r="AE2583">
        <v>0</v>
      </c>
      <c r="AF2583"/>
      <c r="AG2583" t="s">
        <v>3468</v>
      </c>
      <c r="AH2583"/>
    </row>
    <row r="2584" spans="1:34" x14ac:dyDescent="0.25">
      <c r="A2584" t="s">
        <v>3269</v>
      </c>
      <c r="B2584" t="s">
        <v>3270</v>
      </c>
      <c r="C2584"/>
      <c r="D2584" t="s">
        <v>3271</v>
      </c>
      <c r="E2584" t="s">
        <v>3292</v>
      </c>
      <c r="F2584" t="s">
        <v>720</v>
      </c>
      <c r="G2584" t="s">
        <v>259</v>
      </c>
      <c r="H2584" t="s">
        <v>3301</v>
      </c>
      <c r="I2584" t="s">
        <v>35</v>
      </c>
      <c r="J2584"/>
      <c r="K2584">
        <v>1</v>
      </c>
      <c r="L2584">
        <v>1</v>
      </c>
      <c r="M2584" t="s">
        <v>33</v>
      </c>
      <c r="N2584">
        <v>1</v>
      </c>
      <c r="O2584"/>
      <c r="P2584">
        <v>0</v>
      </c>
      <c r="Q2584" t="s">
        <v>38</v>
      </c>
      <c r="R2584">
        <v>1</v>
      </c>
      <c r="S2584">
        <v>0</v>
      </c>
      <c r="T2584"/>
      <c r="U2584"/>
      <c r="V2584"/>
      <c r="W2584"/>
      <c r="X2584">
        <v>0</v>
      </c>
      <c r="Y2584"/>
      <c r="Z2584">
        <v>0</v>
      </c>
      <c r="AA2584"/>
      <c r="AB2584"/>
      <c r="AC2584"/>
      <c r="AD2584"/>
      <c r="AE2584">
        <v>0</v>
      </c>
      <c r="AF2584"/>
      <c r="AG2584" t="s">
        <v>3468</v>
      </c>
      <c r="AH2584"/>
    </row>
    <row r="2585" spans="1:34" x14ac:dyDescent="0.25">
      <c r="A2585" t="s">
        <v>3269</v>
      </c>
      <c r="B2585" t="s">
        <v>3270</v>
      </c>
      <c r="C2585"/>
      <c r="D2585" t="s">
        <v>3271</v>
      </c>
      <c r="E2585" t="s">
        <v>3292</v>
      </c>
      <c r="F2585" t="s">
        <v>722</v>
      </c>
      <c r="G2585" t="s">
        <v>259</v>
      </c>
      <c r="H2585" t="s">
        <v>3302</v>
      </c>
      <c r="I2585" t="s">
        <v>35</v>
      </c>
      <c r="J2585"/>
      <c r="K2585">
        <v>1</v>
      </c>
      <c r="L2585">
        <v>1</v>
      </c>
      <c r="M2585" t="s">
        <v>33</v>
      </c>
      <c r="N2585">
        <v>1</v>
      </c>
      <c r="O2585"/>
      <c r="P2585">
        <v>0</v>
      </c>
      <c r="Q2585" t="s">
        <v>38</v>
      </c>
      <c r="R2585">
        <v>1</v>
      </c>
      <c r="S2585">
        <v>0</v>
      </c>
      <c r="T2585"/>
      <c r="U2585"/>
      <c r="V2585"/>
      <c r="W2585"/>
      <c r="X2585">
        <v>0</v>
      </c>
      <c r="Y2585"/>
      <c r="Z2585">
        <v>0</v>
      </c>
      <c r="AA2585"/>
      <c r="AB2585"/>
      <c r="AC2585"/>
      <c r="AD2585"/>
      <c r="AE2585">
        <v>0</v>
      </c>
      <c r="AF2585"/>
      <c r="AG2585" t="s">
        <v>3468</v>
      </c>
      <c r="AH2585"/>
    </row>
    <row r="2586" spans="1:34" x14ac:dyDescent="0.25">
      <c r="A2586" t="s">
        <v>3269</v>
      </c>
      <c r="B2586" t="s">
        <v>3270</v>
      </c>
      <c r="C2586"/>
      <c r="D2586" t="s">
        <v>3271</v>
      </c>
      <c r="E2586" t="s">
        <v>3292</v>
      </c>
      <c r="F2586" t="s">
        <v>471</v>
      </c>
      <c r="G2586" t="s">
        <v>259</v>
      </c>
      <c r="H2586" t="s">
        <v>3303</v>
      </c>
      <c r="I2586" t="s">
        <v>35</v>
      </c>
      <c r="J2586"/>
      <c r="K2586">
        <v>1</v>
      </c>
      <c r="L2586">
        <v>1</v>
      </c>
      <c r="M2586" t="s">
        <v>33</v>
      </c>
      <c r="N2586">
        <v>1</v>
      </c>
      <c r="O2586"/>
      <c r="P2586">
        <v>0</v>
      </c>
      <c r="Q2586" t="s">
        <v>38</v>
      </c>
      <c r="R2586">
        <v>1</v>
      </c>
      <c r="S2586">
        <v>0</v>
      </c>
      <c r="T2586"/>
      <c r="U2586"/>
      <c r="V2586"/>
      <c r="W2586"/>
      <c r="X2586">
        <v>0</v>
      </c>
      <c r="Y2586"/>
      <c r="Z2586">
        <v>0</v>
      </c>
      <c r="AA2586"/>
      <c r="AB2586"/>
      <c r="AC2586"/>
      <c r="AD2586"/>
      <c r="AE2586">
        <v>0</v>
      </c>
      <c r="AF2586"/>
      <c r="AG2586" t="s">
        <v>3468</v>
      </c>
      <c r="AH2586"/>
    </row>
    <row r="2587" spans="1:34" x14ac:dyDescent="0.25">
      <c r="A2587" t="s">
        <v>3269</v>
      </c>
      <c r="B2587" t="s">
        <v>3270</v>
      </c>
      <c r="C2587"/>
      <c r="D2587" t="s">
        <v>3271</v>
      </c>
      <c r="E2587" t="s">
        <v>3292</v>
      </c>
      <c r="F2587" t="s">
        <v>463</v>
      </c>
      <c r="G2587" t="s">
        <v>259</v>
      </c>
      <c r="H2587" t="s">
        <v>3304</v>
      </c>
      <c r="I2587" t="s">
        <v>35</v>
      </c>
      <c r="J2587"/>
      <c r="K2587">
        <v>1</v>
      </c>
      <c r="L2587">
        <v>1</v>
      </c>
      <c r="M2587" t="s">
        <v>33</v>
      </c>
      <c r="N2587">
        <v>1</v>
      </c>
      <c r="O2587"/>
      <c r="P2587">
        <v>0</v>
      </c>
      <c r="Q2587" t="s">
        <v>38</v>
      </c>
      <c r="R2587">
        <v>1</v>
      </c>
      <c r="S2587">
        <v>0</v>
      </c>
      <c r="T2587"/>
      <c r="U2587"/>
      <c r="V2587"/>
      <c r="W2587"/>
      <c r="X2587">
        <v>0</v>
      </c>
      <c r="Y2587"/>
      <c r="Z2587">
        <v>0</v>
      </c>
      <c r="AA2587"/>
      <c r="AB2587"/>
      <c r="AC2587"/>
      <c r="AD2587"/>
      <c r="AE2587">
        <v>0</v>
      </c>
      <c r="AF2587"/>
      <c r="AG2587" t="s">
        <v>3468</v>
      </c>
      <c r="AH2587"/>
    </row>
    <row r="2588" spans="1:34" x14ac:dyDescent="0.25">
      <c r="A2588" t="s">
        <v>3269</v>
      </c>
      <c r="B2588" t="s">
        <v>3270</v>
      </c>
      <c r="C2588"/>
      <c r="D2588" t="s">
        <v>3271</v>
      </c>
      <c r="E2588" t="s">
        <v>3292</v>
      </c>
      <c r="F2588" t="s">
        <v>532</v>
      </c>
      <c r="G2588" t="s">
        <v>259</v>
      </c>
      <c r="H2588" t="s">
        <v>3305</v>
      </c>
      <c r="I2588" t="s">
        <v>35</v>
      </c>
      <c r="J2588"/>
      <c r="K2588">
        <v>1</v>
      </c>
      <c r="L2588">
        <v>1</v>
      </c>
      <c r="M2588" t="s">
        <v>33</v>
      </c>
      <c r="N2588">
        <v>1</v>
      </c>
      <c r="O2588"/>
      <c r="P2588">
        <v>0</v>
      </c>
      <c r="Q2588" t="s">
        <v>38</v>
      </c>
      <c r="R2588">
        <v>1</v>
      </c>
      <c r="S2588">
        <v>0</v>
      </c>
      <c r="T2588"/>
      <c r="U2588"/>
      <c r="V2588"/>
      <c r="W2588"/>
      <c r="X2588">
        <v>0</v>
      </c>
      <c r="Y2588"/>
      <c r="Z2588">
        <v>0</v>
      </c>
      <c r="AA2588"/>
      <c r="AB2588"/>
      <c r="AC2588"/>
      <c r="AD2588"/>
      <c r="AE2588">
        <v>0</v>
      </c>
      <c r="AF2588"/>
      <c r="AG2588" t="s">
        <v>3468</v>
      </c>
      <c r="AH2588"/>
    </row>
    <row r="2589" spans="1:34" x14ac:dyDescent="0.25">
      <c r="A2589" t="s">
        <v>3269</v>
      </c>
      <c r="B2589" t="s">
        <v>3270</v>
      </c>
      <c r="C2589"/>
      <c r="D2589" t="s">
        <v>3271</v>
      </c>
      <c r="E2589" t="s">
        <v>3292</v>
      </c>
      <c r="F2589" t="s">
        <v>601</v>
      </c>
      <c r="G2589" t="s">
        <v>259</v>
      </c>
      <c r="H2589" t="s">
        <v>3306</v>
      </c>
      <c r="I2589" t="s">
        <v>35</v>
      </c>
      <c r="J2589"/>
      <c r="K2589">
        <v>1</v>
      </c>
      <c r="L2589">
        <v>1</v>
      </c>
      <c r="M2589" t="s">
        <v>33</v>
      </c>
      <c r="N2589">
        <v>1</v>
      </c>
      <c r="O2589"/>
      <c r="P2589">
        <v>0</v>
      </c>
      <c r="Q2589" t="s">
        <v>38</v>
      </c>
      <c r="R2589">
        <v>1</v>
      </c>
      <c r="S2589">
        <v>0</v>
      </c>
      <c r="T2589"/>
      <c r="U2589"/>
      <c r="V2589"/>
      <c r="W2589"/>
      <c r="X2589">
        <v>0</v>
      </c>
      <c r="Y2589"/>
      <c r="Z2589">
        <v>0</v>
      </c>
      <c r="AA2589"/>
      <c r="AB2589"/>
      <c r="AC2589"/>
      <c r="AD2589"/>
      <c r="AE2589">
        <v>0</v>
      </c>
      <c r="AF2589"/>
      <c r="AG2589" t="s">
        <v>3468</v>
      </c>
      <c r="AH2589"/>
    </row>
    <row r="2590" spans="1:34" x14ac:dyDescent="0.25">
      <c r="A2590" t="s">
        <v>3269</v>
      </c>
      <c r="B2590" t="s">
        <v>3270</v>
      </c>
      <c r="C2590"/>
      <c r="D2590" t="s">
        <v>3271</v>
      </c>
      <c r="E2590" t="s">
        <v>3292</v>
      </c>
      <c r="F2590" t="s">
        <v>613</v>
      </c>
      <c r="G2590" t="s">
        <v>259</v>
      </c>
      <c r="H2590" t="s">
        <v>3307</v>
      </c>
      <c r="I2590" t="s">
        <v>35</v>
      </c>
      <c r="J2590"/>
      <c r="K2590">
        <v>1</v>
      </c>
      <c r="L2590">
        <v>1</v>
      </c>
      <c r="M2590" t="s">
        <v>33</v>
      </c>
      <c r="N2590">
        <v>1</v>
      </c>
      <c r="O2590"/>
      <c r="P2590">
        <v>0</v>
      </c>
      <c r="Q2590" t="s">
        <v>38</v>
      </c>
      <c r="R2590">
        <v>1</v>
      </c>
      <c r="S2590">
        <v>0</v>
      </c>
      <c r="T2590"/>
      <c r="U2590"/>
      <c r="V2590"/>
      <c r="W2590"/>
      <c r="X2590">
        <v>0</v>
      </c>
      <c r="Y2590"/>
      <c r="Z2590">
        <v>0</v>
      </c>
      <c r="AA2590"/>
      <c r="AB2590"/>
      <c r="AC2590"/>
      <c r="AD2590"/>
      <c r="AE2590">
        <v>0</v>
      </c>
      <c r="AF2590"/>
      <c r="AG2590" t="s">
        <v>3468</v>
      </c>
      <c r="AH2590"/>
    </row>
    <row r="2591" spans="1:34" x14ac:dyDescent="0.25">
      <c r="A2591" t="s">
        <v>3269</v>
      </c>
      <c r="B2591" t="s">
        <v>3270</v>
      </c>
      <c r="C2591"/>
      <c r="D2591" t="s">
        <v>3271</v>
      </c>
      <c r="E2591" t="s">
        <v>3292</v>
      </c>
      <c r="F2591" t="s">
        <v>617</v>
      </c>
      <c r="G2591" t="s">
        <v>259</v>
      </c>
      <c r="H2591" t="s">
        <v>3308</v>
      </c>
      <c r="I2591" t="s">
        <v>35</v>
      </c>
      <c r="J2591"/>
      <c r="K2591">
        <v>1</v>
      </c>
      <c r="L2591">
        <v>1</v>
      </c>
      <c r="M2591" t="s">
        <v>33</v>
      </c>
      <c r="N2591">
        <v>1</v>
      </c>
      <c r="O2591"/>
      <c r="P2591">
        <v>0</v>
      </c>
      <c r="Q2591" t="s">
        <v>38</v>
      </c>
      <c r="R2591">
        <v>1</v>
      </c>
      <c r="S2591">
        <v>0</v>
      </c>
      <c r="T2591"/>
      <c r="U2591"/>
      <c r="V2591"/>
      <c r="W2591"/>
      <c r="X2591">
        <v>0</v>
      </c>
      <c r="Y2591"/>
      <c r="Z2591">
        <v>0</v>
      </c>
      <c r="AA2591"/>
      <c r="AB2591"/>
      <c r="AC2591"/>
      <c r="AD2591"/>
      <c r="AE2591">
        <v>0</v>
      </c>
      <c r="AF2591"/>
      <c r="AG2591" t="s">
        <v>3468</v>
      </c>
      <c r="AH2591"/>
    </row>
    <row r="2592" spans="1:34" x14ac:dyDescent="0.25">
      <c r="A2592" t="s">
        <v>3269</v>
      </c>
      <c r="B2592" t="s">
        <v>3270</v>
      </c>
      <c r="C2592"/>
      <c r="D2592" t="s">
        <v>3271</v>
      </c>
      <c r="E2592" t="s">
        <v>3292</v>
      </c>
      <c r="F2592" t="s">
        <v>748</v>
      </c>
      <c r="G2592" t="s">
        <v>259</v>
      </c>
      <c r="H2592" t="s">
        <v>3309</v>
      </c>
      <c r="I2592" t="s">
        <v>35</v>
      </c>
      <c r="J2592"/>
      <c r="K2592">
        <v>1</v>
      </c>
      <c r="L2592">
        <v>1</v>
      </c>
      <c r="M2592" t="s">
        <v>33</v>
      </c>
      <c r="N2592">
        <v>1</v>
      </c>
      <c r="O2592"/>
      <c r="P2592">
        <v>0</v>
      </c>
      <c r="Q2592" t="s">
        <v>38</v>
      </c>
      <c r="R2592">
        <v>1</v>
      </c>
      <c r="S2592">
        <v>0</v>
      </c>
      <c r="T2592"/>
      <c r="U2592"/>
      <c r="V2592"/>
      <c r="W2592"/>
      <c r="X2592">
        <v>0</v>
      </c>
      <c r="Y2592"/>
      <c r="Z2592">
        <v>0</v>
      </c>
      <c r="AA2592"/>
      <c r="AB2592"/>
      <c r="AC2592"/>
      <c r="AD2592"/>
      <c r="AE2592">
        <v>0</v>
      </c>
      <c r="AF2592"/>
      <c r="AG2592" t="s">
        <v>3468</v>
      </c>
      <c r="AH2592"/>
    </row>
    <row r="2593" spans="1:34" x14ac:dyDescent="0.25">
      <c r="A2593" t="s">
        <v>3269</v>
      </c>
      <c r="B2593" t="s">
        <v>3270</v>
      </c>
      <c r="C2593"/>
      <c r="D2593" t="s">
        <v>3271</v>
      </c>
      <c r="E2593" t="s">
        <v>3292</v>
      </c>
      <c r="F2593" t="s">
        <v>760</v>
      </c>
      <c r="G2593" t="s">
        <v>259</v>
      </c>
      <c r="H2593" t="s">
        <v>3310</v>
      </c>
      <c r="I2593" t="s">
        <v>35</v>
      </c>
      <c r="J2593"/>
      <c r="K2593">
        <v>1</v>
      </c>
      <c r="L2593">
        <v>1</v>
      </c>
      <c r="M2593" t="s">
        <v>33</v>
      </c>
      <c r="N2593">
        <v>1</v>
      </c>
      <c r="O2593"/>
      <c r="P2593">
        <v>0</v>
      </c>
      <c r="Q2593" t="s">
        <v>38</v>
      </c>
      <c r="R2593">
        <v>1</v>
      </c>
      <c r="S2593">
        <v>0</v>
      </c>
      <c r="T2593"/>
      <c r="U2593"/>
      <c r="V2593"/>
      <c r="W2593"/>
      <c r="X2593">
        <v>0</v>
      </c>
      <c r="Y2593"/>
      <c r="Z2593">
        <v>0</v>
      </c>
      <c r="AA2593"/>
      <c r="AB2593"/>
      <c r="AC2593"/>
      <c r="AD2593"/>
      <c r="AE2593">
        <v>0</v>
      </c>
      <c r="AF2593"/>
      <c r="AG2593" t="s">
        <v>3468</v>
      </c>
      <c r="AH2593"/>
    </row>
    <row r="2594" spans="1:34" x14ac:dyDescent="0.25">
      <c r="A2594" t="s">
        <v>3269</v>
      </c>
      <c r="B2594" t="s">
        <v>3270</v>
      </c>
      <c r="C2594"/>
      <c r="D2594" t="s">
        <v>3271</v>
      </c>
      <c r="E2594" t="s">
        <v>3292</v>
      </c>
      <c r="F2594" t="s">
        <v>764</v>
      </c>
      <c r="G2594" t="s">
        <v>259</v>
      </c>
      <c r="H2594" t="s">
        <v>3311</v>
      </c>
      <c r="I2594" t="s">
        <v>35</v>
      </c>
      <c r="J2594"/>
      <c r="K2594">
        <v>1</v>
      </c>
      <c r="L2594">
        <v>1</v>
      </c>
      <c r="M2594" t="s">
        <v>33</v>
      </c>
      <c r="N2594">
        <v>1</v>
      </c>
      <c r="O2594"/>
      <c r="P2594">
        <v>0</v>
      </c>
      <c r="Q2594" t="s">
        <v>38</v>
      </c>
      <c r="R2594">
        <v>1</v>
      </c>
      <c r="S2594">
        <v>0</v>
      </c>
      <c r="T2594"/>
      <c r="U2594"/>
      <c r="V2594"/>
      <c r="W2594"/>
      <c r="X2594">
        <v>0</v>
      </c>
      <c r="Y2594"/>
      <c r="Z2594">
        <v>0</v>
      </c>
      <c r="AA2594"/>
      <c r="AB2594"/>
      <c r="AC2594"/>
      <c r="AD2594"/>
      <c r="AE2594">
        <v>0</v>
      </c>
      <c r="AF2594"/>
      <c r="AG2594" t="s">
        <v>3468</v>
      </c>
      <c r="AH2594"/>
    </row>
    <row r="2595" spans="1:34" x14ac:dyDescent="0.25">
      <c r="A2595" t="s">
        <v>3269</v>
      </c>
      <c r="B2595" t="s">
        <v>3270</v>
      </c>
      <c r="C2595"/>
      <c r="D2595" t="s">
        <v>3271</v>
      </c>
      <c r="E2595" t="s">
        <v>3292</v>
      </c>
      <c r="F2595" t="s">
        <v>792</v>
      </c>
      <c r="G2595" t="s">
        <v>259</v>
      </c>
      <c r="H2595" t="s">
        <v>3312</v>
      </c>
      <c r="I2595" t="s">
        <v>35</v>
      </c>
      <c r="J2595"/>
      <c r="K2595">
        <v>1</v>
      </c>
      <c r="L2595">
        <v>1</v>
      </c>
      <c r="M2595" t="s">
        <v>33</v>
      </c>
      <c r="N2595">
        <v>1</v>
      </c>
      <c r="O2595"/>
      <c r="P2595">
        <v>0</v>
      </c>
      <c r="Q2595" t="s">
        <v>38</v>
      </c>
      <c r="R2595">
        <v>1</v>
      </c>
      <c r="S2595">
        <v>0</v>
      </c>
      <c r="T2595"/>
      <c r="U2595"/>
      <c r="V2595"/>
      <c r="W2595"/>
      <c r="X2595">
        <v>0</v>
      </c>
      <c r="Y2595"/>
      <c r="Z2595">
        <v>0</v>
      </c>
      <c r="AA2595"/>
      <c r="AB2595"/>
      <c r="AC2595"/>
      <c r="AD2595"/>
      <c r="AE2595">
        <v>0</v>
      </c>
      <c r="AF2595"/>
      <c r="AG2595" t="s">
        <v>3468</v>
      </c>
      <c r="AH2595"/>
    </row>
    <row r="2596" spans="1:34" x14ac:dyDescent="0.25">
      <c r="A2596" t="s">
        <v>3269</v>
      </c>
      <c r="B2596" t="s">
        <v>3270</v>
      </c>
      <c r="C2596"/>
      <c r="D2596" t="s">
        <v>3271</v>
      </c>
      <c r="E2596" t="s">
        <v>3292</v>
      </c>
      <c r="F2596" t="s">
        <v>804</v>
      </c>
      <c r="G2596" t="s">
        <v>259</v>
      </c>
      <c r="H2596" t="s">
        <v>3313</v>
      </c>
      <c r="I2596" t="s">
        <v>35</v>
      </c>
      <c r="J2596"/>
      <c r="K2596">
        <v>1</v>
      </c>
      <c r="L2596">
        <v>1</v>
      </c>
      <c r="M2596" t="s">
        <v>33</v>
      </c>
      <c r="N2596">
        <v>1</v>
      </c>
      <c r="O2596"/>
      <c r="P2596">
        <v>0</v>
      </c>
      <c r="Q2596" t="s">
        <v>38</v>
      </c>
      <c r="R2596">
        <v>1</v>
      </c>
      <c r="S2596">
        <v>0</v>
      </c>
      <c r="T2596"/>
      <c r="U2596"/>
      <c r="V2596"/>
      <c r="W2596"/>
      <c r="X2596">
        <v>0</v>
      </c>
      <c r="Y2596"/>
      <c r="Z2596">
        <v>0</v>
      </c>
      <c r="AA2596"/>
      <c r="AB2596"/>
      <c r="AC2596"/>
      <c r="AD2596"/>
      <c r="AE2596">
        <v>0</v>
      </c>
      <c r="AF2596"/>
      <c r="AG2596" t="s">
        <v>3468</v>
      </c>
      <c r="AH2596"/>
    </row>
    <row r="2597" spans="1:34" x14ac:dyDescent="0.25">
      <c r="A2597" t="s">
        <v>3269</v>
      </c>
      <c r="B2597" t="s">
        <v>3270</v>
      </c>
      <c r="C2597"/>
      <c r="D2597" t="s">
        <v>3271</v>
      </c>
      <c r="E2597" t="s">
        <v>3292</v>
      </c>
      <c r="F2597" t="s">
        <v>808</v>
      </c>
      <c r="G2597" t="s">
        <v>259</v>
      </c>
      <c r="H2597" t="s">
        <v>3314</v>
      </c>
      <c r="I2597" t="s">
        <v>35</v>
      </c>
      <c r="J2597"/>
      <c r="K2597">
        <v>1</v>
      </c>
      <c r="L2597">
        <v>1</v>
      </c>
      <c r="M2597" t="s">
        <v>33</v>
      </c>
      <c r="N2597">
        <v>1</v>
      </c>
      <c r="O2597"/>
      <c r="P2597">
        <v>0</v>
      </c>
      <c r="Q2597" t="s">
        <v>38</v>
      </c>
      <c r="R2597">
        <v>1</v>
      </c>
      <c r="S2597">
        <v>0</v>
      </c>
      <c r="T2597"/>
      <c r="U2597"/>
      <c r="V2597"/>
      <c r="W2597"/>
      <c r="X2597">
        <v>0</v>
      </c>
      <c r="Y2597"/>
      <c r="Z2597">
        <v>0</v>
      </c>
      <c r="AA2597"/>
      <c r="AB2597"/>
      <c r="AC2597"/>
      <c r="AD2597"/>
      <c r="AE2597">
        <v>0</v>
      </c>
      <c r="AF2597"/>
      <c r="AG2597" t="s">
        <v>3468</v>
      </c>
      <c r="AH2597"/>
    </row>
    <row r="2598" spans="1:34" x14ac:dyDescent="0.25">
      <c r="A2598" t="s">
        <v>3269</v>
      </c>
      <c r="B2598" t="s">
        <v>3270</v>
      </c>
      <c r="C2598"/>
      <c r="D2598" t="s">
        <v>3271</v>
      </c>
      <c r="E2598" t="s">
        <v>3315</v>
      </c>
      <c r="F2598" t="s">
        <v>1796</v>
      </c>
      <c r="G2598" t="s">
        <v>259</v>
      </c>
      <c r="H2598" t="s">
        <v>3316</v>
      </c>
      <c r="I2598" t="s">
        <v>35</v>
      </c>
      <c r="J2598"/>
      <c r="K2598">
        <v>1</v>
      </c>
      <c r="L2598">
        <v>1</v>
      </c>
      <c r="M2598" t="s">
        <v>33</v>
      </c>
      <c r="N2598">
        <v>1</v>
      </c>
      <c r="O2598"/>
      <c r="P2598">
        <v>0</v>
      </c>
      <c r="Q2598" t="s">
        <v>38</v>
      </c>
      <c r="R2598">
        <v>1</v>
      </c>
      <c r="S2598">
        <v>0</v>
      </c>
      <c r="T2598"/>
      <c r="U2598"/>
      <c r="V2598"/>
      <c r="W2598"/>
      <c r="X2598">
        <v>0</v>
      </c>
      <c r="Y2598"/>
      <c r="Z2598">
        <v>0</v>
      </c>
      <c r="AA2598"/>
      <c r="AB2598"/>
      <c r="AC2598"/>
      <c r="AD2598"/>
      <c r="AE2598">
        <v>0</v>
      </c>
      <c r="AF2598"/>
      <c r="AG2598" t="s">
        <v>3468</v>
      </c>
      <c r="AH2598"/>
    </row>
    <row r="2599" spans="1:34" x14ac:dyDescent="0.25">
      <c r="A2599" t="s">
        <v>3269</v>
      </c>
      <c r="B2599" t="s">
        <v>3270</v>
      </c>
      <c r="C2599"/>
      <c r="D2599" t="s">
        <v>3271</v>
      </c>
      <c r="E2599" t="s">
        <v>3315</v>
      </c>
      <c r="F2599" t="s">
        <v>1798</v>
      </c>
      <c r="G2599" t="s">
        <v>259</v>
      </c>
      <c r="H2599" t="s">
        <v>3317</v>
      </c>
      <c r="I2599" t="s">
        <v>35</v>
      </c>
      <c r="J2599"/>
      <c r="K2599">
        <v>1</v>
      </c>
      <c r="L2599">
        <v>1</v>
      </c>
      <c r="M2599" t="s">
        <v>33</v>
      </c>
      <c r="N2599">
        <v>1</v>
      </c>
      <c r="O2599"/>
      <c r="P2599">
        <v>0</v>
      </c>
      <c r="Q2599" t="s">
        <v>38</v>
      </c>
      <c r="R2599">
        <v>1</v>
      </c>
      <c r="S2599">
        <v>0</v>
      </c>
      <c r="T2599"/>
      <c r="U2599"/>
      <c r="V2599"/>
      <c r="W2599"/>
      <c r="X2599">
        <v>0</v>
      </c>
      <c r="Y2599"/>
      <c r="Z2599">
        <v>0</v>
      </c>
      <c r="AA2599"/>
      <c r="AB2599"/>
      <c r="AC2599"/>
      <c r="AD2599"/>
      <c r="AE2599">
        <v>0</v>
      </c>
      <c r="AF2599"/>
      <c r="AG2599" t="s">
        <v>3468</v>
      </c>
      <c r="AH2599"/>
    </row>
    <row r="2600" spans="1:34" x14ac:dyDescent="0.25">
      <c r="A2600" t="s">
        <v>3269</v>
      </c>
      <c r="B2600" t="s">
        <v>3270</v>
      </c>
      <c r="C2600"/>
      <c r="D2600" t="s">
        <v>3271</v>
      </c>
      <c r="E2600" t="s">
        <v>3315</v>
      </c>
      <c r="F2600" t="s">
        <v>3318</v>
      </c>
      <c r="G2600" t="s">
        <v>259</v>
      </c>
      <c r="H2600" t="s">
        <v>3319</v>
      </c>
      <c r="I2600" t="s">
        <v>35</v>
      </c>
      <c r="J2600"/>
      <c r="K2600">
        <v>1</v>
      </c>
      <c r="L2600">
        <v>1</v>
      </c>
      <c r="M2600" t="s">
        <v>33</v>
      </c>
      <c r="N2600">
        <v>1</v>
      </c>
      <c r="O2600"/>
      <c r="P2600">
        <v>0</v>
      </c>
      <c r="Q2600" t="s">
        <v>38</v>
      </c>
      <c r="R2600">
        <v>1</v>
      </c>
      <c r="S2600">
        <v>0</v>
      </c>
      <c r="T2600"/>
      <c r="U2600"/>
      <c r="V2600"/>
      <c r="W2600"/>
      <c r="X2600">
        <v>0</v>
      </c>
      <c r="Y2600"/>
      <c r="Z2600">
        <v>0</v>
      </c>
      <c r="AA2600"/>
      <c r="AB2600"/>
      <c r="AC2600"/>
      <c r="AD2600"/>
      <c r="AE2600">
        <v>0</v>
      </c>
      <c r="AF2600"/>
      <c r="AG2600" t="s">
        <v>3468</v>
      </c>
      <c r="AH2600"/>
    </row>
    <row r="2601" spans="1:34" x14ac:dyDescent="0.25">
      <c r="A2601" t="s">
        <v>3269</v>
      </c>
      <c r="B2601" t="s">
        <v>3270</v>
      </c>
      <c r="C2601"/>
      <c r="D2601" t="s">
        <v>3271</v>
      </c>
      <c r="E2601" t="s">
        <v>3315</v>
      </c>
      <c r="F2601" t="s">
        <v>3320</v>
      </c>
      <c r="G2601" t="s">
        <v>259</v>
      </c>
      <c r="H2601" t="s">
        <v>3321</v>
      </c>
      <c r="I2601" t="s">
        <v>35</v>
      </c>
      <c r="J2601"/>
      <c r="K2601">
        <v>1</v>
      </c>
      <c r="L2601">
        <v>1</v>
      </c>
      <c r="M2601" t="s">
        <v>33</v>
      </c>
      <c r="N2601">
        <v>1</v>
      </c>
      <c r="O2601"/>
      <c r="P2601">
        <v>0</v>
      </c>
      <c r="Q2601" t="s">
        <v>38</v>
      </c>
      <c r="R2601">
        <v>1</v>
      </c>
      <c r="S2601">
        <v>0</v>
      </c>
      <c r="T2601"/>
      <c r="U2601"/>
      <c r="V2601"/>
      <c r="W2601"/>
      <c r="X2601">
        <v>0</v>
      </c>
      <c r="Y2601"/>
      <c r="Z2601">
        <v>0</v>
      </c>
      <c r="AA2601"/>
      <c r="AB2601"/>
      <c r="AC2601"/>
      <c r="AD2601"/>
      <c r="AE2601">
        <v>0</v>
      </c>
      <c r="AF2601"/>
      <c r="AG2601" t="s">
        <v>3468</v>
      </c>
      <c r="AH2601"/>
    </row>
    <row r="2602" spans="1:34" x14ac:dyDescent="0.25">
      <c r="A2602" t="s">
        <v>3269</v>
      </c>
      <c r="B2602" t="s">
        <v>3270</v>
      </c>
      <c r="C2602"/>
      <c r="D2602" t="s">
        <v>3271</v>
      </c>
      <c r="E2602" t="s">
        <v>3315</v>
      </c>
      <c r="F2602" t="s">
        <v>3322</v>
      </c>
      <c r="G2602" t="s">
        <v>259</v>
      </c>
      <c r="H2602" t="s">
        <v>3323</v>
      </c>
      <c r="I2602" t="s">
        <v>35</v>
      </c>
      <c r="J2602"/>
      <c r="K2602">
        <v>1</v>
      </c>
      <c r="L2602">
        <v>1</v>
      </c>
      <c r="M2602" t="s">
        <v>33</v>
      </c>
      <c r="N2602">
        <v>1</v>
      </c>
      <c r="O2602"/>
      <c r="P2602">
        <v>0</v>
      </c>
      <c r="Q2602" t="s">
        <v>38</v>
      </c>
      <c r="R2602">
        <v>1</v>
      </c>
      <c r="S2602">
        <v>0</v>
      </c>
      <c r="T2602"/>
      <c r="U2602"/>
      <c r="V2602"/>
      <c r="W2602"/>
      <c r="X2602">
        <v>0</v>
      </c>
      <c r="Y2602"/>
      <c r="Z2602">
        <v>0</v>
      </c>
      <c r="AA2602"/>
      <c r="AB2602"/>
      <c r="AC2602"/>
      <c r="AD2602"/>
      <c r="AE2602">
        <v>0</v>
      </c>
      <c r="AF2602"/>
      <c r="AG2602" t="s">
        <v>3468</v>
      </c>
      <c r="AH2602"/>
    </row>
    <row r="2603" spans="1:34" x14ac:dyDescent="0.25">
      <c r="A2603" t="s">
        <v>3269</v>
      </c>
      <c r="B2603" t="s">
        <v>3270</v>
      </c>
      <c r="C2603"/>
      <c r="D2603" t="s">
        <v>3271</v>
      </c>
      <c r="E2603" t="s">
        <v>3315</v>
      </c>
      <c r="F2603" t="s">
        <v>3324</v>
      </c>
      <c r="G2603" t="s">
        <v>259</v>
      </c>
      <c r="H2603" t="s">
        <v>3325</v>
      </c>
      <c r="I2603" t="s">
        <v>35</v>
      </c>
      <c r="J2603"/>
      <c r="K2603">
        <v>1</v>
      </c>
      <c r="L2603">
        <v>1</v>
      </c>
      <c r="M2603" t="s">
        <v>33</v>
      </c>
      <c r="N2603">
        <v>1</v>
      </c>
      <c r="O2603"/>
      <c r="P2603">
        <v>0</v>
      </c>
      <c r="Q2603" t="s">
        <v>38</v>
      </c>
      <c r="R2603">
        <v>1</v>
      </c>
      <c r="S2603">
        <v>0</v>
      </c>
      <c r="T2603"/>
      <c r="U2603"/>
      <c r="V2603"/>
      <c r="W2603"/>
      <c r="X2603">
        <v>0</v>
      </c>
      <c r="Y2603"/>
      <c r="Z2603">
        <v>0</v>
      </c>
      <c r="AA2603"/>
      <c r="AB2603"/>
      <c r="AC2603"/>
      <c r="AD2603"/>
      <c r="AE2603">
        <v>0</v>
      </c>
      <c r="AF2603"/>
      <c r="AG2603" t="s">
        <v>3468</v>
      </c>
      <c r="AH2603"/>
    </row>
    <row r="2604" spans="1:34" x14ac:dyDescent="0.25">
      <c r="A2604" t="s">
        <v>3269</v>
      </c>
      <c r="B2604" t="s">
        <v>3270</v>
      </c>
      <c r="C2604"/>
      <c r="D2604" t="s">
        <v>3271</v>
      </c>
      <c r="E2604" t="s">
        <v>3315</v>
      </c>
      <c r="F2604" t="s">
        <v>3326</v>
      </c>
      <c r="G2604" t="s">
        <v>259</v>
      </c>
      <c r="H2604" t="s">
        <v>3327</v>
      </c>
      <c r="I2604" t="s">
        <v>35</v>
      </c>
      <c r="J2604"/>
      <c r="K2604">
        <v>1</v>
      </c>
      <c r="L2604">
        <v>1</v>
      </c>
      <c r="M2604" t="s">
        <v>33</v>
      </c>
      <c r="N2604">
        <v>1</v>
      </c>
      <c r="O2604"/>
      <c r="P2604">
        <v>0</v>
      </c>
      <c r="Q2604" t="s">
        <v>38</v>
      </c>
      <c r="R2604">
        <v>1</v>
      </c>
      <c r="S2604">
        <v>0</v>
      </c>
      <c r="T2604"/>
      <c r="U2604"/>
      <c r="V2604"/>
      <c r="W2604"/>
      <c r="X2604">
        <v>0</v>
      </c>
      <c r="Y2604"/>
      <c r="Z2604">
        <v>0</v>
      </c>
      <c r="AA2604"/>
      <c r="AB2604"/>
      <c r="AC2604"/>
      <c r="AD2604"/>
      <c r="AE2604">
        <v>0</v>
      </c>
      <c r="AF2604"/>
      <c r="AG2604" t="s">
        <v>3468</v>
      </c>
      <c r="AH2604"/>
    </row>
    <row r="2605" spans="1:34" x14ac:dyDescent="0.25">
      <c r="A2605" t="s">
        <v>3269</v>
      </c>
      <c r="B2605" t="s">
        <v>3270</v>
      </c>
      <c r="C2605"/>
      <c r="D2605" t="s">
        <v>3271</v>
      </c>
      <c r="E2605" t="s">
        <v>3315</v>
      </c>
      <c r="F2605" t="s">
        <v>3328</v>
      </c>
      <c r="G2605" t="s">
        <v>259</v>
      </c>
      <c r="H2605" t="s">
        <v>3329</v>
      </c>
      <c r="I2605" t="s">
        <v>35</v>
      </c>
      <c r="J2605"/>
      <c r="K2605">
        <v>1</v>
      </c>
      <c r="L2605">
        <v>1</v>
      </c>
      <c r="M2605" t="s">
        <v>33</v>
      </c>
      <c r="N2605">
        <v>1</v>
      </c>
      <c r="O2605"/>
      <c r="P2605">
        <v>0</v>
      </c>
      <c r="Q2605" t="s">
        <v>38</v>
      </c>
      <c r="R2605">
        <v>1</v>
      </c>
      <c r="S2605">
        <v>0</v>
      </c>
      <c r="T2605"/>
      <c r="U2605"/>
      <c r="V2605"/>
      <c r="W2605"/>
      <c r="X2605">
        <v>0</v>
      </c>
      <c r="Y2605"/>
      <c r="Z2605">
        <v>0</v>
      </c>
      <c r="AA2605"/>
      <c r="AB2605"/>
      <c r="AC2605"/>
      <c r="AD2605"/>
      <c r="AE2605">
        <v>0</v>
      </c>
      <c r="AF2605"/>
      <c r="AG2605" t="s">
        <v>3468</v>
      </c>
      <c r="AH2605"/>
    </row>
    <row r="2606" spans="1:34" x14ac:dyDescent="0.25">
      <c r="A2606" t="s">
        <v>3269</v>
      </c>
      <c r="B2606" t="s">
        <v>3270</v>
      </c>
      <c r="C2606"/>
      <c r="D2606" t="s">
        <v>3271</v>
      </c>
      <c r="E2606" t="s">
        <v>3315</v>
      </c>
      <c r="F2606" t="s">
        <v>3330</v>
      </c>
      <c r="G2606" t="s">
        <v>259</v>
      </c>
      <c r="H2606" t="s">
        <v>3331</v>
      </c>
      <c r="I2606" t="s">
        <v>35</v>
      </c>
      <c r="J2606"/>
      <c r="K2606">
        <v>1</v>
      </c>
      <c r="L2606">
        <v>1</v>
      </c>
      <c r="M2606" t="s">
        <v>33</v>
      </c>
      <c r="N2606">
        <v>1</v>
      </c>
      <c r="O2606"/>
      <c r="P2606">
        <v>0</v>
      </c>
      <c r="Q2606" t="s">
        <v>38</v>
      </c>
      <c r="R2606">
        <v>1</v>
      </c>
      <c r="S2606">
        <v>0</v>
      </c>
      <c r="T2606"/>
      <c r="U2606"/>
      <c r="V2606"/>
      <c r="W2606"/>
      <c r="X2606">
        <v>0</v>
      </c>
      <c r="Y2606"/>
      <c r="Z2606">
        <v>0</v>
      </c>
      <c r="AA2606"/>
      <c r="AB2606"/>
      <c r="AC2606"/>
      <c r="AD2606"/>
      <c r="AE2606">
        <v>0</v>
      </c>
      <c r="AF2606"/>
      <c r="AG2606" t="s">
        <v>3468</v>
      </c>
      <c r="AH2606"/>
    </row>
    <row r="2607" spans="1:34" x14ac:dyDescent="0.25">
      <c r="A2607" t="s">
        <v>3269</v>
      </c>
      <c r="B2607" t="s">
        <v>3270</v>
      </c>
      <c r="C2607"/>
      <c r="D2607" t="s">
        <v>3271</v>
      </c>
      <c r="E2607" t="s">
        <v>3315</v>
      </c>
      <c r="F2607" t="s">
        <v>3332</v>
      </c>
      <c r="G2607" t="s">
        <v>259</v>
      </c>
      <c r="H2607" t="s">
        <v>3333</v>
      </c>
      <c r="I2607" t="s">
        <v>35</v>
      </c>
      <c r="J2607"/>
      <c r="K2607">
        <v>1</v>
      </c>
      <c r="L2607">
        <v>1</v>
      </c>
      <c r="M2607" t="s">
        <v>33</v>
      </c>
      <c r="N2607">
        <v>1</v>
      </c>
      <c r="O2607"/>
      <c r="P2607">
        <v>0</v>
      </c>
      <c r="Q2607" t="s">
        <v>38</v>
      </c>
      <c r="R2607">
        <v>1</v>
      </c>
      <c r="S2607">
        <v>0</v>
      </c>
      <c r="T2607"/>
      <c r="U2607"/>
      <c r="V2607"/>
      <c r="W2607"/>
      <c r="X2607">
        <v>0</v>
      </c>
      <c r="Y2607"/>
      <c r="Z2607">
        <v>0</v>
      </c>
      <c r="AA2607"/>
      <c r="AB2607"/>
      <c r="AC2607"/>
      <c r="AD2607"/>
      <c r="AE2607">
        <v>0</v>
      </c>
      <c r="AF2607"/>
      <c r="AG2607" t="s">
        <v>3468</v>
      </c>
      <c r="AH2607"/>
    </row>
    <row r="2608" spans="1:34" x14ac:dyDescent="0.25">
      <c r="A2608" t="s">
        <v>3269</v>
      </c>
      <c r="B2608" t="s">
        <v>3270</v>
      </c>
      <c r="C2608"/>
      <c r="D2608" t="s">
        <v>3271</v>
      </c>
      <c r="E2608" t="s">
        <v>3315</v>
      </c>
      <c r="F2608" t="s">
        <v>3334</v>
      </c>
      <c r="G2608" t="s">
        <v>259</v>
      </c>
      <c r="H2608" t="s">
        <v>3335</v>
      </c>
      <c r="I2608" t="s">
        <v>35</v>
      </c>
      <c r="J2608"/>
      <c r="K2608">
        <v>1</v>
      </c>
      <c r="L2608">
        <v>1</v>
      </c>
      <c r="M2608" t="s">
        <v>33</v>
      </c>
      <c r="N2608">
        <v>1</v>
      </c>
      <c r="O2608"/>
      <c r="P2608">
        <v>0</v>
      </c>
      <c r="Q2608" t="s">
        <v>38</v>
      </c>
      <c r="R2608">
        <v>1</v>
      </c>
      <c r="S2608">
        <v>0</v>
      </c>
      <c r="T2608"/>
      <c r="U2608"/>
      <c r="V2608"/>
      <c r="W2608"/>
      <c r="X2608">
        <v>0</v>
      </c>
      <c r="Y2608"/>
      <c r="Z2608">
        <v>0</v>
      </c>
      <c r="AA2608"/>
      <c r="AB2608"/>
      <c r="AC2608"/>
      <c r="AD2608"/>
      <c r="AE2608">
        <v>0</v>
      </c>
      <c r="AF2608"/>
      <c r="AG2608" t="s">
        <v>3468</v>
      </c>
      <c r="AH2608"/>
    </row>
    <row r="2609" spans="1:34" x14ac:dyDescent="0.25">
      <c r="A2609" t="s">
        <v>3269</v>
      </c>
      <c r="B2609" t="s">
        <v>3270</v>
      </c>
      <c r="C2609"/>
      <c r="D2609" t="s">
        <v>3271</v>
      </c>
      <c r="E2609" t="s">
        <v>3336</v>
      </c>
      <c r="F2609" t="s">
        <v>3337</v>
      </c>
      <c r="G2609" t="s">
        <v>259</v>
      </c>
      <c r="H2609" t="s">
        <v>3338</v>
      </c>
      <c r="I2609" t="s">
        <v>35</v>
      </c>
      <c r="J2609"/>
      <c r="K2609">
        <v>1</v>
      </c>
      <c r="L2609">
        <v>1</v>
      </c>
      <c r="M2609" t="s">
        <v>33</v>
      </c>
      <c r="N2609">
        <v>1</v>
      </c>
      <c r="O2609"/>
      <c r="P2609">
        <v>0</v>
      </c>
      <c r="Q2609" t="s">
        <v>38</v>
      </c>
      <c r="R2609">
        <v>1</v>
      </c>
      <c r="S2609">
        <v>0</v>
      </c>
      <c r="T2609"/>
      <c r="U2609"/>
      <c r="V2609"/>
      <c r="W2609"/>
      <c r="X2609">
        <v>0</v>
      </c>
      <c r="Y2609"/>
      <c r="Z2609">
        <v>0</v>
      </c>
      <c r="AA2609"/>
      <c r="AB2609"/>
      <c r="AC2609"/>
      <c r="AD2609"/>
      <c r="AE2609">
        <v>0</v>
      </c>
      <c r="AF2609"/>
      <c r="AG2609" t="s">
        <v>3468</v>
      </c>
      <c r="AH2609"/>
    </row>
    <row r="2610" spans="1:34" x14ac:dyDescent="0.25">
      <c r="A2610" t="s">
        <v>3269</v>
      </c>
      <c r="B2610" t="s">
        <v>3270</v>
      </c>
      <c r="C2610"/>
      <c r="D2610" t="s">
        <v>3271</v>
      </c>
      <c r="E2610" t="s">
        <v>3336</v>
      </c>
      <c r="F2610" t="s">
        <v>3339</v>
      </c>
      <c r="G2610" t="s">
        <v>259</v>
      </c>
      <c r="H2610" t="s">
        <v>3340</v>
      </c>
      <c r="I2610" t="s">
        <v>35</v>
      </c>
      <c r="J2610"/>
      <c r="K2610">
        <v>1</v>
      </c>
      <c r="L2610">
        <v>1</v>
      </c>
      <c r="M2610" t="s">
        <v>33</v>
      </c>
      <c r="N2610">
        <v>1</v>
      </c>
      <c r="O2610"/>
      <c r="P2610">
        <v>0</v>
      </c>
      <c r="Q2610" t="s">
        <v>38</v>
      </c>
      <c r="R2610">
        <v>1</v>
      </c>
      <c r="S2610">
        <v>0</v>
      </c>
      <c r="T2610"/>
      <c r="U2610"/>
      <c r="V2610"/>
      <c r="W2610"/>
      <c r="X2610">
        <v>0</v>
      </c>
      <c r="Y2610"/>
      <c r="Z2610">
        <v>0</v>
      </c>
      <c r="AA2610"/>
      <c r="AB2610"/>
      <c r="AC2610"/>
      <c r="AD2610"/>
      <c r="AE2610">
        <v>0</v>
      </c>
      <c r="AF2610"/>
      <c r="AG2610" t="s">
        <v>3468</v>
      </c>
      <c r="AH2610"/>
    </row>
    <row r="2611" spans="1:34" x14ac:dyDescent="0.25">
      <c r="A2611" t="s">
        <v>3269</v>
      </c>
      <c r="B2611" t="s">
        <v>3270</v>
      </c>
      <c r="C2611"/>
      <c r="D2611" t="s">
        <v>3271</v>
      </c>
      <c r="E2611" t="s">
        <v>3336</v>
      </c>
      <c r="F2611" t="s">
        <v>3341</v>
      </c>
      <c r="G2611" t="s">
        <v>259</v>
      </c>
      <c r="H2611" t="s">
        <v>3342</v>
      </c>
      <c r="I2611" t="s">
        <v>35</v>
      </c>
      <c r="J2611"/>
      <c r="K2611">
        <v>1</v>
      </c>
      <c r="L2611">
        <v>1</v>
      </c>
      <c r="M2611" t="s">
        <v>33</v>
      </c>
      <c r="N2611">
        <v>1</v>
      </c>
      <c r="O2611"/>
      <c r="P2611">
        <v>0</v>
      </c>
      <c r="Q2611" t="s">
        <v>38</v>
      </c>
      <c r="R2611">
        <v>1</v>
      </c>
      <c r="S2611">
        <v>0</v>
      </c>
      <c r="T2611"/>
      <c r="U2611"/>
      <c r="V2611"/>
      <c r="W2611"/>
      <c r="X2611">
        <v>0</v>
      </c>
      <c r="Y2611"/>
      <c r="Z2611">
        <v>0</v>
      </c>
      <c r="AA2611"/>
      <c r="AB2611"/>
      <c r="AC2611"/>
      <c r="AD2611"/>
      <c r="AE2611">
        <v>0</v>
      </c>
      <c r="AF2611"/>
      <c r="AG2611" t="s">
        <v>3468</v>
      </c>
      <c r="AH2611"/>
    </row>
    <row r="2612" spans="1:34" x14ac:dyDescent="0.25">
      <c r="A2612" t="s">
        <v>3269</v>
      </c>
      <c r="B2612" t="s">
        <v>3270</v>
      </c>
      <c r="C2612"/>
      <c r="D2612" t="s">
        <v>3271</v>
      </c>
      <c r="E2612" t="s">
        <v>3336</v>
      </c>
      <c r="F2612" t="s">
        <v>3343</v>
      </c>
      <c r="G2612" t="s">
        <v>259</v>
      </c>
      <c r="H2612" t="s">
        <v>3344</v>
      </c>
      <c r="I2612" t="s">
        <v>35</v>
      </c>
      <c r="J2612"/>
      <c r="K2612">
        <v>1</v>
      </c>
      <c r="L2612">
        <v>1</v>
      </c>
      <c r="M2612" t="s">
        <v>33</v>
      </c>
      <c r="N2612">
        <v>1</v>
      </c>
      <c r="O2612"/>
      <c r="P2612">
        <v>0</v>
      </c>
      <c r="Q2612" t="s">
        <v>38</v>
      </c>
      <c r="R2612">
        <v>1</v>
      </c>
      <c r="S2612">
        <v>0</v>
      </c>
      <c r="T2612"/>
      <c r="U2612"/>
      <c r="V2612"/>
      <c r="W2612"/>
      <c r="X2612">
        <v>0</v>
      </c>
      <c r="Y2612"/>
      <c r="Z2612">
        <v>0</v>
      </c>
      <c r="AA2612"/>
      <c r="AB2612"/>
      <c r="AC2612"/>
      <c r="AD2612"/>
      <c r="AE2612">
        <v>0</v>
      </c>
      <c r="AF2612"/>
      <c r="AG2612" t="s">
        <v>3468</v>
      </c>
      <c r="AH2612"/>
    </row>
    <row r="2613" spans="1:34" x14ac:dyDescent="0.25">
      <c r="A2613" t="s">
        <v>3269</v>
      </c>
      <c r="B2613" t="s">
        <v>3270</v>
      </c>
      <c r="C2613"/>
      <c r="D2613" t="s">
        <v>3271</v>
      </c>
      <c r="E2613" t="s">
        <v>3336</v>
      </c>
      <c r="F2613" t="s">
        <v>3345</v>
      </c>
      <c r="G2613" t="s">
        <v>259</v>
      </c>
      <c r="H2613" t="s">
        <v>3346</v>
      </c>
      <c r="I2613" t="s">
        <v>35</v>
      </c>
      <c r="J2613"/>
      <c r="K2613">
        <v>1</v>
      </c>
      <c r="L2613">
        <v>1</v>
      </c>
      <c r="M2613" t="s">
        <v>33</v>
      </c>
      <c r="N2613">
        <v>1</v>
      </c>
      <c r="O2613"/>
      <c r="P2613">
        <v>0</v>
      </c>
      <c r="Q2613" t="s">
        <v>38</v>
      </c>
      <c r="R2613">
        <v>1</v>
      </c>
      <c r="S2613">
        <v>0</v>
      </c>
      <c r="T2613"/>
      <c r="U2613"/>
      <c r="V2613"/>
      <c r="W2613"/>
      <c r="X2613">
        <v>0</v>
      </c>
      <c r="Y2613"/>
      <c r="Z2613">
        <v>0</v>
      </c>
      <c r="AA2613"/>
      <c r="AB2613"/>
      <c r="AC2613"/>
      <c r="AD2613"/>
      <c r="AE2613">
        <v>0</v>
      </c>
      <c r="AF2613"/>
      <c r="AG2613" t="s">
        <v>3468</v>
      </c>
      <c r="AH2613"/>
    </row>
    <row r="2614" spans="1:34" x14ac:dyDescent="0.25">
      <c r="A2614" t="s">
        <v>3269</v>
      </c>
      <c r="B2614" t="s">
        <v>3270</v>
      </c>
      <c r="C2614"/>
      <c r="D2614" t="s">
        <v>3271</v>
      </c>
      <c r="E2614" t="s">
        <v>3336</v>
      </c>
      <c r="F2614" t="s">
        <v>3347</v>
      </c>
      <c r="G2614" t="s">
        <v>259</v>
      </c>
      <c r="H2614" t="s">
        <v>3348</v>
      </c>
      <c r="I2614" t="s">
        <v>35</v>
      </c>
      <c r="J2614"/>
      <c r="K2614">
        <v>1</v>
      </c>
      <c r="L2614">
        <v>1</v>
      </c>
      <c r="M2614" t="s">
        <v>33</v>
      </c>
      <c r="N2614">
        <v>1</v>
      </c>
      <c r="O2614"/>
      <c r="P2614">
        <v>0</v>
      </c>
      <c r="Q2614" t="s">
        <v>38</v>
      </c>
      <c r="R2614">
        <v>1</v>
      </c>
      <c r="S2614">
        <v>0</v>
      </c>
      <c r="T2614"/>
      <c r="U2614"/>
      <c r="V2614"/>
      <c r="W2614"/>
      <c r="X2614">
        <v>0</v>
      </c>
      <c r="Y2614"/>
      <c r="Z2614">
        <v>0</v>
      </c>
      <c r="AA2614"/>
      <c r="AB2614"/>
      <c r="AC2614"/>
      <c r="AD2614"/>
      <c r="AE2614">
        <v>0</v>
      </c>
      <c r="AF2614"/>
      <c r="AG2614" t="s">
        <v>3468</v>
      </c>
      <c r="AH2614"/>
    </row>
    <row r="2615" spans="1:34" x14ac:dyDescent="0.25">
      <c r="A2615" t="s">
        <v>3269</v>
      </c>
      <c r="B2615" t="s">
        <v>3270</v>
      </c>
      <c r="C2615"/>
      <c r="D2615" t="s">
        <v>3271</v>
      </c>
      <c r="E2615" t="s">
        <v>3336</v>
      </c>
      <c r="F2615" t="s">
        <v>3349</v>
      </c>
      <c r="G2615" t="s">
        <v>259</v>
      </c>
      <c r="H2615" t="s">
        <v>3350</v>
      </c>
      <c r="I2615" t="s">
        <v>35</v>
      </c>
      <c r="J2615"/>
      <c r="K2615">
        <v>1</v>
      </c>
      <c r="L2615">
        <v>1</v>
      </c>
      <c r="M2615" t="s">
        <v>33</v>
      </c>
      <c r="N2615">
        <v>1</v>
      </c>
      <c r="O2615"/>
      <c r="P2615">
        <v>0</v>
      </c>
      <c r="Q2615" t="s">
        <v>38</v>
      </c>
      <c r="R2615">
        <v>1</v>
      </c>
      <c r="S2615">
        <v>0</v>
      </c>
      <c r="T2615"/>
      <c r="U2615"/>
      <c r="V2615"/>
      <c r="W2615"/>
      <c r="X2615">
        <v>0</v>
      </c>
      <c r="Y2615"/>
      <c r="Z2615">
        <v>0</v>
      </c>
      <c r="AA2615"/>
      <c r="AB2615"/>
      <c r="AC2615"/>
      <c r="AD2615"/>
      <c r="AE2615">
        <v>0</v>
      </c>
      <c r="AF2615"/>
      <c r="AG2615" t="s">
        <v>3468</v>
      </c>
      <c r="AH2615"/>
    </row>
    <row r="2616" spans="1:34" x14ac:dyDescent="0.25">
      <c r="A2616" t="s">
        <v>3269</v>
      </c>
      <c r="B2616" t="s">
        <v>3270</v>
      </c>
      <c r="C2616"/>
      <c r="D2616" t="s">
        <v>3271</v>
      </c>
      <c r="E2616" t="s">
        <v>3351</v>
      </c>
      <c r="F2616" t="s">
        <v>3337</v>
      </c>
      <c r="G2616" t="s">
        <v>259</v>
      </c>
      <c r="H2616" t="s">
        <v>3352</v>
      </c>
      <c r="I2616" t="s">
        <v>35</v>
      </c>
      <c r="J2616"/>
      <c r="K2616">
        <v>1</v>
      </c>
      <c r="L2616">
        <v>1</v>
      </c>
      <c r="M2616" t="s">
        <v>33</v>
      </c>
      <c r="N2616">
        <v>1</v>
      </c>
      <c r="O2616"/>
      <c r="P2616">
        <v>0</v>
      </c>
      <c r="Q2616" t="s">
        <v>38</v>
      </c>
      <c r="R2616">
        <v>1</v>
      </c>
      <c r="S2616">
        <v>0</v>
      </c>
      <c r="T2616"/>
      <c r="U2616"/>
      <c r="V2616"/>
      <c r="W2616"/>
      <c r="X2616">
        <v>0</v>
      </c>
      <c r="Y2616"/>
      <c r="Z2616">
        <v>0</v>
      </c>
      <c r="AA2616"/>
      <c r="AB2616"/>
      <c r="AC2616"/>
      <c r="AD2616"/>
      <c r="AE2616">
        <v>0</v>
      </c>
      <c r="AF2616"/>
      <c r="AG2616" t="s">
        <v>3468</v>
      </c>
      <c r="AH2616"/>
    </row>
    <row r="2617" spans="1:34" x14ac:dyDescent="0.25">
      <c r="A2617" t="s">
        <v>3269</v>
      </c>
      <c r="B2617" t="s">
        <v>3270</v>
      </c>
      <c r="C2617"/>
      <c r="D2617" t="s">
        <v>3271</v>
      </c>
      <c r="E2617" t="s">
        <v>3351</v>
      </c>
      <c r="F2617" t="s">
        <v>3339</v>
      </c>
      <c r="G2617" t="s">
        <v>259</v>
      </c>
      <c r="H2617" t="s">
        <v>3353</v>
      </c>
      <c r="I2617" t="s">
        <v>35</v>
      </c>
      <c r="J2617"/>
      <c r="K2617">
        <v>1</v>
      </c>
      <c r="L2617">
        <v>1</v>
      </c>
      <c r="M2617" t="s">
        <v>33</v>
      </c>
      <c r="N2617">
        <v>1</v>
      </c>
      <c r="O2617"/>
      <c r="P2617">
        <v>0</v>
      </c>
      <c r="Q2617" t="s">
        <v>38</v>
      </c>
      <c r="R2617">
        <v>1</v>
      </c>
      <c r="S2617">
        <v>0</v>
      </c>
      <c r="T2617"/>
      <c r="U2617"/>
      <c r="V2617"/>
      <c r="W2617"/>
      <c r="X2617">
        <v>0</v>
      </c>
      <c r="Y2617"/>
      <c r="Z2617">
        <v>0</v>
      </c>
      <c r="AA2617"/>
      <c r="AB2617"/>
      <c r="AC2617"/>
      <c r="AD2617"/>
      <c r="AE2617">
        <v>0</v>
      </c>
      <c r="AF2617"/>
      <c r="AG2617" t="s">
        <v>3468</v>
      </c>
      <c r="AH2617"/>
    </row>
    <row r="2618" spans="1:34" x14ac:dyDescent="0.25">
      <c r="A2618" t="s">
        <v>3269</v>
      </c>
      <c r="B2618" t="s">
        <v>3270</v>
      </c>
      <c r="C2618"/>
      <c r="D2618" t="s">
        <v>3271</v>
      </c>
      <c r="E2618" t="s">
        <v>3351</v>
      </c>
      <c r="F2618" t="s">
        <v>3341</v>
      </c>
      <c r="G2618" t="s">
        <v>259</v>
      </c>
      <c r="H2618" t="s">
        <v>3354</v>
      </c>
      <c r="I2618" t="s">
        <v>35</v>
      </c>
      <c r="J2618"/>
      <c r="K2618">
        <v>1</v>
      </c>
      <c r="L2618">
        <v>1</v>
      </c>
      <c r="M2618" t="s">
        <v>33</v>
      </c>
      <c r="N2618">
        <v>1</v>
      </c>
      <c r="O2618"/>
      <c r="P2618">
        <v>0</v>
      </c>
      <c r="Q2618" t="s">
        <v>38</v>
      </c>
      <c r="R2618">
        <v>1</v>
      </c>
      <c r="S2618">
        <v>0</v>
      </c>
      <c r="T2618"/>
      <c r="U2618"/>
      <c r="V2618"/>
      <c r="W2618"/>
      <c r="X2618">
        <v>0</v>
      </c>
      <c r="Y2618"/>
      <c r="Z2618">
        <v>0</v>
      </c>
      <c r="AA2618"/>
      <c r="AB2618"/>
      <c r="AC2618"/>
      <c r="AD2618"/>
      <c r="AE2618">
        <v>0</v>
      </c>
      <c r="AF2618"/>
      <c r="AG2618" t="s">
        <v>3468</v>
      </c>
      <c r="AH2618"/>
    </row>
    <row r="2619" spans="1:34" x14ac:dyDescent="0.25">
      <c r="A2619" t="s">
        <v>3269</v>
      </c>
      <c r="B2619" t="s">
        <v>3270</v>
      </c>
      <c r="C2619"/>
      <c r="D2619" t="s">
        <v>3271</v>
      </c>
      <c r="E2619" t="s">
        <v>3351</v>
      </c>
      <c r="F2619" t="s">
        <v>3343</v>
      </c>
      <c r="G2619" t="s">
        <v>259</v>
      </c>
      <c r="H2619" t="s">
        <v>3355</v>
      </c>
      <c r="I2619" t="s">
        <v>35</v>
      </c>
      <c r="J2619"/>
      <c r="K2619">
        <v>1</v>
      </c>
      <c r="L2619">
        <v>1</v>
      </c>
      <c r="M2619" t="s">
        <v>33</v>
      </c>
      <c r="N2619">
        <v>1</v>
      </c>
      <c r="O2619"/>
      <c r="P2619">
        <v>0</v>
      </c>
      <c r="Q2619" t="s">
        <v>38</v>
      </c>
      <c r="R2619">
        <v>1</v>
      </c>
      <c r="S2619">
        <v>0</v>
      </c>
      <c r="T2619"/>
      <c r="U2619"/>
      <c r="V2619"/>
      <c r="W2619"/>
      <c r="X2619">
        <v>0</v>
      </c>
      <c r="Y2619"/>
      <c r="Z2619">
        <v>0</v>
      </c>
      <c r="AA2619"/>
      <c r="AB2619"/>
      <c r="AC2619"/>
      <c r="AD2619"/>
      <c r="AE2619">
        <v>0</v>
      </c>
      <c r="AF2619"/>
      <c r="AG2619" t="s">
        <v>3468</v>
      </c>
      <c r="AH2619"/>
    </row>
    <row r="2620" spans="1:34" x14ac:dyDescent="0.25">
      <c r="A2620" t="s">
        <v>3269</v>
      </c>
      <c r="B2620" t="s">
        <v>3270</v>
      </c>
      <c r="C2620"/>
      <c r="D2620" t="s">
        <v>3271</v>
      </c>
      <c r="E2620" t="s">
        <v>3351</v>
      </c>
      <c r="F2620" t="s">
        <v>3345</v>
      </c>
      <c r="G2620" t="s">
        <v>259</v>
      </c>
      <c r="H2620" t="s">
        <v>3356</v>
      </c>
      <c r="I2620" t="s">
        <v>35</v>
      </c>
      <c r="J2620"/>
      <c r="K2620">
        <v>1</v>
      </c>
      <c r="L2620">
        <v>1</v>
      </c>
      <c r="M2620" t="s">
        <v>33</v>
      </c>
      <c r="N2620">
        <v>1</v>
      </c>
      <c r="O2620"/>
      <c r="P2620">
        <v>0</v>
      </c>
      <c r="Q2620" t="s">
        <v>38</v>
      </c>
      <c r="R2620">
        <v>1</v>
      </c>
      <c r="S2620">
        <v>0</v>
      </c>
      <c r="T2620"/>
      <c r="U2620"/>
      <c r="V2620"/>
      <c r="W2620"/>
      <c r="X2620">
        <v>0</v>
      </c>
      <c r="Y2620"/>
      <c r="Z2620">
        <v>0</v>
      </c>
      <c r="AA2620"/>
      <c r="AB2620"/>
      <c r="AC2620"/>
      <c r="AD2620"/>
      <c r="AE2620">
        <v>0</v>
      </c>
      <c r="AF2620"/>
      <c r="AG2620" t="s">
        <v>3468</v>
      </c>
      <c r="AH2620"/>
    </row>
    <row r="2621" spans="1:34" x14ac:dyDescent="0.25">
      <c r="A2621" t="s">
        <v>3269</v>
      </c>
      <c r="B2621" t="s">
        <v>3270</v>
      </c>
      <c r="C2621"/>
      <c r="D2621" t="s">
        <v>3271</v>
      </c>
      <c r="E2621" t="s">
        <v>3351</v>
      </c>
      <c r="F2621" t="s">
        <v>3347</v>
      </c>
      <c r="G2621" t="s">
        <v>259</v>
      </c>
      <c r="H2621" t="s">
        <v>3357</v>
      </c>
      <c r="I2621" t="s">
        <v>35</v>
      </c>
      <c r="J2621"/>
      <c r="K2621">
        <v>1</v>
      </c>
      <c r="L2621">
        <v>1</v>
      </c>
      <c r="M2621" t="s">
        <v>33</v>
      </c>
      <c r="N2621">
        <v>1</v>
      </c>
      <c r="O2621"/>
      <c r="P2621">
        <v>0</v>
      </c>
      <c r="Q2621" t="s">
        <v>38</v>
      </c>
      <c r="R2621">
        <v>1</v>
      </c>
      <c r="S2621">
        <v>0</v>
      </c>
      <c r="T2621"/>
      <c r="U2621"/>
      <c r="V2621"/>
      <c r="W2621"/>
      <c r="X2621">
        <v>0</v>
      </c>
      <c r="Y2621"/>
      <c r="Z2621">
        <v>0</v>
      </c>
      <c r="AA2621"/>
      <c r="AB2621"/>
      <c r="AC2621"/>
      <c r="AD2621"/>
      <c r="AE2621">
        <v>0</v>
      </c>
      <c r="AF2621"/>
      <c r="AG2621" t="s">
        <v>3468</v>
      </c>
      <c r="AH2621"/>
    </row>
    <row r="2622" spans="1:34" x14ac:dyDescent="0.25">
      <c r="A2622" t="s">
        <v>3269</v>
      </c>
      <c r="B2622" t="s">
        <v>3270</v>
      </c>
      <c r="C2622"/>
      <c r="D2622" t="s">
        <v>3271</v>
      </c>
      <c r="E2622" t="s">
        <v>3351</v>
      </c>
      <c r="F2622" t="s">
        <v>3349</v>
      </c>
      <c r="G2622" t="s">
        <v>259</v>
      </c>
      <c r="H2622" t="s">
        <v>3358</v>
      </c>
      <c r="I2622" t="s">
        <v>35</v>
      </c>
      <c r="J2622"/>
      <c r="K2622">
        <v>1</v>
      </c>
      <c r="L2622">
        <v>1</v>
      </c>
      <c r="M2622" t="s">
        <v>33</v>
      </c>
      <c r="N2622">
        <v>1</v>
      </c>
      <c r="O2622"/>
      <c r="P2622">
        <v>0</v>
      </c>
      <c r="Q2622" t="s">
        <v>38</v>
      </c>
      <c r="R2622">
        <v>1</v>
      </c>
      <c r="S2622">
        <v>0</v>
      </c>
      <c r="T2622"/>
      <c r="U2622"/>
      <c r="V2622"/>
      <c r="W2622"/>
      <c r="X2622">
        <v>0</v>
      </c>
      <c r="Y2622"/>
      <c r="Z2622">
        <v>0</v>
      </c>
      <c r="AA2622"/>
      <c r="AB2622"/>
      <c r="AC2622"/>
      <c r="AD2622"/>
      <c r="AE2622">
        <v>0</v>
      </c>
      <c r="AF2622"/>
      <c r="AG2622" t="s">
        <v>3468</v>
      </c>
      <c r="AH2622"/>
    </row>
    <row r="2623" spans="1:34" x14ac:dyDescent="0.25">
      <c r="A2623" t="s">
        <v>345</v>
      </c>
      <c r="B2623" t="s">
        <v>346</v>
      </c>
      <c r="C2623"/>
      <c r="D2623" t="s">
        <v>3359</v>
      </c>
      <c r="E2623" t="s">
        <v>3360</v>
      </c>
      <c r="F2623" t="s">
        <v>3361</v>
      </c>
      <c r="G2623" t="s">
        <v>280</v>
      </c>
      <c r="H2623" t="s">
        <v>3362</v>
      </c>
      <c r="I2623" t="s">
        <v>35</v>
      </c>
      <c r="J2623"/>
      <c r="K2623">
        <v>1</v>
      </c>
      <c r="L2623">
        <v>1</v>
      </c>
      <c r="M2623" t="s">
        <v>33</v>
      </c>
      <c r="N2623">
        <v>1</v>
      </c>
      <c r="O2623"/>
      <c r="P2623">
        <v>0</v>
      </c>
      <c r="Q2623" t="s">
        <v>38</v>
      </c>
      <c r="R2623">
        <v>0</v>
      </c>
      <c r="S2623">
        <v>0</v>
      </c>
      <c r="T2623"/>
      <c r="U2623"/>
      <c r="V2623"/>
      <c r="W2623"/>
      <c r="X2623">
        <v>0</v>
      </c>
      <c r="Y2623"/>
      <c r="Z2623">
        <v>0</v>
      </c>
      <c r="AA2623"/>
      <c r="AB2623"/>
      <c r="AC2623"/>
      <c r="AD2623"/>
      <c r="AE2623">
        <v>0</v>
      </c>
      <c r="AF2623"/>
      <c r="AG2623" t="s">
        <v>3468</v>
      </c>
      <c r="AH2623"/>
    </row>
    <row r="2624" spans="1:34" x14ac:dyDescent="0.25">
      <c r="A2624" t="s">
        <v>345</v>
      </c>
      <c r="B2624" t="s">
        <v>346</v>
      </c>
      <c r="C2624"/>
      <c r="D2624" t="s">
        <v>3359</v>
      </c>
      <c r="E2624" t="s">
        <v>3360</v>
      </c>
      <c r="F2624" t="s">
        <v>3363</v>
      </c>
      <c r="G2624" t="s">
        <v>280</v>
      </c>
      <c r="H2624" t="s">
        <v>3364</v>
      </c>
      <c r="I2624" t="s">
        <v>35</v>
      </c>
      <c r="J2624"/>
      <c r="K2624">
        <v>1</v>
      </c>
      <c r="L2624">
        <v>1</v>
      </c>
      <c r="M2624" t="s">
        <v>33</v>
      </c>
      <c r="N2624">
        <v>1</v>
      </c>
      <c r="O2624"/>
      <c r="P2624">
        <v>0</v>
      </c>
      <c r="Q2624" t="s">
        <v>38</v>
      </c>
      <c r="R2624">
        <v>0</v>
      </c>
      <c r="S2624">
        <v>0</v>
      </c>
      <c r="T2624"/>
      <c r="U2624"/>
      <c r="V2624"/>
      <c r="W2624"/>
      <c r="X2624">
        <v>0</v>
      </c>
      <c r="Y2624"/>
      <c r="Z2624">
        <v>0</v>
      </c>
      <c r="AA2624"/>
      <c r="AB2624"/>
      <c r="AC2624"/>
      <c r="AD2624"/>
      <c r="AE2624">
        <v>0</v>
      </c>
      <c r="AF2624"/>
      <c r="AG2624" t="s">
        <v>3468</v>
      </c>
      <c r="AH2624"/>
    </row>
    <row r="2625" spans="1:34" x14ac:dyDescent="0.25">
      <c r="A2625" t="s">
        <v>345</v>
      </c>
      <c r="B2625" t="s">
        <v>346</v>
      </c>
      <c r="C2625"/>
      <c r="D2625" t="s">
        <v>3359</v>
      </c>
      <c r="E2625" t="s">
        <v>3360</v>
      </c>
      <c r="F2625" t="s">
        <v>3365</v>
      </c>
      <c r="G2625" t="s">
        <v>280</v>
      </c>
      <c r="H2625" t="s">
        <v>3366</v>
      </c>
      <c r="I2625" t="s">
        <v>35</v>
      </c>
      <c r="J2625"/>
      <c r="K2625">
        <v>1</v>
      </c>
      <c r="L2625">
        <v>1</v>
      </c>
      <c r="M2625" t="s">
        <v>33</v>
      </c>
      <c r="N2625">
        <v>1</v>
      </c>
      <c r="O2625"/>
      <c r="P2625">
        <v>0</v>
      </c>
      <c r="Q2625" t="s">
        <v>38</v>
      </c>
      <c r="R2625">
        <v>0</v>
      </c>
      <c r="S2625">
        <v>0</v>
      </c>
      <c r="T2625"/>
      <c r="U2625"/>
      <c r="V2625"/>
      <c r="W2625"/>
      <c r="X2625">
        <v>0</v>
      </c>
      <c r="Y2625"/>
      <c r="Z2625">
        <v>0</v>
      </c>
      <c r="AA2625"/>
      <c r="AB2625"/>
      <c r="AC2625"/>
      <c r="AD2625"/>
      <c r="AE2625">
        <v>0</v>
      </c>
      <c r="AF2625"/>
      <c r="AG2625" t="s">
        <v>3468</v>
      </c>
      <c r="AH2625"/>
    </row>
    <row r="2626" spans="1:34" x14ac:dyDescent="0.25">
      <c r="A2626" t="s">
        <v>345</v>
      </c>
      <c r="B2626" t="s">
        <v>346</v>
      </c>
      <c r="C2626"/>
      <c r="D2626" t="s">
        <v>3359</v>
      </c>
      <c r="E2626" t="s">
        <v>3360</v>
      </c>
      <c r="F2626" t="s">
        <v>3367</v>
      </c>
      <c r="G2626" t="s">
        <v>280</v>
      </c>
      <c r="H2626" t="s">
        <v>3368</v>
      </c>
      <c r="I2626" t="s">
        <v>35</v>
      </c>
      <c r="J2626"/>
      <c r="K2626">
        <v>1</v>
      </c>
      <c r="L2626">
        <v>1</v>
      </c>
      <c r="M2626" t="s">
        <v>33</v>
      </c>
      <c r="N2626">
        <v>1</v>
      </c>
      <c r="O2626"/>
      <c r="P2626">
        <v>0</v>
      </c>
      <c r="Q2626" t="s">
        <v>38</v>
      </c>
      <c r="R2626">
        <v>0</v>
      </c>
      <c r="S2626">
        <v>0</v>
      </c>
      <c r="T2626"/>
      <c r="U2626"/>
      <c r="V2626"/>
      <c r="W2626"/>
      <c r="X2626">
        <v>0</v>
      </c>
      <c r="Y2626"/>
      <c r="Z2626">
        <v>0</v>
      </c>
      <c r="AA2626"/>
      <c r="AB2626"/>
      <c r="AC2626"/>
      <c r="AD2626"/>
      <c r="AE2626">
        <v>0</v>
      </c>
      <c r="AF2626"/>
      <c r="AG2626" t="s">
        <v>3468</v>
      </c>
      <c r="AH2626"/>
    </row>
    <row r="2627" spans="1:34" x14ac:dyDescent="0.25">
      <c r="A2627" t="s">
        <v>345</v>
      </c>
      <c r="B2627" t="s">
        <v>346</v>
      </c>
      <c r="C2627"/>
      <c r="D2627" t="s">
        <v>3359</v>
      </c>
      <c r="E2627" t="s">
        <v>3360</v>
      </c>
      <c r="F2627" t="s">
        <v>3369</v>
      </c>
      <c r="G2627" t="s">
        <v>280</v>
      </c>
      <c r="H2627" t="s">
        <v>3370</v>
      </c>
      <c r="I2627" t="s">
        <v>35</v>
      </c>
      <c r="J2627"/>
      <c r="K2627">
        <v>1</v>
      </c>
      <c r="L2627">
        <v>1</v>
      </c>
      <c r="M2627" t="s">
        <v>33</v>
      </c>
      <c r="N2627">
        <v>1</v>
      </c>
      <c r="O2627"/>
      <c r="P2627">
        <v>0</v>
      </c>
      <c r="Q2627" t="s">
        <v>38</v>
      </c>
      <c r="R2627">
        <v>0</v>
      </c>
      <c r="S2627">
        <v>0</v>
      </c>
      <c r="T2627"/>
      <c r="U2627"/>
      <c r="V2627"/>
      <c r="W2627"/>
      <c r="X2627">
        <v>0</v>
      </c>
      <c r="Y2627"/>
      <c r="Z2627">
        <v>0</v>
      </c>
      <c r="AA2627"/>
      <c r="AB2627"/>
      <c r="AC2627"/>
      <c r="AD2627"/>
      <c r="AE2627">
        <v>0</v>
      </c>
      <c r="AF2627"/>
      <c r="AG2627" t="s">
        <v>3468</v>
      </c>
      <c r="AH2627"/>
    </row>
    <row r="2628" spans="1:34" x14ac:dyDescent="0.25">
      <c r="A2628" s="350"/>
      <c r="B2628" s="351"/>
      <c r="C2628" s="351"/>
      <c r="D2628" s="352"/>
      <c r="E2628" s="351"/>
      <c r="F2628" s="351"/>
      <c r="G2628" s="352"/>
      <c r="H2628" s="387"/>
      <c r="I2628" s="500"/>
      <c r="J2628" s="351"/>
      <c r="K2628" s="351"/>
      <c r="L2628" s="353"/>
      <c r="M2628" s="354"/>
      <c r="N2628" s="422"/>
      <c r="O2628" s="423"/>
      <c r="P2628" s="421"/>
      <c r="Q2628" s="355"/>
      <c r="R2628" s="356"/>
      <c r="S2628" s="437"/>
      <c r="T2628" s="438"/>
      <c r="U2628" s="438"/>
      <c r="V2628" s="438"/>
      <c r="W2628" s="438"/>
      <c r="X2628" s="439"/>
      <c r="Y2628" s="357"/>
      <c r="Z2628" s="432"/>
      <c r="AA2628" s="433"/>
      <c r="AB2628" s="433"/>
      <c r="AC2628" s="433"/>
      <c r="AD2628" s="433"/>
      <c r="AE2628" s="434"/>
      <c r="AF2628" s="358"/>
      <c r="AG2628" s="358"/>
      <c r="AH2628" s="359"/>
    </row>
    <row r="2629" spans="1:34" x14ac:dyDescent="0.25">
      <c r="A2629" s="350"/>
      <c r="B2629" s="351"/>
      <c r="C2629" s="351"/>
      <c r="D2629" s="352"/>
      <c r="E2629" s="351"/>
      <c r="F2629" s="351"/>
      <c r="G2629" s="352"/>
      <c r="H2629" s="387"/>
      <c r="I2629" s="500"/>
      <c r="J2629" s="351"/>
      <c r="K2629" s="351"/>
      <c r="L2629" s="353"/>
      <c r="M2629" s="354"/>
      <c r="N2629" s="422"/>
      <c r="O2629" s="423"/>
      <c r="P2629" s="421"/>
      <c r="Q2629" s="355"/>
      <c r="R2629" s="356"/>
      <c r="S2629" s="437"/>
      <c r="T2629" s="438"/>
      <c r="U2629" s="438"/>
      <c r="V2629" s="438"/>
      <c r="W2629" s="438"/>
      <c r="X2629" s="439"/>
      <c r="Y2629" s="357"/>
      <c r="Z2629" s="432"/>
      <c r="AA2629" s="433"/>
      <c r="AB2629" s="433"/>
      <c r="AC2629" s="433"/>
      <c r="AD2629" s="433"/>
      <c r="AE2629" s="434"/>
      <c r="AF2629" s="358"/>
      <c r="AG2629" s="358"/>
      <c r="AH2629" s="359"/>
    </row>
    <row r="2630" spans="1:34" x14ac:dyDescent="0.25">
      <c r="A2630" s="350"/>
      <c r="B2630" s="351"/>
      <c r="C2630" s="351"/>
      <c r="D2630" s="352"/>
      <c r="E2630" s="351"/>
      <c r="F2630" s="351"/>
      <c r="G2630" s="352"/>
      <c r="H2630" s="387"/>
      <c r="I2630" s="500"/>
      <c r="J2630" s="351"/>
      <c r="K2630" s="351"/>
      <c r="L2630" s="353"/>
      <c r="M2630" s="354"/>
      <c r="N2630" s="422"/>
      <c r="O2630" s="423"/>
      <c r="P2630" s="421"/>
      <c r="Q2630" s="355"/>
      <c r="R2630" s="356"/>
      <c r="S2630" s="437"/>
      <c r="T2630" s="438"/>
      <c r="U2630" s="438"/>
      <c r="V2630" s="438"/>
      <c r="W2630" s="438"/>
      <c r="X2630" s="439"/>
      <c r="Y2630" s="357"/>
      <c r="Z2630" s="432"/>
      <c r="AA2630" s="433"/>
      <c r="AB2630" s="433"/>
      <c r="AC2630" s="433"/>
      <c r="AD2630" s="433"/>
      <c r="AE2630" s="434"/>
      <c r="AF2630" s="358"/>
      <c r="AG2630" s="358"/>
      <c r="AH2630" s="359"/>
    </row>
    <row r="2631" spans="1:34" x14ac:dyDescent="0.25">
      <c r="A2631" s="350"/>
      <c r="B2631" s="351"/>
      <c r="C2631" s="351"/>
      <c r="D2631" s="352"/>
      <c r="E2631" s="351"/>
      <c r="F2631" s="351"/>
      <c r="G2631" s="352"/>
      <c r="H2631" s="387"/>
      <c r="I2631" s="500"/>
      <c r="J2631" s="351"/>
      <c r="K2631" s="351"/>
      <c r="L2631" s="353"/>
      <c r="M2631" s="354"/>
      <c r="N2631" s="422"/>
      <c r="O2631" s="423"/>
      <c r="P2631" s="421"/>
      <c r="Q2631" s="355"/>
      <c r="R2631" s="356"/>
      <c r="S2631" s="437"/>
      <c r="T2631" s="438"/>
      <c r="U2631" s="438"/>
      <c r="V2631" s="438"/>
      <c r="W2631" s="438"/>
      <c r="X2631" s="439"/>
      <c r="Y2631" s="357"/>
      <c r="Z2631" s="432"/>
      <c r="AA2631" s="433"/>
      <c r="AB2631" s="433"/>
      <c r="AC2631" s="433"/>
      <c r="AD2631" s="433"/>
      <c r="AE2631" s="434"/>
      <c r="AF2631" s="358"/>
      <c r="AG2631" s="358"/>
      <c r="AH2631" s="359"/>
    </row>
    <row r="2632" spans="1:34" x14ac:dyDescent="0.25">
      <c r="A2632" s="350"/>
      <c r="B2632" s="351"/>
      <c r="C2632" s="351"/>
      <c r="D2632" s="352"/>
      <c r="E2632" s="351"/>
      <c r="F2632" s="351"/>
      <c r="G2632" s="352"/>
      <c r="H2632" s="387"/>
      <c r="I2632" s="500"/>
      <c r="J2632" s="351"/>
      <c r="K2632" s="351"/>
      <c r="L2632" s="353"/>
      <c r="M2632" s="354"/>
      <c r="N2632" s="422"/>
      <c r="O2632" s="423"/>
      <c r="P2632" s="421"/>
      <c r="Q2632" s="355"/>
      <c r="R2632" s="356"/>
      <c r="S2632" s="437"/>
      <c r="T2632" s="438"/>
      <c r="U2632" s="438"/>
      <c r="V2632" s="438"/>
      <c r="W2632" s="438"/>
      <c r="X2632" s="439"/>
      <c r="Y2632" s="357"/>
      <c r="Z2632" s="432"/>
      <c r="AA2632" s="433"/>
      <c r="AB2632" s="433"/>
      <c r="AC2632" s="433"/>
      <c r="AD2632" s="433"/>
      <c r="AE2632" s="434"/>
      <c r="AF2632" s="358"/>
      <c r="AG2632" s="358"/>
      <c r="AH2632" s="359"/>
    </row>
    <row r="2633" spans="1:34" x14ac:dyDescent="0.25">
      <c r="A2633" s="350"/>
      <c r="B2633" s="351"/>
      <c r="C2633" s="351"/>
      <c r="D2633" s="352"/>
      <c r="E2633" s="351"/>
      <c r="F2633" s="351"/>
      <c r="G2633" s="352"/>
      <c r="H2633" s="387"/>
      <c r="I2633" s="500"/>
      <c r="J2633" s="351"/>
      <c r="K2633" s="351"/>
      <c r="L2633" s="353"/>
      <c r="M2633" s="354"/>
      <c r="N2633" s="422"/>
      <c r="O2633" s="423"/>
      <c r="P2633" s="421"/>
      <c r="Q2633" s="355"/>
      <c r="R2633" s="356"/>
      <c r="S2633" s="437"/>
      <c r="T2633" s="438"/>
      <c r="U2633" s="438"/>
      <c r="V2633" s="438"/>
      <c r="W2633" s="438"/>
      <c r="X2633" s="439"/>
      <c r="Y2633" s="357"/>
      <c r="Z2633" s="432"/>
      <c r="AA2633" s="433"/>
      <c r="AB2633" s="433"/>
      <c r="AC2633" s="433"/>
      <c r="AD2633" s="433"/>
      <c r="AE2633" s="434"/>
      <c r="AF2633" s="358"/>
      <c r="AG2633" s="358"/>
      <c r="AH2633" s="359"/>
    </row>
    <row r="2634" spans="1:34" x14ac:dyDescent="0.25">
      <c r="A2634" s="350"/>
      <c r="B2634" s="351"/>
      <c r="C2634" s="351"/>
      <c r="D2634" s="352"/>
      <c r="E2634" s="351"/>
      <c r="F2634" s="351"/>
      <c r="G2634" s="352"/>
      <c r="H2634" s="387"/>
      <c r="I2634" s="500"/>
      <c r="J2634" s="351"/>
      <c r="K2634" s="351"/>
      <c r="L2634" s="353"/>
      <c r="M2634" s="354"/>
      <c r="N2634" s="422"/>
      <c r="O2634" s="423"/>
      <c r="P2634" s="421"/>
      <c r="Q2634" s="355"/>
      <c r="R2634" s="356"/>
      <c r="S2634" s="437"/>
      <c r="T2634" s="438"/>
      <c r="U2634" s="438"/>
      <c r="V2634" s="438"/>
      <c r="W2634" s="438"/>
      <c r="X2634" s="439"/>
      <c r="Y2634" s="357"/>
      <c r="Z2634" s="432"/>
      <c r="AA2634" s="433"/>
      <c r="AB2634" s="433"/>
      <c r="AC2634" s="433"/>
      <c r="AD2634" s="433"/>
      <c r="AE2634" s="434"/>
      <c r="AF2634" s="358"/>
      <c r="AG2634" s="358"/>
      <c r="AH2634" s="359"/>
    </row>
    <row r="2635" spans="1:34" x14ac:dyDescent="0.25">
      <c r="A2635" s="350"/>
      <c r="B2635" s="351"/>
      <c r="C2635" s="351"/>
      <c r="D2635" s="352"/>
      <c r="E2635" s="351"/>
      <c r="F2635" s="351"/>
      <c r="G2635" s="352"/>
      <c r="H2635" s="387"/>
      <c r="I2635" s="500"/>
      <c r="J2635" s="351"/>
      <c r="K2635" s="351"/>
      <c r="L2635" s="353"/>
      <c r="M2635" s="354"/>
      <c r="N2635" s="422"/>
      <c r="O2635" s="423"/>
      <c r="P2635" s="421"/>
      <c r="Q2635" s="355"/>
      <c r="R2635" s="356"/>
      <c r="S2635" s="437"/>
      <c r="T2635" s="438"/>
      <c r="U2635" s="438"/>
      <c r="V2635" s="438"/>
      <c r="W2635" s="438"/>
      <c r="X2635" s="439"/>
      <c r="Y2635" s="357"/>
      <c r="Z2635" s="432"/>
      <c r="AA2635" s="433"/>
      <c r="AB2635" s="433"/>
      <c r="AC2635" s="433"/>
      <c r="AD2635" s="433"/>
      <c r="AE2635" s="434"/>
      <c r="AF2635" s="358"/>
      <c r="AG2635" s="358"/>
      <c r="AH2635" s="359"/>
    </row>
    <row r="2636" spans="1:34" x14ac:dyDescent="0.25">
      <c r="A2636" s="350"/>
      <c r="B2636" s="351"/>
      <c r="C2636" s="351"/>
      <c r="D2636" s="352"/>
      <c r="E2636" s="351"/>
      <c r="F2636" s="351"/>
      <c r="G2636" s="352"/>
      <c r="H2636" s="387"/>
      <c r="I2636" s="500"/>
      <c r="J2636" s="351"/>
      <c r="K2636" s="351"/>
      <c r="L2636" s="353"/>
      <c r="M2636" s="354"/>
      <c r="N2636" s="422"/>
      <c r="O2636" s="423"/>
      <c r="P2636" s="421"/>
      <c r="Q2636" s="355"/>
      <c r="R2636" s="356"/>
      <c r="S2636" s="437"/>
      <c r="T2636" s="438"/>
      <c r="U2636" s="438"/>
      <c r="V2636" s="438"/>
      <c r="W2636" s="438"/>
      <c r="X2636" s="439"/>
      <c r="Y2636" s="357"/>
      <c r="Z2636" s="432"/>
      <c r="AA2636" s="433"/>
      <c r="AB2636" s="433"/>
      <c r="AC2636" s="433"/>
      <c r="AD2636" s="433"/>
      <c r="AE2636" s="434"/>
      <c r="AF2636" s="358"/>
      <c r="AG2636" s="358"/>
      <c r="AH2636" s="359"/>
    </row>
    <row r="2637" spans="1:34" x14ac:dyDescent="0.25">
      <c r="A2637" s="350"/>
      <c r="B2637" s="351"/>
      <c r="C2637" s="351"/>
      <c r="D2637" s="352"/>
      <c r="E2637" s="351"/>
      <c r="F2637" s="351"/>
      <c r="G2637" s="352"/>
      <c r="H2637" s="387"/>
      <c r="I2637" s="500"/>
      <c r="J2637" s="351"/>
      <c r="K2637" s="351"/>
      <c r="L2637" s="353"/>
      <c r="M2637" s="354"/>
      <c r="N2637" s="422"/>
      <c r="O2637" s="423"/>
      <c r="P2637" s="421"/>
      <c r="Q2637" s="355"/>
      <c r="R2637" s="356"/>
      <c r="S2637" s="437"/>
      <c r="T2637" s="438"/>
      <c r="U2637" s="438"/>
      <c r="V2637" s="438"/>
      <c r="W2637" s="438"/>
      <c r="X2637" s="439"/>
      <c r="Y2637" s="357"/>
      <c r="Z2637" s="432"/>
      <c r="AA2637" s="433"/>
      <c r="AB2637" s="433"/>
      <c r="AC2637" s="433"/>
      <c r="AD2637" s="433"/>
      <c r="AE2637" s="434"/>
      <c r="AF2637" s="358"/>
      <c r="AG2637" s="358"/>
      <c r="AH2637" s="359"/>
    </row>
    <row r="2638" spans="1:34" x14ac:dyDescent="0.25">
      <c r="A2638" s="350"/>
      <c r="B2638" s="351"/>
      <c r="C2638" s="351"/>
      <c r="D2638" s="352"/>
      <c r="E2638" s="351"/>
      <c r="F2638" s="351"/>
      <c r="G2638" s="352"/>
      <c r="H2638" s="387"/>
      <c r="I2638" s="500"/>
      <c r="J2638" s="351"/>
      <c r="K2638" s="351"/>
      <c r="L2638" s="353"/>
      <c r="M2638" s="354"/>
      <c r="N2638" s="422"/>
      <c r="O2638" s="423"/>
      <c r="P2638" s="421"/>
      <c r="Q2638" s="355"/>
      <c r="R2638" s="356"/>
      <c r="S2638" s="437"/>
      <c r="T2638" s="438"/>
      <c r="U2638" s="438"/>
      <c r="V2638" s="438"/>
      <c r="W2638" s="438"/>
      <c r="X2638" s="439"/>
      <c r="Y2638" s="357"/>
      <c r="Z2638" s="432"/>
      <c r="AA2638" s="433"/>
      <c r="AB2638" s="433"/>
      <c r="AC2638" s="433"/>
      <c r="AD2638" s="433"/>
      <c r="AE2638" s="434"/>
      <c r="AF2638" s="358"/>
      <c r="AG2638" s="358"/>
      <c r="AH2638" s="359"/>
    </row>
    <row r="2639" spans="1:34" x14ac:dyDescent="0.25">
      <c r="A2639" s="350"/>
      <c r="B2639" s="351"/>
      <c r="C2639" s="351"/>
      <c r="D2639" s="352"/>
      <c r="E2639" s="351"/>
      <c r="F2639" s="351"/>
      <c r="G2639" s="352"/>
      <c r="H2639" s="387"/>
      <c r="I2639" s="500"/>
      <c r="J2639" s="351"/>
      <c r="K2639" s="351"/>
      <c r="L2639" s="353"/>
      <c r="M2639" s="354"/>
      <c r="N2639" s="422"/>
      <c r="O2639" s="423"/>
      <c r="P2639" s="421"/>
      <c r="Q2639" s="355"/>
      <c r="R2639" s="356"/>
      <c r="S2639" s="437"/>
      <c r="T2639" s="438"/>
      <c r="U2639" s="438"/>
      <c r="V2639" s="438"/>
      <c r="W2639" s="438"/>
      <c r="X2639" s="439"/>
      <c r="Y2639" s="357"/>
      <c r="Z2639" s="432"/>
      <c r="AA2639" s="433"/>
      <c r="AB2639" s="433"/>
      <c r="AC2639" s="433"/>
      <c r="AD2639" s="433"/>
      <c r="AE2639" s="434"/>
      <c r="AF2639" s="358"/>
      <c r="AG2639" s="358"/>
      <c r="AH2639" s="359"/>
    </row>
    <row r="2640" spans="1:34" x14ac:dyDescent="0.25">
      <c r="A2640" s="350"/>
      <c r="B2640" s="351"/>
      <c r="C2640" s="351"/>
      <c r="D2640" s="352"/>
      <c r="E2640" s="351"/>
      <c r="F2640" s="351"/>
      <c r="G2640" s="352"/>
      <c r="H2640" s="387"/>
      <c r="I2640" s="500"/>
      <c r="J2640" s="351"/>
      <c r="K2640" s="351"/>
      <c r="L2640" s="353"/>
      <c r="M2640" s="354"/>
      <c r="N2640" s="422"/>
      <c r="O2640" s="423"/>
      <c r="P2640" s="421"/>
      <c r="Q2640" s="355"/>
      <c r="R2640" s="356"/>
      <c r="S2640" s="437"/>
      <c r="T2640" s="438"/>
      <c r="U2640" s="438"/>
      <c r="V2640" s="438"/>
      <c r="W2640" s="438"/>
      <c r="X2640" s="439"/>
      <c r="Y2640" s="357"/>
      <c r="Z2640" s="432"/>
      <c r="AA2640" s="433"/>
      <c r="AB2640" s="433"/>
      <c r="AC2640" s="433"/>
      <c r="AD2640" s="433"/>
      <c r="AE2640" s="434"/>
      <c r="AF2640" s="358"/>
      <c r="AG2640" s="358"/>
      <c r="AH2640" s="359"/>
    </row>
    <row r="2641" spans="1:34" x14ac:dyDescent="0.25">
      <c r="A2641" s="350"/>
      <c r="B2641" s="351"/>
      <c r="C2641" s="351"/>
      <c r="D2641" s="352"/>
      <c r="E2641" s="351"/>
      <c r="F2641" s="351"/>
      <c r="G2641" s="352"/>
      <c r="H2641" s="387"/>
      <c r="I2641" s="500"/>
      <c r="J2641" s="351"/>
      <c r="K2641" s="351"/>
      <c r="L2641" s="353"/>
      <c r="M2641" s="354"/>
      <c r="N2641" s="422"/>
      <c r="O2641" s="423"/>
      <c r="P2641" s="421"/>
      <c r="Q2641" s="355"/>
      <c r="R2641" s="356"/>
      <c r="S2641" s="437"/>
      <c r="T2641" s="438"/>
      <c r="U2641" s="438"/>
      <c r="V2641" s="438"/>
      <c r="W2641" s="438"/>
      <c r="X2641" s="439"/>
      <c r="Y2641" s="357"/>
      <c r="Z2641" s="432"/>
      <c r="AA2641" s="433"/>
      <c r="AB2641" s="433"/>
      <c r="AC2641" s="433"/>
      <c r="AD2641" s="433"/>
      <c r="AE2641" s="434"/>
      <c r="AF2641" s="358"/>
      <c r="AG2641" s="358"/>
      <c r="AH2641" s="359"/>
    </row>
    <row r="2642" spans="1:34" x14ac:dyDescent="0.25">
      <c r="A2642" s="350"/>
      <c r="B2642" s="351"/>
      <c r="C2642" s="351"/>
      <c r="D2642" s="352"/>
      <c r="E2642" s="351"/>
      <c r="F2642" s="351"/>
      <c r="G2642" s="352"/>
      <c r="H2642" s="387"/>
      <c r="I2642" s="500"/>
      <c r="J2642" s="351"/>
      <c r="K2642" s="351"/>
      <c r="L2642" s="353"/>
      <c r="M2642" s="354"/>
      <c r="N2642" s="422"/>
      <c r="O2642" s="423"/>
      <c r="P2642" s="421"/>
      <c r="Q2642" s="355"/>
      <c r="R2642" s="356"/>
      <c r="S2642" s="437"/>
      <c r="T2642" s="438"/>
      <c r="U2642" s="438"/>
      <c r="V2642" s="438"/>
      <c r="W2642" s="438"/>
      <c r="X2642" s="439"/>
      <c r="Y2642" s="357"/>
      <c r="Z2642" s="432"/>
      <c r="AA2642" s="433"/>
      <c r="AB2642" s="433"/>
      <c r="AC2642" s="433"/>
      <c r="AD2642" s="433"/>
      <c r="AE2642" s="434"/>
      <c r="AF2642" s="358"/>
      <c r="AG2642" s="358"/>
      <c r="AH2642" s="359"/>
    </row>
    <row r="2643" spans="1:34" x14ac:dyDescent="0.25">
      <c r="A2643" s="350"/>
      <c r="B2643" s="351"/>
      <c r="C2643" s="351"/>
      <c r="D2643" s="352"/>
      <c r="E2643" s="351"/>
      <c r="F2643" s="351"/>
      <c r="G2643" s="352"/>
      <c r="H2643" s="387"/>
      <c r="I2643" s="500"/>
      <c r="J2643" s="351"/>
      <c r="K2643" s="351"/>
      <c r="L2643" s="353"/>
      <c r="M2643" s="354"/>
      <c r="N2643" s="422"/>
      <c r="O2643" s="423"/>
      <c r="P2643" s="421"/>
      <c r="Q2643" s="355"/>
      <c r="R2643" s="356"/>
      <c r="S2643" s="437"/>
      <c r="T2643" s="438"/>
      <c r="U2643" s="438"/>
      <c r="V2643" s="438"/>
      <c r="W2643" s="438"/>
      <c r="X2643" s="439"/>
      <c r="Y2643" s="357"/>
      <c r="Z2643" s="432"/>
      <c r="AA2643" s="433"/>
      <c r="AB2643" s="433"/>
      <c r="AC2643" s="433"/>
      <c r="AD2643" s="433"/>
      <c r="AE2643" s="434"/>
      <c r="AF2643" s="358"/>
      <c r="AG2643" s="358"/>
      <c r="AH2643" s="359"/>
    </row>
    <row r="2644" spans="1:34" x14ac:dyDescent="0.25">
      <c r="A2644" s="350"/>
      <c r="B2644" s="351"/>
      <c r="C2644" s="351"/>
      <c r="D2644" s="352"/>
      <c r="E2644" s="351"/>
      <c r="F2644" s="351"/>
      <c r="G2644" s="352"/>
      <c r="H2644" s="387"/>
      <c r="I2644" s="500"/>
      <c r="J2644" s="351"/>
      <c r="K2644" s="351"/>
      <c r="L2644" s="353"/>
      <c r="M2644" s="354"/>
      <c r="N2644" s="422"/>
      <c r="O2644" s="423"/>
      <c r="P2644" s="421"/>
      <c r="Q2644" s="355"/>
      <c r="R2644" s="356"/>
      <c r="S2644" s="437"/>
      <c r="T2644" s="438"/>
      <c r="U2644" s="438"/>
      <c r="V2644" s="438"/>
      <c r="W2644" s="438"/>
      <c r="X2644" s="439"/>
      <c r="Y2644" s="357"/>
      <c r="Z2644" s="432"/>
      <c r="AA2644" s="433"/>
      <c r="AB2644" s="433"/>
      <c r="AC2644" s="433"/>
      <c r="AD2644" s="433"/>
      <c r="AE2644" s="434"/>
      <c r="AF2644" s="358"/>
      <c r="AG2644" s="358"/>
      <c r="AH2644" s="359"/>
    </row>
    <row r="2645" spans="1:34" x14ac:dyDescent="0.25">
      <c r="A2645" s="350"/>
      <c r="B2645" s="351"/>
      <c r="C2645" s="351"/>
      <c r="D2645" s="352"/>
      <c r="E2645" s="351"/>
      <c r="F2645" s="351"/>
      <c r="G2645" s="352"/>
      <c r="H2645" s="387"/>
      <c r="I2645" s="500"/>
      <c r="J2645" s="351"/>
      <c r="K2645" s="351"/>
      <c r="L2645" s="353"/>
      <c r="M2645" s="354"/>
      <c r="N2645" s="422"/>
      <c r="O2645" s="423"/>
      <c r="P2645" s="421"/>
      <c r="Q2645" s="355"/>
      <c r="R2645" s="356"/>
      <c r="S2645" s="437"/>
      <c r="T2645" s="438"/>
      <c r="U2645" s="438"/>
      <c r="V2645" s="438"/>
      <c r="W2645" s="438"/>
      <c r="X2645" s="439"/>
      <c r="Y2645" s="357"/>
      <c r="Z2645" s="432"/>
      <c r="AA2645" s="433"/>
      <c r="AB2645" s="433"/>
      <c r="AC2645" s="433"/>
      <c r="AD2645" s="433"/>
      <c r="AE2645" s="434"/>
      <c r="AF2645" s="358"/>
      <c r="AG2645" s="358"/>
      <c r="AH2645" s="359"/>
    </row>
    <row r="2646" spans="1:34" x14ac:dyDescent="0.25">
      <c r="A2646" s="350"/>
      <c r="B2646" s="351"/>
      <c r="C2646" s="351"/>
      <c r="D2646" s="352"/>
      <c r="E2646" s="351"/>
      <c r="F2646" s="351"/>
      <c r="G2646" s="352"/>
      <c r="H2646" s="387"/>
      <c r="I2646" s="500"/>
      <c r="J2646" s="351"/>
      <c r="K2646" s="351"/>
      <c r="L2646" s="353"/>
      <c r="M2646" s="354"/>
      <c r="N2646" s="422"/>
      <c r="O2646" s="423"/>
      <c r="P2646" s="421"/>
      <c r="Q2646" s="355"/>
      <c r="R2646" s="356"/>
      <c r="S2646" s="437"/>
      <c r="T2646" s="438"/>
      <c r="U2646" s="438"/>
      <c r="V2646" s="438"/>
      <c r="W2646" s="438"/>
      <c r="X2646" s="439"/>
      <c r="Y2646" s="357"/>
      <c r="Z2646" s="432"/>
      <c r="AA2646" s="433"/>
      <c r="AB2646" s="433"/>
      <c r="AC2646" s="433"/>
      <c r="AD2646" s="433"/>
      <c r="AE2646" s="434"/>
      <c r="AF2646" s="358"/>
      <c r="AG2646" s="358"/>
      <c r="AH2646" s="359"/>
    </row>
    <row r="2647" spans="1:34" x14ac:dyDescent="0.25">
      <c r="A2647" s="350"/>
      <c r="B2647" s="351"/>
      <c r="C2647" s="351"/>
      <c r="D2647" s="352"/>
      <c r="E2647" s="351"/>
      <c r="F2647" s="351"/>
      <c r="G2647" s="352"/>
      <c r="H2647" s="387"/>
      <c r="I2647" s="500"/>
      <c r="J2647" s="351"/>
      <c r="K2647" s="351"/>
      <c r="L2647" s="353"/>
      <c r="M2647" s="354"/>
      <c r="N2647" s="422"/>
      <c r="O2647" s="423"/>
      <c r="P2647" s="421"/>
      <c r="Q2647" s="355"/>
      <c r="R2647" s="356"/>
      <c r="S2647" s="437"/>
      <c r="T2647" s="438"/>
      <c r="U2647" s="438"/>
      <c r="V2647" s="438"/>
      <c r="W2647" s="438"/>
      <c r="X2647" s="439"/>
      <c r="Y2647" s="357"/>
      <c r="Z2647" s="432"/>
      <c r="AA2647" s="433"/>
      <c r="AB2647" s="433"/>
      <c r="AC2647" s="433"/>
      <c r="AD2647" s="433"/>
      <c r="AE2647" s="434"/>
      <c r="AF2647" s="358"/>
      <c r="AG2647" s="358"/>
      <c r="AH2647" s="359"/>
    </row>
    <row r="2648" spans="1:34" x14ac:dyDescent="0.25">
      <c r="A2648" s="350"/>
      <c r="B2648" s="351"/>
      <c r="C2648" s="351"/>
      <c r="D2648" s="352"/>
      <c r="E2648" s="351"/>
      <c r="F2648" s="351"/>
      <c r="G2648" s="352"/>
      <c r="H2648" s="387"/>
      <c r="I2648" s="500"/>
      <c r="J2648" s="351"/>
      <c r="K2648" s="351"/>
      <c r="L2648" s="353"/>
      <c r="M2648" s="354"/>
      <c r="N2648" s="422"/>
      <c r="O2648" s="423"/>
      <c r="P2648" s="421"/>
      <c r="Q2648" s="355"/>
      <c r="R2648" s="356"/>
      <c r="S2648" s="437"/>
      <c r="T2648" s="438"/>
      <c r="U2648" s="438"/>
      <c r="V2648" s="438"/>
      <c r="W2648" s="438"/>
      <c r="X2648" s="439"/>
      <c r="Y2648" s="357"/>
      <c r="Z2648" s="432"/>
      <c r="AA2648" s="433"/>
      <c r="AB2648" s="433"/>
      <c r="AC2648" s="433"/>
      <c r="AD2648" s="433"/>
      <c r="AE2648" s="434"/>
      <c r="AF2648" s="358"/>
      <c r="AG2648" s="358"/>
      <c r="AH2648" s="359"/>
    </row>
    <row r="2649" spans="1:34" x14ac:dyDescent="0.25">
      <c r="A2649" s="350"/>
      <c r="B2649" s="351"/>
      <c r="C2649" s="351"/>
      <c r="D2649" s="352"/>
      <c r="E2649" s="351"/>
      <c r="F2649" s="351"/>
      <c r="G2649" s="352"/>
      <c r="H2649" s="387"/>
      <c r="I2649" s="500"/>
      <c r="J2649" s="351"/>
      <c r="K2649" s="351"/>
      <c r="L2649" s="353"/>
      <c r="M2649" s="354"/>
      <c r="N2649" s="422"/>
      <c r="O2649" s="423"/>
      <c r="P2649" s="421"/>
      <c r="Q2649" s="355"/>
      <c r="R2649" s="356"/>
      <c r="S2649" s="437"/>
      <c r="T2649" s="438"/>
      <c r="U2649" s="438"/>
      <c r="V2649" s="438"/>
      <c r="W2649" s="438"/>
      <c r="X2649" s="439"/>
      <c r="Y2649" s="357"/>
      <c r="Z2649" s="432"/>
      <c r="AA2649" s="433"/>
      <c r="AB2649" s="433"/>
      <c r="AC2649" s="433"/>
      <c r="AD2649" s="433"/>
      <c r="AE2649" s="434"/>
      <c r="AF2649" s="358"/>
      <c r="AG2649" s="358"/>
      <c r="AH2649" s="359"/>
    </row>
    <row r="2650" spans="1:34" x14ac:dyDescent="0.25">
      <c r="A2650" s="350"/>
      <c r="B2650" s="351"/>
      <c r="C2650" s="351"/>
      <c r="D2650" s="352"/>
      <c r="E2650" s="351"/>
      <c r="F2650" s="351"/>
      <c r="G2650" s="352"/>
      <c r="H2650" s="387"/>
      <c r="I2650" s="500"/>
      <c r="J2650" s="351"/>
      <c r="K2650" s="351"/>
      <c r="L2650" s="353"/>
      <c r="M2650" s="354"/>
      <c r="N2650" s="422"/>
      <c r="O2650" s="423"/>
      <c r="P2650" s="421"/>
      <c r="Q2650" s="355"/>
      <c r="R2650" s="356"/>
      <c r="S2650" s="437"/>
      <c r="T2650" s="438"/>
      <c r="U2650" s="438"/>
      <c r="V2650" s="438"/>
      <c r="W2650" s="438"/>
      <c r="X2650" s="439"/>
      <c r="Y2650" s="357"/>
      <c r="Z2650" s="432"/>
      <c r="AA2650" s="433"/>
      <c r="AB2650" s="433"/>
      <c r="AC2650" s="433"/>
      <c r="AD2650" s="433"/>
      <c r="AE2650" s="434"/>
      <c r="AF2650" s="358"/>
      <c r="AG2650" s="358"/>
      <c r="AH2650" s="359"/>
    </row>
    <row r="2651" spans="1:34" x14ac:dyDescent="0.25">
      <c r="A2651" s="350"/>
      <c r="B2651" s="351"/>
      <c r="C2651" s="351"/>
      <c r="D2651" s="352"/>
      <c r="E2651" s="351"/>
      <c r="F2651" s="351"/>
      <c r="G2651" s="352"/>
      <c r="H2651" s="387"/>
      <c r="I2651" s="500"/>
      <c r="J2651" s="351"/>
      <c r="K2651" s="351"/>
      <c r="L2651" s="353"/>
      <c r="M2651" s="354"/>
      <c r="N2651" s="422"/>
      <c r="O2651" s="423"/>
      <c r="P2651" s="421"/>
      <c r="Q2651" s="355"/>
      <c r="R2651" s="356"/>
      <c r="S2651" s="437"/>
      <c r="T2651" s="438"/>
      <c r="U2651" s="438"/>
      <c r="V2651" s="438"/>
      <c r="W2651" s="438"/>
      <c r="X2651" s="439"/>
      <c r="Y2651" s="357"/>
      <c r="Z2651" s="432"/>
      <c r="AA2651" s="433"/>
      <c r="AB2651" s="433"/>
      <c r="AC2651" s="433"/>
      <c r="AD2651" s="433"/>
      <c r="AE2651" s="434"/>
      <c r="AF2651" s="358"/>
      <c r="AG2651" s="358"/>
      <c r="AH2651" s="359"/>
    </row>
    <row r="2652" spans="1:34" x14ac:dyDescent="0.25">
      <c r="A2652" s="350"/>
      <c r="B2652" s="351"/>
      <c r="C2652" s="351"/>
      <c r="D2652" s="352"/>
      <c r="E2652" s="351"/>
      <c r="F2652" s="351"/>
      <c r="G2652" s="352"/>
      <c r="H2652" s="387"/>
      <c r="I2652" s="500"/>
      <c r="J2652" s="351"/>
      <c r="K2652" s="351"/>
      <c r="L2652" s="353"/>
      <c r="M2652" s="354"/>
      <c r="N2652" s="422"/>
      <c r="O2652" s="423"/>
      <c r="P2652" s="421"/>
      <c r="Q2652" s="355"/>
      <c r="R2652" s="356"/>
      <c r="S2652" s="437"/>
      <c r="T2652" s="438"/>
      <c r="U2652" s="438"/>
      <c r="V2652" s="438"/>
      <c r="W2652" s="438"/>
      <c r="X2652" s="439"/>
      <c r="Y2652" s="357"/>
      <c r="Z2652" s="432"/>
      <c r="AA2652" s="433"/>
      <c r="AB2652" s="433"/>
      <c r="AC2652" s="433"/>
      <c r="AD2652" s="433"/>
      <c r="AE2652" s="434"/>
      <c r="AF2652" s="358"/>
      <c r="AG2652" s="358"/>
      <c r="AH2652" s="359"/>
    </row>
    <row r="2653" spans="1:34" x14ac:dyDescent="0.25">
      <c r="A2653" s="350"/>
      <c r="B2653" s="351"/>
      <c r="C2653" s="351"/>
      <c r="D2653" s="352"/>
      <c r="E2653" s="351"/>
      <c r="F2653" s="351"/>
      <c r="G2653" s="352"/>
      <c r="H2653" s="387"/>
      <c r="I2653" s="500"/>
      <c r="J2653" s="351"/>
      <c r="K2653" s="351"/>
      <c r="L2653" s="353"/>
      <c r="M2653" s="354"/>
      <c r="N2653" s="422"/>
      <c r="O2653" s="423"/>
      <c r="P2653" s="421"/>
      <c r="Q2653" s="355"/>
      <c r="R2653" s="356"/>
      <c r="S2653" s="437"/>
      <c r="T2653" s="438"/>
      <c r="U2653" s="438"/>
      <c r="V2653" s="438"/>
      <c r="W2653" s="438"/>
      <c r="X2653" s="439"/>
      <c r="Y2653" s="357"/>
      <c r="Z2653" s="432"/>
      <c r="AA2653" s="433"/>
      <c r="AB2653" s="433"/>
      <c r="AC2653" s="433"/>
      <c r="AD2653" s="433"/>
      <c r="AE2653" s="434"/>
      <c r="AF2653" s="358"/>
      <c r="AG2653" s="358"/>
      <c r="AH2653" s="359"/>
    </row>
    <row r="2654" spans="1:34" x14ac:dyDescent="0.25">
      <c r="A2654" s="350"/>
      <c r="B2654" s="351"/>
      <c r="C2654" s="351"/>
      <c r="D2654" s="352"/>
      <c r="E2654" s="351"/>
      <c r="F2654" s="351"/>
      <c r="G2654" s="352"/>
      <c r="H2654" s="387"/>
      <c r="I2654" s="500"/>
      <c r="J2654" s="351"/>
      <c r="K2654" s="351"/>
      <c r="L2654" s="353"/>
      <c r="M2654" s="354"/>
      <c r="N2654" s="422"/>
      <c r="O2654" s="423"/>
      <c r="P2654" s="421"/>
      <c r="Q2654" s="355"/>
      <c r="R2654" s="356"/>
      <c r="S2654" s="437"/>
      <c r="T2654" s="438"/>
      <c r="U2654" s="438"/>
      <c r="V2654" s="438"/>
      <c r="W2654" s="438"/>
      <c r="X2654" s="439"/>
      <c r="Y2654" s="357"/>
      <c r="Z2654" s="432"/>
      <c r="AA2654" s="433"/>
      <c r="AB2654" s="433"/>
      <c r="AC2654" s="433"/>
      <c r="AD2654" s="433"/>
      <c r="AE2654" s="434"/>
      <c r="AF2654" s="358"/>
      <c r="AG2654" s="358"/>
      <c r="AH2654" s="359"/>
    </row>
    <row r="2655" spans="1:34" x14ac:dyDescent="0.25">
      <c r="A2655" s="350"/>
      <c r="B2655" s="351"/>
      <c r="C2655" s="351"/>
      <c r="D2655" s="352"/>
      <c r="E2655" s="351"/>
      <c r="F2655" s="351"/>
      <c r="G2655" s="352"/>
      <c r="H2655" s="387"/>
      <c r="I2655" s="500"/>
      <c r="J2655" s="351"/>
      <c r="K2655" s="351"/>
      <c r="L2655" s="353"/>
      <c r="M2655" s="354"/>
      <c r="N2655" s="422"/>
      <c r="O2655" s="423"/>
      <c r="P2655" s="421"/>
      <c r="Q2655" s="355"/>
      <c r="R2655" s="356"/>
      <c r="S2655" s="437"/>
      <c r="T2655" s="438"/>
      <c r="U2655" s="438"/>
      <c r="V2655" s="438"/>
      <c r="W2655" s="438"/>
      <c r="X2655" s="439"/>
      <c r="Y2655" s="357"/>
      <c r="Z2655" s="432"/>
      <c r="AA2655" s="433"/>
      <c r="AB2655" s="433"/>
      <c r="AC2655" s="433"/>
      <c r="AD2655" s="433"/>
      <c r="AE2655" s="434"/>
      <c r="AF2655" s="358"/>
      <c r="AG2655" s="358"/>
      <c r="AH2655" s="359"/>
    </row>
    <row r="2656" spans="1:34" x14ac:dyDescent="0.25">
      <c r="A2656" s="350"/>
      <c r="B2656" s="351"/>
      <c r="C2656" s="351"/>
      <c r="D2656" s="352"/>
      <c r="E2656" s="351"/>
      <c r="F2656" s="351"/>
      <c r="G2656" s="352"/>
      <c r="H2656" s="387"/>
      <c r="I2656" s="500"/>
      <c r="J2656" s="351"/>
      <c r="K2656" s="351"/>
      <c r="L2656" s="353"/>
      <c r="M2656" s="354"/>
      <c r="N2656" s="422"/>
      <c r="O2656" s="423"/>
      <c r="P2656" s="421"/>
      <c r="Q2656" s="355"/>
      <c r="R2656" s="356"/>
      <c r="S2656" s="437"/>
      <c r="T2656" s="438"/>
      <c r="U2656" s="438"/>
      <c r="V2656" s="438"/>
      <c r="W2656" s="438"/>
      <c r="X2656" s="439"/>
      <c r="Y2656" s="357"/>
      <c r="Z2656" s="432"/>
      <c r="AA2656" s="433"/>
      <c r="AB2656" s="433"/>
      <c r="AC2656" s="433"/>
      <c r="AD2656" s="433"/>
      <c r="AE2656" s="434"/>
      <c r="AF2656" s="358"/>
      <c r="AG2656" s="358"/>
      <c r="AH2656" s="359"/>
    </row>
    <row r="2657" spans="1:34" x14ac:dyDescent="0.25">
      <c r="A2657" s="350"/>
      <c r="B2657" s="351"/>
      <c r="C2657" s="351"/>
      <c r="D2657" s="352"/>
      <c r="E2657" s="351"/>
      <c r="F2657" s="351"/>
      <c r="G2657" s="352"/>
      <c r="H2657" s="387"/>
      <c r="I2657" s="500"/>
      <c r="J2657" s="351"/>
      <c r="K2657" s="351"/>
      <c r="L2657" s="353"/>
      <c r="M2657" s="354"/>
      <c r="N2657" s="422"/>
      <c r="O2657" s="423"/>
      <c r="P2657" s="421"/>
      <c r="Q2657" s="355"/>
      <c r="R2657" s="356"/>
      <c r="S2657" s="437"/>
      <c r="T2657" s="438"/>
      <c r="U2657" s="438"/>
      <c r="V2657" s="438"/>
      <c r="W2657" s="438"/>
      <c r="X2657" s="439"/>
      <c r="Y2657" s="357"/>
      <c r="Z2657" s="432"/>
      <c r="AA2657" s="433"/>
      <c r="AB2657" s="433"/>
      <c r="AC2657" s="433"/>
      <c r="AD2657" s="433"/>
      <c r="AE2657" s="434"/>
      <c r="AF2657" s="358"/>
      <c r="AG2657" s="358"/>
      <c r="AH2657" s="359"/>
    </row>
    <row r="2658" spans="1:34" x14ac:dyDescent="0.25">
      <c r="A2658" s="350"/>
      <c r="B2658" s="351"/>
      <c r="C2658" s="351"/>
      <c r="D2658" s="352"/>
      <c r="E2658" s="351"/>
      <c r="F2658" s="351"/>
      <c r="G2658" s="352"/>
      <c r="H2658" s="387"/>
      <c r="I2658" s="500"/>
      <c r="J2658" s="351"/>
      <c r="K2658" s="351"/>
      <c r="L2658" s="353"/>
      <c r="M2658" s="354"/>
      <c r="N2658" s="422"/>
      <c r="O2658" s="423"/>
      <c r="P2658" s="421"/>
      <c r="Q2658" s="355"/>
      <c r="R2658" s="356"/>
      <c r="S2658" s="437"/>
      <c r="T2658" s="438"/>
      <c r="U2658" s="438"/>
      <c r="V2658" s="438"/>
      <c r="W2658" s="438"/>
      <c r="X2658" s="439"/>
      <c r="Y2658" s="357"/>
      <c r="Z2658" s="432"/>
      <c r="AA2658" s="433"/>
      <c r="AB2658" s="433"/>
      <c r="AC2658" s="433"/>
      <c r="AD2658" s="433"/>
      <c r="AE2658" s="434"/>
      <c r="AF2658" s="358"/>
      <c r="AG2658" s="358"/>
      <c r="AH2658" s="359"/>
    </row>
    <row r="2659" spans="1:34" x14ac:dyDescent="0.25">
      <c r="A2659" s="350"/>
      <c r="B2659" s="351"/>
      <c r="C2659" s="351"/>
      <c r="D2659" s="352"/>
      <c r="E2659" s="351"/>
      <c r="F2659" s="351"/>
      <c r="G2659" s="352"/>
      <c r="H2659" s="387"/>
      <c r="I2659" s="500"/>
      <c r="J2659" s="351"/>
      <c r="K2659" s="351"/>
      <c r="L2659" s="353"/>
      <c r="M2659" s="354"/>
      <c r="N2659" s="422"/>
      <c r="O2659" s="423"/>
      <c r="P2659" s="421"/>
      <c r="Q2659" s="355"/>
      <c r="R2659" s="356"/>
      <c r="S2659" s="437"/>
      <c r="T2659" s="438"/>
      <c r="U2659" s="438"/>
      <c r="V2659" s="438"/>
      <c r="W2659" s="438"/>
      <c r="X2659" s="439"/>
      <c r="Y2659" s="357"/>
      <c r="Z2659" s="432"/>
      <c r="AA2659" s="433"/>
      <c r="AB2659" s="433"/>
      <c r="AC2659" s="433"/>
      <c r="AD2659" s="433"/>
      <c r="AE2659" s="434"/>
      <c r="AF2659" s="358"/>
      <c r="AG2659" s="358"/>
      <c r="AH2659" s="359"/>
    </row>
    <row r="2660" spans="1:34" x14ac:dyDescent="0.25">
      <c r="A2660" s="350"/>
      <c r="B2660" s="351"/>
      <c r="C2660" s="351"/>
      <c r="D2660" s="352"/>
      <c r="E2660" s="351"/>
      <c r="F2660" s="351"/>
      <c r="G2660" s="352"/>
      <c r="H2660" s="387"/>
      <c r="I2660" s="500"/>
      <c r="J2660" s="351"/>
      <c r="K2660" s="351"/>
      <c r="L2660" s="353"/>
      <c r="M2660" s="354"/>
      <c r="N2660" s="422"/>
      <c r="O2660" s="423"/>
      <c r="P2660" s="421"/>
      <c r="Q2660" s="355"/>
      <c r="R2660" s="356"/>
      <c r="S2660" s="437"/>
      <c r="T2660" s="438"/>
      <c r="U2660" s="438"/>
      <c r="V2660" s="438"/>
      <c r="W2660" s="438"/>
      <c r="X2660" s="439"/>
      <c r="Y2660" s="357"/>
      <c r="Z2660" s="432"/>
      <c r="AA2660" s="433"/>
      <c r="AB2660" s="433"/>
      <c r="AC2660" s="433"/>
      <c r="AD2660" s="433"/>
      <c r="AE2660" s="434"/>
      <c r="AF2660" s="358"/>
      <c r="AG2660" s="358"/>
      <c r="AH2660" s="359"/>
    </row>
    <row r="2661" spans="1:34" x14ac:dyDescent="0.25">
      <c r="A2661" s="350"/>
      <c r="B2661" s="351"/>
      <c r="C2661" s="351"/>
      <c r="D2661" s="352"/>
      <c r="E2661" s="351"/>
      <c r="F2661" s="351"/>
      <c r="G2661" s="352"/>
      <c r="H2661" s="387"/>
      <c r="I2661" s="500"/>
      <c r="J2661" s="351"/>
      <c r="K2661" s="351"/>
      <c r="L2661" s="353"/>
      <c r="M2661" s="354"/>
      <c r="N2661" s="422"/>
      <c r="O2661" s="423"/>
      <c r="P2661" s="421"/>
      <c r="Q2661" s="355"/>
      <c r="R2661" s="356"/>
      <c r="S2661" s="437"/>
      <c r="T2661" s="438"/>
      <c r="U2661" s="438"/>
      <c r="V2661" s="438"/>
      <c r="W2661" s="438"/>
      <c r="X2661" s="439"/>
      <c r="Y2661" s="357"/>
      <c r="Z2661" s="432"/>
      <c r="AA2661" s="433"/>
      <c r="AB2661" s="433"/>
      <c r="AC2661" s="433"/>
      <c r="AD2661" s="433"/>
      <c r="AE2661" s="434"/>
      <c r="AF2661" s="358"/>
      <c r="AG2661" s="358"/>
      <c r="AH2661" s="359"/>
    </row>
    <row r="2662" spans="1:34" x14ac:dyDescent="0.25">
      <c r="A2662" s="350"/>
      <c r="B2662" s="351"/>
      <c r="C2662" s="351"/>
      <c r="D2662" s="352"/>
      <c r="E2662" s="351"/>
      <c r="F2662" s="351"/>
      <c r="G2662" s="352"/>
      <c r="H2662" s="387"/>
      <c r="I2662" s="500"/>
      <c r="J2662" s="351"/>
      <c r="K2662" s="351"/>
      <c r="L2662" s="353"/>
      <c r="M2662" s="354"/>
      <c r="N2662" s="422"/>
      <c r="O2662" s="423"/>
      <c r="P2662" s="421"/>
      <c r="Q2662" s="355"/>
      <c r="R2662" s="356"/>
      <c r="S2662" s="437"/>
      <c r="T2662" s="438"/>
      <c r="U2662" s="438"/>
      <c r="V2662" s="438"/>
      <c r="W2662" s="438"/>
      <c r="X2662" s="439"/>
      <c r="Y2662" s="357"/>
      <c r="Z2662" s="432"/>
      <c r="AA2662" s="433"/>
      <c r="AB2662" s="433"/>
      <c r="AC2662" s="433"/>
      <c r="AD2662" s="433"/>
      <c r="AE2662" s="434"/>
      <c r="AF2662" s="358"/>
      <c r="AG2662" s="358"/>
      <c r="AH2662" s="359"/>
    </row>
    <row r="2663" spans="1:34" x14ac:dyDescent="0.25">
      <c r="A2663" s="350"/>
      <c r="B2663" s="351"/>
      <c r="C2663" s="351"/>
      <c r="D2663" s="352"/>
      <c r="E2663" s="351"/>
      <c r="F2663" s="351"/>
      <c r="G2663" s="352"/>
      <c r="H2663" s="387"/>
      <c r="I2663" s="500"/>
      <c r="J2663" s="351"/>
      <c r="K2663" s="351"/>
      <c r="L2663" s="353"/>
      <c r="M2663" s="354"/>
      <c r="N2663" s="422"/>
      <c r="O2663" s="423"/>
      <c r="P2663" s="421"/>
      <c r="Q2663" s="355"/>
      <c r="R2663" s="356"/>
      <c r="S2663" s="437"/>
      <c r="T2663" s="438"/>
      <c r="U2663" s="438"/>
      <c r="V2663" s="438"/>
      <c r="W2663" s="438"/>
      <c r="X2663" s="439"/>
      <c r="Y2663" s="357"/>
      <c r="Z2663" s="432"/>
      <c r="AA2663" s="433"/>
      <c r="AB2663" s="433"/>
      <c r="AC2663" s="433"/>
      <c r="AD2663" s="433"/>
      <c r="AE2663" s="434"/>
      <c r="AF2663" s="358"/>
      <c r="AG2663" s="358"/>
      <c r="AH2663" s="359"/>
    </row>
    <row r="2664" spans="1:34" x14ac:dyDescent="0.25">
      <c r="A2664" s="350"/>
      <c r="B2664" s="351"/>
      <c r="C2664" s="351"/>
      <c r="D2664" s="352"/>
      <c r="E2664" s="351"/>
      <c r="F2664" s="351"/>
      <c r="G2664" s="352"/>
      <c r="H2664" s="387"/>
      <c r="I2664" s="500"/>
      <c r="J2664" s="351"/>
      <c r="K2664" s="351"/>
      <c r="L2664" s="353"/>
      <c r="M2664" s="354"/>
      <c r="N2664" s="422"/>
      <c r="O2664" s="423"/>
      <c r="P2664" s="421"/>
      <c r="Q2664" s="355"/>
      <c r="R2664" s="356"/>
      <c r="S2664" s="437"/>
      <c r="T2664" s="438"/>
      <c r="U2664" s="438"/>
      <c r="V2664" s="438"/>
      <c r="W2664" s="438"/>
      <c r="X2664" s="439"/>
      <c r="Y2664" s="357"/>
      <c r="Z2664" s="432"/>
      <c r="AA2664" s="433"/>
      <c r="AB2664" s="433"/>
      <c r="AC2664" s="433"/>
      <c r="AD2664" s="433"/>
      <c r="AE2664" s="434"/>
      <c r="AF2664" s="358"/>
      <c r="AG2664" s="358"/>
      <c r="AH2664" s="359"/>
    </row>
    <row r="2665" spans="1:34" x14ac:dyDescent="0.25">
      <c r="A2665" s="350"/>
      <c r="B2665" s="351"/>
      <c r="C2665" s="351"/>
      <c r="D2665" s="352"/>
      <c r="E2665" s="351"/>
      <c r="F2665" s="351"/>
      <c r="G2665" s="352"/>
      <c r="H2665" s="387"/>
      <c r="I2665" s="500"/>
      <c r="J2665" s="351"/>
      <c r="K2665" s="351"/>
      <c r="L2665" s="353"/>
      <c r="M2665" s="354"/>
      <c r="N2665" s="422"/>
      <c r="O2665" s="423"/>
      <c r="P2665" s="421"/>
      <c r="Q2665" s="355"/>
      <c r="R2665" s="356"/>
      <c r="S2665" s="437"/>
      <c r="T2665" s="438"/>
      <c r="U2665" s="438"/>
      <c r="V2665" s="438"/>
      <c r="W2665" s="438"/>
      <c r="X2665" s="439"/>
      <c r="Y2665" s="357"/>
      <c r="Z2665" s="432"/>
      <c r="AA2665" s="433"/>
      <c r="AB2665" s="433"/>
      <c r="AC2665" s="433"/>
      <c r="AD2665" s="433"/>
      <c r="AE2665" s="434"/>
      <c r="AF2665" s="358"/>
      <c r="AG2665" s="358"/>
      <c r="AH2665" s="359"/>
    </row>
    <row r="2666" spans="1:34" x14ac:dyDescent="0.25">
      <c r="A2666" s="350"/>
      <c r="B2666" s="351"/>
      <c r="C2666" s="351"/>
      <c r="D2666" s="352"/>
      <c r="E2666" s="351"/>
      <c r="F2666" s="351"/>
      <c r="G2666" s="352"/>
      <c r="H2666" s="387"/>
      <c r="I2666" s="500"/>
      <c r="J2666" s="351"/>
      <c r="K2666" s="351"/>
      <c r="L2666" s="353"/>
      <c r="M2666" s="354"/>
      <c r="N2666" s="422"/>
      <c r="O2666" s="423"/>
      <c r="P2666" s="421"/>
      <c r="Q2666" s="355"/>
      <c r="R2666" s="356"/>
      <c r="S2666" s="437"/>
      <c r="T2666" s="438"/>
      <c r="U2666" s="438"/>
      <c r="V2666" s="438"/>
      <c r="W2666" s="438"/>
      <c r="X2666" s="439"/>
      <c r="Y2666" s="357"/>
      <c r="Z2666" s="432"/>
      <c r="AA2666" s="433"/>
      <c r="AB2666" s="433"/>
      <c r="AC2666" s="433"/>
      <c r="AD2666" s="433"/>
      <c r="AE2666" s="434"/>
      <c r="AF2666" s="358"/>
      <c r="AG2666" s="358"/>
      <c r="AH2666" s="359"/>
    </row>
    <row r="2667" spans="1:34" x14ac:dyDescent="0.25">
      <c r="A2667" s="350"/>
      <c r="B2667" s="351"/>
      <c r="C2667" s="351"/>
      <c r="D2667" s="352"/>
      <c r="E2667" s="351"/>
      <c r="F2667" s="351"/>
      <c r="G2667" s="352"/>
      <c r="H2667" s="387"/>
      <c r="I2667" s="500"/>
      <c r="J2667" s="351"/>
      <c r="K2667" s="351"/>
      <c r="L2667" s="353"/>
      <c r="M2667" s="354"/>
      <c r="N2667" s="422"/>
      <c r="O2667" s="423"/>
      <c r="P2667" s="421"/>
      <c r="Q2667" s="355"/>
      <c r="R2667" s="356"/>
      <c r="S2667" s="437"/>
      <c r="T2667" s="438"/>
      <c r="U2667" s="438"/>
      <c r="V2667" s="438"/>
      <c r="W2667" s="438"/>
      <c r="X2667" s="439"/>
      <c r="Y2667" s="357"/>
      <c r="Z2667" s="432"/>
      <c r="AA2667" s="433"/>
      <c r="AB2667" s="433"/>
      <c r="AC2667" s="433"/>
      <c r="AD2667" s="433"/>
      <c r="AE2667" s="434"/>
      <c r="AF2667" s="358"/>
      <c r="AG2667" s="358"/>
      <c r="AH2667" s="359"/>
    </row>
    <row r="2668" spans="1:34" x14ac:dyDescent="0.25">
      <c r="A2668" s="350"/>
      <c r="B2668" s="351"/>
      <c r="C2668" s="351"/>
      <c r="D2668" s="352"/>
      <c r="E2668" s="351"/>
      <c r="F2668" s="351"/>
      <c r="G2668" s="352"/>
      <c r="H2668" s="387"/>
      <c r="I2668" s="500"/>
      <c r="J2668" s="351"/>
      <c r="K2668" s="351"/>
      <c r="L2668" s="353"/>
      <c r="M2668" s="354"/>
      <c r="N2668" s="422"/>
      <c r="O2668" s="423"/>
      <c r="P2668" s="421"/>
      <c r="Q2668" s="355"/>
      <c r="R2668" s="356"/>
      <c r="S2668" s="437"/>
      <c r="T2668" s="438"/>
      <c r="U2668" s="438"/>
      <c r="V2668" s="438"/>
      <c r="W2668" s="438"/>
      <c r="X2668" s="439"/>
      <c r="Y2668" s="357"/>
      <c r="Z2668" s="432"/>
      <c r="AA2668" s="433"/>
      <c r="AB2668" s="433"/>
      <c r="AC2668" s="433"/>
      <c r="AD2668" s="433"/>
      <c r="AE2668" s="434"/>
      <c r="AF2668" s="358"/>
      <c r="AG2668" s="358"/>
      <c r="AH2668" s="359"/>
    </row>
    <row r="2669" spans="1:34" x14ac:dyDescent="0.25">
      <c r="A2669" s="350"/>
      <c r="B2669" s="351"/>
      <c r="C2669" s="351"/>
      <c r="D2669" s="352"/>
      <c r="E2669" s="351"/>
      <c r="F2669" s="351"/>
      <c r="G2669" s="352"/>
      <c r="H2669" s="387"/>
      <c r="I2669" s="500"/>
      <c r="J2669" s="351"/>
      <c r="K2669" s="351"/>
      <c r="L2669" s="353"/>
      <c r="M2669" s="354"/>
      <c r="N2669" s="422"/>
      <c r="O2669" s="423"/>
      <c r="P2669" s="421"/>
      <c r="Q2669" s="355"/>
      <c r="R2669" s="356"/>
      <c r="S2669" s="437"/>
      <c r="T2669" s="438"/>
      <c r="U2669" s="438"/>
      <c r="V2669" s="438"/>
      <c r="W2669" s="438"/>
      <c r="X2669" s="439"/>
      <c r="Y2669" s="357"/>
      <c r="Z2669" s="432"/>
      <c r="AA2669" s="433"/>
      <c r="AB2669" s="433"/>
      <c r="AC2669" s="433"/>
      <c r="AD2669" s="433"/>
      <c r="AE2669" s="434"/>
      <c r="AF2669" s="358"/>
      <c r="AG2669" s="358"/>
      <c r="AH2669" s="359"/>
    </row>
    <row r="2670" spans="1:34" x14ac:dyDescent="0.25">
      <c r="A2670" s="350"/>
      <c r="B2670" s="351"/>
      <c r="C2670" s="351"/>
      <c r="D2670" s="352"/>
      <c r="E2670" s="351"/>
      <c r="F2670" s="351"/>
      <c r="G2670" s="352"/>
      <c r="H2670" s="387"/>
      <c r="I2670" s="500"/>
      <c r="J2670" s="351"/>
      <c r="K2670" s="351"/>
      <c r="L2670" s="353"/>
      <c r="M2670" s="354"/>
      <c r="N2670" s="422"/>
      <c r="O2670" s="423"/>
      <c r="P2670" s="421"/>
      <c r="Q2670" s="355"/>
      <c r="R2670" s="356"/>
      <c r="S2670" s="437"/>
      <c r="T2670" s="438"/>
      <c r="U2670" s="438"/>
      <c r="V2670" s="438"/>
      <c r="W2670" s="438"/>
      <c r="X2670" s="439"/>
      <c r="Y2670" s="357"/>
      <c r="Z2670" s="432"/>
      <c r="AA2670" s="433"/>
      <c r="AB2670" s="433"/>
      <c r="AC2670" s="433"/>
      <c r="AD2670" s="433"/>
      <c r="AE2670" s="434"/>
      <c r="AF2670" s="358"/>
      <c r="AG2670" s="358"/>
      <c r="AH2670" s="359"/>
    </row>
    <row r="2671" spans="1:34" x14ac:dyDescent="0.25">
      <c r="A2671" s="350"/>
      <c r="B2671" s="351"/>
      <c r="C2671" s="351"/>
      <c r="D2671" s="352"/>
      <c r="E2671" s="351"/>
      <c r="F2671" s="351"/>
      <c r="G2671" s="352"/>
      <c r="H2671" s="387"/>
      <c r="I2671" s="500"/>
      <c r="J2671" s="351"/>
      <c r="K2671" s="351"/>
      <c r="L2671" s="353"/>
      <c r="M2671" s="354"/>
      <c r="N2671" s="422"/>
      <c r="O2671" s="423"/>
      <c r="P2671" s="421"/>
      <c r="Q2671" s="355"/>
      <c r="R2671" s="356"/>
      <c r="S2671" s="437"/>
      <c r="T2671" s="438"/>
      <c r="U2671" s="438"/>
      <c r="V2671" s="438"/>
      <c r="W2671" s="438"/>
      <c r="X2671" s="439"/>
      <c r="Y2671" s="357"/>
      <c r="Z2671" s="432"/>
      <c r="AA2671" s="433"/>
      <c r="AB2671" s="433"/>
      <c r="AC2671" s="433"/>
      <c r="AD2671" s="433"/>
      <c r="AE2671" s="434"/>
      <c r="AF2671" s="358"/>
      <c r="AG2671" s="358"/>
      <c r="AH2671" s="359"/>
    </row>
    <row r="2672" spans="1:34" x14ac:dyDescent="0.25">
      <c r="A2672" s="350"/>
      <c r="B2672" s="351"/>
      <c r="C2672" s="351"/>
      <c r="D2672" s="352"/>
      <c r="E2672" s="351"/>
      <c r="F2672" s="351"/>
      <c r="G2672" s="352"/>
      <c r="H2672" s="387"/>
      <c r="I2672" s="500"/>
      <c r="J2672" s="351"/>
      <c r="K2672" s="351"/>
      <c r="L2672" s="353"/>
      <c r="M2672" s="354"/>
      <c r="N2672" s="422"/>
      <c r="O2672" s="423"/>
      <c r="P2672" s="421"/>
      <c r="Q2672" s="355"/>
      <c r="R2672" s="356"/>
      <c r="S2672" s="437"/>
      <c r="T2672" s="438"/>
      <c r="U2672" s="438"/>
      <c r="V2672" s="438"/>
      <c r="W2672" s="438"/>
      <c r="X2672" s="439"/>
      <c r="Y2672" s="357"/>
      <c r="Z2672" s="432"/>
      <c r="AA2672" s="433"/>
      <c r="AB2672" s="433"/>
      <c r="AC2672" s="433"/>
      <c r="AD2672" s="433"/>
      <c r="AE2672" s="434"/>
      <c r="AF2672" s="358"/>
      <c r="AG2672" s="358"/>
      <c r="AH2672" s="359"/>
    </row>
    <row r="2673" spans="1:34" x14ac:dyDescent="0.25">
      <c r="A2673" s="350"/>
      <c r="B2673" s="351"/>
      <c r="C2673" s="351"/>
      <c r="D2673" s="352"/>
      <c r="E2673" s="351"/>
      <c r="F2673" s="351"/>
      <c r="G2673" s="352"/>
      <c r="H2673" s="387"/>
      <c r="I2673" s="500"/>
      <c r="J2673" s="351"/>
      <c r="K2673" s="351"/>
      <c r="L2673" s="353"/>
      <c r="M2673" s="354"/>
      <c r="N2673" s="422"/>
      <c r="O2673" s="423"/>
      <c r="P2673" s="421"/>
      <c r="Q2673" s="355"/>
      <c r="R2673" s="356"/>
      <c r="S2673" s="437"/>
      <c r="T2673" s="438"/>
      <c r="U2673" s="438"/>
      <c r="V2673" s="438"/>
      <c r="W2673" s="438"/>
      <c r="X2673" s="439"/>
      <c r="Y2673" s="357"/>
      <c r="Z2673" s="432"/>
      <c r="AA2673" s="433"/>
      <c r="AB2673" s="433"/>
      <c r="AC2673" s="433"/>
      <c r="AD2673" s="433"/>
      <c r="AE2673" s="434"/>
      <c r="AF2673" s="358"/>
      <c r="AG2673" s="358"/>
      <c r="AH2673" s="359"/>
    </row>
    <row r="2674" spans="1:34" x14ac:dyDescent="0.25">
      <c r="A2674" s="350"/>
      <c r="B2674" s="351"/>
      <c r="C2674" s="351"/>
      <c r="D2674" s="352"/>
      <c r="E2674" s="351"/>
      <c r="F2674" s="351"/>
      <c r="G2674" s="352"/>
      <c r="H2674" s="387"/>
      <c r="I2674" s="500"/>
      <c r="J2674" s="351"/>
      <c r="K2674" s="351"/>
      <c r="L2674" s="353"/>
      <c r="M2674" s="354"/>
      <c r="N2674" s="422"/>
      <c r="O2674" s="423"/>
      <c r="P2674" s="421"/>
      <c r="Q2674" s="355"/>
      <c r="R2674" s="356"/>
      <c r="S2674" s="437"/>
      <c r="T2674" s="438"/>
      <c r="U2674" s="438"/>
      <c r="V2674" s="438"/>
      <c r="W2674" s="438"/>
      <c r="X2674" s="439"/>
      <c r="Y2674" s="357"/>
      <c r="Z2674" s="432"/>
      <c r="AA2674" s="433"/>
      <c r="AB2674" s="433"/>
      <c r="AC2674" s="433"/>
      <c r="AD2674" s="433"/>
      <c r="AE2674" s="434"/>
      <c r="AF2674" s="358"/>
      <c r="AG2674" s="358"/>
      <c r="AH2674" s="359"/>
    </row>
    <row r="2675" spans="1:34" x14ac:dyDescent="0.25">
      <c r="A2675" s="350"/>
      <c r="B2675" s="351"/>
      <c r="C2675" s="351"/>
      <c r="D2675" s="352"/>
      <c r="E2675" s="351"/>
      <c r="F2675" s="351"/>
      <c r="G2675" s="352"/>
      <c r="H2675" s="387"/>
      <c r="I2675" s="500"/>
      <c r="J2675" s="351"/>
      <c r="K2675" s="351"/>
      <c r="L2675" s="353"/>
      <c r="M2675" s="354"/>
      <c r="N2675" s="422"/>
      <c r="O2675" s="423"/>
      <c r="P2675" s="421"/>
      <c r="Q2675" s="355"/>
      <c r="R2675" s="356"/>
      <c r="S2675" s="437"/>
      <c r="T2675" s="438"/>
      <c r="U2675" s="438"/>
      <c r="V2675" s="438"/>
      <c r="W2675" s="438"/>
      <c r="X2675" s="439"/>
      <c r="Y2675" s="357"/>
      <c r="Z2675" s="432"/>
      <c r="AA2675" s="433"/>
      <c r="AB2675" s="433"/>
      <c r="AC2675" s="433"/>
      <c r="AD2675" s="433"/>
      <c r="AE2675" s="434"/>
      <c r="AF2675" s="358"/>
      <c r="AG2675" s="358"/>
      <c r="AH2675" s="359"/>
    </row>
    <row r="2676" spans="1:34" x14ac:dyDescent="0.25">
      <c r="A2676" s="350"/>
      <c r="B2676" s="351"/>
      <c r="C2676" s="351"/>
      <c r="D2676" s="352"/>
      <c r="E2676" s="351"/>
      <c r="F2676" s="351"/>
      <c r="G2676" s="352"/>
      <c r="H2676" s="387"/>
      <c r="I2676" s="500"/>
      <c r="J2676" s="351"/>
      <c r="K2676" s="351"/>
      <c r="L2676" s="353"/>
      <c r="M2676" s="354"/>
      <c r="N2676" s="422"/>
      <c r="O2676" s="423"/>
      <c r="P2676" s="421"/>
      <c r="Q2676" s="355"/>
      <c r="R2676" s="356"/>
      <c r="S2676" s="437"/>
      <c r="T2676" s="438"/>
      <c r="U2676" s="438"/>
      <c r="V2676" s="438"/>
      <c r="W2676" s="438"/>
      <c r="X2676" s="439"/>
      <c r="Y2676" s="357"/>
      <c r="Z2676" s="432"/>
      <c r="AA2676" s="433"/>
      <c r="AB2676" s="433"/>
      <c r="AC2676" s="433"/>
      <c r="AD2676" s="433"/>
      <c r="AE2676" s="434"/>
      <c r="AF2676" s="358"/>
      <c r="AG2676" s="358"/>
      <c r="AH2676" s="359"/>
    </row>
    <row r="2677" spans="1:34" x14ac:dyDescent="0.25">
      <c r="A2677" s="350"/>
      <c r="B2677" s="351"/>
      <c r="C2677" s="351"/>
      <c r="D2677" s="352"/>
      <c r="E2677" s="351"/>
      <c r="F2677" s="351"/>
      <c r="G2677" s="352"/>
      <c r="H2677" s="387"/>
      <c r="I2677" s="500"/>
      <c r="J2677" s="351"/>
      <c r="K2677" s="351"/>
      <c r="L2677" s="353"/>
      <c r="M2677" s="354"/>
      <c r="N2677" s="422"/>
      <c r="O2677" s="423"/>
      <c r="P2677" s="421"/>
      <c r="Q2677" s="355"/>
      <c r="R2677" s="356"/>
      <c r="S2677" s="437"/>
      <c r="T2677" s="438"/>
      <c r="U2677" s="438"/>
      <c r="V2677" s="438"/>
      <c r="W2677" s="438"/>
      <c r="X2677" s="439"/>
      <c r="Y2677" s="357"/>
      <c r="Z2677" s="432"/>
      <c r="AA2677" s="433"/>
      <c r="AB2677" s="433"/>
      <c r="AC2677" s="433"/>
      <c r="AD2677" s="433"/>
      <c r="AE2677" s="434"/>
      <c r="AF2677" s="358"/>
      <c r="AG2677" s="358"/>
      <c r="AH2677" s="359"/>
    </row>
    <row r="2678" spans="1:34" x14ac:dyDescent="0.25">
      <c r="A2678" s="350"/>
      <c r="B2678" s="351"/>
      <c r="C2678" s="351"/>
      <c r="D2678" s="352"/>
      <c r="E2678" s="351"/>
      <c r="F2678" s="351"/>
      <c r="G2678" s="352"/>
      <c r="H2678" s="387"/>
      <c r="I2678" s="500"/>
      <c r="J2678" s="351"/>
      <c r="K2678" s="351"/>
      <c r="L2678" s="353"/>
      <c r="M2678" s="354"/>
      <c r="N2678" s="422"/>
      <c r="O2678" s="423"/>
      <c r="P2678" s="421"/>
      <c r="Q2678" s="355"/>
      <c r="R2678" s="356"/>
      <c r="S2678" s="437"/>
      <c r="T2678" s="438"/>
      <c r="U2678" s="438"/>
      <c r="V2678" s="438"/>
      <c r="W2678" s="438"/>
      <c r="X2678" s="439"/>
      <c r="Y2678" s="357"/>
      <c r="Z2678" s="432"/>
      <c r="AA2678" s="433"/>
      <c r="AB2678" s="433"/>
      <c r="AC2678" s="433"/>
      <c r="AD2678" s="433"/>
      <c r="AE2678" s="434"/>
      <c r="AF2678" s="358"/>
      <c r="AG2678" s="358"/>
      <c r="AH2678" s="359"/>
    </row>
    <row r="2679" spans="1:34" x14ac:dyDescent="0.25">
      <c r="A2679" s="350"/>
      <c r="B2679" s="351"/>
      <c r="C2679" s="351"/>
      <c r="D2679" s="352"/>
      <c r="E2679" s="351"/>
      <c r="F2679" s="351"/>
      <c r="G2679" s="352"/>
      <c r="H2679" s="387"/>
      <c r="I2679" s="500"/>
      <c r="J2679" s="351"/>
      <c r="K2679" s="351"/>
      <c r="L2679" s="353"/>
      <c r="M2679" s="354"/>
      <c r="N2679" s="422"/>
      <c r="O2679" s="423"/>
      <c r="P2679" s="421"/>
      <c r="Q2679" s="355"/>
      <c r="R2679" s="356"/>
      <c r="S2679" s="437"/>
      <c r="T2679" s="438"/>
      <c r="U2679" s="438"/>
      <c r="V2679" s="438"/>
      <c r="W2679" s="438"/>
      <c r="X2679" s="439"/>
      <c r="Y2679" s="357"/>
      <c r="Z2679" s="432"/>
      <c r="AA2679" s="433"/>
      <c r="AB2679" s="433"/>
      <c r="AC2679" s="433"/>
      <c r="AD2679" s="433"/>
      <c r="AE2679" s="434"/>
      <c r="AF2679" s="358"/>
      <c r="AG2679" s="358"/>
      <c r="AH2679" s="359"/>
    </row>
    <row r="2680" spans="1:34" x14ac:dyDescent="0.25">
      <c r="A2680" s="350"/>
      <c r="B2680" s="351"/>
      <c r="C2680" s="351"/>
      <c r="D2680" s="352"/>
      <c r="E2680" s="351"/>
      <c r="F2680" s="351"/>
      <c r="G2680" s="352"/>
      <c r="H2680" s="387"/>
      <c r="I2680" s="500"/>
      <c r="J2680" s="351"/>
      <c r="K2680" s="351"/>
      <c r="L2680" s="353"/>
      <c r="M2680" s="354"/>
      <c r="N2680" s="422"/>
      <c r="O2680" s="423"/>
      <c r="P2680" s="421"/>
      <c r="Q2680" s="355"/>
      <c r="R2680" s="356"/>
      <c r="S2680" s="437"/>
      <c r="T2680" s="438"/>
      <c r="U2680" s="438"/>
      <c r="V2680" s="438"/>
      <c r="W2680" s="438"/>
      <c r="X2680" s="439"/>
      <c r="Y2680" s="357"/>
      <c r="Z2680" s="432"/>
      <c r="AA2680" s="433"/>
      <c r="AB2680" s="433"/>
      <c r="AC2680" s="433"/>
      <c r="AD2680" s="433"/>
      <c r="AE2680" s="434"/>
      <c r="AF2680" s="358"/>
      <c r="AG2680" s="358"/>
      <c r="AH2680" s="359"/>
    </row>
    <row r="2681" spans="1:34" x14ac:dyDescent="0.25">
      <c r="A2681" s="350"/>
      <c r="B2681" s="351"/>
      <c r="C2681" s="351"/>
      <c r="D2681" s="352"/>
      <c r="E2681" s="351"/>
      <c r="F2681" s="351"/>
      <c r="G2681" s="352"/>
      <c r="H2681" s="387"/>
      <c r="I2681" s="500"/>
      <c r="J2681" s="351"/>
      <c r="K2681" s="351"/>
      <c r="L2681" s="353"/>
      <c r="M2681" s="354"/>
      <c r="N2681" s="422"/>
      <c r="O2681" s="423"/>
      <c r="P2681" s="421"/>
      <c r="Q2681" s="355"/>
      <c r="R2681" s="356"/>
      <c r="S2681" s="437"/>
      <c r="T2681" s="438"/>
      <c r="U2681" s="438"/>
      <c r="V2681" s="438"/>
      <c r="W2681" s="438"/>
      <c r="X2681" s="439"/>
      <c r="Y2681" s="357"/>
      <c r="Z2681" s="432"/>
      <c r="AA2681" s="433"/>
      <c r="AB2681" s="433"/>
      <c r="AC2681" s="433"/>
      <c r="AD2681" s="433"/>
      <c r="AE2681" s="434"/>
      <c r="AF2681" s="358"/>
      <c r="AG2681" s="358"/>
      <c r="AH2681" s="359"/>
    </row>
    <row r="2682" spans="1:34" x14ac:dyDescent="0.25">
      <c r="A2682" s="350"/>
      <c r="B2682" s="351"/>
      <c r="C2682" s="351"/>
      <c r="D2682" s="352"/>
      <c r="E2682" s="351"/>
      <c r="F2682" s="351"/>
      <c r="G2682" s="352"/>
      <c r="H2682" s="387"/>
      <c r="I2682" s="500"/>
      <c r="J2682" s="351"/>
      <c r="K2682" s="351"/>
      <c r="L2682" s="353"/>
      <c r="M2682" s="354"/>
      <c r="N2682" s="422"/>
      <c r="O2682" s="423"/>
      <c r="P2682" s="421"/>
      <c r="Q2682" s="355"/>
      <c r="R2682" s="356"/>
      <c r="S2682" s="437"/>
      <c r="T2682" s="438"/>
      <c r="U2682" s="438"/>
      <c r="V2682" s="438"/>
      <c r="W2682" s="438"/>
      <c r="X2682" s="439"/>
      <c r="Y2682" s="357"/>
      <c r="Z2682" s="432"/>
      <c r="AA2682" s="433"/>
      <c r="AB2682" s="433"/>
      <c r="AC2682" s="433"/>
      <c r="AD2682" s="433"/>
      <c r="AE2682" s="434"/>
      <c r="AF2682" s="358"/>
      <c r="AG2682" s="358"/>
      <c r="AH2682" s="359"/>
    </row>
    <row r="2683" spans="1:34" x14ac:dyDescent="0.25">
      <c r="A2683" s="350"/>
      <c r="B2683" s="351"/>
      <c r="C2683" s="351"/>
      <c r="D2683" s="352"/>
      <c r="E2683" s="351"/>
      <c r="F2683" s="351"/>
      <c r="G2683" s="352"/>
      <c r="H2683" s="387"/>
      <c r="I2683" s="500"/>
      <c r="J2683" s="351"/>
      <c r="K2683" s="351"/>
      <c r="L2683" s="353"/>
      <c r="M2683" s="354"/>
      <c r="N2683" s="422"/>
      <c r="O2683" s="423"/>
      <c r="P2683" s="421"/>
      <c r="Q2683" s="355"/>
      <c r="R2683" s="356"/>
      <c r="S2683" s="437"/>
      <c r="T2683" s="438"/>
      <c r="U2683" s="438"/>
      <c r="V2683" s="438"/>
      <c r="W2683" s="438"/>
      <c r="X2683" s="439"/>
      <c r="Y2683" s="357"/>
      <c r="Z2683" s="432"/>
      <c r="AA2683" s="433"/>
      <c r="AB2683" s="433"/>
      <c r="AC2683" s="433"/>
      <c r="AD2683" s="433"/>
      <c r="AE2683" s="434"/>
      <c r="AF2683" s="358"/>
      <c r="AG2683" s="358"/>
      <c r="AH2683" s="359"/>
    </row>
    <row r="2684" spans="1:34" x14ac:dyDescent="0.25">
      <c r="A2684" s="350"/>
      <c r="B2684" s="351"/>
      <c r="C2684" s="351"/>
      <c r="D2684" s="352"/>
      <c r="E2684" s="351"/>
      <c r="F2684" s="351"/>
      <c r="G2684" s="352"/>
      <c r="H2684" s="387"/>
      <c r="I2684" s="500"/>
      <c r="J2684" s="351"/>
      <c r="K2684" s="351"/>
      <c r="L2684" s="353"/>
      <c r="M2684" s="354"/>
      <c r="N2684" s="422"/>
      <c r="O2684" s="423"/>
      <c r="P2684" s="421"/>
      <c r="Q2684" s="355"/>
      <c r="R2684" s="356"/>
      <c r="S2684" s="437"/>
      <c r="T2684" s="438"/>
      <c r="U2684" s="438"/>
      <c r="V2684" s="438"/>
      <c r="W2684" s="438"/>
      <c r="X2684" s="439"/>
      <c r="Y2684" s="357"/>
      <c r="Z2684" s="432"/>
      <c r="AA2684" s="433"/>
      <c r="AB2684" s="433"/>
      <c r="AC2684" s="433"/>
      <c r="AD2684" s="433"/>
      <c r="AE2684" s="434"/>
      <c r="AF2684" s="358"/>
      <c r="AG2684" s="358"/>
      <c r="AH2684" s="359"/>
    </row>
    <row r="2685" spans="1:34" x14ac:dyDescent="0.25">
      <c r="A2685" s="350"/>
      <c r="B2685" s="351"/>
      <c r="C2685" s="351"/>
      <c r="D2685" s="352"/>
      <c r="E2685" s="351"/>
      <c r="F2685" s="351"/>
      <c r="G2685" s="352"/>
      <c r="H2685" s="387"/>
      <c r="I2685" s="500"/>
      <c r="J2685" s="351"/>
      <c r="K2685" s="351"/>
      <c r="L2685" s="353"/>
      <c r="M2685" s="354"/>
      <c r="N2685" s="422"/>
      <c r="O2685" s="423"/>
      <c r="P2685" s="421"/>
      <c r="Q2685" s="355"/>
      <c r="R2685" s="356"/>
      <c r="S2685" s="437"/>
      <c r="T2685" s="438"/>
      <c r="U2685" s="438"/>
      <c r="V2685" s="438"/>
      <c r="W2685" s="438"/>
      <c r="X2685" s="439"/>
      <c r="Y2685" s="357"/>
      <c r="Z2685" s="432"/>
      <c r="AA2685" s="433"/>
      <c r="AB2685" s="433"/>
      <c r="AC2685" s="433"/>
      <c r="AD2685" s="433"/>
      <c r="AE2685" s="434"/>
      <c r="AF2685" s="358"/>
      <c r="AG2685" s="358"/>
      <c r="AH2685" s="359"/>
    </row>
    <row r="2686" spans="1:34" x14ac:dyDescent="0.25">
      <c r="A2686" s="350"/>
      <c r="B2686" s="351"/>
      <c r="C2686" s="351"/>
      <c r="D2686" s="352"/>
      <c r="E2686" s="351"/>
      <c r="F2686" s="351"/>
      <c r="G2686" s="352"/>
      <c r="H2686" s="387"/>
      <c r="I2686" s="500"/>
      <c r="J2686" s="351"/>
      <c r="K2686" s="351"/>
      <c r="L2686" s="353"/>
      <c r="M2686" s="354"/>
      <c r="N2686" s="422"/>
      <c r="O2686" s="423"/>
      <c r="P2686" s="421"/>
      <c r="Q2686" s="355"/>
      <c r="R2686" s="356"/>
      <c r="S2686" s="437"/>
      <c r="T2686" s="438"/>
      <c r="U2686" s="438"/>
      <c r="V2686" s="438"/>
      <c r="W2686" s="438"/>
      <c r="X2686" s="439"/>
      <c r="Y2686" s="357"/>
      <c r="Z2686" s="432"/>
      <c r="AA2686" s="433"/>
      <c r="AB2686" s="433"/>
      <c r="AC2686" s="433"/>
      <c r="AD2686" s="433"/>
      <c r="AE2686" s="434"/>
      <c r="AF2686" s="358"/>
      <c r="AG2686" s="358"/>
      <c r="AH2686" s="359"/>
    </row>
    <row r="2687" spans="1:34" x14ac:dyDescent="0.25">
      <c r="A2687" s="350"/>
      <c r="B2687" s="351"/>
      <c r="C2687" s="351"/>
      <c r="D2687" s="352"/>
      <c r="E2687" s="351"/>
      <c r="F2687" s="351"/>
      <c r="G2687" s="352"/>
      <c r="H2687" s="387"/>
      <c r="I2687" s="500"/>
      <c r="J2687" s="351"/>
      <c r="K2687" s="351"/>
      <c r="L2687" s="353"/>
      <c r="M2687" s="354"/>
      <c r="N2687" s="422"/>
      <c r="O2687" s="423"/>
      <c r="P2687" s="421"/>
      <c r="Q2687" s="355"/>
      <c r="R2687" s="356"/>
      <c r="S2687" s="437"/>
      <c r="T2687" s="438"/>
      <c r="U2687" s="438"/>
      <c r="V2687" s="438"/>
      <c r="W2687" s="438"/>
      <c r="X2687" s="439"/>
      <c r="Y2687" s="357"/>
      <c r="Z2687" s="432"/>
      <c r="AA2687" s="433"/>
      <c r="AB2687" s="433"/>
      <c r="AC2687" s="433"/>
      <c r="AD2687" s="433"/>
      <c r="AE2687" s="434"/>
      <c r="AF2687" s="358"/>
      <c r="AG2687" s="358"/>
      <c r="AH2687" s="359"/>
    </row>
    <row r="2688" spans="1:34" x14ac:dyDescent="0.25">
      <c r="A2688" s="350"/>
      <c r="B2688" s="351"/>
      <c r="C2688" s="351"/>
      <c r="D2688" s="352"/>
      <c r="E2688" s="351"/>
      <c r="F2688" s="351"/>
      <c r="G2688" s="352"/>
      <c r="H2688" s="387"/>
      <c r="I2688" s="500"/>
      <c r="J2688" s="351"/>
      <c r="K2688" s="351"/>
      <c r="L2688" s="353"/>
      <c r="M2688" s="354"/>
      <c r="N2688" s="422"/>
      <c r="O2688" s="423"/>
      <c r="P2688" s="421"/>
      <c r="Q2688" s="355"/>
      <c r="R2688" s="356"/>
      <c r="S2688" s="437"/>
      <c r="T2688" s="438"/>
      <c r="U2688" s="438"/>
      <c r="V2688" s="438"/>
      <c r="W2688" s="438"/>
      <c r="X2688" s="439"/>
      <c r="Y2688" s="357"/>
      <c r="Z2688" s="432"/>
      <c r="AA2688" s="433"/>
      <c r="AB2688" s="433"/>
      <c r="AC2688" s="433"/>
      <c r="AD2688" s="433"/>
      <c r="AE2688" s="434"/>
      <c r="AF2688" s="358"/>
      <c r="AG2688" s="358"/>
      <c r="AH2688" s="359"/>
    </row>
    <row r="2689" spans="1:34" ht="15.75" thickBot="1" x14ac:dyDescent="0.3">
      <c r="A2689" s="350"/>
      <c r="B2689" s="351"/>
      <c r="C2689" s="351"/>
      <c r="D2689" s="352"/>
      <c r="E2689" s="351"/>
      <c r="F2689" s="351"/>
      <c r="G2689" s="352"/>
      <c r="H2689" s="387"/>
      <c r="I2689" s="500"/>
      <c r="J2689" s="351"/>
      <c r="K2689" s="351"/>
      <c r="L2689" s="353"/>
      <c r="M2689" s="354"/>
      <c r="N2689" s="422"/>
      <c r="O2689" s="423"/>
      <c r="P2689" s="421"/>
      <c r="Q2689" s="355"/>
      <c r="R2689" s="356"/>
      <c r="S2689" s="437"/>
      <c r="T2689" s="438"/>
      <c r="U2689" s="438"/>
      <c r="V2689" s="438"/>
      <c r="W2689" s="438"/>
      <c r="X2689" s="439"/>
      <c r="Y2689" s="357"/>
      <c r="Z2689" s="432"/>
      <c r="AA2689" s="433"/>
      <c r="AB2689" s="433"/>
      <c r="AC2689" s="433"/>
      <c r="AD2689" s="433"/>
      <c r="AE2689" s="434"/>
      <c r="AF2689" s="358"/>
      <c r="AG2689" s="358"/>
      <c r="AH2689" s="359"/>
    </row>
    <row r="2690" spans="1:34" ht="15" customHeight="1" x14ac:dyDescent="0.25">
      <c r="A2690" s="501" t="s">
        <v>3371</v>
      </c>
      <c r="B2690" s="502"/>
      <c r="C2690" s="502"/>
      <c r="D2690" s="502"/>
      <c r="E2690" s="502"/>
      <c r="F2690" s="502"/>
      <c r="G2690" s="502"/>
      <c r="H2690" s="502"/>
      <c r="I2690" s="502"/>
      <c r="J2690" s="502"/>
      <c r="K2690" s="502"/>
      <c r="L2690" s="502"/>
      <c r="M2690" s="502"/>
      <c r="N2690" s="502"/>
      <c r="O2690" s="502"/>
      <c r="P2690" s="502"/>
      <c r="Q2690" s="502"/>
      <c r="R2690" s="502"/>
      <c r="S2690" s="502"/>
      <c r="T2690" s="502"/>
      <c r="U2690" s="502"/>
      <c r="V2690" s="502"/>
      <c r="W2690" s="502"/>
      <c r="X2690" s="502"/>
      <c r="Y2690" s="502"/>
      <c r="Z2690" s="502"/>
      <c r="AA2690" s="502"/>
      <c r="AB2690" s="502"/>
      <c r="AC2690" s="502"/>
      <c r="AD2690" s="502"/>
      <c r="AE2690" s="502"/>
      <c r="AF2690" s="502"/>
      <c r="AG2690" s="502"/>
      <c r="AH2690" s="503"/>
    </row>
    <row r="2691" spans="1:34" ht="15.75" customHeight="1" thickBot="1" x14ac:dyDescent="0.3">
      <c r="A2691" s="504"/>
      <c r="B2691" s="505"/>
      <c r="C2691" s="505"/>
      <c r="D2691" s="505"/>
      <c r="E2691" s="505"/>
      <c r="F2691" s="505"/>
      <c r="G2691" s="505"/>
      <c r="H2691" s="505"/>
      <c r="I2691" s="505"/>
      <c r="J2691" s="505"/>
      <c r="K2691" s="505"/>
      <c r="L2691" s="505"/>
      <c r="M2691" s="505"/>
      <c r="N2691" s="505"/>
      <c r="O2691" s="505"/>
      <c r="P2691" s="505"/>
      <c r="Q2691" s="505"/>
      <c r="R2691" s="505"/>
      <c r="S2691" s="505"/>
      <c r="T2691" s="505"/>
      <c r="U2691" s="505"/>
      <c r="V2691" s="505"/>
      <c r="W2691" s="505"/>
      <c r="X2691" s="505"/>
      <c r="Y2691" s="505"/>
      <c r="Z2691" s="505"/>
      <c r="AA2691" s="505"/>
      <c r="AB2691" s="505"/>
      <c r="AC2691" s="505"/>
      <c r="AD2691" s="505"/>
      <c r="AE2691" s="505"/>
      <c r="AF2691" s="505"/>
      <c r="AG2691" s="505"/>
      <c r="AH2691" s="506"/>
    </row>
    <row r="2692" spans="1:34" ht="19.5" customHeight="1" thickBot="1" x14ac:dyDescent="0.3">
      <c r="A2692" s="507" t="s">
        <v>302</v>
      </c>
      <c r="B2692" s="508"/>
      <c r="C2692" s="508"/>
      <c r="D2692" s="508"/>
      <c r="E2692" s="508"/>
      <c r="F2692" s="508"/>
      <c r="G2692" s="508"/>
      <c r="H2692" s="508"/>
      <c r="I2692" s="508"/>
      <c r="J2692" s="509"/>
      <c r="K2692" s="371">
        <f>SUM(K6:K2689)</f>
        <v>2622</v>
      </c>
      <c r="L2692" s="371">
        <f>SUM(L6:L2689)</f>
        <v>2622</v>
      </c>
      <c r="M2692" s="372"/>
      <c r="N2692" s="424">
        <f>SUMPRODUCT(K6:K2689,N6:N2689)/K2692</f>
        <v>0.93344774980930589</v>
      </c>
      <c r="O2692" s="425">
        <f>SUM(O6:O2689)</f>
        <v>940.5</v>
      </c>
      <c r="P2692" s="426">
        <f>SUMPRODUCT(K6:K2689,P6:P2689)/K2692</f>
        <v>0.35869565217391303</v>
      </c>
      <c r="Q2692" s="373"/>
      <c r="R2692" s="374">
        <f>SUM(R6:R2689)</f>
        <v>2123</v>
      </c>
      <c r="S2692" s="427">
        <f>SUM(S6:S2689)</f>
        <v>399</v>
      </c>
      <c r="T2692" s="427">
        <f>SUM(T6:T2689)</f>
        <v>399</v>
      </c>
      <c r="U2692" s="374">
        <f>SUM(U6:U2689)</f>
        <v>0</v>
      </c>
      <c r="V2692" s="374">
        <f>SUM(V6:V2689)</f>
        <v>0</v>
      </c>
      <c r="W2692" s="374">
        <f>SUM(W6:W2689)</f>
        <v>0</v>
      </c>
      <c r="X2692" s="428">
        <f>IF((S2692=0),0,((T2692+U2692)/S2692*100%))</f>
        <v>1</v>
      </c>
      <c r="Y2692" s="375"/>
      <c r="Z2692" s="429">
        <f>SUM(Z6:Z2689)</f>
        <v>0</v>
      </c>
      <c r="AA2692" s="430">
        <f>SUM(AA6:AA2689)</f>
        <v>0</v>
      </c>
      <c r="AB2692" s="430">
        <f>SUM(AB6:AB2689)</f>
        <v>0</v>
      </c>
      <c r="AC2692" s="430">
        <f>SUM(AC6:AC2689)</f>
        <v>0</v>
      </c>
      <c r="AD2692" s="430">
        <f>SUM(AD6:AD2689)</f>
        <v>0</v>
      </c>
      <c r="AE2692" s="431">
        <f>IF((Z2692=0),0,((AA2692+AB2692)/Z2692*100%))</f>
        <v>0</v>
      </c>
      <c r="AF2692" s="376"/>
      <c r="AG2692" s="376"/>
      <c r="AH2692" s="377"/>
    </row>
    <row r="2694" spans="1:34" x14ac:dyDescent="0.25">
      <c r="L2694" s="170" t="s">
        <v>3372</v>
      </c>
    </row>
  </sheetData>
  <sheetProtection insertColumns="0" insertRows="0" deleteRows="0" sort="0"/>
  <autoFilter ref="A5:AH2692" xr:uid="{00000000-0009-0000-0000-000002000000}">
    <filterColumn colId="13">
      <filters blank="1">
        <filter val="100%"/>
        <filter val="50%"/>
        <filter val="94.9%"/>
      </filters>
    </filterColumn>
  </autoFilter>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Q1600:Q2689</xm:sqref>
        </x14:dataValidation>
        <x14:dataValidation type="list" allowBlank="1" showInputMessage="1" showErrorMessage="1" xr:uid="{237AC15D-702E-46B4-89E7-DAB1EF5DAEB1}">
          <x14:formula1>
            <xm:f>'List Options'!$E$1:$E$7</xm:f>
          </x14:formula1>
          <xm:sqref>Q6:Q1599</xm:sqref>
        </x14:dataValidation>
        <x14:dataValidation type="list" allowBlank="1" showInputMessage="1" showErrorMessage="1" xr:uid="{5513F172-4253-4807-A8CE-34D720193895}">
          <x14:formula1>
            <xm:f>'List Options'!$G$1:$G$3</xm:f>
          </x14:formula1>
          <xm:sqref>M6:M2689</xm:sqref>
        </x14:dataValidation>
        <x14:dataValidation type="list" allowBlank="1" showInputMessage="1" showErrorMessage="1" xr:uid="{8B92A7F6-7ABF-446A-A0A1-23D59ABEAA7C}">
          <x14:formula1>
            <xm:f>'List Options'!$K$1:$K$6</xm:f>
          </x14:formula1>
          <xm:sqref>I6:I2689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C4" activePane="bottomRight" state="frozen"/>
      <selection pane="topRight" activeCell="B1" sqref="B1"/>
      <selection pane="bottomLeft" activeCell="A4" sqref="A4"/>
      <selection pane="bottomRight" activeCell="C14" sqref="C1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89" t="s">
        <v>3373</v>
      </c>
      <c r="B1" s="590"/>
      <c r="C1" s="590"/>
      <c r="D1" s="590"/>
      <c r="E1" s="590"/>
      <c r="F1" s="590"/>
      <c r="G1" s="590"/>
      <c r="H1" s="590"/>
      <c r="I1" s="590"/>
      <c r="J1" s="590"/>
      <c r="K1" s="590"/>
      <c r="L1" s="590"/>
      <c r="M1" s="590"/>
      <c r="N1" s="590"/>
      <c r="O1" s="590"/>
      <c r="P1" s="590"/>
      <c r="Q1" s="590"/>
      <c r="R1" s="590"/>
      <c r="S1" s="590"/>
      <c r="T1" s="590"/>
      <c r="U1" s="590"/>
      <c r="V1" s="591"/>
    </row>
    <row r="2" spans="1:22" ht="15.75" thickBot="1" x14ac:dyDescent="0.3">
      <c r="A2" s="217" t="s">
        <v>3374</v>
      </c>
      <c r="B2" s="592" t="s">
        <v>166</v>
      </c>
      <c r="C2" s="592"/>
      <c r="D2" s="592"/>
      <c r="E2" s="592"/>
      <c r="F2" s="592"/>
      <c r="G2" s="593" t="s">
        <v>177</v>
      </c>
      <c r="H2" s="594"/>
      <c r="I2" s="594"/>
      <c r="J2" s="594"/>
      <c r="K2" s="594"/>
      <c r="L2" s="594"/>
      <c r="M2" s="594"/>
      <c r="N2" s="595"/>
      <c r="O2" s="596" t="s">
        <v>144</v>
      </c>
      <c r="P2" s="597"/>
      <c r="Q2" s="597"/>
      <c r="R2" s="597"/>
      <c r="S2" s="597"/>
      <c r="T2" s="597"/>
      <c r="U2" s="597"/>
      <c r="V2" s="598"/>
    </row>
    <row r="3" spans="1:22" s="250" customFormat="1" ht="30.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310</v>
      </c>
      <c r="B4" s="251">
        <f>SUMIFS('Diags Raw Data'!$L$6:$L$7306,'Diags Raw Data'!$D$6:$D$7306,$A4)</f>
        <v>19</v>
      </c>
      <c r="C4" s="241">
        <f>SUMIFS('Diags Raw Data'!$R$6:$R$7306,'Diags Raw Data'!$D$6:$D$7306,$A4)</f>
        <v>19</v>
      </c>
      <c r="D4" s="241">
        <f>SUMIFS('Diags Raw Data'!$K$6:$K$7306,'Diags Raw Data'!$D$6:$D$7306,$A4)</f>
        <v>19</v>
      </c>
      <c r="E4" s="241">
        <f>SUMIFS('Diags Raw Data'!$O$6:$O$7306,'Diags Raw Data'!$D$6:$D$7306,$A4)</f>
        <v>2</v>
      </c>
      <c r="F4" s="247">
        <f>IF(NOT($B4=0), E4/$B4, "---")</f>
        <v>0.10526315789473684</v>
      </c>
      <c r="G4" s="219">
        <f>SUMIFS('Diags Raw Data'!$S$6:$S$7306,'Diags Raw Data'!$D$6:$D$7306,$A4)</f>
        <v>7</v>
      </c>
      <c r="H4" s="220">
        <f>SUMIFS('Diags Raw Data'!$T$6:$T$7306,'Diags Raw Data'!$D$6:$D$7306,$A4)</f>
        <v>7</v>
      </c>
      <c r="I4" s="222">
        <f>SUMIFS('Diags Raw Data'!$U$6:$U$7306,'Diags Raw Data'!$D$6:$D$7306,$A4)</f>
        <v>0</v>
      </c>
      <c r="J4" s="220">
        <f>SUMIFS('Diags Raw Data'!$V$6:$V$7306,'Diags Raw Data'!$D$6:$D$7306,$A4)</f>
        <v>0</v>
      </c>
      <c r="K4" s="222">
        <f>SUMIFS('Diags Raw Data'!$W$6:$W$7306,'Diags Raw Data'!$D$6:$D$7306,$A4)</f>
        <v>0</v>
      </c>
      <c r="L4" s="221">
        <f>IF(NOT($C4=0), G4/$C4, "---")</f>
        <v>0.36842105263157893</v>
      </c>
      <c r="M4" s="223">
        <f>IF(NOT($G4=0), (H4+I4)/$G4, "---")</f>
        <v>1</v>
      </c>
      <c r="N4" s="225">
        <f>IF(NOT($C4=0), (H4+I4)/$C4, "---")</f>
        <v>0.36842105263157893</v>
      </c>
      <c r="O4" s="212">
        <f>SUMIFS('Diags Raw Data'!$Z$6:$Z$7306,'Diags Raw Data'!$D$6:$D$7306,$A4)</f>
        <v>0</v>
      </c>
      <c r="P4" s="209">
        <f>SUMIFS('Diags Raw Data'!$AA$6:$AA$7306,'Diags Raw Data'!$D$6:$D$7306,$A4)</f>
        <v>0</v>
      </c>
      <c r="Q4" s="211">
        <f>SUMIFS('Diags Raw Data'!$AB$6:$AB$7306,'Diags Raw Data'!$D$6:$D$7306,$A4)</f>
        <v>0</v>
      </c>
      <c r="R4" s="209">
        <f>SUMIFS('Diags Raw Data'!$AC$6:$AC$7306,'Diags Raw Data'!$D$6:$D$7306,$A4)</f>
        <v>0</v>
      </c>
      <c r="S4" s="211">
        <f>SUMIFS('Diags Raw Data'!$AD$6:$AD$7306,'Diags Raw Data'!$D$6:$D$7306,$A4)</f>
        <v>0</v>
      </c>
      <c r="T4" s="210">
        <f>IF(NOT($B4=0), O4/$B4, "---")</f>
        <v>0</v>
      </c>
      <c r="U4" s="224" t="str">
        <f>IF(NOT($O4=0), (P4+Q4)/$O4, "---")</f>
        <v>---</v>
      </c>
      <c r="V4" s="240">
        <f>IF(NOT($B4=0), (P4+Q4)/$B4, "---")</f>
        <v>0</v>
      </c>
    </row>
    <row r="5" spans="1:22" x14ac:dyDescent="0.25">
      <c r="A5" s="330" t="s">
        <v>370</v>
      </c>
      <c r="B5" s="252">
        <f>SUMIFS('Diags Raw Data'!$L$6:$L$7306,'Diags Raw Data'!$D$6:$D$7306,$A5)</f>
        <v>570</v>
      </c>
      <c r="C5" s="242">
        <f>SUMIFS('Diags Raw Data'!$R$6:$R$7306,'Diags Raw Data'!$D$6:$D$7306,$A5)</f>
        <v>156</v>
      </c>
      <c r="D5" s="242">
        <f>SUMIFS('Diags Raw Data'!$K$6:$K$7306,'Diags Raw Data'!$D$6:$D$7306,$A5)</f>
        <v>570</v>
      </c>
      <c r="E5" s="242">
        <f>SUMIFS('Diags Raw Data'!$O$6:$O$7306,'Diags Raw Data'!$D$6:$D$7306,$A5)</f>
        <v>351</v>
      </c>
      <c r="F5" s="248">
        <f t="shared" ref="F5:F12" si="0">IF(NOT($B5=0), E5/$B5, "---")</f>
        <v>0.61578947368421055</v>
      </c>
      <c r="G5" s="230">
        <f>SUMIFS('Diags Raw Data'!$S$6:$S$7306,'Diags Raw Data'!$D$6:$D$7306,$A5)</f>
        <v>114</v>
      </c>
      <c r="H5" s="226">
        <f>SUMIFS('Diags Raw Data'!$T$6:$T$7306,'Diags Raw Data'!$D$6:$D$7306,$A5)</f>
        <v>114</v>
      </c>
      <c r="I5" s="227">
        <f>SUMIFS('Diags Raw Data'!$U$6:$U$7306,'Diags Raw Data'!$D$6:$D$7306,$A5)</f>
        <v>0</v>
      </c>
      <c r="J5" s="226">
        <f>SUMIFS('Diags Raw Data'!$V$6:$V$7306,'Diags Raw Data'!$D$6:$D$7306,$A5)</f>
        <v>0</v>
      </c>
      <c r="K5" s="227">
        <f>SUMIFS('Diags Raw Data'!$W$6:$W$7306,'Diags Raw Data'!$D$6:$D$7306,$A5)</f>
        <v>0</v>
      </c>
      <c r="L5" s="243">
        <f t="shared" ref="L5:L13" si="1">IF(NOT($C5=0), G5/$C5, "---")</f>
        <v>0.73076923076923073</v>
      </c>
      <c r="M5" s="228">
        <f t="shared" ref="M5:M13" si="2">IF(NOT($G5=0), (H5+I5)/$G5, "---")</f>
        <v>1</v>
      </c>
      <c r="N5" s="237">
        <f t="shared" ref="N5:N12" si="3">IF(NOT($C5=0), (H5+I5)/$C5, "---")</f>
        <v>0.73076923076923073</v>
      </c>
      <c r="O5" s="213">
        <f>SUMIFS('Diags Raw Data'!$Z$6:$Z$7306,'Diags Raw Data'!$D$6:$D$7306,$A5)</f>
        <v>0</v>
      </c>
      <c r="P5" s="203">
        <f>SUMIFS('Diags Raw Data'!$AA$6:$AA$7306,'Diags Raw Data'!$D$6:$D$7306,$A5)</f>
        <v>0</v>
      </c>
      <c r="Q5" s="205">
        <f>SUMIFS('Diags Raw Data'!$AB$6:$AB$7306,'Diags Raw Data'!$D$6:$D$7306,$A5)</f>
        <v>0</v>
      </c>
      <c r="R5" s="203">
        <f>SUMIFS('Diags Raw Data'!$AC$6:$AC$7306,'Diags Raw Data'!$D$6:$D$7306,$A5)</f>
        <v>0</v>
      </c>
      <c r="S5" s="205">
        <f>SUMIFS('Diags Raw Data'!$AD$6:$AD$7306,'Diags Raw Data'!$D$6:$D$7306,$A5)</f>
        <v>0</v>
      </c>
      <c r="T5" s="204">
        <f t="shared" ref="T5:T13" si="4">IF(NOT($B5=0), O5/$B5, "---")</f>
        <v>0</v>
      </c>
      <c r="U5" s="229" t="str">
        <f t="shared" ref="U5:U8" si="5">IF(NOT($O5=0), (P5+Q5)/$O5, "---")</f>
        <v>---</v>
      </c>
      <c r="V5" s="231">
        <f t="shared" ref="V5:V13" si="6">IF(NOT($B5=0), (P5+Q5)/$B5, "---")</f>
        <v>0</v>
      </c>
    </row>
    <row r="6" spans="1:22" x14ac:dyDescent="0.25">
      <c r="A6" s="330" t="s">
        <v>329</v>
      </c>
      <c r="B6" s="252">
        <f>SUMIFS('Diags Raw Data'!$L$6:$L$7306,'Diags Raw Data'!$D$6:$D$7306,$A6)</f>
        <v>328</v>
      </c>
      <c r="C6" s="242">
        <f>SUMIFS('Diags Raw Data'!$R$6:$R$7306,'Diags Raw Data'!$D$6:$D$7306,$A6)</f>
        <v>322</v>
      </c>
      <c r="D6" s="242">
        <f>SUMIFS('Diags Raw Data'!$K$6:$K$7306,'Diags Raw Data'!$D$6:$D$7306,$A6)</f>
        <v>328</v>
      </c>
      <c r="E6" s="242">
        <f>SUMIFS('Diags Raw Data'!$O$6:$O$7306,'Diags Raw Data'!$D$6:$D$7306,$A6)</f>
        <v>176</v>
      </c>
      <c r="F6" s="248">
        <f t="shared" si="0"/>
        <v>0.53658536585365857</v>
      </c>
      <c r="G6" s="230">
        <f>SUMIFS('Diags Raw Data'!$S$6:$S$7306,'Diags Raw Data'!$D$6:$D$7306,$A6)</f>
        <v>0</v>
      </c>
      <c r="H6" s="226">
        <f>SUMIFS('Diags Raw Data'!$T$6:$T$7306,'Diags Raw Data'!$D$6:$D$7306,$A6)</f>
        <v>0</v>
      </c>
      <c r="I6" s="227">
        <f>SUMIFS('Diags Raw Data'!$U$6:$U$7306,'Diags Raw Data'!$D$6:$D$7306,$A6)</f>
        <v>0</v>
      </c>
      <c r="J6" s="226">
        <f>SUMIFS('Diags Raw Data'!$V$6:$V$7306,'Diags Raw Data'!$D$6:$D$7306,$A6)</f>
        <v>0</v>
      </c>
      <c r="K6" s="227">
        <f>SUMIFS('Diags Raw Data'!$W$6:$W$7306,'Diags Raw Data'!$D$6:$D$7306,$A6)</f>
        <v>0</v>
      </c>
      <c r="L6" s="243">
        <f t="shared" si="1"/>
        <v>0</v>
      </c>
      <c r="M6" s="228" t="str">
        <f t="shared" si="2"/>
        <v>---</v>
      </c>
      <c r="N6" s="237">
        <f t="shared" si="3"/>
        <v>0</v>
      </c>
      <c r="O6" s="213">
        <f>SUMIFS('Diags Raw Data'!$Z$6:$Z$7306,'Diags Raw Data'!$D$6:$D$7306,$A6)</f>
        <v>0</v>
      </c>
      <c r="P6" s="203">
        <f>SUMIFS('Diags Raw Data'!$AA$6:$AA$7306,'Diags Raw Data'!$D$6:$D$7306,$A6)</f>
        <v>0</v>
      </c>
      <c r="Q6" s="205">
        <f>SUMIFS('Diags Raw Data'!$AB$6:$AB$7306,'Diags Raw Data'!$D$6:$D$7306,$A6)</f>
        <v>0</v>
      </c>
      <c r="R6" s="203">
        <f>SUMIFS('Diags Raw Data'!$AC$6:$AC$7306,'Diags Raw Data'!$D$6:$D$7306,$A6)</f>
        <v>0</v>
      </c>
      <c r="S6" s="205">
        <f>SUMIFS('Diags Raw Data'!$AD$6:$AD$7306,'Diags Raw Data'!$D$6:$D$7306,$A6)</f>
        <v>0</v>
      </c>
      <c r="T6" s="204">
        <f t="shared" si="4"/>
        <v>0</v>
      </c>
      <c r="U6" s="229" t="str">
        <f t="shared" si="5"/>
        <v>---</v>
      </c>
      <c r="V6" s="231">
        <f t="shared" si="6"/>
        <v>0</v>
      </c>
    </row>
    <row r="7" spans="1:22" x14ac:dyDescent="0.25">
      <c r="A7" s="330" t="s">
        <v>383</v>
      </c>
      <c r="B7" s="252">
        <f>SUMIFS('Diags Raw Data'!$L$6:$L$7306,'Diags Raw Data'!$D$6:$D$7306,$A7)</f>
        <v>411</v>
      </c>
      <c r="C7" s="242">
        <f>SUMIFS('Diags Raw Data'!$R$6:$R$7306,'Diags Raw Data'!$D$6:$D$7306,$A7)</f>
        <v>402</v>
      </c>
      <c r="D7" s="242">
        <f>SUMIFS('Diags Raw Data'!$K$6:$K$7306,'Diags Raw Data'!$D$6:$D$7306,$A7)</f>
        <v>411</v>
      </c>
      <c r="E7" s="242">
        <f>SUMIFS('Diags Raw Data'!$O$6:$O$7306,'Diags Raw Data'!$D$6:$D$7306,$A7)</f>
        <v>339.5</v>
      </c>
      <c r="F7" s="248">
        <f t="shared" si="0"/>
        <v>0.82603406326034068</v>
      </c>
      <c r="G7" s="230">
        <f>SUMIFS('Diags Raw Data'!$S$6:$S$7306,'Diags Raw Data'!$D$6:$D$7306,$A7)</f>
        <v>278</v>
      </c>
      <c r="H7" s="226">
        <f>SUMIFS('Diags Raw Data'!$T$6:$T$7306,'Diags Raw Data'!$D$6:$D$7306,$A7)</f>
        <v>278</v>
      </c>
      <c r="I7" s="227">
        <f>SUMIFS('Diags Raw Data'!$U$6:$U$7306,'Diags Raw Data'!$D$6:$D$7306,$A7)</f>
        <v>0</v>
      </c>
      <c r="J7" s="226">
        <f>SUMIFS('Diags Raw Data'!$V$6:$V$7306,'Diags Raw Data'!$D$6:$D$7306,$A7)</f>
        <v>0</v>
      </c>
      <c r="K7" s="227">
        <f>SUMIFS('Diags Raw Data'!$W$6:$W$7306,'Diags Raw Data'!$D$6:$D$7306,$A7)</f>
        <v>0</v>
      </c>
      <c r="L7" s="243">
        <f t="shared" si="1"/>
        <v>0.69154228855721389</v>
      </c>
      <c r="M7" s="228">
        <f t="shared" si="2"/>
        <v>1</v>
      </c>
      <c r="N7" s="237">
        <f t="shared" si="3"/>
        <v>0.69154228855721389</v>
      </c>
      <c r="O7" s="213">
        <f>SUMIFS('Diags Raw Data'!$Z$6:$Z$7306,'Diags Raw Data'!$D$6:$D$7306,$A7)</f>
        <v>0</v>
      </c>
      <c r="P7" s="203">
        <f>SUMIFS('Diags Raw Data'!$AA$6:$AA$7306,'Diags Raw Data'!$D$6:$D$7306,$A7)</f>
        <v>0</v>
      </c>
      <c r="Q7" s="205">
        <f>SUMIFS('Diags Raw Data'!$AB$6:$AB$7306,'Diags Raw Data'!$D$6:$D$7306,$A7)</f>
        <v>0</v>
      </c>
      <c r="R7" s="203">
        <f>SUMIFS('Diags Raw Data'!$AC$6:$AC$7306,'Diags Raw Data'!$D$6:$D$7306,$A7)</f>
        <v>0</v>
      </c>
      <c r="S7" s="205">
        <f>SUMIFS('Diags Raw Data'!$AD$6:$AD$7306,'Diags Raw Data'!$D$6:$D$7306,$A7)</f>
        <v>0</v>
      </c>
      <c r="T7" s="204">
        <f t="shared" si="4"/>
        <v>0</v>
      </c>
      <c r="U7" s="229" t="str">
        <f t="shared" si="5"/>
        <v>---</v>
      </c>
      <c r="V7" s="231">
        <f t="shared" si="6"/>
        <v>0</v>
      </c>
    </row>
    <row r="8" spans="1:22" x14ac:dyDescent="0.25">
      <c r="A8" s="330" t="s">
        <v>1778</v>
      </c>
      <c r="B8" s="252">
        <f>SUMIFS('Diags Raw Data'!$L$6:$L$7306,'Diags Raw Data'!$D$6:$D$7306,$A8)</f>
        <v>719</v>
      </c>
      <c r="C8" s="242">
        <f>SUMIFS('Diags Raw Data'!$R$6:$R$7306,'Diags Raw Data'!$D$6:$D$7306,$A8)</f>
        <v>679</v>
      </c>
      <c r="D8" s="242">
        <f>SUMIFS('Diags Raw Data'!$K$6:$K$7306,'Diags Raw Data'!$D$6:$D$7306,$A8)</f>
        <v>719</v>
      </c>
      <c r="E8" s="242">
        <f>SUMIFS('Diags Raw Data'!$O$6:$O$7306,'Diags Raw Data'!$D$6:$D$7306,$A8)</f>
        <v>72</v>
      </c>
      <c r="F8" s="248">
        <f t="shared" si="0"/>
        <v>0.10013908205841446</v>
      </c>
      <c r="G8" s="230">
        <f>SUMIFS('Diags Raw Data'!$S$6:$S$7306,'Diags Raw Data'!$D$6:$D$7306,$A8)</f>
        <v>0</v>
      </c>
      <c r="H8" s="226">
        <f>SUMIFS('Diags Raw Data'!$T$6:$T$7306,'Diags Raw Data'!$D$6:$D$7306,$A8)</f>
        <v>0</v>
      </c>
      <c r="I8" s="227">
        <f>SUMIFS('Diags Raw Data'!$U$6:$U$7306,'Diags Raw Data'!$D$6:$D$7306,$A8)</f>
        <v>0</v>
      </c>
      <c r="J8" s="226">
        <f>SUMIFS('Diags Raw Data'!$V$6:$V$7306,'Diags Raw Data'!$D$6:$D$7306,$A8)</f>
        <v>0</v>
      </c>
      <c r="K8" s="227">
        <f>SUMIFS('Diags Raw Data'!$W$6:$W$7306,'Diags Raw Data'!$D$6:$D$7306,$A8)</f>
        <v>0</v>
      </c>
      <c r="L8" s="243">
        <f t="shared" si="1"/>
        <v>0</v>
      </c>
      <c r="M8" s="228" t="str">
        <f t="shared" si="2"/>
        <v>---</v>
      </c>
      <c r="N8" s="237">
        <f t="shared" si="3"/>
        <v>0</v>
      </c>
      <c r="O8" s="213">
        <f>SUMIFS('Diags Raw Data'!$Z$6:$Z$7306,'Diags Raw Data'!$D$6:$D$7306,$A8)</f>
        <v>0</v>
      </c>
      <c r="P8" s="203">
        <f>SUMIFS('Diags Raw Data'!$AA$6:$AA$7306,'Diags Raw Data'!$D$6:$D$7306,$A8)</f>
        <v>0</v>
      </c>
      <c r="Q8" s="205">
        <f>SUMIFS('Diags Raw Data'!$AB$6:$AB$7306,'Diags Raw Data'!$D$6:$D$7306,$A8)</f>
        <v>0</v>
      </c>
      <c r="R8" s="203">
        <f>SUMIFS('Diags Raw Data'!$AC$6:$AC$7306,'Diags Raw Data'!$D$6:$D$7306,$A8)</f>
        <v>0</v>
      </c>
      <c r="S8" s="205">
        <f>SUMIFS('Diags Raw Data'!$AD$6:$AD$7306,'Diags Raw Data'!$D$6:$D$7306,$A8)</f>
        <v>0</v>
      </c>
      <c r="T8" s="204">
        <f t="shared" si="4"/>
        <v>0</v>
      </c>
      <c r="U8" s="229" t="str">
        <f t="shared" si="5"/>
        <v>---</v>
      </c>
      <c r="V8" s="231">
        <f t="shared" si="6"/>
        <v>0</v>
      </c>
    </row>
    <row r="9" spans="1:22" x14ac:dyDescent="0.25">
      <c r="A9" s="330" t="s">
        <v>2649</v>
      </c>
      <c r="B9" s="252">
        <f>SUMIFS('Diags Raw Data'!$L$6:$L$7306,'Diags Raw Data'!$D$6:$D$7306,$A9)</f>
        <v>425</v>
      </c>
      <c r="C9" s="242">
        <f>SUMIFS('Diags Raw Data'!$R$6:$R$7306,'Diags Raw Data'!$D$6:$D$7306,$A9)</f>
        <v>400</v>
      </c>
      <c r="D9" s="242">
        <f>SUMIFS('Diags Raw Data'!$K$6:$K$7306,'Diags Raw Data'!$D$6:$D$7306,$A9)</f>
        <v>425</v>
      </c>
      <c r="E9" s="242">
        <f>SUMIFS('Diags Raw Data'!$O$6:$O$7306,'Diags Raw Data'!$D$6:$D$7306,$A9)</f>
        <v>0</v>
      </c>
      <c r="F9" s="248">
        <f t="shared" si="0"/>
        <v>0</v>
      </c>
      <c r="G9" s="230">
        <f>SUMIFS('Diags Raw Data'!$S$6:$S$7306,'Diags Raw Data'!$D$6:$D$7306,$A9)</f>
        <v>0</v>
      </c>
      <c r="H9" s="226">
        <f>SUMIFS('Diags Raw Data'!$T$6:$T$7306,'Diags Raw Data'!$D$6:$D$7306,$A9)</f>
        <v>0</v>
      </c>
      <c r="I9" s="227">
        <f>SUMIFS('Diags Raw Data'!$U$6:$U$7306,'Diags Raw Data'!$D$6:$D$7306,$A9)</f>
        <v>0</v>
      </c>
      <c r="J9" s="226">
        <f>SUMIFS('Diags Raw Data'!$V$6:$V$7306,'Diags Raw Data'!$D$6:$D$7306,$A9)</f>
        <v>0</v>
      </c>
      <c r="K9" s="227">
        <f>SUMIFS('Diags Raw Data'!$W$6:$W$7306,'Diags Raw Data'!$D$6:$D$7306,$A9)</f>
        <v>0</v>
      </c>
      <c r="L9" s="243">
        <f t="shared" si="1"/>
        <v>0</v>
      </c>
      <c r="M9" s="228" t="str">
        <f t="shared" si="2"/>
        <v>---</v>
      </c>
      <c r="N9" s="237">
        <f t="shared" si="3"/>
        <v>0</v>
      </c>
      <c r="O9" s="213">
        <f>SUMIFS('Diags Raw Data'!$Z$6:$Z$7306,'Diags Raw Data'!$D$6:$D$7306,$A9)</f>
        <v>0</v>
      </c>
      <c r="P9" s="203">
        <f>SUMIFS('Diags Raw Data'!$AA$6:$AA$7306,'Diags Raw Data'!$D$6:$D$7306,$A9)</f>
        <v>0</v>
      </c>
      <c r="Q9" s="205">
        <f>SUMIFS('Diags Raw Data'!$AB$6:$AB$7306,'Diags Raw Data'!$D$6:$D$7306,$A9)</f>
        <v>0</v>
      </c>
      <c r="R9" s="203">
        <f>SUMIFS('Diags Raw Data'!$AC$6:$AC$7306,'Diags Raw Data'!$D$6:$D$7306,$A9)</f>
        <v>0</v>
      </c>
      <c r="S9" s="205">
        <f>SUMIFS('Diags Raw Data'!$AD$6:$AD$7306,'Diags Raw Data'!$D$6:$D$7306,$A9)</f>
        <v>0</v>
      </c>
      <c r="T9" s="204">
        <f t="shared" si="4"/>
        <v>0</v>
      </c>
      <c r="U9" s="229" t="str">
        <f>IF(NOT($O9=0), (P9+Q9)/$O9, "---")</f>
        <v>---</v>
      </c>
      <c r="V9" s="231">
        <f t="shared" si="6"/>
        <v>0</v>
      </c>
    </row>
    <row r="10" spans="1:22" x14ac:dyDescent="0.25">
      <c r="A10" s="330" t="s">
        <v>3233</v>
      </c>
      <c r="B10" s="252">
        <f>SUMIFS('Diags Raw Data'!$L$6:$L$7306,'Diags Raw Data'!$D$6:$D$7306,$A10)</f>
        <v>86</v>
      </c>
      <c r="C10" s="242">
        <f>SUMIFS('Diags Raw Data'!$R$6:$R$7306,'Diags Raw Data'!$D$6:$D$7306,$A10)</f>
        <v>86</v>
      </c>
      <c r="D10" s="242">
        <f>SUMIFS('Diags Raw Data'!$K$6:$K$7306,'Diags Raw Data'!$D$6:$D$7306,$A10)</f>
        <v>86</v>
      </c>
      <c r="E10" s="242">
        <f>SUMIFS('Diags Raw Data'!$O$6:$O$7306,'Diags Raw Data'!$D$6:$D$7306,$A10)</f>
        <v>0</v>
      </c>
      <c r="F10" s="248">
        <f>IF(NOT($B10=0), E10/$B10, "---")</f>
        <v>0</v>
      </c>
      <c r="G10" s="230">
        <f>SUMIFS('Diags Raw Data'!$S$6:$S$7306,'Diags Raw Data'!$D$6:$D$7306,$A10)</f>
        <v>0</v>
      </c>
      <c r="H10" s="226">
        <f>SUMIFS('Diags Raw Data'!$T$6:$T$7306,'Diags Raw Data'!$D$6:$D$7306,$A10)</f>
        <v>0</v>
      </c>
      <c r="I10" s="227">
        <f>SUMIFS('Diags Raw Data'!$U$6:$U$7306,'Diags Raw Data'!$D$6:$D$7306,$A10)</f>
        <v>0</v>
      </c>
      <c r="J10" s="226">
        <f>SUMIFS('Diags Raw Data'!$V$6:$V$7306,'Diags Raw Data'!$D$6:$D$7306,$A10)</f>
        <v>0</v>
      </c>
      <c r="K10" s="227">
        <f>SUMIFS('Diags Raw Data'!$W$6:$W$7306,'Diags Raw Data'!$D$6:$D$7306,$A10)</f>
        <v>0</v>
      </c>
      <c r="L10" s="243">
        <f t="shared" si="1"/>
        <v>0</v>
      </c>
      <c r="M10" s="228" t="str">
        <f t="shared" si="2"/>
        <v>---</v>
      </c>
      <c r="N10" s="237">
        <f t="shared" si="3"/>
        <v>0</v>
      </c>
      <c r="O10" s="213">
        <f>SUMIFS('Diags Raw Data'!$Z$6:$Z$7306,'Diags Raw Data'!$D$6:$D$7306,$A10)</f>
        <v>0</v>
      </c>
      <c r="P10" s="203">
        <f>SUMIFS('Diags Raw Data'!$AA$6:$AA$7306,'Diags Raw Data'!$D$6:$D$7306,$A10)</f>
        <v>0</v>
      </c>
      <c r="Q10" s="205">
        <f>SUMIFS('Diags Raw Data'!$AB$6:$AB$7306,'Diags Raw Data'!$D$6:$D$7306,$A10)</f>
        <v>0</v>
      </c>
      <c r="R10" s="203">
        <f>SUMIFS('Diags Raw Data'!$AC$6:$AC$7306,'Diags Raw Data'!$D$6:$D$7306,$A10)</f>
        <v>0</v>
      </c>
      <c r="S10" s="205">
        <f>SUMIFS('Diags Raw Data'!$AD$6:$AD$7306,'Diags Raw Data'!$D$6:$D$7306,$A10)</f>
        <v>0</v>
      </c>
      <c r="T10" s="204">
        <f t="shared" si="4"/>
        <v>0</v>
      </c>
      <c r="U10" s="229" t="str">
        <f t="shared" ref="U10:U13" si="7">IF(NOT($O10=0), (P10+Q10)/$O10, "---")</f>
        <v>---</v>
      </c>
      <c r="V10" s="231">
        <f t="shared" si="6"/>
        <v>0</v>
      </c>
    </row>
    <row r="11" spans="1:22" x14ac:dyDescent="0.25">
      <c r="A11" s="330" t="s">
        <v>3271</v>
      </c>
      <c r="B11" s="252">
        <f>SUMIFS('Diags Raw Data'!$L$6:$L$7306,'Diags Raw Data'!$D$6:$D$7306,$A11)</f>
        <v>59</v>
      </c>
      <c r="C11" s="242">
        <f>SUMIFS('Diags Raw Data'!$R$6:$R$7306,'Diags Raw Data'!$D$6:$D$7306,$A11)</f>
        <v>59</v>
      </c>
      <c r="D11" s="242">
        <f>SUMIFS('Diags Raw Data'!$K$6:$K$7306,'Diags Raw Data'!$D$6:$D$7306,$A11)</f>
        <v>59</v>
      </c>
      <c r="E11" s="242">
        <f>SUMIFS('Diags Raw Data'!$O$6:$O$7306,'Diags Raw Data'!$D$6:$D$7306,$A11)</f>
        <v>0</v>
      </c>
      <c r="F11" s="248">
        <f t="shared" si="0"/>
        <v>0</v>
      </c>
      <c r="G11" s="230">
        <f>SUMIFS('Diags Raw Data'!$S$6:$S$7306,'Diags Raw Data'!$D$6:$D$7306,$A11)</f>
        <v>0</v>
      </c>
      <c r="H11" s="226">
        <f>SUMIFS('Diags Raw Data'!$T$6:$T$7306,'Diags Raw Data'!$D$6:$D$7306,$A11)</f>
        <v>0</v>
      </c>
      <c r="I11" s="227">
        <f>SUMIFS('Diags Raw Data'!$U$6:$U$7306,'Diags Raw Data'!$D$6:$D$7306,$A11)</f>
        <v>0</v>
      </c>
      <c r="J11" s="226">
        <f>SUMIFS('Diags Raw Data'!$V$6:$V$7306,'Diags Raw Data'!$D$6:$D$7306,$A11)</f>
        <v>0</v>
      </c>
      <c r="K11" s="227">
        <f>SUMIFS('Diags Raw Data'!$W$6:$W$7306,'Diags Raw Data'!$D$6:$D$7306,$A11)</f>
        <v>0</v>
      </c>
      <c r="L11" s="243">
        <f t="shared" si="1"/>
        <v>0</v>
      </c>
      <c r="M11" s="228" t="str">
        <f t="shared" si="2"/>
        <v>---</v>
      </c>
      <c r="N11" s="237">
        <f t="shared" si="3"/>
        <v>0</v>
      </c>
      <c r="O11" s="213">
        <f>SUMIFS('Diags Raw Data'!$Z$6:$Z$7306,'Diags Raw Data'!$D$6:$D$7306,$A11)</f>
        <v>0</v>
      </c>
      <c r="P11" s="203">
        <f>SUMIFS('Diags Raw Data'!$AA$6:$AA$7306,'Diags Raw Data'!$D$6:$D$7306,$A11)</f>
        <v>0</v>
      </c>
      <c r="Q11" s="205">
        <f>SUMIFS('Diags Raw Data'!$AB$6:$AB$7306,'Diags Raw Data'!$D$6:$D$7306,$A11)</f>
        <v>0</v>
      </c>
      <c r="R11" s="203">
        <f>SUMIFS('Diags Raw Data'!$AC$6:$AC$7306,'Diags Raw Data'!$D$6:$D$7306,$A11)</f>
        <v>0</v>
      </c>
      <c r="S11" s="205">
        <f>SUMIFS('Diags Raw Data'!$AD$6:$AD$7306,'Diags Raw Data'!$D$6:$D$7306,$A11)</f>
        <v>0</v>
      </c>
      <c r="T11" s="204">
        <f t="shared" si="4"/>
        <v>0</v>
      </c>
      <c r="U11" s="229" t="str">
        <f t="shared" si="7"/>
        <v>---</v>
      </c>
      <c r="V11" s="231">
        <f t="shared" si="6"/>
        <v>0</v>
      </c>
    </row>
    <row r="12" spans="1:22" x14ac:dyDescent="0.25">
      <c r="A12" s="330" t="s">
        <v>3359</v>
      </c>
      <c r="B12" s="252">
        <f>SUMIFS('Diags Raw Data'!$L$6:$L$7306,'Diags Raw Data'!$D$6:$D$7306,$A12)</f>
        <v>5</v>
      </c>
      <c r="C12" s="242">
        <f>SUMIFS('Diags Raw Data'!$R$6:$R$7306,'Diags Raw Data'!$D$6:$D$7306,$A12)</f>
        <v>0</v>
      </c>
      <c r="D12" s="242">
        <f>SUMIFS('Diags Raw Data'!$K$6:$K$7306,'Diags Raw Data'!$D$6:$D$7306,$A12)</f>
        <v>5</v>
      </c>
      <c r="E12" s="242">
        <f>SUMIFS('Diags Raw Data'!$O$6:$O$7306,'Diags Raw Data'!$D$6:$D$7306,$A12)</f>
        <v>0</v>
      </c>
      <c r="F12" s="248">
        <f t="shared" si="0"/>
        <v>0</v>
      </c>
      <c r="G12" s="230">
        <f>SUMIFS('Diags Raw Data'!$S$6:$S$7306,'Diags Raw Data'!$D$6:$D$7306,$A12)</f>
        <v>0</v>
      </c>
      <c r="H12" s="226">
        <f>SUMIFS('Diags Raw Data'!$T$6:$T$7306,'Diags Raw Data'!$D$6:$D$7306,$A12)</f>
        <v>0</v>
      </c>
      <c r="I12" s="227">
        <f>SUMIFS('Diags Raw Data'!$U$6:$U$7306,'Diags Raw Data'!$D$6:$D$7306,$A12)</f>
        <v>0</v>
      </c>
      <c r="J12" s="226">
        <f>SUMIFS('Diags Raw Data'!$V$6:$V$7306,'Diags Raw Data'!$D$6:$D$7306,$A12)</f>
        <v>0</v>
      </c>
      <c r="K12" s="227">
        <f>SUMIFS('Diags Raw Data'!$W$6:$W$7306,'Diags Raw Data'!$D$6:$D$7306,$A12)</f>
        <v>0</v>
      </c>
      <c r="L12" s="243" t="str">
        <f t="shared" si="1"/>
        <v>---</v>
      </c>
      <c r="M12" s="228" t="str">
        <f t="shared" si="2"/>
        <v>---</v>
      </c>
      <c r="N12" s="237" t="str">
        <f t="shared" si="3"/>
        <v>---</v>
      </c>
      <c r="O12" s="213">
        <f>SUMIFS('Diags Raw Data'!$Z$6:$Z$7306,'Diags Raw Data'!$D$6:$D$7306,$A12)</f>
        <v>0</v>
      </c>
      <c r="P12" s="203">
        <f>SUMIFS('Diags Raw Data'!$AA$6:$AA$7306,'Diags Raw Data'!$D$6:$D$7306,$A12)</f>
        <v>0</v>
      </c>
      <c r="Q12" s="205">
        <f>SUMIFS('Diags Raw Data'!$AB$6:$AB$7306,'Diags Raw Data'!$D$6:$D$7306,$A12)</f>
        <v>0</v>
      </c>
      <c r="R12" s="203">
        <f>SUMIFS('Diags Raw Data'!$AC$6:$AC$7306,'Diags Raw Data'!$D$6:$D$7306,$A12)</f>
        <v>0</v>
      </c>
      <c r="S12" s="205">
        <f>SUMIFS('Diags Raw Data'!$AD$6:$AD$7306,'Diags Raw Data'!$D$6:$D$7306,$A12)</f>
        <v>0</v>
      </c>
      <c r="T12" s="204">
        <f t="shared" si="4"/>
        <v>0</v>
      </c>
      <c r="U12" s="229" t="str">
        <f t="shared" si="7"/>
        <v>---</v>
      </c>
      <c r="V12" s="231">
        <f t="shared" si="6"/>
        <v>0</v>
      </c>
    </row>
    <row r="13" spans="1:22" ht="15.75" thickBot="1" x14ac:dyDescent="0.3">
      <c r="A13" s="331"/>
      <c r="B13" s="253">
        <f>SUMIFS('Diags Raw Data'!$L$6:$L$7306,'Diags Raw Data'!$D$6:$D$7306,$A13)</f>
        <v>0</v>
      </c>
      <c r="C13" s="244">
        <f>SUMIFS('Diags Raw Data'!$R$6:$R$7306,'Diags Raw Data'!$D$6:$D$7306,$A13)</f>
        <v>0</v>
      </c>
      <c r="D13" s="244">
        <f>SUMIFS('Diags Raw Data'!$K$6:$K$7306,'Diags Raw Data'!$D$6:$D$7306,$A13)</f>
        <v>0</v>
      </c>
      <c r="E13" s="244">
        <f>SUMIFS('Diags Raw Data'!$O$6:$O$7306,'Diags Raw Data'!$D$6:$D$7306,$A13)</f>
        <v>0</v>
      </c>
      <c r="F13" s="249" t="str">
        <f>IF(NOT($B13=0), E13/$B13, "---")</f>
        <v>---</v>
      </c>
      <c r="G13" s="232">
        <f>SUMIFS('Diags Raw Data'!$S$6:$S$7306,'Diags Raw Data'!$D$6:$D$7306,$A13)</f>
        <v>0</v>
      </c>
      <c r="H13" s="233">
        <f>SUMIFS('Diags Raw Data'!$T$6:$T$7306,'Diags Raw Data'!$D$6:$D$7306,$A13)</f>
        <v>0</v>
      </c>
      <c r="I13" s="234">
        <f>SUMIFS('Diags Raw Data'!$U$6:$U$7306,'Diags Raw Data'!$D$6:$D$7306,$A13)</f>
        <v>0</v>
      </c>
      <c r="J13" s="233">
        <f>SUMIFS('Diags Raw Data'!$V$6:$V$7306,'Diags Raw Data'!$D$6:$D$7306,$A13)</f>
        <v>0</v>
      </c>
      <c r="K13" s="234">
        <f>SUMIFS('Diags Raw Data'!$W$6:$W$7306,'Diags Raw Data'!$D$6:$D$7306,$A13)</f>
        <v>0</v>
      </c>
      <c r="L13" s="245" t="str">
        <f t="shared" si="1"/>
        <v>---</v>
      </c>
      <c r="M13" s="235" t="str">
        <f t="shared" si="2"/>
        <v>---</v>
      </c>
      <c r="N13" s="238" t="str">
        <f>IF(NOT($C13=0), (H13+I13)/$C13, "---")</f>
        <v>---</v>
      </c>
      <c r="O13" s="214">
        <f>SUMIFS('Diags Raw Data'!$Z$6:$Z$7306,'Diags Raw Data'!$D$6:$D$7306,$A13)</f>
        <v>0</v>
      </c>
      <c r="P13" s="206">
        <f>SUMIFS('Diags Raw Data'!$AA$6:$AA$7306,'Diags Raw Data'!$D$6:$D$7306,$A13)</f>
        <v>0</v>
      </c>
      <c r="Q13" s="208">
        <f>SUMIFS('Diags Raw Data'!$AB$6:$AB$7306,'Diags Raw Data'!$D$6:$D$7306,$A13)</f>
        <v>0</v>
      </c>
      <c r="R13" s="206">
        <f>SUMIFS('Diags Raw Data'!$AC$6:$AC$7306,'Diags Raw Data'!$D$6:$D$7306,$A13)</f>
        <v>0</v>
      </c>
      <c r="S13" s="208">
        <f>SUMIFS('Diags Raw Data'!$AD$6:$AD$7306,'Diags Raw Data'!$D$6:$D$7306,$A13)</f>
        <v>0</v>
      </c>
      <c r="T13" s="207" t="str">
        <f t="shared" si="4"/>
        <v>---</v>
      </c>
      <c r="U13" s="239" t="str">
        <f t="shared" si="7"/>
        <v>---</v>
      </c>
      <c r="V13" s="236" t="str">
        <f t="shared" si="6"/>
        <v>---</v>
      </c>
    </row>
    <row r="14" spans="1:22" ht="16.5" thickBot="1" x14ac:dyDescent="0.3">
      <c r="A14" s="272" t="s">
        <v>3375</v>
      </c>
      <c r="B14" s="256">
        <f>SUM(B4:B13)</f>
        <v>2622</v>
      </c>
      <c r="C14" s="257">
        <f>SUM(C4:C13)</f>
        <v>2123</v>
      </c>
      <c r="D14" s="257">
        <f>SUM(D4:D13)</f>
        <v>2622</v>
      </c>
      <c r="E14" s="257">
        <f>SUM(E4:E13)</f>
        <v>940.5</v>
      </c>
      <c r="F14" s="258" cm="1">
        <f t="array" ref="F14">SUMPRODUCT(--(ISNUMBER(SEARCH("New",'Diags Raw Data'!$M$6:$M$7306))),'Diags Raw Data'!$K$6:$K$7306,'Diags Raw Data'!$P$6:$P$7306)/D14+SUMPRODUCT(--(ISNUMBER(SEARCH("Delta",'Diags Raw Data'!$M$6:$M$7306))),'Diags Raw Data'!$K$6:$K$7306,'Diags Raw Data'!$P$6:$P$7306)/D14+SUMPRODUCT(--(ISNUMBER(SEARCH("Legacy",'Diags Raw Data'!$M$6:$M$7306))),'Diags Raw Data'!$K$6:$K$7306,'Diags Raw Data'!$P$6:$P$7306)/D14</f>
        <v>0.35869565217391303</v>
      </c>
      <c r="G14" s="259">
        <f>SUM(G4:G13)</f>
        <v>399</v>
      </c>
      <c r="H14" s="260">
        <f>SUM(H4:H13)</f>
        <v>399</v>
      </c>
      <c r="I14" s="261">
        <f>SUM(I4:I13)</f>
        <v>0</v>
      </c>
      <c r="J14" s="260">
        <f>SUM(J4:J13)</f>
        <v>0</v>
      </c>
      <c r="K14" s="261">
        <f>SUM(K4:K13)</f>
        <v>0</v>
      </c>
      <c r="L14" s="262">
        <f>IF(NOT($C14=0), G14/$C14, "---")</f>
        <v>0.1879415920866698</v>
      </c>
      <c r="M14" s="263">
        <f>IF(NOT($G14=0), (H14+I14)/$G14, "---")</f>
        <v>1</v>
      </c>
      <c r="N14" s="264">
        <f>IF(NOT($C14=0), (H14+I14)/$C14, "---")</f>
        <v>0.1879415920866698</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x14ac:dyDescent="0.3"/>
    <row r="16" spans="1:22" ht="15.75" thickBot="1" x14ac:dyDescent="0.3">
      <c r="A16" s="215" t="s">
        <v>3376</v>
      </c>
      <c r="B16" s="592" t="s">
        <v>166</v>
      </c>
      <c r="C16" s="592"/>
      <c r="D16" s="592"/>
      <c r="E16" s="592"/>
      <c r="F16" s="592"/>
      <c r="G16" s="593" t="s">
        <v>177</v>
      </c>
      <c r="H16" s="594"/>
      <c r="I16" s="594"/>
      <c r="J16" s="594"/>
      <c r="K16" s="594"/>
      <c r="L16" s="594"/>
      <c r="M16" s="594"/>
      <c r="N16" s="595"/>
      <c r="O16" s="596" t="s">
        <v>144</v>
      </c>
      <c r="P16" s="597"/>
      <c r="Q16" s="597"/>
      <c r="R16" s="597"/>
      <c r="S16" s="597"/>
      <c r="T16" s="597"/>
      <c r="U16" s="597"/>
      <c r="V16" s="598"/>
    </row>
    <row r="17" spans="1:22" s="250" customFormat="1" ht="30.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310</v>
      </c>
      <c r="B18" s="251">
        <f>SUMIFS('Diags Raw Data'!$L$6:$L$7306,'Diags Raw Data'!$D$6:$D$7306,$A18,'Diags Raw Data'!$M$6:$M$7306,"New")+SUMIFS('Diags Raw Data'!$L$6:$L$7306,'Diags Raw Data'!$D$6:$D$7306,$A18,'Diags Raw Data'!$M$6:$M$7306,"Delta")</f>
        <v>0</v>
      </c>
      <c r="C18" s="241">
        <f>SUMIFS('Diags Raw Data'!$R$6:$R$7306,'Diags Raw Data'!$D$6:$D$7306,$A18,'Diags Raw Data'!$M$6:$M$7306,"New")+SUMIFS('Diags Raw Data'!$R$6:$R$7306,'Diags Raw Data'!$D$6:$D$7306,$A18,'Diags Raw Data'!$M$6:$M$7306,"Delta")</f>
        <v>0</v>
      </c>
      <c r="D18" s="241">
        <f>SUMIFS('Diags Raw Data'!$K$6:$K$7306,'Diags Raw Data'!$D$6:$D$7306,$A18,'Diags Raw Data'!$M$6:$M$7306,"New")+SUMIFS('Diags Raw Data'!$K$6:$K$7306,'Diags Raw Data'!$D$6:$D$7306,$A18,'Diags Raw Data'!$M$6:$M$7306,"Delta")</f>
        <v>0</v>
      </c>
      <c r="E18" s="241">
        <f>SUMIFS('Diags Raw Data'!$O$6:$O$7306,'Diags Raw Data'!$D$6:$D$7306,$A18,'Diags Raw Data'!$M$6:$M$7306,"New")+SUMIFS('Diags Raw Data'!$O$6:$O$7306,'Diags Raw Data'!$D$6:$D$7306,$A18,'Diags Raw Data'!$M$6:$M$7306,"Delta")</f>
        <v>0</v>
      </c>
      <c r="F18" s="247" t="str">
        <f t="shared" ref="F18:F27" si="8">IF(NOT($B18=0), E18/$B18, "---")</f>
        <v>---</v>
      </c>
      <c r="G18" s="219">
        <f>SUMIFS('Diags Raw Data'!$S$6:$S$7306,'Diags Raw Data'!$D$6:$D$7306,$A18,'Diags Raw Data'!$M$6:$M$7306,"New")+SUMIFS('Diags Raw Data'!$S$6:$S$7306,'Diags Raw Data'!$D$6:$D$7306,$A18,'Diags Raw Data'!$M$6:$M$7306,"Delta")</f>
        <v>0</v>
      </c>
      <c r="H18" s="220">
        <f>SUMIFS('Diags Raw Data'!$T$6:$T$7306,'Diags Raw Data'!$D$6:$D$7306,$A18,'Diags Raw Data'!$M$6:$M$7306,"New")+SUMIFS('Diags Raw Data'!$T$6:$T$7306,'Diags Raw Data'!$D$6:$D$7306,$A18,'Diags Raw Data'!$M$6:$M$7306,"Delta")</f>
        <v>0</v>
      </c>
      <c r="I18" s="220">
        <f>SUMIFS('Diags Raw Data'!$U$6:$U$7306,'Diags Raw Data'!$D$6:$D$7306,$A18,'Diags Raw Data'!$M$6:$M$7306,"New")+SUMIFS('Diags Raw Data'!$U$6:$U$7306,'Diags Raw Data'!$D$6:$D$7306,$A18,'Diags Raw Data'!$M$6:$M$7306,"Delta")</f>
        <v>0</v>
      </c>
      <c r="J18" s="220">
        <f>SUMIFS('Diags Raw Data'!$V$6:$V$7306,'Diags Raw Data'!$D$6:$D$7306,$A18,'Diags Raw Data'!$M$6:$M$7306,"New")+SUMIFS('Diags Raw Data'!$V$6:$V$7306,'Diags Raw Data'!$D$6:$D$7306,$A18,'Diags Raw Data'!$M$6:$M$7306,"Delta")</f>
        <v>0</v>
      </c>
      <c r="K18" s="220">
        <f>SUMIFS('Diags Raw Data'!$W$6:$W$7306,'Diags Raw Data'!$D$6:$D$7306,$A18,'Diags Raw Data'!$M$6:$M$7306,"New")+SUMIFS('Diags Raw Data'!$W$6:$W$7306,'Diags Raw Data'!$D$6:$D$7306,$A18,'Diags Raw Data'!$M$6:$M$7306,"Delta")</f>
        <v>0</v>
      </c>
      <c r="L18" s="221" t="str">
        <f>IF(NOT($C18=0), G18/$C18, "---")</f>
        <v>---</v>
      </c>
      <c r="M18" s="223" t="str">
        <f>IF(NOT($G18=0), (H18+I18)/$G18, "---")</f>
        <v>---</v>
      </c>
      <c r="N18" s="225" t="str">
        <f>IF(NOT($C18=0), (H18+I18)/$C18, "---")</f>
        <v>---</v>
      </c>
      <c r="O18" s="212">
        <f>SUMIFS('Diags Raw Data'!$Z$6:$Z$7306,'Diags Raw Data'!$D$6:$D$7306,$A18,'Diags Raw Data'!$M$6:$M$7306,"New")+SUMIFS('Diags Raw Data'!$Z$6:$Z$7306,'Diags Raw Data'!$D$6:$D$7306,$A18,'Diags Raw Data'!$M$6:$M$7306,"Delta")</f>
        <v>0</v>
      </c>
      <c r="P18" s="209">
        <f>SUMIFS('Diags Raw Data'!$AA$6:$AA$7306,'Diags Raw Data'!$D$6:$D$7306,$A18,'Diags Raw Data'!$M$6:$M$7306,"New")+SUMIFS('Diags Raw Data'!$AA$6:$AA$7306,'Diags Raw Data'!$D$6:$D$7306,$A18,'Diags Raw Data'!$M$6:$M$7306,"Delta")</f>
        <v>0</v>
      </c>
      <c r="Q18" s="209">
        <f>SUMIFS('Diags Raw Data'!$AB$6:$AB$7306,'Diags Raw Data'!$D$6:$D$7306,$A18,'Diags Raw Data'!$M$6:$M$7306,"New")+SUMIFS('Diags Raw Data'!$AB$6:$AB$7306,'Diags Raw Data'!$D$6:$D$7306,$A18,'Diags Raw Data'!$M$6:$M$7306,"Delta")</f>
        <v>0</v>
      </c>
      <c r="R18" s="209">
        <f>SUMIFS('Diags Raw Data'!$AC$6:$AC$7306,'Diags Raw Data'!$D$6:$D$7306,$A18,'Diags Raw Data'!$M$6:$M$7306,"New")+SUMIFS('Diags Raw Data'!$AC$6:$AC$7306,'Diags Raw Data'!$D$6:$D$7306,$A18,'Diags Raw Data'!$M$6:$M$7306,"Delta")</f>
        <v>0</v>
      </c>
      <c r="S18" s="209">
        <f>SUMIFS('Diags Raw Data'!$AD$6:$AD$7306,'Diags Raw Data'!$D$6:$D$7306,$A18,'Diags Raw Data'!$M$6:$M$7306,"New")+SUMIFS('Diags Raw Data'!$AD$6:$AD$7306,'Diags Raw Data'!$D$6:$D$7306,$A18,'Diags Raw Data'!$M$6:$M$7306,"Delta")</f>
        <v>0</v>
      </c>
      <c r="T18" s="210" t="str">
        <f>IF(NOT($B18=0), O18/$B18, "---")</f>
        <v>---</v>
      </c>
      <c r="U18" s="224" t="str">
        <f>IF(NOT($O18=0), (P18+Q18)/$O18, "---")</f>
        <v>---</v>
      </c>
      <c r="V18" s="240" t="str">
        <f>IF(NOT($B18=0), (P18+Q18)/$B18, "---")</f>
        <v>---</v>
      </c>
    </row>
    <row r="19" spans="1:22" x14ac:dyDescent="0.25">
      <c r="A19" s="330" t="s">
        <v>370</v>
      </c>
      <c r="B19" s="252">
        <f>SUMIFS('Diags Raw Data'!$L$6:$L$7306,'Diags Raw Data'!$D$6:$D$7306,$A19,'Diags Raw Data'!$M$6:$M$7306,"New")+SUMIFS('Diags Raw Data'!$L$6:$L$7306,'Diags Raw Data'!$D$6:$D$7306,$A19,'Diags Raw Data'!$M$6:$M$7306,"Delta")</f>
        <v>0</v>
      </c>
      <c r="C19" s="242">
        <f>SUMIFS('Diags Raw Data'!$R$6:$R$7306,'Diags Raw Data'!$D$6:$D$7306,$A19,'Diags Raw Data'!$M$6:$M$7306,"New")+SUMIFS('Diags Raw Data'!$R$6:$R$7306,'Diags Raw Data'!$D$6:$D$7306,$A19,'Diags Raw Data'!$M$6:$M$7306,"Delta")</f>
        <v>0</v>
      </c>
      <c r="D19" s="242">
        <f>SUMIFS('Diags Raw Data'!$K$6:$K$7306,'Diags Raw Data'!$D$6:$D$7306,$A19,'Diags Raw Data'!$M$6:$M$7306,"New")+SUMIFS('Diags Raw Data'!$K$6:$K$7306,'Diags Raw Data'!$D$6:$D$7306,$A19,'Diags Raw Data'!$M$6:$M$7306,"Delta")</f>
        <v>0</v>
      </c>
      <c r="E19" s="242">
        <f>SUMIFS('Diags Raw Data'!$O$6:$O$7306,'Diags Raw Data'!$D$6:$D$7306,$A19,'Diags Raw Data'!$M$6:$M$7306,"New")+SUMIFS('Diags Raw Data'!$O$6:$O$7306,'Diags Raw Data'!$D$6:$D$7306,$A19,'Diags Raw Data'!$M$6:$M$7306,"Delta")</f>
        <v>0</v>
      </c>
      <c r="F19" s="248" t="str">
        <f t="shared" si="8"/>
        <v>---</v>
      </c>
      <c r="G19" s="230">
        <f>SUMIFS('Diags Raw Data'!$S$6:$S$7306,'Diags Raw Data'!$D$6:$D$7306,$A19,'Diags Raw Data'!$M$6:$M$7306,"New")+SUMIFS('Diags Raw Data'!$S$6:$S$7306,'Diags Raw Data'!$D$6:$D$7306,$A19,'Diags Raw Data'!$M$6:$M$7306,"Delta")</f>
        <v>0</v>
      </c>
      <c r="H19" s="226">
        <f>SUMIFS('Diags Raw Data'!$T$6:$T$7306,'Diags Raw Data'!$D$6:$D$7306,$A19,'Diags Raw Data'!$M$6:$M$7306,"New")+SUMIFS('Diags Raw Data'!$T$6:$T$7306,'Diags Raw Data'!$D$6:$D$7306,$A19,'Diags Raw Data'!$M$6:$M$7306,"Delta")</f>
        <v>0</v>
      </c>
      <c r="I19" s="226">
        <f>SUMIFS('Diags Raw Data'!$U$6:$U$7306,'Diags Raw Data'!$D$6:$D$7306,$A19,'Diags Raw Data'!$M$6:$M$7306,"New")+SUMIFS('Diags Raw Data'!$U$6:$U$7306,'Diags Raw Data'!$D$6:$D$7306,$A19,'Diags Raw Data'!$M$6:$M$7306,"Delta")</f>
        <v>0</v>
      </c>
      <c r="J19" s="226">
        <f>SUMIFS('Diags Raw Data'!$V$6:$V$7306,'Diags Raw Data'!$D$6:$D$7306,$A19,'Diags Raw Data'!$M$6:$M$7306,"New")+SUMIFS('Diags Raw Data'!$V$6:$V$7306,'Diags Raw Data'!$D$6:$D$7306,$A19,'Diags Raw Data'!$M$6:$M$7306,"Delta")</f>
        <v>0</v>
      </c>
      <c r="K19" s="226">
        <f>SUMIFS('Diags Raw Data'!$W$6:$W$7306,'Diags Raw Data'!$D$6:$D$7306,$A19,'Diags Raw Data'!$M$6:$M$7306,"New")+SUMIFS('Diags Raw Data'!$W$6:$W$7306,'Diags Raw Data'!$D$6:$D$7306,$A19,'Diags Raw Data'!$M$6:$M$7306,"Delta")</f>
        <v>0</v>
      </c>
      <c r="L19" s="243" t="str">
        <f>IF(NOT($C19=0), G19/$C19, "---")</f>
        <v>---</v>
      </c>
      <c r="M19" s="228" t="str">
        <f>IF(NOT($G19=0), (H19+I19)/$G19, "---")</f>
        <v>---</v>
      </c>
      <c r="N19" s="237" t="str">
        <f>IF(NOT($C19=0), (H19+I19)/$C19, "---")</f>
        <v>---</v>
      </c>
      <c r="O19" s="213">
        <f>SUMIFS('Diags Raw Data'!$Z$6:$Z$7306,'Diags Raw Data'!$D$6:$D$7306,$A19,'Diags Raw Data'!$M$6:$M$7306,"New")+SUMIFS('Diags Raw Data'!$Z$6:$Z$7306,'Diags Raw Data'!$D$6:$D$7306,$A19,'Diags Raw Data'!$M$6:$M$7306,"Delta")</f>
        <v>0</v>
      </c>
      <c r="P19" s="203">
        <f>SUMIFS('Diags Raw Data'!$AA$6:$AA$7306,'Diags Raw Data'!$D$6:$D$7306,$A19,'Diags Raw Data'!$M$6:$M$7306,"New")+SUMIFS('Diags Raw Data'!$AA$6:$AA$7306,'Diags Raw Data'!$D$6:$D$7306,$A19,'Diags Raw Data'!$M$6:$M$7306,"Delta")</f>
        <v>0</v>
      </c>
      <c r="Q19" s="203">
        <f>SUMIFS('Diags Raw Data'!$AB$6:$AB$7306,'Diags Raw Data'!$D$6:$D$7306,$A19,'Diags Raw Data'!$M$6:$M$7306,"New")+SUMIFS('Diags Raw Data'!$AB$6:$AB$7306,'Diags Raw Data'!$D$6:$D$7306,$A19,'Diags Raw Data'!$M$6:$M$7306,"Delta")</f>
        <v>0</v>
      </c>
      <c r="R19" s="203">
        <f>SUMIFS('Diags Raw Data'!$AC$6:$AC$7306,'Diags Raw Data'!$D$6:$D$7306,$A19,'Diags Raw Data'!$M$6:$M$7306,"New")+SUMIFS('Diags Raw Data'!$AC$6:$AC$7306,'Diags Raw Data'!$D$6:$D$7306,$A19,'Diags Raw Data'!$M$6:$M$7306,"Delta")</f>
        <v>0</v>
      </c>
      <c r="S19" s="203">
        <f>SUMIFS('Diags Raw Data'!$AD$6:$AD$7306,'Diags Raw Data'!$D$6:$D$7306,$A19,'Diags Raw Data'!$M$6:$M$7306,"New")+SUMIFS('Diags Raw Data'!$AD$6:$AD$7306,'Diags Raw Data'!$D$6:$D$7306,$A19,'Diags Raw Data'!$M$6:$M$7306,"Delta")</f>
        <v>0</v>
      </c>
      <c r="T19" s="204" t="str">
        <f>IF(NOT($B19=0), O19/$B19, "---")</f>
        <v>---</v>
      </c>
      <c r="U19" s="229" t="str">
        <f>IF(NOT($O19=0), (P19+Q19)/$O19, "---")</f>
        <v>---</v>
      </c>
      <c r="V19" s="231" t="str">
        <f t="shared" ref="V19:V28" si="9">IF(NOT($B19=0), (P19+Q19)/$B19, "---")</f>
        <v>---</v>
      </c>
    </row>
    <row r="20" spans="1:22" x14ac:dyDescent="0.25">
      <c r="A20" s="330" t="s">
        <v>383</v>
      </c>
      <c r="B20" s="252">
        <f>SUMIFS('Diags Raw Data'!$L$6:$L$7306,'Diags Raw Data'!$D$6:$D$7306,$A20,'Diags Raw Data'!$M$6:$M$7306,"New")+SUMIFS('Diags Raw Data'!$L$6:$L$7306,'Diags Raw Data'!$D$6:$D$7306,$A20,'Diags Raw Data'!$M$6:$M$7306,"Delta")</f>
        <v>0</v>
      </c>
      <c r="C20" s="242">
        <f>SUMIFS('Diags Raw Data'!$R$6:$R$7306,'Diags Raw Data'!$D$6:$D$7306,$A20,'Diags Raw Data'!$M$6:$M$7306,"New")+SUMIFS('Diags Raw Data'!$R$6:$R$7306,'Diags Raw Data'!$D$6:$D$7306,$A20,'Diags Raw Data'!$M$6:$M$7306,"Delta")</f>
        <v>0</v>
      </c>
      <c r="D20" s="242">
        <f>SUMIFS('Diags Raw Data'!$K$6:$K$7306,'Diags Raw Data'!$D$6:$D$7306,$A20,'Diags Raw Data'!$M$6:$M$7306,"New")+SUMIFS('Diags Raw Data'!$K$6:$K$7306,'Diags Raw Data'!$D$6:$D$7306,$A20,'Diags Raw Data'!$M$6:$M$7306,"Delta")</f>
        <v>0</v>
      </c>
      <c r="E20" s="242">
        <f>SUMIFS('Diags Raw Data'!$O$6:$O$7306,'Diags Raw Data'!$D$6:$D$7306,$A20,'Diags Raw Data'!$M$6:$M$7306,"New")+SUMIFS('Diags Raw Data'!$O$6:$O$7306,'Diags Raw Data'!$D$6:$D$7306,$A20,'Diags Raw Data'!$M$6:$M$7306,"Delta")</f>
        <v>0</v>
      </c>
      <c r="F20" s="248" t="str">
        <f>IF(NOT($B20=0), E20/$B20, "---")</f>
        <v>---</v>
      </c>
      <c r="G20" s="230">
        <f>SUMIFS('Diags Raw Data'!$S$6:$S$7306,'Diags Raw Data'!$D$6:$D$7306,$A20,'Diags Raw Data'!$M$6:$M$7306,"New")+SUMIFS('Diags Raw Data'!$S$6:$S$7306,'Diags Raw Data'!$D$6:$D$7306,$A20,'Diags Raw Data'!$M$6:$M$7306,"Delta")</f>
        <v>0</v>
      </c>
      <c r="H20" s="226">
        <f>SUMIFS('Diags Raw Data'!$T$6:$T$7306,'Diags Raw Data'!$D$6:$D$7306,$A20,'Diags Raw Data'!$M$6:$M$7306,"New")+SUMIFS('Diags Raw Data'!$T$6:$T$7306,'Diags Raw Data'!$D$6:$D$7306,$A20,'Diags Raw Data'!$M$6:$M$7306,"Delta")</f>
        <v>0</v>
      </c>
      <c r="I20" s="226">
        <f>SUMIFS('Diags Raw Data'!$U$6:$U$7306,'Diags Raw Data'!$D$6:$D$7306,$A20,'Diags Raw Data'!$M$6:$M$7306,"New")+SUMIFS('Diags Raw Data'!$U$6:$U$7306,'Diags Raw Data'!$D$6:$D$7306,$A20,'Diags Raw Data'!$M$6:$M$7306,"Delta")</f>
        <v>0</v>
      </c>
      <c r="J20" s="226">
        <f>SUMIFS('Diags Raw Data'!$V$6:$V$7306,'Diags Raw Data'!$D$6:$D$7306,$A20,'Diags Raw Data'!$M$6:$M$7306,"New")+SUMIFS('Diags Raw Data'!$V$6:$V$7306,'Diags Raw Data'!$D$6:$D$7306,$A20,'Diags Raw Data'!$M$6:$M$7306,"Delta")</f>
        <v>0</v>
      </c>
      <c r="K20" s="226">
        <f>SUMIFS('Diags Raw Data'!$W$6:$W$7306,'Diags Raw Data'!$D$6:$D$7306,$A20,'Diags Raw Data'!$M$6:$M$7306,"New")+SUMIFS('Diags Raw Data'!$W$6:$W$7306,'Diags Raw Data'!$D$6:$D$7306,$A20,'Diags Raw Data'!$M$6:$M$7306,"Delta")</f>
        <v>0</v>
      </c>
      <c r="L20" s="243" t="str">
        <f t="shared" ref="L20:L27" si="10">IF(NOT($C20=0), G20/$C20, "---")</f>
        <v>---</v>
      </c>
      <c r="M20" s="228" t="str">
        <f>IF(NOT($G20=0), (H20+I20)/$G20, "---")</f>
        <v>---</v>
      </c>
      <c r="N20" s="237" t="str">
        <f t="shared" ref="N20:N27" si="11">IF(NOT($C20=0), (H20+I20)/$C20, "---")</f>
        <v>---</v>
      </c>
      <c r="O20" s="213">
        <f>SUMIFS('Diags Raw Data'!$Z$6:$Z$7306,'Diags Raw Data'!$D$6:$D$7306,$A20,'Diags Raw Data'!$M$6:$M$7306,"New")+SUMIFS('Diags Raw Data'!$Z$6:$Z$7306,'Diags Raw Data'!$D$6:$D$7306,$A20,'Diags Raw Data'!$M$6:$M$7306,"Delta")</f>
        <v>0</v>
      </c>
      <c r="P20" s="203">
        <f>SUMIFS('Diags Raw Data'!$AA$6:$AA$7306,'Diags Raw Data'!$D$6:$D$7306,$A20,'Diags Raw Data'!$M$6:$M$7306,"New")+SUMIFS('Diags Raw Data'!$AA$6:$AA$7306,'Diags Raw Data'!$D$6:$D$7306,$A20,'Diags Raw Data'!$M$6:$M$7306,"Delta")</f>
        <v>0</v>
      </c>
      <c r="Q20" s="203">
        <f>SUMIFS('Diags Raw Data'!$AB$6:$AB$7306,'Diags Raw Data'!$D$6:$D$7306,$A20,'Diags Raw Data'!$M$6:$M$7306,"New")+SUMIFS('Diags Raw Data'!$AB$6:$AB$7306,'Diags Raw Data'!$D$6:$D$7306,$A20,'Diags Raw Data'!$M$6:$M$7306,"Delta")</f>
        <v>0</v>
      </c>
      <c r="R20" s="203">
        <f>SUMIFS('Diags Raw Data'!$AC$6:$AC$7306,'Diags Raw Data'!$D$6:$D$7306,$A20,'Diags Raw Data'!$M$6:$M$7306,"New")+SUMIFS('Diags Raw Data'!$AC$6:$AC$7306,'Diags Raw Data'!$D$6:$D$7306,$A20,'Diags Raw Data'!$M$6:$M$7306,"Delta")</f>
        <v>0</v>
      </c>
      <c r="S20" s="203">
        <f>SUMIFS('Diags Raw Data'!$AD$6:$AD$7306,'Diags Raw Data'!$D$6:$D$7306,$A20,'Diags Raw Data'!$M$6:$M$7306,"New")+SUMIFS('Diags Raw Data'!$AD$6:$AD$7306,'Diags Raw Data'!$D$6:$D$7306,$A20,'Diags Raw Data'!$M$6:$M$7306,"Delta")</f>
        <v>0</v>
      </c>
      <c r="T20" s="204" t="str">
        <f t="shared" ref="T20:T27" si="12">IF(NOT($B20=0), O20/$B20, "---")</f>
        <v>---</v>
      </c>
      <c r="U20" s="229" t="str">
        <f t="shared" ref="U20:U28" si="13">IF(NOT($O20=0), (P20+Q20)/$O20, "---")</f>
        <v>---</v>
      </c>
      <c r="V20" s="231" t="str">
        <f>IF(NOT($B20=0), (P20+Q20)/$B20, "---")</f>
        <v>---</v>
      </c>
    </row>
    <row r="21" spans="1:22" x14ac:dyDescent="0.25">
      <c r="A21" s="330" t="s">
        <v>1778</v>
      </c>
      <c r="B21" s="252">
        <f>SUMIFS('Diags Raw Data'!$L$6:$L$7306,'Diags Raw Data'!$D$6:$D$7306,$A21,'Diags Raw Data'!$M$6:$M$7306,"New")+SUMIFS('Diags Raw Data'!$L$6:$L$7306,'Diags Raw Data'!$D$6:$D$7306,$A21,'Diags Raw Data'!$M$6:$M$7306,"Delta")</f>
        <v>0</v>
      </c>
      <c r="C21" s="242">
        <f>SUMIFS('Diags Raw Data'!$R$6:$R$7306,'Diags Raw Data'!$D$6:$D$7306,$A21,'Diags Raw Data'!$M$6:$M$7306,"New")+SUMIFS('Diags Raw Data'!$R$6:$R$7306,'Diags Raw Data'!$D$6:$D$7306,$A21,'Diags Raw Data'!$M$6:$M$7306,"Delta")</f>
        <v>0</v>
      </c>
      <c r="D21" s="242">
        <f>SUMIFS('Diags Raw Data'!$K$6:$K$7306,'Diags Raw Data'!$D$6:$D$7306,$A21,'Diags Raw Data'!$M$6:$M$7306,"New")+SUMIFS('Diags Raw Data'!$K$6:$K$7306,'Diags Raw Data'!$D$6:$D$7306,$A21,'Diags Raw Data'!$M$6:$M$7306,"Delta")</f>
        <v>0</v>
      </c>
      <c r="E21" s="242">
        <f>SUMIFS('Diags Raw Data'!$O$6:$O$7306,'Diags Raw Data'!$D$6:$D$7306,$A21,'Diags Raw Data'!$M$6:$M$7306,"New")+SUMIFS('Diags Raw Data'!$O$6:$O$7306,'Diags Raw Data'!$D$6:$D$7306,$A21,'Diags Raw Data'!$M$6:$M$7306,"Delta")</f>
        <v>0</v>
      </c>
      <c r="F21" s="248" t="str">
        <f t="shared" si="8"/>
        <v>---</v>
      </c>
      <c r="G21" s="230">
        <f>SUMIFS('Diags Raw Data'!$S$6:$S$7306,'Diags Raw Data'!$D$6:$D$7306,$A21,'Diags Raw Data'!$M$6:$M$7306,"New")+SUMIFS('Diags Raw Data'!$S$6:$S$7306,'Diags Raw Data'!$D$6:$D$7306,$A21,'Diags Raw Data'!$M$6:$M$7306,"Delta")</f>
        <v>0</v>
      </c>
      <c r="H21" s="226">
        <f>SUMIFS('Diags Raw Data'!$T$6:$T$7306,'Diags Raw Data'!$D$6:$D$7306,$A21,'Diags Raw Data'!$M$6:$M$7306,"New")+SUMIFS('Diags Raw Data'!$T$6:$T$7306,'Diags Raw Data'!$D$6:$D$7306,$A21,'Diags Raw Data'!$M$6:$M$7306,"Delta")</f>
        <v>0</v>
      </c>
      <c r="I21" s="226">
        <f>SUMIFS('Diags Raw Data'!$U$6:$U$7306,'Diags Raw Data'!$D$6:$D$7306,$A21,'Diags Raw Data'!$M$6:$M$7306,"New")+SUMIFS('Diags Raw Data'!$U$6:$U$7306,'Diags Raw Data'!$D$6:$D$7306,$A21,'Diags Raw Data'!$M$6:$M$7306,"Delta")</f>
        <v>0</v>
      </c>
      <c r="J21" s="226">
        <f>SUMIFS('Diags Raw Data'!$V$6:$V$7306,'Diags Raw Data'!$D$6:$D$7306,$A21,'Diags Raw Data'!$M$6:$M$7306,"New")+SUMIFS('Diags Raw Data'!$V$6:$V$7306,'Diags Raw Data'!$D$6:$D$7306,$A21,'Diags Raw Data'!$M$6:$M$7306,"Delta")</f>
        <v>0</v>
      </c>
      <c r="K21" s="226">
        <f>SUMIFS('Diags Raw Data'!$W$6:$W$7306,'Diags Raw Data'!$D$6:$D$7306,$A21,'Diags Raw Data'!$M$6:$M$7306,"New")+SUMIFS('Diags Raw Data'!$W$6:$W$7306,'Diags Raw Data'!$D$6:$D$7306,$A21,'Diags Raw Data'!$M$6:$M$7306,"Delta")</f>
        <v>0</v>
      </c>
      <c r="L21" s="243" t="str">
        <f t="shared" si="10"/>
        <v>---</v>
      </c>
      <c r="M21" s="228" t="str">
        <f t="shared" ref="M21:M28" si="14">IF(NOT($G21=0), (H21+I21)/$G21, "---")</f>
        <v>---</v>
      </c>
      <c r="N21" s="237" t="str">
        <f>IF(NOT($C21=0), (H21+I21)/$C21, "---")</f>
        <v>---</v>
      </c>
      <c r="O21" s="213">
        <f>SUMIFS('Diags Raw Data'!$Z$6:$Z$7306,'Diags Raw Data'!$D$6:$D$7306,$A21,'Diags Raw Data'!$M$6:$M$7306,"New")+SUMIFS('Diags Raw Data'!$Z$6:$Z$7306,'Diags Raw Data'!$D$6:$D$7306,$A21,'Diags Raw Data'!$M$6:$M$7306,"Delta")</f>
        <v>0</v>
      </c>
      <c r="P21" s="203">
        <f>SUMIFS('Diags Raw Data'!$AA$6:$AA$7306,'Diags Raw Data'!$D$6:$D$7306,$A21,'Diags Raw Data'!$M$6:$M$7306,"New")+SUMIFS('Diags Raw Data'!$AA$6:$AA$7306,'Diags Raw Data'!$D$6:$D$7306,$A21,'Diags Raw Data'!$M$6:$M$7306,"Delta")</f>
        <v>0</v>
      </c>
      <c r="Q21" s="203">
        <f>SUMIFS('Diags Raw Data'!$AB$6:$AB$7306,'Diags Raw Data'!$D$6:$D$7306,$A21,'Diags Raw Data'!$M$6:$M$7306,"New")+SUMIFS('Diags Raw Data'!$AB$6:$AB$7306,'Diags Raw Data'!$D$6:$D$7306,$A21,'Diags Raw Data'!$M$6:$M$7306,"Delta")</f>
        <v>0</v>
      </c>
      <c r="R21" s="203">
        <f>SUMIFS('Diags Raw Data'!$AC$6:$AC$7306,'Diags Raw Data'!$D$6:$D$7306,$A21,'Diags Raw Data'!$M$6:$M$7306,"New")+SUMIFS('Diags Raw Data'!$AC$6:$AC$7306,'Diags Raw Data'!$D$6:$D$7306,$A21,'Diags Raw Data'!$M$6:$M$7306,"Delta")</f>
        <v>0</v>
      </c>
      <c r="S21" s="203">
        <f>SUMIFS('Diags Raw Data'!$AD$6:$AD$7306,'Diags Raw Data'!$D$6:$D$7306,$A21,'Diags Raw Data'!$M$6:$M$7306,"New")+SUMIFS('Diags Raw Data'!$AD$6:$AD$7306,'Diags Raw Data'!$D$6:$D$7306,$A21,'Diags Raw Data'!$M$6:$M$7306,"Delta")</f>
        <v>0</v>
      </c>
      <c r="T21" s="204" t="str">
        <f t="shared" si="12"/>
        <v>---</v>
      </c>
      <c r="U21" s="229" t="str">
        <f t="shared" si="13"/>
        <v>---</v>
      </c>
      <c r="V21" s="231" t="str">
        <f>IF(NOT($B21=0), (P21+Q21)/$B21, "---")</f>
        <v>---</v>
      </c>
    </row>
    <row r="22" spans="1:22" x14ac:dyDescent="0.25">
      <c r="A22" s="330" t="s">
        <v>2649</v>
      </c>
      <c r="B22" s="252">
        <f>SUMIFS('Diags Raw Data'!$L$6:$L$7306,'Diags Raw Data'!$D$6:$D$7306,$A22,'Diags Raw Data'!$M$6:$M$7306,"New")+SUMIFS('Diags Raw Data'!$L$6:$L$7306,'Diags Raw Data'!$D$6:$D$7306,$A22,'Diags Raw Data'!$M$6:$M$7306,"Delta")</f>
        <v>0</v>
      </c>
      <c r="C22" s="242">
        <f>SUMIFS('Diags Raw Data'!$R$6:$R$7306,'Diags Raw Data'!$D$6:$D$7306,$A22,'Diags Raw Data'!$M$6:$M$7306,"New")+SUMIFS('Diags Raw Data'!$R$6:$R$7306,'Diags Raw Data'!$D$6:$D$7306,$A22,'Diags Raw Data'!$M$6:$M$7306,"Delta")</f>
        <v>0</v>
      </c>
      <c r="D22" s="242">
        <f>SUMIFS('Diags Raw Data'!$K$6:$K$7306,'Diags Raw Data'!$D$6:$D$7306,$A22,'Diags Raw Data'!$M$6:$M$7306,"New")+SUMIFS('Diags Raw Data'!$K$6:$K$7306,'Diags Raw Data'!$D$6:$D$7306,$A22,'Diags Raw Data'!$M$6:$M$7306,"Delta")</f>
        <v>0</v>
      </c>
      <c r="E22" s="242">
        <f>SUMIFS('Diags Raw Data'!$O$6:$O$7306,'Diags Raw Data'!$D$6:$D$7306,$A22,'Diags Raw Data'!$M$6:$M$7306,"New")+SUMIFS('Diags Raw Data'!$O$6:$O$7306,'Diags Raw Data'!$D$6:$D$7306,$A22,'Diags Raw Data'!$M$6:$M$7306,"Delta")</f>
        <v>0</v>
      </c>
      <c r="F22" s="248" t="str">
        <f>IF(NOT($B22=0), E22/$B22, "---")</f>
        <v>---</v>
      </c>
      <c r="G22" s="230">
        <f>SUMIFS('Diags Raw Data'!$S$6:$S$7306,'Diags Raw Data'!$D$6:$D$7306,$A22,'Diags Raw Data'!$M$6:$M$7306,"New")+SUMIFS('Diags Raw Data'!$S$6:$S$7306,'Diags Raw Data'!$D$6:$D$7306,$A22,'Diags Raw Data'!$M$6:$M$7306,"Delta")</f>
        <v>0</v>
      </c>
      <c r="H22" s="226">
        <f>SUMIFS('Diags Raw Data'!$T$6:$T$7306,'Diags Raw Data'!$D$6:$D$7306,$A22,'Diags Raw Data'!$M$6:$M$7306,"New")+SUMIFS('Diags Raw Data'!$T$6:$T$7306,'Diags Raw Data'!$D$6:$D$7306,$A22,'Diags Raw Data'!$M$6:$M$7306,"Delta")</f>
        <v>0</v>
      </c>
      <c r="I22" s="226">
        <f>SUMIFS('Diags Raw Data'!$U$6:$U$7306,'Diags Raw Data'!$D$6:$D$7306,$A22,'Diags Raw Data'!$M$6:$M$7306,"New")+SUMIFS('Diags Raw Data'!$U$6:$U$7306,'Diags Raw Data'!$D$6:$D$7306,$A22,'Diags Raw Data'!$M$6:$M$7306,"Delta")</f>
        <v>0</v>
      </c>
      <c r="J22" s="226">
        <f>SUMIFS('Diags Raw Data'!$V$6:$V$7306,'Diags Raw Data'!$D$6:$D$7306,$A22,'Diags Raw Data'!$M$6:$M$7306,"New")+SUMIFS('Diags Raw Data'!$V$6:$V$7306,'Diags Raw Data'!$D$6:$D$7306,$A22,'Diags Raw Data'!$M$6:$M$7306,"Delta")</f>
        <v>0</v>
      </c>
      <c r="K22" s="226">
        <f>SUMIFS('Diags Raw Data'!$W$6:$W$7306,'Diags Raw Data'!$D$6:$D$7306,$A22,'Diags Raw Data'!$M$6:$M$7306,"New")+SUMIFS('Diags Raw Data'!$W$6:$W$7306,'Diags Raw Data'!$D$6:$D$7306,$A22,'Diags Raw Data'!$M$6:$M$7306,"Delta")</f>
        <v>0</v>
      </c>
      <c r="L22" s="243" t="str">
        <f t="shared" si="10"/>
        <v>---</v>
      </c>
      <c r="M22" s="228" t="str">
        <f t="shared" si="14"/>
        <v>---</v>
      </c>
      <c r="N22" s="237" t="str">
        <f t="shared" si="11"/>
        <v>---</v>
      </c>
      <c r="O22" s="213">
        <f>SUMIFS('Diags Raw Data'!$Z$6:$Z$7306,'Diags Raw Data'!$D$6:$D$7306,$A22,'Diags Raw Data'!$M$6:$M$7306,"New")+SUMIFS('Diags Raw Data'!$Z$6:$Z$7306,'Diags Raw Data'!$D$6:$D$7306,$A22,'Diags Raw Data'!$M$6:$M$7306,"Delta")</f>
        <v>0</v>
      </c>
      <c r="P22" s="203">
        <f>SUMIFS('Diags Raw Data'!$AA$6:$AA$7306,'Diags Raw Data'!$D$6:$D$7306,$A22,'Diags Raw Data'!$M$6:$M$7306,"New")+SUMIFS('Diags Raw Data'!$AA$6:$AA$7306,'Diags Raw Data'!$D$6:$D$7306,$A22,'Diags Raw Data'!$M$6:$M$7306,"Delta")</f>
        <v>0</v>
      </c>
      <c r="Q22" s="203">
        <f>SUMIFS('Diags Raw Data'!$AB$6:$AB$7306,'Diags Raw Data'!$D$6:$D$7306,$A22,'Diags Raw Data'!$M$6:$M$7306,"New")+SUMIFS('Diags Raw Data'!$AB$6:$AB$7306,'Diags Raw Data'!$D$6:$D$7306,$A22,'Diags Raw Data'!$M$6:$M$7306,"Delta")</f>
        <v>0</v>
      </c>
      <c r="R22" s="203">
        <f>SUMIFS('Diags Raw Data'!$AC$6:$AC$7306,'Diags Raw Data'!$D$6:$D$7306,$A22,'Diags Raw Data'!$M$6:$M$7306,"New")+SUMIFS('Diags Raw Data'!$AC$6:$AC$7306,'Diags Raw Data'!$D$6:$D$7306,$A22,'Diags Raw Data'!$M$6:$M$7306,"Delta")</f>
        <v>0</v>
      </c>
      <c r="S22" s="203">
        <f>SUMIFS('Diags Raw Data'!$AD$6:$AD$7306,'Diags Raw Data'!$D$6:$D$7306,$A22,'Diags Raw Data'!$M$6:$M$7306,"New")+SUMIFS('Diags Raw Data'!$AD$6:$AD$7306,'Diags Raw Data'!$D$6:$D$7306,$A22,'Diags Raw Data'!$M$6:$M$7306,"Delta")</f>
        <v>0</v>
      </c>
      <c r="T22" s="204" t="str">
        <f t="shared" si="12"/>
        <v>---</v>
      </c>
      <c r="U22" s="229" t="str">
        <f t="shared" si="13"/>
        <v>---</v>
      </c>
      <c r="V22" s="231" t="str">
        <f t="shared" si="9"/>
        <v>---</v>
      </c>
    </row>
    <row r="23" spans="1:22" x14ac:dyDescent="0.25">
      <c r="A23" s="330" t="s">
        <v>3233</v>
      </c>
      <c r="B23" s="252">
        <f>SUMIFS('Diags Raw Data'!$L$6:$L$7306,'Diags Raw Data'!$D$6:$D$7306,$A23,'Diags Raw Data'!$M$6:$M$7306,"New")+SUMIFS('Diags Raw Data'!$L$6:$L$7306,'Diags Raw Data'!$D$6:$D$7306,$A23,'Diags Raw Data'!$M$6:$M$7306,"Delta")</f>
        <v>0</v>
      </c>
      <c r="C23" s="242">
        <f>SUMIFS('Diags Raw Data'!$R$6:$R$7306,'Diags Raw Data'!$D$6:$D$7306,$A23,'Diags Raw Data'!$M$6:$M$7306,"New")+SUMIFS('Diags Raw Data'!$R$6:$R$7306,'Diags Raw Data'!$D$6:$D$7306,$A23,'Diags Raw Data'!$M$6:$M$7306,"Delta")</f>
        <v>0</v>
      </c>
      <c r="D23" s="242">
        <f>SUMIFS('Diags Raw Data'!$K$6:$K$7306,'Diags Raw Data'!$D$6:$D$7306,$A23,'Diags Raw Data'!$M$6:$M$7306,"New")+SUMIFS('Diags Raw Data'!$K$6:$K$7306,'Diags Raw Data'!$D$6:$D$7306,$A23,'Diags Raw Data'!$M$6:$M$7306,"Delta")</f>
        <v>0</v>
      </c>
      <c r="E23" s="242">
        <f>SUMIFS('Diags Raw Data'!$O$6:$O$7306,'Diags Raw Data'!$D$6:$D$7306,$A23,'Diags Raw Data'!$M$6:$M$7306,"New")+SUMIFS('Diags Raw Data'!$O$6:$O$7306,'Diags Raw Data'!$D$6:$D$7306,$A23,'Diags Raw Data'!$M$6:$M$7306,"Delta")</f>
        <v>0</v>
      </c>
      <c r="F23" s="248" t="str">
        <f t="shared" si="8"/>
        <v>---</v>
      </c>
      <c r="G23" s="230">
        <f>SUMIFS('Diags Raw Data'!$S$6:$S$7306,'Diags Raw Data'!$D$6:$D$7306,$A23,'Diags Raw Data'!$M$6:$M$7306,"New")+SUMIFS('Diags Raw Data'!$S$6:$S$7306,'Diags Raw Data'!$D$6:$D$7306,$A23,'Diags Raw Data'!$M$6:$M$7306,"Delta")</f>
        <v>0</v>
      </c>
      <c r="H23" s="226">
        <f>SUMIFS('Diags Raw Data'!$T$6:$T$7306,'Diags Raw Data'!$D$6:$D$7306,$A23,'Diags Raw Data'!$M$6:$M$7306,"New")+SUMIFS('Diags Raw Data'!$T$6:$T$7306,'Diags Raw Data'!$D$6:$D$7306,$A23,'Diags Raw Data'!$M$6:$M$7306,"Delta")</f>
        <v>0</v>
      </c>
      <c r="I23" s="226">
        <f>SUMIFS('Diags Raw Data'!$U$6:$U$7306,'Diags Raw Data'!$D$6:$D$7306,$A23,'Diags Raw Data'!$M$6:$M$7306,"New")+SUMIFS('Diags Raw Data'!$U$6:$U$7306,'Diags Raw Data'!$D$6:$D$7306,$A23,'Diags Raw Data'!$M$6:$M$7306,"Delta")</f>
        <v>0</v>
      </c>
      <c r="J23" s="226">
        <f>SUMIFS('Diags Raw Data'!$V$6:$V$7306,'Diags Raw Data'!$D$6:$D$7306,$A23,'Diags Raw Data'!$M$6:$M$7306,"New")+SUMIFS('Diags Raw Data'!$V$6:$V$7306,'Diags Raw Data'!$D$6:$D$7306,$A23,'Diags Raw Data'!$M$6:$M$7306,"Delta")</f>
        <v>0</v>
      </c>
      <c r="K23" s="226">
        <f>SUMIFS('Diags Raw Data'!$W$6:$W$7306,'Diags Raw Data'!$D$6:$D$7306,$A23,'Diags Raw Data'!$M$6:$M$7306,"New")+SUMIFS('Diags Raw Data'!$W$6:$W$7306,'Diags Raw Data'!$D$6:$D$7306,$A23,'Diags Raw Data'!$M$6:$M$7306,"Delta")</f>
        <v>0</v>
      </c>
      <c r="L23" s="243" t="str">
        <f t="shared" si="10"/>
        <v>---</v>
      </c>
      <c r="M23" s="228" t="str">
        <f t="shared" si="14"/>
        <v>---</v>
      </c>
      <c r="N23" s="237" t="str">
        <f t="shared" si="11"/>
        <v>---</v>
      </c>
      <c r="O23" s="213">
        <f>SUMIFS('Diags Raw Data'!$Z$6:$Z$7306,'Diags Raw Data'!$D$6:$D$7306,$A23,'Diags Raw Data'!$M$6:$M$7306,"New")+SUMIFS('Diags Raw Data'!$Z$6:$Z$7306,'Diags Raw Data'!$D$6:$D$7306,$A23,'Diags Raw Data'!$M$6:$M$7306,"Delta")</f>
        <v>0</v>
      </c>
      <c r="P23" s="203">
        <f>SUMIFS('Diags Raw Data'!$AA$6:$AA$7306,'Diags Raw Data'!$D$6:$D$7306,$A23,'Diags Raw Data'!$M$6:$M$7306,"New")+SUMIFS('Diags Raw Data'!$AA$6:$AA$7306,'Diags Raw Data'!$D$6:$D$7306,$A23,'Diags Raw Data'!$M$6:$M$7306,"Delta")</f>
        <v>0</v>
      </c>
      <c r="Q23" s="203">
        <f>SUMIFS('Diags Raw Data'!$AB$6:$AB$7306,'Diags Raw Data'!$D$6:$D$7306,$A23,'Diags Raw Data'!$M$6:$M$7306,"New")+SUMIFS('Diags Raw Data'!$AB$6:$AB$7306,'Diags Raw Data'!$D$6:$D$7306,$A23,'Diags Raw Data'!$M$6:$M$7306,"Delta")</f>
        <v>0</v>
      </c>
      <c r="R23" s="203">
        <f>SUMIFS('Diags Raw Data'!$AC$6:$AC$7306,'Diags Raw Data'!$D$6:$D$7306,$A23,'Diags Raw Data'!$M$6:$M$7306,"New")+SUMIFS('Diags Raw Data'!$AC$6:$AC$7306,'Diags Raw Data'!$D$6:$D$7306,$A23,'Diags Raw Data'!$M$6:$M$7306,"Delta")</f>
        <v>0</v>
      </c>
      <c r="S23" s="203">
        <f>SUMIFS('Diags Raw Data'!$AD$6:$AD$7306,'Diags Raw Data'!$D$6:$D$7306,$A23,'Diags Raw Data'!$M$6:$M$7306,"New")+SUMIFS('Diags Raw Data'!$AD$6:$AD$7306,'Diags Raw Data'!$D$6:$D$7306,$A23,'Diags Raw Data'!$M$6:$M$7306,"Delta")</f>
        <v>0</v>
      </c>
      <c r="T23" s="204" t="str">
        <f t="shared" si="12"/>
        <v>---</v>
      </c>
      <c r="U23" s="229" t="str">
        <f t="shared" si="13"/>
        <v>---</v>
      </c>
      <c r="V23" s="231" t="str">
        <f t="shared" si="9"/>
        <v>---</v>
      </c>
    </row>
    <row r="24" spans="1:22" x14ac:dyDescent="0.25">
      <c r="A24" s="330" t="s">
        <v>3271</v>
      </c>
      <c r="B24" s="252">
        <f>SUMIFS('Diags Raw Data'!$L$6:$L$7306,'Diags Raw Data'!$D$6:$D$7306,$A24,'Diags Raw Data'!$M$6:$M$7306,"New")+SUMIFS('Diags Raw Data'!$L$6:$L$7306,'Diags Raw Data'!$D$6:$D$7306,$A24,'Diags Raw Data'!$M$6:$M$7306,"Delta")</f>
        <v>0</v>
      </c>
      <c r="C24" s="242">
        <f>SUMIFS('Diags Raw Data'!$R$6:$R$7306,'Diags Raw Data'!$D$6:$D$7306,$A24,'Diags Raw Data'!$M$6:$M$7306,"New")+SUMIFS('Diags Raw Data'!$R$6:$R$7306,'Diags Raw Data'!$D$6:$D$7306,$A24,'Diags Raw Data'!$M$6:$M$7306,"Delta")</f>
        <v>0</v>
      </c>
      <c r="D24" s="242">
        <f>SUMIFS('Diags Raw Data'!$K$6:$K$7306,'Diags Raw Data'!$D$6:$D$7306,$A24,'Diags Raw Data'!$M$6:$M$7306,"New")+SUMIFS('Diags Raw Data'!$K$6:$K$7306,'Diags Raw Data'!$D$6:$D$7306,$A24,'Diags Raw Data'!$M$6:$M$7306,"Delta")</f>
        <v>0</v>
      </c>
      <c r="E24" s="242">
        <f>SUMIFS('Diags Raw Data'!$O$6:$O$7306,'Diags Raw Data'!$D$6:$D$7306,$A24,'Diags Raw Data'!$M$6:$M$7306,"New")+SUMIFS('Diags Raw Data'!$O$6:$O$7306,'Diags Raw Data'!$D$6:$D$7306,$A24,'Diags Raw Data'!$M$6:$M$7306,"Delta")</f>
        <v>0</v>
      </c>
      <c r="F24" s="248" t="str">
        <f t="shared" si="8"/>
        <v>---</v>
      </c>
      <c r="G24" s="230">
        <f>SUMIFS('Diags Raw Data'!$S$6:$S$7306,'Diags Raw Data'!$D$6:$D$7306,$A24,'Diags Raw Data'!$M$6:$M$7306,"New")+SUMIFS('Diags Raw Data'!$S$6:$S$7306,'Diags Raw Data'!$D$6:$D$7306,$A24,'Diags Raw Data'!$M$6:$M$7306,"Delta")</f>
        <v>0</v>
      </c>
      <c r="H24" s="226">
        <f>SUMIFS('Diags Raw Data'!$T$6:$T$7306,'Diags Raw Data'!$D$6:$D$7306,$A24,'Diags Raw Data'!$M$6:$M$7306,"New")+SUMIFS('Diags Raw Data'!$T$6:$T$7306,'Diags Raw Data'!$D$6:$D$7306,$A24,'Diags Raw Data'!$M$6:$M$7306,"Delta")</f>
        <v>0</v>
      </c>
      <c r="I24" s="226">
        <f>SUMIFS('Diags Raw Data'!$U$6:$U$7306,'Diags Raw Data'!$D$6:$D$7306,$A24,'Diags Raw Data'!$M$6:$M$7306,"New")+SUMIFS('Diags Raw Data'!$U$6:$U$7306,'Diags Raw Data'!$D$6:$D$7306,$A24,'Diags Raw Data'!$M$6:$M$7306,"Delta")</f>
        <v>0</v>
      </c>
      <c r="J24" s="226">
        <f>SUMIFS('Diags Raw Data'!$V$6:$V$7306,'Diags Raw Data'!$D$6:$D$7306,$A24,'Diags Raw Data'!$M$6:$M$7306,"New")+SUMIFS('Diags Raw Data'!$V$6:$V$7306,'Diags Raw Data'!$D$6:$D$7306,$A24,'Diags Raw Data'!$M$6:$M$7306,"Delta")</f>
        <v>0</v>
      </c>
      <c r="K24" s="226">
        <f>SUMIFS('Diags Raw Data'!$W$6:$W$7306,'Diags Raw Data'!$D$6:$D$7306,$A24,'Diags Raw Data'!$M$6:$M$7306,"New")+SUMIFS('Diags Raw Data'!$W$6:$W$7306,'Diags Raw Data'!$D$6:$D$7306,$A24,'Diags Raw Data'!$M$6:$M$7306,"Delta")</f>
        <v>0</v>
      </c>
      <c r="L24" s="243" t="str">
        <f t="shared" si="10"/>
        <v>---</v>
      </c>
      <c r="M24" s="228" t="str">
        <f t="shared" si="14"/>
        <v>---</v>
      </c>
      <c r="N24" s="237" t="str">
        <f t="shared" si="11"/>
        <v>---</v>
      </c>
      <c r="O24" s="213">
        <f>SUMIFS('Diags Raw Data'!$Z$6:$Z$7306,'Diags Raw Data'!$D$6:$D$7306,$A24,'Diags Raw Data'!$M$6:$M$7306,"New")+SUMIFS('Diags Raw Data'!$Z$6:$Z$7306,'Diags Raw Data'!$D$6:$D$7306,$A24,'Diags Raw Data'!$M$6:$M$7306,"Delta")</f>
        <v>0</v>
      </c>
      <c r="P24" s="203">
        <f>SUMIFS('Diags Raw Data'!$AA$6:$AA$7306,'Diags Raw Data'!$D$6:$D$7306,$A24,'Diags Raw Data'!$M$6:$M$7306,"New")+SUMIFS('Diags Raw Data'!$AA$6:$AA$7306,'Diags Raw Data'!$D$6:$D$7306,$A24,'Diags Raw Data'!$M$6:$M$7306,"Delta")</f>
        <v>0</v>
      </c>
      <c r="Q24" s="203">
        <f>SUMIFS('Diags Raw Data'!$AB$6:$AB$7306,'Diags Raw Data'!$D$6:$D$7306,$A24,'Diags Raw Data'!$M$6:$M$7306,"New")+SUMIFS('Diags Raw Data'!$AB$6:$AB$7306,'Diags Raw Data'!$D$6:$D$7306,$A24,'Diags Raw Data'!$M$6:$M$7306,"Delta")</f>
        <v>0</v>
      </c>
      <c r="R24" s="203">
        <f>SUMIFS('Diags Raw Data'!$AC$6:$AC$7306,'Diags Raw Data'!$D$6:$D$7306,$A24,'Diags Raw Data'!$M$6:$M$7306,"New")+SUMIFS('Diags Raw Data'!$AC$6:$AC$7306,'Diags Raw Data'!$D$6:$D$7306,$A24,'Diags Raw Data'!$M$6:$M$7306,"Delta")</f>
        <v>0</v>
      </c>
      <c r="S24" s="203">
        <f>SUMIFS('Diags Raw Data'!$AD$6:$AD$7306,'Diags Raw Data'!$D$6:$D$7306,$A24,'Diags Raw Data'!$M$6:$M$7306,"New")+SUMIFS('Diags Raw Data'!$AD$6:$AD$7306,'Diags Raw Data'!$D$6:$D$7306,$A24,'Diags Raw Data'!$M$6:$M$7306,"Delta")</f>
        <v>0</v>
      </c>
      <c r="T24" s="204" t="str">
        <f t="shared" si="12"/>
        <v>---</v>
      </c>
      <c r="U24" s="229" t="str">
        <f t="shared" si="13"/>
        <v>---</v>
      </c>
      <c r="V24" s="231" t="str">
        <f t="shared" si="9"/>
        <v>---</v>
      </c>
    </row>
    <row r="25" spans="1:22" x14ac:dyDescent="0.25">
      <c r="A25" s="330" t="s">
        <v>3359</v>
      </c>
      <c r="B25" s="252">
        <f>SUMIFS('Diags Raw Data'!$L$6:$L$7306,'Diags Raw Data'!$D$6:$D$7306,$A25,'Diags Raw Data'!$M$6:$M$7306,"New")+SUMIFS('Diags Raw Data'!$L$6:$L$7306,'Diags Raw Data'!$D$6:$D$7306,$A25,'Diags Raw Data'!$M$6:$M$7306,"Delta")</f>
        <v>0</v>
      </c>
      <c r="C25" s="242">
        <f>SUMIFS('Diags Raw Data'!$R$6:$R$7306,'Diags Raw Data'!$D$6:$D$7306,$A25,'Diags Raw Data'!$M$6:$M$7306,"New")+SUMIFS('Diags Raw Data'!$R$6:$R$7306,'Diags Raw Data'!$D$6:$D$7306,$A25,'Diags Raw Data'!$M$6:$M$7306,"Delta")</f>
        <v>0</v>
      </c>
      <c r="D25" s="242">
        <f>SUMIFS('Diags Raw Data'!$K$6:$K$7306,'Diags Raw Data'!$D$6:$D$7306,$A25,'Diags Raw Data'!$M$6:$M$7306,"New")+SUMIFS('Diags Raw Data'!$K$6:$K$7306,'Diags Raw Data'!$D$6:$D$7306,$A25,'Diags Raw Data'!$M$6:$M$7306,"Delta")</f>
        <v>0</v>
      </c>
      <c r="E25" s="242">
        <f>SUMIFS('Diags Raw Data'!$O$6:$O$7306,'Diags Raw Data'!$D$6:$D$7306,$A25,'Diags Raw Data'!$M$6:$M$7306,"New")+SUMIFS('Diags Raw Data'!$O$6:$O$7306,'Diags Raw Data'!$D$6:$D$7306,$A25,'Diags Raw Data'!$M$6:$M$7306,"Delta")</f>
        <v>0</v>
      </c>
      <c r="F25" s="248" t="str">
        <f t="shared" si="8"/>
        <v>---</v>
      </c>
      <c r="G25" s="230">
        <f>SUMIFS('Diags Raw Data'!$S$6:$S$7306,'Diags Raw Data'!$D$6:$D$7306,$A25,'Diags Raw Data'!$M$6:$M$7306,"New")+SUMIFS('Diags Raw Data'!$S$6:$S$7306,'Diags Raw Data'!$D$6:$D$7306,$A25,'Diags Raw Data'!$M$6:$M$7306,"Delta")</f>
        <v>0</v>
      </c>
      <c r="H25" s="226">
        <f>SUMIFS('Diags Raw Data'!$T$6:$T$7306,'Diags Raw Data'!$D$6:$D$7306,$A25,'Diags Raw Data'!$M$6:$M$7306,"New")+SUMIFS('Diags Raw Data'!$T$6:$T$7306,'Diags Raw Data'!$D$6:$D$7306,$A25,'Diags Raw Data'!$M$6:$M$7306,"Delta")</f>
        <v>0</v>
      </c>
      <c r="I25" s="226">
        <f>SUMIFS('Diags Raw Data'!$U$6:$U$7306,'Diags Raw Data'!$D$6:$D$7306,$A25,'Diags Raw Data'!$M$6:$M$7306,"New")+SUMIFS('Diags Raw Data'!$U$6:$U$7306,'Diags Raw Data'!$D$6:$D$7306,$A25,'Diags Raw Data'!$M$6:$M$7306,"Delta")</f>
        <v>0</v>
      </c>
      <c r="J25" s="226">
        <f>SUMIFS('Diags Raw Data'!$V$6:$V$7306,'Diags Raw Data'!$D$6:$D$7306,$A25,'Diags Raw Data'!$M$6:$M$7306,"New")+SUMIFS('Diags Raw Data'!$V$6:$V$7306,'Diags Raw Data'!$D$6:$D$7306,$A25,'Diags Raw Data'!$M$6:$M$7306,"Delta")</f>
        <v>0</v>
      </c>
      <c r="K25" s="226">
        <f>SUMIFS('Diags Raw Data'!$W$6:$W$7306,'Diags Raw Data'!$D$6:$D$7306,$A25,'Diags Raw Data'!$M$6:$M$7306,"New")+SUMIFS('Diags Raw Data'!$W$6:$W$7306,'Diags Raw Data'!$D$6:$D$7306,$A25,'Diags Raw Data'!$M$6:$M$7306,"Delta")</f>
        <v>0</v>
      </c>
      <c r="L25" s="243" t="str">
        <f t="shared" si="10"/>
        <v>---</v>
      </c>
      <c r="M25" s="228" t="str">
        <f>IF(NOT($G25=0), (H25+I25)/$G25, "---")</f>
        <v>---</v>
      </c>
      <c r="N25" s="237" t="str">
        <f t="shared" si="11"/>
        <v>---</v>
      </c>
      <c r="O25" s="213">
        <f>SUMIFS('Diags Raw Data'!$Z$6:$Z$7306,'Diags Raw Data'!$D$6:$D$7306,$A25,'Diags Raw Data'!$M$6:$M$7306,"New")+SUMIFS('Diags Raw Data'!$Z$6:$Z$7306,'Diags Raw Data'!$D$6:$D$7306,$A25,'Diags Raw Data'!$M$6:$M$7306,"Delta")</f>
        <v>0</v>
      </c>
      <c r="P25" s="203">
        <f>SUMIFS('Diags Raw Data'!$AA$6:$AA$7306,'Diags Raw Data'!$D$6:$D$7306,$A25,'Diags Raw Data'!$M$6:$M$7306,"New")+SUMIFS('Diags Raw Data'!$AA$6:$AA$7306,'Diags Raw Data'!$D$6:$D$7306,$A25,'Diags Raw Data'!$M$6:$M$7306,"Delta")</f>
        <v>0</v>
      </c>
      <c r="Q25" s="203">
        <f>SUMIFS('Diags Raw Data'!$AB$6:$AB$7306,'Diags Raw Data'!$D$6:$D$7306,$A25,'Diags Raw Data'!$M$6:$M$7306,"New")+SUMIFS('Diags Raw Data'!$AB$6:$AB$7306,'Diags Raw Data'!$D$6:$D$7306,$A25,'Diags Raw Data'!$M$6:$M$7306,"Delta")</f>
        <v>0</v>
      </c>
      <c r="R25" s="203">
        <f>SUMIFS('Diags Raw Data'!$AC$6:$AC$7306,'Diags Raw Data'!$D$6:$D$7306,$A25,'Diags Raw Data'!$M$6:$M$7306,"New")+SUMIFS('Diags Raw Data'!$AC$6:$AC$7306,'Diags Raw Data'!$D$6:$D$7306,$A25,'Diags Raw Data'!$M$6:$M$7306,"Delta")</f>
        <v>0</v>
      </c>
      <c r="S25" s="203">
        <f>SUMIFS('Diags Raw Data'!$AD$6:$AD$7306,'Diags Raw Data'!$D$6:$D$7306,$A25,'Diags Raw Data'!$M$6:$M$7306,"New")+SUMIFS('Diags Raw Data'!$AD$6:$AD$7306,'Diags Raw Data'!$D$6:$D$7306,$A25,'Diags Raw Data'!$M$6:$M$7306,"Delta")</f>
        <v>0</v>
      </c>
      <c r="T25" s="204" t="str">
        <f t="shared" si="12"/>
        <v>---</v>
      </c>
      <c r="U25" s="229" t="str">
        <f t="shared" si="13"/>
        <v>---</v>
      </c>
      <c r="V25" s="231" t="str">
        <f t="shared" si="9"/>
        <v>---</v>
      </c>
    </row>
    <row r="26" spans="1:22" x14ac:dyDescent="0.25">
      <c r="A26" s="330"/>
      <c r="B26" s="252">
        <f>SUMIFS('Diags Raw Data'!$L$6:$L$7306,'Diags Raw Data'!$D$6:$D$7306,$A26,'Diags Raw Data'!$M$6:$M$7306,"New")+SUMIFS('Diags Raw Data'!$L$6:$L$7306,'Diags Raw Data'!$D$6:$D$7306,$A26,'Diags Raw Data'!$M$6:$M$7306,"Delta")</f>
        <v>0</v>
      </c>
      <c r="C26" s="242">
        <f>SUMIFS('Diags Raw Data'!$R$6:$R$7306,'Diags Raw Data'!$D$6:$D$7306,$A26,'Diags Raw Data'!$M$6:$M$7306,"New")+SUMIFS('Diags Raw Data'!$R$6:$R$7306,'Diags Raw Data'!$D$6:$D$7306,$A26,'Diags Raw Data'!$M$6:$M$7306,"Delta")</f>
        <v>0</v>
      </c>
      <c r="D26" s="242">
        <f>SUMIFS('Diags Raw Data'!$K$6:$K$7306,'Diags Raw Data'!$D$6:$D$7306,$A26,'Diags Raw Data'!$M$6:$M$7306,"New")+SUMIFS('Diags Raw Data'!$K$6:$K$7306,'Diags Raw Data'!$D$6:$D$7306,$A26,'Diags Raw Data'!$M$6:$M$7306,"Delta")</f>
        <v>0</v>
      </c>
      <c r="E26" s="242">
        <f>SUMIFS('Diags Raw Data'!$O$6:$O$7306,'Diags Raw Data'!$D$6:$D$7306,$A26,'Diags Raw Data'!$M$6:$M$7306,"New")+SUMIFS('Diags Raw Data'!$O$6:$O$7306,'Diags Raw Data'!$D$6:$D$7306,$A26,'Diags Raw Data'!$M$6:$M$7306,"Delta")</f>
        <v>0</v>
      </c>
      <c r="F26" s="248" t="str">
        <f t="shared" si="8"/>
        <v>---</v>
      </c>
      <c r="G26" s="230">
        <f>SUMIFS('Diags Raw Data'!$S$6:$S$7306,'Diags Raw Data'!$D$6:$D$7306,$A26,'Diags Raw Data'!$M$6:$M$7306,"New")+SUMIFS('Diags Raw Data'!$S$6:$S$7306,'Diags Raw Data'!$D$6:$D$7306,$A26,'Diags Raw Data'!$M$6:$M$7306,"Delta")</f>
        <v>0</v>
      </c>
      <c r="H26" s="226">
        <f>SUMIFS('Diags Raw Data'!$T$6:$T$7306,'Diags Raw Data'!$D$6:$D$7306,$A26,'Diags Raw Data'!$M$6:$M$7306,"New")+SUMIFS('Diags Raw Data'!$T$6:$T$7306,'Diags Raw Data'!$D$6:$D$7306,$A26,'Diags Raw Data'!$M$6:$M$7306,"Delta")</f>
        <v>0</v>
      </c>
      <c r="I26" s="226">
        <f>SUMIFS('Diags Raw Data'!$U$6:$U$7306,'Diags Raw Data'!$D$6:$D$7306,$A26,'Diags Raw Data'!$M$6:$M$7306,"New")+SUMIFS('Diags Raw Data'!$U$6:$U$7306,'Diags Raw Data'!$D$6:$D$7306,$A26,'Diags Raw Data'!$M$6:$M$7306,"Delta")</f>
        <v>0</v>
      </c>
      <c r="J26" s="226">
        <f>SUMIFS('Diags Raw Data'!$V$6:$V$7306,'Diags Raw Data'!$D$6:$D$7306,$A26,'Diags Raw Data'!$M$6:$M$7306,"New")+SUMIFS('Diags Raw Data'!$V$6:$V$7306,'Diags Raw Data'!$D$6:$D$7306,$A26,'Diags Raw Data'!$M$6:$M$7306,"Delta")</f>
        <v>0</v>
      </c>
      <c r="K26" s="226">
        <f>SUMIFS('Diags Raw Data'!$W$6:$W$7306,'Diags Raw Data'!$D$6:$D$7306,$A26,'Diags Raw Data'!$M$6:$M$7306,"New")+SUMIFS('Diags Raw Data'!$W$6:$W$7306,'Diags Raw Data'!$D$6:$D$7306,$A26,'Diags Raw Data'!$M$6:$M$7306,"Delta")</f>
        <v>0</v>
      </c>
      <c r="L26" s="243" t="str">
        <f t="shared" si="10"/>
        <v>---</v>
      </c>
      <c r="M26" s="228" t="str">
        <f t="shared" si="14"/>
        <v>---</v>
      </c>
      <c r="N26" s="237" t="str">
        <f t="shared" si="11"/>
        <v>---</v>
      </c>
      <c r="O26" s="213">
        <f>SUMIFS('Diags Raw Data'!$Z$6:$Z$7306,'Diags Raw Data'!$D$6:$D$7306,$A26,'Diags Raw Data'!$M$6:$M$7306,"New")+SUMIFS('Diags Raw Data'!$Z$6:$Z$7306,'Diags Raw Data'!$D$6:$D$7306,$A26,'Diags Raw Data'!$M$6:$M$7306,"Delta")</f>
        <v>0</v>
      </c>
      <c r="P26" s="203">
        <f>SUMIFS('Diags Raw Data'!$AA$6:$AA$7306,'Diags Raw Data'!$D$6:$D$7306,$A26,'Diags Raw Data'!$M$6:$M$7306,"New")+SUMIFS('Diags Raw Data'!$AA$6:$AA$7306,'Diags Raw Data'!$D$6:$D$7306,$A26,'Diags Raw Data'!$M$6:$M$7306,"Delta")</f>
        <v>0</v>
      </c>
      <c r="Q26" s="203">
        <f>SUMIFS('Diags Raw Data'!$AB$6:$AB$7306,'Diags Raw Data'!$D$6:$D$7306,$A26,'Diags Raw Data'!$M$6:$M$7306,"New")+SUMIFS('Diags Raw Data'!$AB$6:$AB$7306,'Diags Raw Data'!$D$6:$D$7306,$A26,'Diags Raw Data'!$M$6:$M$7306,"Delta")</f>
        <v>0</v>
      </c>
      <c r="R26" s="203">
        <f>SUMIFS('Diags Raw Data'!$AC$6:$AC$7306,'Diags Raw Data'!$D$6:$D$7306,$A26,'Diags Raw Data'!$M$6:$M$7306,"New")+SUMIFS('Diags Raw Data'!$AC$6:$AC$7306,'Diags Raw Data'!$D$6:$D$7306,$A26,'Diags Raw Data'!$M$6:$M$7306,"Delta")</f>
        <v>0</v>
      </c>
      <c r="S26" s="203">
        <f>SUMIFS('Diags Raw Data'!$AD$6:$AD$7306,'Diags Raw Data'!$D$6:$D$7306,$A26,'Diags Raw Data'!$M$6:$M$7306,"New")+SUMIFS('Diags Raw Data'!$AD$6:$AD$7306,'Diags Raw Data'!$D$6:$D$7306,$A26,'Diags Raw Data'!$M$6:$M$7306,"Delta")</f>
        <v>0</v>
      </c>
      <c r="T26" s="204" t="str">
        <f t="shared" si="12"/>
        <v>---</v>
      </c>
      <c r="U26" s="229" t="str">
        <f t="shared" si="13"/>
        <v>---</v>
      </c>
      <c r="V26" s="231" t="str">
        <f t="shared" si="9"/>
        <v>---</v>
      </c>
    </row>
    <row r="27" spans="1:22" ht="15.75" thickBot="1" x14ac:dyDescent="0.3">
      <c r="A27" s="331"/>
      <c r="B27" s="253">
        <f>SUMIFS('Diags Raw Data'!$L$6:$L$7306,'Diags Raw Data'!$D$6:$D$7306,$A27,'Diags Raw Data'!$M$6:$M$7306,"New")+SUMIFS('Diags Raw Data'!$L$6:$L$7306,'Diags Raw Data'!$D$6:$D$7306,$A27,'Diags Raw Data'!$M$6:$M$7306,"Delta")</f>
        <v>0</v>
      </c>
      <c r="C27" s="244">
        <f>SUMIFS('Diags Raw Data'!$R$6:$R$7306,'Diags Raw Data'!$D$6:$D$7306,$A27,'Diags Raw Data'!$M$6:$M$7306,"New")+SUMIFS('Diags Raw Data'!$R$6:$R$7306,'Diags Raw Data'!$D$6:$D$7306,$A27,'Diags Raw Data'!$M$6:$M$7306,"Delta")</f>
        <v>0</v>
      </c>
      <c r="D27" s="244">
        <f>SUMIFS('Diags Raw Data'!$K$6:$K$7306,'Diags Raw Data'!$D$6:$D$7306,$A27,'Diags Raw Data'!$M$6:$M$7306,"New")+SUMIFS('Diags Raw Data'!$K$6:$K$7306,'Diags Raw Data'!$D$6:$D$7306,$A27,'Diags Raw Data'!$M$6:$M$7306,"Delta")</f>
        <v>0</v>
      </c>
      <c r="E27" s="244">
        <f>SUMIFS('Diags Raw Data'!$O$6:$O$7306,'Diags Raw Data'!$D$6:$D$7306,$A27,'Diags Raw Data'!$M$6:$M$7306,"New")+SUMIFS('Diags Raw Data'!$O$6:$O$7306,'Diags Raw Data'!$D$6:$D$7306,$A27,'Diags Raw Data'!$M$6:$M$7306,"Delta")</f>
        <v>0</v>
      </c>
      <c r="F27" s="249" t="str">
        <f t="shared" si="8"/>
        <v>---</v>
      </c>
      <c r="G27" s="232">
        <f>SUMIFS('Diags Raw Data'!$S$6:$S$7306,'Diags Raw Data'!$D$6:$D$7306,$A27,'Diags Raw Data'!$M$6:$M$7306,"New")+SUMIFS('Diags Raw Data'!$S$6:$S$7306,'Diags Raw Data'!$D$6:$D$7306,$A27,'Diags Raw Data'!$M$6:$M$7306,"Delta")</f>
        <v>0</v>
      </c>
      <c r="H27" s="233">
        <f>SUMIFS('Diags Raw Data'!$T$6:$T$7306,'Diags Raw Data'!$D$6:$D$7306,$A27,'Diags Raw Data'!$M$6:$M$7306,"New")+SUMIFS('Diags Raw Data'!$T$6:$T$7306,'Diags Raw Data'!$D$6:$D$7306,$A27,'Diags Raw Data'!$M$6:$M$7306,"Delta")</f>
        <v>0</v>
      </c>
      <c r="I27" s="233">
        <f>SUMIFS('Diags Raw Data'!$U$6:$U$7306,'Diags Raw Data'!$D$6:$D$7306,$A27,'Diags Raw Data'!$M$6:$M$7306,"New")+SUMIFS('Diags Raw Data'!$U$6:$U$7306,'Diags Raw Data'!$D$6:$D$7306,$A27,'Diags Raw Data'!$M$6:$M$7306,"Delta")</f>
        <v>0</v>
      </c>
      <c r="J27" s="233">
        <f>SUMIFS('Diags Raw Data'!$V$6:$V$7306,'Diags Raw Data'!$D$6:$D$7306,$A27,'Diags Raw Data'!$M$6:$M$7306,"New")+SUMIFS('Diags Raw Data'!$V$6:$V$7306,'Diags Raw Data'!$D$6:$D$7306,$A27,'Diags Raw Data'!$M$6:$M$7306,"Delta")</f>
        <v>0</v>
      </c>
      <c r="K27" s="233">
        <f>SUMIFS('Diags Raw Data'!$W$6:$W$7306,'Diags Raw Data'!$D$6:$D$7306,$A27,'Diags Raw Data'!$M$6:$M$7306,"New")+SUMIFS('Diags Raw Data'!$W$6:$W$7306,'Diags Raw Data'!$D$6:$D$7306,$A27,'Diags Raw Data'!$M$6:$M$7306,"Delta")</f>
        <v>0</v>
      </c>
      <c r="L27" s="245" t="str">
        <f t="shared" si="10"/>
        <v>---</v>
      </c>
      <c r="M27" s="235" t="str">
        <f t="shared" si="14"/>
        <v>---</v>
      </c>
      <c r="N27" s="238" t="str">
        <f t="shared" si="11"/>
        <v>---</v>
      </c>
      <c r="O27" s="214">
        <f>SUMIFS('Diags Raw Data'!$Z$6:$Z$7306,'Diags Raw Data'!$D$6:$D$7306,$A27,'Diags Raw Data'!$M$6:$M$7306,"New")+SUMIFS('Diags Raw Data'!$Z$6:$Z$7306,'Diags Raw Data'!$D$6:$D$7306,$A27,'Diags Raw Data'!$M$6:$M$7306,"Delta")</f>
        <v>0</v>
      </c>
      <c r="P27" s="206">
        <f>SUMIFS('Diags Raw Data'!$AA$6:$AA$7306,'Diags Raw Data'!$D$6:$D$7306,$A27,'Diags Raw Data'!$M$6:$M$7306,"New")+SUMIFS('Diags Raw Data'!$AA$6:$AA$7306,'Diags Raw Data'!$D$6:$D$7306,$A27,'Diags Raw Data'!$M$6:$M$7306,"Delta")</f>
        <v>0</v>
      </c>
      <c r="Q27" s="206">
        <f>SUMIFS('Diags Raw Data'!$AB$6:$AB$7306,'Diags Raw Data'!$D$6:$D$7306,$A27,'Diags Raw Data'!$M$6:$M$7306,"New")+SUMIFS('Diags Raw Data'!$AB$6:$AB$7306,'Diags Raw Data'!$D$6:$D$7306,$A27,'Diags Raw Data'!$M$6:$M$7306,"Delta")</f>
        <v>0</v>
      </c>
      <c r="R27" s="206">
        <f>SUMIFS('Diags Raw Data'!$AC$6:$AC$7306,'Diags Raw Data'!$D$6:$D$7306,$A27,'Diags Raw Data'!$M$6:$M$7306,"New")+SUMIFS('Diags Raw Data'!$AC$6:$AC$7306,'Diags Raw Data'!$D$6:$D$7306,$A27,'Diags Raw Data'!$M$6:$M$7306,"Delta")</f>
        <v>0</v>
      </c>
      <c r="S27" s="206">
        <f>SUMIFS('Diags Raw Data'!$AD$6:$AD$7306,'Diags Raw Data'!$D$6:$D$7306,$A27,'Diags Raw Data'!$M$6:$M$7306,"New")+SUMIFS('Diags Raw Data'!$AD$6:$AD$7306,'Diags Raw Data'!$D$6:$D$7306,$A27,'Diags Raw Data'!$M$6:$M$7306,"Delta")</f>
        <v>0</v>
      </c>
      <c r="T27" s="207" t="str">
        <f t="shared" si="12"/>
        <v>---</v>
      </c>
      <c r="U27" s="239" t="str">
        <f t="shared" si="13"/>
        <v>---</v>
      </c>
      <c r="V27" s="236" t="str">
        <f t="shared" si="9"/>
        <v>---</v>
      </c>
    </row>
    <row r="28" spans="1:22" ht="16.5" thickBot="1" x14ac:dyDescent="0.3">
      <c r="A28" s="255" t="s">
        <v>3377</v>
      </c>
      <c r="B28" s="256">
        <f>SUM(B18:B27)</f>
        <v>0</v>
      </c>
      <c r="C28" s="257">
        <f>SUM(C18:C27)</f>
        <v>0</v>
      </c>
      <c r="D28" s="257">
        <f>SUM(D18:D27)</f>
        <v>0</v>
      </c>
      <c r="E28" s="257">
        <f>SUM(E18:E27)</f>
        <v>0</v>
      </c>
      <c r="F28" s="258" t="e" cm="1">
        <f t="array" ref="F28">SUMPRODUCT(--(ISNUMBER(SEARCH("New",'Diags Raw Data'!$M$6:$M$7306))),'Diags Raw Data'!$K$6:$K$7306,'Diags Raw Data'!$P$6:$P$7306)/D28+SUMPRODUCT(--(ISNUMBER(SEARCH("Delta",'Diags Raw Data'!$M$6:$M$7306))),'Diags Raw Data'!$K$6:$K$7306,'Diags Raw Data'!$P$6:$P$7306)/D28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592" t="s">
        <v>166</v>
      </c>
      <c r="C30" s="592"/>
      <c r="D30" s="592"/>
      <c r="E30" s="592"/>
      <c r="F30" s="592"/>
      <c r="G30" s="593" t="s">
        <v>177</v>
      </c>
      <c r="H30" s="594"/>
      <c r="I30" s="594"/>
      <c r="J30" s="594"/>
      <c r="K30" s="594"/>
      <c r="L30" s="594"/>
      <c r="M30" s="594"/>
      <c r="N30" s="595"/>
      <c r="O30" s="596" t="s">
        <v>144</v>
      </c>
      <c r="P30" s="597"/>
      <c r="Q30" s="597"/>
      <c r="R30" s="597"/>
      <c r="S30" s="597"/>
      <c r="T30" s="597"/>
      <c r="U30" s="597"/>
      <c r="V30" s="598"/>
    </row>
    <row r="31" spans="1:22" s="250" customFormat="1" ht="30.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310</v>
      </c>
      <c r="B32" s="251">
        <f>SUMIFS('Diags Raw Data'!$L$6:$L$7306,'Diags Raw Data'!$D$6:$D$7306,$A32,'Diags Raw Data'!$M$6:$M$7306,"Legacy")</f>
        <v>19</v>
      </c>
      <c r="C32" s="241">
        <f>SUMIFS('Diags Raw Data'!$R$6:$R$7306,'Diags Raw Data'!$D$6:$D$7306,$A32,'Diags Raw Data'!$M$6:$M$7306,"Legacy")</f>
        <v>19</v>
      </c>
      <c r="D32" s="241">
        <f>SUMIFS('Diags Raw Data'!$K$6:$K$7306,'Diags Raw Data'!$D$6:$D$7306,$A32,'Diags Raw Data'!$M$6:$M$7306,"Legacy")</f>
        <v>19</v>
      </c>
      <c r="E32" s="241">
        <f>SUMIFS('Diags Raw Data'!$O$6:$O$7306,'Diags Raw Data'!$D$6:$D$7306,$A32,'Diags Raw Data'!$M$6:$M$7306,"Legacy")</f>
        <v>2</v>
      </c>
      <c r="F32" s="247">
        <f>IF(NOT($B32=0), E32/$B32, "---")</f>
        <v>0.10526315789473684</v>
      </c>
      <c r="G32" s="219">
        <f>SUMIFS('Diags Raw Data'!$S$6:$S$7306,'Diags Raw Data'!$D$6:$D$7306,$A32,'Diags Raw Data'!$M$6:$M$7306,"Legacy")</f>
        <v>7</v>
      </c>
      <c r="H32" s="220">
        <f>SUMIFS('Diags Raw Data'!$T$6:$T$7306,'Diags Raw Data'!$D$6:$D$7306,$A32,'Diags Raw Data'!$M$6:$M$7306,"Legacy")</f>
        <v>7</v>
      </c>
      <c r="I32" s="222">
        <f>SUMIFS('Diags Raw Data'!$U$6:$U$7306,'Diags Raw Data'!$D$6:$D$7306,$A32,'Diags Raw Data'!$M$6:$M$7306,"Legacy")</f>
        <v>0</v>
      </c>
      <c r="J32" s="220">
        <f>SUMIFS('Diags Raw Data'!$V$6:$V$7306,'Diags Raw Data'!$D$6:$D$7306,$A32,'Diags Raw Data'!$M$6:$M$7306,"Legacy")</f>
        <v>0</v>
      </c>
      <c r="K32" s="222">
        <f>SUMIFS('Diags Raw Data'!$W$6:$W$7306,'Diags Raw Data'!$D$6:$D$7306,$A32,'Diags Raw Data'!$M$6:$M$7306,"Legacy")</f>
        <v>0</v>
      </c>
      <c r="L32" s="221">
        <f>IF(NOT($C32=0), G32/$C32, "---")</f>
        <v>0.36842105263157893</v>
      </c>
      <c r="M32" s="223">
        <f>IF(NOT($G32=0), (H32+I32)/$G32, "---")</f>
        <v>1</v>
      </c>
      <c r="N32" s="225">
        <f>IF(NOT($C32=0), (H32+I32)/$C32, "---")</f>
        <v>0.36842105263157893</v>
      </c>
      <c r="O32" s="212">
        <f>SUMIFS('Diags Raw Data'!$Z$6:$Z$7306,'Diags Raw Data'!$D$6:$D$7306,$A32,'Diags Raw Data'!$M$6:$M$7306,"Legacy")</f>
        <v>0</v>
      </c>
      <c r="P32" s="209">
        <f>SUMIFS('Diags Raw Data'!$AA$6:$AA$7306,'Diags Raw Data'!$D$6:$D$7306,$A32,'Diags Raw Data'!$M$6:$M$7306,"Legacy")</f>
        <v>0</v>
      </c>
      <c r="Q32" s="211">
        <f>SUMIFS('Diags Raw Data'!$AB$6:$AB$7306,'Diags Raw Data'!$D$6:$D$7306,$A32,'Diags Raw Data'!$M$6:$M$7306,"Legacy")</f>
        <v>0</v>
      </c>
      <c r="R32" s="209">
        <f>SUMIFS('Diags Raw Data'!$AC$6:$AC$7306,'Diags Raw Data'!$D$6:$D$7306,$A32,'Diags Raw Data'!$M$6:$M$7306,"Legacy")</f>
        <v>0</v>
      </c>
      <c r="S32" s="211">
        <f>SUMIFS('Diags Raw Data'!$AD$6:$AD$7306,'Diags Raw Data'!$D$6:$D$7306,$A32,'Diags Raw Data'!$M$6:$M$7306,"Legacy")</f>
        <v>0</v>
      </c>
      <c r="T32" s="210">
        <f>IF(NOT($B32=0), O32/$B32, "---")</f>
        <v>0</v>
      </c>
      <c r="U32" s="224" t="str">
        <f>IF(NOT($O32=0), (P32+Q32)/$O32, "---")</f>
        <v>---</v>
      </c>
      <c r="V32" s="240">
        <f>IF(NOT($B32=0), (P32+Q32)/$B32, "---")</f>
        <v>0</v>
      </c>
    </row>
    <row r="33" spans="1:22" x14ac:dyDescent="0.25">
      <c r="A33" s="330" t="s">
        <v>370</v>
      </c>
      <c r="B33" s="252">
        <f>SUMIFS('Diags Raw Data'!$L$6:$L$7306,'Diags Raw Data'!$D$6:$D$7306,$A33,'Diags Raw Data'!$M$6:$M$7306,"Legacy")</f>
        <v>570</v>
      </c>
      <c r="C33" s="242">
        <f>SUMIFS('Diags Raw Data'!$R$6:$R$7306,'Diags Raw Data'!$D$6:$D$7306,$A33,'Diags Raw Data'!$M$6:$M$7306,"Legacy")</f>
        <v>156</v>
      </c>
      <c r="D33" s="242">
        <f>SUMIFS('Diags Raw Data'!$K$6:$K$7306,'Diags Raw Data'!$D$6:$D$7306,$A33,'Diags Raw Data'!$M$6:$M$7306,"Legacy")</f>
        <v>570</v>
      </c>
      <c r="E33" s="242">
        <f>SUMIFS('Diags Raw Data'!$O$6:$O$7306,'Diags Raw Data'!$D$6:$D$7306,$A33,'Diags Raw Data'!$M$6:$M$7306,"Legacy")</f>
        <v>351</v>
      </c>
      <c r="F33" s="248">
        <f t="shared" ref="F33:F41" si="15">IF(NOT($B33=0), E33/$B33, "---")</f>
        <v>0.61578947368421055</v>
      </c>
      <c r="G33" s="230">
        <f>SUMIFS('Diags Raw Data'!$S$6:$S$7306,'Diags Raw Data'!$D$6:$D$7306,$A33,'Diags Raw Data'!$M$6:$M$7306,"Legacy")</f>
        <v>114</v>
      </c>
      <c r="H33" s="226">
        <f>SUMIFS('Diags Raw Data'!$T$6:$T$7306,'Diags Raw Data'!$D$6:$D$7306,$A33,'Diags Raw Data'!$M$6:$M$7306,"Legacy")</f>
        <v>114</v>
      </c>
      <c r="I33" s="227">
        <f>SUMIFS('Diags Raw Data'!$U$6:$U$7306,'Diags Raw Data'!$D$6:$D$7306,$A33,'Diags Raw Data'!$M$6:$M$7306,"Legacy")</f>
        <v>0</v>
      </c>
      <c r="J33" s="226">
        <f>SUMIFS('Diags Raw Data'!$V$6:$V$7306,'Diags Raw Data'!$D$6:$D$7306,$A33,'Diags Raw Data'!$M$6:$M$7306,"Legacy")</f>
        <v>0</v>
      </c>
      <c r="K33" s="227">
        <f>SUMIFS('Diags Raw Data'!$W$6:$W$7306,'Diags Raw Data'!$D$6:$D$7306,$A33,'Diags Raw Data'!$M$6:$M$7306,"Legacy")</f>
        <v>0</v>
      </c>
      <c r="L33" s="243">
        <f t="shared" ref="L33:L41" si="16">IF(NOT($C33=0), G33/$C33, "---")</f>
        <v>0.73076923076923073</v>
      </c>
      <c r="M33" s="228">
        <f t="shared" ref="M33:M42" si="17">IF(NOT($G33=0), (H33+I33)/$G33, "---")</f>
        <v>1</v>
      </c>
      <c r="N33" s="237">
        <f t="shared" ref="N33:N42" si="18">IF(NOT($C33=0), (H33+I33)/$C33, "---")</f>
        <v>0.73076923076923073</v>
      </c>
      <c r="O33" s="213">
        <f>SUMIFS('Diags Raw Data'!$Z$6:$Z$7306,'Diags Raw Data'!$D$6:$D$7306,$A33,'Diags Raw Data'!$M$6:$M$7306,"Legacy")</f>
        <v>0</v>
      </c>
      <c r="P33" s="203">
        <f>SUMIFS('Diags Raw Data'!$AA$6:$AA$7306,'Diags Raw Data'!$D$6:$D$7306,$A33,'Diags Raw Data'!$M$6:$M$7306,"Legacy")</f>
        <v>0</v>
      </c>
      <c r="Q33" s="205">
        <f>SUMIFS('Diags Raw Data'!$AB$6:$AB$7306,'Diags Raw Data'!$D$6:$D$7306,$A33,'Diags Raw Data'!$M$6:$M$7306,"Legacy")</f>
        <v>0</v>
      </c>
      <c r="R33" s="203">
        <f>SUMIFS('Diags Raw Data'!$AC$6:$AC$7306,'Diags Raw Data'!$D$6:$D$7306,$A33,'Diags Raw Data'!$M$6:$M$7306,"Legacy")</f>
        <v>0</v>
      </c>
      <c r="S33" s="205">
        <f>SUMIFS('Diags Raw Data'!$AD$6:$AD$7306,'Diags Raw Data'!$D$6:$D$7306,$A33,'Diags Raw Data'!$M$6:$M$7306,"Legacy")</f>
        <v>0</v>
      </c>
      <c r="T33" s="204">
        <f t="shared" ref="T33:T41" si="19">IF(NOT($B33=0), O33/$B33, "---")</f>
        <v>0</v>
      </c>
      <c r="U33" s="229" t="str">
        <f t="shared" ref="U33:U42" si="20">IF(NOT($O33=0), (P33+Q33)/$O33, "---")</f>
        <v>---</v>
      </c>
      <c r="V33" s="231">
        <f t="shared" ref="V33:V41" si="21">IF(NOT($B33=0), (P33+Q33)/$B33, "---")</f>
        <v>0</v>
      </c>
    </row>
    <row r="34" spans="1:22" x14ac:dyDescent="0.25">
      <c r="A34" s="330" t="s">
        <v>329</v>
      </c>
      <c r="B34" s="252">
        <f>SUMIFS('Diags Raw Data'!$L$6:$L$7306,'Diags Raw Data'!$D$6:$D$7306,$A34,'Diags Raw Data'!$M$6:$M$7306,"Legacy")</f>
        <v>328</v>
      </c>
      <c r="C34" s="242">
        <f>SUMIFS('Diags Raw Data'!$R$6:$R$7306,'Diags Raw Data'!$D$6:$D$7306,$A34,'Diags Raw Data'!$M$6:$M$7306,"Legacy")</f>
        <v>322</v>
      </c>
      <c r="D34" s="242">
        <f>SUMIFS('Diags Raw Data'!$K$6:$K$7306,'Diags Raw Data'!$D$6:$D$7306,$A34,'Diags Raw Data'!$M$6:$M$7306,"Legacy")</f>
        <v>328</v>
      </c>
      <c r="E34" s="242">
        <f>SUMIFS('Diags Raw Data'!$O$6:$O$7306,'Diags Raw Data'!$D$6:$D$7306,$A34,'Diags Raw Data'!$M$6:$M$7306,"Legacy")</f>
        <v>176</v>
      </c>
      <c r="F34" s="248">
        <f t="shared" si="15"/>
        <v>0.53658536585365857</v>
      </c>
      <c r="G34" s="230">
        <f>SUMIFS('Diags Raw Data'!$S$6:$S$7306,'Diags Raw Data'!$D$6:$D$7306,$A34,'Diags Raw Data'!$M$6:$M$7306,"Legacy")</f>
        <v>0</v>
      </c>
      <c r="H34" s="226">
        <f>SUMIFS('Diags Raw Data'!$T$6:$T$7306,'Diags Raw Data'!$D$6:$D$7306,$A34,'Diags Raw Data'!$M$6:$M$7306,"Legacy")</f>
        <v>0</v>
      </c>
      <c r="I34" s="227">
        <f>SUMIFS('Diags Raw Data'!$U$6:$U$7306,'Diags Raw Data'!$D$6:$D$7306,$A34,'Diags Raw Data'!$M$6:$M$7306,"Legacy")</f>
        <v>0</v>
      </c>
      <c r="J34" s="226">
        <f>SUMIFS('Diags Raw Data'!$V$6:$V$7306,'Diags Raw Data'!$D$6:$D$7306,$A34,'Diags Raw Data'!$M$6:$M$7306,"Legacy")</f>
        <v>0</v>
      </c>
      <c r="K34" s="227">
        <f>SUMIFS('Diags Raw Data'!$W$6:$W$7306,'Diags Raw Data'!$D$6:$D$7306,$A34,'Diags Raw Data'!$M$6:$M$7306,"Legacy")</f>
        <v>0</v>
      </c>
      <c r="L34" s="243">
        <f t="shared" si="16"/>
        <v>0</v>
      </c>
      <c r="M34" s="228" t="str">
        <f t="shared" si="17"/>
        <v>---</v>
      </c>
      <c r="N34" s="237">
        <f t="shared" si="18"/>
        <v>0</v>
      </c>
      <c r="O34" s="213">
        <f>SUMIFS('Diags Raw Data'!$Z$6:$Z$7306,'Diags Raw Data'!$D$6:$D$7306,$A34,'Diags Raw Data'!$M$6:$M$7306,"Legacy")</f>
        <v>0</v>
      </c>
      <c r="P34" s="203">
        <f>SUMIFS('Diags Raw Data'!$AA$6:$AA$7306,'Diags Raw Data'!$D$6:$D$7306,$A34,'Diags Raw Data'!$M$6:$M$7306,"Legacy")</f>
        <v>0</v>
      </c>
      <c r="Q34" s="205">
        <f>SUMIFS('Diags Raw Data'!$AB$6:$AB$7306,'Diags Raw Data'!$D$6:$D$7306,$A34,'Diags Raw Data'!$M$6:$M$7306,"Legacy")</f>
        <v>0</v>
      </c>
      <c r="R34" s="203">
        <f>SUMIFS('Diags Raw Data'!$AC$6:$AC$7306,'Diags Raw Data'!$D$6:$D$7306,$A34,'Diags Raw Data'!$M$6:$M$7306,"Legacy")</f>
        <v>0</v>
      </c>
      <c r="S34" s="205">
        <f>SUMIFS('Diags Raw Data'!$AD$6:$AD$7306,'Diags Raw Data'!$D$6:$D$7306,$A34,'Diags Raw Data'!$M$6:$M$7306,"Legacy")</f>
        <v>0</v>
      </c>
      <c r="T34" s="204">
        <f t="shared" si="19"/>
        <v>0</v>
      </c>
      <c r="U34" s="229" t="str">
        <f t="shared" si="20"/>
        <v>---</v>
      </c>
      <c r="V34" s="231">
        <f t="shared" si="21"/>
        <v>0</v>
      </c>
    </row>
    <row r="35" spans="1:22" x14ac:dyDescent="0.25">
      <c r="A35" s="330" t="s">
        <v>383</v>
      </c>
      <c r="B35" s="252">
        <f>SUMIFS('Diags Raw Data'!$L$6:$L$7306,'Diags Raw Data'!$D$6:$D$7306,$A35,'Diags Raw Data'!$M$6:$M$7306,"Legacy")</f>
        <v>411</v>
      </c>
      <c r="C35" s="242">
        <f>SUMIFS('Diags Raw Data'!$R$6:$R$7306,'Diags Raw Data'!$D$6:$D$7306,$A35,'Diags Raw Data'!$M$6:$M$7306,"Legacy")</f>
        <v>402</v>
      </c>
      <c r="D35" s="242">
        <f>SUMIFS('Diags Raw Data'!$K$6:$K$7306,'Diags Raw Data'!$D$6:$D$7306,$A35,'Diags Raw Data'!$M$6:$M$7306,"Legacy")</f>
        <v>411</v>
      </c>
      <c r="E35" s="242">
        <f>SUMIFS('Diags Raw Data'!$O$6:$O$7306,'Diags Raw Data'!$D$6:$D$7306,$A35,'Diags Raw Data'!$M$6:$M$7306,"Legacy")</f>
        <v>339.5</v>
      </c>
      <c r="F35" s="248">
        <f t="shared" si="15"/>
        <v>0.82603406326034068</v>
      </c>
      <c r="G35" s="230">
        <v>211</v>
      </c>
      <c r="H35" s="226">
        <v>202</v>
      </c>
      <c r="I35" s="227">
        <f>SUMIFS('Diags Raw Data'!$U$6:$U$7306,'Diags Raw Data'!$D$6:$D$7306,$A35,'Diags Raw Data'!$M$6:$M$7306,"Legacy")</f>
        <v>0</v>
      </c>
      <c r="J35" s="226">
        <v>9</v>
      </c>
      <c r="K35" s="227">
        <f>SUMIFS('Diags Raw Data'!$W$6:$W$7306,'Diags Raw Data'!$D$6:$D$7306,$A35,'Diags Raw Data'!$M$6:$M$7306,"Legacy")</f>
        <v>0</v>
      </c>
      <c r="L35" s="243">
        <f t="shared" si="16"/>
        <v>0.52487562189054726</v>
      </c>
      <c r="M35" s="228">
        <f t="shared" si="17"/>
        <v>0.95734597156398105</v>
      </c>
      <c r="N35" s="237">
        <f t="shared" si="18"/>
        <v>0.50248756218905477</v>
      </c>
      <c r="O35" s="213">
        <f>SUMIFS('Diags Raw Data'!$Z$6:$Z$7306,'Diags Raw Data'!$D$6:$D$7306,$A35,'Diags Raw Data'!$M$6:$M$7306,"Legacy")</f>
        <v>0</v>
      </c>
      <c r="P35" s="203">
        <f>SUMIFS('Diags Raw Data'!$AA$6:$AA$7306,'Diags Raw Data'!$D$6:$D$7306,$A35,'Diags Raw Data'!$M$6:$M$7306,"Legacy")</f>
        <v>0</v>
      </c>
      <c r="Q35" s="205">
        <f>SUMIFS('Diags Raw Data'!$AB$6:$AB$7306,'Diags Raw Data'!$D$6:$D$7306,$A35,'Diags Raw Data'!$M$6:$M$7306,"Legacy")</f>
        <v>0</v>
      </c>
      <c r="R35" s="203">
        <f>SUMIFS('Diags Raw Data'!$AC$6:$AC$7306,'Diags Raw Data'!$D$6:$D$7306,$A35,'Diags Raw Data'!$M$6:$M$7306,"Legacy")</f>
        <v>0</v>
      </c>
      <c r="S35" s="205">
        <f>SUMIFS('Diags Raw Data'!$AD$6:$AD$7306,'Diags Raw Data'!$D$6:$D$7306,$A35,'Diags Raw Data'!$M$6:$M$7306,"Legacy")</f>
        <v>0</v>
      </c>
      <c r="T35" s="204">
        <f t="shared" si="19"/>
        <v>0</v>
      </c>
      <c r="U35" s="229" t="str">
        <f t="shared" si="20"/>
        <v>---</v>
      </c>
      <c r="V35" s="231">
        <f t="shared" si="21"/>
        <v>0</v>
      </c>
    </row>
    <row r="36" spans="1:22" x14ac:dyDescent="0.25">
      <c r="A36" s="330" t="s">
        <v>1778</v>
      </c>
      <c r="B36" s="252">
        <f>SUMIFS('Diags Raw Data'!$L$6:$L$7306,'Diags Raw Data'!$D$6:$D$7306,$A36,'Diags Raw Data'!$M$6:$M$7306,"Legacy")</f>
        <v>719</v>
      </c>
      <c r="C36" s="242">
        <f>SUMIFS('Diags Raw Data'!$R$6:$R$7306,'Diags Raw Data'!$D$6:$D$7306,$A36,'Diags Raw Data'!$M$6:$M$7306,"Legacy")</f>
        <v>679</v>
      </c>
      <c r="D36" s="242">
        <f>SUMIFS('Diags Raw Data'!$K$6:$K$7306,'Diags Raw Data'!$D$6:$D$7306,$A36,'Diags Raw Data'!$M$6:$M$7306,"Legacy")</f>
        <v>719</v>
      </c>
      <c r="E36" s="242">
        <f>SUMIFS('Diags Raw Data'!$O$6:$O$7306,'Diags Raw Data'!$D$6:$D$7306,$A36,'Diags Raw Data'!$M$6:$M$7306,"Legacy")</f>
        <v>72</v>
      </c>
      <c r="F36" s="248">
        <f t="shared" si="15"/>
        <v>0.10013908205841446</v>
      </c>
      <c r="G36" s="230">
        <f>SUMIFS('Diags Raw Data'!$S$6:$S$7306,'Diags Raw Data'!$D$6:$D$7306,$A36,'Diags Raw Data'!$M$6:$M$7306,"Legacy")</f>
        <v>0</v>
      </c>
      <c r="H36" s="226">
        <f>SUMIFS('Diags Raw Data'!$T$6:$T$7306,'Diags Raw Data'!$D$6:$D$7306,$A36,'Diags Raw Data'!$M$6:$M$7306,"Legacy")</f>
        <v>0</v>
      </c>
      <c r="I36" s="227">
        <f>SUMIFS('Diags Raw Data'!$U$6:$U$7306,'Diags Raw Data'!$D$6:$D$7306,$A36,'Diags Raw Data'!$M$6:$M$7306,"Legacy")</f>
        <v>0</v>
      </c>
      <c r="J36" s="226">
        <f>SUMIFS('Diags Raw Data'!$V$6:$V$7306,'Diags Raw Data'!$D$6:$D$7306,$A36,'Diags Raw Data'!$M$6:$M$7306,"Legacy")</f>
        <v>0</v>
      </c>
      <c r="K36" s="227">
        <f>SUMIFS('Diags Raw Data'!$W$6:$W$7306,'Diags Raw Data'!$D$6:$D$7306,$A36,'Diags Raw Data'!$M$6:$M$7306,"Legacy")</f>
        <v>0</v>
      </c>
      <c r="L36" s="243">
        <f t="shared" si="16"/>
        <v>0</v>
      </c>
      <c r="M36" s="228" t="str">
        <f t="shared" si="17"/>
        <v>---</v>
      </c>
      <c r="N36" s="237">
        <f t="shared" si="18"/>
        <v>0</v>
      </c>
      <c r="O36" s="213">
        <f>SUMIFS('Diags Raw Data'!$Z$6:$Z$7306,'Diags Raw Data'!$D$6:$D$7306,$A36,'Diags Raw Data'!$M$6:$M$7306,"Legacy")</f>
        <v>0</v>
      </c>
      <c r="P36" s="203">
        <f>SUMIFS('Diags Raw Data'!$AA$6:$AA$7306,'Diags Raw Data'!$D$6:$D$7306,$A36,'Diags Raw Data'!$M$6:$M$7306,"Legacy")</f>
        <v>0</v>
      </c>
      <c r="Q36" s="205">
        <f>SUMIFS('Diags Raw Data'!$AB$6:$AB$7306,'Diags Raw Data'!$D$6:$D$7306,$A36,'Diags Raw Data'!$M$6:$M$7306,"Legacy")</f>
        <v>0</v>
      </c>
      <c r="R36" s="203">
        <f>SUMIFS('Diags Raw Data'!$AC$6:$AC$7306,'Diags Raw Data'!$D$6:$D$7306,$A36,'Diags Raw Data'!$M$6:$M$7306,"Legacy")</f>
        <v>0</v>
      </c>
      <c r="S36" s="205">
        <f>SUMIFS('Diags Raw Data'!$AD$6:$AD$7306,'Diags Raw Data'!$D$6:$D$7306,$A36,'Diags Raw Data'!$M$6:$M$7306,"Legacy")</f>
        <v>0</v>
      </c>
      <c r="T36" s="204">
        <f t="shared" si="19"/>
        <v>0</v>
      </c>
      <c r="U36" s="229" t="str">
        <f t="shared" si="20"/>
        <v>---</v>
      </c>
      <c r="V36" s="231">
        <f t="shared" si="21"/>
        <v>0</v>
      </c>
    </row>
    <row r="37" spans="1:22" x14ac:dyDescent="0.25">
      <c r="A37" s="330" t="s">
        <v>3233</v>
      </c>
      <c r="B37" s="252">
        <f>SUMIFS('Diags Raw Data'!$L$6:$L$7306,'Diags Raw Data'!$D$6:$D$7306,$A37,'Diags Raw Data'!$M$6:$M$7306,"Legacy")</f>
        <v>86</v>
      </c>
      <c r="C37" s="242">
        <f>SUMIFS('Diags Raw Data'!$R$6:$R$7306,'Diags Raw Data'!$D$6:$D$7306,$A37,'Diags Raw Data'!$M$6:$M$7306,"Legacy")</f>
        <v>86</v>
      </c>
      <c r="D37" s="242">
        <f>SUMIFS('Diags Raw Data'!$K$6:$K$7306,'Diags Raw Data'!$D$6:$D$7306,$A37,'Diags Raw Data'!$M$6:$M$7306,"Legacy")</f>
        <v>86</v>
      </c>
      <c r="E37" s="242">
        <f>SUMIFS('Diags Raw Data'!$O$6:$O$7306,'Diags Raw Data'!$D$6:$D$7306,$A37,'Diags Raw Data'!$M$6:$M$7306,"Legacy")</f>
        <v>0</v>
      </c>
      <c r="F37" s="248">
        <f t="shared" si="15"/>
        <v>0</v>
      </c>
      <c r="G37" s="230">
        <f>SUMIFS('Diags Raw Data'!$S$6:$S$7306,'Diags Raw Data'!$D$6:$D$7306,$A37,'Diags Raw Data'!$M$6:$M$7306,"Legacy")</f>
        <v>0</v>
      </c>
      <c r="H37" s="226">
        <f>SUMIFS('Diags Raw Data'!$T$6:$T$7306,'Diags Raw Data'!$D$6:$D$7306,$A37,'Diags Raw Data'!$M$6:$M$7306,"Legacy")</f>
        <v>0</v>
      </c>
      <c r="I37" s="227">
        <f>SUMIFS('Diags Raw Data'!$U$6:$U$7306,'Diags Raw Data'!$D$6:$D$7306,$A37,'Diags Raw Data'!$M$6:$M$7306,"Legacy")</f>
        <v>0</v>
      </c>
      <c r="J37" s="226">
        <f>SUMIFS('Diags Raw Data'!$V$6:$V$7306,'Diags Raw Data'!$D$6:$D$7306,$A37,'Diags Raw Data'!$M$6:$M$7306,"Legacy")</f>
        <v>0</v>
      </c>
      <c r="K37" s="227">
        <f>SUMIFS('Diags Raw Data'!$W$6:$W$7306,'Diags Raw Data'!$D$6:$D$7306,$A37,'Diags Raw Data'!$M$6:$M$7306,"Legacy")</f>
        <v>0</v>
      </c>
      <c r="L37" s="243">
        <f t="shared" si="16"/>
        <v>0</v>
      </c>
      <c r="M37" s="228" t="str">
        <f t="shared" si="17"/>
        <v>---</v>
      </c>
      <c r="N37" s="237">
        <f t="shared" si="18"/>
        <v>0</v>
      </c>
      <c r="O37" s="213">
        <f>SUMIFS('Diags Raw Data'!$Z$6:$Z$7306,'Diags Raw Data'!$D$6:$D$7306,$A37,'Diags Raw Data'!$M$6:$M$7306,"Legacy")</f>
        <v>0</v>
      </c>
      <c r="P37" s="203">
        <f>SUMIFS('Diags Raw Data'!$AA$6:$AA$7306,'Diags Raw Data'!$D$6:$D$7306,$A37,'Diags Raw Data'!$M$6:$M$7306,"Legacy")</f>
        <v>0</v>
      </c>
      <c r="Q37" s="205">
        <f>SUMIFS('Diags Raw Data'!$AB$6:$AB$7306,'Diags Raw Data'!$D$6:$D$7306,$A37,'Diags Raw Data'!$M$6:$M$7306,"Legacy")</f>
        <v>0</v>
      </c>
      <c r="R37" s="203">
        <f>SUMIFS('Diags Raw Data'!$AC$6:$AC$7306,'Diags Raw Data'!$D$6:$D$7306,$A37,'Diags Raw Data'!$M$6:$M$7306,"Legacy")</f>
        <v>0</v>
      </c>
      <c r="S37" s="205">
        <f>SUMIFS('Diags Raw Data'!$AD$6:$AD$7306,'Diags Raw Data'!$D$6:$D$7306,$A37,'Diags Raw Data'!$M$6:$M$7306,"Legacy")</f>
        <v>0</v>
      </c>
      <c r="T37" s="204">
        <f t="shared" si="19"/>
        <v>0</v>
      </c>
      <c r="U37" s="229" t="str">
        <f t="shared" si="20"/>
        <v>---</v>
      </c>
      <c r="V37" s="231">
        <f t="shared" si="21"/>
        <v>0</v>
      </c>
    </row>
    <row r="38" spans="1:22" x14ac:dyDescent="0.25">
      <c r="A38" s="330" t="s">
        <v>3359</v>
      </c>
      <c r="B38" s="252">
        <f>SUMIFS('Diags Raw Data'!$L$6:$L$7306,'Diags Raw Data'!$D$6:$D$7306,$A38,'Diags Raw Data'!$M$6:$M$7306,"Legacy")</f>
        <v>5</v>
      </c>
      <c r="C38" s="242">
        <f>SUMIFS('Diags Raw Data'!$R$6:$R$7306,'Diags Raw Data'!$D$6:$D$7306,$A38,'Diags Raw Data'!$M$6:$M$7306,"Legacy")</f>
        <v>0</v>
      </c>
      <c r="D38" s="242">
        <f>SUMIFS('Diags Raw Data'!$K$6:$K$7306,'Diags Raw Data'!$D$6:$D$7306,$A38,'Diags Raw Data'!$M$6:$M$7306,"Legacy")</f>
        <v>5</v>
      </c>
      <c r="E38" s="242">
        <f>SUMIFS('Diags Raw Data'!$O$6:$O$7306,'Diags Raw Data'!$D$6:$D$7306,$A38,'Diags Raw Data'!$M$6:$M$7306,"Legacy")</f>
        <v>0</v>
      </c>
      <c r="F38" s="248">
        <f t="shared" si="15"/>
        <v>0</v>
      </c>
      <c r="G38" s="230">
        <f>SUMIFS('Diags Raw Data'!$S$6:$S$7306,'Diags Raw Data'!$D$6:$D$7306,$A38,'Diags Raw Data'!$M$6:$M$7306,"Legacy")</f>
        <v>0</v>
      </c>
      <c r="H38" s="226">
        <f>SUMIFS('Diags Raw Data'!$T$6:$T$7306,'Diags Raw Data'!$D$6:$D$7306,$A38,'Diags Raw Data'!$M$6:$M$7306,"Legacy")</f>
        <v>0</v>
      </c>
      <c r="I38" s="227">
        <f>SUMIFS('Diags Raw Data'!$U$6:$U$7306,'Diags Raw Data'!$D$6:$D$7306,$A38,'Diags Raw Data'!$M$6:$M$7306,"Legacy")</f>
        <v>0</v>
      </c>
      <c r="J38" s="226">
        <f>SUMIFS('Diags Raw Data'!$V$6:$V$7306,'Diags Raw Data'!$D$6:$D$7306,$A38,'Diags Raw Data'!$M$6:$M$7306,"Legacy")</f>
        <v>0</v>
      </c>
      <c r="K38" s="227">
        <f>SUMIFS('Diags Raw Data'!$W$6:$W$7306,'Diags Raw Data'!$D$6:$D$7306,$A38,'Diags Raw Data'!$M$6:$M$7306,"Legacy")</f>
        <v>0</v>
      </c>
      <c r="L38" s="243" t="str">
        <f t="shared" si="16"/>
        <v>---</v>
      </c>
      <c r="M38" s="228" t="str">
        <f t="shared" si="17"/>
        <v>---</v>
      </c>
      <c r="N38" s="237" t="str">
        <f t="shared" si="18"/>
        <v>---</v>
      </c>
      <c r="O38" s="213">
        <f>SUMIFS('Diags Raw Data'!$Z$6:$Z$7306,'Diags Raw Data'!$D$6:$D$7306,$A38,'Diags Raw Data'!$M$6:$M$7306,"Legacy")</f>
        <v>0</v>
      </c>
      <c r="P38" s="203">
        <f>SUMIFS('Diags Raw Data'!$AA$6:$AA$7306,'Diags Raw Data'!$D$6:$D$7306,$A38,'Diags Raw Data'!$M$6:$M$7306,"Legacy")</f>
        <v>0</v>
      </c>
      <c r="Q38" s="205">
        <f>SUMIFS('Diags Raw Data'!$AB$6:$AB$7306,'Diags Raw Data'!$D$6:$D$7306,$A38,'Diags Raw Data'!$M$6:$M$7306,"Legacy")</f>
        <v>0</v>
      </c>
      <c r="R38" s="203">
        <f>SUMIFS('Diags Raw Data'!$AC$6:$AC$7306,'Diags Raw Data'!$D$6:$D$7306,$A38,'Diags Raw Data'!$M$6:$M$7306,"Legacy")</f>
        <v>0</v>
      </c>
      <c r="S38" s="205">
        <f>SUMIFS('Diags Raw Data'!$AD$6:$AD$7306,'Diags Raw Data'!$D$6:$D$7306,$A38,'Diags Raw Data'!$M$6:$M$7306,"Legacy")</f>
        <v>0</v>
      </c>
      <c r="T38" s="204">
        <f t="shared" si="19"/>
        <v>0</v>
      </c>
      <c r="U38" s="229" t="str">
        <f t="shared" si="20"/>
        <v>---</v>
      </c>
      <c r="V38" s="231">
        <f t="shared" si="21"/>
        <v>0</v>
      </c>
    </row>
    <row r="39" spans="1:22" x14ac:dyDescent="0.25">
      <c r="A39" s="330"/>
      <c r="B39" s="252">
        <f>SUMIFS('Diags Raw Data'!$L$6:$L$7306,'Diags Raw Data'!$D$6:$D$7306,$A39,'Diags Raw Data'!$M$6:$M$7306,"Legacy")</f>
        <v>0</v>
      </c>
      <c r="C39" s="242">
        <f>SUMIFS('Diags Raw Data'!$R$6:$R$7306,'Diags Raw Data'!$D$6:$D$7306,$A39,'Diags Raw Data'!$M$6:$M$7306,"Legacy")</f>
        <v>0</v>
      </c>
      <c r="D39" s="242">
        <f>SUMIFS('Diags Raw Data'!$K$6:$K$7306,'Diags Raw Data'!$D$6:$D$7306,$A39,'Diags Raw Data'!$M$6:$M$7306,"Legacy")</f>
        <v>0</v>
      </c>
      <c r="E39" s="242">
        <f>SUMIFS('Diags Raw Data'!$O$6:$O$7306,'Diags Raw Data'!$D$6:$D$7306,$A39,'Diags Raw Data'!$M$6:$M$7306,"Legacy")</f>
        <v>0</v>
      </c>
      <c r="F39" s="248" t="str">
        <f t="shared" si="15"/>
        <v>---</v>
      </c>
      <c r="G39" s="230">
        <f>SUMIFS('Diags Raw Data'!$S$6:$S$7306,'Diags Raw Data'!$D$6:$D$7306,$A39,'Diags Raw Data'!$M$6:$M$7306,"Legacy")</f>
        <v>0</v>
      </c>
      <c r="H39" s="226">
        <f>SUMIFS('Diags Raw Data'!$T$6:$T$7306,'Diags Raw Data'!$D$6:$D$7306,$A39,'Diags Raw Data'!$M$6:$M$7306,"Legacy")</f>
        <v>0</v>
      </c>
      <c r="I39" s="227">
        <f>SUMIFS('Diags Raw Data'!$U$6:$U$7306,'Diags Raw Data'!$D$6:$D$7306,$A39,'Diags Raw Data'!$M$6:$M$7306,"Legacy")</f>
        <v>0</v>
      </c>
      <c r="J39" s="226">
        <f>SUMIFS('Diags Raw Data'!$V$6:$V$7306,'Diags Raw Data'!$D$6:$D$7306,$A39,'Diags Raw Data'!$M$6:$M$7306,"Legacy")</f>
        <v>0</v>
      </c>
      <c r="K39" s="227">
        <f>SUMIFS('Diags Raw Data'!$W$6:$W$7306,'Diags Raw Data'!$D$6:$D$7306,$A39,'Diags Raw Data'!$M$6:$M$7306,"Legacy")</f>
        <v>0</v>
      </c>
      <c r="L39" s="243" t="str">
        <f t="shared" si="16"/>
        <v>---</v>
      </c>
      <c r="M39" s="228" t="str">
        <f t="shared" si="17"/>
        <v>---</v>
      </c>
      <c r="N39" s="237" t="str">
        <f t="shared" si="18"/>
        <v>---</v>
      </c>
      <c r="O39" s="213">
        <f>SUMIFS('Diags Raw Data'!$Z$6:$Z$7306,'Diags Raw Data'!$D$6:$D$7306,$A39,'Diags Raw Data'!$M$6:$M$7306,"Legacy")</f>
        <v>0</v>
      </c>
      <c r="P39" s="203">
        <f>SUMIFS('Diags Raw Data'!$AA$6:$AA$7306,'Diags Raw Data'!$D$6:$D$7306,$A39,'Diags Raw Data'!$M$6:$M$7306,"Legacy")</f>
        <v>0</v>
      </c>
      <c r="Q39" s="205">
        <f>SUMIFS('Diags Raw Data'!$AB$6:$AB$7306,'Diags Raw Data'!$D$6:$D$7306,$A39,'Diags Raw Data'!$M$6:$M$7306,"Legacy")</f>
        <v>0</v>
      </c>
      <c r="R39" s="203">
        <f>SUMIFS('Diags Raw Data'!$AC$6:$AC$7306,'Diags Raw Data'!$D$6:$D$7306,$A39,'Diags Raw Data'!$M$6:$M$7306,"Legacy")</f>
        <v>0</v>
      </c>
      <c r="S39" s="205">
        <f>SUMIFS('Diags Raw Data'!$AD$6:$AD$7306,'Diags Raw Data'!$D$6:$D$7306,$A39,'Diags Raw Data'!$M$6:$M$7306,"Legacy")</f>
        <v>0</v>
      </c>
      <c r="T39" s="204" t="str">
        <f t="shared" si="19"/>
        <v>---</v>
      </c>
      <c r="U39" s="229" t="str">
        <f t="shared" si="20"/>
        <v>---</v>
      </c>
      <c r="V39" s="231" t="str">
        <f t="shared" si="21"/>
        <v>---</v>
      </c>
    </row>
    <row r="40" spans="1:22" x14ac:dyDescent="0.25">
      <c r="A40" s="330"/>
      <c r="B40" s="252">
        <f>SUMIFS('Diags Raw Data'!$L$6:$L$7306,'Diags Raw Data'!$D$6:$D$7306,$A40,'Diags Raw Data'!$M$6:$M$7306,"Legacy")</f>
        <v>0</v>
      </c>
      <c r="C40" s="242">
        <f>SUMIFS('Diags Raw Data'!$R$6:$R$7306,'Diags Raw Data'!$D$6:$D$7306,$A40,'Diags Raw Data'!$M$6:$M$7306,"Legacy")</f>
        <v>0</v>
      </c>
      <c r="D40" s="242">
        <f>SUMIFS('Diags Raw Data'!$K$6:$K$7306,'Diags Raw Data'!$D$6:$D$7306,$A40,'Diags Raw Data'!$M$6:$M$7306,"Legacy")</f>
        <v>0</v>
      </c>
      <c r="E40" s="242">
        <f>SUMIFS('Diags Raw Data'!$O$6:$O$7306,'Diags Raw Data'!$D$6:$D$7306,$A40,'Diags Raw Data'!$M$6:$M$7306,"Legacy")</f>
        <v>0</v>
      </c>
      <c r="F40" s="248" t="str">
        <f t="shared" si="15"/>
        <v>---</v>
      </c>
      <c r="G40" s="230">
        <f>SUMIFS('Diags Raw Data'!$S$6:$S$7306,'Diags Raw Data'!$D$6:$D$7306,$A40,'Diags Raw Data'!$M$6:$M$7306,"Legacy")</f>
        <v>0</v>
      </c>
      <c r="H40" s="226">
        <f>SUMIFS('Diags Raw Data'!$T$6:$T$7306,'Diags Raw Data'!$D$6:$D$7306,$A40,'Diags Raw Data'!$M$6:$M$7306,"Legacy")</f>
        <v>0</v>
      </c>
      <c r="I40" s="227">
        <f>SUMIFS('Diags Raw Data'!$U$6:$U$7306,'Diags Raw Data'!$D$6:$D$7306,$A40,'Diags Raw Data'!$M$6:$M$7306,"Legacy")</f>
        <v>0</v>
      </c>
      <c r="J40" s="226">
        <f>SUMIFS('Diags Raw Data'!$V$6:$V$7306,'Diags Raw Data'!$D$6:$D$7306,$A40,'Diags Raw Data'!$M$6:$M$7306,"Legacy")</f>
        <v>0</v>
      </c>
      <c r="K40" s="227">
        <f>SUMIFS('Diags Raw Data'!$W$6:$W$7306,'Diags Raw Data'!$D$6:$D$7306,$A40,'Diags Raw Data'!$M$6:$M$7306,"Legacy")</f>
        <v>0</v>
      </c>
      <c r="L40" s="243" t="str">
        <f t="shared" si="16"/>
        <v>---</v>
      </c>
      <c r="M40" s="228" t="str">
        <f t="shared" si="17"/>
        <v>---</v>
      </c>
      <c r="N40" s="237" t="str">
        <f t="shared" si="18"/>
        <v>---</v>
      </c>
      <c r="O40" s="213">
        <f>SUMIFS('Diags Raw Data'!$Z$6:$Z$7306,'Diags Raw Data'!$D$6:$D$7306,$A40,'Diags Raw Data'!$M$6:$M$7306,"Legacy")</f>
        <v>0</v>
      </c>
      <c r="P40" s="203">
        <f>SUMIFS('Diags Raw Data'!$AA$6:$AA$7306,'Diags Raw Data'!$D$6:$D$7306,$A40,'Diags Raw Data'!$M$6:$M$7306,"Legacy")</f>
        <v>0</v>
      </c>
      <c r="Q40" s="205">
        <f>SUMIFS('Diags Raw Data'!$AB$6:$AB$7306,'Diags Raw Data'!$D$6:$D$7306,$A40,'Diags Raw Data'!$M$6:$M$7306,"Legacy")</f>
        <v>0</v>
      </c>
      <c r="R40" s="203">
        <f>SUMIFS('Diags Raw Data'!$AC$6:$AC$7306,'Diags Raw Data'!$D$6:$D$7306,$A40,'Diags Raw Data'!$M$6:$M$7306,"Legacy")</f>
        <v>0</v>
      </c>
      <c r="S40" s="205">
        <f>SUMIFS('Diags Raw Data'!$AD$6:$AD$7306,'Diags Raw Data'!$D$6:$D$7306,$A40,'Diags Raw Data'!$M$6:$M$7306,"Legacy")</f>
        <v>0</v>
      </c>
      <c r="T40" s="204" t="str">
        <f t="shared" si="19"/>
        <v>---</v>
      </c>
      <c r="U40" s="229" t="str">
        <f t="shared" si="20"/>
        <v>---</v>
      </c>
      <c r="V40" s="231" t="str">
        <f t="shared" si="21"/>
        <v>---</v>
      </c>
    </row>
    <row r="41" spans="1:22" ht="15.75" thickBot="1" x14ac:dyDescent="0.3">
      <c r="A41" s="331"/>
      <c r="B41" s="253">
        <f>SUMIFS('Diags Raw Data'!$L$6:$L$7306,'Diags Raw Data'!$D$6:$D$7306,$A41,'Diags Raw Data'!$M$6:$M$7306,"Legacy")</f>
        <v>0</v>
      </c>
      <c r="C41" s="244">
        <f>SUMIFS('Diags Raw Data'!$R$6:$R$7306,'Diags Raw Data'!$D$6:$D$7306,$A41,'Diags Raw Data'!$M$6:$M$7306,"Legacy")</f>
        <v>0</v>
      </c>
      <c r="D41" s="244">
        <f>SUMIFS('Diags Raw Data'!$K$6:$K$7306,'Diags Raw Data'!$D$6:$D$7306,$A41,'Diags Raw Data'!$M$6:$M$7306,"Legacy")</f>
        <v>0</v>
      </c>
      <c r="E41" s="244">
        <f>SUMIFS('Diags Raw Data'!$O$6:$O$7306,'Diags Raw Data'!$D$6:$D$7306,$A41,'Diags Raw Data'!$M$6:$M$7306,"Legacy")</f>
        <v>0</v>
      </c>
      <c r="F41" s="249" t="str">
        <f t="shared" si="15"/>
        <v>---</v>
      </c>
      <c r="G41" s="232">
        <f>SUMIFS('Diags Raw Data'!$S$6:$S$7306,'Diags Raw Data'!$D$6:$D$7306,$A41,'Diags Raw Data'!$M$6:$M$7306,"Legacy")</f>
        <v>0</v>
      </c>
      <c r="H41" s="233">
        <f>SUMIFS('Diags Raw Data'!$T$6:$T$7306,'Diags Raw Data'!$D$6:$D$7306,$A41,'Diags Raw Data'!$M$6:$M$7306,"Legacy")</f>
        <v>0</v>
      </c>
      <c r="I41" s="234">
        <f>SUMIFS('Diags Raw Data'!$U$6:$U$7306,'Diags Raw Data'!$D$6:$D$7306,$A41,'Diags Raw Data'!$M$6:$M$7306,"Legacy")</f>
        <v>0</v>
      </c>
      <c r="J41" s="233">
        <f>SUMIFS('Diags Raw Data'!$V$6:$V$7306,'Diags Raw Data'!$D$6:$D$7306,$A41,'Diags Raw Data'!$M$6:$M$7306,"Legacy")</f>
        <v>0</v>
      </c>
      <c r="K41" s="234">
        <f>SUMIFS('Diags Raw Data'!$W$6:$W$7306,'Diags Raw Data'!$D$6:$D$7306,$A41,'Diags Raw Data'!$M$6:$M$7306,"Legacy")</f>
        <v>0</v>
      </c>
      <c r="L41" s="245" t="str">
        <f t="shared" si="16"/>
        <v>---</v>
      </c>
      <c r="M41" s="235" t="str">
        <f t="shared" si="17"/>
        <v>---</v>
      </c>
      <c r="N41" s="238" t="str">
        <f t="shared" si="18"/>
        <v>---</v>
      </c>
      <c r="O41" s="214">
        <f>SUMIFS('Diags Raw Data'!$Z$6:$Z$7306,'Diags Raw Data'!$D$6:$D$7306,$A41,'Diags Raw Data'!$M$6:$M$7306,"Legacy")</f>
        <v>0</v>
      </c>
      <c r="P41" s="206">
        <f>SUMIFS('Diags Raw Data'!$AA$6:$AA$7306,'Diags Raw Data'!$D$6:$D$7306,$A41,'Diags Raw Data'!$M$6:$M$7306,"Legacy")</f>
        <v>0</v>
      </c>
      <c r="Q41" s="208">
        <f>SUMIFS('Diags Raw Data'!$AB$6:$AB$7306,'Diags Raw Data'!$D$6:$D$7306,$A41,'Diags Raw Data'!$M$6:$M$7306,"Legacy")</f>
        <v>0</v>
      </c>
      <c r="R41" s="206">
        <f>SUMIFS('Diags Raw Data'!$AC$6:$AC$7306,'Diags Raw Data'!$D$6:$D$7306,$A41,'Diags Raw Data'!$M$6:$M$7306,"Legacy")</f>
        <v>0</v>
      </c>
      <c r="S41" s="208">
        <f>SUMIFS('Diags Raw Data'!$AD$6:$AD$7306,'Diags Raw Data'!$D$6:$D$7306,$A41,'Diags Raw Data'!$M$6:$M$7306,"Legacy")</f>
        <v>0</v>
      </c>
      <c r="T41" s="207" t="str">
        <f t="shared" si="19"/>
        <v>---</v>
      </c>
      <c r="U41" s="239" t="str">
        <f t="shared" si="20"/>
        <v>---</v>
      </c>
      <c r="V41" s="236" t="str">
        <f t="shared" si="21"/>
        <v>---</v>
      </c>
    </row>
    <row r="42" spans="1:22" ht="16.5" thickBot="1" x14ac:dyDescent="0.3">
      <c r="A42" s="271" t="s">
        <v>3378</v>
      </c>
      <c r="B42" s="256">
        <f>SUM(B32:B41)</f>
        <v>2138</v>
      </c>
      <c r="C42" s="257">
        <f>SUM(C32:C41)</f>
        <v>1664</v>
      </c>
      <c r="D42" s="257">
        <f>SUM(D32:D41)</f>
        <v>2138</v>
      </c>
      <c r="E42" s="257">
        <f>SUM(E32:E41)</f>
        <v>940.5</v>
      </c>
      <c r="F42" s="258" cm="1">
        <f t="array" ref="F42">SUMPRODUCT(--(ISNUMBER(SEARCH("Legacy",'Diags Raw Data'!$M$6:$M$7306))),'Diags Raw Data'!$K$6:$K$7306,'Diags Raw Data'!$P$6:$P$7306)/D42</f>
        <v>0.43989710009354538</v>
      </c>
      <c r="G42" s="259">
        <f>SUM(G32:G41)</f>
        <v>332</v>
      </c>
      <c r="H42" s="260">
        <f>SUM(H32:H41)</f>
        <v>323</v>
      </c>
      <c r="I42" s="261">
        <f>SUM(I32:I41)</f>
        <v>0</v>
      </c>
      <c r="J42" s="260">
        <f>SUM(J32:J41)</f>
        <v>9</v>
      </c>
      <c r="K42" s="261">
        <f>SUM(K32:K41)</f>
        <v>0</v>
      </c>
      <c r="L42" s="262">
        <f>IF(NOT($C42=0), G42/$C42, "---")</f>
        <v>0.19951923076923078</v>
      </c>
      <c r="M42" s="263">
        <f t="shared" si="17"/>
        <v>0.97289156626506024</v>
      </c>
      <c r="N42" s="264">
        <f t="shared" si="18"/>
        <v>0.19411057692307693</v>
      </c>
      <c r="O42" s="265">
        <f>SUM(O32:O41)</f>
        <v>0</v>
      </c>
      <c r="P42" s="266">
        <f>SUM(P32:P41)</f>
        <v>0</v>
      </c>
      <c r="Q42" s="267">
        <f>SUM(Q32:Q41)</f>
        <v>0</v>
      </c>
      <c r="R42" s="266">
        <f>SUM(R32:R41)</f>
        <v>0</v>
      </c>
      <c r="S42" s="267">
        <f>SUM(S32:S41)</f>
        <v>0</v>
      </c>
      <c r="T42" s="268">
        <f>IF(NOT($B42=0), O42/$B42, "---")</f>
        <v>0</v>
      </c>
      <c r="U42" s="269" t="str">
        <f t="shared" si="20"/>
        <v>---</v>
      </c>
      <c r="V42" s="270">
        <f>IF(NOT($B42=0), (P42+Q42)/$B42, "---")</f>
        <v>0</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86"/>
    </row>
    <row r="49" spans="6:6" x14ac:dyDescent="0.25">
      <c r="F49" s="385"/>
    </row>
    <row r="50" spans="6:6" x14ac:dyDescent="0.25">
      <c r="F50" s="38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I61"/>
  <sheetViews>
    <sheetView zoomScaleNormal="100" workbookViewId="0">
      <pane ySplit="2" topLeftCell="A15" activePane="bottomLeft" state="frozen"/>
      <selection pane="bottomLeft" activeCell="F16" sqref="F16"/>
    </sheetView>
  </sheetViews>
  <sheetFormatPr defaultRowHeight="15" x14ac:dyDescent="0.25"/>
  <cols>
    <col min="1" max="1" width="16.85546875" bestFit="1" customWidth="1"/>
    <col min="2" max="2" width="58.71093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07" t="s">
        <v>3379</v>
      </c>
      <c r="B1" s="608"/>
      <c r="C1" s="608"/>
      <c r="D1" s="608"/>
      <c r="E1" s="608"/>
      <c r="F1" s="608"/>
      <c r="G1" s="608"/>
      <c r="H1" s="608"/>
      <c r="I1" s="609"/>
    </row>
    <row r="2" spans="1:9" s="79" customFormat="1" ht="15.75" thickBot="1" x14ac:dyDescent="0.3">
      <c r="A2" s="380" t="s">
        <v>77</v>
      </c>
      <c r="B2" s="381" t="s">
        <v>81</v>
      </c>
      <c r="C2" s="382" t="s">
        <v>96</v>
      </c>
      <c r="D2" s="382" t="s">
        <v>202</v>
      </c>
      <c r="E2" s="383" t="s">
        <v>1</v>
      </c>
    </row>
    <row r="3" spans="1:9" hidden="1" x14ac:dyDescent="0.25">
      <c r="A3" s="332" t="s">
        <v>308</v>
      </c>
      <c r="B3" s="333" t="s">
        <v>309</v>
      </c>
      <c r="C3" s="471" t="s">
        <v>280</v>
      </c>
      <c r="D3" s="471" t="s">
        <v>34</v>
      </c>
      <c r="E3" s="473" t="s">
        <v>33</v>
      </c>
      <c r="G3" s="289" t="s">
        <v>77</v>
      </c>
      <c r="H3" s="290" t="s">
        <v>3380</v>
      </c>
      <c r="I3" s="467">
        <f>COUNTA(A3:A3960)</f>
        <v>59</v>
      </c>
    </row>
    <row r="4" spans="1:9" hidden="1" x14ac:dyDescent="0.25">
      <c r="A4" s="334" t="s">
        <v>322</v>
      </c>
      <c r="B4" s="335" t="s">
        <v>323</v>
      </c>
      <c r="C4" s="472" t="s">
        <v>280</v>
      </c>
      <c r="D4" s="472" t="s">
        <v>34</v>
      </c>
      <c r="E4" s="474" t="s">
        <v>33</v>
      </c>
      <c r="G4" s="599" t="s">
        <v>96</v>
      </c>
      <c r="H4" s="291" t="s">
        <v>3381</v>
      </c>
      <c r="I4" s="468">
        <f>COUNTIFS($C3:$C3960,"P1")</f>
        <v>8</v>
      </c>
    </row>
    <row r="5" spans="1:9" hidden="1" x14ac:dyDescent="0.25">
      <c r="A5" s="334" t="s">
        <v>339</v>
      </c>
      <c r="B5" s="335" t="s">
        <v>340</v>
      </c>
      <c r="C5" s="472" t="s">
        <v>280</v>
      </c>
      <c r="D5" s="472" t="s">
        <v>34</v>
      </c>
      <c r="E5" s="474" t="s">
        <v>33</v>
      </c>
      <c r="G5" s="600"/>
      <c r="H5" s="292" t="s">
        <v>3382</v>
      </c>
      <c r="I5" s="469">
        <f>COUNTIFS($C3:$C3960,"P2")</f>
        <v>51</v>
      </c>
    </row>
    <row r="6" spans="1:9" ht="15.75" hidden="1" thickBot="1" x14ac:dyDescent="0.3">
      <c r="A6" s="334" t="s">
        <v>382</v>
      </c>
      <c r="B6" s="335" t="s">
        <v>419</v>
      </c>
      <c r="C6" s="472" t="s">
        <v>280</v>
      </c>
      <c r="D6" s="472" t="s">
        <v>34</v>
      </c>
      <c r="E6" s="474" t="s">
        <v>33</v>
      </c>
      <c r="G6" s="601"/>
      <c r="H6" s="293" t="s">
        <v>3383</v>
      </c>
      <c r="I6" s="470">
        <f>COUNTIFS($C3:$C3960,"P3")</f>
        <v>0</v>
      </c>
    </row>
    <row r="7" spans="1:9" hidden="1" x14ac:dyDescent="0.25">
      <c r="A7" s="334" t="s">
        <v>426</v>
      </c>
      <c r="B7" s="333" t="s">
        <v>427</v>
      </c>
      <c r="C7" s="472" t="s">
        <v>280</v>
      </c>
      <c r="D7" s="472" t="s">
        <v>34</v>
      </c>
      <c r="E7" s="474" t="s">
        <v>33</v>
      </c>
      <c r="G7" s="602" t="s">
        <v>202</v>
      </c>
      <c r="H7" s="291" t="s">
        <v>3384</v>
      </c>
      <c r="I7" s="468">
        <f>COUNTIFS($D3:$D3960,"Diagnostics")</f>
        <v>58</v>
      </c>
    </row>
    <row r="8" spans="1:9" hidden="1" x14ac:dyDescent="0.25">
      <c r="A8" s="334" t="s">
        <v>544</v>
      </c>
      <c r="B8" s="335" t="s">
        <v>545</v>
      </c>
      <c r="C8" s="472" t="s">
        <v>280</v>
      </c>
      <c r="D8" s="472" t="s">
        <v>34</v>
      </c>
      <c r="E8" s="474" t="s">
        <v>33</v>
      </c>
      <c r="G8" s="603"/>
      <c r="H8" s="292" t="s">
        <v>3385</v>
      </c>
      <c r="I8" s="469">
        <f>COUNTIFS($D3:$D3960,"Driver")</f>
        <v>0</v>
      </c>
    </row>
    <row r="9" spans="1:9" hidden="1" x14ac:dyDescent="0.25">
      <c r="A9" s="334" t="s">
        <v>774</v>
      </c>
      <c r="B9" s="335" t="s">
        <v>775</v>
      </c>
      <c r="C9" s="472" t="s">
        <v>280</v>
      </c>
      <c r="D9" s="472" t="s">
        <v>34</v>
      </c>
      <c r="E9" s="474" t="s">
        <v>33</v>
      </c>
      <c r="G9" s="603"/>
      <c r="H9" s="292" t="s">
        <v>3386</v>
      </c>
      <c r="I9" s="469">
        <f>COUNTIFS($D3:$D3960,"IPSE")</f>
        <v>1</v>
      </c>
    </row>
    <row r="10" spans="1:9" ht="15.75" hidden="1" thickBot="1" x14ac:dyDescent="0.3">
      <c r="A10" s="334" t="s">
        <v>687</v>
      </c>
      <c r="B10" s="335" t="s">
        <v>688</v>
      </c>
      <c r="C10" s="472" t="s">
        <v>280</v>
      </c>
      <c r="D10" s="472" t="s">
        <v>34</v>
      </c>
      <c r="E10" s="474" t="s">
        <v>33</v>
      </c>
      <c r="G10" s="604"/>
      <c r="H10" s="293" t="s">
        <v>3387</v>
      </c>
      <c r="I10" s="470">
        <f>COUNTIFS($D3:$D3960,"N/A")</f>
        <v>0</v>
      </c>
    </row>
    <row r="11" spans="1:9" hidden="1" x14ac:dyDescent="0.25">
      <c r="A11" s="334" t="s">
        <v>1428</v>
      </c>
      <c r="B11" s="335" t="s">
        <v>3388</v>
      </c>
      <c r="C11" s="472" t="s">
        <v>280</v>
      </c>
      <c r="D11" s="472" t="s">
        <v>34</v>
      </c>
      <c r="E11" s="474" t="s">
        <v>33</v>
      </c>
      <c r="G11" s="602" t="s">
        <v>1</v>
      </c>
      <c r="H11" s="291" t="s">
        <v>3389</v>
      </c>
      <c r="I11" s="468">
        <f>COUNTIFS($E3:$E3960,"Legacy")</f>
        <v>42</v>
      </c>
    </row>
    <row r="12" spans="1:9" hidden="1" x14ac:dyDescent="0.25">
      <c r="A12" s="334" t="s">
        <v>1432</v>
      </c>
      <c r="B12" s="335" t="s">
        <v>1433</v>
      </c>
      <c r="C12" s="472" t="s">
        <v>280</v>
      </c>
      <c r="D12" s="472" t="s">
        <v>34</v>
      </c>
      <c r="E12" s="474" t="s">
        <v>33</v>
      </c>
      <c r="G12" s="603"/>
      <c r="H12" s="292" t="s">
        <v>3390</v>
      </c>
      <c r="I12" s="469">
        <f>COUNTIFS($E3:$E3960,"Delta")</f>
        <v>2</v>
      </c>
    </row>
    <row r="13" spans="1:9" ht="15.75" hidden="1" thickBot="1" x14ac:dyDescent="0.3">
      <c r="A13" s="334" t="s">
        <v>1457</v>
      </c>
      <c r="B13" s="335" t="s">
        <v>1458</v>
      </c>
      <c r="C13" s="472" t="s">
        <v>280</v>
      </c>
      <c r="D13" s="472" t="s">
        <v>34</v>
      </c>
      <c r="E13" s="474" t="s">
        <v>33</v>
      </c>
      <c r="G13" s="604"/>
      <c r="H13" s="293" t="s">
        <v>3391</v>
      </c>
      <c r="I13" s="470">
        <f>COUNTIFS($E3:$E3960,"New")</f>
        <v>15</v>
      </c>
    </row>
    <row r="14" spans="1:9" ht="15.75" hidden="1" thickBot="1" x14ac:dyDescent="0.3">
      <c r="A14" s="334" t="s">
        <v>3392</v>
      </c>
      <c r="B14" s="335" t="s">
        <v>3393</v>
      </c>
      <c r="C14" s="472" t="s">
        <v>280</v>
      </c>
      <c r="D14" s="472" t="s">
        <v>34</v>
      </c>
      <c r="E14" s="474" t="s">
        <v>33</v>
      </c>
      <c r="G14" s="384" t="s">
        <v>207</v>
      </c>
      <c r="H14" s="605"/>
      <c r="I14" s="606"/>
    </row>
    <row r="15" spans="1:9" x14ac:dyDescent="0.25">
      <c r="A15" s="334" t="s">
        <v>3394</v>
      </c>
      <c r="B15" s="335" t="s">
        <v>3395</v>
      </c>
      <c r="C15" s="472" t="s">
        <v>280</v>
      </c>
      <c r="D15" s="472" t="s">
        <v>34</v>
      </c>
      <c r="E15" s="474" t="s">
        <v>44</v>
      </c>
      <c r="F15" t="s">
        <v>3396</v>
      </c>
    </row>
    <row r="16" spans="1:9" x14ac:dyDescent="0.25">
      <c r="A16" s="334" t="s">
        <v>3397</v>
      </c>
      <c r="B16" s="335" t="s">
        <v>3398</v>
      </c>
      <c r="C16" s="472" t="s">
        <v>280</v>
      </c>
      <c r="D16" s="472" t="s">
        <v>34</v>
      </c>
      <c r="E16" s="474" t="s">
        <v>44</v>
      </c>
    </row>
    <row r="17" spans="1:6" x14ac:dyDescent="0.25">
      <c r="A17" s="334" t="s">
        <v>3399</v>
      </c>
      <c r="B17" s="335" t="s">
        <v>3400</v>
      </c>
      <c r="C17" s="472" t="s">
        <v>280</v>
      </c>
      <c r="D17" s="472" t="s">
        <v>34</v>
      </c>
      <c r="E17" s="474" t="s">
        <v>44</v>
      </c>
    </row>
    <row r="18" spans="1:6" hidden="1" x14ac:dyDescent="0.25">
      <c r="A18" s="334" t="s">
        <v>2091</v>
      </c>
      <c r="B18" s="335" t="s">
        <v>2092</v>
      </c>
      <c r="C18" s="472" t="s">
        <v>280</v>
      </c>
      <c r="D18" s="472" t="s">
        <v>34</v>
      </c>
      <c r="E18" s="474" t="s">
        <v>33</v>
      </c>
    </row>
    <row r="19" spans="1:6" hidden="1" x14ac:dyDescent="0.25">
      <c r="A19" s="334" t="s">
        <v>2120</v>
      </c>
      <c r="B19" s="335" t="s">
        <v>2121</v>
      </c>
      <c r="C19" s="472" t="s">
        <v>280</v>
      </c>
      <c r="D19" s="472" t="s">
        <v>34</v>
      </c>
      <c r="E19" s="474" t="s">
        <v>33</v>
      </c>
    </row>
    <row r="20" spans="1:6" hidden="1" x14ac:dyDescent="0.25">
      <c r="A20" s="334" t="s">
        <v>1776</v>
      </c>
      <c r="B20" s="335" t="s">
        <v>1777</v>
      </c>
      <c r="C20" s="472" t="s">
        <v>280</v>
      </c>
      <c r="D20" s="472" t="s">
        <v>34</v>
      </c>
      <c r="E20" s="474" t="s">
        <v>33</v>
      </c>
    </row>
    <row r="21" spans="1:6" hidden="1" x14ac:dyDescent="0.25">
      <c r="A21" s="334" t="s">
        <v>3401</v>
      </c>
      <c r="B21" s="335" t="s">
        <v>3402</v>
      </c>
      <c r="C21" s="472" t="s">
        <v>280</v>
      </c>
      <c r="D21" s="472" t="s">
        <v>34</v>
      </c>
      <c r="E21" s="474" t="s">
        <v>33</v>
      </c>
    </row>
    <row r="22" spans="1:6" x14ac:dyDescent="0.25">
      <c r="A22" s="334" t="s">
        <v>3403</v>
      </c>
      <c r="B22" s="335" t="s">
        <v>3404</v>
      </c>
      <c r="C22" s="472" t="s">
        <v>280</v>
      </c>
      <c r="D22" s="472" t="s">
        <v>34</v>
      </c>
      <c r="E22" s="474" t="s">
        <v>44</v>
      </c>
    </row>
    <row r="23" spans="1:6" x14ac:dyDescent="0.25">
      <c r="A23" s="334" t="s">
        <v>2039</v>
      </c>
      <c r="B23" s="335" t="s">
        <v>2040</v>
      </c>
      <c r="C23" s="472" t="s">
        <v>280</v>
      </c>
      <c r="D23" s="472" t="s">
        <v>34</v>
      </c>
      <c r="E23" s="474" t="s">
        <v>44</v>
      </c>
      <c r="F23" t="s">
        <v>3405</v>
      </c>
    </row>
    <row r="24" spans="1:6" hidden="1" x14ac:dyDescent="0.25">
      <c r="A24" s="334" t="s">
        <v>3406</v>
      </c>
      <c r="B24" s="335" t="s">
        <v>3407</v>
      </c>
      <c r="C24" s="472" t="s">
        <v>280</v>
      </c>
      <c r="D24" s="472" t="s">
        <v>34</v>
      </c>
      <c r="E24" s="474" t="s">
        <v>33</v>
      </c>
    </row>
    <row r="25" spans="1:6" hidden="1" x14ac:dyDescent="0.25">
      <c r="A25" s="334" t="s">
        <v>3408</v>
      </c>
      <c r="B25" s="335" t="s">
        <v>3409</v>
      </c>
      <c r="C25" s="472" t="s">
        <v>280</v>
      </c>
      <c r="D25" s="472" t="s">
        <v>34</v>
      </c>
      <c r="E25" s="474" t="s">
        <v>33</v>
      </c>
    </row>
    <row r="26" spans="1:6" hidden="1" x14ac:dyDescent="0.25">
      <c r="A26" s="334" t="s">
        <v>2024</v>
      </c>
      <c r="B26" s="335" t="s">
        <v>2025</v>
      </c>
      <c r="C26" s="472" t="s">
        <v>280</v>
      </c>
      <c r="D26" s="472" t="s">
        <v>34</v>
      </c>
      <c r="E26" s="474" t="s">
        <v>33</v>
      </c>
    </row>
    <row r="27" spans="1:6" hidden="1" x14ac:dyDescent="0.25">
      <c r="A27" s="334" t="s">
        <v>2058</v>
      </c>
      <c r="B27" s="335" t="s">
        <v>2059</v>
      </c>
      <c r="C27" s="472" t="s">
        <v>280</v>
      </c>
      <c r="D27" s="472" t="s">
        <v>34</v>
      </c>
      <c r="E27" s="474" t="s">
        <v>33</v>
      </c>
    </row>
    <row r="28" spans="1:6" x14ac:dyDescent="0.25">
      <c r="A28" s="334" t="s">
        <v>3410</v>
      </c>
      <c r="B28" s="335" t="s">
        <v>3411</v>
      </c>
      <c r="C28" s="472" t="s">
        <v>280</v>
      </c>
      <c r="D28" s="472" t="s">
        <v>34</v>
      </c>
      <c r="E28" s="474" t="s">
        <v>44</v>
      </c>
    </row>
    <row r="29" spans="1:6" x14ac:dyDescent="0.25">
      <c r="A29" s="334" t="s">
        <v>3412</v>
      </c>
      <c r="B29" s="335" t="s">
        <v>3413</v>
      </c>
      <c r="C29" s="472" t="s">
        <v>280</v>
      </c>
      <c r="D29" s="472" t="s">
        <v>34</v>
      </c>
      <c r="E29" s="474" t="s">
        <v>44</v>
      </c>
      <c r="F29" t="s">
        <v>3414</v>
      </c>
    </row>
    <row r="30" spans="1:6" x14ac:dyDescent="0.25">
      <c r="A30" s="334" t="s">
        <v>3415</v>
      </c>
      <c r="B30" s="335" t="s">
        <v>3416</v>
      </c>
      <c r="C30" s="472" t="s">
        <v>280</v>
      </c>
      <c r="D30" s="472" t="s">
        <v>34</v>
      </c>
      <c r="E30" s="474" t="s">
        <v>44</v>
      </c>
      <c r="F30" t="s">
        <v>3417</v>
      </c>
    </row>
    <row r="31" spans="1:6" x14ac:dyDescent="0.25">
      <c r="A31" s="334" t="s">
        <v>3418</v>
      </c>
      <c r="B31" s="335" t="s">
        <v>3419</v>
      </c>
      <c r="C31" s="472" t="s">
        <v>280</v>
      </c>
      <c r="D31" s="472" t="s">
        <v>34</v>
      </c>
      <c r="E31" s="474" t="s">
        <v>44</v>
      </c>
      <c r="F31" t="s">
        <v>3417</v>
      </c>
    </row>
    <row r="32" spans="1:6" x14ac:dyDescent="0.25">
      <c r="A32" s="334" t="s">
        <v>3420</v>
      </c>
      <c r="B32" s="335" t="s">
        <v>3421</v>
      </c>
      <c r="C32" s="472" t="s">
        <v>280</v>
      </c>
      <c r="D32" s="472" t="s">
        <v>34</v>
      </c>
      <c r="E32" s="474" t="s">
        <v>44</v>
      </c>
    </row>
    <row r="33" spans="1:5" x14ac:dyDescent="0.25">
      <c r="A33" s="334" t="s">
        <v>3422</v>
      </c>
      <c r="B33" s="335" t="s">
        <v>3423</v>
      </c>
      <c r="C33" s="472" t="s">
        <v>280</v>
      </c>
      <c r="D33" s="472" t="s">
        <v>34</v>
      </c>
      <c r="E33" s="474" t="s">
        <v>44</v>
      </c>
    </row>
    <row r="34" spans="1:5" hidden="1" x14ac:dyDescent="0.25">
      <c r="A34" s="334" t="s">
        <v>1478</v>
      </c>
      <c r="B34" s="335" t="s">
        <v>329</v>
      </c>
      <c r="C34" s="472" t="s">
        <v>280</v>
      </c>
      <c r="D34" s="472" t="s">
        <v>34</v>
      </c>
      <c r="E34" s="474" t="s">
        <v>33</v>
      </c>
    </row>
    <row r="35" spans="1:5" hidden="1" x14ac:dyDescent="0.25">
      <c r="A35" s="334" t="s">
        <v>3424</v>
      </c>
      <c r="B35" s="335" t="s">
        <v>3425</v>
      </c>
      <c r="C35" s="472" t="s">
        <v>280</v>
      </c>
      <c r="D35" s="472" t="s">
        <v>34</v>
      </c>
      <c r="E35" s="474" t="s">
        <v>33</v>
      </c>
    </row>
    <row r="36" spans="1:5" hidden="1" x14ac:dyDescent="0.25">
      <c r="A36" s="334" t="s">
        <v>3426</v>
      </c>
      <c r="B36" s="335" t="s">
        <v>3427</v>
      </c>
      <c r="C36" s="472" t="s">
        <v>280</v>
      </c>
      <c r="D36" s="472" t="s">
        <v>34</v>
      </c>
      <c r="E36" s="474" t="s">
        <v>33</v>
      </c>
    </row>
    <row r="37" spans="1:5" hidden="1" x14ac:dyDescent="0.25">
      <c r="A37" s="334" t="s">
        <v>3428</v>
      </c>
      <c r="B37" s="335" t="s">
        <v>3429</v>
      </c>
      <c r="C37" s="472" t="s">
        <v>280</v>
      </c>
      <c r="D37" s="472" t="s">
        <v>34</v>
      </c>
      <c r="E37" s="474" t="s">
        <v>33</v>
      </c>
    </row>
    <row r="38" spans="1:5" hidden="1" x14ac:dyDescent="0.25">
      <c r="A38" s="334" t="s">
        <v>1945</v>
      </c>
      <c r="B38" s="335" t="s">
        <v>1946</v>
      </c>
      <c r="C38" s="472" t="s">
        <v>280</v>
      </c>
      <c r="D38" s="472" t="s">
        <v>34</v>
      </c>
      <c r="E38" s="474" t="s">
        <v>33</v>
      </c>
    </row>
    <row r="39" spans="1:5" hidden="1" x14ac:dyDescent="0.25">
      <c r="A39" s="334" t="s">
        <v>2046</v>
      </c>
      <c r="B39" s="335" t="s">
        <v>2047</v>
      </c>
      <c r="C39" s="472" t="s">
        <v>280</v>
      </c>
      <c r="D39" s="472" t="s">
        <v>34</v>
      </c>
      <c r="E39" s="474" t="s">
        <v>33</v>
      </c>
    </row>
    <row r="40" spans="1:5" hidden="1" x14ac:dyDescent="0.25">
      <c r="A40" s="334" t="s">
        <v>3167</v>
      </c>
      <c r="B40" s="335" t="s">
        <v>3168</v>
      </c>
      <c r="C40" s="472" t="s">
        <v>280</v>
      </c>
      <c r="D40" s="472" t="s">
        <v>34</v>
      </c>
      <c r="E40" s="474" t="s">
        <v>33</v>
      </c>
    </row>
    <row r="41" spans="1:5" x14ac:dyDescent="0.25">
      <c r="A41" s="334" t="s">
        <v>3430</v>
      </c>
      <c r="B41" s="335" t="s">
        <v>3431</v>
      </c>
      <c r="C41" s="472" t="s">
        <v>259</v>
      </c>
      <c r="D41" s="472" t="s">
        <v>34</v>
      </c>
      <c r="E41" s="474" t="s">
        <v>44</v>
      </c>
    </row>
    <row r="42" spans="1:5" hidden="1" x14ac:dyDescent="0.25">
      <c r="A42" s="334" t="s">
        <v>3432</v>
      </c>
      <c r="B42" s="335" t="s">
        <v>3433</v>
      </c>
      <c r="C42" s="472" t="s">
        <v>280</v>
      </c>
      <c r="D42" s="472" t="s">
        <v>34</v>
      </c>
      <c r="E42" s="474" t="s">
        <v>33</v>
      </c>
    </row>
    <row r="43" spans="1:5" hidden="1" x14ac:dyDescent="0.25">
      <c r="A43" s="334" t="s">
        <v>3434</v>
      </c>
      <c r="B43" s="335" t="s">
        <v>3435</v>
      </c>
      <c r="C43" s="472" t="s">
        <v>280</v>
      </c>
      <c r="D43" s="472" t="s">
        <v>34</v>
      </c>
      <c r="E43" s="474" t="s">
        <v>33</v>
      </c>
    </row>
    <row r="44" spans="1:5" hidden="1" x14ac:dyDescent="0.25">
      <c r="A44" s="334" t="s">
        <v>3436</v>
      </c>
      <c r="B44" s="335" t="s">
        <v>3437</v>
      </c>
      <c r="C44" s="472" t="s">
        <v>280</v>
      </c>
      <c r="D44" s="472" t="s">
        <v>34</v>
      </c>
      <c r="E44" s="474" t="s">
        <v>33</v>
      </c>
    </row>
    <row r="45" spans="1:5" hidden="1" x14ac:dyDescent="0.25">
      <c r="A45" s="334" t="s">
        <v>3438</v>
      </c>
      <c r="B45" s="335" t="s">
        <v>3439</v>
      </c>
      <c r="C45" s="472" t="s">
        <v>280</v>
      </c>
      <c r="D45" s="472" t="s">
        <v>34</v>
      </c>
      <c r="E45" s="474" t="s">
        <v>33</v>
      </c>
    </row>
    <row r="46" spans="1:5" hidden="1" x14ac:dyDescent="0.25">
      <c r="A46" s="334" t="s">
        <v>1387</v>
      </c>
      <c r="B46" s="335" t="s">
        <v>1388</v>
      </c>
      <c r="C46" s="472" t="s">
        <v>280</v>
      </c>
      <c r="D46" s="472" t="s">
        <v>34</v>
      </c>
      <c r="E46" s="474" t="s">
        <v>33</v>
      </c>
    </row>
    <row r="47" spans="1:5" x14ac:dyDescent="0.25">
      <c r="A47" s="334" t="s">
        <v>3440</v>
      </c>
      <c r="B47" s="335" t="s">
        <v>3441</v>
      </c>
      <c r="C47" s="472" t="s">
        <v>280</v>
      </c>
      <c r="D47" s="472" t="s">
        <v>34</v>
      </c>
      <c r="E47" s="474" t="s">
        <v>39</v>
      </c>
    </row>
    <row r="48" spans="1:5" x14ac:dyDescent="0.25">
      <c r="A48" s="334" t="s">
        <v>3442</v>
      </c>
      <c r="B48" s="335" t="s">
        <v>3443</v>
      </c>
      <c r="C48" s="472" t="s">
        <v>280</v>
      </c>
      <c r="D48" s="472" t="s">
        <v>34</v>
      </c>
      <c r="E48" s="474" t="s">
        <v>39</v>
      </c>
    </row>
    <row r="49" spans="1:5" hidden="1" x14ac:dyDescent="0.25">
      <c r="A49" s="334" t="s">
        <v>3444</v>
      </c>
      <c r="B49" s="335" t="s">
        <v>3445</v>
      </c>
      <c r="C49" s="472" t="s">
        <v>259</v>
      </c>
      <c r="D49" s="472" t="s">
        <v>34</v>
      </c>
      <c r="E49" s="474" t="s">
        <v>33</v>
      </c>
    </row>
    <row r="50" spans="1:5" hidden="1" x14ac:dyDescent="0.25">
      <c r="A50" s="334" t="s">
        <v>3446</v>
      </c>
      <c r="B50" s="335" t="s">
        <v>3447</v>
      </c>
      <c r="C50" s="472" t="s">
        <v>259</v>
      </c>
      <c r="D50" s="472" t="s">
        <v>34</v>
      </c>
      <c r="E50" s="474" t="s">
        <v>33</v>
      </c>
    </row>
    <row r="51" spans="1:5" hidden="1" x14ac:dyDescent="0.25">
      <c r="A51" s="334" t="s">
        <v>3448</v>
      </c>
      <c r="B51" s="335" t="s">
        <v>3449</v>
      </c>
      <c r="C51" s="472" t="s">
        <v>280</v>
      </c>
      <c r="D51" s="472" t="s">
        <v>34</v>
      </c>
      <c r="E51" s="474" t="s">
        <v>33</v>
      </c>
    </row>
    <row r="52" spans="1:5" hidden="1" x14ac:dyDescent="0.25">
      <c r="A52" s="334" t="s">
        <v>3450</v>
      </c>
      <c r="B52" s="335" t="s">
        <v>3451</v>
      </c>
      <c r="C52" s="472" t="s">
        <v>280</v>
      </c>
      <c r="D52" s="472" t="s">
        <v>34</v>
      </c>
      <c r="E52" s="474" t="s">
        <v>33</v>
      </c>
    </row>
    <row r="53" spans="1:5" hidden="1" x14ac:dyDescent="0.25">
      <c r="A53" s="334" t="s">
        <v>3452</v>
      </c>
      <c r="B53" s="335" t="s">
        <v>3453</v>
      </c>
      <c r="C53" s="472" t="s">
        <v>280</v>
      </c>
      <c r="D53" s="472" t="s">
        <v>34</v>
      </c>
      <c r="E53" s="474" t="s">
        <v>33</v>
      </c>
    </row>
    <row r="54" spans="1:5" hidden="1" x14ac:dyDescent="0.25">
      <c r="A54" s="334" t="s">
        <v>3454</v>
      </c>
      <c r="B54" s="335" t="s">
        <v>3455</v>
      </c>
      <c r="C54" s="472" t="s">
        <v>259</v>
      </c>
      <c r="D54" s="472" t="s">
        <v>34</v>
      </c>
      <c r="E54" s="474" t="s">
        <v>33</v>
      </c>
    </row>
    <row r="55" spans="1:5" hidden="1" x14ac:dyDescent="0.25">
      <c r="A55" s="334" t="s">
        <v>3269</v>
      </c>
      <c r="B55" s="335" t="s">
        <v>3270</v>
      </c>
      <c r="C55" s="472" t="s">
        <v>259</v>
      </c>
      <c r="D55" s="472" t="s">
        <v>34</v>
      </c>
      <c r="E55" s="474" t="s">
        <v>33</v>
      </c>
    </row>
    <row r="56" spans="1:5" x14ac:dyDescent="0.25">
      <c r="A56" s="334" t="s">
        <v>3456</v>
      </c>
      <c r="B56" s="335" t="s">
        <v>3457</v>
      </c>
      <c r="C56" s="472" t="s">
        <v>259</v>
      </c>
      <c r="D56" s="472" t="s">
        <v>45</v>
      </c>
      <c r="E56" s="474" t="s">
        <v>44</v>
      </c>
    </row>
    <row r="57" spans="1:5" x14ac:dyDescent="0.25">
      <c r="A57" s="334" t="s">
        <v>3458</v>
      </c>
      <c r="B57" s="335" t="s">
        <v>3459</v>
      </c>
      <c r="C57" s="472" t="s">
        <v>259</v>
      </c>
      <c r="D57" s="472" t="s">
        <v>34</v>
      </c>
      <c r="E57" s="474" t="s">
        <v>44</v>
      </c>
    </row>
    <row r="58" spans="1:5" x14ac:dyDescent="0.25">
      <c r="A58" s="334" t="s">
        <v>3460</v>
      </c>
      <c r="B58" s="335" t="s">
        <v>3461</v>
      </c>
      <c r="C58" s="472" t="s">
        <v>259</v>
      </c>
      <c r="D58" s="472" t="s">
        <v>34</v>
      </c>
      <c r="E58" s="474" t="s">
        <v>44</v>
      </c>
    </row>
    <row r="59" spans="1:5" hidden="1" x14ac:dyDescent="0.25">
      <c r="A59" s="334" t="s">
        <v>345</v>
      </c>
      <c r="B59" s="335" t="s">
        <v>346</v>
      </c>
      <c r="C59" s="472" t="s">
        <v>280</v>
      </c>
      <c r="D59" s="472" t="s">
        <v>34</v>
      </c>
      <c r="E59" s="474" t="s">
        <v>33</v>
      </c>
    </row>
    <row r="60" spans="1:5" hidden="1" x14ac:dyDescent="0.25">
      <c r="A60" s="334" t="s">
        <v>2647</v>
      </c>
      <c r="B60" s="335" t="s">
        <v>2648</v>
      </c>
      <c r="C60" s="472" t="s">
        <v>280</v>
      </c>
      <c r="D60" s="472" t="s">
        <v>34</v>
      </c>
      <c r="E60" s="474" t="s">
        <v>33</v>
      </c>
    </row>
    <row r="61" spans="1:5" hidden="1" x14ac:dyDescent="0.25">
      <c r="A61" s="334" t="s">
        <v>2671</v>
      </c>
      <c r="B61" s="335" t="s">
        <v>2672</v>
      </c>
      <c r="C61" s="472" t="s">
        <v>280</v>
      </c>
      <c r="D61" s="472" t="s">
        <v>34</v>
      </c>
      <c r="E61" s="474" t="s">
        <v>33</v>
      </c>
    </row>
  </sheetData>
  <autoFilter ref="A2:E61" xr:uid="{2E753270-8E41-4CC5-97C2-EE4540C41FD1}">
    <filterColumn colId="4">
      <filters>
        <filter val="Delta"/>
        <filter val="New"/>
      </filters>
    </filterColumn>
  </autoFilter>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19" activePane="bottomRight" state="frozen"/>
      <selection pane="topRight" activeCell="D1" sqref="D1"/>
      <selection pane="bottomLeft" activeCell="A3" sqref="A3"/>
      <selection pane="bottomRight" activeCell="B60" sqref="B60"/>
    </sheetView>
  </sheetViews>
  <sheetFormatPr defaultColWidth="8.5703125" defaultRowHeight="15" x14ac:dyDescent="0.2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7109375" style="182" customWidth="1"/>
    <col min="23" max="16384" width="8.5703125" style="182"/>
  </cols>
  <sheetData>
    <row r="1" spans="1:23" s="178" customFormat="1" ht="19.5" thickBot="1" x14ac:dyDescent="0.3">
      <c r="A1" s="564" t="s">
        <v>3462</v>
      </c>
      <c r="B1" s="565"/>
      <c r="C1" s="565"/>
      <c r="D1" s="565"/>
      <c r="E1" s="565"/>
      <c r="F1" s="565"/>
      <c r="G1" s="565"/>
      <c r="H1" s="565"/>
      <c r="I1" s="565"/>
      <c r="J1" s="565"/>
      <c r="K1" s="565"/>
      <c r="L1" s="565"/>
      <c r="M1" s="565"/>
      <c r="N1" s="565"/>
      <c r="O1" s="565"/>
      <c r="P1" s="565"/>
      <c r="Q1" s="565"/>
      <c r="R1" s="565"/>
      <c r="S1" s="565"/>
      <c r="T1" s="565"/>
      <c r="U1" s="566"/>
      <c r="V1" s="498"/>
    </row>
    <row r="2" spans="1:23" s="188" customFormat="1" ht="18.75" x14ac:dyDescent="0.25">
      <c r="A2" s="621" t="s">
        <v>302</v>
      </c>
      <c r="B2" s="622"/>
      <c r="C2" s="622"/>
      <c r="D2" s="622"/>
      <c r="E2" s="622"/>
      <c r="F2" s="623"/>
      <c r="G2" s="378">
        <f>COUNTIF(G7:G66,"Yes")</f>
        <v>50</v>
      </c>
      <c r="H2" s="378">
        <f>COUNTIF(H7:H66,"Yes")</f>
        <v>50</v>
      </c>
      <c r="I2" s="652">
        <f>'Diags Raw Data'!K2692</f>
        <v>2622</v>
      </c>
      <c r="J2" s="660">
        <f>'Diags Raw Data'!L2692</f>
        <v>2622</v>
      </c>
      <c r="K2" s="662">
        <f>'Diags Raw Data'!N2692</f>
        <v>0.93344774980930589</v>
      </c>
      <c r="L2" s="664">
        <f>'Diags Raw Data'!P2692</f>
        <v>0.35869565217391303</v>
      </c>
      <c r="M2" s="666">
        <f>'Diags Raw Data'!R2692</f>
        <v>2123</v>
      </c>
      <c r="N2" s="636">
        <f>SUM('Diags Raw Data'!T2692+'Diags Raw Data'!U2692)</f>
        <v>399</v>
      </c>
      <c r="O2" s="656">
        <f>IF((M69=0),0,N69/M69)</f>
        <v>0.1879415920866698</v>
      </c>
      <c r="P2" s="658">
        <f>'Diags Raw Data'!Z2692</f>
        <v>0</v>
      </c>
      <c r="Q2" s="650">
        <f>SUM('Diags Raw Data'!AA2692+'Diags Raw Data'!AB2692)</f>
        <v>0</v>
      </c>
      <c r="R2" s="646">
        <f>IF((J69=0),0,P69/J69)</f>
        <v>0</v>
      </c>
      <c r="S2" s="646">
        <f>IF((P69=0),0,Q69/P69)</f>
        <v>0</v>
      </c>
      <c r="T2" s="646">
        <f>R69*S69</f>
        <v>0</v>
      </c>
      <c r="U2" s="648"/>
      <c r="V2" s="638" t="s">
        <v>3463</v>
      </c>
      <c r="W2" s="187"/>
    </row>
    <row r="3" spans="1:23" ht="19.5" thickBot="1" x14ac:dyDescent="0.3">
      <c r="A3" s="624"/>
      <c r="B3" s="625"/>
      <c r="C3" s="625"/>
      <c r="D3" s="625"/>
      <c r="E3" s="625"/>
      <c r="F3" s="626"/>
      <c r="G3" s="379">
        <f>COUNTIF(G7:G66,"Yes")/COUNTA(A7:A66)</f>
        <v>0.84745762711864403</v>
      </c>
      <c r="H3" s="379">
        <f>(COUNTIF(H7:H66,"Yes")/G69)</f>
        <v>1</v>
      </c>
      <c r="I3" s="653"/>
      <c r="J3" s="661"/>
      <c r="K3" s="663"/>
      <c r="L3" s="665"/>
      <c r="M3" s="667"/>
      <c r="N3" s="637"/>
      <c r="O3" s="657"/>
      <c r="P3" s="659"/>
      <c r="Q3" s="651"/>
      <c r="R3" s="647"/>
      <c r="S3" s="647"/>
      <c r="T3" s="647"/>
      <c r="U3" s="649"/>
      <c r="V3" s="639"/>
      <c r="W3" s="181"/>
    </row>
    <row r="4" spans="1:23" ht="19.5" thickBot="1" x14ac:dyDescent="0.3">
      <c r="A4" s="567" t="s">
        <v>3464</v>
      </c>
      <c r="B4" s="568"/>
      <c r="C4" s="568"/>
      <c r="D4" s="568"/>
      <c r="E4" s="568"/>
      <c r="F4" s="568"/>
      <c r="G4" s="568"/>
      <c r="H4" s="568"/>
      <c r="I4" s="568"/>
      <c r="J4" s="568"/>
      <c r="K4" s="568"/>
      <c r="L4" s="568"/>
      <c r="M4" s="568"/>
      <c r="N4" s="568"/>
      <c r="O4" s="568"/>
      <c r="P4" s="568"/>
      <c r="Q4" s="568"/>
      <c r="R4" s="568"/>
      <c r="S4" s="568"/>
      <c r="T4" s="568"/>
      <c r="U4" s="569"/>
      <c r="V4" s="499"/>
    </row>
    <row r="5" spans="1:23" s="178" customFormat="1" ht="31.5" customHeight="1" thickBot="1" x14ac:dyDescent="0.3">
      <c r="A5" s="612" t="s">
        <v>76</v>
      </c>
      <c r="B5" s="613"/>
      <c r="C5" s="613"/>
      <c r="D5" s="613"/>
      <c r="E5" s="613"/>
      <c r="F5" s="613"/>
      <c r="G5" s="613"/>
      <c r="H5" s="613"/>
      <c r="I5" s="613"/>
      <c r="J5" s="614"/>
      <c r="K5" s="610" t="s">
        <v>113</v>
      </c>
      <c r="L5" s="611"/>
      <c r="M5" s="615" t="s">
        <v>124</v>
      </c>
      <c r="N5" s="616"/>
      <c r="O5" s="617"/>
      <c r="P5" s="618" t="s">
        <v>144</v>
      </c>
      <c r="Q5" s="619"/>
      <c r="R5" s="619"/>
      <c r="S5" s="619"/>
      <c r="T5" s="619"/>
      <c r="U5" s="620"/>
      <c r="V5" s="177"/>
    </row>
    <row r="6" spans="1:23" s="180" customFormat="1" ht="15.75" thickBot="1" x14ac:dyDescent="0.3">
      <c r="A6" s="346" t="s">
        <v>77</v>
      </c>
      <c r="B6" s="361" t="s">
        <v>81</v>
      </c>
      <c r="C6" s="361" t="s">
        <v>96</v>
      </c>
      <c r="D6" s="361" t="s">
        <v>212</v>
      </c>
      <c r="E6" s="361" t="s">
        <v>88</v>
      </c>
      <c r="F6" s="361" t="s">
        <v>1</v>
      </c>
      <c r="G6" s="362" t="s">
        <v>215</v>
      </c>
      <c r="H6" s="362" t="s">
        <v>218</v>
      </c>
      <c r="I6" s="363" t="s">
        <v>105</v>
      </c>
      <c r="J6" s="363" t="s">
        <v>221</v>
      </c>
      <c r="K6" s="347" t="s">
        <v>114</v>
      </c>
      <c r="L6" s="348" t="s">
        <v>121</v>
      </c>
      <c r="M6" s="339" t="s">
        <v>227</v>
      </c>
      <c r="N6" s="340" t="s">
        <v>229</v>
      </c>
      <c r="O6" s="338" t="s">
        <v>187</v>
      </c>
      <c r="P6" s="349" t="s">
        <v>232</v>
      </c>
      <c r="Q6" s="341" t="s">
        <v>229</v>
      </c>
      <c r="R6" s="342" t="s">
        <v>184</v>
      </c>
      <c r="S6" s="342" t="s">
        <v>140</v>
      </c>
      <c r="T6" s="343" t="s">
        <v>187</v>
      </c>
      <c r="U6" s="344" t="s">
        <v>157</v>
      </c>
      <c r="V6" s="179"/>
    </row>
    <row r="7" spans="1:23" ht="45" hidden="1" x14ac:dyDescent="0.25">
      <c r="A7" s="408" t="s">
        <v>308</v>
      </c>
      <c r="B7" s="409" t="str">
        <f>VLOOKUP(A7,'Feature Raw Data'!$A$3:$B$3960,2,FALSE)</f>
        <v>Access Video Memory through MMHUB</v>
      </c>
      <c r="C7" s="410" t="str">
        <f>VLOOKUP(A7,'Feature Raw Data'!$A$3:$C$3960,3,FALSE)</f>
        <v>P2</v>
      </c>
      <c r="D7" s="411" t="str" cm="1">
        <f t="array" ref="D7">_xlfn.TEXTJOIN("",TRUE,IF(ISNUMBER(SEARCH($A7,'Diags Raw Data'!$A$6:$A$6302)),CONCATENATE('Diags Raw Data'!$H$6:$H$6302,", "),""))</f>
        <v xml:space="preserve">VCN001.001, VCN001.002, VCN001.003, VCN001.004, VCN001.005, </v>
      </c>
      <c r="E7" s="412" t="str">
        <f>VLOOKUP(A7,'Diags Raw Data'!$A$6:$D$6302,4,FALSE)</f>
        <v>Sanity</v>
      </c>
      <c r="F7" s="412" t="str">
        <f>VLOOKUP(A7,'Feature Raw Data'!$A$3:$E$3960,5,FALSE)</f>
        <v>Legacy</v>
      </c>
      <c r="G7" s="412" t="str">
        <f t="shared" ref="G7:G38" si="0">IF(D7="","No","Yes")</f>
        <v>Yes</v>
      </c>
      <c r="H7" s="412" t="str">
        <f t="shared" ref="H7:H38" si="1">IF(D7="","No","Yes")</f>
        <v>Yes</v>
      </c>
      <c r="I7" s="410">
        <f>SUMIF('Diags Raw Data'!$A$6:$A$6302,"*"&amp;$A7&amp;"*",'Diags Raw Data'!$K$6:$K$6302)</f>
        <v>5</v>
      </c>
      <c r="J7" s="413">
        <f>SUMIF('Diags Raw Data'!$A$6:$A$6302,"*"&amp;$A7&amp;"*",'Diags Raw Data'!$L$6:$L$6302)</f>
        <v>5</v>
      </c>
      <c r="K7" s="440" cm="1">
        <f t="array" ref="K7">IF(D7="",0, SUMPRODUCT(--(ISNUMBER(SEARCH($A7,'Diags Raw Data'!$A$6:$A$6302))),'Diags Raw Data'!$L$6:$L$6302,'Diags Raw Data'!$N$6:$N$6302)/J7)</f>
        <v>1</v>
      </c>
      <c r="L7" s="441" cm="1">
        <f t="array" ref="L7">IF(D7="",0, SUMPRODUCT(--(ISNUMBER(SEARCH($A7,'Diags Raw Data'!$A$6:$A$6302))),'Diags Raw Data'!$L$6:$L$6302,'Diags Raw Data'!$P$6:$P$6302)/J7)</f>
        <v>0</v>
      </c>
      <c r="M7" s="442" cm="1">
        <f t="array" ref="M7">SUMPRODUCT(--(ISNUMBER(SEARCH($A7,'Diags Raw Data'!$A$6:$A$6302))),--('Diags Raw Data'!$Q$6:$Q$6302&lt;&gt;"N/A"),'Diags Raw Data'!$R$6:$R$6302)</f>
        <v>5</v>
      </c>
      <c r="N7" s="443" cm="1">
        <f t="array" ref="N7">SUMPRODUCT(--(ISNUMBER(SEARCH($A7,'Diags Raw Data'!$A$6:$A$6302))),--('Diags Raw Data'!$Q$6:$Q$6302&lt;&gt;"N/A"),'Diags Raw Data'!$T$6:$T$6302)+SUMPRODUCT(--(ISNUMBER(SEARCH($A7,'Diags Raw Data'!$A$6:$A$6302))),--('Diags Raw Data'!$Q$6:$Q$6302&lt;&gt;"N/A"),'Diags Raw Data'!$U$6:$U$6302)</f>
        <v>3</v>
      </c>
      <c r="O7" s="444">
        <f>IF((M7=0),0,N7/M7)</f>
        <v>0.6</v>
      </c>
      <c r="P7" s="445">
        <f>SUMIF('Diags Raw Data'!$A$6:$A$6302,"*"&amp;$A7&amp;"*",'Diags Raw Data'!$Z$6:$Z$6302)</f>
        <v>0</v>
      </c>
      <c r="Q7" s="446">
        <f>SUM(SUMIF('Diags Raw Data'!$A$6:$A$6302,"*"&amp;$A7&amp;"*",'Diags Raw Data'!$AA$6:$AA$6302),SUMIF('Diags Raw Data'!$A$6:$A$6302,"*"&amp;$A7&amp;"*",'Diags Raw Data'!$AB$6:$AB$6302))</f>
        <v>0</v>
      </c>
      <c r="R7" s="447">
        <f>IF((J7=0),0,P7/J7)</f>
        <v>0</v>
      </c>
      <c r="S7" s="447">
        <f>IF((P7=0),0,Q7/P7)</f>
        <v>0</v>
      </c>
      <c r="T7" s="448">
        <f>R7*S7</f>
        <v>0</v>
      </c>
      <c r="U7" s="414" t="s">
        <v>3465</v>
      </c>
      <c r="V7" s="181"/>
    </row>
    <row r="8" spans="1:23" ht="105" hidden="1" x14ac:dyDescent="0.25">
      <c r="A8" s="415" t="s">
        <v>322</v>
      </c>
      <c r="B8" s="416" t="str">
        <f>VLOOKUP(A8,'Feature Raw Data'!$A$3:$B$3960,2,FALSE)</f>
        <v>HOST access VCN Registers(AON/ONO)</v>
      </c>
      <c r="C8" s="417" t="str">
        <f>VLOOKUP(A8,'Feature Raw Data'!$A$3:$C$3960,3,FALSE)</f>
        <v>P2</v>
      </c>
      <c r="D8" s="418" t="str" cm="1">
        <f t="array" ref="D8">_xlfn.TEXTJOIN("",TRUE,IF(ISNUMBER(SEARCH($A8,'Diags Raw Data'!$A$6:$A$6302)),CONCATENATE('Diags Raw Data'!$H$6:$H$6302,", "),""))</f>
        <v xml:space="preserve">VCN002.001, VCN002.002, VCN002.020, VCN002.021, VCN002.022, VCN003.001, VCN008.002, VCN008.005, VCN008.007, VCN008.110, VCN008.102, VCN008.105, VCN008.107, </v>
      </c>
      <c r="E8" s="336" t="str">
        <f>VLOOKUP(A8,'Diags Raw Data'!$A$6:$D$6302,4,FALSE)</f>
        <v>Sanity</v>
      </c>
      <c r="F8" s="336" t="str">
        <f>VLOOKUP(A8,'Feature Raw Data'!$A$3:$E$3960,5,FALSE)</f>
        <v>Legacy</v>
      </c>
      <c r="G8" s="336" t="str">
        <f t="shared" si="0"/>
        <v>Yes</v>
      </c>
      <c r="H8" s="336" t="str">
        <f t="shared" si="1"/>
        <v>Yes</v>
      </c>
      <c r="I8" s="417">
        <f>SUMIF('Diags Raw Data'!$A$6:$A$6302,"*"&amp;$A8&amp;"*",'Diags Raw Data'!$K$6:$K$6302)</f>
        <v>13</v>
      </c>
      <c r="J8" s="419">
        <f>SUMIF('Diags Raw Data'!$A$6:$A$6302,"*"&amp;$A8&amp;"*",'Diags Raw Data'!$L$6:$L$6302)</f>
        <v>13</v>
      </c>
      <c r="K8" s="449" cm="1">
        <f t="array" ref="K8">IF(D8="",0, SUMPRODUCT(--(ISNUMBER(SEARCH($A8,'Diags Raw Data'!$A$6:$A$6302))),'Diags Raw Data'!$L$6:$L$6302,'Diags Raw Data'!$N$6:$N$6302)/J8)</f>
        <v>0.61538461538461542</v>
      </c>
      <c r="L8" s="450" cm="1">
        <f t="array" ref="L8">IF(D8="",0, SUMPRODUCT(--(ISNUMBER(SEARCH($A8,'Diags Raw Data'!$A$6:$A$6302))),'Diags Raw Data'!$L$6:$L$6302,'Diags Raw Data'!$P$6:$P$6302)/J8)</f>
        <v>0.15384615384615385</v>
      </c>
      <c r="M8" s="451" cm="1">
        <f t="array" ref="M8">SUMPRODUCT(--(ISNUMBER(SEARCH($A8,'Diags Raw Data'!$A$6:$A$6302))),--('Diags Raw Data'!$Q$6:$Q$6302&lt;&gt;"N/A"),'Diags Raw Data'!$R$6:$R$6302)</f>
        <v>13</v>
      </c>
      <c r="N8" s="452" cm="1">
        <f t="array" ref="N8">SUMPRODUCT(--(ISNUMBER(SEARCH($A8,'Diags Raw Data'!$A$6:$A$6302))),--('Diags Raw Data'!$Q$6:$Q$6302&lt;&gt;"N/A"),'Diags Raw Data'!$T$6:$T$6302)+SUMPRODUCT(--(ISNUMBER(SEARCH($A8,'Diags Raw Data'!$A$6:$A$6302))),--('Diags Raw Data'!$Q$6:$Q$6302&lt;&gt;"N/A"),'Diags Raw Data'!$U$6:$U$6302)</f>
        <v>3</v>
      </c>
      <c r="O8" s="453">
        <f t="shared" ref="O8:O58" si="2">IF((M8=0),0,N8/M8)</f>
        <v>0.23076923076923078</v>
      </c>
      <c r="P8" s="454">
        <f>SUMIF('Diags Raw Data'!$A$6:$A$6302,"*"&amp;$A8&amp;"*",'Diags Raw Data'!$Z$6:$Z$6302)</f>
        <v>0</v>
      </c>
      <c r="Q8" s="455">
        <f>SUM(SUMIF('Diags Raw Data'!$A$6:$A$6302,"*"&amp;$A8&amp;"*",'Diags Raw Data'!$AA$6:$AA$6302),SUMIF('Diags Raw Data'!$A$6:$A$6302,"*"&amp;$A8&amp;"*",'Diags Raw Data'!$AB$6:$AB$6302))</f>
        <v>0</v>
      </c>
      <c r="R8" s="456">
        <f t="shared" ref="R8:R58" si="3">IF((J8=0),0,P8/J8)</f>
        <v>0</v>
      </c>
      <c r="S8" s="456">
        <f t="shared" ref="S8:S58" si="4">IF((P8=0),0,Q8/P8)</f>
        <v>0</v>
      </c>
      <c r="T8" s="457">
        <f t="shared" ref="T8:T58" si="5">R8*S8</f>
        <v>0</v>
      </c>
      <c r="U8" s="420" t="s">
        <v>3465</v>
      </c>
      <c r="V8" s="181"/>
    </row>
    <row r="9" spans="1:23" hidden="1" x14ac:dyDescent="0.25">
      <c r="A9" s="415" t="s">
        <v>339</v>
      </c>
      <c r="B9" s="416" t="str">
        <f>VLOOKUP(A9,'Feature Raw Data'!$A$3:$B$3960,2,FALSE)</f>
        <v>VCPU access VCN Registers</v>
      </c>
      <c r="C9" s="417" t="str">
        <f>VLOOKUP(A9,'Feature Raw Data'!$A$3:$C$3960,3,FALSE)</f>
        <v>P2</v>
      </c>
      <c r="D9" s="418" t="str" cm="1">
        <f t="array" ref="D9">_xlfn.TEXTJOIN("",TRUE,IF(ISNUMBER(SEARCH($A9,'Diags Raw Data'!$A$6:$A$6302)),CONCATENATE('Diags Raw Data'!$H$6:$H$6302,", "),""))</f>
        <v xml:space="preserve">VCN003.002, VCN003.003, </v>
      </c>
      <c r="E9" s="336" t="str">
        <f>VLOOKUP(A9,'Diags Raw Data'!$A$6:$D$6302,4,FALSE)</f>
        <v>Sanity</v>
      </c>
      <c r="F9" s="336" t="str">
        <f>VLOOKUP(A9,'Feature Raw Data'!$A$3:$E$3960,5,FALSE)</f>
        <v>Legacy</v>
      </c>
      <c r="G9" s="336" t="str">
        <f t="shared" si="0"/>
        <v>Yes</v>
      </c>
      <c r="H9" s="336" t="str">
        <f t="shared" si="1"/>
        <v>Yes</v>
      </c>
      <c r="I9" s="417">
        <f>SUMIF('Diags Raw Data'!$A$6:$A$6302,"*"&amp;$A9&amp;"*",'Diags Raw Data'!$K$6:$K$6302)</f>
        <v>2</v>
      </c>
      <c r="J9" s="419">
        <f>SUMIF('Diags Raw Data'!$A$6:$A$6302,"*"&amp;$A9&amp;"*",'Diags Raw Data'!$L$6:$L$6302)</f>
        <v>2</v>
      </c>
      <c r="K9" s="449" cm="1">
        <f t="array" ref="K9">IF(D9="",0, SUMPRODUCT(--(ISNUMBER(SEARCH($A9,'Diags Raw Data'!$A$6:$A$6302))),'Diags Raw Data'!$L$6:$L$6302,'Diags Raw Data'!$N$6:$N$6302)/J9)</f>
        <v>1</v>
      </c>
      <c r="L9" s="450" cm="1">
        <f t="array" ref="L9">IF(D9="",0, SUMPRODUCT(--(ISNUMBER(SEARCH($A9,'Diags Raw Data'!$A$6:$A$6302))),'Diags Raw Data'!$L$6:$L$6302,'Diags Raw Data'!$P$6:$P$6302)/J9)</f>
        <v>0.5</v>
      </c>
      <c r="M9" s="451" cm="1">
        <f t="array" ref="M9">SUMPRODUCT(--(ISNUMBER(SEARCH($A9,'Diags Raw Data'!$A$6:$A$6302))),--('Diags Raw Data'!$Q$6:$Q$6302&lt;&gt;"N/A"),'Diags Raw Data'!$R$6:$R$6302)</f>
        <v>2</v>
      </c>
      <c r="N9" s="452" cm="1">
        <f t="array" ref="N9">SUMPRODUCT(--(ISNUMBER(SEARCH($A9,'Diags Raw Data'!$A$6:$A$6302))),--('Diags Raw Data'!$Q$6:$Q$6302&lt;&gt;"N/A"),'Diags Raw Data'!$T$6:$T$6302)+SUMPRODUCT(--(ISNUMBER(SEARCH($A9,'Diags Raw Data'!$A$6:$A$6302))),--('Diags Raw Data'!$Q$6:$Q$6302&lt;&gt;"N/A"),'Diags Raw Data'!$U$6:$U$6302)</f>
        <v>1</v>
      </c>
      <c r="O9" s="453">
        <f t="shared" si="2"/>
        <v>0.5</v>
      </c>
      <c r="P9" s="454">
        <f>SUMIF('Diags Raw Data'!$A$6:$A$6302,"*"&amp;$A9&amp;"*",'Diags Raw Data'!$Z$6:$Z$6302)</f>
        <v>0</v>
      </c>
      <c r="Q9" s="455">
        <f>SUM(SUMIF('Diags Raw Data'!$A$6:$A$6302,"*"&amp;$A9&amp;"*",'Diags Raw Data'!$AA$6:$AA$6302),SUMIF('Diags Raw Data'!$A$6:$A$6302,"*"&amp;$A9&amp;"*",'Diags Raw Data'!$AB$6:$AB$6302))</f>
        <v>0</v>
      </c>
      <c r="R9" s="456">
        <f t="shared" si="3"/>
        <v>0</v>
      </c>
      <c r="S9" s="456">
        <f t="shared" si="4"/>
        <v>0</v>
      </c>
      <c r="T9" s="457">
        <f t="shared" si="5"/>
        <v>0</v>
      </c>
      <c r="U9" s="420" t="s">
        <v>3466</v>
      </c>
      <c r="V9" s="181"/>
    </row>
    <row r="10" spans="1:23" ht="210" hidden="1" x14ac:dyDescent="0.25">
      <c r="A10" s="415" t="s">
        <v>382</v>
      </c>
      <c r="B10" s="416" t="str">
        <f>VLOOKUP(A10,'Feature Raw Data'!$A$3:$B$3960,2,FALSE)</f>
        <v>H264 Performance Decoder(AVC)</v>
      </c>
      <c r="C10" s="417" t="str">
        <f>VLOOKUP(A10,'Feature Raw Data'!$A$3:$C$3960,3,FALSE)</f>
        <v>P2</v>
      </c>
      <c r="D10" s="418" t="str" cm="1">
        <f t="array" ref="D10">_xlfn.TEXTJOIN("",TRUE,IF(ISNUMBER(SEARCH($A10,'Diags Raw Data'!$A$6:$A$6302)),CONCATENATE('Diags Raw Data'!$H$6:$H$6302,",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6" t="str">
        <f>VLOOKUP(A10,'Diags Raw Data'!$A$6:$D$6302,4,FALSE)</f>
        <v>VCN Decode</v>
      </c>
      <c r="F10" s="336" t="str">
        <f>VLOOKUP(A10,'Feature Raw Data'!$A$3:$E$3960,5,FALSE)</f>
        <v>Legacy</v>
      </c>
      <c r="G10" s="336" t="str">
        <f t="shared" si="0"/>
        <v>Yes</v>
      </c>
      <c r="H10" s="336" t="str">
        <f t="shared" si="1"/>
        <v>Yes</v>
      </c>
      <c r="I10" s="417">
        <f>SUMIF('Diags Raw Data'!$A$6:$A$6302,"*"&amp;$A10&amp;"*",'Diags Raw Data'!$K$6:$K$6302)</f>
        <v>27</v>
      </c>
      <c r="J10" s="419">
        <f>SUMIF('Diags Raw Data'!$A$6:$A$6302,"*"&amp;$A10&amp;"*",'Diags Raw Data'!$L$6:$L$6302)</f>
        <v>27</v>
      </c>
      <c r="K10" s="449" cm="1">
        <f t="array" ref="K10">IF(D10="",0, SUMPRODUCT(--(ISNUMBER(SEARCH($A10,'Diags Raw Data'!$A$6:$A$6302))),'Diags Raw Data'!$L$6:$L$6302,'Diags Raw Data'!$N$6:$N$6302)/J10)</f>
        <v>1</v>
      </c>
      <c r="L10" s="450" cm="1">
        <f t="array" ref="L10">IF(D10="",0, SUMPRODUCT(--(ISNUMBER(SEARCH($A10,'Diags Raw Data'!$A$6:$A$6302))),'Diags Raw Data'!$L$6:$L$6302,'Diags Raw Data'!$P$6:$P$6302)/J10)</f>
        <v>0.7407407407407407</v>
      </c>
      <c r="M10" s="451" cm="1">
        <f t="array" ref="M10">SUMPRODUCT(--(ISNUMBER(SEARCH($A10,'Diags Raw Data'!$A$6:$A$6302))),--('Diags Raw Data'!$Q$6:$Q$6302&lt;&gt;"N/A"),'Diags Raw Data'!$R$6:$R$6302)</f>
        <v>24</v>
      </c>
      <c r="N10" s="452" cm="1">
        <f t="array" ref="N10">SUMPRODUCT(--(ISNUMBER(SEARCH($A10,'Diags Raw Data'!$A$6:$A$6302))),--('Diags Raw Data'!$Q$6:$Q$6302&lt;&gt;"N/A"),'Diags Raw Data'!$T$6:$T$6302)+SUMPRODUCT(--(ISNUMBER(SEARCH($A10,'Diags Raw Data'!$A$6:$A$6302))),--('Diags Raw Data'!$Q$6:$Q$6302&lt;&gt;"N/A"),'Diags Raw Data'!$U$6:$U$6302)</f>
        <v>20</v>
      </c>
      <c r="O10" s="453">
        <f t="shared" si="2"/>
        <v>0.83333333333333337</v>
      </c>
      <c r="P10" s="454">
        <f>SUMIF('Diags Raw Data'!$A$6:$A$6302,"*"&amp;$A10&amp;"*",'Diags Raw Data'!$Z$6:$Z$6302)</f>
        <v>0</v>
      </c>
      <c r="Q10" s="455">
        <f>SUM(SUMIF('Diags Raw Data'!$A$6:$A$6302,"*"&amp;$A10&amp;"*",'Diags Raw Data'!$AA$6:$AA$6302),SUMIF('Diags Raw Data'!$A$6:$A$6302,"*"&amp;$A10&amp;"*",'Diags Raw Data'!$AB$6:$AB$6302))</f>
        <v>0</v>
      </c>
      <c r="R10" s="456">
        <f t="shared" si="3"/>
        <v>0</v>
      </c>
      <c r="S10" s="456">
        <f t="shared" si="4"/>
        <v>0</v>
      </c>
      <c r="T10" s="457">
        <f t="shared" si="5"/>
        <v>0</v>
      </c>
      <c r="U10" s="420" t="s">
        <v>3467</v>
      </c>
      <c r="V10" s="181"/>
    </row>
    <row r="11" spans="1:23" ht="409.5" hidden="1" x14ac:dyDescent="0.25">
      <c r="A11" s="415" t="s">
        <v>426</v>
      </c>
      <c r="B11" s="416" t="str">
        <f>VLOOKUP(A11,'Feature Raw Data'!$A$3:$B$3960,2,FALSE)</f>
        <v>HEVC Decoder up to 10-bit</v>
      </c>
      <c r="C11" s="417" t="str">
        <f>VLOOKUP(A11,'Feature Raw Data'!$A$3:$C$3960,3,FALSE)</f>
        <v>P2</v>
      </c>
      <c r="D11" s="418" t="str" cm="1">
        <f t="array" ref="D11">_xlfn.TEXTJOIN("",TRUE,IF(ISNUMBER(SEARCH($A11,'Diags Raw Data'!$A$6:$A$6302)),CONCATENATE('Diags Raw Data'!$H$6:$H$6302,",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6" t="str">
        <f>VLOOKUP(A11,'Diags Raw Data'!$A$6:$D$6302,4,FALSE)</f>
        <v>VCN Decode</v>
      </c>
      <c r="F11" s="336" t="str">
        <f>VLOOKUP(A11,'Feature Raw Data'!$A$3:$E$3960,5,FALSE)</f>
        <v>Legacy</v>
      </c>
      <c r="G11" s="336" t="str">
        <f t="shared" si="0"/>
        <v>Yes</v>
      </c>
      <c r="H11" s="336" t="str">
        <f t="shared" si="1"/>
        <v>Yes</v>
      </c>
      <c r="I11" s="417">
        <f>SUMIF('Diags Raw Data'!$A$6:$A$6302,"*"&amp;$A11&amp;"*",'Diags Raw Data'!$K$6:$K$6302)</f>
        <v>61</v>
      </c>
      <c r="J11" s="419">
        <f>SUMIF('Diags Raw Data'!$A$6:$A$6302,"*"&amp;$A11&amp;"*",'Diags Raw Data'!$L$6:$L$6302)</f>
        <v>61</v>
      </c>
      <c r="K11" s="449" cm="1">
        <f t="array" ref="K11">IF(D11="",0, SUMPRODUCT(--(ISNUMBER(SEARCH($A11,'Diags Raw Data'!$A$6:$A$6302))),'Diags Raw Data'!$L$6:$L$6302,'Diags Raw Data'!$N$6:$N$6302)/J11)</f>
        <v>1</v>
      </c>
      <c r="L11" s="450" cm="1">
        <f t="array" ref="L11">IF(D11="",0, SUMPRODUCT(--(ISNUMBER(SEARCH($A11,'Diags Raw Data'!$A$6:$A$6302))),'Diags Raw Data'!$L$6:$L$6302,'Diags Raw Data'!$P$6:$P$6302)/J11)</f>
        <v>0.95081967213114749</v>
      </c>
      <c r="M11" s="451" cm="1">
        <f t="array" ref="M11">SUMPRODUCT(--(ISNUMBER(SEARCH($A11,'Diags Raw Data'!$A$6:$A$6302))),--('Diags Raw Data'!$Q$6:$Q$6302&lt;&gt;"N/A"),'Diags Raw Data'!$R$6:$R$6302)</f>
        <v>59</v>
      </c>
      <c r="N11" s="452" cm="1">
        <f t="array" ref="N11">SUMPRODUCT(--(ISNUMBER(SEARCH($A11,'Diags Raw Data'!$A$6:$A$6302))),--('Diags Raw Data'!$Q$6:$Q$6302&lt;&gt;"N/A"),'Diags Raw Data'!$T$6:$T$6302)+SUMPRODUCT(--(ISNUMBER(SEARCH($A11,'Diags Raw Data'!$A$6:$A$6302))),--('Diags Raw Data'!$Q$6:$Q$6302&lt;&gt;"N/A"),'Diags Raw Data'!$U$6:$U$6302)</f>
        <v>58</v>
      </c>
      <c r="O11" s="453">
        <f t="shared" si="2"/>
        <v>0.98305084745762716</v>
      </c>
      <c r="P11" s="454">
        <f>SUMIF('Diags Raw Data'!$A$6:$A$6302,"*"&amp;$A11&amp;"*",'Diags Raw Data'!$Z$6:$Z$6302)</f>
        <v>0</v>
      </c>
      <c r="Q11" s="455">
        <f>SUM(SUMIF('Diags Raw Data'!$A$6:$A$6302,"*"&amp;$A11&amp;"*",'Diags Raw Data'!$AA$6:$AA$6302),SUMIF('Diags Raw Data'!$A$6:$A$6302,"*"&amp;$A11&amp;"*",'Diags Raw Data'!$AB$6:$AB$6302))</f>
        <v>0</v>
      </c>
      <c r="R11" s="456">
        <f t="shared" si="3"/>
        <v>0</v>
      </c>
      <c r="S11" s="456">
        <f t="shared" si="4"/>
        <v>0</v>
      </c>
      <c r="T11" s="457">
        <f t="shared" si="5"/>
        <v>0</v>
      </c>
      <c r="U11" s="420" t="s">
        <v>3468</v>
      </c>
      <c r="V11" s="181"/>
    </row>
    <row r="12" spans="1:23" ht="409.5" hidden="1" x14ac:dyDescent="0.25">
      <c r="A12" s="415" t="s">
        <v>544</v>
      </c>
      <c r="B12" s="416" t="str">
        <f>VLOOKUP(A12,'Feature Raw Data'!$A$3:$B$3960,2,FALSE)</f>
        <v>VP9 Decoder up to 10-bit</v>
      </c>
      <c r="C12" s="417" t="str">
        <f>VLOOKUP(A12,'Feature Raw Data'!$A$3:$C$3960,3,FALSE)</f>
        <v>P2</v>
      </c>
      <c r="D12" s="418" t="str" cm="1">
        <f t="array" ref="D12">_xlfn.TEXTJOIN("",TRUE,IF(ISNUMBER(SEARCH($A12,'Diags Raw Data'!$A$6:$A$6302)),CONCATENATE('Diags Raw Data'!$H$6:$H$6302,",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6" t="str">
        <f>VLOOKUP(A12,'Diags Raw Data'!$A$6:$D$6302,4,FALSE)</f>
        <v>VCN Decode</v>
      </c>
      <c r="F12" s="336" t="str">
        <f>VLOOKUP(A12,'Feature Raw Data'!$A$3:$E$3960,5,FALSE)</f>
        <v>Legacy</v>
      </c>
      <c r="G12" s="336" t="str">
        <f t="shared" si="0"/>
        <v>Yes</v>
      </c>
      <c r="H12" s="336" t="str">
        <f t="shared" si="1"/>
        <v>Yes</v>
      </c>
      <c r="I12" s="417">
        <f>SUMIF('Diags Raw Data'!$A$6:$A$6302,"*"&amp;$A12&amp;"*",'Diags Raw Data'!$K$6:$K$6302)</f>
        <v>72</v>
      </c>
      <c r="J12" s="419">
        <f>SUMIF('Diags Raw Data'!$A$6:$A$6302,"*"&amp;$A12&amp;"*",'Diags Raw Data'!$L$6:$L$6302)</f>
        <v>72</v>
      </c>
      <c r="K12" s="449" cm="1">
        <f t="array" ref="K12">IF(D12="",0, SUMPRODUCT(--(ISNUMBER(SEARCH($A12,'Diags Raw Data'!$A$6:$A$6302))),'Diags Raw Data'!$L$6:$L$6302,'Diags Raw Data'!$N$6:$N$6302)/J12)</f>
        <v>1</v>
      </c>
      <c r="L12" s="450" cm="1">
        <f t="array" ref="L12">IF(D12="",0, SUMPRODUCT(--(ISNUMBER(SEARCH($A12,'Diags Raw Data'!$A$6:$A$6302))),'Diags Raw Data'!$L$6:$L$6302,'Diags Raw Data'!$P$6:$P$6302)/J12)</f>
        <v>0.97222222222222221</v>
      </c>
      <c r="M12" s="451" cm="1">
        <f t="array" ref="M12">SUMPRODUCT(--(ISNUMBER(SEARCH($A12,'Diags Raw Data'!$A$6:$A$6302))),--('Diags Raw Data'!$Q$6:$Q$6302&lt;&gt;"N/A"),'Diags Raw Data'!$R$6:$R$6302)</f>
        <v>70</v>
      </c>
      <c r="N12" s="452" cm="1">
        <f t="array" ref="N12">SUMPRODUCT(--(ISNUMBER(SEARCH($A12,'Diags Raw Data'!$A$6:$A$6302))),--('Diags Raw Data'!$Q$6:$Q$6302&lt;&gt;"N/A"),'Diags Raw Data'!$T$6:$T$6302)+SUMPRODUCT(--(ISNUMBER(SEARCH($A12,'Diags Raw Data'!$A$6:$A$6302))),--('Diags Raw Data'!$Q$6:$Q$6302&lt;&gt;"N/A"),'Diags Raw Data'!$U$6:$U$6302)</f>
        <v>70</v>
      </c>
      <c r="O12" s="453">
        <f t="shared" si="2"/>
        <v>1</v>
      </c>
      <c r="P12" s="454">
        <f>SUMIF('Diags Raw Data'!$A$6:$A$6302,"*"&amp;$A12&amp;"*",'Diags Raw Data'!$Z$6:$Z$6302)</f>
        <v>0</v>
      </c>
      <c r="Q12" s="455">
        <f>SUM(SUMIF('Diags Raw Data'!$A$6:$A$6302,"*"&amp;$A12&amp;"*",'Diags Raw Data'!$AA$6:$AA$6302),SUMIF('Diags Raw Data'!$A$6:$A$6302,"*"&amp;$A12&amp;"*",'Diags Raw Data'!$AB$6:$AB$6302))</f>
        <v>0</v>
      </c>
      <c r="R12" s="456">
        <f t="shared" si="3"/>
        <v>0</v>
      </c>
      <c r="S12" s="456">
        <f t="shared" si="4"/>
        <v>0</v>
      </c>
      <c r="T12" s="457">
        <f t="shared" si="5"/>
        <v>0</v>
      </c>
      <c r="U12" s="420" t="s">
        <v>3465</v>
      </c>
      <c r="V12" s="181"/>
    </row>
    <row r="13" spans="1:23" ht="165" hidden="1" x14ac:dyDescent="0.25">
      <c r="A13" s="415" t="s">
        <v>774</v>
      </c>
      <c r="B13" s="416" t="str">
        <f>VLOOKUP(A13,'Feature Raw Data'!$A$3:$B$3960,2,FALSE)</f>
        <v>AV1 Decoder 12-bit (4:2:0)</v>
      </c>
      <c r="C13" s="417" t="str">
        <f>VLOOKUP(A13,'Feature Raw Data'!$A$3:$C$3960,3,FALSE)</f>
        <v>P2</v>
      </c>
      <c r="D13" s="418" t="str" cm="1">
        <f t="array" ref="D13">_xlfn.TEXTJOIN("",TRUE,IF(ISNUMBER(SEARCH($A13,'Diags Raw Data'!$A$6:$A$6302)),CONCATENATE('Diags Raw Data'!$H$6:$H$6302,", "),""))</f>
        <v xml:space="preserve">VCN107.201, VCN107.202, VCN107.203, VCN107.204, VCN107.205, VCN107.206, VCN107.207, VCN107.208, VCN107.209, VCN107.210, VCN107.211, VCN107.212, VCN107.213, VCN107.214, VCN107.215, VCN107.216, VCN107.217, VCN107.218, VCN107.219, VCN107.220, VCN107.221, </v>
      </c>
      <c r="E13" s="336" t="str">
        <f>VLOOKUP(A13,'Diags Raw Data'!$A$6:$D$6302,4,FALSE)</f>
        <v>VCN Decode</v>
      </c>
      <c r="F13" s="336" t="str">
        <f>VLOOKUP(A13,'Feature Raw Data'!$A$3:$E$3960,5,FALSE)</f>
        <v>Legacy</v>
      </c>
      <c r="G13" s="336" t="str">
        <f t="shared" si="0"/>
        <v>Yes</v>
      </c>
      <c r="H13" s="336" t="str">
        <f t="shared" si="1"/>
        <v>Yes</v>
      </c>
      <c r="I13" s="417">
        <f>SUMIF('Diags Raw Data'!$A$6:$A$6302,"*"&amp;$A13&amp;"*",'Diags Raw Data'!$K$6:$K$6302)</f>
        <v>21</v>
      </c>
      <c r="J13" s="419">
        <f>SUMIF('Diags Raw Data'!$A$6:$A$6302,"*"&amp;$A13&amp;"*",'Diags Raw Data'!$L$6:$L$6302)</f>
        <v>21</v>
      </c>
      <c r="K13" s="449" cm="1">
        <f t="array" ref="K13">IF(D13="",0, SUMPRODUCT(--(ISNUMBER(SEARCH($A13,'Diags Raw Data'!$A$6:$A$6302))),'Diags Raw Data'!$L$6:$L$6302,'Diags Raw Data'!$N$6:$N$6302)/J13)</f>
        <v>1</v>
      </c>
      <c r="L13" s="450" cm="1">
        <f t="array" ref="L13">IF(D13="",0, SUMPRODUCT(--(ISNUMBER(SEARCH($A13,'Diags Raw Data'!$A$6:$A$6302))),'Diags Raw Data'!$L$6:$L$6302,'Diags Raw Data'!$P$6:$P$6302)/J13)</f>
        <v>1</v>
      </c>
      <c r="M13" s="451" cm="1">
        <f t="array" ref="M13">SUMPRODUCT(--(ISNUMBER(SEARCH($A13,'Diags Raw Data'!$A$6:$A$6302))),--('Diags Raw Data'!$Q$6:$Q$6302&lt;&gt;"N/A"),'Diags Raw Data'!$R$6:$R$6302)</f>
        <v>21</v>
      </c>
      <c r="N13" s="452" cm="1">
        <f t="array" ref="N13">SUMPRODUCT(--(ISNUMBER(SEARCH($A13,'Diags Raw Data'!$A$6:$A$6302))),--('Diags Raw Data'!$Q$6:$Q$6302&lt;&gt;"N/A"),'Diags Raw Data'!$T$6:$T$6302)+SUMPRODUCT(--(ISNUMBER(SEARCH($A13,'Diags Raw Data'!$A$6:$A$6302))),--('Diags Raw Data'!$Q$6:$Q$6302&lt;&gt;"N/A"),'Diags Raw Data'!$U$6:$U$6302)</f>
        <v>18</v>
      </c>
      <c r="O13" s="453">
        <f>IF((M13=0),0,N13/M13)</f>
        <v>0.8571428571428571</v>
      </c>
      <c r="P13" s="454">
        <f>SUMIF('Diags Raw Data'!$A$6:$A$6302,"*"&amp;$A13&amp;"*",'Diags Raw Data'!$Z$6:$Z$6302)</f>
        <v>0</v>
      </c>
      <c r="Q13" s="455">
        <f>SUM(SUMIF('Diags Raw Data'!$A$6:$A$6302,"*"&amp;$A13&amp;"*",'Diags Raw Data'!$AA$6:$AA$6302),SUMIF('Diags Raw Data'!$A$6:$A$6302,"*"&amp;$A13&amp;"*",'Diags Raw Data'!$AB$6:$AB$6302))</f>
        <v>0</v>
      </c>
      <c r="R13" s="456">
        <f t="shared" si="3"/>
        <v>0</v>
      </c>
      <c r="S13" s="456">
        <f t="shared" si="4"/>
        <v>0</v>
      </c>
      <c r="T13" s="457">
        <f t="shared" si="5"/>
        <v>0</v>
      </c>
      <c r="U13" s="420" t="s">
        <v>47</v>
      </c>
      <c r="V13" s="181"/>
    </row>
    <row r="14" spans="1:23" ht="330" hidden="1" x14ac:dyDescent="0.25">
      <c r="A14" s="415" t="s">
        <v>687</v>
      </c>
      <c r="B14" s="416" t="str">
        <f>VLOOKUP(A14,'Feature Raw Data'!$A$3:$B$3960,2,FALSE)</f>
        <v>AV1 Decoder up to 10-bit (4:2:0)</v>
      </c>
      <c r="C14" s="417" t="str">
        <f>VLOOKUP(A14,'Feature Raw Data'!$A$3:$C$3960,3,FALSE)</f>
        <v>P2</v>
      </c>
      <c r="D14" s="418" t="str" cm="1">
        <f t="array" ref="D14">_xlfn.TEXTJOIN("",TRUE,IF(ISNUMBER(SEARCH($A14,'Diags Raw Data'!$A$6:$A$6302)),CONCATENATE('Diags Raw Data'!$H$6:$H$6302,",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6" t="str">
        <f>VLOOKUP(A14,'Diags Raw Data'!$A$6:$D$6302,4,FALSE)</f>
        <v>VCN Decode</v>
      </c>
      <c r="F14" s="336" t="str">
        <f>VLOOKUP(A14,'Feature Raw Data'!$A$3:$E$3960,5,FALSE)</f>
        <v>Legacy</v>
      </c>
      <c r="G14" s="336" t="str">
        <f t="shared" si="0"/>
        <v>Yes</v>
      </c>
      <c r="H14" s="336" t="str">
        <f t="shared" si="1"/>
        <v>Yes</v>
      </c>
      <c r="I14" s="417">
        <f>SUMIF('Diags Raw Data'!$A$6:$A$6302,"*"&amp;$A14&amp;"*",'Diags Raw Data'!$K$6:$K$6302)</f>
        <v>44</v>
      </c>
      <c r="J14" s="419">
        <f>SUMIF('Diags Raw Data'!$A$6:$A$6302,"*"&amp;$A14&amp;"*",'Diags Raw Data'!$L$6:$L$6302)</f>
        <v>44</v>
      </c>
      <c r="K14" s="449" cm="1">
        <f t="array" ref="K14">IF(D14="",0, SUMPRODUCT(--(ISNUMBER(SEARCH($A14,'Diags Raw Data'!$A$6:$A$6302))),'Diags Raw Data'!$L$6:$L$6302,'Diags Raw Data'!$N$6:$N$6302)/J14)</f>
        <v>1</v>
      </c>
      <c r="L14" s="450" cm="1">
        <f t="array" ref="L14">IF(D14="",0, SUMPRODUCT(--(ISNUMBER(SEARCH($A14,'Diags Raw Data'!$A$6:$A$6302))),'Diags Raw Data'!$L$6:$L$6302,'Diags Raw Data'!$P$6:$P$6302)/J14)</f>
        <v>0.95454545454545459</v>
      </c>
      <c r="M14" s="451" cm="1">
        <f t="array" ref="M14">SUMPRODUCT(--(ISNUMBER(SEARCH($A14,'Diags Raw Data'!$A$6:$A$6302))),--('Diags Raw Data'!$Q$6:$Q$6302&lt;&gt;"N/A"),'Diags Raw Data'!$R$6:$R$6302)</f>
        <v>42</v>
      </c>
      <c r="N14" s="452" cm="1">
        <f t="array" ref="N14">SUMPRODUCT(--(ISNUMBER(SEARCH($A14,'Diags Raw Data'!$A$6:$A$6302))),--('Diags Raw Data'!$Q$6:$Q$6302&lt;&gt;"N/A"),'Diags Raw Data'!$T$6:$T$6302)+SUMPRODUCT(--(ISNUMBER(SEARCH($A14,'Diags Raw Data'!$A$6:$A$6302))),--('Diags Raw Data'!$Q$6:$Q$6302&lt;&gt;"N/A"),'Diags Raw Data'!$U$6:$U$6302)</f>
        <v>36</v>
      </c>
      <c r="O14" s="453">
        <f t="shared" si="2"/>
        <v>0.8571428571428571</v>
      </c>
      <c r="P14" s="454">
        <f>SUMIF('Diags Raw Data'!$A$6:$A$6302,"*"&amp;$A14&amp;"*",'Diags Raw Data'!$Z$6:$Z$6302)</f>
        <v>0</v>
      </c>
      <c r="Q14" s="455">
        <f>SUM(SUMIF('Diags Raw Data'!$A$6:$A$6302,"*"&amp;$A14&amp;"*",'Diags Raw Data'!$AA$6:$AA$6302),SUMIF('Diags Raw Data'!$A$6:$A$6302,"*"&amp;$A14&amp;"*",'Diags Raw Data'!$AB$6:$AB$6302))</f>
        <v>0</v>
      </c>
      <c r="R14" s="456">
        <f t="shared" si="3"/>
        <v>0</v>
      </c>
      <c r="S14" s="456">
        <f t="shared" si="4"/>
        <v>0</v>
      </c>
      <c r="T14" s="457">
        <f t="shared" si="5"/>
        <v>0</v>
      </c>
      <c r="U14" s="420" t="s">
        <v>3466</v>
      </c>
      <c r="V14" s="181"/>
    </row>
    <row r="15" spans="1:23" hidden="1" x14ac:dyDescent="0.25">
      <c r="A15" s="415" t="s">
        <v>1428</v>
      </c>
      <c r="B15" s="416" t="str">
        <f>VLOOKUP(A15,'Feature Raw Data'!$A$3:$B$3960,2,FALSE)</f>
        <v>H264_perf Missing Slice</v>
      </c>
      <c r="C15" s="417" t="str">
        <f>VLOOKUP(A15,'Feature Raw Data'!$A$3:$C$3960,3,FALSE)</f>
        <v>P2</v>
      </c>
      <c r="D15" s="418" t="str" cm="1">
        <f t="array" ref="D15">_xlfn.TEXTJOIN("",TRUE,IF(ISNUMBER(SEARCH($A15,'Diags Raw Data'!$A$6:$A$6302)),CONCATENATE('Diags Raw Data'!$H$6:$H$6302,", "),""))</f>
        <v xml:space="preserve">VCN145.001, </v>
      </c>
      <c r="E15" s="336" t="str">
        <f>VLOOKUP(A15,'Diags Raw Data'!$A$6:$D$6302,4,FALSE)</f>
        <v>VCN Decode</v>
      </c>
      <c r="F15" s="336" t="str">
        <f>VLOOKUP(A15,'Feature Raw Data'!$A$3:$E$3960,5,FALSE)</f>
        <v>Legacy</v>
      </c>
      <c r="G15" s="336" t="str">
        <f t="shared" si="0"/>
        <v>Yes</v>
      </c>
      <c r="H15" s="336" t="str">
        <f t="shared" si="1"/>
        <v>Yes</v>
      </c>
      <c r="I15" s="417">
        <f>SUMIF('Diags Raw Data'!$A$6:$A$6302,"*"&amp;$A15&amp;"*",'Diags Raw Data'!$K$6:$K$6302)</f>
        <v>1</v>
      </c>
      <c r="J15" s="419">
        <f>SUMIF('Diags Raw Data'!$A$6:$A$6302,"*"&amp;$A15&amp;"*",'Diags Raw Data'!$L$6:$L$6302)</f>
        <v>1</v>
      </c>
      <c r="K15" s="449" cm="1">
        <f t="array" ref="K15">IF(D15="",0, SUMPRODUCT(--(ISNUMBER(SEARCH($A15,'Diags Raw Data'!$A$6:$A$6302))),'Diags Raw Data'!$L$6:$L$6302,'Diags Raw Data'!$N$6:$N$6302)/J15)</f>
        <v>1</v>
      </c>
      <c r="L15" s="450" cm="1">
        <f t="array" ref="L15">IF(D15="",0, SUMPRODUCT(--(ISNUMBER(SEARCH($A15,'Diags Raw Data'!$A$6:$A$6302))),'Diags Raw Data'!$L$6:$L$6302,'Diags Raw Data'!$P$6:$P$6302)/J15)</f>
        <v>0</v>
      </c>
      <c r="M15" s="451" cm="1">
        <f t="array" ref="M15">SUMPRODUCT(--(ISNUMBER(SEARCH($A15,'Diags Raw Data'!$A$6:$A$6302))),--('Diags Raw Data'!$Q$6:$Q$6302&lt;&gt;"N/A"),'Diags Raw Data'!$R$6:$R$6302)</f>
        <v>1</v>
      </c>
      <c r="N15" s="452" cm="1">
        <f t="array" ref="N15">SUMPRODUCT(--(ISNUMBER(SEARCH($A15,'Diags Raw Data'!$A$6:$A$6302))),--('Diags Raw Data'!$Q$6:$Q$6302&lt;&gt;"N/A"),'Diags Raw Data'!$T$6:$T$6302)+SUMPRODUCT(--(ISNUMBER(SEARCH($A15,'Diags Raw Data'!$A$6:$A$6302))),--('Diags Raw Data'!$Q$6:$Q$6302&lt;&gt;"N/A"),'Diags Raw Data'!$U$6:$U$6302)</f>
        <v>0</v>
      </c>
      <c r="O15" s="453">
        <f t="shared" si="2"/>
        <v>0</v>
      </c>
      <c r="P15" s="454">
        <f>SUMIF('Diags Raw Data'!$A$6:$A$6302,"*"&amp;$A15&amp;"*",'Diags Raw Data'!$Z$6:$Z$6302)</f>
        <v>0</v>
      </c>
      <c r="Q15" s="455">
        <f>SUM(SUMIF('Diags Raw Data'!$A$6:$A$6302,"*"&amp;$A15&amp;"*",'Diags Raw Data'!$AA$6:$AA$6302),SUMIF('Diags Raw Data'!$A$6:$A$6302,"*"&amp;$A15&amp;"*",'Diags Raw Data'!$AB$6:$AB$6302))</f>
        <v>0</v>
      </c>
      <c r="R15" s="456">
        <f t="shared" si="3"/>
        <v>0</v>
      </c>
      <c r="S15" s="456">
        <f t="shared" si="4"/>
        <v>0</v>
      </c>
      <c r="T15" s="457">
        <f t="shared" si="5"/>
        <v>0</v>
      </c>
      <c r="U15" s="420" t="s">
        <v>3466</v>
      </c>
      <c r="V15" s="181"/>
    </row>
    <row r="16" spans="1:23" hidden="1" x14ac:dyDescent="0.25">
      <c r="A16" s="415" t="s">
        <v>1432</v>
      </c>
      <c r="B16" s="416" t="str">
        <f>VLOOKUP(A16,'Feature Raw Data'!$A$3:$B$3960,2,FALSE)</f>
        <v>HEVC Missing Slice</v>
      </c>
      <c r="C16" s="417" t="str">
        <f>VLOOKUP(A16,'Feature Raw Data'!$A$3:$C$3960,3,FALSE)</f>
        <v>P2</v>
      </c>
      <c r="D16" s="418" t="str" cm="1">
        <f t="array" ref="D16">_xlfn.TEXTJOIN("",TRUE,IF(ISNUMBER(SEARCH($A16,'Diags Raw Data'!$A$6:$A$6302)),CONCATENATE('Diags Raw Data'!$H$6:$H$6302,", "),""))</f>
        <v xml:space="preserve">VCN145.002, VCN145.003, </v>
      </c>
      <c r="E16" s="336" t="str">
        <f>VLOOKUP(A16,'Diags Raw Data'!$A$6:$D$6302,4,FALSE)</f>
        <v>VCN Decode</v>
      </c>
      <c r="F16" s="336" t="str">
        <f>VLOOKUP(A16,'Feature Raw Data'!$A$3:$E$3960,5,FALSE)</f>
        <v>Legacy</v>
      </c>
      <c r="G16" s="336" t="str">
        <f t="shared" si="0"/>
        <v>Yes</v>
      </c>
      <c r="H16" s="336" t="str">
        <f t="shared" si="1"/>
        <v>Yes</v>
      </c>
      <c r="I16" s="417">
        <f>SUMIF('Diags Raw Data'!$A$6:$A$6302,"*"&amp;$A16&amp;"*",'Diags Raw Data'!$K$6:$K$6302)</f>
        <v>2</v>
      </c>
      <c r="J16" s="419">
        <f>SUMIF('Diags Raw Data'!$A$6:$A$6302,"*"&amp;$A16&amp;"*",'Diags Raw Data'!$L$6:$L$6302)</f>
        <v>2</v>
      </c>
      <c r="K16" s="449" cm="1">
        <f t="array" ref="K16">IF(D16="",0, SUMPRODUCT(--(ISNUMBER(SEARCH($A16,'Diags Raw Data'!$A$6:$A$6302))),'Diags Raw Data'!$L$6:$L$6302,'Diags Raw Data'!$N$6:$N$6302)/J16)</f>
        <v>1</v>
      </c>
      <c r="L16" s="450" cm="1">
        <f t="array" ref="L16">IF(D16="",0, SUMPRODUCT(--(ISNUMBER(SEARCH($A16,'Diags Raw Data'!$A$6:$A$6302))),'Diags Raw Data'!$L$6:$L$6302,'Diags Raw Data'!$P$6:$P$6302)/J16)</f>
        <v>0</v>
      </c>
      <c r="M16" s="451" cm="1">
        <f t="array" ref="M16">SUMPRODUCT(--(ISNUMBER(SEARCH($A16,'Diags Raw Data'!$A$6:$A$6302))),--('Diags Raw Data'!$Q$6:$Q$6302&lt;&gt;"N/A"),'Diags Raw Data'!$R$6:$R$6302)</f>
        <v>2</v>
      </c>
      <c r="N16" s="452" cm="1">
        <f t="array" ref="N16">SUMPRODUCT(--(ISNUMBER(SEARCH($A16,'Diags Raw Data'!$A$6:$A$6302))),--('Diags Raw Data'!$Q$6:$Q$6302&lt;&gt;"N/A"),'Diags Raw Data'!$T$6:$T$6302)+SUMPRODUCT(--(ISNUMBER(SEARCH($A16,'Diags Raw Data'!$A$6:$A$6302))),--('Diags Raw Data'!$Q$6:$Q$6302&lt;&gt;"N/A"),'Diags Raw Data'!$U$6:$U$6302)</f>
        <v>0</v>
      </c>
      <c r="O16" s="453">
        <f t="shared" si="2"/>
        <v>0</v>
      </c>
      <c r="P16" s="454">
        <f>SUMIF('Diags Raw Data'!$A$6:$A$6302,"*"&amp;$A16&amp;"*",'Diags Raw Data'!$Z$6:$Z$6302)</f>
        <v>0</v>
      </c>
      <c r="Q16" s="455">
        <f>SUM(SUMIF('Diags Raw Data'!$A$6:$A$6302,"*"&amp;$A16&amp;"*",'Diags Raw Data'!$AA$6:$AA$6302),SUMIF('Diags Raw Data'!$A$6:$A$6302,"*"&amp;$A16&amp;"*",'Diags Raw Data'!$AB$6:$AB$6302))</f>
        <v>0</v>
      </c>
      <c r="R16" s="456">
        <f t="shared" si="3"/>
        <v>0</v>
      </c>
      <c r="S16" s="456">
        <f t="shared" si="4"/>
        <v>0</v>
      </c>
      <c r="T16" s="457">
        <f t="shared" si="5"/>
        <v>0</v>
      </c>
      <c r="U16" s="420" t="s">
        <v>3466</v>
      </c>
      <c r="V16" s="181"/>
    </row>
    <row r="17" spans="1:22" s="184" customFormat="1" ht="75" hidden="1" x14ac:dyDescent="0.25">
      <c r="A17" s="415" t="s">
        <v>1457</v>
      </c>
      <c r="B17" s="416" t="str">
        <f>VLOOKUP(A17,'Feature Raw Data'!$A$3:$B$3960,2,FALSE)</f>
        <v>AMD Statistics Collection (Luma Histogram Collection Perf Path)</v>
      </c>
      <c r="C17" s="417" t="str">
        <f>VLOOKUP(A17,'Feature Raw Data'!$A$3:$C$3960,3,FALSE)</f>
        <v>P2</v>
      </c>
      <c r="D17" s="418" t="str" cm="1">
        <f t="array" ref="D17">_xlfn.TEXTJOIN("",TRUE,IF(ISNUMBER(SEARCH($A17,'Diags Raw Data'!$A$6:$A$6302)),CONCATENATE('Diags Raw Data'!$H$6:$H$6302,", "),""))</f>
        <v xml:space="preserve">VCN182.001, VCN182.002, VCN182.003, VCN182.004, VCN182.005, VCN182.006, VCN182.007, VCN182.008, VCN182.009, </v>
      </c>
      <c r="E17" s="336" t="str">
        <f>VLOOKUP(A17,'Diags Raw Data'!$A$6:$D$6302,4,FALSE)</f>
        <v>VCN Decode</v>
      </c>
      <c r="F17" s="336" t="str">
        <f>VLOOKUP(A17,'Feature Raw Data'!$A$3:$E$3960,5,FALSE)</f>
        <v>Legacy</v>
      </c>
      <c r="G17" s="336" t="str">
        <f t="shared" si="0"/>
        <v>Yes</v>
      </c>
      <c r="H17" s="336" t="str">
        <f t="shared" si="1"/>
        <v>Yes</v>
      </c>
      <c r="I17" s="417">
        <f>SUMIF('Diags Raw Data'!$A$6:$A$6302,"*"&amp;$A17&amp;"*",'Diags Raw Data'!$K$6:$K$6302)</f>
        <v>9</v>
      </c>
      <c r="J17" s="419">
        <f>SUMIF('Diags Raw Data'!$A$6:$A$6302,"*"&amp;$A17&amp;"*",'Diags Raw Data'!$L$6:$L$6302)</f>
        <v>9</v>
      </c>
      <c r="K17" s="449" cm="1">
        <f t="array" ref="K17">IF(D17="",0, SUMPRODUCT(--(ISNUMBER(SEARCH($A17,'Diags Raw Data'!$A$6:$A$6302))),'Diags Raw Data'!$L$6:$L$6302,'Diags Raw Data'!$N$6:$N$6302)/J17)</f>
        <v>1</v>
      </c>
      <c r="L17" s="450" cm="1">
        <f t="array" ref="L17">IF(D17="",0, SUMPRODUCT(--(ISNUMBER(SEARCH($A17,'Diags Raw Data'!$A$6:$A$6302))),'Diags Raw Data'!$L$6:$L$6302,'Diags Raw Data'!$P$6:$P$6302)/J17)</f>
        <v>0.5</v>
      </c>
      <c r="M17" s="451" cm="1">
        <f t="array" ref="M17">SUMPRODUCT(--(ISNUMBER(SEARCH($A17,'Diags Raw Data'!$A$6:$A$6302))),--('Diags Raw Data'!$Q$6:$Q$6302&lt;&gt;"N/A"),'Diags Raw Data'!$R$6:$R$6302)</f>
        <v>9</v>
      </c>
      <c r="N17" s="452" cm="1">
        <f t="array" ref="N17">SUMPRODUCT(--(ISNUMBER(SEARCH($A17,'Diags Raw Data'!$A$6:$A$6302))),--('Diags Raw Data'!$Q$6:$Q$6302&lt;&gt;"N/A"),'Diags Raw Data'!$T$6:$T$6302)+SUMPRODUCT(--(ISNUMBER(SEARCH($A17,'Diags Raw Data'!$A$6:$A$6302))),--('Diags Raw Data'!$Q$6:$Q$6302&lt;&gt;"N/A"),'Diags Raw Data'!$U$6:$U$6302)</f>
        <v>0</v>
      </c>
      <c r="O17" s="453">
        <f t="shared" si="2"/>
        <v>0</v>
      </c>
      <c r="P17" s="454">
        <f>SUMIF('Diags Raw Data'!$A$6:$A$6302,"*"&amp;$A17&amp;"*",'Diags Raw Data'!$Z$6:$Z$6302)</f>
        <v>0</v>
      </c>
      <c r="Q17" s="455">
        <f>SUM(SUMIF('Diags Raw Data'!$A$6:$A$6302,"*"&amp;$A17&amp;"*",'Diags Raw Data'!$AA$6:$AA$6302),SUMIF('Diags Raw Data'!$A$6:$A$6302,"*"&amp;$A17&amp;"*",'Diags Raw Data'!$AB$6:$AB$6302))</f>
        <v>0</v>
      </c>
      <c r="R17" s="456">
        <f t="shared" si="3"/>
        <v>0</v>
      </c>
      <c r="S17" s="456">
        <f t="shared" si="4"/>
        <v>0</v>
      </c>
      <c r="T17" s="457">
        <f t="shared" si="5"/>
        <v>0</v>
      </c>
      <c r="U17" s="420" t="s">
        <v>3467</v>
      </c>
      <c r="V17" s="183"/>
    </row>
    <row r="18" spans="1:22" ht="135" hidden="1" x14ac:dyDescent="0.25">
      <c r="A18" s="415" t="s">
        <v>3392</v>
      </c>
      <c r="B18" s="416" t="str">
        <f>VLOOKUP(A18,'Feature Raw Data'!$A$3:$B$3960,2,FALSE)</f>
        <v>Array of Textures Support</v>
      </c>
      <c r="C18" s="417" t="str">
        <f>VLOOKUP(A18,'Feature Raw Data'!$A$3:$C$3960,3,FALSE)</f>
        <v>P2</v>
      </c>
      <c r="D18" s="418" t="str" cm="1">
        <f t="array" ref="D18">_xlfn.TEXTJOIN("",TRUE,IF(ISNUMBER(SEARCH($A18,'Diags Raw Data'!$A$6:$A$6302)),CONCATENATE('Diags Raw Data'!$H$6:$H$6302,", "),""))</f>
        <v xml:space="preserve">VCN104.017, VCN104.020, VCN105.016, VCN105.017, VCN105.102, VCN105.133, VCN105.307, VCN105.308, VCN106.113, VCN107.019, VCN107.020, VCN107.021, VCN107.119, VCN107.120, VCN107.121, VCN107.219, VCN107.220, VCN107.221, </v>
      </c>
      <c r="E18" s="336" t="str">
        <f>VLOOKUP(A18,'Diags Raw Data'!$A$6:$D$6302,4,FALSE)</f>
        <v>VCN Decode</v>
      </c>
      <c r="F18" s="336" t="str">
        <f>VLOOKUP(A18,'Feature Raw Data'!$A$3:$E$3960,5,FALSE)</f>
        <v>Legacy</v>
      </c>
      <c r="G18" s="336" t="str">
        <f t="shared" si="0"/>
        <v>Yes</v>
      </c>
      <c r="H18" s="336" t="str">
        <f t="shared" si="1"/>
        <v>Yes</v>
      </c>
      <c r="I18" s="417">
        <f>SUMIF('Diags Raw Data'!$A$6:$A$6302,"*"&amp;$A18&amp;"*",'Diags Raw Data'!$K$6:$K$6302)</f>
        <v>18</v>
      </c>
      <c r="J18" s="419">
        <f>SUMIF('Diags Raw Data'!$A$6:$A$6302,"*"&amp;$A18&amp;"*",'Diags Raw Data'!$L$6:$L$6302)</f>
        <v>18</v>
      </c>
      <c r="K18" s="449" cm="1">
        <f t="array" ref="K18">IF(D18="",0, SUMPRODUCT(--(ISNUMBER(SEARCH($A18,'Diags Raw Data'!$A$6:$A$6302))),'Diags Raw Data'!$L$6:$L$6302,'Diags Raw Data'!$N$6:$N$6302)/J18)</f>
        <v>1</v>
      </c>
      <c r="L18" s="450" cm="1">
        <f t="array" ref="L18">IF(D18="",0, SUMPRODUCT(--(ISNUMBER(SEARCH($A18,'Diags Raw Data'!$A$6:$A$6302))),'Diags Raw Data'!$L$6:$L$6302,'Diags Raw Data'!$P$6:$P$6302)/J18)</f>
        <v>1</v>
      </c>
      <c r="M18" s="451" cm="1">
        <f t="array" ref="M18">SUMPRODUCT(--(ISNUMBER(SEARCH($A18,'Diags Raw Data'!$A$6:$A$6302))),--('Diags Raw Data'!$Q$6:$Q$6302&lt;&gt;"N/A"),'Diags Raw Data'!$R$6:$R$6302)</f>
        <v>18</v>
      </c>
      <c r="N18" s="452" cm="1">
        <f t="array" ref="N18">SUMPRODUCT(--(ISNUMBER(SEARCH($A18,'Diags Raw Data'!$A$6:$A$6302))),--('Diags Raw Data'!$Q$6:$Q$6302&lt;&gt;"N/A"),'Diags Raw Data'!$T$6:$T$6302)+SUMPRODUCT(--(ISNUMBER(SEARCH($A18,'Diags Raw Data'!$A$6:$A$6302))),--('Diags Raw Data'!$Q$6:$Q$6302&lt;&gt;"N/A"),'Diags Raw Data'!$U$6:$U$6302)</f>
        <v>15</v>
      </c>
      <c r="O18" s="453">
        <f t="shared" si="2"/>
        <v>0.83333333333333337</v>
      </c>
      <c r="P18" s="454">
        <f>SUMIF('Diags Raw Data'!$A$6:$A$6302,"*"&amp;$A18&amp;"*",'Diags Raw Data'!$Z$6:$Z$6302)</f>
        <v>0</v>
      </c>
      <c r="Q18" s="455">
        <f>SUM(SUMIF('Diags Raw Data'!$A$6:$A$6302,"*"&amp;$A18&amp;"*",'Diags Raw Data'!$AA$6:$AA$6302),SUMIF('Diags Raw Data'!$A$6:$A$6302,"*"&amp;$A18&amp;"*",'Diags Raw Data'!$AB$6:$AB$6302))</f>
        <v>0</v>
      </c>
      <c r="R18" s="456">
        <f t="shared" si="3"/>
        <v>0</v>
      </c>
      <c r="S18" s="456">
        <f t="shared" si="4"/>
        <v>0</v>
      </c>
      <c r="T18" s="457">
        <f t="shared" si="5"/>
        <v>0</v>
      </c>
      <c r="U18" s="420" t="s">
        <v>47</v>
      </c>
      <c r="V18" s="181"/>
    </row>
    <row r="19" spans="1:22" ht="90" x14ac:dyDescent="0.25">
      <c r="A19" s="415" t="s">
        <v>3394</v>
      </c>
      <c r="B19" s="416" t="str">
        <f>VLOOKUP(A19,'Feature Raw Data'!$A$3:$B$3960,2,FALSE)</f>
        <v>Common DB/DBW surface (single surface out)</v>
      </c>
      <c r="C19" s="417" t="str">
        <f>VLOOKUP(A19,'Feature Raw Data'!$A$3:$C$3960,3,FALSE)</f>
        <v>P2</v>
      </c>
      <c r="D19" s="418" t="str" cm="1">
        <f t="array" ref="D19">_xlfn.TEXTJOIN("",TRUE,IF(ISNUMBER(SEARCH($A19,'Diags Raw Data'!$A$6:$A$6302)),CONCATENATE('Diags Raw Data'!$H$6:$H$6302,", "),""))</f>
        <v xml:space="preserve">VCN104.020, VCN105.016, VCN105.017, VCN105.133, VCN105.307, VCN105.308, VCN106.017, VCN106.119, VCN107.020, VCN107.119, VCN107.221, </v>
      </c>
      <c r="E19" s="336" t="str">
        <f>VLOOKUP(A19,'Diags Raw Data'!$A$6:$D$6302,4,FALSE)</f>
        <v>VCN Decode</v>
      </c>
      <c r="F19" s="336" t="str">
        <f>VLOOKUP(A19,'Feature Raw Data'!$A$3:$E$3960,5,FALSE)</f>
        <v>New</v>
      </c>
      <c r="G19" s="336" t="str">
        <f t="shared" si="0"/>
        <v>Yes</v>
      </c>
      <c r="H19" s="336" t="str">
        <f t="shared" si="1"/>
        <v>Yes</v>
      </c>
      <c r="I19" s="417">
        <f>SUMIF('Diags Raw Data'!$A$6:$A$6302,"*"&amp;$A19&amp;"*",'Diags Raw Data'!$K$6:$K$6302)</f>
        <v>11</v>
      </c>
      <c r="J19" s="419">
        <f>SUMIF('Diags Raw Data'!$A$6:$A$6302,"*"&amp;$A19&amp;"*",'Diags Raw Data'!$L$6:$L$6302)</f>
        <v>11</v>
      </c>
      <c r="K19" s="449" cm="1">
        <f t="array" ref="K19">IF(D19="",0, SUMPRODUCT(--(ISNUMBER(SEARCH($A19,'Diags Raw Data'!$A$6:$A$6302))),'Diags Raw Data'!$L$6:$L$6302,'Diags Raw Data'!$N$6:$N$6302)/J19)</f>
        <v>1</v>
      </c>
      <c r="L19" s="450" cm="1">
        <f t="array" ref="L19">IF(D19="",0, SUMPRODUCT(--(ISNUMBER(SEARCH($A19,'Diags Raw Data'!$A$6:$A$6302))),'Diags Raw Data'!$L$6:$L$6302,'Diags Raw Data'!$P$6:$P$6302)/J19)</f>
        <v>1</v>
      </c>
      <c r="M19" s="451" cm="1">
        <f t="array" ref="M19">SUMPRODUCT(--(ISNUMBER(SEARCH($A19,'Diags Raw Data'!$A$6:$A$6302))),--('Diags Raw Data'!$Q$6:$Q$6302&lt;&gt;"N/A"),'Diags Raw Data'!$R$6:$R$6302)</f>
        <v>11</v>
      </c>
      <c r="N19" s="452" cm="1">
        <f t="array" ref="N19">SUMPRODUCT(--(ISNUMBER(SEARCH($A19,'Diags Raw Data'!$A$6:$A$6302))),--('Diags Raw Data'!$Q$6:$Q$6302&lt;&gt;"N/A"),'Diags Raw Data'!$T$6:$T$6302)+SUMPRODUCT(--(ISNUMBER(SEARCH($A19,'Diags Raw Data'!$A$6:$A$6302))),--('Diags Raw Data'!$Q$6:$Q$6302&lt;&gt;"N/A"),'Diags Raw Data'!$U$6:$U$6302)</f>
        <v>10</v>
      </c>
      <c r="O19" s="453">
        <f t="shared" si="2"/>
        <v>0.90909090909090906</v>
      </c>
      <c r="P19" s="454">
        <f>SUMIF('Diags Raw Data'!$A$6:$A$6302,"*"&amp;$A19&amp;"*",'Diags Raw Data'!$Z$6:$Z$6302)</f>
        <v>0</v>
      </c>
      <c r="Q19" s="455">
        <f>SUM(SUMIF('Diags Raw Data'!$A$6:$A$6302,"*"&amp;$A19&amp;"*",'Diags Raw Data'!$AA$6:$AA$6302),SUMIF('Diags Raw Data'!$A$6:$A$6302,"*"&amp;$A19&amp;"*",'Diags Raw Data'!$AB$6:$AB$6302))</f>
        <v>0</v>
      </c>
      <c r="R19" s="456">
        <f t="shared" si="3"/>
        <v>0</v>
      </c>
      <c r="S19" s="456">
        <f t="shared" si="4"/>
        <v>0</v>
      </c>
      <c r="T19" s="457">
        <f t="shared" si="5"/>
        <v>0</v>
      </c>
      <c r="U19" s="420" t="s">
        <v>47</v>
      </c>
      <c r="V19" s="181"/>
    </row>
    <row r="20" spans="1:22" ht="90" x14ac:dyDescent="0.25">
      <c r="A20" s="415" t="s">
        <v>3397</v>
      </c>
      <c r="B20" s="416" t="str">
        <f>VLOOKUP(A20,'Feature Raw Data'!$A$3:$B$3960,2,FALSE)</f>
        <v>SRE decoupling on all decoders</v>
      </c>
      <c r="C20" s="417" t="str">
        <f>VLOOKUP(A20,'Feature Raw Data'!$A$3:$C$3960,3,FALSE)</f>
        <v>P2</v>
      </c>
      <c r="D20" s="418" t="str" cm="1">
        <f t="array" ref="D20">_xlfn.TEXTJOIN("",TRUE,IF(ISNUMBER(SEARCH($A20,'Diags Raw Data'!$A$6:$A$6302)),CONCATENATE('Diags Raw Data'!$H$6:$H$6302,", "),""))</f>
        <v xml:space="preserve">VCN104.020, VCN105.016, VCN105.017, VCN105.133, VCN105.307, VCN105.308, VCN106.017, VCN106.119, VCN107.020, VCN107.119, VCN107.221, </v>
      </c>
      <c r="E20" s="336" t="str">
        <f>VLOOKUP(A20,'Diags Raw Data'!$A$6:$D$6302,4,FALSE)</f>
        <v>VCN Decode</v>
      </c>
      <c r="F20" s="336" t="str">
        <f>VLOOKUP(A20,'Feature Raw Data'!$A$3:$E$3960,5,FALSE)</f>
        <v>New</v>
      </c>
      <c r="G20" s="336" t="str">
        <f t="shared" si="0"/>
        <v>Yes</v>
      </c>
      <c r="H20" s="336" t="str">
        <f t="shared" si="1"/>
        <v>Yes</v>
      </c>
      <c r="I20" s="417">
        <f>SUMIF('Diags Raw Data'!$A$6:$A$6302,"*"&amp;$A20&amp;"*",'Diags Raw Data'!$K$6:$K$6302)</f>
        <v>11</v>
      </c>
      <c r="J20" s="419">
        <f>SUMIF('Diags Raw Data'!$A$6:$A$6302,"*"&amp;$A20&amp;"*",'Diags Raw Data'!$L$6:$L$6302)</f>
        <v>11</v>
      </c>
      <c r="K20" s="449" cm="1">
        <f t="array" ref="K20">IF(D20="",0, SUMPRODUCT(--(ISNUMBER(SEARCH($A20,'Diags Raw Data'!$A$6:$A$6302))),'Diags Raw Data'!$L$6:$L$6302,'Diags Raw Data'!$N$6:$N$6302)/J20)</f>
        <v>1</v>
      </c>
      <c r="L20" s="450" cm="1">
        <f t="array" ref="L20">IF(D20="",0, SUMPRODUCT(--(ISNUMBER(SEARCH($A20,'Diags Raw Data'!$A$6:$A$6302))),'Diags Raw Data'!$L$6:$L$6302,'Diags Raw Data'!$P$6:$P$6302)/J20)</f>
        <v>1</v>
      </c>
      <c r="M20" s="451" cm="1">
        <f t="array" ref="M20">SUMPRODUCT(--(ISNUMBER(SEARCH($A20,'Diags Raw Data'!$A$6:$A$6302))),--('Diags Raw Data'!$Q$6:$Q$6302&lt;&gt;"N/A"),'Diags Raw Data'!$R$6:$R$6302)</f>
        <v>11</v>
      </c>
      <c r="N20" s="452" cm="1">
        <f t="array" ref="N20">SUMPRODUCT(--(ISNUMBER(SEARCH($A20,'Diags Raw Data'!$A$6:$A$6302))),--('Diags Raw Data'!$Q$6:$Q$6302&lt;&gt;"N/A"),'Diags Raw Data'!$T$6:$T$6302)+SUMPRODUCT(--(ISNUMBER(SEARCH($A20,'Diags Raw Data'!$A$6:$A$6302))),--('Diags Raw Data'!$Q$6:$Q$6302&lt;&gt;"N/A"),'Diags Raw Data'!$U$6:$U$6302)</f>
        <v>10</v>
      </c>
      <c r="O20" s="453">
        <f t="shared" si="2"/>
        <v>0.90909090909090906</v>
      </c>
      <c r="P20" s="454">
        <f>SUMIF('Diags Raw Data'!$A$6:$A$6302,"*"&amp;$A20&amp;"*",'Diags Raw Data'!$Z$6:$Z$6302)</f>
        <v>0</v>
      </c>
      <c r="Q20" s="455">
        <f>SUM(SUMIF('Diags Raw Data'!$A$6:$A$6302,"*"&amp;$A20&amp;"*",'Diags Raw Data'!$AA$6:$AA$6302),SUMIF('Diags Raw Data'!$A$6:$A$6302,"*"&amp;$A20&amp;"*",'Diags Raw Data'!$AB$6:$AB$6302))</f>
        <v>0</v>
      </c>
      <c r="R20" s="456">
        <f t="shared" si="3"/>
        <v>0</v>
      </c>
      <c r="S20" s="456">
        <f t="shared" si="4"/>
        <v>0</v>
      </c>
      <c r="T20" s="457">
        <f t="shared" si="5"/>
        <v>0</v>
      </c>
      <c r="U20" s="420" t="s">
        <v>47</v>
      </c>
      <c r="V20" s="181"/>
    </row>
    <row r="21" spans="1:22" x14ac:dyDescent="0.25">
      <c r="A21" s="415" t="s">
        <v>3399</v>
      </c>
      <c r="B21" s="416" t="str">
        <f>VLOOKUP(A21,'Feature Raw Data'!$A$3:$B$3960,2,FALSE)</f>
        <v>Reduced AVC context BW</v>
      </c>
      <c r="C21" s="417" t="str">
        <f>VLOOKUP(A21,'Feature Raw Data'!$A$3:$C$3960,3,FALSE)</f>
        <v>P2</v>
      </c>
      <c r="D21" s="418" t="str" cm="1">
        <f t="array" ref="D21">_xlfn.TEXTJOIN("",TRUE,IF(ISNUMBER(SEARCH($A21,'Diags Raw Data'!$A$6:$A$6302)),CONCATENATE('Diags Raw Data'!$H$6:$H$6302,", "),""))</f>
        <v xml:space="preserve">VCN104.017, VCN104.020, </v>
      </c>
      <c r="E21" s="336" t="str">
        <f>VLOOKUP(A21,'Diags Raw Data'!$A$6:$D$6302,4,FALSE)</f>
        <v>VCN Decode</v>
      </c>
      <c r="F21" s="336" t="str">
        <f>VLOOKUP(A21,'Feature Raw Data'!$A$3:$E$3960,5,FALSE)</f>
        <v>New</v>
      </c>
      <c r="G21" s="336" t="str">
        <f t="shared" si="0"/>
        <v>Yes</v>
      </c>
      <c r="H21" s="336" t="str">
        <f t="shared" si="1"/>
        <v>Yes</v>
      </c>
      <c r="I21" s="417">
        <f>SUMIF('Diags Raw Data'!$A$6:$A$6302,"*"&amp;$A21&amp;"*",'Diags Raw Data'!$K$6:$K$6302)</f>
        <v>2</v>
      </c>
      <c r="J21" s="419">
        <f>SUMIF('Diags Raw Data'!$A$6:$A$6302,"*"&amp;$A21&amp;"*",'Diags Raw Data'!$L$6:$L$6302)</f>
        <v>2</v>
      </c>
      <c r="K21" s="449" cm="1">
        <f t="array" ref="K21">IF(D21="",0, SUMPRODUCT(--(ISNUMBER(SEARCH($A21,'Diags Raw Data'!$A$6:$A$6302))),'Diags Raw Data'!$L$6:$L$6302,'Diags Raw Data'!$N$6:$N$6302)/J21)</f>
        <v>1</v>
      </c>
      <c r="L21" s="450" cm="1">
        <f t="array" ref="L21">IF(D21="",0, SUMPRODUCT(--(ISNUMBER(SEARCH($A21,'Diags Raw Data'!$A$6:$A$6302))),'Diags Raw Data'!$L$6:$L$6302,'Diags Raw Data'!$P$6:$P$6302)/J21)</f>
        <v>1</v>
      </c>
      <c r="M21" s="451" cm="1">
        <f t="array" ref="M21">SUMPRODUCT(--(ISNUMBER(SEARCH($A21,'Diags Raw Data'!$A$6:$A$6302))),--('Diags Raw Data'!$Q$6:$Q$6302&lt;&gt;"N/A"),'Diags Raw Data'!$R$6:$R$6302)</f>
        <v>2</v>
      </c>
      <c r="N21" s="452" cm="1">
        <f t="array" ref="N21">SUMPRODUCT(--(ISNUMBER(SEARCH($A21,'Diags Raw Data'!$A$6:$A$6302))),--('Diags Raw Data'!$Q$6:$Q$6302&lt;&gt;"N/A"),'Diags Raw Data'!$T$6:$T$6302)+SUMPRODUCT(--(ISNUMBER(SEARCH($A21,'Diags Raw Data'!$A$6:$A$6302))),--('Diags Raw Data'!$Q$6:$Q$6302&lt;&gt;"N/A"),'Diags Raw Data'!$U$6:$U$6302)</f>
        <v>2</v>
      </c>
      <c r="O21" s="453">
        <f t="shared" si="2"/>
        <v>1</v>
      </c>
      <c r="P21" s="454">
        <f>SUMIF('Diags Raw Data'!$A$6:$A$6302,"*"&amp;$A21&amp;"*",'Diags Raw Data'!$Z$6:$Z$6302)</f>
        <v>0</v>
      </c>
      <c r="Q21" s="455">
        <f>SUM(SUMIF('Diags Raw Data'!$A$6:$A$6302,"*"&amp;$A21&amp;"*",'Diags Raw Data'!$AA$6:$AA$6302),SUMIF('Diags Raw Data'!$A$6:$A$6302,"*"&amp;$A21&amp;"*",'Diags Raw Data'!$AB$6:$AB$6302))</f>
        <v>0</v>
      </c>
      <c r="R21" s="456">
        <f t="shared" si="3"/>
        <v>0</v>
      </c>
      <c r="S21" s="456">
        <f t="shared" si="4"/>
        <v>0</v>
      </c>
      <c r="T21" s="457">
        <f t="shared" si="5"/>
        <v>0</v>
      </c>
      <c r="U21" s="420" t="s">
        <v>47</v>
      </c>
      <c r="V21" s="181"/>
    </row>
    <row r="22" spans="1:22" ht="409.5" hidden="1" x14ac:dyDescent="0.25">
      <c r="A22" s="415" t="s">
        <v>2091</v>
      </c>
      <c r="B22" s="416" t="str">
        <f>VLOOKUP(A22,'Feature Raw Data'!$A$3:$B$3960,2,FALSE)</f>
        <v>HEVC 8-bit Encoder</v>
      </c>
      <c r="C22" s="417" t="str">
        <f>VLOOKUP(A22,'Feature Raw Data'!$A$3:$C$3960,3,FALSE)</f>
        <v>P2</v>
      </c>
      <c r="D22" s="418" t="str" cm="1">
        <f t="array" ref="D22">_xlfn.TEXTJOIN("",TRUE,IF(ISNUMBER(SEARCH($A22,'Diags Raw Data'!$A$6:$A$6302)),CONCATENATE('Diags Raw Data'!$H$6:$H$6302,", "),""))</f>
        <v xml:space="preserve">VCN350.001, VCN350.002, VCN350.004, VCN350.005, VCN350.006, VCN350.007, VCN350.008, VCN350.009, VCN350.010, VCN350.011, VCN350.012, VCN350.013, VCN350.014,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6" t="str">
        <f>VLOOKUP(A22,'Diags Raw Data'!$A$6:$D$6302,4,FALSE)</f>
        <v>VCN Encode</v>
      </c>
      <c r="F22" s="336" t="str">
        <f>VLOOKUP(A22,'Feature Raw Data'!$A$3:$E$3960,5,FALSE)</f>
        <v>Legacy</v>
      </c>
      <c r="G22" s="336" t="str">
        <f t="shared" si="0"/>
        <v>Yes</v>
      </c>
      <c r="H22" s="336" t="str">
        <f t="shared" si="1"/>
        <v>Yes</v>
      </c>
      <c r="I22" s="417">
        <f>SUMIF('Diags Raw Data'!$A$6:$A$6302,"*"&amp;$A22&amp;"*",'Diags Raw Data'!$K$6:$K$6302)</f>
        <v>86</v>
      </c>
      <c r="J22" s="419">
        <f>SUMIF('Diags Raw Data'!$A$6:$A$6302,"*"&amp;$A22&amp;"*",'Diags Raw Data'!$L$6:$L$6302)</f>
        <v>86</v>
      </c>
      <c r="K22" s="449" cm="1">
        <f t="array" ref="K22">IF(D22="",0, SUMPRODUCT(--(ISNUMBER(SEARCH($A22,'Diags Raw Data'!$A$6:$A$6302))),'Diags Raw Data'!$L$6:$L$6302,'Diags Raw Data'!$N$6:$N$6302)/J22)</f>
        <v>0.93023255813953487</v>
      </c>
      <c r="L22" s="450" cm="1">
        <f t="array" ref="L22">IF(D22="",0, SUMPRODUCT(--(ISNUMBER(SEARCH($A22,'Diags Raw Data'!$A$6:$A$6302))),'Diags Raw Data'!$L$6:$L$6302,'Diags Raw Data'!$P$6:$P$6302)/J22)</f>
        <v>0.29069767441860467</v>
      </c>
      <c r="M22" s="451" cm="1">
        <f t="array" ref="M22">SUMPRODUCT(--(ISNUMBER(SEARCH($A22,'Diags Raw Data'!$A$6:$A$6302))),--('Diags Raw Data'!$Q$6:$Q$6302&lt;&gt;"N/A"),'Diags Raw Data'!$R$6:$R$6302)</f>
        <v>86</v>
      </c>
      <c r="N22" s="452" cm="1">
        <f t="array" ref="N22">SUMPRODUCT(--(ISNUMBER(SEARCH($A22,'Diags Raw Data'!$A$6:$A$6302))),--('Diags Raw Data'!$Q$6:$Q$6302&lt;&gt;"N/A"),'Diags Raw Data'!$T$6:$T$6302)+SUMPRODUCT(--(ISNUMBER(SEARCH($A22,'Diags Raw Data'!$A$6:$A$6302))),--('Diags Raw Data'!$Q$6:$Q$6302&lt;&gt;"N/A"),'Diags Raw Data'!$U$6:$U$6302)</f>
        <v>0</v>
      </c>
      <c r="O22" s="453">
        <f t="shared" si="2"/>
        <v>0</v>
      </c>
      <c r="P22" s="454">
        <f>SUMIF('Diags Raw Data'!$A$6:$A$6302,"*"&amp;$A22&amp;"*",'Diags Raw Data'!$Z$6:$Z$6302)</f>
        <v>0</v>
      </c>
      <c r="Q22" s="455">
        <f>SUM(SUMIF('Diags Raw Data'!$A$6:$A$6302,"*"&amp;$A22&amp;"*",'Diags Raw Data'!$AA$6:$AA$6302),SUMIF('Diags Raw Data'!$A$6:$A$6302,"*"&amp;$A22&amp;"*",'Diags Raw Data'!$AB$6:$AB$6302))</f>
        <v>0</v>
      </c>
      <c r="R22" s="456">
        <f t="shared" si="3"/>
        <v>0</v>
      </c>
      <c r="S22" s="456">
        <f t="shared" si="4"/>
        <v>0</v>
      </c>
      <c r="T22" s="457">
        <f t="shared" si="5"/>
        <v>0</v>
      </c>
      <c r="U22" s="420" t="s">
        <v>47</v>
      </c>
      <c r="V22" s="181"/>
    </row>
    <row r="23" spans="1:22" ht="409.5" hidden="1" x14ac:dyDescent="0.25">
      <c r="A23" s="415" t="s">
        <v>2120</v>
      </c>
      <c r="B23" s="416" t="str">
        <f>VLOOKUP(A23,'Feature Raw Data'!$A$3:$B$3960,2,FALSE)</f>
        <v>10-bit HEVC 4:2:0 Encode</v>
      </c>
      <c r="C23" s="417" t="str">
        <f>VLOOKUP(A23,'Feature Raw Data'!$A$3:$C$3960,3,FALSE)</f>
        <v>P2</v>
      </c>
      <c r="D23" s="418" t="str" cm="1">
        <f t="array" ref="D23">_xlfn.TEXTJOIN("",TRUE,IF(ISNUMBER(SEARCH($A23,'Diags Raw Data'!$A$6:$A$6302)),CONCATENATE('Diags Raw Data'!$H$6:$H$6302,", "),""))</f>
        <v xml:space="preserve">VCN350.101, VCN350.102, VCN350.104, VCN350.105, VCN350.106, VCN350.107, VCN350.108, VCN350.109, VCN350.110, VCN350.111, VCN350.112, VCN350.113, VCN350.114,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VCN361.004, VCN361.005, VCN361.006, </v>
      </c>
      <c r="E23" s="336" t="str">
        <f>VLOOKUP(A23,'Diags Raw Data'!$A$6:$D$6302,4,FALSE)</f>
        <v>VCN Encode</v>
      </c>
      <c r="F23" s="336" t="str">
        <f>VLOOKUP(A23,'Feature Raw Data'!$A$3:$E$3960,5,FALSE)</f>
        <v>Legacy</v>
      </c>
      <c r="G23" s="336" t="str">
        <f t="shared" si="0"/>
        <v>Yes</v>
      </c>
      <c r="H23" s="336" t="str">
        <f t="shared" si="1"/>
        <v>Yes</v>
      </c>
      <c r="I23" s="417">
        <f>SUMIF('Diags Raw Data'!$A$6:$A$6302,"*"&amp;$A23&amp;"*",'Diags Raw Data'!$K$6:$K$6302)</f>
        <v>87</v>
      </c>
      <c r="J23" s="419">
        <f>SUMIF('Diags Raw Data'!$A$6:$A$6302,"*"&amp;$A23&amp;"*",'Diags Raw Data'!$L$6:$L$6302)</f>
        <v>87</v>
      </c>
      <c r="K23" s="449" cm="1">
        <f t="array" ref="K23">IF(D23="",0, SUMPRODUCT(--(ISNUMBER(SEARCH($A23,'Diags Raw Data'!$A$6:$A$6302))),'Diags Raw Data'!$L$6:$L$6302,'Diags Raw Data'!$N$6:$N$6302)/J23)</f>
        <v>0.93103448275862066</v>
      </c>
      <c r="L23" s="450" cm="1">
        <f t="array" ref="L23">IF(D23="",0, SUMPRODUCT(--(ISNUMBER(SEARCH($A23,'Diags Raw Data'!$A$6:$A$6302))),'Diags Raw Data'!$L$6:$L$6302,'Diags Raw Data'!$P$6:$P$6302)/J23)</f>
        <v>0.28735632183908044</v>
      </c>
      <c r="M23" s="451" cm="1">
        <f t="array" ref="M23">SUMPRODUCT(--(ISNUMBER(SEARCH($A23,'Diags Raw Data'!$A$6:$A$6302))),--('Diags Raw Data'!$Q$6:$Q$6302&lt;&gt;"N/A"),'Diags Raw Data'!$R$6:$R$6302)</f>
        <v>87</v>
      </c>
      <c r="N23" s="452" cm="1">
        <f t="array" ref="N23">SUMPRODUCT(--(ISNUMBER(SEARCH($A23,'Diags Raw Data'!$A$6:$A$6302))),--('Diags Raw Data'!$Q$6:$Q$6302&lt;&gt;"N/A"),'Diags Raw Data'!$T$6:$T$6302)+SUMPRODUCT(--(ISNUMBER(SEARCH($A23,'Diags Raw Data'!$A$6:$A$6302))),--('Diags Raw Data'!$Q$6:$Q$6302&lt;&gt;"N/A"),'Diags Raw Data'!$U$6:$U$6302)</f>
        <v>0</v>
      </c>
      <c r="O23" s="453">
        <f t="shared" si="2"/>
        <v>0</v>
      </c>
      <c r="P23" s="454">
        <f>SUMIF('Diags Raw Data'!$A$6:$A$6302,"*"&amp;$A23&amp;"*",'Diags Raw Data'!$Z$6:$Z$6302)</f>
        <v>0</v>
      </c>
      <c r="Q23" s="455">
        <f>SUM(SUMIF('Diags Raw Data'!$A$6:$A$6302,"*"&amp;$A23&amp;"*",'Diags Raw Data'!$AA$6:$AA$6302),SUMIF('Diags Raw Data'!$A$6:$A$6302,"*"&amp;$A23&amp;"*",'Diags Raw Data'!$AB$6:$AB$6302))</f>
        <v>0</v>
      </c>
      <c r="R23" s="456">
        <f t="shared" si="3"/>
        <v>0</v>
      </c>
      <c r="S23" s="456">
        <f t="shared" si="4"/>
        <v>0</v>
      </c>
      <c r="T23" s="457">
        <f t="shared" si="5"/>
        <v>0</v>
      </c>
      <c r="U23" s="420" t="s">
        <v>3467</v>
      </c>
      <c r="V23" s="181"/>
    </row>
    <row r="24" spans="1:22" ht="409.5" hidden="1" x14ac:dyDescent="0.25">
      <c r="A24" s="415" t="s">
        <v>1776</v>
      </c>
      <c r="B24" s="416" t="str">
        <f>VLOOKUP(A24,'Feature Raw Data'!$A$3:$B$3960,2,FALSE)</f>
        <v>AVC Encoder</v>
      </c>
      <c r="C24" s="417" t="str">
        <f>VLOOKUP(A24,'Feature Raw Data'!$A$3:$C$3960,3,FALSE)</f>
        <v>P2</v>
      </c>
      <c r="D24" s="418" t="str" cm="1">
        <f t="array" ref="D24">_xlfn.TEXTJOIN("",TRUE,IF(ISNUMBER(SEARCH($A24,'Diags Raw Data'!$A$6:$A$6302)),CONCATENATE('Diags Raw Data'!$H$6:$H$6302,", "),""))</f>
        <v xml:space="preserve">VCN300.001, VCN300.002, VCN300.003, VCN300.004, VCN300.005, VCN300.006, VCN300.007, VCN300.008, VCN300.009, VCN300.010, VCN300.011, VCN300.012, VCN300.013, VCN300.014,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6" t="str">
        <f>VLOOKUP(A24,'Diags Raw Data'!$A$6:$D$6302,4,FALSE)</f>
        <v>VCN Encode</v>
      </c>
      <c r="F24" s="336" t="str">
        <f>VLOOKUP(A24,'Feature Raw Data'!$A$3:$E$3960,5,FALSE)</f>
        <v>Legacy</v>
      </c>
      <c r="G24" s="336" t="str">
        <f t="shared" si="0"/>
        <v>Yes</v>
      </c>
      <c r="H24" s="336" t="str">
        <f t="shared" si="1"/>
        <v>Yes</v>
      </c>
      <c r="I24" s="417">
        <f>SUMIF('Diags Raw Data'!$A$6:$A$6302,"*"&amp;$A24&amp;"*",'Diags Raw Data'!$K$6:$K$6302)</f>
        <v>65</v>
      </c>
      <c r="J24" s="419">
        <f>SUMIF('Diags Raw Data'!$A$6:$A$6302,"*"&amp;$A24&amp;"*",'Diags Raw Data'!$L$6:$L$6302)</f>
        <v>65</v>
      </c>
      <c r="K24" s="449" cm="1">
        <f t="array" ref="K24">IF(D24="",0, SUMPRODUCT(--(ISNUMBER(SEARCH($A24,'Diags Raw Data'!$A$6:$A$6302))),'Diags Raw Data'!$L$6:$L$6302,'Diags Raw Data'!$N$6:$N$6302)/J24)</f>
        <v>1</v>
      </c>
      <c r="L24" s="450" cm="1">
        <f t="array" ref="L24">IF(D24="",0, SUMPRODUCT(--(ISNUMBER(SEARCH($A24,'Diags Raw Data'!$A$6:$A$6302))),'Diags Raw Data'!$L$6:$L$6302,'Diags Raw Data'!$P$6:$P$6302)/J24)</f>
        <v>0.1076923076923077</v>
      </c>
      <c r="M24" s="451" cm="1">
        <f t="array" ref="M24">SUMPRODUCT(--(ISNUMBER(SEARCH($A24,'Diags Raw Data'!$A$6:$A$6302))),--('Diags Raw Data'!$Q$6:$Q$6302&lt;&gt;"N/A"),'Diags Raw Data'!$R$6:$R$6302)</f>
        <v>65</v>
      </c>
      <c r="N24" s="452" cm="1">
        <f t="array" ref="N24">SUMPRODUCT(--(ISNUMBER(SEARCH($A24,'Diags Raw Data'!$A$6:$A$6302))),--('Diags Raw Data'!$Q$6:$Q$6302&lt;&gt;"N/A"),'Diags Raw Data'!$T$6:$T$6302)+SUMPRODUCT(--(ISNUMBER(SEARCH($A24,'Diags Raw Data'!$A$6:$A$6302))),--('Diags Raw Data'!$Q$6:$Q$6302&lt;&gt;"N/A"),'Diags Raw Data'!$U$6:$U$6302)</f>
        <v>0</v>
      </c>
      <c r="O24" s="453">
        <f t="shared" si="2"/>
        <v>0</v>
      </c>
      <c r="P24" s="454">
        <f>SUMIF('Diags Raw Data'!$A$6:$A$6302,"*"&amp;$A24&amp;"*",'Diags Raw Data'!$Z$6:$Z$6302)</f>
        <v>0</v>
      </c>
      <c r="Q24" s="455">
        <f>SUM(SUMIF('Diags Raw Data'!$A$6:$A$6302,"*"&amp;$A24&amp;"*",'Diags Raw Data'!$AA$6:$AA$6302),SUMIF('Diags Raw Data'!$A$6:$A$6302,"*"&amp;$A24&amp;"*",'Diags Raw Data'!$AB$6:$AB$6302))</f>
        <v>0</v>
      </c>
      <c r="R24" s="456">
        <f t="shared" si="3"/>
        <v>0</v>
      </c>
      <c r="S24" s="456">
        <f t="shared" si="4"/>
        <v>0</v>
      </c>
      <c r="T24" s="457">
        <f t="shared" si="5"/>
        <v>0</v>
      </c>
      <c r="U24" s="420" t="s">
        <v>3469</v>
      </c>
      <c r="V24" s="181"/>
    </row>
    <row r="25" spans="1:22" ht="105" hidden="1" x14ac:dyDescent="0.25">
      <c r="A25" s="415" t="s">
        <v>3401</v>
      </c>
      <c r="B25" s="416" t="str">
        <f>VLOOKUP(A25,'Feature Raw Data'!$A$3:$B$3960,2,FALSE)</f>
        <v>AVC B-Frame Encode</v>
      </c>
      <c r="C25" s="417" t="str">
        <f>VLOOKUP(A25,'Feature Raw Data'!$A$3:$C$3960,3,FALSE)</f>
        <v>P2</v>
      </c>
      <c r="D25" s="418" t="str" cm="1">
        <f t="array" ref="D25">_xlfn.TEXTJOIN("",TRUE,IF(ISNUMBER(SEARCH($A25,'Diags Raw Data'!$A$6:$A$6302)),CONCATENATE('Diags Raw Data'!$H$6:$H$6302,", "),""))</f>
        <v xml:space="preserve">VCN322.001, VCN322.002, VCN322.003, VCN322.004, VCN322.005, VCN322.006, VCN322.007, VCN322.008, VCN322.009, VCN322.010, VCN322.011, VCN322.012, VCN322.013, VCN322.014, </v>
      </c>
      <c r="E25" s="336" t="str">
        <f>VLOOKUP(A25,'Diags Raw Data'!$A$6:$D$6302,4,FALSE)</f>
        <v>VCN Encode</v>
      </c>
      <c r="F25" s="336" t="str">
        <f>VLOOKUP(A25,'Feature Raw Data'!$A$3:$E$3960,5,FALSE)</f>
        <v>Legacy</v>
      </c>
      <c r="G25" s="336" t="str">
        <f t="shared" si="0"/>
        <v>Yes</v>
      </c>
      <c r="H25" s="336" t="str">
        <f t="shared" si="1"/>
        <v>Yes</v>
      </c>
      <c r="I25" s="417">
        <f>SUMIF('Diags Raw Data'!$A$6:$A$6302,"*"&amp;$A25&amp;"*",'Diags Raw Data'!$K$6:$K$6302)</f>
        <v>14</v>
      </c>
      <c r="J25" s="419">
        <f>SUMIF('Diags Raw Data'!$A$6:$A$6302,"*"&amp;$A25&amp;"*",'Diags Raw Data'!$L$6:$L$6302)</f>
        <v>14</v>
      </c>
      <c r="K25" s="449" cm="1">
        <f t="array" ref="K25">IF(D25="",0, SUMPRODUCT(--(ISNUMBER(SEARCH($A25,'Diags Raw Data'!$A$6:$A$6302))),'Diags Raw Data'!$L$6:$L$6302,'Diags Raw Data'!$N$6:$N$6302)/J25)</f>
        <v>1</v>
      </c>
      <c r="L25" s="450" cm="1">
        <f t="array" ref="L25">IF(D25="",0, SUMPRODUCT(--(ISNUMBER(SEARCH($A25,'Diags Raw Data'!$A$6:$A$6302))),'Diags Raw Data'!$L$6:$L$6302,'Diags Raw Data'!$P$6:$P$6302)/J25)</f>
        <v>0</v>
      </c>
      <c r="M25" s="451" cm="1">
        <f t="array" ref="M25">SUMPRODUCT(--(ISNUMBER(SEARCH($A25,'Diags Raw Data'!$A$6:$A$6302))),--('Diags Raw Data'!$Q$6:$Q$6302&lt;&gt;"N/A"),'Diags Raw Data'!$R$6:$R$6302)</f>
        <v>14</v>
      </c>
      <c r="N25" s="452" cm="1">
        <f t="array" ref="N25">SUMPRODUCT(--(ISNUMBER(SEARCH($A25,'Diags Raw Data'!$A$6:$A$6302))),--('Diags Raw Data'!$Q$6:$Q$6302&lt;&gt;"N/A"),'Diags Raw Data'!$T$6:$T$6302)+SUMPRODUCT(--(ISNUMBER(SEARCH($A25,'Diags Raw Data'!$A$6:$A$6302))),--('Diags Raw Data'!$Q$6:$Q$6302&lt;&gt;"N/A"),'Diags Raw Data'!$U$6:$U$6302)</f>
        <v>0</v>
      </c>
      <c r="O25" s="453">
        <f t="shared" si="2"/>
        <v>0</v>
      </c>
      <c r="P25" s="454">
        <f>SUMIF('Diags Raw Data'!$A$6:$A$6302,"*"&amp;$A25&amp;"*",'Diags Raw Data'!$Z$6:$Z$6302)</f>
        <v>0</v>
      </c>
      <c r="Q25" s="455">
        <f>SUM(SUMIF('Diags Raw Data'!$A$6:$A$6302,"*"&amp;$A25&amp;"*",'Diags Raw Data'!$AA$6:$AA$6302),SUMIF('Diags Raw Data'!$A$6:$A$6302,"*"&amp;$A25&amp;"*",'Diags Raw Data'!$AB$6:$AB$6302))</f>
        <v>0</v>
      </c>
      <c r="R25" s="456">
        <f t="shared" si="3"/>
        <v>0</v>
      </c>
      <c r="S25" s="456">
        <f t="shared" si="4"/>
        <v>0</v>
      </c>
      <c r="T25" s="457">
        <f t="shared" si="5"/>
        <v>0</v>
      </c>
      <c r="U25" s="420" t="s">
        <v>286</v>
      </c>
      <c r="V25" s="181"/>
    </row>
    <row r="26" spans="1:22" x14ac:dyDescent="0.25">
      <c r="A26" s="415" t="s">
        <v>3403</v>
      </c>
      <c r="B26" s="416" t="str">
        <f>VLOOKUP(A26,'Feature Raw Data'!$A$3:$B$3960,2,FALSE)</f>
        <v>AV1 B-Frame Encode</v>
      </c>
      <c r="C26" s="417" t="str">
        <f>VLOOKUP(A26,'Feature Raw Data'!$A$3:$C$3960,3,FALSE)</f>
        <v>P2</v>
      </c>
      <c r="D26" s="418" t="str" cm="1">
        <f t="array" ref="D26">_xlfn.TEXTJOIN("",TRUE,IF(ISNUMBER(SEARCH($A26,'Diags Raw Data'!$A$6:$A$6302)),CONCATENATE('Diags Raw Data'!$H$6:$H$6302,", "),""))</f>
        <v/>
      </c>
      <c r="E26" s="336" t="e">
        <f>VLOOKUP(A26,'Diags Raw Data'!$A$6:$D$6302,4,FALSE)</f>
        <v>#N/A</v>
      </c>
      <c r="F26" s="336" t="str">
        <f>VLOOKUP(A26,'Feature Raw Data'!$A$3:$E$3960,5,FALSE)</f>
        <v>New</v>
      </c>
      <c r="G26" s="336" t="str">
        <f t="shared" si="0"/>
        <v>No</v>
      </c>
      <c r="H26" s="336" t="str">
        <f t="shared" si="1"/>
        <v>No</v>
      </c>
      <c r="I26" s="417">
        <f>SUMIF('Diags Raw Data'!$A$6:$A$6302,"*"&amp;$A26&amp;"*",'Diags Raw Data'!$K$6:$K$6302)</f>
        <v>0</v>
      </c>
      <c r="J26" s="419">
        <f>SUMIF('Diags Raw Data'!$A$6:$A$6302,"*"&amp;$A26&amp;"*",'Diags Raw Data'!$L$6:$L$6302)</f>
        <v>0</v>
      </c>
      <c r="K26" s="449" cm="1">
        <f t="array" ref="K26">IF(D26="",0, SUMPRODUCT(--(ISNUMBER(SEARCH($A26,'Diags Raw Data'!$A$6:$A$6302))),'Diags Raw Data'!$L$6:$L$6302,'Diags Raw Data'!$N$6:$N$6302)/J26)</f>
        <v>0</v>
      </c>
      <c r="L26" s="450" cm="1">
        <f t="array" ref="L26">IF(D26="",0, SUMPRODUCT(--(ISNUMBER(SEARCH($A26,'Diags Raw Data'!$A$6:$A$6302))),'Diags Raw Data'!$L$6:$L$6302,'Diags Raw Data'!$P$6:$P$6302)/J26)</f>
        <v>0</v>
      </c>
      <c r="M26" s="451" cm="1">
        <f t="array" ref="M26">SUMPRODUCT(--(ISNUMBER(SEARCH($A26,'Diags Raw Data'!$A$6:$A$6302))),--('Diags Raw Data'!$Q$6:$Q$6302&lt;&gt;"N/A"),'Diags Raw Data'!$R$6:$R$6302)</f>
        <v>0</v>
      </c>
      <c r="N26" s="452" cm="1">
        <f t="array" ref="N26">SUMPRODUCT(--(ISNUMBER(SEARCH($A26,'Diags Raw Data'!$A$6:$A$6302))),--('Diags Raw Data'!$Q$6:$Q$6302&lt;&gt;"N/A"),'Diags Raw Data'!$T$6:$T$6302)+SUMPRODUCT(--(ISNUMBER(SEARCH($A26,'Diags Raw Data'!$A$6:$A$6302))),--('Diags Raw Data'!$Q$6:$Q$6302&lt;&gt;"N/A"),'Diags Raw Data'!$U$6:$U$6302)</f>
        <v>0</v>
      </c>
      <c r="O26" s="453">
        <f t="shared" si="2"/>
        <v>0</v>
      </c>
      <c r="P26" s="454">
        <f>SUMIF('Diags Raw Data'!$A$6:$A$6302,"*"&amp;$A26&amp;"*",'Diags Raw Data'!$Z$6:$Z$6302)</f>
        <v>0</v>
      </c>
      <c r="Q26" s="455">
        <f>SUM(SUMIF('Diags Raw Data'!$A$6:$A$6302,"*"&amp;$A26&amp;"*",'Diags Raw Data'!$AA$6:$AA$6302),SUMIF('Diags Raw Data'!$A$6:$A$6302,"*"&amp;$A26&amp;"*",'Diags Raw Data'!$AB$6:$AB$6302))</f>
        <v>0</v>
      </c>
      <c r="R26" s="456">
        <f t="shared" si="3"/>
        <v>0</v>
      </c>
      <c r="S26" s="456">
        <f t="shared" si="4"/>
        <v>0</v>
      </c>
      <c r="T26" s="457">
        <f t="shared" si="5"/>
        <v>0</v>
      </c>
      <c r="U26" s="420" t="s">
        <v>286</v>
      </c>
      <c r="V26" s="181"/>
    </row>
    <row r="27" spans="1:22" ht="45" hidden="1" x14ac:dyDescent="0.25">
      <c r="A27" s="415" t="s">
        <v>2039</v>
      </c>
      <c r="B27" s="416" t="str">
        <f>VLOOKUP(A27,'Feature Raw Data'!$A$3:$B$3960,2,FALSE)</f>
        <v>[Encode Quality]Encode Pre-analysis</v>
      </c>
      <c r="C27" s="417" t="str">
        <f>VLOOKUP(A27,'Feature Raw Data'!$A$3:$C$3960,3,FALSE)</f>
        <v>P2</v>
      </c>
      <c r="D27" s="418" t="str" cm="1">
        <f t="array" ref="D27">_xlfn.TEXTJOIN("",TRUE,IF(ISNUMBER(SEARCH($A27,'Diags Raw Data'!$A$6:$A$6302)),CONCATENATE('Diags Raw Data'!$H$6:$H$6302,", "),""))</f>
        <v xml:space="preserve">VCN319.001, VCN319.002, VCN362.001, VCN362.002, VCN410.001, VCN410.002, </v>
      </c>
      <c r="E27" s="336" t="str">
        <f>VLOOKUP(A27,'Diags Raw Data'!$A$6:$D$6302,4,FALSE)</f>
        <v>VCN Encode</v>
      </c>
      <c r="F27" s="336" t="str">
        <f>VLOOKUP(A27,'Feature Raw Data'!$A$3:$E$3960,5,FALSE)</f>
        <v>New</v>
      </c>
      <c r="G27" s="336" t="str">
        <f t="shared" si="0"/>
        <v>Yes</v>
      </c>
      <c r="H27" s="336" t="str">
        <f t="shared" si="1"/>
        <v>Yes</v>
      </c>
      <c r="I27" s="417">
        <f>SUMIF('Diags Raw Data'!$A$6:$A$6302,"*"&amp;$A27&amp;"*",'Diags Raw Data'!$K$6:$K$6302)</f>
        <v>6</v>
      </c>
      <c r="J27" s="419">
        <f>SUMIF('Diags Raw Data'!$A$6:$A$6302,"*"&amp;$A27&amp;"*",'Diags Raw Data'!$L$6:$L$6302)</f>
        <v>6</v>
      </c>
      <c r="K27" s="449" cm="1">
        <f t="array" ref="K27">IF(D27="",0, SUMPRODUCT(--(ISNUMBER(SEARCH($A27,'Diags Raw Data'!$A$6:$A$6302))),'Diags Raw Data'!$L$6:$L$6302,'Diags Raw Data'!$N$6:$N$6302)/J27)</f>
        <v>0.33333333333333331</v>
      </c>
      <c r="L27" s="450" cm="1">
        <f t="array" ref="L27">IF(D27="",0, SUMPRODUCT(--(ISNUMBER(SEARCH($A27,'Diags Raw Data'!$A$6:$A$6302))),'Diags Raw Data'!$L$6:$L$6302,'Diags Raw Data'!$P$6:$P$6302)/J27)</f>
        <v>0</v>
      </c>
      <c r="M27" s="451" cm="1">
        <f t="array" ref="M27">SUMPRODUCT(--(ISNUMBER(SEARCH($A27,'Diags Raw Data'!$A$6:$A$6302))),--('Diags Raw Data'!$Q$6:$Q$6302&lt;&gt;"N/A"),'Diags Raw Data'!$R$6:$R$6302)</f>
        <v>6</v>
      </c>
      <c r="N27" s="452" cm="1">
        <f t="array" ref="N27">SUMPRODUCT(--(ISNUMBER(SEARCH($A27,'Diags Raw Data'!$A$6:$A$6302))),--('Diags Raw Data'!$Q$6:$Q$6302&lt;&gt;"N/A"),'Diags Raw Data'!$T$6:$T$6302)+SUMPRODUCT(--(ISNUMBER(SEARCH($A27,'Diags Raw Data'!$A$6:$A$6302))),--('Diags Raw Data'!$Q$6:$Q$6302&lt;&gt;"N/A"),'Diags Raw Data'!$U$6:$U$6302)</f>
        <v>0</v>
      </c>
      <c r="O27" s="453">
        <f t="shared" si="2"/>
        <v>0</v>
      </c>
      <c r="P27" s="454">
        <f>SUMIF('Diags Raw Data'!$A$6:$A$6302,"*"&amp;$A27&amp;"*",'Diags Raw Data'!$Z$6:$Z$6302)</f>
        <v>0</v>
      </c>
      <c r="Q27" s="455">
        <f>SUM(SUMIF('Diags Raw Data'!$A$6:$A$6302,"*"&amp;$A27&amp;"*",'Diags Raw Data'!$AA$6:$AA$6302),SUMIF('Diags Raw Data'!$A$6:$A$6302,"*"&amp;$A27&amp;"*",'Diags Raw Data'!$AB$6:$AB$6302))</f>
        <v>0</v>
      </c>
      <c r="R27" s="456">
        <f t="shared" si="3"/>
        <v>0</v>
      </c>
      <c r="S27" s="456">
        <f t="shared" si="4"/>
        <v>0</v>
      </c>
      <c r="T27" s="457">
        <f t="shared" si="5"/>
        <v>0</v>
      </c>
      <c r="U27" s="420" t="s">
        <v>3468</v>
      </c>
      <c r="V27" s="181" t="s">
        <v>3470</v>
      </c>
    </row>
    <row r="28" spans="1:22" ht="409.5" hidden="1" x14ac:dyDescent="0.25">
      <c r="A28" s="415" t="s">
        <v>3406</v>
      </c>
      <c r="B28" s="416" t="str">
        <f>VLOOKUP(A28,'Feature Raw Data'!$A$3:$B$3960,2,FALSE)</f>
        <v>EFC HDR to SDR conversion</v>
      </c>
      <c r="C28" s="417" t="str">
        <f>VLOOKUP(A28,'Feature Raw Data'!$A$3:$C$3960,3,FALSE)</f>
        <v>P2</v>
      </c>
      <c r="D28" s="418" t="str" cm="1">
        <f t="array" ref="D28">_xlfn.TEXTJOIN("",TRUE,IF(ISNUMBER(SEARCH($A28,'Diags Raw Data'!$A$6:$A$6302)),CONCATENATE('Diags Raw Data'!$H$6:$H$6302,", "),""))</f>
        <v xml:space="preserve">VCN315.001, 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8" s="336" t="str">
        <f>VLOOKUP(A28,'Diags Raw Data'!$A$6:$D$6302,4,FALSE)</f>
        <v>VCN Encode</v>
      </c>
      <c r="F28" s="336" t="str">
        <f>VLOOKUP(A28,'Feature Raw Data'!$A$3:$E$3960,5,FALSE)</f>
        <v>Legacy</v>
      </c>
      <c r="G28" s="336" t="str">
        <f t="shared" si="0"/>
        <v>Yes</v>
      </c>
      <c r="H28" s="336" t="str">
        <f t="shared" si="1"/>
        <v>Yes</v>
      </c>
      <c r="I28" s="417">
        <f>SUMIF('Diags Raw Data'!$A$6:$A$6302,"*"&amp;$A28&amp;"*",'Diags Raw Data'!$K$6:$K$6302)</f>
        <v>163</v>
      </c>
      <c r="J28" s="419">
        <f>SUMIF('Diags Raw Data'!$A$6:$A$6302,"*"&amp;$A28&amp;"*",'Diags Raw Data'!$L$6:$L$6302)</f>
        <v>163</v>
      </c>
      <c r="K28" s="449" cm="1">
        <f t="array" ref="K28">IF(D28="",0, SUMPRODUCT(--(ISNUMBER(SEARCH($A28,'Diags Raw Data'!$A$6:$A$6302))),'Diags Raw Data'!$L$6:$L$6302,'Diags Raw Data'!$N$6:$N$6302)/J28)</f>
        <v>1</v>
      </c>
      <c r="L28" s="450" cm="1">
        <f t="array" ref="L28">IF(D28="",0, SUMPRODUCT(--(ISNUMBER(SEARCH($A28,'Diags Raw Data'!$A$6:$A$6302))),'Diags Raw Data'!$L$6:$L$6302,'Diags Raw Data'!$P$6:$P$6302)/J28)</f>
        <v>0</v>
      </c>
      <c r="M28" s="451" cm="1">
        <f t="array" ref="M28">SUMPRODUCT(--(ISNUMBER(SEARCH($A28,'Diags Raw Data'!$A$6:$A$6302))),--('Diags Raw Data'!$Q$6:$Q$6302&lt;&gt;"N/A"),'Diags Raw Data'!$R$6:$R$6302)</f>
        <v>163</v>
      </c>
      <c r="N28" s="452" cm="1">
        <f t="array" ref="N28">SUMPRODUCT(--(ISNUMBER(SEARCH($A28,'Diags Raw Data'!$A$6:$A$6302))),--('Diags Raw Data'!$Q$6:$Q$6302&lt;&gt;"N/A"),'Diags Raw Data'!$T$6:$T$6302)+SUMPRODUCT(--(ISNUMBER(SEARCH($A28,'Diags Raw Data'!$A$6:$A$6302))),--('Diags Raw Data'!$Q$6:$Q$6302&lt;&gt;"N/A"),'Diags Raw Data'!$U$6:$U$6302)</f>
        <v>0</v>
      </c>
      <c r="O28" s="453">
        <f t="shared" si="2"/>
        <v>0</v>
      </c>
      <c r="P28" s="454">
        <f>SUMIF('Diags Raw Data'!$A$6:$A$6302,"*"&amp;$A28&amp;"*",'Diags Raw Data'!$Z$6:$Z$6302)</f>
        <v>0</v>
      </c>
      <c r="Q28" s="455">
        <f>SUM(SUMIF('Diags Raw Data'!$A$6:$A$6302,"*"&amp;$A28&amp;"*",'Diags Raw Data'!$AA$6:$AA$6302),SUMIF('Diags Raw Data'!$A$6:$A$6302,"*"&amp;$A28&amp;"*",'Diags Raw Data'!$AB$6:$AB$6302))</f>
        <v>0</v>
      </c>
      <c r="R28" s="456">
        <f t="shared" si="3"/>
        <v>0</v>
      </c>
      <c r="S28" s="456">
        <f t="shared" si="4"/>
        <v>0</v>
      </c>
      <c r="T28" s="457">
        <f t="shared" si="5"/>
        <v>0</v>
      </c>
      <c r="U28" s="420" t="s">
        <v>3467</v>
      </c>
      <c r="V28" s="181"/>
    </row>
    <row r="29" spans="1:22" ht="409.5" hidden="1" x14ac:dyDescent="0.25">
      <c r="A29" s="415" t="s">
        <v>3408</v>
      </c>
      <c r="B29" s="416" t="str">
        <f>VLOOKUP(A29,'Feature Raw Data'!$A$3:$B$3960,2,FALSE)</f>
        <v>EFC RGB/YUV444 to YUV420 conversion</v>
      </c>
      <c r="C29" s="417" t="str">
        <f>VLOOKUP(A29,'Feature Raw Data'!$A$3:$C$3960,3,FALSE)</f>
        <v>P2</v>
      </c>
      <c r="D29" s="418" t="str" cm="1">
        <f t="array" ref="D29">_xlfn.TEXTJOIN("",TRUE,IF(ISNUMBER(SEARCH($A29,'Diags Raw Data'!$A$6:$A$6302)),CONCATENATE('Diags Raw Data'!$H$6:$H$6302,", "),""))</f>
        <v xml:space="preserve">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9" s="336" t="str">
        <f>VLOOKUP(A29,'Diags Raw Data'!$A$6:$D$6302,4,FALSE)</f>
        <v>VCN Encode</v>
      </c>
      <c r="F29" s="336" t="str">
        <f>VLOOKUP(A29,'Feature Raw Data'!$A$3:$E$3960,5,FALSE)</f>
        <v>Legacy</v>
      </c>
      <c r="G29" s="336" t="str">
        <f t="shared" si="0"/>
        <v>Yes</v>
      </c>
      <c r="H29" s="336" t="str">
        <f t="shared" si="1"/>
        <v>Yes</v>
      </c>
      <c r="I29" s="417">
        <f>SUMIF('Diags Raw Data'!$A$6:$A$6302,"*"&amp;$A29&amp;"*",'Diags Raw Data'!$K$6:$K$6302)</f>
        <v>162</v>
      </c>
      <c r="J29" s="419">
        <f>SUMIF('Diags Raw Data'!$A$6:$A$6302,"*"&amp;$A29&amp;"*",'Diags Raw Data'!$L$6:$L$6302)</f>
        <v>162</v>
      </c>
      <c r="K29" s="449" cm="1">
        <f t="array" ref="K29">IF(D29="",0, SUMPRODUCT(--(ISNUMBER(SEARCH($A29,'Diags Raw Data'!$A$6:$A$6302))),'Diags Raw Data'!$L$6:$L$6302,'Diags Raw Data'!$N$6:$N$6302)/J29)</f>
        <v>1</v>
      </c>
      <c r="L29" s="450" cm="1">
        <f t="array" ref="L29">IF(D29="",0, SUMPRODUCT(--(ISNUMBER(SEARCH($A29,'Diags Raw Data'!$A$6:$A$6302))),'Diags Raw Data'!$L$6:$L$6302,'Diags Raw Data'!$P$6:$P$6302)/J29)</f>
        <v>0</v>
      </c>
      <c r="M29" s="451" cm="1">
        <f t="array" ref="M29">SUMPRODUCT(--(ISNUMBER(SEARCH($A29,'Diags Raw Data'!$A$6:$A$6302))),--('Diags Raw Data'!$Q$6:$Q$6302&lt;&gt;"N/A"),'Diags Raw Data'!$R$6:$R$6302)</f>
        <v>162</v>
      </c>
      <c r="N29" s="452" cm="1">
        <f t="array" ref="N29">SUMPRODUCT(--(ISNUMBER(SEARCH($A29,'Diags Raw Data'!$A$6:$A$6302))),--('Diags Raw Data'!$Q$6:$Q$6302&lt;&gt;"N/A"),'Diags Raw Data'!$T$6:$T$6302)+SUMPRODUCT(--(ISNUMBER(SEARCH($A29,'Diags Raw Data'!$A$6:$A$6302))),--('Diags Raw Data'!$Q$6:$Q$6302&lt;&gt;"N/A"),'Diags Raw Data'!$U$6:$U$6302)</f>
        <v>0</v>
      </c>
      <c r="O29" s="453">
        <f t="shared" si="2"/>
        <v>0</v>
      </c>
      <c r="P29" s="454">
        <f>SUMIF('Diags Raw Data'!$A$6:$A$6302,"*"&amp;$A29&amp;"*",'Diags Raw Data'!$Z$6:$Z$6302)</f>
        <v>0</v>
      </c>
      <c r="Q29" s="455">
        <f>SUM(SUMIF('Diags Raw Data'!$A$6:$A$6302,"*"&amp;$A29&amp;"*",'Diags Raw Data'!$AA$6:$AA$6302),SUMIF('Diags Raw Data'!$A$6:$A$6302,"*"&amp;$A29&amp;"*",'Diags Raw Data'!$AB$6:$AB$6302))</f>
        <v>0</v>
      </c>
      <c r="R29" s="456">
        <f t="shared" si="3"/>
        <v>0</v>
      </c>
      <c r="S29" s="456">
        <f t="shared" si="4"/>
        <v>0</v>
      </c>
      <c r="T29" s="457">
        <f t="shared" si="5"/>
        <v>0</v>
      </c>
      <c r="U29" s="420" t="s">
        <v>3467</v>
      </c>
      <c r="V29" s="181"/>
    </row>
    <row r="30" spans="1:22" ht="105" hidden="1" x14ac:dyDescent="0.25">
      <c r="A30" s="415" t="s">
        <v>2024</v>
      </c>
      <c r="B30" s="416" t="str">
        <f>VLOOKUP(A30,'Feature Raw Data'!$A$3:$B$3960,2,FALSE)</f>
        <v>ASW MV feedback HW</v>
      </c>
      <c r="C30" s="417" t="str">
        <f>VLOOKUP(A30,'Feature Raw Data'!$A$3:$C$3960,3,FALSE)</f>
        <v>P2</v>
      </c>
      <c r="D30" s="418" t="str" cm="1">
        <f t="array" ref="D30">_xlfn.TEXTJOIN("",TRUE,IF(ISNUMBER(SEARCH($A30,'Diags Raw Data'!$A$6:$A$6302)),CONCATENATE('Diags Raw Data'!$H$6:$H$6302,", "),""))</f>
        <v xml:space="preserve">VCN106.014, VCN318.001, VCN318.002, VCN318.003, VCN318.004, VCN318.005, VCN318.006, VCN361.001, VCN361.002, VCN361.003, VCN361.004, VCN361.005, VCN361.006, </v>
      </c>
      <c r="E30" s="336" t="str">
        <f>VLOOKUP(A30,'Diags Raw Data'!$A$6:$D$6302,4,FALSE)</f>
        <v>VCN Decode</v>
      </c>
      <c r="F30" s="336" t="str">
        <f>VLOOKUP(A30,'Feature Raw Data'!$A$3:$E$3960,5,FALSE)</f>
        <v>Legacy</v>
      </c>
      <c r="G30" s="336" t="str">
        <f t="shared" si="0"/>
        <v>Yes</v>
      </c>
      <c r="H30" s="336" t="str">
        <f t="shared" si="1"/>
        <v>Yes</v>
      </c>
      <c r="I30" s="417">
        <f>SUMIF('Diags Raw Data'!$A$6:$A$6302,"*"&amp;$A30&amp;"*",'Diags Raw Data'!$K$6:$K$6302)</f>
        <v>13</v>
      </c>
      <c r="J30" s="419">
        <f>SUMIF('Diags Raw Data'!$A$6:$A$6302,"*"&amp;$A30&amp;"*",'Diags Raw Data'!$L$6:$L$6302)</f>
        <v>13</v>
      </c>
      <c r="K30" s="449" cm="1">
        <f t="array" ref="K30">IF(D30="",0, SUMPRODUCT(--(ISNUMBER(SEARCH($A30,'Diags Raw Data'!$A$6:$A$6302))),'Diags Raw Data'!$L$6:$L$6302,'Diags Raw Data'!$N$6:$N$6302)/J30)</f>
        <v>1</v>
      </c>
      <c r="L30" s="450" cm="1">
        <f t="array" ref="L30">IF(D30="",0, SUMPRODUCT(--(ISNUMBER(SEARCH($A30,'Diags Raw Data'!$A$6:$A$6302))),'Diags Raw Data'!$L$6:$L$6302,'Diags Raw Data'!$P$6:$P$6302)/J30)</f>
        <v>7.6923076923076927E-2</v>
      </c>
      <c r="M30" s="451" cm="1">
        <f t="array" ref="M30">SUMPRODUCT(--(ISNUMBER(SEARCH($A30,'Diags Raw Data'!$A$6:$A$6302))),--('Diags Raw Data'!$Q$6:$Q$6302&lt;&gt;"N/A"),'Diags Raw Data'!$R$6:$R$6302)</f>
        <v>13</v>
      </c>
      <c r="N30" s="452" cm="1">
        <f t="array" ref="N30">SUMPRODUCT(--(ISNUMBER(SEARCH($A30,'Diags Raw Data'!$A$6:$A$6302))),--('Diags Raw Data'!$Q$6:$Q$6302&lt;&gt;"N/A"),'Diags Raw Data'!$T$6:$T$6302)+SUMPRODUCT(--(ISNUMBER(SEARCH($A30,'Diags Raw Data'!$A$6:$A$6302))),--('Diags Raw Data'!$Q$6:$Q$6302&lt;&gt;"N/A"),'Diags Raw Data'!$U$6:$U$6302)</f>
        <v>1</v>
      </c>
      <c r="O30" s="453">
        <f>IF((M30=0),0,N30/M30)</f>
        <v>7.6923076923076927E-2</v>
      </c>
      <c r="P30" s="454">
        <f>SUMIF('Diags Raw Data'!$A$6:$A$6302,"*"&amp;$A30&amp;"*",'Diags Raw Data'!$Z$6:$Z$6302)</f>
        <v>0</v>
      </c>
      <c r="Q30" s="455">
        <f>SUM(SUMIF('Diags Raw Data'!$A$6:$A$6302,"*"&amp;$A30&amp;"*",'Diags Raw Data'!$AA$6:$AA$6302),SUMIF('Diags Raw Data'!$A$6:$A$6302,"*"&amp;$A30&amp;"*",'Diags Raw Data'!$AB$6:$AB$6302))</f>
        <v>0</v>
      </c>
      <c r="R30" s="456">
        <f>IF((J30=0),0,P30/J30)</f>
        <v>0</v>
      </c>
      <c r="S30" s="456">
        <f>IF((P30=0),0,Q30/P30)</f>
        <v>0</v>
      </c>
      <c r="T30" s="457">
        <f>R30*S30</f>
        <v>0</v>
      </c>
      <c r="U30" s="420" t="s">
        <v>3467</v>
      </c>
      <c r="V30" s="181"/>
    </row>
    <row r="31" spans="1:22" ht="60" hidden="1" x14ac:dyDescent="0.25">
      <c r="A31" s="415" t="s">
        <v>2058</v>
      </c>
      <c r="B31" s="416" t="str">
        <f>VLOOKUP(A31,'Feature Raw Data'!$A$3:$B$3960,2,FALSE)</f>
        <v>Encode Pre-analysis HW support - Gradient</v>
      </c>
      <c r="C31" s="417" t="str">
        <f>VLOOKUP(A31,'Feature Raw Data'!$A$3:$C$3960,3,FALSE)</f>
        <v>P2</v>
      </c>
      <c r="D31" s="418" t="str" cm="1">
        <f t="array" ref="D31">_xlfn.TEXTJOIN("",TRUE,IF(ISNUMBER(SEARCH($A31,'Diags Raw Data'!$A$6:$A$6302)),CONCATENATE('Diags Raw Data'!$H$6:$H$6302,", "),""))</f>
        <v xml:space="preserve">VCN321.001, VCN321.002, VCN365.001, VCN365.002, VCN365.003, VCN413.001, VCN413.002, VCN413.003, </v>
      </c>
      <c r="E31" s="336" t="str">
        <f>VLOOKUP(A31,'Diags Raw Data'!$A$6:$D$6302,4,FALSE)</f>
        <v>VCN Encode</v>
      </c>
      <c r="F31" s="336" t="str">
        <f>VLOOKUP(A31,'Feature Raw Data'!$A$3:$E$3960,5,FALSE)</f>
        <v>Legacy</v>
      </c>
      <c r="G31" s="336" t="str">
        <f t="shared" si="0"/>
        <v>Yes</v>
      </c>
      <c r="H31" s="336" t="str">
        <f t="shared" si="1"/>
        <v>Yes</v>
      </c>
      <c r="I31" s="417">
        <f>SUMIF('Diags Raw Data'!$A$6:$A$6302,"*"&amp;$A31&amp;"*",'Diags Raw Data'!$K$6:$K$6302)</f>
        <v>8</v>
      </c>
      <c r="J31" s="419">
        <f>SUMIF('Diags Raw Data'!$A$6:$A$6302,"*"&amp;$A31&amp;"*",'Diags Raw Data'!$L$6:$L$6302)</f>
        <v>8</v>
      </c>
      <c r="K31" s="449" cm="1">
        <f t="array" ref="K31">IF(D31="",0, SUMPRODUCT(--(ISNUMBER(SEARCH($A31,'Diags Raw Data'!$A$6:$A$6302))),'Diags Raw Data'!$L$6:$L$6302,'Diags Raw Data'!$N$6:$N$6302)/J31)</f>
        <v>1</v>
      </c>
      <c r="L31" s="450" cm="1">
        <f t="array" ref="L31">IF(D31="",0, SUMPRODUCT(--(ISNUMBER(SEARCH($A31,'Diags Raw Data'!$A$6:$A$6302))),'Diags Raw Data'!$L$6:$L$6302,'Diags Raw Data'!$P$6:$P$6302)/J31)</f>
        <v>0</v>
      </c>
      <c r="M31" s="451" cm="1">
        <f t="array" ref="M31">SUMPRODUCT(--(ISNUMBER(SEARCH($A31,'Diags Raw Data'!$A$6:$A$6302))),--('Diags Raw Data'!$Q$6:$Q$6302&lt;&gt;"N/A"),'Diags Raw Data'!$R$6:$R$6302)</f>
        <v>8</v>
      </c>
      <c r="N31" s="452" cm="1">
        <f t="array" ref="N31">SUMPRODUCT(--(ISNUMBER(SEARCH($A31,'Diags Raw Data'!$A$6:$A$6302))),--('Diags Raw Data'!$Q$6:$Q$6302&lt;&gt;"N/A"),'Diags Raw Data'!$T$6:$T$6302)+SUMPRODUCT(--(ISNUMBER(SEARCH($A31,'Diags Raw Data'!$A$6:$A$6302))),--('Diags Raw Data'!$Q$6:$Q$6302&lt;&gt;"N/A"),'Diags Raw Data'!$U$6:$U$6302)</f>
        <v>0</v>
      </c>
      <c r="O31" s="453">
        <f t="shared" si="2"/>
        <v>0</v>
      </c>
      <c r="P31" s="454">
        <f>SUMIF('Diags Raw Data'!$A$6:$A$6302,"*"&amp;$A31&amp;"*",'Diags Raw Data'!$Z$6:$Z$6302)</f>
        <v>0</v>
      </c>
      <c r="Q31" s="455">
        <f>SUM(SUMIF('Diags Raw Data'!$A$6:$A$6302,"*"&amp;$A31&amp;"*",'Diags Raw Data'!$AA$6:$AA$6302),SUMIF('Diags Raw Data'!$A$6:$A$6302,"*"&amp;$A31&amp;"*",'Diags Raw Data'!$AB$6:$AB$6302))</f>
        <v>0</v>
      </c>
      <c r="R31" s="456">
        <f t="shared" si="3"/>
        <v>0</v>
      </c>
      <c r="S31" s="456">
        <f t="shared" si="4"/>
        <v>0</v>
      </c>
      <c r="T31" s="457">
        <f t="shared" si="5"/>
        <v>0</v>
      </c>
      <c r="U31" s="420" t="s">
        <v>3469</v>
      </c>
      <c r="V31" s="181"/>
    </row>
    <row r="32" spans="1:22" ht="105" x14ac:dyDescent="0.25">
      <c r="A32" s="415" t="s">
        <v>3410</v>
      </c>
      <c r="B32" s="416" t="str">
        <f>VLOOKUP(A32,'Feature Raw Data'!$A$3:$B$3960,2,FALSE)</f>
        <v>2 reference support (AVC)</v>
      </c>
      <c r="C32" s="417" t="str">
        <f>VLOOKUP(A32,'Feature Raw Data'!$A$3:$C$3960,3,FALSE)</f>
        <v>P2</v>
      </c>
      <c r="D32" s="418" t="str" cm="1">
        <f t="array" ref="D32">_xlfn.TEXTJOIN("",TRUE,IF(ISNUMBER(SEARCH($A32,'Diags Raw Data'!$A$6:$A$6302)),CONCATENATE('Diags Raw Data'!$H$6:$H$6302,", "),""))</f>
        <v xml:space="preserve">VCN322.001, VCN322.002, VCN322.003, VCN322.004, VCN322.005, VCN322.006, VCN322.007, VCN322.008, VCN322.009, VCN322.010, VCN322.011, VCN322.012, VCN322.013, VCN322.014, </v>
      </c>
      <c r="E32" s="336" t="str">
        <f>VLOOKUP(A32,'Diags Raw Data'!$A$6:$D$6302,4,FALSE)</f>
        <v>VCN Encode</v>
      </c>
      <c r="F32" s="336" t="str">
        <f>VLOOKUP(A32,'Feature Raw Data'!$A$3:$E$3960,5,FALSE)</f>
        <v>New</v>
      </c>
      <c r="G32" s="336" t="str">
        <f t="shared" si="0"/>
        <v>Yes</v>
      </c>
      <c r="H32" s="336" t="str">
        <f t="shared" si="1"/>
        <v>Yes</v>
      </c>
      <c r="I32" s="417">
        <f>SUMIF('Diags Raw Data'!$A$6:$A$6302,"*"&amp;$A32&amp;"*",'Diags Raw Data'!$K$6:$K$6302)</f>
        <v>14</v>
      </c>
      <c r="J32" s="419">
        <f>SUMIF('Diags Raw Data'!$A$6:$A$6302,"*"&amp;$A32&amp;"*",'Diags Raw Data'!$L$6:$L$6302)</f>
        <v>14</v>
      </c>
      <c r="K32" s="449" cm="1">
        <f t="array" ref="K32">IF(D32="",0, SUMPRODUCT(--(ISNUMBER(SEARCH($A32,'Diags Raw Data'!$A$6:$A$6302))),'Diags Raw Data'!$L$6:$L$6302,'Diags Raw Data'!$N$6:$N$6302)/J32)</f>
        <v>1</v>
      </c>
      <c r="L32" s="450" cm="1">
        <f t="array" ref="L32">IF(D32="",0, SUMPRODUCT(--(ISNUMBER(SEARCH($A32,'Diags Raw Data'!$A$6:$A$6302))),'Diags Raw Data'!$L$6:$L$6302,'Diags Raw Data'!$P$6:$P$6302)/J32)</f>
        <v>0</v>
      </c>
      <c r="M32" s="451" cm="1">
        <f t="array" ref="M32">SUMPRODUCT(--(ISNUMBER(SEARCH($A32,'Diags Raw Data'!$A$6:$A$6302))),--('Diags Raw Data'!$Q$6:$Q$6302&lt;&gt;"N/A"),'Diags Raw Data'!$R$6:$R$6302)</f>
        <v>14</v>
      </c>
      <c r="N32" s="452" cm="1">
        <f t="array" ref="N32">SUMPRODUCT(--(ISNUMBER(SEARCH($A32,'Diags Raw Data'!$A$6:$A$6302))),--('Diags Raw Data'!$Q$6:$Q$6302&lt;&gt;"N/A"),'Diags Raw Data'!$T$6:$T$6302)+SUMPRODUCT(--(ISNUMBER(SEARCH($A32,'Diags Raw Data'!$A$6:$A$6302))),--('Diags Raw Data'!$Q$6:$Q$6302&lt;&gt;"N/A"),'Diags Raw Data'!$U$6:$U$6302)</f>
        <v>0</v>
      </c>
      <c r="O32" s="453">
        <f t="shared" si="2"/>
        <v>0</v>
      </c>
      <c r="P32" s="454">
        <f>SUMIF('Diags Raw Data'!$A$6:$A$6302,"*"&amp;$A32&amp;"*",'Diags Raw Data'!$Z$6:$Z$6302)</f>
        <v>0</v>
      </c>
      <c r="Q32" s="455">
        <f>SUM(SUMIF('Diags Raw Data'!$A$6:$A$6302,"*"&amp;$A32&amp;"*",'Diags Raw Data'!$AA$6:$AA$6302),SUMIF('Diags Raw Data'!$A$6:$A$6302,"*"&amp;$A32&amp;"*",'Diags Raw Data'!$AB$6:$AB$6302))</f>
        <v>0</v>
      </c>
      <c r="R32" s="456">
        <f t="shared" si="3"/>
        <v>0</v>
      </c>
      <c r="S32" s="456">
        <f t="shared" si="4"/>
        <v>0</v>
      </c>
      <c r="T32" s="457">
        <f t="shared" si="5"/>
        <v>0</v>
      </c>
      <c r="U32" s="420" t="s">
        <v>47</v>
      </c>
      <c r="V32" s="181"/>
    </row>
    <row r="33" spans="1:22" ht="45" x14ac:dyDescent="0.25">
      <c r="A33" s="415" t="s">
        <v>3412</v>
      </c>
      <c r="B33" s="416" t="str">
        <f>VLOOKUP(A33,'Feature Raw Data'!$A$3:$B$3960,2,FALSE)</f>
        <v>Bi-directional &amp; uni-directional Compound mode support (AV1)</v>
      </c>
      <c r="C33" s="417" t="str">
        <f>VLOOKUP(A33,'Feature Raw Data'!$A$3:$C$3960,3,FALSE)</f>
        <v>P2</v>
      </c>
      <c r="D33" s="418" t="str" cm="1">
        <f t="array" ref="D33">_xlfn.TEXTJOIN("",TRUE,IF(ISNUMBER(SEARCH($A33,'Diags Raw Data'!$A$6:$A$6302)),CONCATENATE('Diags Raw Data'!$H$6:$H$6302,", "),""))</f>
        <v/>
      </c>
      <c r="E33" s="336" t="e">
        <f>VLOOKUP(A33,'Diags Raw Data'!$A$6:$D$6302,4,FALSE)</f>
        <v>#N/A</v>
      </c>
      <c r="F33" s="336" t="str">
        <f>VLOOKUP(A33,'Feature Raw Data'!$A$3:$E$3960,5,FALSE)</f>
        <v>New</v>
      </c>
      <c r="G33" s="336" t="str">
        <f t="shared" si="0"/>
        <v>No</v>
      </c>
      <c r="H33" s="336" t="str">
        <f t="shared" si="1"/>
        <v>No</v>
      </c>
      <c r="I33" s="417">
        <f>SUMIF('Diags Raw Data'!$A$6:$A$6302,"*"&amp;$A33&amp;"*",'Diags Raw Data'!$K$6:$K$6302)</f>
        <v>0</v>
      </c>
      <c r="J33" s="419">
        <f>SUMIF('Diags Raw Data'!$A$6:$A$6302,"*"&amp;$A33&amp;"*",'Diags Raw Data'!$L$6:$L$6302)</f>
        <v>0</v>
      </c>
      <c r="K33" s="449" cm="1">
        <f t="array" ref="K33">IF(D33="",0, SUMPRODUCT(--(ISNUMBER(SEARCH($A33,'Diags Raw Data'!$A$6:$A$6302))),'Diags Raw Data'!$L$6:$L$6302,'Diags Raw Data'!$N$6:$N$6302)/J33)</f>
        <v>0</v>
      </c>
      <c r="L33" s="450" cm="1">
        <f t="array" ref="L33">IF(D33="",0, SUMPRODUCT(--(ISNUMBER(SEARCH($A33,'Diags Raw Data'!$A$6:$A$6302))),'Diags Raw Data'!$L$6:$L$6302,'Diags Raw Data'!$P$6:$P$6302)/J33)</f>
        <v>0</v>
      </c>
      <c r="M33" s="451" cm="1">
        <f t="array" ref="M33">SUMPRODUCT(--(ISNUMBER(SEARCH($A33,'Diags Raw Data'!$A$6:$A$6302))),--('Diags Raw Data'!$Q$6:$Q$6302&lt;&gt;"N/A"),'Diags Raw Data'!$R$6:$R$6302)</f>
        <v>0</v>
      </c>
      <c r="N33" s="452" cm="1">
        <f t="array" ref="N33">SUMPRODUCT(--(ISNUMBER(SEARCH($A33,'Diags Raw Data'!$A$6:$A$6302))),--('Diags Raw Data'!$Q$6:$Q$6302&lt;&gt;"N/A"),'Diags Raw Data'!$T$6:$T$6302)+SUMPRODUCT(--(ISNUMBER(SEARCH($A33,'Diags Raw Data'!$A$6:$A$6302))),--('Diags Raw Data'!$Q$6:$Q$6302&lt;&gt;"N/A"),'Diags Raw Data'!$U$6:$U$6302)</f>
        <v>0</v>
      </c>
      <c r="O33" s="453">
        <f t="shared" si="2"/>
        <v>0</v>
      </c>
      <c r="P33" s="454">
        <f>SUMIF('Diags Raw Data'!$A$6:$A$6302,"*"&amp;$A33&amp;"*",'Diags Raw Data'!$Z$6:$Z$6302)</f>
        <v>0</v>
      </c>
      <c r="Q33" s="455">
        <f>SUM(SUMIF('Diags Raw Data'!$A$6:$A$6302,"*"&amp;$A33&amp;"*",'Diags Raw Data'!$AA$6:$AA$6302),SUMIF('Diags Raw Data'!$A$6:$A$6302,"*"&amp;$A33&amp;"*",'Diags Raw Data'!$AB$6:$AB$6302))</f>
        <v>0</v>
      </c>
      <c r="R33" s="456">
        <f t="shared" si="3"/>
        <v>0</v>
      </c>
      <c r="S33" s="456">
        <f t="shared" si="4"/>
        <v>0</v>
      </c>
      <c r="T33" s="457">
        <f t="shared" si="5"/>
        <v>0</v>
      </c>
      <c r="U33" s="420" t="s">
        <v>3468</v>
      </c>
      <c r="V33" s="181"/>
    </row>
    <row r="34" spans="1:22" ht="30" x14ac:dyDescent="0.25">
      <c r="A34" s="415" t="s">
        <v>3415</v>
      </c>
      <c r="B34" s="416" t="str">
        <f>VLOOKUP(A34,'Feature Raw Data'!$A$3:$B$3960,2,FALSE)</f>
        <v>Enchance Motion Search (EMS)</v>
      </c>
      <c r="C34" s="417" t="str">
        <f>VLOOKUP(A34,'Feature Raw Data'!$A$3:$C$3960,3,FALSE)</f>
        <v>P2</v>
      </c>
      <c r="D34" s="418" t="str" cm="1">
        <f t="array" ref="D34">_xlfn.TEXTJOIN("",TRUE,IF(ISNUMBER(SEARCH($A34,'Diags Raw Data'!$A$6:$A$6302)),CONCATENATE('Diags Raw Data'!$H$6:$H$6302,", "),""))</f>
        <v/>
      </c>
      <c r="E34" s="336" t="e">
        <f>VLOOKUP(A34,'Diags Raw Data'!$A$6:$D$6302,4,FALSE)</f>
        <v>#N/A</v>
      </c>
      <c r="F34" s="336" t="str">
        <f>VLOOKUP(A34,'Feature Raw Data'!$A$3:$E$3960,5,FALSE)</f>
        <v>New</v>
      </c>
      <c r="G34" s="336" t="str">
        <f t="shared" si="0"/>
        <v>No</v>
      </c>
      <c r="H34" s="336" t="str">
        <f t="shared" si="1"/>
        <v>No</v>
      </c>
      <c r="I34" s="417">
        <f>SUMIF('Diags Raw Data'!$A$6:$A$6302,"*"&amp;$A34&amp;"*",'Diags Raw Data'!$K$6:$K$6302)</f>
        <v>0</v>
      </c>
      <c r="J34" s="419">
        <f>SUMIF('Diags Raw Data'!$A$6:$A$6302,"*"&amp;$A34&amp;"*",'Diags Raw Data'!$L$6:$L$6302)</f>
        <v>0</v>
      </c>
      <c r="K34" s="449" cm="1">
        <f t="array" ref="K34">IF(D34="",0, SUMPRODUCT(--(ISNUMBER(SEARCH($A34,'Diags Raw Data'!$A$6:$A$6302))),'Diags Raw Data'!$L$6:$L$6302,'Diags Raw Data'!$N$6:$N$6302)/J34)</f>
        <v>0</v>
      </c>
      <c r="L34" s="450" cm="1">
        <f t="array" ref="L34">IF(D34="",0, SUMPRODUCT(--(ISNUMBER(SEARCH($A34,'Diags Raw Data'!$A$6:$A$6302))),'Diags Raw Data'!$L$6:$L$6302,'Diags Raw Data'!$P$6:$P$6302)/J34)</f>
        <v>0</v>
      </c>
      <c r="M34" s="451" cm="1">
        <f t="array" ref="M34">SUMPRODUCT(--(ISNUMBER(SEARCH($A34,'Diags Raw Data'!$A$6:$A$6302))),--('Diags Raw Data'!$Q$6:$Q$6302&lt;&gt;"N/A"),'Diags Raw Data'!$R$6:$R$6302)</f>
        <v>0</v>
      </c>
      <c r="N34" s="452" cm="1">
        <f t="array" ref="N34">SUMPRODUCT(--(ISNUMBER(SEARCH($A34,'Diags Raw Data'!$A$6:$A$6302))),--('Diags Raw Data'!$Q$6:$Q$6302&lt;&gt;"N/A"),'Diags Raw Data'!$T$6:$T$6302)+SUMPRODUCT(--(ISNUMBER(SEARCH($A34,'Diags Raw Data'!$A$6:$A$6302))),--('Diags Raw Data'!$Q$6:$Q$6302&lt;&gt;"N/A"),'Diags Raw Data'!$U$6:$U$6302)</f>
        <v>0</v>
      </c>
      <c r="O34" s="453">
        <f t="shared" si="2"/>
        <v>0</v>
      </c>
      <c r="P34" s="454">
        <f>SUMIF('Diags Raw Data'!$A$6:$A$6302,"*"&amp;$A34&amp;"*",'Diags Raw Data'!$Z$6:$Z$6302)</f>
        <v>0</v>
      </c>
      <c r="Q34" s="455">
        <f>SUM(SUMIF('Diags Raw Data'!$A$6:$A$6302,"*"&amp;$A34&amp;"*",'Diags Raw Data'!$AA$6:$AA$6302),SUMIF('Diags Raw Data'!$A$6:$A$6302,"*"&amp;$A34&amp;"*",'Diags Raw Data'!$AB$6:$AB$6302))</f>
        <v>0</v>
      </c>
      <c r="R34" s="456">
        <f t="shared" si="3"/>
        <v>0</v>
      </c>
      <c r="S34" s="456">
        <f t="shared" si="4"/>
        <v>0</v>
      </c>
      <c r="T34" s="457">
        <f t="shared" si="5"/>
        <v>0</v>
      </c>
      <c r="U34" s="420" t="s">
        <v>3468</v>
      </c>
      <c r="V34" s="181" t="s">
        <v>3417</v>
      </c>
    </row>
    <row r="35" spans="1:22" x14ac:dyDescent="0.25">
      <c r="A35" s="415" t="s">
        <v>3418</v>
      </c>
      <c r="B35" s="416" t="str">
        <f>VLOOKUP(A35,'Feature Raw Data'!$A$3:$B$3960,2,FALSE)</f>
        <v>Intra-BC for AV1</v>
      </c>
      <c r="C35" s="417" t="str">
        <f>VLOOKUP(A35,'Feature Raw Data'!$A$3:$C$3960,3,FALSE)</f>
        <v>P2</v>
      </c>
      <c r="D35" s="418" t="str" cm="1">
        <f t="array" ref="D35">_xlfn.TEXTJOIN("",TRUE,IF(ISNUMBER(SEARCH($A35,'Diags Raw Data'!$A$6:$A$6302)),CONCATENATE('Diags Raw Data'!$H$6:$H$6302,", "),""))</f>
        <v/>
      </c>
      <c r="E35" s="336" t="e">
        <f>VLOOKUP(A35,'Diags Raw Data'!$A$6:$D$6302,4,FALSE)</f>
        <v>#N/A</v>
      </c>
      <c r="F35" s="336" t="str">
        <f>VLOOKUP(A35,'Feature Raw Data'!$A$3:$E$3960,5,FALSE)</f>
        <v>New</v>
      </c>
      <c r="G35" s="336" t="str">
        <f t="shared" si="0"/>
        <v>No</v>
      </c>
      <c r="H35" s="336" t="str">
        <f t="shared" si="1"/>
        <v>No</v>
      </c>
      <c r="I35" s="417">
        <f>SUMIF('Diags Raw Data'!$A$6:$A$6302,"*"&amp;$A35&amp;"*",'Diags Raw Data'!$K$6:$K$6302)</f>
        <v>0</v>
      </c>
      <c r="J35" s="419">
        <f>SUMIF('Diags Raw Data'!$A$6:$A$6302,"*"&amp;$A35&amp;"*",'Diags Raw Data'!$L$6:$L$6302)</f>
        <v>0</v>
      </c>
      <c r="K35" s="449" cm="1">
        <f t="array" ref="K35">IF(D35="",0, SUMPRODUCT(--(ISNUMBER(SEARCH($A35,'Diags Raw Data'!$A$6:$A$6302))),'Diags Raw Data'!$L$6:$L$6302,'Diags Raw Data'!$N$6:$N$6302)/J35)</f>
        <v>0</v>
      </c>
      <c r="L35" s="450" cm="1">
        <f t="array" ref="L35">IF(D35="",0, SUMPRODUCT(--(ISNUMBER(SEARCH($A35,'Diags Raw Data'!$A$6:$A$6302))),'Diags Raw Data'!$L$6:$L$6302,'Diags Raw Data'!$P$6:$P$6302)/J35)</f>
        <v>0</v>
      </c>
      <c r="M35" s="451" cm="1">
        <f t="array" ref="M35">SUMPRODUCT(--(ISNUMBER(SEARCH($A35,'Diags Raw Data'!$A$6:$A$6302))),--('Diags Raw Data'!$Q$6:$Q$6302&lt;&gt;"N/A"),'Diags Raw Data'!$R$6:$R$6302)</f>
        <v>0</v>
      </c>
      <c r="N35" s="452" cm="1">
        <f t="array" ref="N35">SUMPRODUCT(--(ISNUMBER(SEARCH($A35,'Diags Raw Data'!$A$6:$A$6302))),--('Diags Raw Data'!$Q$6:$Q$6302&lt;&gt;"N/A"),'Diags Raw Data'!$T$6:$T$6302)+SUMPRODUCT(--(ISNUMBER(SEARCH($A35,'Diags Raw Data'!$A$6:$A$6302))),--('Diags Raw Data'!$Q$6:$Q$6302&lt;&gt;"N/A"),'Diags Raw Data'!$U$6:$U$6302)</f>
        <v>0</v>
      </c>
      <c r="O35" s="453">
        <f t="shared" si="2"/>
        <v>0</v>
      </c>
      <c r="P35" s="454">
        <f>SUMIF('Diags Raw Data'!$A$6:$A$6302,"*"&amp;$A35&amp;"*",'Diags Raw Data'!$Z$6:$Z$6302)</f>
        <v>0</v>
      </c>
      <c r="Q35" s="455">
        <f>SUM(SUMIF('Diags Raw Data'!$A$6:$A$6302,"*"&amp;$A35&amp;"*",'Diags Raw Data'!$AA$6:$AA$6302),SUMIF('Diags Raw Data'!$A$6:$A$6302,"*"&amp;$A35&amp;"*",'Diags Raw Data'!$AB$6:$AB$6302))</f>
        <v>0</v>
      </c>
      <c r="R35" s="456">
        <f t="shared" si="3"/>
        <v>0</v>
      </c>
      <c r="S35" s="456">
        <f t="shared" si="4"/>
        <v>0</v>
      </c>
      <c r="T35" s="457">
        <f t="shared" si="5"/>
        <v>0</v>
      </c>
      <c r="U35" s="420" t="s">
        <v>47</v>
      </c>
      <c r="V35" s="181" t="s">
        <v>3417</v>
      </c>
    </row>
    <row r="36" spans="1:22" x14ac:dyDescent="0.25">
      <c r="A36" s="415" t="s">
        <v>3420</v>
      </c>
      <c r="B36" s="416" t="str">
        <f>VLOOKUP(A36,'Feature Raw Data'!$A$3:$B$3960,2,FALSE)</f>
        <v>Array of Texture (for encode)</v>
      </c>
      <c r="C36" s="417" t="str">
        <f>VLOOKUP(A36,'Feature Raw Data'!$A$3:$C$3960,3,FALSE)</f>
        <v>P2</v>
      </c>
      <c r="D36" s="418" t="str" cm="1">
        <f t="array" ref="D36">_xlfn.TEXTJOIN("",TRUE,IF(ISNUMBER(SEARCH($A36,'Diags Raw Data'!$A$6:$A$6302)),CONCATENATE('Diags Raw Data'!$H$6:$H$6302,", "),""))</f>
        <v/>
      </c>
      <c r="E36" s="336" t="e">
        <f>VLOOKUP(A36,'Diags Raw Data'!$A$6:$D$6302,4,FALSE)</f>
        <v>#N/A</v>
      </c>
      <c r="F36" s="336" t="str">
        <f>VLOOKUP(A36,'Feature Raw Data'!$A$3:$E$3960,5,FALSE)</f>
        <v>New</v>
      </c>
      <c r="G36" s="336" t="str">
        <f t="shared" si="0"/>
        <v>No</v>
      </c>
      <c r="H36" s="336" t="str">
        <f t="shared" si="1"/>
        <v>No</v>
      </c>
      <c r="I36" s="417">
        <f>SUMIF('Diags Raw Data'!$A$6:$A$6302,"*"&amp;$A36&amp;"*",'Diags Raw Data'!$K$6:$K$6302)</f>
        <v>0</v>
      </c>
      <c r="J36" s="419">
        <f>SUMIF('Diags Raw Data'!$A$6:$A$6302,"*"&amp;$A36&amp;"*",'Diags Raw Data'!$L$6:$L$6302)</f>
        <v>0</v>
      </c>
      <c r="K36" s="449" cm="1">
        <f t="array" ref="K36">IF(D36="",0, SUMPRODUCT(--(ISNUMBER(SEARCH($A36,'Diags Raw Data'!$A$6:$A$6302))),'Diags Raw Data'!$L$6:$L$6302,'Diags Raw Data'!$N$6:$N$6302)/J36)</f>
        <v>0</v>
      </c>
      <c r="L36" s="450" cm="1">
        <f t="array" ref="L36">IF(D36="",0, SUMPRODUCT(--(ISNUMBER(SEARCH($A36,'Diags Raw Data'!$A$6:$A$6302))),'Diags Raw Data'!$L$6:$L$6302,'Diags Raw Data'!$P$6:$P$6302)/J36)</f>
        <v>0</v>
      </c>
      <c r="M36" s="451" cm="1">
        <f t="array" ref="M36">SUMPRODUCT(--(ISNUMBER(SEARCH($A36,'Diags Raw Data'!$A$6:$A$6302))),--('Diags Raw Data'!$Q$6:$Q$6302&lt;&gt;"N/A"),'Diags Raw Data'!$R$6:$R$6302)</f>
        <v>0</v>
      </c>
      <c r="N36" s="452" cm="1">
        <f t="array" ref="N36">SUMPRODUCT(--(ISNUMBER(SEARCH($A36,'Diags Raw Data'!$A$6:$A$6302))),--('Diags Raw Data'!$Q$6:$Q$6302&lt;&gt;"N/A"),'Diags Raw Data'!$T$6:$T$6302)+SUMPRODUCT(--(ISNUMBER(SEARCH($A36,'Diags Raw Data'!$A$6:$A$6302))),--('Diags Raw Data'!$Q$6:$Q$6302&lt;&gt;"N/A"),'Diags Raw Data'!$U$6:$U$6302)</f>
        <v>0</v>
      </c>
      <c r="O36" s="453">
        <f t="shared" si="2"/>
        <v>0</v>
      </c>
      <c r="P36" s="454">
        <f>SUMIF('Diags Raw Data'!$A$6:$A$6302,"*"&amp;$A36&amp;"*",'Diags Raw Data'!$Z$6:$Z$6302)</f>
        <v>0</v>
      </c>
      <c r="Q36" s="455">
        <f>SUM(SUMIF('Diags Raw Data'!$A$6:$A$6302,"*"&amp;$A36&amp;"*",'Diags Raw Data'!$AA$6:$AA$6302),SUMIF('Diags Raw Data'!$A$6:$A$6302,"*"&amp;$A36&amp;"*",'Diags Raw Data'!$AB$6:$AB$6302))</f>
        <v>0</v>
      </c>
      <c r="R36" s="456">
        <f t="shared" si="3"/>
        <v>0</v>
      </c>
      <c r="S36" s="456">
        <f t="shared" si="4"/>
        <v>0</v>
      </c>
      <c r="T36" s="457">
        <f t="shared" si="5"/>
        <v>0</v>
      </c>
      <c r="U36" s="420" t="s">
        <v>3465</v>
      </c>
      <c r="V36" s="181"/>
    </row>
    <row r="37" spans="1:22" ht="60" hidden="1" x14ac:dyDescent="0.25">
      <c r="A37" s="415" t="s">
        <v>3422</v>
      </c>
      <c r="B37" s="416" t="str">
        <f>VLOOKUP(A37,'Feature Raw Data'!$A$3:$B$3960,2,FALSE)</f>
        <v>AV1 8x8 encode alignment fix</v>
      </c>
      <c r="C37" s="417" t="str">
        <f>VLOOKUP(A37,'Feature Raw Data'!$A$3:$C$3960,3,FALSE)</f>
        <v>P2</v>
      </c>
      <c r="D37" s="418" t="str" cm="1">
        <f t="array" ref="D37">_xlfn.TEXTJOIN("",TRUE,IF(ISNUMBER(SEARCH($A37,'Diags Raw Data'!$A$6:$A$6302)),CONCATENATE('Diags Raw Data'!$H$6:$H$6302,", "),""))</f>
        <v xml:space="preserve">VCN400.006, VCN400.106, VCN401.001, VCN401.005, VCN401.009, VCN401.101, VCN401.105, VCN401.109, </v>
      </c>
      <c r="E37" s="336" t="str">
        <f>VLOOKUP(A37,'Diags Raw Data'!$A$6:$D$6302,4,FALSE)</f>
        <v>AV1 Encode</v>
      </c>
      <c r="F37" s="336" t="str">
        <f>VLOOKUP(A37,'Feature Raw Data'!$A$3:$E$3960,5,FALSE)</f>
        <v>New</v>
      </c>
      <c r="G37" s="336" t="str">
        <f t="shared" si="0"/>
        <v>Yes</v>
      </c>
      <c r="H37" s="336" t="str">
        <f t="shared" si="1"/>
        <v>Yes</v>
      </c>
      <c r="I37" s="417">
        <f>SUMIF('Diags Raw Data'!$A$6:$A$6302,"*"&amp;$A37&amp;"*",'Diags Raw Data'!$K$6:$K$6302)</f>
        <v>8</v>
      </c>
      <c r="J37" s="419">
        <f>SUMIF('Diags Raw Data'!$A$6:$A$6302,"*"&amp;$A37&amp;"*",'Diags Raw Data'!$L$6:$L$6302)</f>
        <v>8</v>
      </c>
      <c r="K37" s="449" cm="1">
        <f t="array" ref="K37">IF(D37="",0, SUMPRODUCT(--(ISNUMBER(SEARCH($A37,'Diags Raw Data'!$A$6:$A$6302))),'Diags Raw Data'!$L$6:$L$6302,'Diags Raw Data'!$N$6:$N$6302)/J37)</f>
        <v>1</v>
      </c>
      <c r="L37" s="450" cm="1">
        <f t="array" ref="L37">IF(D37="",0, SUMPRODUCT(--(ISNUMBER(SEARCH($A37,'Diags Raw Data'!$A$6:$A$6302))),'Diags Raw Data'!$L$6:$L$6302,'Diags Raw Data'!$P$6:$P$6302)/J37)</f>
        <v>0</v>
      </c>
      <c r="M37" s="451" cm="1">
        <f t="array" ref="M37">SUMPRODUCT(--(ISNUMBER(SEARCH($A37,'Diags Raw Data'!$A$6:$A$6302))),--('Diags Raw Data'!$Q$6:$Q$6302&lt;&gt;"N/A"),'Diags Raw Data'!$R$6:$R$6302)</f>
        <v>8</v>
      </c>
      <c r="N37" s="452" cm="1">
        <f t="array" ref="N37">SUMPRODUCT(--(ISNUMBER(SEARCH($A37,'Diags Raw Data'!$A$6:$A$6302))),--('Diags Raw Data'!$Q$6:$Q$6302&lt;&gt;"N/A"),'Diags Raw Data'!$T$6:$T$6302)+SUMPRODUCT(--(ISNUMBER(SEARCH($A37,'Diags Raw Data'!$A$6:$A$6302))),--('Diags Raw Data'!$Q$6:$Q$6302&lt;&gt;"N/A"),'Diags Raw Data'!$U$6:$U$6302)</f>
        <v>0</v>
      </c>
      <c r="O37" s="453">
        <f t="shared" si="2"/>
        <v>0</v>
      </c>
      <c r="P37" s="454">
        <f>SUMIF('Diags Raw Data'!$A$6:$A$6302,"*"&amp;$A37&amp;"*",'Diags Raw Data'!$Z$6:$Z$6302)</f>
        <v>0</v>
      </c>
      <c r="Q37" s="455">
        <f>SUM(SUMIF('Diags Raw Data'!$A$6:$A$6302,"*"&amp;$A37&amp;"*",'Diags Raw Data'!$AA$6:$AA$6302),SUMIF('Diags Raw Data'!$A$6:$A$6302,"*"&amp;$A37&amp;"*",'Diags Raw Data'!$AB$6:$AB$6302))</f>
        <v>0</v>
      </c>
      <c r="R37" s="456">
        <f t="shared" si="3"/>
        <v>0</v>
      </c>
      <c r="S37" s="456">
        <f t="shared" si="4"/>
        <v>0</v>
      </c>
      <c r="T37" s="457">
        <f t="shared" si="5"/>
        <v>0</v>
      </c>
      <c r="U37" s="420" t="s">
        <v>3469</v>
      </c>
      <c r="V37" s="181"/>
    </row>
    <row r="38" spans="1:22" s="186" customFormat="1" ht="409.5" hidden="1" x14ac:dyDescent="0.25">
      <c r="A38" s="415" t="s">
        <v>1478</v>
      </c>
      <c r="B38" s="416" t="str">
        <f>VLOOKUP(A38,'Feature Raw Data'!$A$3:$B$3960,2,FALSE)</f>
        <v>MJPEG Decode</v>
      </c>
      <c r="C38" s="417" t="str">
        <f>VLOOKUP(A38,'Feature Raw Data'!$A$3:$C$3960,3,FALSE)</f>
        <v>P2</v>
      </c>
      <c r="D38" s="418" t="str" cm="1">
        <f t="array" ref="D38">_xlfn.TEXTJOIN("",TRUE,IF(ISNUMBER(SEARCH($A38,'Diags Raw Data'!$A$6:$A$6302)),CONCATENATE('Diags Raw Data'!$H$6:$H$6302,",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VCN240.001, VCN240.002, VCN240.003, VCN240.004, VCN241.001, VCN241.002, VCN241.003, VCN241.004, </v>
      </c>
      <c r="E38" s="336" t="str">
        <f>VLOOKUP(A38,'Diags Raw Data'!$A$6:$D$6302,4,FALSE)</f>
        <v>MJPEG Decode</v>
      </c>
      <c r="F38" s="336" t="str">
        <f>VLOOKUP(A38,'Feature Raw Data'!$A$3:$E$3960,5,FALSE)</f>
        <v>Legacy</v>
      </c>
      <c r="G38" s="336" t="str">
        <f t="shared" si="0"/>
        <v>Yes</v>
      </c>
      <c r="H38" s="336" t="str">
        <f t="shared" si="1"/>
        <v>Yes</v>
      </c>
      <c r="I38" s="417">
        <f>SUMIF('Diags Raw Data'!$A$6:$A$6302,"*"&amp;$A38&amp;"*",'Diags Raw Data'!$K$6:$K$6302)</f>
        <v>182</v>
      </c>
      <c r="J38" s="419">
        <f>SUMIF('Diags Raw Data'!$A$6:$A$6302,"*"&amp;$A38&amp;"*",'Diags Raw Data'!$L$6:$L$6302)</f>
        <v>182</v>
      </c>
      <c r="K38" s="449" cm="1">
        <f t="array" ref="K38">IF(D38="",0, SUMPRODUCT(--(ISNUMBER(SEARCH($A38,'Diags Raw Data'!$A$6:$A$6302))),'Diags Raw Data'!$L$6:$L$6302,'Diags Raw Data'!$N$6:$N$6302)/J38)</f>
        <v>1</v>
      </c>
      <c r="L38" s="450" cm="1">
        <f t="array" ref="L38">IF(D38="",0, SUMPRODUCT(--(ISNUMBER(SEARCH($A38,'Diags Raw Data'!$A$6:$A$6302))),'Diags Raw Data'!$L$6:$L$6302,'Diags Raw Data'!$P$6:$P$6302)/J38)</f>
        <v>0.65384615384615385</v>
      </c>
      <c r="M38" s="451" cm="1">
        <f t="array" ref="M38">SUMPRODUCT(--(ISNUMBER(SEARCH($A38,'Diags Raw Data'!$A$6:$A$6302))),--('Diags Raw Data'!$Q$6:$Q$6302&lt;&gt;"N/A"),'Diags Raw Data'!$R$6:$R$6302)</f>
        <v>176</v>
      </c>
      <c r="N38" s="452" cm="1">
        <f t="array" ref="N38">SUMPRODUCT(--(ISNUMBER(SEARCH($A38,'Diags Raw Data'!$A$6:$A$6302))),--('Diags Raw Data'!$Q$6:$Q$6302&lt;&gt;"N/A"),'Diags Raw Data'!$T$6:$T$6302)+SUMPRODUCT(--(ISNUMBER(SEARCH($A38,'Diags Raw Data'!$A$6:$A$6302))),--('Diags Raw Data'!$Q$6:$Q$6302&lt;&gt;"N/A"),'Diags Raw Data'!$U$6:$U$6302)</f>
        <v>0</v>
      </c>
      <c r="O38" s="453">
        <f t="shared" si="2"/>
        <v>0</v>
      </c>
      <c r="P38" s="454">
        <f>SUMIF('Diags Raw Data'!$A$6:$A$6302,"*"&amp;$A38&amp;"*",'Diags Raw Data'!$Z$6:$Z$6302)</f>
        <v>0</v>
      </c>
      <c r="Q38" s="455">
        <f>SUM(SUMIF('Diags Raw Data'!$A$6:$A$6302,"*"&amp;$A38&amp;"*",'Diags Raw Data'!$AA$6:$AA$6302),SUMIF('Diags Raw Data'!$A$6:$A$6302,"*"&amp;$A38&amp;"*",'Diags Raw Data'!$AB$6:$AB$6302))</f>
        <v>0</v>
      </c>
      <c r="R38" s="456">
        <f t="shared" si="3"/>
        <v>0</v>
      </c>
      <c r="S38" s="456">
        <f t="shared" si="4"/>
        <v>0</v>
      </c>
      <c r="T38" s="457">
        <f t="shared" si="5"/>
        <v>0</v>
      </c>
      <c r="U38" s="420" t="s">
        <v>3467</v>
      </c>
      <c r="V38" s="185"/>
    </row>
    <row r="39" spans="1:22" ht="210" hidden="1" x14ac:dyDescent="0.25">
      <c r="A39" s="415" t="s">
        <v>3424</v>
      </c>
      <c r="B39" s="416" t="str">
        <f>VLOOKUP(A39,'Feature Raw Data'!$A$3:$B$3960,2,FALSE)</f>
        <v>JRBC (JPEG Ring Buffer Controller)</v>
      </c>
      <c r="C39" s="417" t="str">
        <f>VLOOKUP(A39,'Feature Raw Data'!$A$3:$C$3960,3,FALSE)</f>
        <v>P2</v>
      </c>
      <c r="D39" s="418" t="str" cm="1">
        <f t="array" ref="D39">_xlfn.TEXTJOIN("",TRUE,IF(ISNUMBER(SEARCH($A39,'Diags Raw Data'!$A$6:$A$6302)),CONCATENATE('Diags Raw Data'!$H$6:$H$6302,",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6" t="str">
        <f>VLOOKUP(A39,'Diags Raw Data'!$A$6:$D$6302,4,FALSE)</f>
        <v>MJPEG Decode</v>
      </c>
      <c r="F39" s="336" t="str">
        <f>VLOOKUP(A39,'Feature Raw Data'!$A$3:$E$3960,5,FALSE)</f>
        <v>Legacy</v>
      </c>
      <c r="G39" s="336" t="str">
        <f t="shared" ref="G39:G58" si="6">IF(D39="","No","Yes")</f>
        <v>Yes</v>
      </c>
      <c r="H39" s="336" t="str">
        <f t="shared" ref="H39:H58" si="7">IF(D39="","No","Yes")</f>
        <v>Yes</v>
      </c>
      <c r="I39" s="417">
        <f>SUMIF('Diags Raw Data'!$A$6:$A$6302,"*"&amp;$A39&amp;"*",'Diags Raw Data'!$K$6:$K$6302)</f>
        <v>27</v>
      </c>
      <c r="J39" s="419">
        <f>SUMIF('Diags Raw Data'!$A$6:$A$6302,"*"&amp;$A39&amp;"*",'Diags Raw Data'!$L$6:$L$6302)</f>
        <v>27</v>
      </c>
      <c r="K39" s="449" cm="1">
        <f t="array" ref="K39">IF(D39="",0, SUMPRODUCT(--(ISNUMBER(SEARCH($A39,'Diags Raw Data'!$A$6:$A$6302))),'Diags Raw Data'!$L$6:$L$6302,'Diags Raw Data'!$N$6:$N$6302)/J39)</f>
        <v>1</v>
      </c>
      <c r="L39" s="450" cm="1">
        <f t="array" ref="L39">IF(D39="",0, SUMPRODUCT(--(ISNUMBER(SEARCH($A39,'Diags Raw Data'!$A$6:$A$6302))),'Diags Raw Data'!$L$6:$L$6302,'Diags Raw Data'!$P$6:$P$6302)/J39)</f>
        <v>0</v>
      </c>
      <c r="M39" s="451" cm="1">
        <f t="array" ref="M39">SUMPRODUCT(--(ISNUMBER(SEARCH($A39,'Diags Raw Data'!$A$6:$A$6302))),--('Diags Raw Data'!$Q$6:$Q$6302&lt;&gt;"N/A"),'Diags Raw Data'!$R$6:$R$6302)</f>
        <v>27</v>
      </c>
      <c r="N39" s="452" cm="1">
        <f t="array" ref="N39">SUMPRODUCT(--(ISNUMBER(SEARCH($A39,'Diags Raw Data'!$A$6:$A$6302))),--('Diags Raw Data'!$Q$6:$Q$6302&lt;&gt;"N/A"),'Diags Raw Data'!$T$6:$T$6302)+SUMPRODUCT(--(ISNUMBER(SEARCH($A39,'Diags Raw Data'!$A$6:$A$6302))),--('Diags Raw Data'!$Q$6:$Q$6302&lt;&gt;"N/A"),'Diags Raw Data'!$U$6:$U$6302)</f>
        <v>0</v>
      </c>
      <c r="O39" s="453">
        <f t="shared" si="2"/>
        <v>0</v>
      </c>
      <c r="P39" s="454">
        <f>SUMIF('Diags Raw Data'!$A$6:$A$6302,"*"&amp;$A39&amp;"*",'Diags Raw Data'!$Z$6:$Z$6302)</f>
        <v>0</v>
      </c>
      <c r="Q39" s="455">
        <f>SUM(SUMIF('Diags Raw Data'!$A$6:$A$6302,"*"&amp;$A39&amp;"*",'Diags Raw Data'!$AA$6:$AA$6302),SUMIF('Diags Raw Data'!$A$6:$A$6302,"*"&amp;$A39&amp;"*",'Diags Raw Data'!$AB$6:$AB$6302))</f>
        <v>0</v>
      </c>
      <c r="R39" s="456">
        <f t="shared" si="3"/>
        <v>0</v>
      </c>
      <c r="S39" s="456">
        <f t="shared" si="4"/>
        <v>0</v>
      </c>
      <c r="T39" s="457">
        <f t="shared" si="5"/>
        <v>0</v>
      </c>
      <c r="U39" s="420" t="s">
        <v>47</v>
      </c>
      <c r="V39" s="181"/>
    </row>
    <row r="40" spans="1:22" ht="255" hidden="1" x14ac:dyDescent="0.25">
      <c r="A40" s="415" t="s">
        <v>3426</v>
      </c>
      <c r="B40" s="416" t="str">
        <f>VLOOKUP(A40,'Feature Raw Data'!$A$3:$B$3960,2,FALSE)</f>
        <v>DRM Support</v>
      </c>
      <c r="C40" s="417" t="str">
        <f>VLOOKUP(A40,'Feature Raw Data'!$A$3:$C$3960,3,FALSE)</f>
        <v>P2</v>
      </c>
      <c r="D40" s="418" t="str" cm="1">
        <f t="array" ref="D40">_xlfn.TEXTJOIN("",TRUE,IF(ISNUMBER(SEARCH($A40,'Diags Raw Data'!$A$6:$A$6302)),CONCATENATE('Diags Raw Data'!$H$6:$H$6302,",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6" t="str">
        <f>VLOOKUP(A40,'Diags Raw Data'!$A$6:$D$6302,4,FALSE)</f>
        <v>Security</v>
      </c>
      <c r="F40" s="336" t="str">
        <f>VLOOKUP(A40,'Feature Raw Data'!$A$3:$E$3960,5,FALSE)</f>
        <v>Legacy</v>
      </c>
      <c r="G40" s="336" t="str">
        <f t="shared" si="6"/>
        <v>Yes</v>
      </c>
      <c r="H40" s="336" t="str">
        <f t="shared" si="7"/>
        <v>Yes</v>
      </c>
      <c r="I40" s="417">
        <f>SUMIF('Diags Raw Data'!$A$6:$A$6302,"*"&amp;$A40&amp;"*",'Diags Raw Data'!$K$6:$K$6302)</f>
        <v>34</v>
      </c>
      <c r="J40" s="419">
        <f>SUMIF('Diags Raw Data'!$A$6:$A$6302,"*"&amp;$A40&amp;"*",'Diags Raw Data'!$L$6:$L$6302)</f>
        <v>34</v>
      </c>
      <c r="K40" s="449" cm="1">
        <f t="array" ref="K40">IF(D40="",0, SUMPRODUCT(--(ISNUMBER(SEARCH($A40,'Diags Raw Data'!$A$6:$A$6302))),'Diags Raw Data'!$L$6:$L$6302,'Diags Raw Data'!$N$6:$N$6302)/J40)</f>
        <v>0.73529411764705888</v>
      </c>
      <c r="L40" s="450" cm="1">
        <f t="array" ref="L40">IF(D40="",0, SUMPRODUCT(--(ISNUMBER(SEARCH($A40,'Diags Raw Data'!$A$6:$A$6302))),'Diags Raw Data'!$L$6:$L$6302,'Diags Raw Data'!$P$6:$P$6302)/J40)</f>
        <v>0.73529411764705888</v>
      </c>
      <c r="M40" s="451" cm="1">
        <f t="array" ref="M40">SUMPRODUCT(--(ISNUMBER(SEARCH($A40,'Diags Raw Data'!$A$6:$A$6302))),--('Diags Raw Data'!$Q$6:$Q$6302&lt;&gt;"N/A"),'Diags Raw Data'!$R$6:$R$6302)</f>
        <v>34</v>
      </c>
      <c r="N40" s="452" cm="1">
        <f t="array" ref="N40">SUMPRODUCT(--(ISNUMBER(SEARCH($A40,'Diags Raw Data'!$A$6:$A$6302))),--('Diags Raw Data'!$Q$6:$Q$6302&lt;&gt;"N/A"),'Diags Raw Data'!$T$6:$T$6302)+SUMPRODUCT(--(ISNUMBER(SEARCH($A40,'Diags Raw Data'!$A$6:$A$6302))),--('Diags Raw Data'!$Q$6:$Q$6302&lt;&gt;"N/A"),'Diags Raw Data'!$U$6:$U$6302)</f>
        <v>25</v>
      </c>
      <c r="O40" s="453">
        <f t="shared" si="2"/>
        <v>0.73529411764705888</v>
      </c>
      <c r="P40" s="454">
        <f>SUMIF('Diags Raw Data'!$A$6:$A$6302,"*"&amp;$A40&amp;"*",'Diags Raw Data'!$Z$6:$Z$6302)</f>
        <v>0</v>
      </c>
      <c r="Q40" s="455">
        <f>SUM(SUMIF('Diags Raw Data'!$A$6:$A$6302,"*"&amp;$A40&amp;"*",'Diags Raw Data'!$AA$6:$AA$6302),SUMIF('Diags Raw Data'!$A$6:$A$6302,"*"&amp;$A40&amp;"*",'Diags Raw Data'!$AB$6:$AB$6302))</f>
        <v>0</v>
      </c>
      <c r="R40" s="456">
        <f t="shared" si="3"/>
        <v>0</v>
      </c>
      <c r="S40" s="456">
        <f t="shared" si="4"/>
        <v>0</v>
      </c>
      <c r="T40" s="457">
        <f t="shared" si="5"/>
        <v>0</v>
      </c>
      <c r="U40" s="420" t="s">
        <v>3467</v>
      </c>
      <c r="V40" s="181"/>
    </row>
    <row r="41" spans="1:22" ht="330" hidden="1" x14ac:dyDescent="0.25">
      <c r="A41" s="415" t="s">
        <v>3428</v>
      </c>
      <c r="B41" s="416" t="str">
        <f>VLOOKUP(A41,'Feature Raw Data'!$A$3:$B$3960,2,FALSE)</f>
        <v>CENC DRM Support (CTR Mode only)</v>
      </c>
      <c r="C41" s="417" t="str">
        <f>VLOOKUP(A41,'Feature Raw Data'!$A$3:$C$3960,3,FALSE)</f>
        <v>P2</v>
      </c>
      <c r="D41" s="418" t="str" cm="1">
        <f t="array" ref="D41">_xlfn.TEXTJOIN("",TRUE,IF(ISNUMBER(SEARCH($A41,'Diags Raw Data'!$A$6:$A$6302)),CONCATENATE('Diags Raw Data'!$H$6:$H$6302,",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6" t="str">
        <f>VLOOKUP(A41,'Diags Raw Data'!$A$6:$D$6302,4,FALSE)</f>
        <v>Security</v>
      </c>
      <c r="F41" s="336" t="str">
        <f>VLOOKUP(A41,'Feature Raw Data'!$A$3:$E$3960,5,FALSE)</f>
        <v>Legacy</v>
      </c>
      <c r="G41" s="336" t="str">
        <f t="shared" si="6"/>
        <v>Yes</v>
      </c>
      <c r="H41" s="336" t="str">
        <f t="shared" si="7"/>
        <v>Yes</v>
      </c>
      <c r="I41" s="417">
        <f>SUMIF('Diags Raw Data'!$A$6:$A$6302,"*"&amp;$A41&amp;"*",'Diags Raw Data'!$K$6:$K$6302)</f>
        <v>44</v>
      </c>
      <c r="J41" s="419">
        <f>SUMIF('Diags Raw Data'!$A$6:$A$6302,"*"&amp;$A41&amp;"*",'Diags Raw Data'!$L$6:$L$6302)</f>
        <v>44</v>
      </c>
      <c r="K41" s="449" cm="1">
        <f t="array" ref="K41">IF(D41="",0, SUMPRODUCT(--(ISNUMBER(SEARCH($A41,'Diags Raw Data'!$A$6:$A$6302))),'Diags Raw Data'!$L$6:$L$6302,'Diags Raw Data'!$N$6:$N$6302)/J41)</f>
        <v>1</v>
      </c>
      <c r="L41" s="450" cm="1">
        <f t="array" ref="L41">IF(D41="",0, SUMPRODUCT(--(ISNUMBER(SEARCH($A41,'Diags Raw Data'!$A$6:$A$6302))),'Diags Raw Data'!$L$6:$L$6302,'Diags Raw Data'!$P$6:$P$6302)/J41)</f>
        <v>0.625</v>
      </c>
      <c r="M41" s="451" cm="1">
        <f t="array" ref="M41">SUMPRODUCT(--(ISNUMBER(SEARCH($A41,'Diags Raw Data'!$A$6:$A$6302))),--('Diags Raw Data'!$Q$6:$Q$6302&lt;&gt;"N/A"),'Diags Raw Data'!$R$6:$R$6302)</f>
        <v>11</v>
      </c>
      <c r="N41" s="452" cm="1">
        <f t="array" ref="N41">SUMPRODUCT(--(ISNUMBER(SEARCH($A41,'Diags Raw Data'!$A$6:$A$6302))),--('Diags Raw Data'!$Q$6:$Q$6302&lt;&gt;"N/A"),'Diags Raw Data'!$T$6:$T$6302)+SUMPRODUCT(--(ISNUMBER(SEARCH($A41,'Diags Raw Data'!$A$6:$A$6302))),--('Diags Raw Data'!$Q$6:$Q$6302&lt;&gt;"N/A"),'Diags Raw Data'!$U$6:$U$6302)</f>
        <v>11</v>
      </c>
      <c r="O41" s="453">
        <f t="shared" si="2"/>
        <v>1</v>
      </c>
      <c r="P41" s="454">
        <f>SUMIF('Diags Raw Data'!$A$6:$A$6302,"*"&amp;$A41&amp;"*",'Diags Raw Data'!$Z$6:$Z$6302)</f>
        <v>0</v>
      </c>
      <c r="Q41" s="455">
        <f>SUM(SUMIF('Diags Raw Data'!$A$6:$A$6302,"*"&amp;$A41&amp;"*",'Diags Raw Data'!$AA$6:$AA$6302),SUMIF('Diags Raw Data'!$A$6:$A$6302,"*"&amp;$A41&amp;"*",'Diags Raw Data'!$AB$6:$AB$6302))</f>
        <v>0</v>
      </c>
      <c r="R41" s="456">
        <f t="shared" si="3"/>
        <v>0</v>
      </c>
      <c r="S41" s="456">
        <f t="shared" si="4"/>
        <v>0</v>
      </c>
      <c r="T41" s="457">
        <f t="shared" si="5"/>
        <v>0</v>
      </c>
      <c r="U41" s="420" t="s">
        <v>3468</v>
      </c>
      <c r="V41" s="181"/>
    </row>
    <row r="42" spans="1:22" ht="409.5" hidden="1" x14ac:dyDescent="0.25">
      <c r="A42" s="415" t="s">
        <v>1945</v>
      </c>
      <c r="B42" s="416" t="str">
        <f>VLOOKUP(A42,'Feature Raw Data'!$A$3:$B$3960,2,FALSE)</f>
        <v>TMZ</v>
      </c>
      <c r="C42" s="417" t="str">
        <f>VLOOKUP(A42,'Feature Raw Data'!$A$3:$C$3960,3,FALSE)</f>
        <v>P2</v>
      </c>
      <c r="D42" s="418" t="str" cm="1">
        <f t="array" ref="D42">_xlfn.TEXTJOIN("",TRUE,IF(ISNUMBER(SEARCH($A42,'Diags Raw Data'!$A$6:$A$6302)),CONCATENATE('Diags Raw Data'!$H$6:$H$6302,",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6" t="str">
        <f>VLOOKUP(A42,'Diags Raw Data'!$A$6:$D$6302,4,FALSE)</f>
        <v>Security</v>
      </c>
      <c r="F42" s="336" t="str">
        <f>VLOOKUP(A42,'Feature Raw Data'!$A$3:$E$3960,5,FALSE)</f>
        <v>Legacy</v>
      </c>
      <c r="G42" s="336" t="str">
        <f t="shared" si="6"/>
        <v>Yes</v>
      </c>
      <c r="H42" s="336" t="str">
        <f t="shared" si="7"/>
        <v>Yes</v>
      </c>
      <c r="I42" s="417">
        <f>SUMIF('Diags Raw Data'!$A$6:$A$6302,"*"&amp;$A42&amp;"*",'Diags Raw Data'!$K$6:$K$6302)</f>
        <v>284</v>
      </c>
      <c r="J42" s="419">
        <f>SUMIF('Diags Raw Data'!$A$6:$A$6302,"*"&amp;$A42&amp;"*",'Diags Raw Data'!$L$6:$L$6302)</f>
        <v>284</v>
      </c>
      <c r="K42" s="449" cm="1">
        <f t="array" ref="K42">IF(D42="",0, SUMPRODUCT(--(ISNUMBER(SEARCH($A42,'Diags Raw Data'!$A$6:$A$6302))),'Diags Raw Data'!$L$6:$L$6302,'Diags Raw Data'!$N$6:$N$6302)/J42)</f>
        <v>0.95774647887323938</v>
      </c>
      <c r="L42" s="450" cm="1">
        <f t="array" ref="L42">IF(D42="",0, SUMPRODUCT(--(ISNUMBER(SEARCH($A42,'Diags Raw Data'!$A$6:$A$6302))),'Diags Raw Data'!$L$6:$L$6302,'Diags Raw Data'!$P$6:$P$6302)/J42)</f>
        <v>0.38556338028169013</v>
      </c>
      <c r="M42" s="451" cm="1">
        <f t="array" ref="M42">SUMPRODUCT(--(ISNUMBER(SEARCH($A42,'Diags Raw Data'!$A$6:$A$6302))),--('Diags Raw Data'!$Q$6:$Q$6302&lt;&gt;"N/A"),'Diags Raw Data'!$R$6:$R$6302)</f>
        <v>12</v>
      </c>
      <c r="N42" s="452" cm="1">
        <f t="array" ref="N42">SUMPRODUCT(--(ISNUMBER(SEARCH($A42,'Diags Raw Data'!$A$6:$A$6302))),--('Diags Raw Data'!$Q$6:$Q$6302&lt;&gt;"N/A"),'Diags Raw Data'!$T$6:$T$6302)+SUMPRODUCT(--(ISNUMBER(SEARCH($A42,'Diags Raw Data'!$A$6:$A$6302))),--('Diags Raw Data'!$Q$6:$Q$6302&lt;&gt;"N/A"),'Diags Raw Data'!$U$6:$U$6302)</f>
        <v>0</v>
      </c>
      <c r="O42" s="453">
        <f t="shared" si="2"/>
        <v>0</v>
      </c>
      <c r="P42" s="454">
        <f>SUMIF('Diags Raw Data'!$A$6:$A$6302,"*"&amp;$A42&amp;"*",'Diags Raw Data'!$Z$6:$Z$6302)</f>
        <v>0</v>
      </c>
      <c r="Q42" s="455">
        <f>SUM(SUMIF('Diags Raw Data'!$A$6:$A$6302,"*"&amp;$A42&amp;"*",'Diags Raw Data'!$AA$6:$AA$6302),SUMIF('Diags Raw Data'!$A$6:$A$6302,"*"&amp;$A42&amp;"*",'Diags Raw Data'!$AB$6:$AB$6302))</f>
        <v>0</v>
      </c>
      <c r="R42" s="456">
        <f t="shared" si="3"/>
        <v>0</v>
      </c>
      <c r="S42" s="456">
        <f t="shared" si="4"/>
        <v>0</v>
      </c>
      <c r="T42" s="457">
        <f t="shared" si="5"/>
        <v>0</v>
      </c>
      <c r="U42" s="420" t="s">
        <v>47</v>
      </c>
      <c r="V42" s="181"/>
    </row>
    <row r="43" spans="1:22" ht="90" hidden="1" x14ac:dyDescent="0.25">
      <c r="A43" s="415" t="s">
        <v>2046</v>
      </c>
      <c r="B43" s="416" t="str">
        <f>VLOOKUP(A43,'Feature Raw Data'!$A$3:$B$3960,2,FALSE)</f>
        <v>HDCP video Encryption</v>
      </c>
      <c r="C43" s="417" t="str">
        <f>VLOOKUP(A43,'Feature Raw Data'!$A$3:$C$3960,3,FALSE)</f>
        <v>P2</v>
      </c>
      <c r="D43" s="418" t="str" cm="1">
        <f t="array" ref="D43">_xlfn.TEXTJOIN("",TRUE,IF(ISNUMBER(SEARCH($A43,'Diags Raw Data'!$A$6:$A$6302)),CONCATENATE('Diags Raw Data'!$H$6:$H$6302,", "),""))</f>
        <v xml:space="preserve">VCN320.001, VCN320.002, VCN320.003, VCN320.004, VCN320.005, VCN320.006, VCN364.001, VCN364.002, VCN364.003, VCN364.004, VCN364.005, VCN364.006, </v>
      </c>
      <c r="E43" s="336" t="str">
        <f>VLOOKUP(A43,'Diags Raw Data'!$A$6:$D$6302,4,FALSE)</f>
        <v>VCN Encode</v>
      </c>
      <c r="F43" s="336" t="str">
        <f>VLOOKUP(A43,'Feature Raw Data'!$A$3:$E$3960,5,FALSE)</f>
        <v>Legacy</v>
      </c>
      <c r="G43" s="336" t="str">
        <f t="shared" si="6"/>
        <v>Yes</v>
      </c>
      <c r="H43" s="336" t="str">
        <f t="shared" si="7"/>
        <v>Yes</v>
      </c>
      <c r="I43" s="417">
        <f>SUMIF('Diags Raw Data'!$A$6:$A$6302,"*"&amp;$A43&amp;"*",'Diags Raw Data'!$K$6:$K$6302)</f>
        <v>12</v>
      </c>
      <c r="J43" s="419">
        <f>SUMIF('Diags Raw Data'!$A$6:$A$6302,"*"&amp;$A43&amp;"*",'Diags Raw Data'!$L$6:$L$6302)</f>
        <v>12</v>
      </c>
      <c r="K43" s="449" cm="1">
        <f t="array" ref="K43">IF(D43="",0, SUMPRODUCT(--(ISNUMBER(SEARCH($A43,'Diags Raw Data'!$A$6:$A$6302))),'Diags Raw Data'!$L$6:$L$6302,'Diags Raw Data'!$N$6:$N$6302)/J43)</f>
        <v>1</v>
      </c>
      <c r="L43" s="450" cm="1">
        <f t="array" ref="L43">IF(D43="",0, SUMPRODUCT(--(ISNUMBER(SEARCH($A43,'Diags Raw Data'!$A$6:$A$6302))),'Diags Raw Data'!$L$6:$L$6302,'Diags Raw Data'!$P$6:$P$6302)/J43)</f>
        <v>0</v>
      </c>
      <c r="M43" s="451" cm="1">
        <f t="array" ref="M43">SUMPRODUCT(--(ISNUMBER(SEARCH($A43,'Diags Raw Data'!$A$6:$A$6302))),--('Diags Raw Data'!$Q$6:$Q$6302&lt;&gt;"N/A"),'Diags Raw Data'!$R$6:$R$6302)</f>
        <v>12</v>
      </c>
      <c r="N43" s="452" cm="1">
        <f t="array" ref="N43">SUMPRODUCT(--(ISNUMBER(SEARCH($A43,'Diags Raw Data'!$A$6:$A$6302))),--('Diags Raw Data'!$Q$6:$Q$6302&lt;&gt;"N/A"),'Diags Raw Data'!$T$6:$T$6302)+SUMPRODUCT(--(ISNUMBER(SEARCH($A43,'Diags Raw Data'!$A$6:$A$6302))),--('Diags Raw Data'!$Q$6:$Q$6302&lt;&gt;"N/A"),'Diags Raw Data'!$U$6:$U$6302)</f>
        <v>0</v>
      </c>
      <c r="O43" s="453">
        <f t="shared" si="2"/>
        <v>0</v>
      </c>
      <c r="P43" s="454">
        <f>SUMIF('Diags Raw Data'!$A$6:$A$6302,"*"&amp;$A43&amp;"*",'Diags Raw Data'!$Z$6:$Z$6302)</f>
        <v>0</v>
      </c>
      <c r="Q43" s="455">
        <f>SUM(SUMIF('Diags Raw Data'!$A$6:$A$6302,"*"&amp;$A43&amp;"*",'Diags Raw Data'!$AA$6:$AA$6302),SUMIF('Diags Raw Data'!$A$6:$A$6302,"*"&amp;$A43&amp;"*",'Diags Raw Data'!$AB$6:$AB$6302))</f>
        <v>0</v>
      </c>
      <c r="R43" s="456">
        <f t="shared" si="3"/>
        <v>0</v>
      </c>
      <c r="S43" s="456">
        <f t="shared" si="4"/>
        <v>0</v>
      </c>
      <c r="T43" s="457">
        <f t="shared" si="5"/>
        <v>0</v>
      </c>
      <c r="U43" s="420" t="s">
        <v>277</v>
      </c>
      <c r="V43" s="181"/>
    </row>
    <row r="44" spans="1:22" ht="45" hidden="1" x14ac:dyDescent="0.25">
      <c r="A44" s="415" t="s">
        <v>3167</v>
      </c>
      <c r="B44" s="416" t="str">
        <f>VLOOKUP(A44,'Feature Raw Data'!$A$3:$B$3960,2,FALSE)</f>
        <v>HDCP Video partial Encryption (AV1)</v>
      </c>
      <c r="C44" s="417" t="str">
        <f>VLOOKUP(A44,'Feature Raw Data'!$A$3:$C$3960,3,FALSE)</f>
        <v>P2</v>
      </c>
      <c r="D44" s="418" t="str" cm="1">
        <f t="array" ref="D44">_xlfn.TEXTJOIN("",TRUE,IF(ISNUMBER(SEARCH($A44,'Diags Raw Data'!$A$6:$A$6302)),CONCATENATE('Diags Raw Data'!$H$6:$H$6302,", "),""))</f>
        <v xml:space="preserve">VCN414.001, VCN414.002, VCN414.003, VCN414.004, VCN414.005, VCN414.006, </v>
      </c>
      <c r="E44" s="336" t="str">
        <f>VLOOKUP(A44,'Diags Raw Data'!$A$6:$D$6302,4,FALSE)</f>
        <v>AV1 Encode</v>
      </c>
      <c r="F44" s="336" t="str">
        <f>VLOOKUP(A44,'Feature Raw Data'!$A$3:$E$3960,5,FALSE)</f>
        <v>Legacy</v>
      </c>
      <c r="G44" s="336" t="str">
        <f t="shared" si="6"/>
        <v>Yes</v>
      </c>
      <c r="H44" s="336" t="str">
        <f t="shared" si="7"/>
        <v>Yes</v>
      </c>
      <c r="I44" s="417">
        <f>SUMIF('Diags Raw Data'!$A$6:$A$6302,"*"&amp;$A44&amp;"*",'Diags Raw Data'!$K$6:$K$6302)</f>
        <v>6</v>
      </c>
      <c r="J44" s="419">
        <f>SUMIF('Diags Raw Data'!$A$6:$A$6302,"*"&amp;$A44&amp;"*",'Diags Raw Data'!$L$6:$L$6302)</f>
        <v>6</v>
      </c>
      <c r="K44" s="449" cm="1">
        <f t="array" ref="K44">IF(D44="",0, SUMPRODUCT(--(ISNUMBER(SEARCH($A44,'Diags Raw Data'!$A$6:$A$6302))),'Diags Raw Data'!$L$6:$L$6302,'Diags Raw Data'!$N$6:$N$6302)/J44)</f>
        <v>1</v>
      </c>
      <c r="L44" s="450" cm="1">
        <f t="array" ref="L44">IF(D44="",0, SUMPRODUCT(--(ISNUMBER(SEARCH($A44,'Diags Raw Data'!$A$6:$A$6302))),'Diags Raw Data'!$L$6:$L$6302,'Diags Raw Data'!$P$6:$P$6302)/J44)</f>
        <v>0</v>
      </c>
      <c r="M44" s="451" cm="1">
        <f t="array" ref="M44">SUMPRODUCT(--(ISNUMBER(SEARCH($A44,'Diags Raw Data'!$A$6:$A$6302))),--('Diags Raw Data'!$Q$6:$Q$6302&lt;&gt;"N/A"),'Diags Raw Data'!$R$6:$R$6302)</f>
        <v>6</v>
      </c>
      <c r="N44" s="452" cm="1">
        <f t="array" ref="N44">SUMPRODUCT(--(ISNUMBER(SEARCH($A44,'Diags Raw Data'!$A$6:$A$6302))),--('Diags Raw Data'!$Q$6:$Q$6302&lt;&gt;"N/A"),'Diags Raw Data'!$T$6:$T$6302)+SUMPRODUCT(--(ISNUMBER(SEARCH($A44,'Diags Raw Data'!$A$6:$A$6302))),--('Diags Raw Data'!$Q$6:$Q$6302&lt;&gt;"N/A"),'Diags Raw Data'!$U$6:$U$6302)</f>
        <v>0</v>
      </c>
      <c r="O44" s="453">
        <f t="shared" si="2"/>
        <v>0</v>
      </c>
      <c r="P44" s="454">
        <f>SUMIF('Diags Raw Data'!$A$6:$A$6302,"*"&amp;$A44&amp;"*",'Diags Raw Data'!$Z$6:$Z$6302)</f>
        <v>0</v>
      </c>
      <c r="Q44" s="455">
        <f>SUM(SUMIF('Diags Raw Data'!$A$6:$A$6302,"*"&amp;$A44&amp;"*",'Diags Raw Data'!$AA$6:$AA$6302),SUMIF('Diags Raw Data'!$A$6:$A$6302,"*"&amp;$A44&amp;"*",'Diags Raw Data'!$AB$6:$AB$6302))</f>
        <v>0</v>
      </c>
      <c r="R44" s="456">
        <f t="shared" si="3"/>
        <v>0</v>
      </c>
      <c r="S44" s="456">
        <f t="shared" si="4"/>
        <v>0</v>
      </c>
      <c r="T44" s="457">
        <f t="shared" si="5"/>
        <v>0</v>
      </c>
      <c r="U44" s="420" t="s">
        <v>3465</v>
      </c>
      <c r="V44" s="181"/>
    </row>
    <row r="45" spans="1:22" x14ac:dyDescent="0.25">
      <c r="A45" s="415" t="s">
        <v>3430</v>
      </c>
      <c r="B45" s="416" t="str">
        <f>VLOOKUP(A45,'Feature Raw Data'!$A$3:$B$3960,2,FALSE)</f>
        <v>HDCP status report</v>
      </c>
      <c r="C45" s="417" t="str">
        <f>VLOOKUP(A45,'Feature Raw Data'!$A$3:$C$3960,3,FALSE)</f>
        <v>P1</v>
      </c>
      <c r="D45" s="418" t="str" cm="1">
        <f t="array" ref="D45">_xlfn.TEXTJOIN("",TRUE,IF(ISNUMBER(SEARCH($A45,'Diags Raw Data'!$A$6:$A$6302)),CONCATENATE('Diags Raw Data'!$H$6:$H$6302,", "),""))</f>
        <v/>
      </c>
      <c r="E45" s="336" t="e">
        <f>VLOOKUP(A45,'Diags Raw Data'!$A$6:$D$6302,4,FALSE)</f>
        <v>#N/A</v>
      </c>
      <c r="F45" s="336" t="str">
        <f>VLOOKUP(A45,'Feature Raw Data'!$A$3:$E$3960,5,FALSE)</f>
        <v>New</v>
      </c>
      <c r="G45" s="336" t="str">
        <f t="shared" si="6"/>
        <v>No</v>
      </c>
      <c r="H45" s="336" t="str">
        <f t="shared" si="7"/>
        <v>No</v>
      </c>
      <c r="I45" s="417">
        <f>SUMIF('Diags Raw Data'!$A$6:$A$6302,"*"&amp;$A45&amp;"*",'Diags Raw Data'!$K$6:$K$6302)</f>
        <v>0</v>
      </c>
      <c r="J45" s="419">
        <f>SUMIF('Diags Raw Data'!$A$6:$A$6302,"*"&amp;$A45&amp;"*",'Diags Raw Data'!$L$6:$L$6302)</f>
        <v>0</v>
      </c>
      <c r="K45" s="449" cm="1">
        <f t="array" ref="K45">IF(D45="",0, SUMPRODUCT(--(ISNUMBER(SEARCH($A45,'Diags Raw Data'!$A$6:$A$6302))),'Diags Raw Data'!$L$6:$L$6302,'Diags Raw Data'!$N$6:$N$6302)/J45)</f>
        <v>0</v>
      </c>
      <c r="L45" s="450" cm="1">
        <f t="array" ref="L45">IF(D45="",0, SUMPRODUCT(--(ISNUMBER(SEARCH($A45,'Diags Raw Data'!$A$6:$A$6302))),'Diags Raw Data'!$L$6:$L$6302,'Diags Raw Data'!$P$6:$P$6302)/J45)</f>
        <v>0</v>
      </c>
      <c r="M45" s="451" cm="1">
        <f t="array" ref="M45">SUMPRODUCT(--(ISNUMBER(SEARCH($A45,'Diags Raw Data'!$A$6:$A$6302))),--('Diags Raw Data'!$Q$6:$Q$6302&lt;&gt;"N/A"),'Diags Raw Data'!$R$6:$R$6302)</f>
        <v>0</v>
      </c>
      <c r="N45" s="452" cm="1">
        <f t="array" ref="N45">SUMPRODUCT(--(ISNUMBER(SEARCH($A45,'Diags Raw Data'!$A$6:$A$6302))),--('Diags Raw Data'!$Q$6:$Q$6302&lt;&gt;"N/A"),'Diags Raw Data'!$T$6:$T$6302)+SUMPRODUCT(--(ISNUMBER(SEARCH($A45,'Diags Raw Data'!$A$6:$A$6302))),--('Diags Raw Data'!$Q$6:$Q$6302&lt;&gt;"N/A"),'Diags Raw Data'!$U$6:$U$6302)</f>
        <v>0</v>
      </c>
      <c r="O45" s="453">
        <f t="shared" si="2"/>
        <v>0</v>
      </c>
      <c r="P45" s="454">
        <f>SUMIF('Diags Raw Data'!$A$6:$A$6302,"*"&amp;$A45&amp;"*",'Diags Raw Data'!$Z$6:$Z$6302)</f>
        <v>0</v>
      </c>
      <c r="Q45" s="455">
        <f>SUM(SUMIF('Diags Raw Data'!$A$6:$A$6302,"*"&amp;$A45&amp;"*",'Diags Raw Data'!$AA$6:$AA$6302),SUMIF('Diags Raw Data'!$A$6:$A$6302,"*"&amp;$A45&amp;"*",'Diags Raw Data'!$AB$6:$AB$6302))</f>
        <v>0</v>
      </c>
      <c r="R45" s="456">
        <f t="shared" si="3"/>
        <v>0</v>
      </c>
      <c r="S45" s="456">
        <f t="shared" si="4"/>
        <v>0</v>
      </c>
      <c r="T45" s="457">
        <f t="shared" si="5"/>
        <v>0</v>
      </c>
      <c r="U45" s="420" t="s">
        <v>3468</v>
      </c>
      <c r="V45" s="181"/>
    </row>
    <row r="46" spans="1:22" ht="330" hidden="1" x14ac:dyDescent="0.25">
      <c r="A46" s="415" t="s">
        <v>3432</v>
      </c>
      <c r="B46" s="416" t="str">
        <f>VLOOKUP(A46,'Feature Raw Data'!$A$3:$B$3960,2,FALSE)</f>
        <v>CENC CBC support</v>
      </c>
      <c r="C46" s="417" t="str">
        <f>VLOOKUP(A46,'Feature Raw Data'!$A$3:$C$3960,3,FALSE)</f>
        <v>P2</v>
      </c>
      <c r="D46" s="418" t="str" cm="1">
        <f t="array" ref="D46">_xlfn.TEXTJOIN("",TRUE,IF(ISNUMBER(SEARCH($A46,'Diags Raw Data'!$A$6:$A$6302)),CONCATENATE('Diags Raw Data'!$H$6:$H$6302,",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6" t="str">
        <f>VLOOKUP(A46,'Diags Raw Data'!$A$6:$D$6302,4,FALSE)</f>
        <v>Security</v>
      </c>
      <c r="F46" s="336" t="str">
        <f>VLOOKUP(A46,'Feature Raw Data'!$A$3:$E$3960,5,FALSE)</f>
        <v>Legacy</v>
      </c>
      <c r="G46" s="336" t="str">
        <f t="shared" si="6"/>
        <v>Yes</v>
      </c>
      <c r="H46" s="336" t="str">
        <f t="shared" si="7"/>
        <v>Yes</v>
      </c>
      <c r="I46" s="417">
        <f>SUMIF('Diags Raw Data'!$A$6:$A$6302,"*"&amp;$A46&amp;"*",'Diags Raw Data'!$K$6:$K$6302)</f>
        <v>44</v>
      </c>
      <c r="J46" s="419">
        <f>SUMIF('Diags Raw Data'!$A$6:$A$6302,"*"&amp;$A46&amp;"*",'Diags Raw Data'!$L$6:$L$6302)</f>
        <v>44</v>
      </c>
      <c r="K46" s="449" cm="1">
        <f t="array" ref="K46">IF(D46="",0, SUMPRODUCT(--(ISNUMBER(SEARCH($A46,'Diags Raw Data'!$A$6:$A$6302))),'Diags Raw Data'!$L$6:$L$6302,'Diags Raw Data'!$N$6:$N$6302)/J46)</f>
        <v>1</v>
      </c>
      <c r="L46" s="450" cm="1">
        <f t="array" ref="L46">IF(D46="",0, SUMPRODUCT(--(ISNUMBER(SEARCH($A46,'Diags Raw Data'!$A$6:$A$6302))),'Diags Raw Data'!$L$6:$L$6302,'Diags Raw Data'!$P$6:$P$6302)/J46)</f>
        <v>0.625</v>
      </c>
      <c r="M46" s="451" cm="1">
        <f t="array" ref="M46">SUMPRODUCT(--(ISNUMBER(SEARCH($A46,'Diags Raw Data'!$A$6:$A$6302))),--('Diags Raw Data'!$Q$6:$Q$6302&lt;&gt;"N/A"),'Diags Raw Data'!$R$6:$R$6302)</f>
        <v>11</v>
      </c>
      <c r="N46" s="452" cm="1">
        <f t="array" ref="N46">SUMPRODUCT(--(ISNUMBER(SEARCH($A46,'Diags Raw Data'!$A$6:$A$6302))),--('Diags Raw Data'!$Q$6:$Q$6302&lt;&gt;"N/A"),'Diags Raw Data'!$T$6:$T$6302)+SUMPRODUCT(--(ISNUMBER(SEARCH($A46,'Diags Raw Data'!$A$6:$A$6302))),--('Diags Raw Data'!$Q$6:$Q$6302&lt;&gt;"N/A"),'Diags Raw Data'!$U$6:$U$6302)</f>
        <v>0</v>
      </c>
      <c r="O46" s="453">
        <f t="shared" si="2"/>
        <v>0</v>
      </c>
      <c r="P46" s="454">
        <f>SUMIF('Diags Raw Data'!$A$6:$A$6302,"*"&amp;$A46&amp;"*",'Diags Raw Data'!$Z$6:$Z$6302)</f>
        <v>0</v>
      </c>
      <c r="Q46" s="455">
        <f>SUM(SUMIF('Diags Raw Data'!$A$6:$A$6302,"*"&amp;$A46&amp;"*",'Diags Raw Data'!$AA$6:$AA$6302),SUMIF('Diags Raw Data'!$A$6:$A$6302,"*"&amp;$A46&amp;"*",'Diags Raw Data'!$AB$6:$AB$6302))</f>
        <v>0</v>
      </c>
      <c r="R46" s="456">
        <f t="shared" si="3"/>
        <v>0</v>
      </c>
      <c r="S46" s="456">
        <f t="shared" si="4"/>
        <v>0</v>
      </c>
      <c r="T46" s="457">
        <f t="shared" si="5"/>
        <v>0</v>
      </c>
      <c r="U46" s="420" t="s">
        <v>3466</v>
      </c>
      <c r="V46" s="181"/>
    </row>
    <row r="47" spans="1:22" ht="330" hidden="1" x14ac:dyDescent="0.25">
      <c r="A47" s="415" t="s">
        <v>3434</v>
      </c>
      <c r="B47" s="416" t="str">
        <f>VLOOKUP(A47,'Feature Raw Data'!$A$3:$B$3960,2,FALSE)</f>
        <v>CENS support</v>
      </c>
      <c r="C47" s="417" t="str">
        <f>VLOOKUP(A47,'Feature Raw Data'!$A$3:$C$3960,3,FALSE)</f>
        <v>P2</v>
      </c>
      <c r="D47" s="418" t="str" cm="1">
        <f t="array" ref="D47">_xlfn.TEXTJOIN("",TRUE,IF(ISNUMBER(SEARCH($A47,'Diags Raw Data'!$A$6:$A$6302)),CONCATENATE('Diags Raw Data'!$H$6:$H$6302,",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6" t="str">
        <f>VLOOKUP(A47,'Diags Raw Data'!$A$6:$D$6302,4,FALSE)</f>
        <v>Security</v>
      </c>
      <c r="F47" s="336" t="str">
        <f>VLOOKUP(A47,'Feature Raw Data'!$A$3:$E$3960,5,FALSE)</f>
        <v>Legacy</v>
      </c>
      <c r="G47" s="336" t="str">
        <f t="shared" si="6"/>
        <v>Yes</v>
      </c>
      <c r="H47" s="336" t="str">
        <f t="shared" si="7"/>
        <v>Yes</v>
      </c>
      <c r="I47" s="417">
        <f>SUMIF('Diags Raw Data'!$A$6:$A$6302,"*"&amp;$A47&amp;"*",'Diags Raw Data'!$K$6:$K$6302)</f>
        <v>44</v>
      </c>
      <c r="J47" s="419">
        <f>SUMIF('Diags Raw Data'!$A$6:$A$6302,"*"&amp;$A47&amp;"*",'Diags Raw Data'!$L$6:$L$6302)</f>
        <v>44</v>
      </c>
      <c r="K47" s="449" cm="1">
        <f t="array" ref="K47">IF(D47="",0, SUMPRODUCT(--(ISNUMBER(SEARCH($A47,'Diags Raw Data'!$A$6:$A$6302))),'Diags Raw Data'!$L$6:$L$6302,'Diags Raw Data'!$N$6:$N$6302)/J47)</f>
        <v>1</v>
      </c>
      <c r="L47" s="450" cm="1">
        <f t="array" ref="L47">IF(D47="",0, SUMPRODUCT(--(ISNUMBER(SEARCH($A47,'Diags Raw Data'!$A$6:$A$6302))),'Diags Raw Data'!$L$6:$L$6302,'Diags Raw Data'!$P$6:$P$6302)/J47)</f>
        <v>0.625</v>
      </c>
      <c r="M47" s="451" cm="1">
        <f t="array" ref="M47">SUMPRODUCT(--(ISNUMBER(SEARCH($A47,'Diags Raw Data'!$A$6:$A$6302))),--('Diags Raw Data'!$Q$6:$Q$6302&lt;&gt;"N/A"),'Diags Raw Data'!$R$6:$R$6302)</f>
        <v>11</v>
      </c>
      <c r="N47" s="452" cm="1">
        <f t="array" ref="N47">SUMPRODUCT(--(ISNUMBER(SEARCH($A47,'Diags Raw Data'!$A$6:$A$6302))),--('Diags Raw Data'!$Q$6:$Q$6302&lt;&gt;"N/A"),'Diags Raw Data'!$T$6:$T$6302)+SUMPRODUCT(--(ISNUMBER(SEARCH($A47,'Diags Raw Data'!$A$6:$A$6302))),--('Diags Raw Data'!$Q$6:$Q$6302&lt;&gt;"N/A"),'Diags Raw Data'!$U$6:$U$6302)</f>
        <v>10</v>
      </c>
      <c r="O47" s="453">
        <f t="shared" si="2"/>
        <v>0.90909090909090906</v>
      </c>
      <c r="P47" s="454">
        <f>SUMIF('Diags Raw Data'!$A$6:$A$6302,"*"&amp;$A47&amp;"*",'Diags Raw Data'!$Z$6:$Z$6302)</f>
        <v>0</v>
      </c>
      <c r="Q47" s="455">
        <f>SUM(SUMIF('Diags Raw Data'!$A$6:$A$6302,"*"&amp;$A47&amp;"*",'Diags Raw Data'!$AA$6:$AA$6302),SUMIF('Diags Raw Data'!$A$6:$A$6302,"*"&amp;$A47&amp;"*",'Diags Raw Data'!$AB$6:$AB$6302))</f>
        <v>0</v>
      </c>
      <c r="R47" s="456">
        <f t="shared" si="3"/>
        <v>0</v>
      </c>
      <c r="S47" s="456">
        <f t="shared" si="4"/>
        <v>0</v>
      </c>
      <c r="T47" s="457">
        <f t="shared" si="5"/>
        <v>0</v>
      </c>
      <c r="U47" s="420" t="s">
        <v>3465</v>
      </c>
      <c r="V47" s="181"/>
    </row>
    <row r="48" spans="1:22" ht="330" hidden="1" x14ac:dyDescent="0.25">
      <c r="A48" s="415" t="s">
        <v>3436</v>
      </c>
      <c r="B48" s="416" t="str">
        <f>VLOOKUP(A48,'Feature Raw Data'!$A$3:$B$3960,2,FALSE)</f>
        <v>CBC1 support</v>
      </c>
      <c r="C48" s="417" t="str">
        <f>VLOOKUP(A48,'Feature Raw Data'!$A$3:$C$3960,3,FALSE)</f>
        <v>P2</v>
      </c>
      <c r="D48" s="418" t="str" cm="1">
        <f t="array" ref="D48">_xlfn.TEXTJOIN("",TRUE,IF(ISNUMBER(SEARCH($A48,'Diags Raw Data'!$A$6:$A$6302)),CONCATENATE('Diags Raw Data'!$H$6:$H$6302,",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6" t="str">
        <f>VLOOKUP(A48,'Diags Raw Data'!$A$6:$D$6302,4,FALSE)</f>
        <v>Security</v>
      </c>
      <c r="F48" s="336" t="str">
        <f>VLOOKUP(A48,'Feature Raw Data'!$A$3:$E$3960,5,FALSE)</f>
        <v>Legacy</v>
      </c>
      <c r="G48" s="336" t="str">
        <f t="shared" si="6"/>
        <v>Yes</v>
      </c>
      <c r="H48" s="336" t="str">
        <f t="shared" si="7"/>
        <v>Yes</v>
      </c>
      <c r="I48" s="417">
        <f>SUMIF('Diags Raw Data'!$A$6:$A$6302,"*"&amp;$A48&amp;"*",'Diags Raw Data'!$K$6:$K$6302)</f>
        <v>44</v>
      </c>
      <c r="J48" s="419">
        <f>SUMIF('Diags Raw Data'!$A$6:$A$6302,"*"&amp;$A48&amp;"*",'Diags Raw Data'!$L$6:$L$6302)</f>
        <v>44</v>
      </c>
      <c r="K48" s="449" cm="1">
        <f t="array" ref="K48">IF(D48="",0, SUMPRODUCT(--(ISNUMBER(SEARCH($A48,'Diags Raw Data'!$A$6:$A$6302))),'Diags Raw Data'!$L$6:$L$6302,'Diags Raw Data'!$N$6:$N$6302)/J48)</f>
        <v>1</v>
      </c>
      <c r="L48" s="450" cm="1">
        <f t="array" ref="L48">IF(D48="",0, SUMPRODUCT(--(ISNUMBER(SEARCH($A48,'Diags Raw Data'!$A$6:$A$6302))),'Diags Raw Data'!$L$6:$L$6302,'Diags Raw Data'!$P$6:$P$6302)/J48)</f>
        <v>0.625</v>
      </c>
      <c r="M48" s="451" cm="1">
        <f t="array" ref="M48">SUMPRODUCT(--(ISNUMBER(SEARCH($A48,'Diags Raw Data'!$A$6:$A$6302))),--('Diags Raw Data'!$Q$6:$Q$6302&lt;&gt;"N/A"),'Diags Raw Data'!$R$6:$R$6302)</f>
        <v>11</v>
      </c>
      <c r="N48" s="452" cm="1">
        <f t="array" ref="N48">SUMPRODUCT(--(ISNUMBER(SEARCH($A48,'Diags Raw Data'!$A$6:$A$6302))),--('Diags Raw Data'!$Q$6:$Q$6302&lt;&gt;"N/A"),'Diags Raw Data'!$T$6:$T$6302)+SUMPRODUCT(--(ISNUMBER(SEARCH($A48,'Diags Raw Data'!$A$6:$A$6302))),--('Diags Raw Data'!$Q$6:$Q$6302&lt;&gt;"N/A"),'Diags Raw Data'!$U$6:$U$6302)</f>
        <v>11</v>
      </c>
      <c r="O48" s="453">
        <f t="shared" si="2"/>
        <v>1</v>
      </c>
      <c r="P48" s="454">
        <f>SUMIF('Diags Raw Data'!$A$6:$A$6302,"*"&amp;$A48&amp;"*",'Diags Raw Data'!$Z$6:$Z$6302)</f>
        <v>0</v>
      </c>
      <c r="Q48" s="455">
        <f>SUM(SUMIF('Diags Raw Data'!$A$6:$A$6302,"*"&amp;$A48&amp;"*",'Diags Raw Data'!$AA$6:$AA$6302),SUMIF('Diags Raw Data'!$A$6:$A$6302,"*"&amp;$A48&amp;"*",'Diags Raw Data'!$AB$6:$AB$6302))</f>
        <v>0</v>
      </c>
      <c r="R48" s="456">
        <f t="shared" si="3"/>
        <v>0</v>
      </c>
      <c r="S48" s="456">
        <f t="shared" si="4"/>
        <v>0</v>
      </c>
      <c r="T48" s="457">
        <f t="shared" si="5"/>
        <v>0</v>
      </c>
      <c r="U48" s="420" t="s">
        <v>3465</v>
      </c>
      <c r="V48" s="181"/>
    </row>
    <row r="49" spans="1:22" ht="409.5" hidden="1" x14ac:dyDescent="0.25">
      <c r="A49" s="415" t="s">
        <v>3438</v>
      </c>
      <c r="B49" s="416" t="str">
        <f>VLOOKUP(A49,'Feature Raw Data'!$A$3:$B$3960,2,FALSE)</f>
        <v>AES Cipher Integration</v>
      </c>
      <c r="C49" s="417" t="str">
        <f>VLOOKUP(A49,'Feature Raw Data'!$A$3:$C$3960,3,FALSE)</f>
        <v>P2</v>
      </c>
      <c r="D49" s="418" t="str" cm="1">
        <f t="array" ref="D49">_xlfn.TEXTJOIN("",TRUE,IF(ISNUMBER(SEARCH($A49,'Diags Raw Data'!$A$6:$A$6302)),CONCATENATE('Diags Raw Data'!$H$6:$H$6302,",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6" t="str">
        <f>VLOOKUP(A49,'Diags Raw Data'!$A$6:$D$6302,4,FALSE)</f>
        <v>Security</v>
      </c>
      <c r="F49" s="336" t="str">
        <f>VLOOKUP(A49,'Feature Raw Data'!$A$3:$E$3960,5,FALSE)</f>
        <v>Legacy</v>
      </c>
      <c r="G49" s="336" t="str">
        <f t="shared" si="6"/>
        <v>Yes</v>
      </c>
      <c r="H49" s="336" t="str">
        <f t="shared" si="7"/>
        <v>Yes</v>
      </c>
      <c r="I49" s="417">
        <f>SUMIF('Diags Raw Data'!$A$6:$A$6302,"*"&amp;$A49&amp;"*",'Diags Raw Data'!$K$6:$K$6302)</f>
        <v>153</v>
      </c>
      <c r="J49" s="419">
        <f>SUMIF('Diags Raw Data'!$A$6:$A$6302,"*"&amp;$A49&amp;"*",'Diags Raw Data'!$L$6:$L$6302)</f>
        <v>153</v>
      </c>
      <c r="K49" s="449" cm="1">
        <f t="array" ref="K49">IF(D49="",0, SUMPRODUCT(--(ISNUMBER(SEARCH($A49,'Diags Raw Data'!$A$6:$A$6302))),'Diags Raw Data'!$L$6:$L$6302,'Diags Raw Data'!$N$6:$N$6302)/J49)</f>
        <v>0.94117647058823528</v>
      </c>
      <c r="L49" s="450" cm="1">
        <f t="array" ref="L49">IF(D49="",0, SUMPRODUCT(--(ISNUMBER(SEARCH($A49,'Diags Raw Data'!$A$6:$A$6302))),'Diags Raw Data'!$L$6:$L$6302,'Diags Raw Data'!$P$6:$P$6302)/J49)</f>
        <v>0.69607843137254899</v>
      </c>
      <c r="M49" s="451" cm="1">
        <f t="array" ref="M49">SUMPRODUCT(--(ISNUMBER(SEARCH($A49,'Diags Raw Data'!$A$6:$A$6302))),--('Diags Raw Data'!$Q$6:$Q$6302&lt;&gt;"N/A"),'Diags Raw Data'!$R$6:$R$6302)</f>
        <v>78</v>
      </c>
      <c r="N49" s="452" cm="1">
        <f t="array" ref="N49">SUMPRODUCT(--(ISNUMBER(SEARCH($A49,'Diags Raw Data'!$A$6:$A$6302))),--('Diags Raw Data'!$Q$6:$Q$6302&lt;&gt;"N/A"),'Diags Raw Data'!$T$6:$T$6302)+SUMPRODUCT(--(ISNUMBER(SEARCH($A49,'Diags Raw Data'!$A$6:$A$6302))),--('Diags Raw Data'!$Q$6:$Q$6302&lt;&gt;"N/A"),'Diags Raw Data'!$U$6:$U$6302)</f>
        <v>57</v>
      </c>
      <c r="O49" s="453">
        <f t="shared" si="2"/>
        <v>0.73076923076923073</v>
      </c>
      <c r="P49" s="454">
        <f>SUMIF('Diags Raw Data'!$A$6:$A$6302,"*"&amp;$A49&amp;"*",'Diags Raw Data'!$Z$6:$Z$6302)</f>
        <v>0</v>
      </c>
      <c r="Q49" s="455">
        <f>SUM(SUMIF('Diags Raw Data'!$A$6:$A$6302,"*"&amp;$A49&amp;"*",'Diags Raw Data'!$AA$6:$AA$6302),SUMIF('Diags Raw Data'!$A$6:$A$6302,"*"&amp;$A49&amp;"*",'Diags Raw Data'!$AB$6:$AB$6302))</f>
        <v>0</v>
      </c>
      <c r="R49" s="456">
        <f t="shared" si="3"/>
        <v>0</v>
      </c>
      <c r="S49" s="456">
        <f t="shared" si="4"/>
        <v>0</v>
      </c>
      <c r="T49" s="457">
        <f t="shared" si="5"/>
        <v>0</v>
      </c>
      <c r="U49" s="420" t="s">
        <v>286</v>
      </c>
      <c r="V49" s="181"/>
    </row>
    <row r="50" spans="1:22" ht="90" hidden="1" x14ac:dyDescent="0.25">
      <c r="A50" s="415" t="s">
        <v>1387</v>
      </c>
      <c r="B50" s="416" t="str">
        <f>VLOOKUP(A50,'Feature Raw Data'!$A$3:$B$3960,2,FALSE)</f>
        <v>Full PlayReady Support</v>
      </c>
      <c r="C50" s="417" t="str">
        <f>VLOOKUP(A50,'Feature Raw Data'!$A$3:$C$3960,3,FALSE)</f>
        <v>P2</v>
      </c>
      <c r="D50" s="418" t="str" cm="1">
        <f t="array" ref="D50">_xlfn.TEXTJOIN("",TRUE,IF(ISNUMBER(SEARCH($A50,'Diags Raw Data'!$A$6:$A$6302)),CONCATENATE('Diags Raw Data'!$H$6:$H$6302,", "),""))</f>
        <v xml:space="preserve">VCN140.001, VCN140.002, VCN140.003, VCN140.004, VCN140.101, VCN140.102, VCN140.103, VCN140.104, VCN140.201, VCN140.202, VCN140.203, VCN140.204, </v>
      </c>
      <c r="E50" s="336" t="str">
        <f>VLOOKUP(A50,'Diags Raw Data'!$A$6:$D$6302,4,FALSE)</f>
        <v>Security</v>
      </c>
      <c r="F50" s="336" t="str">
        <f>VLOOKUP(A50,'Feature Raw Data'!$A$3:$E$3960,5,FALSE)</f>
        <v>Legacy</v>
      </c>
      <c r="G50" s="336" t="str">
        <f t="shared" si="6"/>
        <v>Yes</v>
      </c>
      <c r="H50" s="336" t="str">
        <f t="shared" si="7"/>
        <v>Yes</v>
      </c>
      <c r="I50" s="417">
        <f>SUMIF('Diags Raw Data'!$A$6:$A$6302,"*"&amp;$A50&amp;"*",'Diags Raw Data'!$K$6:$K$6302)</f>
        <v>12</v>
      </c>
      <c r="J50" s="419">
        <f>SUMIF('Diags Raw Data'!$A$6:$A$6302,"*"&amp;$A50&amp;"*",'Diags Raw Data'!$L$6:$L$6302)</f>
        <v>12</v>
      </c>
      <c r="K50" s="449" cm="1">
        <f t="array" ref="K50">IF(D50="",0, SUMPRODUCT(--(ISNUMBER(SEARCH($A50,'Diags Raw Data'!$A$6:$A$6302))),'Diags Raw Data'!$L$6:$L$6302,'Diags Raw Data'!$N$6:$N$6302)/J50)</f>
        <v>1</v>
      </c>
      <c r="L50" s="450" cm="1">
        <f t="array" ref="L50">IF(D50="",0, SUMPRODUCT(--(ISNUMBER(SEARCH($A50,'Diags Raw Data'!$A$6:$A$6302))),'Diags Raw Data'!$L$6:$L$6302,'Diags Raw Data'!$P$6:$P$6302)/J50)</f>
        <v>0.5</v>
      </c>
      <c r="M50" s="451" cm="1">
        <f t="array" ref="M50">SUMPRODUCT(--(ISNUMBER(SEARCH($A50,'Diags Raw Data'!$A$6:$A$6302))),--('Diags Raw Data'!$Q$6:$Q$6302&lt;&gt;"N/A"),'Diags Raw Data'!$R$6:$R$6302)</f>
        <v>12</v>
      </c>
      <c r="N50" s="452" cm="1">
        <f t="array" ref="N50">SUMPRODUCT(--(ISNUMBER(SEARCH($A50,'Diags Raw Data'!$A$6:$A$6302))),--('Diags Raw Data'!$Q$6:$Q$6302&lt;&gt;"N/A"),'Diags Raw Data'!$T$6:$T$6302)+SUMPRODUCT(--(ISNUMBER(SEARCH($A50,'Diags Raw Data'!$A$6:$A$6302))),--('Diags Raw Data'!$Q$6:$Q$6302&lt;&gt;"N/A"),'Diags Raw Data'!$U$6:$U$6302)</f>
        <v>0</v>
      </c>
      <c r="O50" s="453">
        <f t="shared" si="2"/>
        <v>0</v>
      </c>
      <c r="P50" s="454">
        <f>SUMIF('Diags Raw Data'!$A$6:$A$6302,"*"&amp;$A50&amp;"*",'Diags Raw Data'!$Z$6:$Z$6302)</f>
        <v>0</v>
      </c>
      <c r="Q50" s="455">
        <f>SUM(SUMIF('Diags Raw Data'!$A$6:$A$6302,"*"&amp;$A50&amp;"*",'Diags Raw Data'!$AA$6:$AA$6302),SUMIF('Diags Raw Data'!$A$6:$A$6302,"*"&amp;$A50&amp;"*",'Diags Raw Data'!$AB$6:$AB$6302))</f>
        <v>0</v>
      </c>
      <c r="R50" s="456">
        <f t="shared" si="3"/>
        <v>0</v>
      </c>
      <c r="S50" s="456">
        <f t="shared" si="4"/>
        <v>0</v>
      </c>
      <c r="T50" s="457">
        <f t="shared" si="5"/>
        <v>0</v>
      </c>
      <c r="U50" s="420" t="s">
        <v>3468</v>
      </c>
      <c r="V50" s="181"/>
    </row>
    <row r="51" spans="1:22" ht="409.5" hidden="1" x14ac:dyDescent="0.25">
      <c r="A51" s="415" t="s">
        <v>3440</v>
      </c>
      <c r="B51" s="416" t="str">
        <f>VLOOKUP(A51,'Feature Raw Data'!$A$3:$B$3960,2,FALSE)</f>
        <v>GFX AddrLib</v>
      </c>
      <c r="C51" s="417" t="str">
        <f>VLOOKUP(A51,'Feature Raw Data'!$A$3:$C$3960,3,FALSE)</f>
        <v>P2</v>
      </c>
      <c r="D51" s="418" t="str" cm="1">
        <f t="array" ref="D51">_xlfn.TEXTJOIN("",TRUE,IF(ISNUMBER(SEARCH($A51,'Diags Raw Data'!$A$6:$A$6302)),CONCATENATE('Diags Raw Data'!$H$6:$H$6302,",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1" s="336" t="str">
        <f>VLOOKUP(A51,'Diags Raw Data'!$A$6:$D$6302,4,FALSE)</f>
        <v>VCN Decode</v>
      </c>
      <c r="F51" s="336" t="str">
        <f>VLOOKUP(A51,'Feature Raw Data'!$A$3:$E$3960,5,FALSE)</f>
        <v>Delta</v>
      </c>
      <c r="G51" s="336" t="str">
        <f t="shared" si="6"/>
        <v>Yes</v>
      </c>
      <c r="H51" s="336" t="str">
        <f t="shared" si="7"/>
        <v>Yes</v>
      </c>
      <c r="I51" s="417">
        <f>SUMIF('Diags Raw Data'!$A$6:$A$6302,"*"&amp;$A51&amp;"*",'Diags Raw Data'!$K$6:$K$6302)</f>
        <v>204</v>
      </c>
      <c r="J51" s="419">
        <f>SUMIF('Diags Raw Data'!$A$6:$A$6302,"*"&amp;$A51&amp;"*",'Diags Raw Data'!$L$6:$L$6302)</f>
        <v>204</v>
      </c>
      <c r="K51" s="449" cm="1">
        <f t="array" ref="K51">IF(D51="",0, SUMPRODUCT(--(ISNUMBER(SEARCH($A51,'Diags Raw Data'!$A$6:$A$6302))),'Diags Raw Data'!$L$6:$L$6302,'Diags Raw Data'!$N$6:$N$6302)/J51)</f>
        <v>1</v>
      </c>
      <c r="L51" s="450" cm="1">
        <f t="array" ref="L51">IF(D51="",0, SUMPRODUCT(--(ISNUMBER(SEARCH($A51,'Diags Raw Data'!$A$6:$A$6302))),'Diags Raw Data'!$L$6:$L$6302,'Diags Raw Data'!$P$6:$P$6302)/J51)</f>
        <v>0.23039215686274508</v>
      </c>
      <c r="M51" s="451" cm="1">
        <f t="array" ref="M51">SUMPRODUCT(--(ISNUMBER(SEARCH($A51,'Diags Raw Data'!$A$6:$A$6302))),--('Diags Raw Data'!$Q$6:$Q$6302&lt;&gt;"N/A"),'Diags Raw Data'!$R$6:$R$6302)</f>
        <v>204</v>
      </c>
      <c r="N51" s="452" cm="1">
        <f t="array" ref="N51">SUMPRODUCT(--(ISNUMBER(SEARCH($A51,'Diags Raw Data'!$A$6:$A$6302))),--('Diags Raw Data'!$Q$6:$Q$6302&lt;&gt;"N/A"),'Diags Raw Data'!$T$6:$T$6302)+SUMPRODUCT(--(ISNUMBER(SEARCH($A51,'Diags Raw Data'!$A$6:$A$6302))),--('Diags Raw Data'!$Q$6:$Q$6302&lt;&gt;"N/A"),'Diags Raw Data'!$U$6:$U$6302)</f>
        <v>0</v>
      </c>
      <c r="O51" s="453">
        <f t="shared" si="2"/>
        <v>0</v>
      </c>
      <c r="P51" s="454">
        <f>SUMIF('Diags Raw Data'!$A$6:$A$6302,"*"&amp;$A51&amp;"*",'Diags Raw Data'!$Z$6:$Z$6302)</f>
        <v>0</v>
      </c>
      <c r="Q51" s="455">
        <f>SUM(SUMIF('Diags Raw Data'!$A$6:$A$6302,"*"&amp;$A51&amp;"*",'Diags Raw Data'!$AA$6:$AA$6302),SUMIF('Diags Raw Data'!$A$6:$A$6302,"*"&amp;$A51&amp;"*",'Diags Raw Data'!$AB$6:$AB$6302))</f>
        <v>0</v>
      </c>
      <c r="R51" s="456">
        <f t="shared" si="3"/>
        <v>0</v>
      </c>
      <c r="S51" s="456">
        <f t="shared" si="4"/>
        <v>0</v>
      </c>
      <c r="T51" s="457">
        <f t="shared" si="5"/>
        <v>0</v>
      </c>
      <c r="U51" s="420" t="s">
        <v>47</v>
      </c>
      <c r="V51" s="181"/>
    </row>
    <row r="52" spans="1:22" ht="409.5" hidden="1" x14ac:dyDescent="0.25">
      <c r="A52" s="415" t="s">
        <v>3442</v>
      </c>
      <c r="B52" s="416" t="str">
        <f>VLOOKUP(A52,'Feature Raw Data'!$A$3:$B$3960,2,FALSE)</f>
        <v>SW_*_S_X tiling mode support</v>
      </c>
      <c r="C52" s="417" t="str">
        <f>VLOOKUP(A52,'Feature Raw Data'!$A$3:$C$3960,3,FALSE)</f>
        <v>P2</v>
      </c>
      <c r="D52" s="418" t="str" cm="1">
        <f t="array" ref="D52">_xlfn.TEXTJOIN("",TRUE,IF(ISNUMBER(SEARCH($A52,'Diags Raw Data'!$A$6:$A$6302)),CONCATENATE('Diags Raw Data'!$H$6:$H$6302,",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2" s="336" t="str">
        <f>VLOOKUP(A52,'Diags Raw Data'!$A$6:$D$6302,4,FALSE)</f>
        <v>VCN Decode</v>
      </c>
      <c r="F52" s="336" t="str">
        <f>VLOOKUP(A52,'Feature Raw Data'!$A$3:$E$3960,5,FALSE)</f>
        <v>Delta</v>
      </c>
      <c r="G52" s="336" t="str">
        <f t="shared" si="6"/>
        <v>Yes</v>
      </c>
      <c r="H52" s="336" t="str">
        <f t="shared" si="7"/>
        <v>Yes</v>
      </c>
      <c r="I52" s="417">
        <f>SUMIF('Diags Raw Data'!$A$6:$A$6302,"*"&amp;$A52&amp;"*",'Diags Raw Data'!$K$6:$K$6302)</f>
        <v>203</v>
      </c>
      <c r="J52" s="419">
        <f>SUMIF('Diags Raw Data'!$A$6:$A$6302,"*"&amp;$A52&amp;"*",'Diags Raw Data'!$L$6:$L$6302)</f>
        <v>203</v>
      </c>
      <c r="K52" s="449" cm="1">
        <f t="array" ref="K52">IF(D52="",0, SUMPRODUCT(--(ISNUMBER(SEARCH($A52,'Diags Raw Data'!$A$6:$A$6302))),'Diags Raw Data'!$L$6:$L$6302,'Diags Raw Data'!$N$6:$N$6302)/J52)</f>
        <v>1</v>
      </c>
      <c r="L52" s="450" cm="1">
        <f t="array" ref="L52">IF(D52="",0, SUMPRODUCT(--(ISNUMBER(SEARCH($A52,'Diags Raw Data'!$A$6:$A$6302))),'Diags Raw Data'!$L$6:$L$6302,'Diags Raw Data'!$P$6:$P$6302)/J52)</f>
        <v>0.23152709359605911</v>
      </c>
      <c r="M52" s="451" cm="1">
        <f t="array" ref="M52">SUMPRODUCT(--(ISNUMBER(SEARCH($A52,'Diags Raw Data'!$A$6:$A$6302))),--('Diags Raw Data'!$Q$6:$Q$6302&lt;&gt;"N/A"),'Diags Raw Data'!$R$6:$R$6302)</f>
        <v>203</v>
      </c>
      <c r="N52" s="452" cm="1">
        <f t="array" ref="N52">SUMPRODUCT(--(ISNUMBER(SEARCH($A52,'Diags Raw Data'!$A$6:$A$6302))),--('Diags Raw Data'!$Q$6:$Q$6302&lt;&gt;"N/A"),'Diags Raw Data'!$T$6:$T$6302)+SUMPRODUCT(--(ISNUMBER(SEARCH($A52,'Diags Raw Data'!$A$6:$A$6302))),--('Diags Raw Data'!$Q$6:$Q$6302&lt;&gt;"N/A"),'Diags Raw Data'!$U$6:$U$6302)</f>
        <v>0</v>
      </c>
      <c r="O52" s="453">
        <f t="shared" si="2"/>
        <v>0</v>
      </c>
      <c r="P52" s="454">
        <f>SUMIF('Diags Raw Data'!$A$6:$A$6302,"*"&amp;$A52&amp;"*",'Diags Raw Data'!$Z$6:$Z$6302)</f>
        <v>0</v>
      </c>
      <c r="Q52" s="455">
        <f>SUM(SUMIF('Diags Raw Data'!$A$6:$A$6302,"*"&amp;$A52&amp;"*",'Diags Raw Data'!$AA$6:$AA$6302),SUMIF('Diags Raw Data'!$A$6:$A$6302,"*"&amp;$A52&amp;"*",'Diags Raw Data'!$AB$6:$AB$6302))</f>
        <v>0</v>
      </c>
      <c r="R52" s="456">
        <f t="shared" si="3"/>
        <v>0</v>
      </c>
      <c r="S52" s="456">
        <f t="shared" si="4"/>
        <v>0</v>
      </c>
      <c r="T52" s="457">
        <f t="shared" si="5"/>
        <v>0</v>
      </c>
      <c r="U52" s="420" t="s">
        <v>3466</v>
      </c>
      <c r="V52" s="181"/>
    </row>
    <row r="53" spans="1:22" ht="120" hidden="1" x14ac:dyDescent="0.25">
      <c r="A53" s="415" t="s">
        <v>3444</v>
      </c>
      <c r="B53" s="416" t="str">
        <f>VLOOKUP(A53,'Feature Raw Data'!$A$3:$B$3960,2,FALSE)</f>
        <v>Static PG support</v>
      </c>
      <c r="C53" s="417" t="str">
        <f>VLOOKUP(A53,'Feature Raw Data'!$A$3:$C$3960,3,FALSE)</f>
        <v>P1</v>
      </c>
      <c r="D53" s="418" t="str" cm="1">
        <f t="array" ref="D53">_xlfn.TEXTJOIN("",TRUE,IF(ISNUMBER(SEARCH($A53,'Diags Raw Data'!$A$6:$A$6302)),CONCATENATE('Diags Raw Data'!$H$6:$H$6302,", "),""))</f>
        <v xml:space="preserve">VCN104.020, VCN105.016, VCN105.017, VCN105.133, VCN105.307, VCN105.308, VCN106.017, VCN106.119, VCN107.020, VCN107.119, VCN107.221, VCN300.014, VCN350.014, VCN350.114, VCN400.212, </v>
      </c>
      <c r="E53" s="336" t="str">
        <f>VLOOKUP(A53,'Diags Raw Data'!$A$6:$D$6302,4,FALSE)</f>
        <v>VCN Decode</v>
      </c>
      <c r="F53" s="336" t="str">
        <f>VLOOKUP(A53,'Feature Raw Data'!$A$3:$E$3960,5,FALSE)</f>
        <v>Legacy</v>
      </c>
      <c r="G53" s="336" t="str">
        <f t="shared" si="6"/>
        <v>Yes</v>
      </c>
      <c r="H53" s="336" t="str">
        <f t="shared" si="7"/>
        <v>Yes</v>
      </c>
      <c r="I53" s="417">
        <f>SUMIF('Diags Raw Data'!$A$6:$A$6302,"*"&amp;$A53&amp;"*",'Diags Raw Data'!$K$6:$K$6302)</f>
        <v>15</v>
      </c>
      <c r="J53" s="419">
        <f>SUMIF('Diags Raw Data'!$A$6:$A$6302,"*"&amp;$A53&amp;"*",'Diags Raw Data'!$L$6:$L$6302)</f>
        <v>15</v>
      </c>
      <c r="K53" s="449" cm="1">
        <f t="array" ref="K53">IF(D53="",0, SUMPRODUCT(--(ISNUMBER(SEARCH($A53,'Diags Raw Data'!$A$6:$A$6302))),'Diags Raw Data'!$L$6:$L$6302,'Diags Raw Data'!$N$6:$N$6302)/J53)</f>
        <v>1</v>
      </c>
      <c r="L53" s="450" cm="1">
        <f t="array" ref="L53">IF(D53="",0, SUMPRODUCT(--(ISNUMBER(SEARCH($A53,'Diags Raw Data'!$A$6:$A$6302))),'Diags Raw Data'!$L$6:$L$6302,'Diags Raw Data'!$P$6:$P$6302)/J53)</f>
        <v>0.8666666666666667</v>
      </c>
      <c r="M53" s="451" cm="1">
        <f t="array" ref="M53">SUMPRODUCT(--(ISNUMBER(SEARCH($A53,'Diags Raw Data'!$A$6:$A$6302))),--('Diags Raw Data'!$Q$6:$Q$6302&lt;&gt;"N/A"),'Diags Raw Data'!$R$6:$R$6302)</f>
        <v>15</v>
      </c>
      <c r="N53" s="452" cm="1">
        <f t="array" ref="N53">SUMPRODUCT(--(ISNUMBER(SEARCH($A53,'Diags Raw Data'!$A$6:$A$6302))),--('Diags Raw Data'!$Q$6:$Q$6302&lt;&gt;"N/A"),'Diags Raw Data'!$T$6:$T$6302)+SUMPRODUCT(--(ISNUMBER(SEARCH($A53,'Diags Raw Data'!$A$6:$A$6302))),--('Diags Raw Data'!$Q$6:$Q$6302&lt;&gt;"N/A"),'Diags Raw Data'!$U$6:$U$6302)</f>
        <v>10</v>
      </c>
      <c r="O53" s="453">
        <f t="shared" si="2"/>
        <v>0.66666666666666663</v>
      </c>
      <c r="P53" s="454">
        <f>SUMIF('Diags Raw Data'!$A$6:$A$6302,"*"&amp;$A53&amp;"*",'Diags Raw Data'!$Z$6:$Z$6302)</f>
        <v>0</v>
      </c>
      <c r="Q53" s="455">
        <f>SUM(SUMIF('Diags Raw Data'!$A$6:$A$6302,"*"&amp;$A53&amp;"*",'Diags Raw Data'!$AA$6:$AA$6302),SUMIF('Diags Raw Data'!$A$6:$A$6302,"*"&amp;$A53&amp;"*",'Diags Raw Data'!$AB$6:$AB$6302))</f>
        <v>0</v>
      </c>
      <c r="R53" s="456">
        <f t="shared" si="3"/>
        <v>0</v>
      </c>
      <c r="S53" s="456">
        <f t="shared" si="4"/>
        <v>0</v>
      </c>
      <c r="T53" s="457">
        <f t="shared" si="5"/>
        <v>0</v>
      </c>
      <c r="U53" s="420" t="s">
        <v>3466</v>
      </c>
      <c r="V53" s="181"/>
    </row>
    <row r="54" spans="1:22" ht="150" hidden="1" x14ac:dyDescent="0.25">
      <c r="A54" s="415" t="s">
        <v>3446</v>
      </c>
      <c r="B54" s="416" t="str">
        <f>VLOOKUP(A54,'Feature Raw Data'!$A$3:$B$3960,2,FALSE)</f>
        <v>Dynamic PG support</v>
      </c>
      <c r="C54" s="417" t="str">
        <f>VLOOKUP(A54,'Feature Raw Data'!$A$3:$C$3960,3,FALSE)</f>
        <v>P1</v>
      </c>
      <c r="D54" s="418" t="str" cm="1">
        <f t="array" ref="D54">_xlfn.TEXTJOIN("",TRUE,IF(ISNUMBER(SEARCH($A54,'Diags Raw Data'!$A$6:$A$6302)),CONCATENATE('Diags Raw Data'!$H$6:$H$6302,", "),""))</f>
        <v xml:space="preserve">VCN104.020, VCN105.016, VCN105.017, VCN105.133, VCN105.307, VCN105.308, VCN106.017, VCN106.119, VCN107.020, VCN107.119, VCN107.221, VCN230.001, VCN230.002, VCN230.003, VCN230.004, VCN300.014, VCN350.014, VCN350.114, VCN400.212, </v>
      </c>
      <c r="E54" s="336" t="str">
        <f>VLOOKUP(A54,'Diags Raw Data'!$A$6:$D$6302,4,FALSE)</f>
        <v>VCN Decode</v>
      </c>
      <c r="F54" s="336" t="str">
        <f>VLOOKUP(A54,'Feature Raw Data'!$A$3:$E$3960,5,FALSE)</f>
        <v>Legacy</v>
      </c>
      <c r="G54" s="336" t="str">
        <f t="shared" si="6"/>
        <v>Yes</v>
      </c>
      <c r="H54" s="336" t="str">
        <f t="shared" si="7"/>
        <v>Yes</v>
      </c>
      <c r="I54" s="417">
        <f>SUMIF('Diags Raw Data'!$A$6:$A$6302,"*"&amp;$A54&amp;"*",'Diags Raw Data'!$K$6:$K$6302)</f>
        <v>19</v>
      </c>
      <c r="J54" s="419">
        <f>SUMIF('Diags Raw Data'!$A$6:$A$6302,"*"&amp;$A54&amp;"*",'Diags Raw Data'!$L$6:$L$6302)</f>
        <v>19</v>
      </c>
      <c r="K54" s="449" cm="1">
        <f t="array" ref="K54">IF(D54="",0, SUMPRODUCT(--(ISNUMBER(SEARCH($A54,'Diags Raw Data'!$A$6:$A$6302))),'Diags Raw Data'!$L$6:$L$6302,'Diags Raw Data'!$N$6:$N$6302)/J54)</f>
        <v>1</v>
      </c>
      <c r="L54" s="450" cm="1">
        <f t="array" ref="L54">IF(D54="",0, SUMPRODUCT(--(ISNUMBER(SEARCH($A54,'Diags Raw Data'!$A$6:$A$6302))),'Diags Raw Data'!$L$6:$L$6302,'Diags Raw Data'!$P$6:$P$6302)/J54)</f>
        <v>0.78947368421052633</v>
      </c>
      <c r="M54" s="451" cm="1">
        <f t="array" ref="M54">SUMPRODUCT(--(ISNUMBER(SEARCH($A54,'Diags Raw Data'!$A$6:$A$6302))),--('Diags Raw Data'!$Q$6:$Q$6302&lt;&gt;"N/A"),'Diags Raw Data'!$R$6:$R$6302)</f>
        <v>19</v>
      </c>
      <c r="N54" s="452" cm="1">
        <f t="array" ref="N54">SUMPRODUCT(--(ISNUMBER(SEARCH($A54,'Diags Raw Data'!$A$6:$A$6302))),--('Diags Raw Data'!$Q$6:$Q$6302&lt;&gt;"N/A"),'Diags Raw Data'!$T$6:$T$6302)+SUMPRODUCT(--(ISNUMBER(SEARCH($A54,'Diags Raw Data'!$A$6:$A$6302))),--('Diags Raw Data'!$Q$6:$Q$6302&lt;&gt;"N/A"),'Diags Raw Data'!$U$6:$U$6302)</f>
        <v>10</v>
      </c>
      <c r="O54" s="453">
        <f t="shared" si="2"/>
        <v>0.52631578947368418</v>
      </c>
      <c r="P54" s="454">
        <f>SUMIF('Diags Raw Data'!$A$6:$A$6302,"*"&amp;$A54&amp;"*",'Diags Raw Data'!$Z$6:$Z$6302)</f>
        <v>0</v>
      </c>
      <c r="Q54" s="455">
        <f>SUM(SUMIF('Diags Raw Data'!$A$6:$A$6302,"*"&amp;$A54&amp;"*",'Diags Raw Data'!$AA$6:$AA$6302),SUMIF('Diags Raw Data'!$A$6:$A$6302,"*"&amp;$A54&amp;"*",'Diags Raw Data'!$AB$6:$AB$6302))</f>
        <v>0</v>
      </c>
      <c r="R54" s="456">
        <f t="shared" si="3"/>
        <v>0</v>
      </c>
      <c r="S54" s="456">
        <f t="shared" si="4"/>
        <v>0</v>
      </c>
      <c r="T54" s="457">
        <f t="shared" si="5"/>
        <v>0</v>
      </c>
      <c r="U54" s="420" t="s">
        <v>3466</v>
      </c>
      <c r="V54" s="181"/>
    </row>
    <row r="55" spans="1:22" ht="90" hidden="1" x14ac:dyDescent="0.25">
      <c r="A55" s="415" t="s">
        <v>3448</v>
      </c>
      <c r="B55" s="416" t="str">
        <f>VLOOKUP(A55,'Feature Raw Data'!$A$3:$B$3960,2,FALSE)</f>
        <v>Register Block clock gating</v>
      </c>
      <c r="C55" s="417" t="str">
        <f>VLOOKUP(A55,'Feature Raw Data'!$A$3:$C$3960,3,FALSE)</f>
        <v>P2</v>
      </c>
      <c r="D55" s="418" t="str" cm="1">
        <f t="array" ref="D55">_xlfn.TEXTJOIN("",TRUE,IF(ISNUMBER(SEARCH($A55,'Diags Raw Data'!$A$6:$A$6302)),CONCATENATE('Diags Raw Data'!$H$6:$H$6302,", "),""))</f>
        <v xml:space="preserve">VCN104.020, VCN105.308, VCN106.019, VCN106.119, VCN107.021, VCN107.121, VCN107.221, VCN300.014, VCN350.014, VCN350.114, VCN400.010, VCN400.212, </v>
      </c>
      <c r="E55" s="336" t="str">
        <f>VLOOKUP(A55,'Diags Raw Data'!$A$6:$D$6302,4,FALSE)</f>
        <v>VCN Decode</v>
      </c>
      <c r="F55" s="336" t="str">
        <f>VLOOKUP(A55,'Feature Raw Data'!$A$3:$E$3960,5,FALSE)</f>
        <v>Legacy</v>
      </c>
      <c r="G55" s="336" t="str">
        <f t="shared" si="6"/>
        <v>Yes</v>
      </c>
      <c r="H55" s="336" t="str">
        <f t="shared" si="7"/>
        <v>Yes</v>
      </c>
      <c r="I55" s="417">
        <f>SUMIF('Diags Raw Data'!$A$6:$A$6302,"*"&amp;$A55&amp;"*",'Diags Raw Data'!$K$6:$K$6302)</f>
        <v>12</v>
      </c>
      <c r="J55" s="419">
        <f>SUMIF('Diags Raw Data'!$A$6:$A$6302,"*"&amp;$A55&amp;"*",'Diags Raw Data'!$L$6:$L$6302)</f>
        <v>12</v>
      </c>
      <c r="K55" s="449" cm="1">
        <f t="array" ref="K55">IF(D55="",0, SUMPRODUCT(--(ISNUMBER(SEARCH($A55,'Diags Raw Data'!$A$6:$A$6302))),'Diags Raw Data'!$L$6:$L$6302,'Diags Raw Data'!$N$6:$N$6302)/J55)</f>
        <v>1</v>
      </c>
      <c r="L55" s="450" cm="1">
        <f t="array" ref="L55">IF(D55="",0, SUMPRODUCT(--(ISNUMBER(SEARCH($A55,'Diags Raw Data'!$A$6:$A$6302))),'Diags Raw Data'!$L$6:$L$6302,'Diags Raw Data'!$P$6:$P$6302)/J55)</f>
        <v>0.75</v>
      </c>
      <c r="M55" s="451" cm="1">
        <f t="array" ref="M55">SUMPRODUCT(--(ISNUMBER(SEARCH($A55,'Diags Raw Data'!$A$6:$A$6302))),--('Diags Raw Data'!$Q$6:$Q$6302&lt;&gt;"N/A"),'Diags Raw Data'!$R$6:$R$6302)</f>
        <v>12</v>
      </c>
      <c r="N55" s="452" cm="1">
        <f t="array" ref="N55">SUMPRODUCT(--(ISNUMBER(SEARCH($A55,'Diags Raw Data'!$A$6:$A$6302))),--('Diags Raw Data'!$Q$6:$Q$6302&lt;&gt;"N/A"),'Diags Raw Data'!$T$6:$T$6302)+SUMPRODUCT(--(ISNUMBER(SEARCH($A55,'Diags Raw Data'!$A$6:$A$6302))),--('Diags Raw Data'!$Q$6:$Q$6302&lt;&gt;"N/A"),'Diags Raw Data'!$U$6:$U$6302)</f>
        <v>7</v>
      </c>
      <c r="O55" s="453">
        <f t="shared" si="2"/>
        <v>0.58333333333333337</v>
      </c>
      <c r="P55" s="454">
        <f>SUMIF('Diags Raw Data'!$A$6:$A$6302,"*"&amp;$A55&amp;"*",'Diags Raw Data'!$Z$6:$Z$6302)</f>
        <v>0</v>
      </c>
      <c r="Q55" s="455">
        <f>SUM(SUMIF('Diags Raw Data'!$A$6:$A$6302,"*"&amp;$A55&amp;"*",'Diags Raw Data'!$AA$6:$AA$6302),SUMIF('Diags Raw Data'!$A$6:$A$6302,"*"&amp;$A55&amp;"*",'Diags Raw Data'!$AB$6:$AB$6302))</f>
        <v>0</v>
      </c>
      <c r="R55" s="456">
        <f t="shared" si="3"/>
        <v>0</v>
      </c>
      <c r="S55" s="456">
        <f t="shared" si="4"/>
        <v>0</v>
      </c>
      <c r="T55" s="457">
        <f t="shared" si="5"/>
        <v>0</v>
      </c>
      <c r="U55" s="420" t="s">
        <v>47</v>
      </c>
      <c r="V55" s="181"/>
    </row>
    <row r="56" spans="1:22" x14ac:dyDescent="0.25">
      <c r="A56" s="415" t="s">
        <v>3450</v>
      </c>
      <c r="B56" s="416" t="str">
        <f>VLOOKUP(A56,'Feature Raw Data'!$A$3:$B$3960,2,FALSE)</f>
        <v>SOCCLK deep sleep support</v>
      </c>
      <c r="C56" s="417" t="str">
        <f>VLOOKUP(A56,'Feature Raw Data'!$A$3:$C$3960,3,FALSE)</f>
        <v>P2</v>
      </c>
      <c r="D56" s="418" t="str" cm="1">
        <f t="array" ref="D56">_xlfn.TEXTJOIN("",TRUE,IF(ISNUMBER(SEARCH($A56,'Diags Raw Data'!$A$6:$A$6302)),CONCATENATE('Diags Raw Data'!$H$6:$H$6302,", "),""))</f>
        <v/>
      </c>
      <c r="E56" s="336" t="e">
        <f>VLOOKUP(A56,'Diags Raw Data'!$A$6:$D$6302,4,FALSE)</f>
        <v>#N/A</v>
      </c>
      <c r="F56" s="336" t="str">
        <f>VLOOKUP(A56,'Feature Raw Data'!$A$3:$E$3960,5,FALSE)</f>
        <v>Legacy</v>
      </c>
      <c r="G56" s="336" t="str">
        <f t="shared" si="6"/>
        <v>No</v>
      </c>
      <c r="H56" s="336" t="str">
        <f t="shared" si="7"/>
        <v>No</v>
      </c>
      <c r="I56" s="417">
        <f>SUMIF('Diags Raw Data'!$A$6:$A$6302,"*"&amp;$A56&amp;"*",'Diags Raw Data'!$K$6:$K$6302)</f>
        <v>0</v>
      </c>
      <c r="J56" s="419">
        <f>SUMIF('Diags Raw Data'!$A$6:$A$6302,"*"&amp;$A56&amp;"*",'Diags Raw Data'!$L$6:$L$6302)</f>
        <v>0</v>
      </c>
      <c r="K56" s="449" cm="1">
        <f t="array" ref="K56">IF(D56="",0, SUMPRODUCT(--(ISNUMBER(SEARCH($A56,'Diags Raw Data'!$A$6:$A$6302))),'Diags Raw Data'!$L$6:$L$6302,'Diags Raw Data'!$N$6:$N$6302)/J56)</f>
        <v>0</v>
      </c>
      <c r="L56" s="450" cm="1">
        <f t="array" ref="L56">IF(D56="",0, SUMPRODUCT(--(ISNUMBER(SEARCH($A56,'Diags Raw Data'!$A$6:$A$6302))),'Diags Raw Data'!$L$6:$L$6302,'Diags Raw Data'!$P$6:$P$6302)/J56)</f>
        <v>0</v>
      </c>
      <c r="M56" s="451" cm="1">
        <f t="array" ref="M56">SUMPRODUCT(--(ISNUMBER(SEARCH($A56,'Diags Raw Data'!$A$6:$A$6302))),--('Diags Raw Data'!$Q$6:$Q$6302&lt;&gt;"N/A"),'Diags Raw Data'!$R$6:$R$6302)</f>
        <v>0</v>
      </c>
      <c r="N56" s="452" cm="1">
        <f t="array" ref="N56">SUMPRODUCT(--(ISNUMBER(SEARCH($A56,'Diags Raw Data'!$A$6:$A$6302))),--('Diags Raw Data'!$Q$6:$Q$6302&lt;&gt;"N/A"),'Diags Raw Data'!$T$6:$T$6302)+SUMPRODUCT(--(ISNUMBER(SEARCH($A56,'Diags Raw Data'!$A$6:$A$6302))),--('Diags Raw Data'!$Q$6:$Q$6302&lt;&gt;"N/A"),'Diags Raw Data'!$U$6:$U$6302)</f>
        <v>0</v>
      </c>
      <c r="O56" s="453">
        <f t="shared" si="2"/>
        <v>0</v>
      </c>
      <c r="P56" s="454">
        <f>SUMIF('Diags Raw Data'!$A$6:$A$6302,"*"&amp;$A56&amp;"*",'Diags Raw Data'!$Z$6:$Z$6302)</f>
        <v>0</v>
      </c>
      <c r="Q56" s="455">
        <f>SUM(SUMIF('Diags Raw Data'!$A$6:$A$6302,"*"&amp;$A56&amp;"*",'Diags Raw Data'!$AA$6:$AA$6302),SUMIF('Diags Raw Data'!$A$6:$A$6302,"*"&amp;$A56&amp;"*",'Diags Raw Data'!$AB$6:$AB$6302))</f>
        <v>0</v>
      </c>
      <c r="R56" s="456">
        <f t="shared" si="3"/>
        <v>0</v>
      </c>
      <c r="S56" s="456">
        <f t="shared" si="4"/>
        <v>0</v>
      </c>
      <c r="T56" s="457">
        <f t="shared" si="5"/>
        <v>0</v>
      </c>
      <c r="U56" s="420" t="s">
        <v>3468</v>
      </c>
      <c r="V56" s="181"/>
    </row>
    <row r="57" spans="1:22" ht="30" hidden="1" x14ac:dyDescent="0.25">
      <c r="A57" s="415" t="s">
        <v>3452</v>
      </c>
      <c r="B57" s="416" t="str">
        <f>VLOOKUP(A57,'Feature Raw Data'!$A$3:$B$3960,2,FALSE)</f>
        <v>VCLK/DCLK deep sleep support</v>
      </c>
      <c r="C57" s="417" t="str">
        <f>VLOOKUP(A57,'Feature Raw Data'!$A$3:$C$3960,3,FALSE)</f>
        <v>P2</v>
      </c>
      <c r="D57" s="418" t="str" cm="1">
        <f t="array" ref="D57">_xlfn.TEXTJOIN("",TRUE,IF(ISNUMBER(SEARCH($A57,'Diags Raw Data'!$A$6:$A$6302)),CONCATENATE('Diags Raw Data'!$H$6:$H$6302,", "),""))</f>
        <v xml:space="preserve">VCN106.017, </v>
      </c>
      <c r="E57" s="336" t="str">
        <f>VLOOKUP(A57,'Diags Raw Data'!$A$6:$D$6302,4,FALSE)</f>
        <v>VCN Decode</v>
      </c>
      <c r="F57" s="336" t="str">
        <f>VLOOKUP(A57,'Feature Raw Data'!$A$3:$E$3960,5,FALSE)</f>
        <v>Legacy</v>
      </c>
      <c r="G57" s="336" t="str">
        <f t="shared" si="6"/>
        <v>Yes</v>
      </c>
      <c r="H57" s="336" t="str">
        <f t="shared" si="7"/>
        <v>Yes</v>
      </c>
      <c r="I57" s="417">
        <f>SUMIF('Diags Raw Data'!$A$6:$A$6302,"*"&amp;$A57&amp;"*",'Diags Raw Data'!$K$6:$K$6302)</f>
        <v>1</v>
      </c>
      <c r="J57" s="419">
        <f>SUMIF('Diags Raw Data'!$A$6:$A$6302,"*"&amp;$A57&amp;"*",'Diags Raw Data'!$L$6:$L$6302)</f>
        <v>1</v>
      </c>
      <c r="K57" s="449" cm="1">
        <f t="array" ref="K57">IF(D57="",0, SUMPRODUCT(--(ISNUMBER(SEARCH($A57,'Diags Raw Data'!$A$6:$A$6302))),'Diags Raw Data'!$L$6:$L$6302,'Diags Raw Data'!$N$6:$N$6302)/J57)</f>
        <v>1</v>
      </c>
      <c r="L57" s="450" cm="1">
        <f t="array" ref="L57">IF(D57="",0, SUMPRODUCT(--(ISNUMBER(SEARCH($A57,'Diags Raw Data'!$A$6:$A$6302))),'Diags Raw Data'!$L$6:$L$6302,'Diags Raw Data'!$P$6:$P$6302)/J57)</f>
        <v>1</v>
      </c>
      <c r="M57" s="451" cm="1">
        <f t="array" ref="M57">SUMPRODUCT(--(ISNUMBER(SEARCH($A57,'Diags Raw Data'!$A$6:$A$6302))),--('Diags Raw Data'!$Q$6:$Q$6302&lt;&gt;"N/A"),'Diags Raw Data'!$R$6:$R$6302)</f>
        <v>1</v>
      </c>
      <c r="N57" s="452" cm="1">
        <f t="array" ref="N57">SUMPRODUCT(--(ISNUMBER(SEARCH($A57,'Diags Raw Data'!$A$6:$A$6302))),--('Diags Raw Data'!$Q$6:$Q$6302&lt;&gt;"N/A"),'Diags Raw Data'!$T$6:$T$6302)+SUMPRODUCT(--(ISNUMBER(SEARCH($A57,'Diags Raw Data'!$A$6:$A$6302))),--('Diags Raw Data'!$Q$6:$Q$6302&lt;&gt;"N/A"),'Diags Raw Data'!$U$6:$U$6302)</f>
        <v>1</v>
      </c>
      <c r="O57" s="453">
        <f t="shared" si="2"/>
        <v>1</v>
      </c>
      <c r="P57" s="454">
        <f>SUMIF('Diags Raw Data'!$A$6:$A$6302,"*"&amp;$A57&amp;"*",'Diags Raw Data'!$Z$6:$Z$6302)</f>
        <v>0</v>
      </c>
      <c r="Q57" s="455">
        <f>SUM(SUMIF('Diags Raw Data'!$A$6:$A$6302,"*"&amp;$A57&amp;"*",'Diags Raw Data'!$AA$6:$AA$6302),SUMIF('Diags Raw Data'!$A$6:$A$6302,"*"&amp;$A57&amp;"*",'Diags Raw Data'!$AB$6:$AB$6302))</f>
        <v>0</v>
      </c>
      <c r="R57" s="456">
        <f t="shared" si="3"/>
        <v>0</v>
      </c>
      <c r="S57" s="456">
        <f t="shared" si="4"/>
        <v>0</v>
      </c>
      <c r="T57" s="457">
        <f t="shared" si="5"/>
        <v>0</v>
      </c>
      <c r="U57" s="420" t="s">
        <v>3468</v>
      </c>
      <c r="V57" s="181"/>
    </row>
    <row r="58" spans="1:22" ht="120" hidden="1" x14ac:dyDescent="0.25">
      <c r="A58" s="415" t="s">
        <v>3454</v>
      </c>
      <c r="B58" s="416" t="str">
        <f>VLOOKUP(A58,'Feature Raw Data'!$A$3:$B$3960,2,FALSE)</f>
        <v>IPX_DLDO PG</v>
      </c>
      <c r="C58" s="417" t="str">
        <f>VLOOKUP(A58,'Feature Raw Data'!$A$3:$C$3960,3,FALSE)</f>
        <v>P1</v>
      </c>
      <c r="D58" s="418" t="str" cm="1">
        <f t="array" ref="D58">_xlfn.TEXTJOIN("",TRUE,IF(ISNUMBER(SEARCH($A58,'Diags Raw Data'!$A$6:$A$6302)),CONCATENATE('Diags Raw Data'!$H$6:$H$6302,", "),""))</f>
        <v xml:space="preserve">VCN104.020, VCN105.016, VCN105.017, VCN105.133, VCN105.307, VCN105.308, VCN106.017, VCN106.119, VCN107.020, VCN107.119, VCN107.221, VCN300.014, VCN350.014, VCN350.114, VCN400.212, </v>
      </c>
      <c r="E58" s="336" t="str">
        <f>VLOOKUP(A58,'Diags Raw Data'!$A$6:$D$6302,4,FALSE)</f>
        <v>VCN Decode</v>
      </c>
      <c r="F58" s="336" t="str">
        <f>VLOOKUP(A58,'Feature Raw Data'!$A$3:$E$3960,5,FALSE)</f>
        <v>Legacy</v>
      </c>
      <c r="G58" s="336" t="str">
        <f t="shared" si="6"/>
        <v>Yes</v>
      </c>
      <c r="H58" s="336" t="str">
        <f t="shared" si="7"/>
        <v>Yes</v>
      </c>
      <c r="I58" s="417">
        <f>SUMIF('Diags Raw Data'!$A$6:$A$6302,"*"&amp;$A58&amp;"*",'Diags Raw Data'!$K$6:$K$6302)</f>
        <v>15</v>
      </c>
      <c r="J58" s="419">
        <f>SUMIF('Diags Raw Data'!$A$6:$A$6302,"*"&amp;$A58&amp;"*",'Diags Raw Data'!$L$6:$L$6302)</f>
        <v>15</v>
      </c>
      <c r="K58" s="449" cm="1">
        <f t="array" ref="K58">IF(D58="",0, SUMPRODUCT(--(ISNUMBER(SEARCH($A58,'Diags Raw Data'!$A$6:$A$6302))),'Diags Raw Data'!$L$6:$L$6302,'Diags Raw Data'!$N$6:$N$6302)/J58)</f>
        <v>1</v>
      </c>
      <c r="L58" s="450" cm="1">
        <f t="array" ref="L58">IF(D58="",0, SUMPRODUCT(--(ISNUMBER(SEARCH($A58,'Diags Raw Data'!$A$6:$A$6302))),'Diags Raw Data'!$L$6:$L$6302,'Diags Raw Data'!$P$6:$P$6302)/J58)</f>
        <v>0.8666666666666667</v>
      </c>
      <c r="M58" s="451" cm="1">
        <f t="array" ref="M58">SUMPRODUCT(--(ISNUMBER(SEARCH($A58,'Diags Raw Data'!$A$6:$A$6302))),--('Diags Raw Data'!$Q$6:$Q$6302&lt;&gt;"N/A"),'Diags Raw Data'!$R$6:$R$6302)</f>
        <v>15</v>
      </c>
      <c r="N58" s="452" cm="1">
        <f t="array" ref="N58">SUMPRODUCT(--(ISNUMBER(SEARCH($A58,'Diags Raw Data'!$A$6:$A$6302))),--('Diags Raw Data'!$Q$6:$Q$6302&lt;&gt;"N/A"),'Diags Raw Data'!$T$6:$T$6302)+SUMPRODUCT(--(ISNUMBER(SEARCH($A58,'Diags Raw Data'!$A$6:$A$6302))),--('Diags Raw Data'!$Q$6:$Q$6302&lt;&gt;"N/A"),'Diags Raw Data'!$U$6:$U$6302)</f>
        <v>10</v>
      </c>
      <c r="O58" s="453">
        <f t="shared" si="2"/>
        <v>0.66666666666666663</v>
      </c>
      <c r="P58" s="454">
        <f>SUMIF('Diags Raw Data'!$A$6:$A$6302,"*"&amp;$A58&amp;"*",'Diags Raw Data'!$Z$6:$Z$6302)</f>
        <v>0</v>
      </c>
      <c r="Q58" s="455">
        <f>SUM(SUMIF('Diags Raw Data'!$A$6:$A$6302,"*"&amp;$A58&amp;"*",'Diags Raw Data'!$AA$6:$AA$6302),SUMIF('Diags Raw Data'!$A$6:$A$6302,"*"&amp;$A58&amp;"*",'Diags Raw Data'!$AB$6:$AB$6302))</f>
        <v>0</v>
      </c>
      <c r="R58" s="456">
        <f t="shared" si="3"/>
        <v>0</v>
      </c>
      <c r="S58" s="456">
        <f t="shared" si="4"/>
        <v>0</v>
      </c>
      <c r="T58" s="457">
        <f t="shared" si="5"/>
        <v>0</v>
      </c>
      <c r="U58" s="420" t="s">
        <v>3468</v>
      </c>
      <c r="V58" s="181"/>
    </row>
    <row r="59" spans="1:22" ht="409.5" hidden="1" x14ac:dyDescent="0.25">
      <c r="A59" s="415" t="s">
        <v>3269</v>
      </c>
      <c r="B59" s="416" t="str">
        <f>VLOOKUP(A59,'Feature Raw Data'!$A$3:$B$3960,2,FALSE)</f>
        <v>UMSCH RS600 core (User mode Scheduler)</v>
      </c>
      <c r="C59" s="417" t="str">
        <f>VLOOKUP(A59,'Feature Raw Data'!$A$3:$C$3960,3,FALSE)</f>
        <v>P1</v>
      </c>
      <c r="D59" s="418" t="str" cm="1">
        <f t="array" ref="D59">_xlfn.TEXTJOIN("",TRUE,IF(ISNUMBER(SEARCH($A59,'Diags Raw Data'!$A$6:$A$6302)),CONCATENATE('Diags Raw Data'!$H$6:$H$6302,", "),""))</f>
        <v xml:space="preserve">VCN700.001, VCN700.002, VCN700.003, VCN700.004, VCN700.005, VCN700.006,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VCN707.001, VCN707.002, VCN707.003, VCN707.004, VCN707.005, VCN707.006, VCN707.007, </v>
      </c>
      <c r="E59" s="336" t="str">
        <f>VLOOKUP(A59,'Diags Raw Data'!$A$6:$D$6302,4,FALSE)</f>
        <v>UMSCH</v>
      </c>
      <c r="F59" s="336" t="str">
        <f>VLOOKUP(A59,'Feature Raw Data'!$A$3:$E$3960,5,FALSE)</f>
        <v>Legacy</v>
      </c>
      <c r="G59" s="336" t="str">
        <f t="shared" ref="G59:G60" si="8">IF(D59="","No","Yes")</f>
        <v>Yes</v>
      </c>
      <c r="H59" s="336" t="str">
        <f t="shared" ref="H59:H60" si="9">IF(D59="","No","Yes")</f>
        <v>Yes</v>
      </c>
      <c r="I59" s="417">
        <f>SUMIF('Diags Raw Data'!$A$6:$A$6302,"*"&amp;$A59&amp;"*",'Diags Raw Data'!$K$6:$K$6302)</f>
        <v>56</v>
      </c>
      <c r="J59" s="419">
        <f>SUMIF('Diags Raw Data'!$A$6:$A$6302,"*"&amp;$A59&amp;"*",'Diags Raw Data'!$L$6:$L$6302)</f>
        <v>56</v>
      </c>
      <c r="K59" s="449" cm="1">
        <f t="array" ref="K59">IF(D59="",0, SUMPRODUCT(--(ISNUMBER(SEARCH($A59,'Diags Raw Data'!$A$6:$A$6302))),'Diags Raw Data'!$L$6:$L$6302,'Diags Raw Data'!$N$6:$N$6302)/J59)</f>
        <v>0.9464285714285714</v>
      </c>
      <c r="L59" s="450" cm="1">
        <f t="array" ref="L59">IF(D59="",0, SUMPRODUCT(--(ISNUMBER(SEARCH($A59,'Diags Raw Data'!$A$6:$A$6302))),'Diags Raw Data'!$L$6:$L$6302,'Diags Raw Data'!$P$6:$P$6302)/J59)</f>
        <v>0</v>
      </c>
      <c r="M59" s="451" cm="1">
        <f t="array" ref="M59">SUMPRODUCT(--(ISNUMBER(SEARCH($A59,'Diags Raw Data'!$A$6:$A$6302))),--('Diags Raw Data'!$Q$6:$Q$6302&lt;&gt;"N/A"),'Diags Raw Data'!$R$6:$R$6302)</f>
        <v>56</v>
      </c>
      <c r="N59" s="452" cm="1">
        <f t="array" ref="N59">SUMPRODUCT(--(ISNUMBER(SEARCH($A59,'Diags Raw Data'!$A$6:$A$6302))),--('Diags Raw Data'!$Q$6:$Q$6302&lt;&gt;"N/A"),'Diags Raw Data'!$T$6:$T$6302)+SUMPRODUCT(--(ISNUMBER(SEARCH($A59,'Diags Raw Data'!$A$6:$A$6302))),--('Diags Raw Data'!$Q$6:$Q$6302&lt;&gt;"N/A"),'Diags Raw Data'!$U$6:$U$6302)</f>
        <v>0</v>
      </c>
      <c r="O59" s="453">
        <f t="shared" ref="O59:O60" si="10">IF((M59=0),0,N59/M59)</f>
        <v>0</v>
      </c>
      <c r="P59" s="454">
        <f>SUMIF('Diags Raw Data'!$A$6:$A$6302,"*"&amp;$A59&amp;"*",'Diags Raw Data'!$Z$6:$Z$6302)</f>
        <v>0</v>
      </c>
      <c r="Q59" s="455">
        <f>SUM(SUMIF('Diags Raw Data'!$A$6:$A$6302,"*"&amp;$A59&amp;"*",'Diags Raw Data'!$AA$6:$AA$6302),SUMIF('Diags Raw Data'!$A$6:$A$6302,"*"&amp;$A59&amp;"*",'Diags Raw Data'!$AB$6:$AB$6302))</f>
        <v>0</v>
      </c>
      <c r="R59" s="456">
        <f t="shared" ref="R59:R60" si="11">IF((J59=0),0,P59/J59)</f>
        <v>0</v>
      </c>
      <c r="S59" s="456">
        <f t="shared" ref="S59:S60" si="12">IF((P59=0),0,Q59/P59)</f>
        <v>0</v>
      </c>
      <c r="T59" s="457">
        <f t="shared" ref="T59:T60" si="13">R59*S59</f>
        <v>0</v>
      </c>
      <c r="U59" s="420" t="s">
        <v>3468</v>
      </c>
      <c r="V59" s="181"/>
    </row>
    <row r="60" spans="1:22" x14ac:dyDescent="0.25">
      <c r="A60" s="415" t="s">
        <v>3456</v>
      </c>
      <c r="B60" s="416" t="str">
        <f>VLOOKUP(A60,'Feature Raw Data'!$A$3:$B$3960,2,FALSE)</f>
        <v>MALL Hint for alloc/not alloc</v>
      </c>
      <c r="C60" s="417" t="str">
        <f>VLOOKUP(A60,'Feature Raw Data'!$A$3:$C$3960,3,FALSE)</f>
        <v>P1</v>
      </c>
      <c r="D60" s="418" t="str" cm="1">
        <f t="array" ref="D60">_xlfn.TEXTJOIN("",TRUE,IF(ISNUMBER(SEARCH($A60,'Diags Raw Data'!$A$6:$A$6302)),CONCATENATE('Diags Raw Data'!$H$6:$H$6302,", "),""))</f>
        <v/>
      </c>
      <c r="E60" s="336" t="e">
        <f>VLOOKUP(A60,'Diags Raw Data'!$A$6:$D$6302,4,FALSE)</f>
        <v>#N/A</v>
      </c>
      <c r="F60" s="336" t="str">
        <f>VLOOKUP(A60,'Feature Raw Data'!$A$3:$E$3960,5,FALSE)</f>
        <v>New</v>
      </c>
      <c r="G60" s="336" t="str">
        <f t="shared" si="8"/>
        <v>No</v>
      </c>
      <c r="H60" s="336" t="str">
        <f t="shared" si="9"/>
        <v>No</v>
      </c>
      <c r="I60" s="417">
        <f>SUMIF('Diags Raw Data'!$A$6:$A$6302,"*"&amp;$A60&amp;"*",'Diags Raw Data'!$K$6:$K$6302)</f>
        <v>0</v>
      </c>
      <c r="J60" s="419">
        <f>SUMIF('Diags Raw Data'!$A$6:$A$6302,"*"&amp;$A60&amp;"*",'Diags Raw Data'!$L$6:$L$6302)</f>
        <v>0</v>
      </c>
      <c r="K60" s="449" cm="1">
        <f t="array" ref="K60">IF(D60="",0, SUMPRODUCT(--(ISNUMBER(SEARCH($A60,'Diags Raw Data'!$A$6:$A$6302))),'Diags Raw Data'!$L$6:$L$6302,'Diags Raw Data'!$N$6:$N$6302)/J60)</f>
        <v>0</v>
      </c>
      <c r="L60" s="450" cm="1">
        <f t="array" ref="L60">IF(D60="",0, SUMPRODUCT(--(ISNUMBER(SEARCH($A60,'Diags Raw Data'!$A$6:$A$6302))),'Diags Raw Data'!$L$6:$L$6302,'Diags Raw Data'!$P$6:$P$6302)/J60)</f>
        <v>0</v>
      </c>
      <c r="M60" s="451" cm="1">
        <f t="array" ref="M60">SUMPRODUCT(--(ISNUMBER(SEARCH($A60,'Diags Raw Data'!$A$6:$A$6302))),--('Diags Raw Data'!$Q$6:$Q$6302&lt;&gt;"N/A"),'Diags Raw Data'!$R$6:$R$6302)</f>
        <v>0</v>
      </c>
      <c r="N60" s="452" cm="1">
        <f t="array" ref="N60">SUMPRODUCT(--(ISNUMBER(SEARCH($A60,'Diags Raw Data'!$A$6:$A$6302))),--('Diags Raw Data'!$Q$6:$Q$6302&lt;&gt;"N/A"),'Diags Raw Data'!$T$6:$T$6302)+SUMPRODUCT(--(ISNUMBER(SEARCH($A60,'Diags Raw Data'!$A$6:$A$6302))),--('Diags Raw Data'!$Q$6:$Q$6302&lt;&gt;"N/A"),'Diags Raw Data'!$U$6:$U$6302)</f>
        <v>0</v>
      </c>
      <c r="O60" s="453">
        <f t="shared" si="10"/>
        <v>0</v>
      </c>
      <c r="P60" s="454">
        <f>SUMIF('Diags Raw Data'!$A$6:$A$6302,"*"&amp;$A60&amp;"*",'Diags Raw Data'!$Z$6:$Z$6302)</f>
        <v>0</v>
      </c>
      <c r="Q60" s="455">
        <f>SUM(SUMIF('Diags Raw Data'!$A$6:$A$6302,"*"&amp;$A60&amp;"*",'Diags Raw Data'!$AA$6:$AA$6302),SUMIF('Diags Raw Data'!$A$6:$A$6302,"*"&amp;$A60&amp;"*",'Diags Raw Data'!$AB$6:$AB$6302))</f>
        <v>0</v>
      </c>
      <c r="R60" s="456">
        <f t="shared" si="11"/>
        <v>0</v>
      </c>
      <c r="S60" s="456">
        <f t="shared" si="12"/>
        <v>0</v>
      </c>
      <c r="T60" s="457">
        <f t="shared" si="13"/>
        <v>0</v>
      </c>
      <c r="U60" s="420" t="s">
        <v>3468</v>
      </c>
      <c r="V60" s="181"/>
    </row>
    <row r="61" spans="1:22" ht="30" x14ac:dyDescent="0.25">
      <c r="A61" s="415" t="s">
        <v>3458</v>
      </c>
      <c r="B61" s="416" t="str">
        <f>VLOOKUP(A61,'Feature Raw Data'!$A$3:$B$3960,2,FALSE)</f>
        <v>Lossless compression - Centralized DCC support</v>
      </c>
      <c r="C61" s="417" t="str">
        <f>VLOOKUP(A61,'Feature Raw Data'!$A$3:$C$3960,3,FALSE)</f>
        <v>P1</v>
      </c>
      <c r="D61" s="418" t="str" cm="1">
        <f t="array" ref="D61">_xlfn.TEXTJOIN("",TRUE,IF(ISNUMBER(SEARCH($A61,'Diags Raw Data'!$A$6:$A$6302)),CONCATENATE('Diags Raw Data'!$H$6:$H$6302,", "),""))</f>
        <v/>
      </c>
      <c r="E61" s="336" t="e">
        <f>VLOOKUP(A61,'Diags Raw Data'!$A$6:$D$6302,4,FALSE)</f>
        <v>#N/A</v>
      </c>
      <c r="F61" s="336" t="str">
        <f>VLOOKUP(A61,'Feature Raw Data'!$A$3:$E$3960,5,FALSE)</f>
        <v>New</v>
      </c>
      <c r="G61" s="336" t="str">
        <f t="shared" ref="G61" si="14">IF(D61="","No","Yes")</f>
        <v>No</v>
      </c>
      <c r="H61" s="336" t="str">
        <f t="shared" ref="H61" si="15">IF(D61="","No","Yes")</f>
        <v>No</v>
      </c>
      <c r="I61" s="417">
        <f>SUMIF('Diags Raw Data'!$A$6:$A$6302,"*"&amp;$A61&amp;"*",'Diags Raw Data'!$K$6:$K$6302)</f>
        <v>0</v>
      </c>
      <c r="J61" s="419">
        <f>SUMIF('Diags Raw Data'!$A$6:$A$6302,"*"&amp;$A61&amp;"*",'Diags Raw Data'!$L$6:$L$6302)</f>
        <v>0</v>
      </c>
      <c r="K61" s="449" cm="1">
        <f t="array" ref="K61">IF(D61="",0, SUMPRODUCT(--(ISNUMBER(SEARCH($A61,'Diags Raw Data'!$A$6:$A$6302))),'Diags Raw Data'!$L$6:$L$6302,'Diags Raw Data'!$N$6:$N$6302)/J61)</f>
        <v>0</v>
      </c>
      <c r="L61" s="450" cm="1">
        <f t="array" ref="L61">IF(D61="",0, SUMPRODUCT(--(ISNUMBER(SEARCH($A61,'Diags Raw Data'!$A$6:$A$6302))),'Diags Raw Data'!$L$6:$L$6302,'Diags Raw Data'!$P$6:$P$6302)/J61)</f>
        <v>0</v>
      </c>
      <c r="M61" s="451" cm="1">
        <f t="array" ref="M61">SUMPRODUCT(--(ISNUMBER(SEARCH($A61,'Diags Raw Data'!$A$6:$A$6302))),--('Diags Raw Data'!$Q$6:$Q$6302&lt;&gt;"N/A"),'Diags Raw Data'!$R$6:$R$6302)</f>
        <v>0</v>
      </c>
      <c r="N61" s="452" cm="1">
        <f t="array" ref="N61">SUMPRODUCT(--(ISNUMBER(SEARCH($A61,'Diags Raw Data'!$A$6:$A$6302))),--('Diags Raw Data'!$Q$6:$Q$6302&lt;&gt;"N/A"),'Diags Raw Data'!$T$6:$T$6302)+SUMPRODUCT(--(ISNUMBER(SEARCH($A61,'Diags Raw Data'!$A$6:$A$6302))),--('Diags Raw Data'!$Q$6:$Q$6302&lt;&gt;"N/A"),'Diags Raw Data'!$U$6:$U$6302)</f>
        <v>0</v>
      </c>
      <c r="O61" s="453">
        <f t="shared" ref="O61" si="16">IF((M61=0),0,N61/M61)</f>
        <v>0</v>
      </c>
      <c r="P61" s="454">
        <f>SUMIF('Diags Raw Data'!$A$6:$A$6302,"*"&amp;$A61&amp;"*",'Diags Raw Data'!$Z$6:$Z$6302)</f>
        <v>0</v>
      </c>
      <c r="Q61" s="455">
        <f>SUM(SUMIF('Diags Raw Data'!$A$6:$A$6302,"*"&amp;$A61&amp;"*",'Diags Raw Data'!$AA$6:$AA$6302),SUMIF('Diags Raw Data'!$A$6:$A$6302,"*"&amp;$A61&amp;"*",'Diags Raw Data'!$AB$6:$AB$6302))</f>
        <v>0</v>
      </c>
      <c r="R61" s="456">
        <f t="shared" ref="R61" si="17">IF((J61=0),0,P61/J61)</f>
        <v>0</v>
      </c>
      <c r="S61" s="456">
        <f t="shared" ref="S61" si="18">IF((P61=0),0,Q61/P61)</f>
        <v>0</v>
      </c>
      <c r="T61" s="457">
        <f t="shared" ref="T61" si="19">R61*S61</f>
        <v>0</v>
      </c>
      <c r="U61" s="420" t="s">
        <v>3468</v>
      </c>
      <c r="V61" s="181"/>
    </row>
    <row r="62" spans="1:22" ht="30" hidden="1" x14ac:dyDescent="0.25">
      <c r="A62" s="415" t="s">
        <v>3460</v>
      </c>
      <c r="B62" s="416" t="str">
        <f>VLOOKUP(A62,'Feature Raw Data'!$A$3:$B$3960,2,FALSE)</f>
        <v>Filt/D2D doorbell</v>
      </c>
      <c r="C62" s="417" t="str">
        <f>VLOOKUP(A62,'Feature Raw Data'!$A$3:$C$3960,3,FALSE)</f>
        <v>P1</v>
      </c>
      <c r="D62" s="418" t="str" cm="1">
        <f t="array" ref="D62">_xlfn.TEXTJOIN("",TRUE,IF(ISNUMBER(SEARCH($A62,'Diags Raw Data'!$A$6:$A$6302)),CONCATENATE('Diags Raw Data'!$H$6:$H$6302,", "),""))</f>
        <v xml:space="preserve">VCN701.001, VCN701.002, VCN701.003, </v>
      </c>
      <c r="E62" s="336" t="str">
        <f>VLOOKUP(A62,'Diags Raw Data'!$A$6:$D$6302,4,FALSE)</f>
        <v>UMSCH</v>
      </c>
      <c r="F62" s="336" t="str">
        <f>VLOOKUP(A62,'Feature Raw Data'!$A$3:$E$3960,5,FALSE)</f>
        <v>New</v>
      </c>
      <c r="G62" s="336" t="str">
        <f t="shared" ref="G62:G64" si="20">IF(D62="","No","Yes")</f>
        <v>Yes</v>
      </c>
      <c r="H62" s="336" t="str">
        <f t="shared" ref="H62:H64" si="21">IF(D62="","No","Yes")</f>
        <v>Yes</v>
      </c>
      <c r="I62" s="417">
        <f>SUMIF('Diags Raw Data'!$A$6:$A$6302,"*"&amp;$A62&amp;"*",'Diags Raw Data'!$K$6:$K$6302)</f>
        <v>3</v>
      </c>
      <c r="J62" s="419">
        <f>SUMIF('Diags Raw Data'!$A$6:$A$6302,"*"&amp;$A62&amp;"*",'Diags Raw Data'!$L$6:$L$6302)</f>
        <v>3</v>
      </c>
      <c r="K62" s="449" cm="1">
        <f t="array" ref="K62">IF(D62="",0, SUMPRODUCT(--(ISNUMBER(SEARCH($A62,'Diags Raw Data'!$A$6:$A$6302))),'Diags Raw Data'!$L$6:$L$6302,'Diags Raw Data'!$N$6:$N$6302)/J62)</f>
        <v>0</v>
      </c>
      <c r="L62" s="450" cm="1">
        <f t="array" ref="L62">IF(D62="",0, SUMPRODUCT(--(ISNUMBER(SEARCH($A62,'Diags Raw Data'!$A$6:$A$6302))),'Diags Raw Data'!$L$6:$L$6302,'Diags Raw Data'!$P$6:$P$6302)/J62)</f>
        <v>0</v>
      </c>
      <c r="M62" s="451" cm="1">
        <f t="array" ref="M62">SUMPRODUCT(--(ISNUMBER(SEARCH($A62,'Diags Raw Data'!$A$6:$A$6302))),--('Diags Raw Data'!$Q$6:$Q$6302&lt;&gt;"N/A"),'Diags Raw Data'!$R$6:$R$6302)</f>
        <v>3</v>
      </c>
      <c r="N62" s="452" cm="1">
        <f t="array" ref="N62">SUMPRODUCT(--(ISNUMBER(SEARCH($A62,'Diags Raw Data'!$A$6:$A$6302))),--('Diags Raw Data'!$Q$6:$Q$6302&lt;&gt;"N/A"),'Diags Raw Data'!$T$6:$T$6302)+SUMPRODUCT(--(ISNUMBER(SEARCH($A62,'Diags Raw Data'!$A$6:$A$6302))),--('Diags Raw Data'!$Q$6:$Q$6302&lt;&gt;"N/A"),'Diags Raw Data'!$U$6:$U$6302)</f>
        <v>0</v>
      </c>
      <c r="O62" s="453">
        <f t="shared" ref="O62:O64" si="22">IF((M62=0),0,N62/M62)</f>
        <v>0</v>
      </c>
      <c r="P62" s="454">
        <f>SUMIF('Diags Raw Data'!$A$6:$A$6302,"*"&amp;$A62&amp;"*",'Diags Raw Data'!$Z$6:$Z$6302)</f>
        <v>0</v>
      </c>
      <c r="Q62" s="455">
        <f>SUM(SUMIF('Diags Raw Data'!$A$6:$A$6302,"*"&amp;$A62&amp;"*",'Diags Raw Data'!$AA$6:$AA$6302),SUMIF('Diags Raw Data'!$A$6:$A$6302,"*"&amp;$A62&amp;"*",'Diags Raw Data'!$AB$6:$AB$6302))</f>
        <v>0</v>
      </c>
      <c r="R62" s="456">
        <f t="shared" ref="R62:R64" si="23">IF((J62=0),0,P62/J62)</f>
        <v>0</v>
      </c>
      <c r="S62" s="456">
        <f t="shared" ref="S62:S64" si="24">IF((P62=0),0,Q62/P62)</f>
        <v>0</v>
      </c>
      <c r="T62" s="457">
        <f t="shared" ref="T62:T64" si="25">R62*S62</f>
        <v>0</v>
      </c>
      <c r="U62" s="420" t="s">
        <v>3468</v>
      </c>
      <c r="V62" s="181"/>
    </row>
    <row r="63" spans="1:22" ht="105" hidden="1" x14ac:dyDescent="0.25">
      <c r="A63" s="415" t="s">
        <v>345</v>
      </c>
      <c r="B63" s="416" t="str">
        <f>VLOOKUP(A63,'Feature Raw Data'!$A$3:$B$3960,2,FALSE)</f>
        <v>System Enhancement (Atomic support incuded)</v>
      </c>
      <c r="C63" s="417" t="str">
        <f>VLOOKUP(A63,'Feature Raw Data'!$A$3:$C$3960,3,FALSE)</f>
        <v>P2</v>
      </c>
      <c r="D63" s="418" t="str" cm="1">
        <f t="array" ref="D63">_xlfn.TEXTJOIN("",TRUE,IF(ISNUMBER(SEARCH($A63,'Diags Raw Data'!$A$6:$A$6302)),CONCATENATE('Diags Raw Data'!$H$6:$H$6302,", "),""))</f>
        <v xml:space="preserve">VCN003.100, VCN005.001, VCN005.002, VCN005.003, VCN005.004, VCN005.100, VCN005.101, VCN005.102, VCN005.103, VCN600.001, VCN600.002, VCN601.001, VCN601.002, VCN601.003, </v>
      </c>
      <c r="E63" s="336" t="str">
        <f>VLOOKUP(A63,'Diags Raw Data'!$A$6:$D$6302,4,FALSE)</f>
        <v>Sanity</v>
      </c>
      <c r="F63" s="336" t="str">
        <f>VLOOKUP(A63,'Feature Raw Data'!$A$3:$E$3960,5,FALSE)</f>
        <v>Legacy</v>
      </c>
      <c r="G63" s="336" t="str">
        <f t="shared" si="20"/>
        <v>Yes</v>
      </c>
      <c r="H63" s="336" t="str">
        <f t="shared" si="21"/>
        <v>Yes</v>
      </c>
      <c r="I63" s="417">
        <f>SUMIF('Diags Raw Data'!$A$6:$A$6302,"*"&amp;$A63&amp;"*",'Diags Raw Data'!$K$6:$K$6302)</f>
        <v>14</v>
      </c>
      <c r="J63" s="419">
        <f>SUMIF('Diags Raw Data'!$A$6:$A$6302,"*"&amp;$A63&amp;"*",'Diags Raw Data'!$L$6:$L$6302)</f>
        <v>14</v>
      </c>
      <c r="K63" s="449" cm="1">
        <f t="array" ref="K63">IF(D63="",0, SUMPRODUCT(--(ISNUMBER(SEARCH($A63,'Diags Raw Data'!$A$6:$A$6302))),'Diags Raw Data'!$L$6:$L$6302,'Diags Raw Data'!$N$6:$N$6302)/J63)</f>
        <v>1</v>
      </c>
      <c r="L63" s="450" cm="1">
        <f t="array" ref="L63">IF(D63="",0, SUMPRODUCT(--(ISNUMBER(SEARCH($A63,'Diags Raw Data'!$A$6:$A$6302))),'Diags Raw Data'!$L$6:$L$6302,'Diags Raw Data'!$P$6:$P$6302)/J63)</f>
        <v>0</v>
      </c>
      <c r="M63" s="451" cm="1">
        <f t="array" ref="M63">SUMPRODUCT(--(ISNUMBER(SEARCH($A63,'Diags Raw Data'!$A$6:$A$6302))),--('Diags Raw Data'!$Q$6:$Q$6302&lt;&gt;"N/A"),'Diags Raw Data'!$R$6:$R$6302)</f>
        <v>9</v>
      </c>
      <c r="N63" s="452" cm="1">
        <f t="array" ref="N63">SUMPRODUCT(--(ISNUMBER(SEARCH($A63,'Diags Raw Data'!$A$6:$A$6302))),--('Diags Raw Data'!$Q$6:$Q$6302&lt;&gt;"N/A"),'Diags Raw Data'!$T$6:$T$6302)+SUMPRODUCT(--(ISNUMBER(SEARCH($A63,'Diags Raw Data'!$A$6:$A$6302))),--('Diags Raw Data'!$Q$6:$Q$6302&lt;&gt;"N/A"),'Diags Raw Data'!$U$6:$U$6302)</f>
        <v>0</v>
      </c>
      <c r="O63" s="453">
        <f t="shared" si="22"/>
        <v>0</v>
      </c>
      <c r="P63" s="454">
        <f>SUMIF('Diags Raw Data'!$A$6:$A$6302,"*"&amp;$A63&amp;"*",'Diags Raw Data'!$Z$6:$Z$6302)</f>
        <v>0</v>
      </c>
      <c r="Q63" s="455">
        <f>SUM(SUMIF('Diags Raw Data'!$A$6:$A$6302,"*"&amp;$A63&amp;"*",'Diags Raw Data'!$AA$6:$AA$6302),SUMIF('Diags Raw Data'!$A$6:$A$6302,"*"&amp;$A63&amp;"*",'Diags Raw Data'!$AB$6:$AB$6302))</f>
        <v>0</v>
      </c>
      <c r="R63" s="456">
        <f t="shared" si="23"/>
        <v>0</v>
      </c>
      <c r="S63" s="456">
        <f t="shared" si="24"/>
        <v>0</v>
      </c>
      <c r="T63" s="457">
        <f t="shared" si="25"/>
        <v>0</v>
      </c>
      <c r="U63" s="420" t="s">
        <v>3468</v>
      </c>
      <c r="V63" s="181"/>
    </row>
    <row r="64" spans="1:22" ht="409.5" hidden="1" x14ac:dyDescent="0.25">
      <c r="A64" s="415" t="s">
        <v>2647</v>
      </c>
      <c r="B64" s="416" t="str">
        <f>VLOOKUP(A64,'Feature Raw Data'!$A$3:$B$3960,2,FALSE)</f>
        <v>8-bit AV1 Encode</v>
      </c>
      <c r="C64" s="417" t="str">
        <f>VLOOKUP(A64,'Feature Raw Data'!$A$3:$C$3960,3,FALSE)</f>
        <v>P2</v>
      </c>
      <c r="D64" s="418" t="str" cm="1">
        <f t="array" ref="D64">_xlfn.TEXTJOIN("",TRUE,IF(ISNUMBER(SEARCH($A64,'Diags Raw Data'!$A$6:$A$6302)),CONCATENATE('Diags Raw Data'!$H$6:$H$6302,",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6" t="str">
        <f>VLOOKUP(A64,'Diags Raw Data'!$A$6:$D$6302,4,FALSE)</f>
        <v>AV1 Encode</v>
      </c>
      <c r="F64" s="336" t="str">
        <f>VLOOKUP(A64,'Feature Raw Data'!$A$3:$E$3960,5,FALSE)</f>
        <v>Legacy</v>
      </c>
      <c r="G64" s="336" t="str">
        <f t="shared" si="20"/>
        <v>Yes</v>
      </c>
      <c r="H64" s="336" t="str">
        <f t="shared" si="21"/>
        <v>Yes</v>
      </c>
      <c r="I64" s="417">
        <f>SUMIF('Diags Raw Data'!$A$6:$A$6302,"*"&amp;$A64&amp;"*",'Diags Raw Data'!$K$6:$K$6302)</f>
        <v>77</v>
      </c>
      <c r="J64" s="419">
        <f>SUMIF('Diags Raw Data'!$A$6:$A$6302,"*"&amp;$A64&amp;"*",'Diags Raw Data'!$L$6:$L$6302)</f>
        <v>77</v>
      </c>
      <c r="K64" s="449" cm="1">
        <f t="array" ref="K64">IF(D64="",0, SUMPRODUCT(--(ISNUMBER(SEARCH($A64,'Diags Raw Data'!$A$6:$A$6302))),'Diags Raw Data'!$L$6:$L$6302,'Diags Raw Data'!$N$6:$N$6302)/J64)</f>
        <v>0.94155844155844159</v>
      </c>
      <c r="L64" s="450" cm="1">
        <f t="array" ref="L64">IF(D64="",0, SUMPRODUCT(--(ISNUMBER(SEARCH($A64,'Diags Raw Data'!$A$6:$A$6302))),'Diags Raw Data'!$L$6:$L$6302,'Diags Raw Data'!$P$6:$P$6302)/J64)</f>
        <v>0</v>
      </c>
      <c r="M64" s="451" cm="1">
        <f t="array" ref="M64">SUMPRODUCT(--(ISNUMBER(SEARCH($A64,'Diags Raw Data'!$A$6:$A$6302))),--('Diags Raw Data'!$Q$6:$Q$6302&lt;&gt;"N/A"),'Diags Raw Data'!$R$6:$R$6302)</f>
        <v>77</v>
      </c>
      <c r="N64" s="452" cm="1">
        <f t="array" ref="N64">SUMPRODUCT(--(ISNUMBER(SEARCH($A64,'Diags Raw Data'!$A$6:$A$6302))),--('Diags Raw Data'!$Q$6:$Q$6302&lt;&gt;"N/A"),'Diags Raw Data'!$T$6:$T$6302)+SUMPRODUCT(--(ISNUMBER(SEARCH($A64,'Diags Raw Data'!$A$6:$A$6302))),--('Diags Raw Data'!$Q$6:$Q$6302&lt;&gt;"N/A"),'Diags Raw Data'!$U$6:$U$6302)</f>
        <v>0</v>
      </c>
      <c r="O64" s="453">
        <f t="shared" si="22"/>
        <v>0</v>
      </c>
      <c r="P64" s="454">
        <f>SUMIF('Diags Raw Data'!$A$6:$A$6302,"*"&amp;$A64&amp;"*",'Diags Raw Data'!$Z$6:$Z$6302)</f>
        <v>0</v>
      </c>
      <c r="Q64" s="455">
        <f>SUM(SUMIF('Diags Raw Data'!$A$6:$A$6302,"*"&amp;$A64&amp;"*",'Diags Raw Data'!$AA$6:$AA$6302),SUMIF('Diags Raw Data'!$A$6:$A$6302,"*"&amp;$A64&amp;"*",'Diags Raw Data'!$AB$6:$AB$6302))</f>
        <v>0</v>
      </c>
      <c r="R64" s="456">
        <f t="shared" si="23"/>
        <v>0</v>
      </c>
      <c r="S64" s="456">
        <f t="shared" si="24"/>
        <v>0</v>
      </c>
      <c r="T64" s="457">
        <f t="shared" si="25"/>
        <v>0</v>
      </c>
      <c r="U64" s="420" t="s">
        <v>3468</v>
      </c>
      <c r="V64" s="181"/>
    </row>
    <row r="65" spans="1:22" ht="409.5" hidden="1" x14ac:dyDescent="0.25">
      <c r="A65" s="415" t="s">
        <v>2671</v>
      </c>
      <c r="B65" s="416" t="str">
        <f>VLOOKUP(A65,'Feature Raw Data'!$A$3:$B$3960,2,FALSE)</f>
        <v>10-bit AV1 Encode</v>
      </c>
      <c r="C65" s="417" t="str">
        <f>VLOOKUP(A65,'Feature Raw Data'!$A$3:$C$3960,3,FALSE)</f>
        <v>P2</v>
      </c>
      <c r="D65" s="418" t="str" cm="1">
        <f t="array" ref="D65">_xlfn.TEXTJOIN("",TRUE,IF(ISNUMBER(SEARCH($A65,'Diags Raw Data'!$A$6:$A$6302)),CONCATENATE('Diags Raw Data'!$H$6:$H$6302,", "),""))</f>
        <v xml:space="preserve">VCN400.101, VCN400.102, VCN400.103, VCN400.104, VCN400.105, VCN400.106, VCN400.107, VCN400.108, VCN400.109, VCN400.110, VCN400.201, VCN400.202, VCN400.211, VCN400.212,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6" t="str">
        <f>VLOOKUP(A65,'Diags Raw Data'!$A$6:$D$6302,4,FALSE)</f>
        <v>AV1 Encode</v>
      </c>
      <c r="F65" s="336" t="str">
        <f>VLOOKUP(A65,'Feature Raw Data'!$A$3:$E$3960,5,FALSE)</f>
        <v>Legacy</v>
      </c>
      <c r="G65" s="336" t="str">
        <f t="shared" ref="G65" si="26">IF(D65="","No","Yes")</f>
        <v>Yes</v>
      </c>
      <c r="H65" s="336" t="str">
        <f t="shared" ref="H65" si="27">IF(D65="","No","Yes")</f>
        <v>Yes</v>
      </c>
      <c r="I65" s="417">
        <f>SUMIF('Diags Raw Data'!$A$6:$A$6302,"*"&amp;$A65&amp;"*",'Diags Raw Data'!$K$6:$K$6302)</f>
        <v>81</v>
      </c>
      <c r="J65" s="419">
        <f>SUMIF('Diags Raw Data'!$A$6:$A$6302,"*"&amp;$A65&amp;"*",'Diags Raw Data'!$L$6:$L$6302)</f>
        <v>81</v>
      </c>
      <c r="K65" s="449" cm="1">
        <f t="array" ref="K65">IF(D65="",0, SUMPRODUCT(--(ISNUMBER(SEARCH($A65,'Diags Raw Data'!$A$6:$A$6302))),'Diags Raw Data'!$L$6:$L$6302,'Diags Raw Data'!$N$6:$N$6302)/J65)</f>
        <v>0.95061728395061729</v>
      </c>
      <c r="L65" s="450" cm="1">
        <f t="array" ref="L65">IF(D65="",0, SUMPRODUCT(--(ISNUMBER(SEARCH($A65,'Diags Raw Data'!$A$6:$A$6302))),'Diags Raw Data'!$L$6:$L$6302,'Diags Raw Data'!$P$6:$P$6302)/J65)</f>
        <v>0</v>
      </c>
      <c r="M65" s="451" cm="1">
        <f t="array" ref="M65">SUMPRODUCT(--(ISNUMBER(SEARCH($A65,'Diags Raw Data'!$A$6:$A$6302))),--('Diags Raw Data'!$Q$6:$Q$6302&lt;&gt;"N/A"),'Diags Raw Data'!$R$6:$R$6302)</f>
        <v>81</v>
      </c>
      <c r="N65" s="452" cm="1">
        <f t="array" ref="N65">SUMPRODUCT(--(ISNUMBER(SEARCH($A65,'Diags Raw Data'!$A$6:$A$6302))),--('Diags Raw Data'!$Q$6:$Q$6302&lt;&gt;"N/A"),'Diags Raw Data'!$T$6:$T$6302)+SUMPRODUCT(--(ISNUMBER(SEARCH($A65,'Diags Raw Data'!$A$6:$A$6302))),--('Diags Raw Data'!$Q$6:$Q$6302&lt;&gt;"N/A"),'Diags Raw Data'!$U$6:$U$6302)</f>
        <v>0</v>
      </c>
      <c r="O65" s="453">
        <f t="shared" ref="O65" si="28">IF((M65=0),0,N65/M65)</f>
        <v>0</v>
      </c>
      <c r="P65" s="454">
        <f>SUMIF('Diags Raw Data'!$A$6:$A$6302,"*"&amp;$A65&amp;"*",'Diags Raw Data'!$Z$6:$Z$6302)</f>
        <v>0</v>
      </c>
      <c r="Q65" s="455">
        <f>SUM(SUMIF('Diags Raw Data'!$A$6:$A$6302,"*"&amp;$A65&amp;"*",'Diags Raw Data'!$AA$6:$AA$6302),SUMIF('Diags Raw Data'!$A$6:$A$6302,"*"&amp;$A65&amp;"*",'Diags Raw Data'!$AB$6:$AB$6302))</f>
        <v>0</v>
      </c>
      <c r="R65" s="456">
        <f t="shared" ref="R65" si="29">IF((J65=0),0,P65/J65)</f>
        <v>0</v>
      </c>
      <c r="S65" s="456">
        <f t="shared" ref="S65" si="30">IF((P65=0),0,Q65/P65)</f>
        <v>0</v>
      </c>
      <c r="T65" s="457">
        <f t="shared" ref="T65" si="31">R65*S65</f>
        <v>0</v>
      </c>
      <c r="U65" s="420" t="s">
        <v>3468</v>
      </c>
      <c r="V65" s="181"/>
    </row>
    <row r="66" spans="1:22" ht="15.75" thickBot="1" x14ac:dyDescent="0.3">
      <c r="A66" s="364"/>
      <c r="B66" s="388"/>
      <c r="C66" s="365"/>
      <c r="D66" s="366"/>
      <c r="E66" s="367"/>
      <c r="F66" s="367"/>
      <c r="G66" s="367"/>
      <c r="H66" s="367"/>
      <c r="I66" s="365"/>
      <c r="J66" s="368"/>
      <c r="K66" s="458"/>
      <c r="L66" s="459"/>
      <c r="M66" s="460"/>
      <c r="N66" s="461"/>
      <c r="O66" s="462"/>
      <c r="P66" s="463"/>
      <c r="Q66" s="464"/>
      <c r="R66" s="465"/>
      <c r="S66" s="465"/>
      <c r="T66" s="466"/>
      <c r="U66" s="369"/>
      <c r="V66" s="181"/>
    </row>
    <row r="67" spans="1:22" x14ac:dyDescent="0.25">
      <c r="A67" s="564" t="s">
        <v>3471</v>
      </c>
      <c r="B67" s="627"/>
      <c r="C67" s="627"/>
      <c r="D67" s="627"/>
      <c r="E67" s="627"/>
      <c r="F67" s="627"/>
      <c r="G67" s="627"/>
      <c r="H67" s="627"/>
      <c r="I67" s="627"/>
      <c r="J67" s="627"/>
      <c r="K67" s="627"/>
      <c r="L67" s="627"/>
      <c r="M67" s="627"/>
      <c r="N67" s="627"/>
      <c r="O67" s="627"/>
      <c r="P67" s="627"/>
      <c r="Q67" s="627"/>
      <c r="R67" s="627"/>
      <c r="S67" s="627"/>
      <c r="T67" s="627"/>
      <c r="U67" s="628"/>
      <c r="V67" s="181"/>
    </row>
    <row r="68" spans="1:22" ht="15.75" thickBot="1" x14ac:dyDescent="0.3">
      <c r="A68" s="629"/>
      <c r="B68" s="630"/>
      <c r="C68" s="630"/>
      <c r="D68" s="630"/>
      <c r="E68" s="630"/>
      <c r="F68" s="630"/>
      <c r="G68" s="630"/>
      <c r="H68" s="630"/>
      <c r="I68" s="630"/>
      <c r="J68" s="630"/>
      <c r="K68" s="630"/>
      <c r="L68" s="630"/>
      <c r="M68" s="630"/>
      <c r="N68" s="630"/>
      <c r="O68" s="630"/>
      <c r="P68" s="630"/>
      <c r="Q68" s="630"/>
      <c r="R68" s="630"/>
      <c r="S68" s="630"/>
      <c r="T68" s="630"/>
      <c r="U68" s="631"/>
      <c r="V68" s="181"/>
    </row>
    <row r="69" spans="1:22" s="188" customFormat="1" ht="18.75" x14ac:dyDescent="0.25">
      <c r="A69" s="621" t="s">
        <v>302</v>
      </c>
      <c r="B69" s="622"/>
      <c r="C69" s="622"/>
      <c r="D69" s="622"/>
      <c r="E69" s="622"/>
      <c r="F69" s="623"/>
      <c r="G69" s="378">
        <f>COUNTIF(G7:G66,"Yes")</f>
        <v>50</v>
      </c>
      <c r="H69" s="378">
        <f>COUNTIF(H7:H66,"Yes")</f>
        <v>50</v>
      </c>
      <c r="I69" s="652">
        <f>'Diags Raw Data'!K2692</f>
        <v>2622</v>
      </c>
      <c r="J69" s="654">
        <f>'Diags Raw Data'!L2692</f>
        <v>2622</v>
      </c>
      <c r="K69" s="640">
        <f>'Diags Raw Data'!N2692</f>
        <v>0.93344774980930589</v>
      </c>
      <c r="L69" s="642">
        <f>'Diags Raw Data'!P2692</f>
        <v>0.35869565217391303</v>
      </c>
      <c r="M69" s="644">
        <f>'Diags Raw Data'!R2692</f>
        <v>2123</v>
      </c>
      <c r="N69" s="636">
        <f>SUM('Diags Raw Data'!T2692+'Diags Raw Data'!U2692)</f>
        <v>399</v>
      </c>
      <c r="O69" s="632">
        <f>IF((M69=0),0,N69/M69)</f>
        <v>0.1879415920866698</v>
      </c>
      <c r="P69" s="634">
        <f>'Diags Raw Data'!Z2692</f>
        <v>0</v>
      </c>
      <c r="Q69" s="650">
        <f>SUM('Diags Raw Data'!AA2692+'Diags Raw Data'!AB2692)</f>
        <v>0</v>
      </c>
      <c r="R69" s="646">
        <f>IF((J69=0),0,P69/J69)</f>
        <v>0</v>
      </c>
      <c r="S69" s="646">
        <f>IF((P69=0),0,Q69/P69)</f>
        <v>0</v>
      </c>
      <c r="T69" s="646">
        <f>R69*S69</f>
        <v>0</v>
      </c>
      <c r="U69" s="648"/>
      <c r="V69" s="187"/>
    </row>
    <row r="70" spans="1:22" ht="19.5" thickBot="1" x14ac:dyDescent="0.3">
      <c r="A70" s="624"/>
      <c r="B70" s="625"/>
      <c r="C70" s="625"/>
      <c r="D70" s="625"/>
      <c r="E70" s="625"/>
      <c r="F70" s="626"/>
      <c r="G70" s="379">
        <f>COUNTIF(G7:G66,"Yes")/COUNTA(A7:A66)</f>
        <v>0.84745762711864403</v>
      </c>
      <c r="H70" s="379">
        <f>(COUNTIF(H7:H66,"Yes")/G69)</f>
        <v>1</v>
      </c>
      <c r="I70" s="653"/>
      <c r="J70" s="655"/>
      <c r="K70" s="641"/>
      <c r="L70" s="643"/>
      <c r="M70" s="645"/>
      <c r="N70" s="637"/>
      <c r="O70" s="633"/>
      <c r="P70" s="635"/>
      <c r="Q70" s="651"/>
      <c r="R70" s="647"/>
      <c r="S70" s="647"/>
      <c r="T70" s="647"/>
      <c r="U70" s="649"/>
      <c r="V70" s="181"/>
    </row>
    <row r="71" spans="1:22" x14ac:dyDescent="0.25">
      <c r="A71" s="189"/>
      <c r="B71" s="190"/>
      <c r="C71" s="190"/>
      <c r="D71" s="189"/>
      <c r="E71" s="190"/>
      <c r="F71" s="190"/>
      <c r="G71" s="360"/>
      <c r="H71" s="190"/>
      <c r="I71" s="370"/>
      <c r="J71" s="370"/>
      <c r="K71" s="194"/>
      <c r="L71" s="194"/>
      <c r="M71" s="195"/>
      <c r="N71" s="195"/>
      <c r="O71" s="194"/>
      <c r="P71" s="192"/>
      <c r="Q71" s="192"/>
      <c r="R71" s="198"/>
      <c r="S71" s="198"/>
      <c r="T71" s="199"/>
      <c r="U71" s="189"/>
    </row>
  </sheetData>
  <sheetProtection insertColumns="0" insertRows="0" deleteRows="0" sort="0"/>
  <autoFilter ref="A6:U70" xr:uid="{00000000-0009-0000-0000-000004000000}">
    <filterColumn colId="3">
      <filters blank="1"/>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3472</v>
      </c>
      <c r="C1" s="36" t="s">
        <v>3473</v>
      </c>
      <c r="D1" s="36" t="s">
        <v>3474</v>
      </c>
      <c r="E1" s="36" t="s">
        <v>3475</v>
      </c>
      <c r="F1" s="36" t="s">
        <v>3476</v>
      </c>
      <c r="G1" s="37" t="s">
        <v>3477</v>
      </c>
      <c r="H1" s="12"/>
      <c r="I1" s="12"/>
      <c r="J1" s="12"/>
      <c r="K1" s="12"/>
      <c r="L1" s="13"/>
      <c r="M1" s="1"/>
      <c r="N1" s="11"/>
      <c r="X1" s="11"/>
      <c r="AB1" s="668" t="s">
        <v>3478</v>
      </c>
      <c r="AM1" s="668" t="s">
        <v>3479</v>
      </c>
    </row>
    <row r="2" spans="1:40" s="14" customFormat="1" ht="12" x14ac:dyDescent="0.2">
      <c r="A2" s="35" t="s">
        <v>3480</v>
      </c>
      <c r="B2" s="15">
        <v>42994</v>
      </c>
      <c r="C2" s="15">
        <v>43190</v>
      </c>
      <c r="D2" s="16" t="e">
        <f>#REF!</f>
        <v>#REF!</v>
      </c>
      <c r="E2" s="16" t="e">
        <f>#REF!</f>
        <v>#REF!</v>
      </c>
      <c r="F2" s="16">
        <f>(C2-B2)/7</f>
        <v>28</v>
      </c>
      <c r="G2" s="17" t="e">
        <f>E2/F2</f>
        <v>#REF!</v>
      </c>
      <c r="H2" s="18"/>
      <c r="I2" s="18"/>
      <c r="J2" s="18"/>
      <c r="K2" s="18"/>
      <c r="L2" s="19"/>
      <c r="M2" s="20"/>
      <c r="N2" s="21"/>
      <c r="X2" s="21"/>
      <c r="AB2" s="669"/>
      <c r="AM2" s="66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0" t="s">
        <v>3481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1"/>
      <c r="B5" s="47" t="s">
        <v>3482</v>
      </c>
      <c r="C5" s="47" t="s">
        <v>3483</v>
      </c>
      <c r="D5" s="47" t="s">
        <v>3484</v>
      </c>
      <c r="E5" s="47" t="s">
        <v>3485</v>
      </c>
      <c r="F5" s="47" t="s">
        <v>3486</v>
      </c>
      <c r="G5" s="47" t="s">
        <v>3487</v>
      </c>
      <c r="H5" s="47" t="s">
        <v>3488</v>
      </c>
      <c r="I5" s="47" t="s">
        <v>3489</v>
      </c>
      <c r="J5" s="47" t="s">
        <v>3490</v>
      </c>
      <c r="K5" s="47" t="s">
        <v>3491</v>
      </c>
      <c r="L5" s="47" t="s">
        <v>3492</v>
      </c>
      <c r="M5" s="47" t="s">
        <v>3493</v>
      </c>
      <c r="N5" s="47" t="s">
        <v>3494</v>
      </c>
      <c r="O5" s="47" t="s">
        <v>3495</v>
      </c>
      <c r="P5" s="47" t="s">
        <v>3496</v>
      </c>
      <c r="Q5" s="47" t="s">
        <v>3497</v>
      </c>
      <c r="R5" s="47" t="s">
        <v>3498</v>
      </c>
      <c r="S5" s="47" t="s">
        <v>3499</v>
      </c>
      <c r="T5" s="47" t="s">
        <v>3500</v>
      </c>
      <c r="U5" s="47" t="s">
        <v>3501</v>
      </c>
      <c r="V5" s="47" t="s">
        <v>3502</v>
      </c>
      <c r="W5" s="47" t="s">
        <v>3503</v>
      </c>
      <c r="X5" s="47" t="s">
        <v>3504</v>
      </c>
      <c r="Y5" s="47" t="s">
        <v>3505</v>
      </c>
      <c r="Z5" s="47" t="s">
        <v>3506</v>
      </c>
      <c r="AA5" s="47" t="s">
        <v>3507</v>
      </c>
      <c r="AB5" s="47" t="s">
        <v>3508</v>
      </c>
      <c r="AC5" s="47" t="s">
        <v>3509</v>
      </c>
      <c r="AD5" s="47" t="s">
        <v>3510</v>
      </c>
      <c r="AE5" s="47" t="s">
        <v>3511</v>
      </c>
      <c r="AF5" s="47" t="s">
        <v>3512</v>
      </c>
      <c r="AG5" s="47" t="s">
        <v>3513</v>
      </c>
      <c r="AH5" s="47" t="s">
        <v>3514</v>
      </c>
      <c r="AI5" s="47" t="s">
        <v>3515</v>
      </c>
      <c r="AJ5" s="47" t="s">
        <v>3516</v>
      </c>
      <c r="AK5" s="47" t="s">
        <v>3517</v>
      </c>
      <c r="AL5" s="66" t="s">
        <v>3518</v>
      </c>
      <c r="AM5" s="65" t="s">
        <v>3519</v>
      </c>
      <c r="AN5" s="50"/>
    </row>
    <row r="6" spans="1:40" ht="12" x14ac:dyDescent="0.2">
      <c r="A6" s="48" t="s">
        <v>3520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3521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0" t="s">
        <v>3522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2"/>
      <c r="B10" s="32" t="s">
        <v>3482</v>
      </c>
      <c r="C10" s="32" t="s">
        <v>3483</v>
      </c>
      <c r="D10" s="32" t="s">
        <v>3484</v>
      </c>
      <c r="E10" s="32" t="s">
        <v>3485</v>
      </c>
      <c r="F10" s="32" t="s">
        <v>3486</v>
      </c>
      <c r="G10" s="32" t="s">
        <v>3487</v>
      </c>
      <c r="H10" s="32" t="s">
        <v>3488</v>
      </c>
      <c r="I10" s="32" t="s">
        <v>3489</v>
      </c>
      <c r="J10" s="32" t="s">
        <v>3490</v>
      </c>
      <c r="K10" s="32" t="s">
        <v>3491</v>
      </c>
      <c r="L10" s="32" t="s">
        <v>3492</v>
      </c>
      <c r="M10" s="32" t="s">
        <v>3493</v>
      </c>
      <c r="N10" s="32" t="s">
        <v>3494</v>
      </c>
      <c r="O10" s="32" t="s">
        <v>3495</v>
      </c>
      <c r="P10" s="32" t="s">
        <v>3496</v>
      </c>
      <c r="Q10" s="32" t="s">
        <v>3497</v>
      </c>
      <c r="R10" s="32" t="s">
        <v>3498</v>
      </c>
      <c r="S10" s="32" t="s">
        <v>3499</v>
      </c>
      <c r="T10" s="32" t="s">
        <v>3500</v>
      </c>
      <c r="U10" s="32" t="s">
        <v>3501</v>
      </c>
      <c r="V10" s="32" t="s">
        <v>3502</v>
      </c>
      <c r="W10" s="32" t="s">
        <v>3503</v>
      </c>
      <c r="X10" s="32" t="s">
        <v>3504</v>
      </c>
      <c r="Y10" s="32" t="s">
        <v>3505</v>
      </c>
      <c r="Z10" s="32" t="s">
        <v>3506</v>
      </c>
      <c r="AA10" s="32" t="s">
        <v>3507</v>
      </c>
      <c r="AB10" s="32" t="s">
        <v>3508</v>
      </c>
      <c r="AC10" s="32" t="s">
        <v>3509</v>
      </c>
      <c r="AD10" s="32" t="s">
        <v>3510</v>
      </c>
      <c r="AE10" s="32" t="s">
        <v>3511</v>
      </c>
      <c r="AF10" s="32" t="s">
        <v>3512</v>
      </c>
      <c r="AG10" s="32" t="s">
        <v>3513</v>
      </c>
      <c r="AH10" s="32" t="s">
        <v>3514</v>
      </c>
      <c r="AI10" s="32" t="s">
        <v>3515</v>
      </c>
      <c r="AJ10" s="64" t="s">
        <v>3516</v>
      </c>
      <c r="AK10" s="63" t="s">
        <v>3517</v>
      </c>
      <c r="AL10" s="47" t="s">
        <v>3518</v>
      </c>
      <c r="AM10" s="72" t="s">
        <v>3519</v>
      </c>
      <c r="AN10" s="68"/>
    </row>
    <row r="11" spans="1:40" x14ac:dyDescent="0.25">
      <c r="A11" s="42" t="s">
        <v>3520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3521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3523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3524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3525</v>
      </c>
      <c r="B1" s="157" t="s">
        <v>3526</v>
      </c>
      <c r="C1" s="158" t="s">
        <v>3527</v>
      </c>
      <c r="D1" s="158" t="s">
        <v>3528</v>
      </c>
      <c r="E1" s="158" t="s">
        <v>3529</v>
      </c>
      <c r="F1" s="158" t="s">
        <v>3530</v>
      </c>
      <c r="G1" s="158" t="s">
        <v>3531</v>
      </c>
      <c r="H1" s="158" t="s">
        <v>3532</v>
      </c>
      <c r="I1" s="158" t="s">
        <v>3533</v>
      </c>
      <c r="J1" s="158" t="s">
        <v>3534</v>
      </c>
      <c r="K1" s="158" t="s">
        <v>3535</v>
      </c>
      <c r="L1" s="158" t="s">
        <v>3536</v>
      </c>
      <c r="M1" s="158" t="s">
        <v>3537</v>
      </c>
      <c r="N1" s="158" t="s">
        <v>3538</v>
      </c>
      <c r="O1" s="158" t="s">
        <v>3539</v>
      </c>
      <c r="P1" s="158" t="s">
        <v>3540</v>
      </c>
      <c r="Q1" s="158" t="s">
        <v>3541</v>
      </c>
      <c r="R1" s="158" t="s">
        <v>3542</v>
      </c>
      <c r="S1" s="158" t="s">
        <v>3543</v>
      </c>
      <c r="T1" s="158" t="s">
        <v>3544</v>
      </c>
      <c r="U1" s="158" t="s">
        <v>3545</v>
      </c>
      <c r="V1" s="158" t="s">
        <v>3546</v>
      </c>
      <c r="W1" s="158" t="s">
        <v>3547</v>
      </c>
      <c r="X1" s="158" t="s">
        <v>3548</v>
      </c>
      <c r="Y1" s="158" t="s">
        <v>3549</v>
      </c>
      <c r="Z1" s="158" t="s">
        <v>3550</v>
      </c>
      <c r="AA1" s="158" t="s">
        <v>3551</v>
      </c>
      <c r="AB1" s="158" t="s">
        <v>3552</v>
      </c>
      <c r="AC1" s="158" t="s">
        <v>3553</v>
      </c>
      <c r="AD1" s="158" t="s">
        <v>3554</v>
      </c>
      <c r="AE1" s="158" t="s">
        <v>3555</v>
      </c>
      <c r="AF1" s="158" t="s">
        <v>3556</v>
      </c>
      <c r="AG1" s="158" t="s">
        <v>3557</v>
      </c>
      <c r="AH1" s="158" t="s">
        <v>3558</v>
      </c>
      <c r="AI1" s="158" t="s">
        <v>3559</v>
      </c>
      <c r="AJ1" s="158" t="s">
        <v>3560</v>
      </c>
      <c r="AK1" s="158" t="s">
        <v>3561</v>
      </c>
      <c r="AL1" s="158" t="s">
        <v>3562</v>
      </c>
      <c r="AM1" s="158" t="s">
        <v>3563</v>
      </c>
      <c r="AN1" s="158" t="s">
        <v>3564</v>
      </c>
      <c r="AO1" s="158" t="s">
        <v>3565</v>
      </c>
      <c r="AP1" s="158" t="s">
        <v>3566</v>
      </c>
      <c r="AQ1" s="158" t="s">
        <v>3567</v>
      </c>
      <c r="AR1" s="158" t="s">
        <v>3568</v>
      </c>
      <c r="AS1" s="158" t="s">
        <v>3569</v>
      </c>
      <c r="AT1" s="158" t="s">
        <v>3570</v>
      </c>
      <c r="AU1" s="158" t="s">
        <v>3571</v>
      </c>
      <c r="AV1" s="158" t="s">
        <v>3572</v>
      </c>
      <c r="AW1" s="158" t="s">
        <v>3573</v>
      </c>
      <c r="AX1" s="158" t="s">
        <v>3574</v>
      </c>
      <c r="AY1" s="158" t="s">
        <v>3575</v>
      </c>
      <c r="AZ1" s="158" t="s">
        <v>3576</v>
      </c>
      <c r="BA1" s="158" t="s">
        <v>3577</v>
      </c>
      <c r="BB1" s="159" t="s">
        <v>3578</v>
      </c>
    </row>
    <row r="2" spans="1:54" s="135" customFormat="1" x14ac:dyDescent="0.2">
      <c r="A2" s="151" t="s">
        <v>3521</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3524</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3522</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3521</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3523</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3579</v>
      </c>
      <c r="B3" s="129" t="s">
        <v>3580</v>
      </c>
      <c r="C3" s="129"/>
      <c r="D3" s="218"/>
      <c r="E3" s="129"/>
    </row>
    <row r="4" spans="1:5" x14ac:dyDescent="0.25">
      <c r="A4" s="79" t="s">
        <v>47</v>
      </c>
      <c r="B4">
        <v>0</v>
      </c>
    </row>
    <row r="5" spans="1:5" x14ac:dyDescent="0.25">
      <c r="A5" s="79" t="s">
        <v>3581</v>
      </c>
      <c r="B5">
        <v>85</v>
      </c>
      <c r="D5" s="130">
        <f>GETPIVOTDATA("#Tests",$A$3,"ETA","wk-1")/GETPIVOTDATA("#Tests",$A$3)</f>
        <v>0.17</v>
      </c>
      <c r="E5" s="131">
        <f>D5</f>
        <v>0.17</v>
      </c>
    </row>
    <row r="6" spans="1:5" x14ac:dyDescent="0.25">
      <c r="A6" s="79" t="s">
        <v>3582</v>
      </c>
      <c r="B6">
        <v>48</v>
      </c>
      <c r="D6" s="130">
        <f>GETPIVOTDATA("#Tests",$A$3,"ETA","wk-2")/GETPIVOTDATA("#Tests",$A$3)</f>
        <v>9.6000000000000002E-2</v>
      </c>
      <c r="E6" s="131">
        <f t="shared" ref="E6:E12" si="0">E5+D6</f>
        <v>0.26600000000000001</v>
      </c>
    </row>
    <row r="7" spans="1:5" x14ac:dyDescent="0.25">
      <c r="A7" s="79" t="s">
        <v>3583</v>
      </c>
      <c r="B7">
        <v>96</v>
      </c>
      <c r="D7" s="130">
        <f>GETPIVOTDATA("#Tests",$A$3,"ETA","wk-3")/GETPIVOTDATA("#Tests",$A$3)</f>
        <v>0.192</v>
      </c>
      <c r="E7" s="131">
        <f t="shared" si="0"/>
        <v>0.45800000000000002</v>
      </c>
    </row>
    <row r="8" spans="1:5" x14ac:dyDescent="0.25">
      <c r="A8" s="79" t="s">
        <v>3584</v>
      </c>
      <c r="B8">
        <v>79</v>
      </c>
      <c r="D8" s="130">
        <f>GETPIVOTDATA("#Tests",$A$3,"ETA","wk-4")/GETPIVOTDATA("#Tests",$A$3)</f>
        <v>0.158</v>
      </c>
      <c r="E8" s="131">
        <f t="shared" si="0"/>
        <v>0.61599999999999999</v>
      </c>
    </row>
    <row r="9" spans="1:5" x14ac:dyDescent="0.25">
      <c r="A9" s="79" t="s">
        <v>3585</v>
      </c>
      <c r="B9">
        <v>82</v>
      </c>
      <c r="D9" s="130">
        <f>GETPIVOTDATA("#Tests",$A$3,"ETA","wk-5")/GETPIVOTDATA("#Tests",$A$3)</f>
        <v>0.16400000000000001</v>
      </c>
      <c r="E9" s="131">
        <f t="shared" si="0"/>
        <v>0.78</v>
      </c>
    </row>
    <row r="10" spans="1:5" x14ac:dyDescent="0.25">
      <c r="A10" s="79" t="s">
        <v>3586</v>
      </c>
      <c r="B10">
        <v>60</v>
      </c>
      <c r="D10" s="130">
        <f>GETPIVOTDATA("#Tests",$A$3,"ETA","wk-6")/GETPIVOTDATA("#Tests",$A$3)</f>
        <v>0.12</v>
      </c>
      <c r="E10" s="131">
        <f t="shared" si="0"/>
        <v>0.9</v>
      </c>
    </row>
    <row r="11" spans="1:5" x14ac:dyDescent="0.25">
      <c r="A11" s="79" t="s">
        <v>3587</v>
      </c>
      <c r="B11">
        <v>30</v>
      </c>
      <c r="D11" s="130">
        <f>GETPIVOTDATA("#Tests",$A$3,"ETA","wk-7")/GETPIVOTDATA("#Tests",$A$3)</f>
        <v>0.06</v>
      </c>
      <c r="E11" s="131">
        <f t="shared" si="0"/>
        <v>0.96</v>
      </c>
    </row>
    <row r="12" spans="1:5" x14ac:dyDescent="0.25">
      <c r="A12" s="79" t="s">
        <v>3588</v>
      </c>
      <c r="B12">
        <v>20</v>
      </c>
      <c r="D12" s="130">
        <f>GETPIVOTDATA("#Tests",$A$3,"ETA","wk-8")/GETPIVOTDATA("#Tests",$A$3)</f>
        <v>0.04</v>
      </c>
      <c r="E12" s="131">
        <f t="shared" si="0"/>
        <v>1</v>
      </c>
    </row>
    <row r="13" spans="1:5" x14ac:dyDescent="0.25">
      <c r="A13" s="79" t="s">
        <v>3375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Regier, Paul</cp:lastModifiedBy>
  <cp:revision/>
  <dcterms:created xsi:type="dcterms:W3CDTF">2013-03-11T21:33:52Z</dcterms:created>
  <dcterms:modified xsi:type="dcterms:W3CDTF">2023-09-29T15:16:44Z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