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830B42AF-5651-4750-916F-856B26C0D81A}" xr6:coauthVersionLast="47" xr6:coauthVersionMax="47" xr10:uidLastSave="{00000000-0000-0000-0000-000000000000}"/>
  <bookViews>
    <workbookView xWindow="28680" yWindow="-120" windowWidth="29040" windowHeight="15840" firstSheet="7" activeTab="7" xr2:uid="{00000000-000D-0000-FFFF-FFFF00000000}"/>
  </bookViews>
  <sheets>
    <sheet name="Log" sheetId="47" state="hidden" r:id="rId1"/>
    <sheet name="List Options" sheetId="31" state="hidden" r:id="rId2"/>
    <sheet name="Usage" sheetId="56" r:id="rId3"/>
    <sheet name="Revision History" sheetId="61" r:id="rId4"/>
    <sheet name="Diags Raw Data" sheetId="53" r:id="rId5"/>
    <sheet name="Sub-IP Block Summary" sheetId="59" r:id="rId6"/>
    <sheet name="Feature Raw Data" sheetId="52" r:id="rId7"/>
    <sheet name="Feature Summary" sheetId="55" r:id="rId8"/>
    <sheet name="Progress (WIP)" sheetId="26" state="hidden" r:id="rId9"/>
    <sheet name="FeatureSHR" sheetId="60" r:id="rId10"/>
    <sheet name="Progress" sheetId="51" r:id="rId11"/>
    <sheet name="Coverage Plan" sheetId="57" state="hidden" r:id="rId12"/>
  </sheets>
  <externalReferences>
    <externalReference r:id="rId13"/>
  </externalReferences>
  <definedNames>
    <definedName name="_xlnm._FilterDatabase" localSheetId="4" hidden="1">'Diags Raw Data'!$A$5:$AH$167</definedName>
    <definedName name="_xlnm._FilterDatabase" localSheetId="6" hidden="1">'Feature Raw Data'!$A$2:$E$111</definedName>
    <definedName name="_xlnm._FilterDatabase" localSheetId="7" hidden="1">'Feature Summary'!$A$6:$U$121</definedName>
    <definedName name="_Toc101441265" localSheetId="6">'Feature Raw Data'!$B$80</definedName>
    <definedName name="_Toc101441266" localSheetId="6">'Feature Raw Data'!$B$84</definedName>
    <definedName name="_Toc101441267" localSheetId="6">'Feature Raw Data'!$B$87</definedName>
    <definedName name="_Toc101441269" localSheetId="6">'Feature Raw Data'!$B$85</definedName>
    <definedName name="_Toc101441270" localSheetId="6">'Feature Raw Data'!$B$86</definedName>
    <definedName name="_Toc101441271" localSheetId="6">'Feature Raw Data'!$B$72</definedName>
    <definedName name="_Toc126346259" localSheetId="6">'Feature Raw Data'!$B$6</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9"/>
  <pivotCaches>
    <pivotCache cacheId="2" r:id="rId14"/>
    <pivotCache cacheId="3"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Y119" i="55" l="1"/>
  <c r="X119" i="55"/>
  <c r="AD158" i="53" l="1"/>
  <c r="AC158" i="53"/>
  <c r="AB158" i="53"/>
  <c r="AA158" i="53"/>
  <c r="W158" i="53"/>
  <c r="V158" i="53"/>
  <c r="U158" i="53"/>
  <c r="T158" i="53"/>
  <c r="R158" i="53"/>
  <c r="P94" i="53"/>
  <c r="P95" i="53"/>
  <c r="P96" i="53"/>
  <c r="P97" i="53"/>
  <c r="O158" i="53"/>
  <c r="L158" i="53"/>
  <c r="K158" i="53"/>
  <c r="N158" i="53" s="1"/>
  <c r="K2" i="55" s="1"/>
  <c r="B6" i="53"/>
  <c r="B7" i="53"/>
  <c r="B8" i="53"/>
  <c r="B9" i="53"/>
  <c r="B10" i="53"/>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2"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0" i="53"/>
  <c r="B131" i="53"/>
  <c r="B132" i="53"/>
  <c r="B133" i="53"/>
  <c r="B134" i="53"/>
  <c r="B135" i="53"/>
  <c r="B141" i="53"/>
  <c r="B142" i="53"/>
  <c r="B143" i="53"/>
  <c r="B144" i="53"/>
  <c r="B145" i="53"/>
  <c r="B146" i="53"/>
  <c r="B147" i="53"/>
  <c r="B148" i="53"/>
  <c r="B149" i="53"/>
  <c r="B150" i="53"/>
  <c r="B151" i="53"/>
  <c r="B152" i="53"/>
  <c r="B153" i="53"/>
  <c r="AG152" i="53"/>
  <c r="Z152" i="53"/>
  <c r="AE152" i="53" s="1"/>
  <c r="S152" i="53"/>
  <c r="X152" i="53" s="1"/>
  <c r="P152" i="53"/>
  <c r="AG149" i="53"/>
  <c r="Z149" i="53"/>
  <c r="AE149" i="53" s="1"/>
  <c r="S149" i="53"/>
  <c r="X149" i="53" s="1"/>
  <c r="P149" i="53"/>
  <c r="AG147" i="53"/>
  <c r="Z147" i="53"/>
  <c r="AE147" i="53"/>
  <c r="S147" i="53"/>
  <c r="X147" i="53" s="1"/>
  <c r="P147" i="53"/>
  <c r="Z129" i="53"/>
  <c r="S129" i="53"/>
  <c r="P129" i="53"/>
  <c r="Z130" i="53"/>
  <c r="S130" i="53"/>
  <c r="P130" i="53"/>
  <c r="Z125" i="53"/>
  <c r="S125" i="53"/>
  <c r="P125" i="53"/>
  <c r="Z122" i="53"/>
  <c r="S122" i="53"/>
  <c r="P122" i="53"/>
  <c r="Z123" i="53"/>
  <c r="S123" i="53"/>
  <c r="P123" i="53"/>
  <c r="Z120" i="53"/>
  <c r="S120" i="53"/>
  <c r="P120" i="53"/>
  <c r="Z118" i="53"/>
  <c r="S118" i="53"/>
  <c r="P118" i="53"/>
  <c r="Z119" i="53"/>
  <c r="S119" i="53"/>
  <c r="P119" i="53"/>
  <c r="Z114" i="53"/>
  <c r="S114" i="53"/>
  <c r="P114" i="53"/>
  <c r="Z115" i="53"/>
  <c r="S115" i="53"/>
  <c r="P115" i="53"/>
  <c r="Z116" i="53"/>
  <c r="S116" i="53"/>
  <c r="P116" i="53"/>
  <c r="Z111" i="53"/>
  <c r="S111" i="53"/>
  <c r="P111" i="53"/>
  <c r="Z112" i="53"/>
  <c r="S112" i="53"/>
  <c r="P112" i="53"/>
  <c r="Z109" i="53"/>
  <c r="S109" i="53"/>
  <c r="P109" i="53"/>
  <c r="Z106" i="53"/>
  <c r="S106" i="53"/>
  <c r="P106" i="53"/>
  <c r="Z103" i="53"/>
  <c r="S103" i="53"/>
  <c r="P103" i="53"/>
  <c r="Z104" i="53"/>
  <c r="S104" i="53"/>
  <c r="P104" i="53"/>
  <c r="Z98" i="53"/>
  <c r="S98" i="53"/>
  <c r="P98" i="53"/>
  <c r="Z99" i="53"/>
  <c r="S99" i="53"/>
  <c r="P99" i="53"/>
  <c r="P100" i="53"/>
  <c r="S100" i="53"/>
  <c r="Z100" i="53"/>
  <c r="Z94" i="53"/>
  <c r="S94" i="53"/>
  <c r="Z95" i="53"/>
  <c r="S95" i="53"/>
  <c r="Z96" i="53"/>
  <c r="S96" i="53"/>
  <c r="Z92" i="53"/>
  <c r="S92" i="53"/>
  <c r="P92" i="53"/>
  <c r="Z90" i="53"/>
  <c r="S90" i="53"/>
  <c r="P90" i="53"/>
  <c r="Z88" i="53"/>
  <c r="S88" i="53"/>
  <c r="P88" i="53"/>
  <c r="Z86" i="53"/>
  <c r="S86" i="53"/>
  <c r="P86" i="53"/>
  <c r="P87" i="53"/>
  <c r="S87" i="53"/>
  <c r="Z87" i="53"/>
  <c r="Z84" i="53"/>
  <c r="S84" i="53"/>
  <c r="P84" i="53"/>
  <c r="Z82" i="53"/>
  <c r="S82" i="53"/>
  <c r="P82" i="53"/>
  <c r="Z80" i="53"/>
  <c r="S80" i="53"/>
  <c r="P80" i="53"/>
  <c r="Z78" i="53"/>
  <c r="S78" i="53"/>
  <c r="P78" i="53"/>
  <c r="Z76" i="53"/>
  <c r="S76" i="53"/>
  <c r="P76" i="53"/>
  <c r="Z74" i="53"/>
  <c r="S74" i="53"/>
  <c r="P74" i="53"/>
  <c r="Z70" i="53"/>
  <c r="S70" i="53"/>
  <c r="P70" i="53"/>
  <c r="Z71" i="53"/>
  <c r="S71" i="53"/>
  <c r="P71" i="53"/>
  <c r="Z72" i="53"/>
  <c r="S72" i="53"/>
  <c r="P72" i="53"/>
  <c r="Z68" i="53"/>
  <c r="S68" i="53"/>
  <c r="P68" i="53"/>
  <c r="AG65" i="53"/>
  <c r="Z65" i="53"/>
  <c r="AE65" i="53"/>
  <c r="S65" i="53"/>
  <c r="X65" i="53"/>
  <c r="P65" i="53"/>
  <c r="AG63" i="53"/>
  <c r="Z63" i="53"/>
  <c r="AE63" i="53" s="1"/>
  <c r="S63" i="53"/>
  <c r="X63" i="53"/>
  <c r="P63" i="53"/>
  <c r="AG61" i="53"/>
  <c r="Z61" i="53"/>
  <c r="AE61" i="53" s="1"/>
  <c r="S61" i="53"/>
  <c r="X61" i="53" s="1"/>
  <c r="P61" i="53"/>
  <c r="AG59" i="53"/>
  <c r="Z59" i="53"/>
  <c r="AE59" i="53"/>
  <c r="S59" i="53"/>
  <c r="X59" i="53" s="1"/>
  <c r="P59" i="53"/>
  <c r="AG57" i="53"/>
  <c r="Z57" i="53"/>
  <c r="AE57" i="53"/>
  <c r="S57" i="53"/>
  <c r="X57" i="53"/>
  <c r="P57" i="53"/>
  <c r="AG55" i="53"/>
  <c r="Z55" i="53"/>
  <c r="AE55" i="53" s="1"/>
  <c r="S55" i="53"/>
  <c r="X55" i="53"/>
  <c r="P55" i="53"/>
  <c r="AG53" i="53"/>
  <c r="Z53" i="53"/>
  <c r="AE53" i="53" s="1"/>
  <c r="S53" i="53"/>
  <c r="X53" i="53" s="1"/>
  <c r="P53" i="53"/>
  <c r="AG51" i="53"/>
  <c r="Z51" i="53"/>
  <c r="AE51" i="53"/>
  <c r="S51" i="53"/>
  <c r="X51" i="53" s="1"/>
  <c r="P51" i="53"/>
  <c r="AG49" i="53"/>
  <c r="Z49" i="53"/>
  <c r="AE49" i="53"/>
  <c r="S49" i="53"/>
  <c r="X49" i="53"/>
  <c r="P49" i="53"/>
  <c r="AG47" i="53"/>
  <c r="Z47" i="53"/>
  <c r="AE47" i="53" s="1"/>
  <c r="S47" i="53"/>
  <c r="X47" i="53"/>
  <c r="P47" i="53"/>
  <c r="AG45" i="53"/>
  <c r="Z45" i="53"/>
  <c r="AE45" i="53" s="1"/>
  <c r="S45" i="53"/>
  <c r="X45" i="53" s="1"/>
  <c r="P45" i="53"/>
  <c r="AG43" i="53"/>
  <c r="Z43" i="53"/>
  <c r="AE43" i="53"/>
  <c r="S43" i="53"/>
  <c r="X43" i="53" s="1"/>
  <c r="P43" i="53"/>
  <c r="AG41" i="53"/>
  <c r="Z41" i="53"/>
  <c r="AE41" i="53"/>
  <c r="S41" i="53"/>
  <c r="X41" i="53"/>
  <c r="P41" i="53"/>
  <c r="AG39" i="53"/>
  <c r="Z39" i="53"/>
  <c r="AE39" i="53" s="1"/>
  <c r="S39" i="53"/>
  <c r="X39" i="53"/>
  <c r="P39" i="53"/>
  <c r="P40" i="53"/>
  <c r="S40" i="53"/>
  <c r="X40" i="53" s="1"/>
  <c r="Z40" i="53"/>
  <c r="AE40" i="53" s="1"/>
  <c r="AG40" i="53"/>
  <c r="AG37" i="53"/>
  <c r="Z37" i="53"/>
  <c r="AE37" i="53"/>
  <c r="S37" i="53"/>
  <c r="X37" i="53" s="1"/>
  <c r="P37" i="53"/>
  <c r="AG35" i="53"/>
  <c r="Z35" i="53"/>
  <c r="AE35" i="53"/>
  <c r="S35" i="53"/>
  <c r="X35" i="53"/>
  <c r="P35" i="53"/>
  <c r="AG33" i="53"/>
  <c r="Z33" i="53"/>
  <c r="AE33" i="53" s="1"/>
  <c r="S33" i="53"/>
  <c r="X33" i="53"/>
  <c r="P33" i="53"/>
  <c r="AG31" i="53"/>
  <c r="Z31" i="53"/>
  <c r="AE31" i="53" s="1"/>
  <c r="S31" i="53"/>
  <c r="X31" i="53" s="1"/>
  <c r="P31" i="53"/>
  <c r="AG29" i="53"/>
  <c r="Z29" i="53"/>
  <c r="AE29" i="53"/>
  <c r="S29" i="53"/>
  <c r="X29" i="53" s="1"/>
  <c r="P29" i="53"/>
  <c r="AG27" i="53"/>
  <c r="Z27" i="53"/>
  <c r="AE27" i="53"/>
  <c r="S27" i="53"/>
  <c r="X27" i="53"/>
  <c r="P27" i="53"/>
  <c r="AG25" i="53"/>
  <c r="Z25" i="53"/>
  <c r="AE25" i="53" s="1"/>
  <c r="S25" i="53"/>
  <c r="X25" i="53"/>
  <c r="P25" i="53"/>
  <c r="AG23" i="53"/>
  <c r="Z23" i="53"/>
  <c r="AE23" i="53" s="1"/>
  <c r="S23" i="53"/>
  <c r="X23" i="53" s="1"/>
  <c r="P23" i="53"/>
  <c r="AG21" i="53"/>
  <c r="Z21" i="53"/>
  <c r="AE21" i="53"/>
  <c r="S21" i="53"/>
  <c r="X21" i="53" s="1"/>
  <c r="P21" i="53"/>
  <c r="AG19" i="53"/>
  <c r="Z19" i="53"/>
  <c r="AE19" i="53"/>
  <c r="S19" i="53"/>
  <c r="X19" i="53"/>
  <c r="P19" i="53"/>
  <c r="AG17" i="53"/>
  <c r="Z17" i="53"/>
  <c r="AE17" i="53" s="1"/>
  <c r="S17" i="53"/>
  <c r="X17" i="53"/>
  <c r="P17" i="53"/>
  <c r="AG14" i="53"/>
  <c r="Z14" i="53"/>
  <c r="AE14" i="53" s="1"/>
  <c r="S14" i="53"/>
  <c r="X14" i="53" s="1"/>
  <c r="P14" i="53"/>
  <c r="AG15" i="53"/>
  <c r="Z15" i="53"/>
  <c r="AE15" i="53"/>
  <c r="S15" i="53"/>
  <c r="X15" i="53" s="1"/>
  <c r="P15" i="53"/>
  <c r="AG8" i="53"/>
  <c r="Z8" i="53"/>
  <c r="AE8" i="53"/>
  <c r="S8" i="53"/>
  <c r="X8" i="53"/>
  <c r="P8" i="53"/>
  <c r="AG9" i="53"/>
  <c r="Z9" i="53"/>
  <c r="AE9" i="53" s="1"/>
  <c r="S9" i="53"/>
  <c r="X9" i="53"/>
  <c r="P9" i="53"/>
  <c r="AG10" i="53"/>
  <c r="Z10" i="53"/>
  <c r="AE10" i="53" s="1"/>
  <c r="S10" i="53"/>
  <c r="X10" i="53" s="1"/>
  <c r="P10" i="53"/>
  <c r="AG11" i="53"/>
  <c r="Z11" i="53"/>
  <c r="AE11" i="53"/>
  <c r="S11" i="53"/>
  <c r="X11" i="53" s="1"/>
  <c r="P11" i="53"/>
  <c r="AG12" i="53"/>
  <c r="Z12" i="53"/>
  <c r="AE12" i="53"/>
  <c r="S12" i="53"/>
  <c r="X12" i="53"/>
  <c r="P12" i="53"/>
  <c r="AG13" i="53"/>
  <c r="Z13" i="53"/>
  <c r="AE13" i="53" s="1"/>
  <c r="S13" i="53"/>
  <c r="X13" i="53"/>
  <c r="P13" i="53"/>
  <c r="AG6" i="53"/>
  <c r="Z6" i="53"/>
  <c r="X6" i="53"/>
  <c r="P6" i="53"/>
  <c r="S31" i="59"/>
  <c r="R31" i="59"/>
  <c r="Q31" i="59"/>
  <c r="P31" i="59"/>
  <c r="O31" i="59"/>
  <c r="U31" i="59" s="1"/>
  <c r="K31" i="59"/>
  <c r="J31" i="59"/>
  <c r="I31" i="59"/>
  <c r="H31" i="59"/>
  <c r="G31" i="59"/>
  <c r="M31" i="59"/>
  <c r="E31" i="59"/>
  <c r="D31" i="59"/>
  <c r="C31" i="59"/>
  <c r="N31" i="59" s="1"/>
  <c r="B31" i="59"/>
  <c r="V31" i="59"/>
  <c r="S32" i="59"/>
  <c r="R32" i="59"/>
  <c r="Q32" i="59"/>
  <c r="P32" i="59"/>
  <c r="K32" i="59"/>
  <c r="J32" i="59"/>
  <c r="I32" i="59"/>
  <c r="H32" i="59"/>
  <c r="E32" i="59"/>
  <c r="D32" i="59"/>
  <c r="C32" i="59"/>
  <c r="N32" i="59" s="1"/>
  <c r="B32" i="59"/>
  <c r="F32" i="59" s="1"/>
  <c r="S33" i="59"/>
  <c r="R33" i="59"/>
  <c r="Q33" i="59"/>
  <c r="P33" i="59"/>
  <c r="K33" i="59"/>
  <c r="J33" i="59"/>
  <c r="I33" i="59"/>
  <c r="H33" i="59"/>
  <c r="E33" i="59"/>
  <c r="D33" i="59"/>
  <c r="C33" i="59"/>
  <c r="B33" i="59"/>
  <c r="S34" i="59"/>
  <c r="R34" i="59"/>
  <c r="Q34" i="59"/>
  <c r="P34" i="59"/>
  <c r="K34" i="59"/>
  <c r="J34" i="59"/>
  <c r="I34" i="59"/>
  <c r="H34" i="59"/>
  <c r="E34" i="59"/>
  <c r="D34" i="59"/>
  <c r="C34" i="59"/>
  <c r="N34" i="59" s="1"/>
  <c r="B34" i="59"/>
  <c r="S35" i="59"/>
  <c r="R35" i="59"/>
  <c r="Q35" i="59"/>
  <c r="P35" i="59"/>
  <c r="O35" i="59"/>
  <c r="U35" i="59"/>
  <c r="K35" i="59"/>
  <c r="J35" i="59"/>
  <c r="I35" i="59"/>
  <c r="H35" i="59"/>
  <c r="G35" i="59"/>
  <c r="M35" i="59"/>
  <c r="E35" i="59"/>
  <c r="D35" i="59"/>
  <c r="C35" i="59"/>
  <c r="N35" i="59" s="1"/>
  <c r="B35" i="59"/>
  <c r="V35" i="59" s="1"/>
  <c r="S36" i="59"/>
  <c r="R36" i="59"/>
  <c r="Q36" i="59"/>
  <c r="P36" i="59"/>
  <c r="K36" i="59"/>
  <c r="J36" i="59"/>
  <c r="I36" i="59"/>
  <c r="H36" i="59"/>
  <c r="E36" i="59"/>
  <c r="D36" i="59"/>
  <c r="C36" i="59"/>
  <c r="B36" i="59"/>
  <c r="S22" i="59"/>
  <c r="R22" i="59"/>
  <c r="Q22" i="59"/>
  <c r="P22" i="59"/>
  <c r="K22" i="59"/>
  <c r="J22" i="59"/>
  <c r="I22" i="59"/>
  <c r="N22" i="59" s="1"/>
  <c r="H22" i="59"/>
  <c r="E22" i="59"/>
  <c r="D22" i="59"/>
  <c r="C22" i="59"/>
  <c r="B22" i="59"/>
  <c r="S23" i="59"/>
  <c r="R23" i="59"/>
  <c r="Q23" i="59"/>
  <c r="P23" i="59"/>
  <c r="K23" i="59"/>
  <c r="J23" i="59"/>
  <c r="I23" i="59"/>
  <c r="H23" i="59"/>
  <c r="E23" i="59"/>
  <c r="D23" i="59"/>
  <c r="C23" i="59"/>
  <c r="N23" i="59" s="1"/>
  <c r="B23" i="59"/>
  <c r="V23" i="59" s="1"/>
  <c r="S19" i="59"/>
  <c r="R19" i="59"/>
  <c r="Q19" i="59"/>
  <c r="P19" i="59"/>
  <c r="K19" i="59"/>
  <c r="J19" i="59"/>
  <c r="I19" i="59"/>
  <c r="N19" i="59" s="1"/>
  <c r="H19" i="59"/>
  <c r="E19" i="59"/>
  <c r="D19" i="59"/>
  <c r="C19" i="59"/>
  <c r="B19" i="59"/>
  <c r="S20" i="59"/>
  <c r="R20" i="59"/>
  <c r="Q20" i="59"/>
  <c r="P20" i="59"/>
  <c r="O20" i="59"/>
  <c r="U20" i="59" s="1"/>
  <c r="K20" i="59"/>
  <c r="J20" i="59"/>
  <c r="I20" i="59"/>
  <c r="H20" i="59"/>
  <c r="G20" i="59"/>
  <c r="M20" i="59" s="1"/>
  <c r="E20" i="59"/>
  <c r="D20" i="59"/>
  <c r="C20" i="59"/>
  <c r="N20" i="59" s="1"/>
  <c r="B20" i="59"/>
  <c r="V20" i="59"/>
  <c r="S21" i="59"/>
  <c r="R21" i="59"/>
  <c r="Q21" i="59"/>
  <c r="P21" i="59"/>
  <c r="K21" i="59"/>
  <c r="J21" i="59"/>
  <c r="I21" i="59"/>
  <c r="H21" i="59"/>
  <c r="E21" i="59"/>
  <c r="D21" i="59"/>
  <c r="C21" i="59"/>
  <c r="N21" i="59" s="1"/>
  <c r="B21" i="59"/>
  <c r="F21" i="59" s="1"/>
  <c r="S24" i="59"/>
  <c r="R24" i="59"/>
  <c r="Q24" i="59"/>
  <c r="P24" i="59"/>
  <c r="K24" i="59"/>
  <c r="J24" i="59"/>
  <c r="I24" i="59"/>
  <c r="H24" i="59"/>
  <c r="E24" i="59"/>
  <c r="D24" i="59"/>
  <c r="C24" i="59"/>
  <c r="B24" i="59"/>
  <c r="F24" i="59" s="1"/>
  <c r="S6" i="59"/>
  <c r="R6" i="59"/>
  <c r="Q6" i="59"/>
  <c r="P6" i="59"/>
  <c r="K6" i="59"/>
  <c r="J6" i="59"/>
  <c r="I6" i="59"/>
  <c r="H6" i="59"/>
  <c r="E6" i="59"/>
  <c r="D6" i="59"/>
  <c r="C6" i="59"/>
  <c r="B6" i="59"/>
  <c r="V6" i="59" s="1"/>
  <c r="S7" i="59"/>
  <c r="R7" i="59"/>
  <c r="Q7" i="59"/>
  <c r="P7" i="59"/>
  <c r="K7" i="59"/>
  <c r="J7" i="59"/>
  <c r="I7" i="59"/>
  <c r="N7" i="59" s="1"/>
  <c r="H7" i="59"/>
  <c r="E7" i="59"/>
  <c r="D7" i="59"/>
  <c r="C7" i="59"/>
  <c r="B7" i="59"/>
  <c r="S8" i="59"/>
  <c r="R8" i="59"/>
  <c r="Q8" i="59"/>
  <c r="P8" i="59"/>
  <c r="K8" i="59"/>
  <c r="J8" i="59"/>
  <c r="I8" i="59"/>
  <c r="H8" i="59"/>
  <c r="E8" i="59"/>
  <c r="D8" i="59"/>
  <c r="C8" i="59"/>
  <c r="N8" i="59" s="1"/>
  <c r="B8" i="59"/>
  <c r="V8" i="59" s="1"/>
  <c r="S9" i="59"/>
  <c r="R9" i="59"/>
  <c r="Q9" i="59"/>
  <c r="P9" i="59"/>
  <c r="K9" i="59"/>
  <c r="J9" i="59"/>
  <c r="I9" i="59"/>
  <c r="N9" i="59" s="1"/>
  <c r="H9" i="59"/>
  <c r="E9" i="59"/>
  <c r="D9" i="59"/>
  <c r="C9" i="59"/>
  <c r="B9" i="59"/>
  <c r="F9" i="59" s="1"/>
  <c r="S10" i="59"/>
  <c r="R10" i="59"/>
  <c r="Q10" i="59"/>
  <c r="P10" i="59"/>
  <c r="K10" i="59"/>
  <c r="J10" i="59"/>
  <c r="I10" i="59"/>
  <c r="H10" i="59"/>
  <c r="E10" i="59"/>
  <c r="D10" i="59"/>
  <c r="C10" i="59"/>
  <c r="N10" i="59" s="1"/>
  <c r="B10" i="59"/>
  <c r="V10" i="59" s="1"/>
  <c r="S11" i="59"/>
  <c r="R11" i="59"/>
  <c r="Q11" i="59"/>
  <c r="P11" i="59"/>
  <c r="K11" i="59"/>
  <c r="J11" i="59"/>
  <c r="I11" i="59"/>
  <c r="H11" i="59"/>
  <c r="N11" i="59" s="1"/>
  <c r="E11" i="59"/>
  <c r="D11" i="59"/>
  <c r="C11" i="59"/>
  <c r="B11" i="59"/>
  <c r="F11" i="59" s="1"/>
  <c r="W2" i="53"/>
  <c r="V2" i="53"/>
  <c r="U2" i="53"/>
  <c r="T2" i="53"/>
  <c r="R2" i="53"/>
  <c r="O2" i="53"/>
  <c r="Z126" i="53"/>
  <c r="S126" i="53"/>
  <c r="P126" i="53"/>
  <c r="B77" i="55"/>
  <c r="V34" i="59"/>
  <c r="V24" i="59"/>
  <c r="N36" i="59"/>
  <c r="N33" i="59"/>
  <c r="N24" i="59"/>
  <c r="V19" i="59"/>
  <c r="N2" i="53"/>
  <c r="V36" i="59"/>
  <c r="V32" i="59"/>
  <c r="V33" i="59"/>
  <c r="V22" i="59"/>
  <c r="L31" i="59"/>
  <c r="T31" i="59"/>
  <c r="F31" i="59"/>
  <c r="F33" i="59"/>
  <c r="F34" i="59"/>
  <c r="T35" i="59"/>
  <c r="F35" i="59"/>
  <c r="F36" i="59"/>
  <c r="F22" i="59"/>
  <c r="F23" i="59"/>
  <c r="F19" i="59"/>
  <c r="L20" i="59"/>
  <c r="T20" i="59"/>
  <c r="F20" i="59"/>
  <c r="N6" i="59"/>
  <c r="V7" i="59"/>
  <c r="F7" i="59"/>
  <c r="V9" i="59"/>
  <c r="V11" i="59"/>
  <c r="F10" i="59"/>
  <c r="B86" i="55"/>
  <c r="AG138" i="53"/>
  <c r="Z138" i="53"/>
  <c r="AE138" i="53" s="1"/>
  <c r="S138" i="53"/>
  <c r="X138" i="53"/>
  <c r="P138" i="53"/>
  <c r="B138" i="53"/>
  <c r="AG139" i="53"/>
  <c r="Z139" i="53"/>
  <c r="AE139" i="53" s="1"/>
  <c r="S139" i="53"/>
  <c r="X139" i="53" s="1"/>
  <c r="P139" i="53"/>
  <c r="B139" i="53"/>
  <c r="AG137" i="53"/>
  <c r="Z137" i="53"/>
  <c r="AE137" i="53" s="1"/>
  <c r="S137" i="53"/>
  <c r="X137" i="53" s="1"/>
  <c r="P137" i="53"/>
  <c r="B137" i="53"/>
  <c r="AG135" i="53"/>
  <c r="Z135" i="53"/>
  <c r="S135" i="53"/>
  <c r="P135" i="53"/>
  <c r="AG136" i="53"/>
  <c r="Z136" i="53"/>
  <c r="AE136" i="53" s="1"/>
  <c r="S136" i="53"/>
  <c r="X136" i="53"/>
  <c r="P136" i="53"/>
  <c r="B136" i="53"/>
  <c r="Z108" i="53"/>
  <c r="S108" i="53"/>
  <c r="P108" i="53"/>
  <c r="C17" i="55"/>
  <c r="G68" i="53" s="1"/>
  <c r="P79" i="53"/>
  <c r="Q35" i="55"/>
  <c r="P35" i="55"/>
  <c r="S35" i="55" s="1"/>
  <c r="J35" i="55"/>
  <c r="R35" i="55" s="1"/>
  <c r="I35" i="55"/>
  <c r="F35" i="55"/>
  <c r="E35" i="55"/>
  <c r="D35" i="55" a="1"/>
  <c r="D35" i="55" s="1"/>
  <c r="C35" i="55"/>
  <c r="B35" i="55"/>
  <c r="AC2" i="53"/>
  <c r="N59" i="55" a="1"/>
  <c r="N59" i="55" s="1"/>
  <c r="P81" i="53"/>
  <c r="P75" i="53"/>
  <c r="P77" i="53"/>
  <c r="P83" i="53"/>
  <c r="P85" i="53"/>
  <c r="P89" i="53"/>
  <c r="P91" i="53"/>
  <c r="P93" i="53"/>
  <c r="M35" i="55" a="1"/>
  <c r="M35" i="55" s="1"/>
  <c r="O35" i="55" s="1"/>
  <c r="AG153" i="53"/>
  <c r="Z153" i="53"/>
  <c r="AE153" i="53" s="1"/>
  <c r="S153" i="53"/>
  <c r="X153" i="53" s="1"/>
  <c r="P153" i="53"/>
  <c r="AG151" i="53"/>
  <c r="Z151" i="53"/>
  <c r="S151" i="53"/>
  <c r="X151" i="53" s="1"/>
  <c r="P151" i="53"/>
  <c r="B140" i="53"/>
  <c r="AG150" i="53"/>
  <c r="Z150" i="53"/>
  <c r="AE150" i="53" s="1"/>
  <c r="S150" i="53"/>
  <c r="X150" i="53"/>
  <c r="P150" i="53"/>
  <c r="AG148" i="53"/>
  <c r="Z148" i="53"/>
  <c r="S148" i="53"/>
  <c r="P148" i="53"/>
  <c r="AG146" i="53"/>
  <c r="Z146" i="53"/>
  <c r="AE146" i="53"/>
  <c r="S146" i="53"/>
  <c r="X146" i="53" s="1"/>
  <c r="P146" i="53"/>
  <c r="AG145" i="53"/>
  <c r="Z145" i="53"/>
  <c r="AE145" i="53" s="1"/>
  <c r="S145" i="53"/>
  <c r="X145" i="53"/>
  <c r="P145" i="53"/>
  <c r="AG144" i="53"/>
  <c r="Z144" i="53"/>
  <c r="AE144" i="53" s="1"/>
  <c r="S144" i="53"/>
  <c r="X144" i="53" s="1"/>
  <c r="P144" i="53"/>
  <c r="AG143" i="53"/>
  <c r="Z143" i="53"/>
  <c r="S143" i="53"/>
  <c r="P143" i="53"/>
  <c r="AG142" i="53"/>
  <c r="Z142" i="53"/>
  <c r="AE142" i="53" s="1"/>
  <c r="S142" i="53"/>
  <c r="X142" i="53"/>
  <c r="P142" i="53"/>
  <c r="AG141" i="53"/>
  <c r="Z141" i="53"/>
  <c r="AE141" i="53" s="1"/>
  <c r="S141" i="53"/>
  <c r="X141" i="53" s="1"/>
  <c r="P141" i="53"/>
  <c r="AG140" i="53"/>
  <c r="Z140" i="53"/>
  <c r="AE140" i="53" s="1"/>
  <c r="S140" i="53"/>
  <c r="X140" i="53" s="1"/>
  <c r="P140" i="53"/>
  <c r="AG134" i="53"/>
  <c r="Z134" i="53"/>
  <c r="AE134" i="53"/>
  <c r="S134" i="53"/>
  <c r="X134" i="53" s="1"/>
  <c r="P134" i="53"/>
  <c r="AG133" i="53"/>
  <c r="Z133" i="53"/>
  <c r="AE133" i="53" s="1"/>
  <c r="S133" i="53"/>
  <c r="X133" i="53"/>
  <c r="P133" i="53"/>
  <c r="P132" i="53"/>
  <c r="P128" i="53"/>
  <c r="J65" i="55"/>
  <c r="R65" i="55" s="1"/>
  <c r="I65" i="55"/>
  <c r="J64" i="55"/>
  <c r="R64" i="55" s="1"/>
  <c r="I64" i="55"/>
  <c r="J63" i="55"/>
  <c r="R63" i="55" s="1"/>
  <c r="I63" i="55"/>
  <c r="J19" i="55"/>
  <c r="I19" i="55"/>
  <c r="J20" i="55"/>
  <c r="R20" i="55" s="1"/>
  <c r="I20" i="55"/>
  <c r="J18" i="55"/>
  <c r="I18" i="55"/>
  <c r="J17" i="55"/>
  <c r="I17" i="55"/>
  <c r="J38" i="55"/>
  <c r="I38" i="55"/>
  <c r="W119" i="55"/>
  <c r="Q93" i="55"/>
  <c r="F93" i="55"/>
  <c r="E93" i="55"/>
  <c r="D93" i="55" a="1"/>
  <c r="D93" i="55" s="1"/>
  <c r="K93" i="55" s="1" a="1"/>
  <c r="K93" i="55" s="1"/>
  <c r="C93" i="55"/>
  <c r="G148" i="53" s="1"/>
  <c r="B93" i="55"/>
  <c r="Q90" i="55"/>
  <c r="P90" i="55"/>
  <c r="S90" i="55" s="1"/>
  <c r="J90" i="55"/>
  <c r="R90" i="55" s="1"/>
  <c r="I90" i="55"/>
  <c r="F90" i="55"/>
  <c r="E90" i="55"/>
  <c r="D90" i="55" a="1"/>
  <c r="D90" i="55" s="1"/>
  <c r="C90" i="55"/>
  <c r="B90" i="55"/>
  <c r="Q79" i="55"/>
  <c r="J79" i="55"/>
  <c r="I79" i="55"/>
  <c r="F79" i="55"/>
  <c r="E79" i="55"/>
  <c r="D79" i="55" a="1"/>
  <c r="D79" i="55" s="1"/>
  <c r="C79" i="55"/>
  <c r="G101" i="53" s="1"/>
  <c r="B79" i="55"/>
  <c r="Q74" i="55"/>
  <c r="P74" i="55"/>
  <c r="S74" i="55" s="1"/>
  <c r="J74" i="55"/>
  <c r="R74" i="55" s="1"/>
  <c r="I74" i="55"/>
  <c r="F74" i="55"/>
  <c r="E74" i="55"/>
  <c r="D74" i="55" a="1"/>
  <c r="D74" i="55" s="1"/>
  <c r="K74" i="55" s="1" a="1"/>
  <c r="K74" i="55" s="1"/>
  <c r="C74" i="55"/>
  <c r="B74" i="55"/>
  <c r="Q46" i="55"/>
  <c r="P46" i="55"/>
  <c r="S46" i="55" s="1"/>
  <c r="J46" i="55"/>
  <c r="R46" i="55" s="1"/>
  <c r="I46" i="55"/>
  <c r="F46" i="55"/>
  <c r="E46" i="55"/>
  <c r="D46" i="55" a="1"/>
  <c r="D46" i="55" s="1"/>
  <c r="C46" i="55"/>
  <c r="B46" i="55"/>
  <c r="Q43" i="55"/>
  <c r="P43" i="55"/>
  <c r="S43" i="55" s="1"/>
  <c r="J43" i="55"/>
  <c r="R43" i="55" s="1"/>
  <c r="I43" i="55"/>
  <c r="F43" i="55"/>
  <c r="E43" i="55"/>
  <c r="D43" i="55" a="1"/>
  <c r="D43" i="55" s="1"/>
  <c r="C43" i="55"/>
  <c r="B43" i="55"/>
  <c r="Q36" i="55"/>
  <c r="F36" i="55"/>
  <c r="E36" i="55"/>
  <c r="D36" i="55" a="1"/>
  <c r="D36" i="55" s="1"/>
  <c r="C36" i="55"/>
  <c r="G79" i="53" s="1"/>
  <c r="B36" i="55"/>
  <c r="Q34" i="55"/>
  <c r="P34" i="55"/>
  <c r="S34" i="55" s="1"/>
  <c r="J34" i="55"/>
  <c r="R34" i="55" s="1"/>
  <c r="I34" i="55"/>
  <c r="F34" i="55"/>
  <c r="E34" i="55"/>
  <c r="D34" i="55" a="1"/>
  <c r="D34" i="55" s="1"/>
  <c r="K34" i="55" s="1" a="1"/>
  <c r="K34" i="55" s="1"/>
  <c r="C34" i="55"/>
  <c r="B34" i="55"/>
  <c r="Q33" i="55"/>
  <c r="J33" i="55"/>
  <c r="I33" i="55"/>
  <c r="F33" i="55"/>
  <c r="E33" i="55"/>
  <c r="D33" i="55" a="1"/>
  <c r="D33" i="55" s="1"/>
  <c r="C33" i="55"/>
  <c r="G73" i="53" s="1"/>
  <c r="B33" i="55"/>
  <c r="Q16" i="55"/>
  <c r="P16" i="55"/>
  <c r="S16" i="55" s="1"/>
  <c r="J16" i="55"/>
  <c r="R16" i="55" s="1"/>
  <c r="I16" i="55"/>
  <c r="F16" i="55"/>
  <c r="E16" i="55"/>
  <c r="D16" i="55" a="1"/>
  <c r="D16" i="55" s="1"/>
  <c r="C16" i="55"/>
  <c r="B16" i="55"/>
  <c r="Q11" i="55"/>
  <c r="P11" i="55"/>
  <c r="S11" i="55" s="1"/>
  <c r="J11" i="55"/>
  <c r="R11" i="55" s="1"/>
  <c r="I11" i="55"/>
  <c r="F11" i="55"/>
  <c r="E11" i="55"/>
  <c r="D11" i="55" a="1"/>
  <c r="D11" i="55" s="1"/>
  <c r="L11" i="55" s="1" a="1"/>
  <c r="L11" i="55" s="1"/>
  <c r="C11" i="55"/>
  <c r="B11" i="55"/>
  <c r="F56" i="55"/>
  <c r="C8" i="55"/>
  <c r="C9" i="55"/>
  <c r="C10" i="55"/>
  <c r="C12" i="55"/>
  <c r="G134" i="53" s="1"/>
  <c r="C13" i="55"/>
  <c r="C14" i="55"/>
  <c r="C15" i="55"/>
  <c r="G139" i="53" s="1"/>
  <c r="C18" i="55"/>
  <c r="G69" i="53" s="1"/>
  <c r="C19" i="55"/>
  <c r="G67" i="53" s="1"/>
  <c r="C20" i="55"/>
  <c r="C21" i="55"/>
  <c r="G108" i="53" s="1"/>
  <c r="C22" i="55"/>
  <c r="G114" i="53" s="1"/>
  <c r="C23" i="55"/>
  <c r="G133" i="53" s="1"/>
  <c r="C24" i="55"/>
  <c r="C25" i="55"/>
  <c r="C26" i="55"/>
  <c r="G141" i="53" s="1"/>
  <c r="C27" i="55"/>
  <c r="G142" i="53" s="1"/>
  <c r="C28" i="55"/>
  <c r="C29" i="55"/>
  <c r="C30" i="55"/>
  <c r="G103" i="53" s="1"/>
  <c r="C31" i="55"/>
  <c r="C32" i="55"/>
  <c r="C37" i="55"/>
  <c r="G76" i="53" s="1"/>
  <c r="C38" i="55"/>
  <c r="C39" i="55"/>
  <c r="G77" i="53" s="1"/>
  <c r="C40" i="55"/>
  <c r="G16" i="53" s="1"/>
  <c r="C41" i="55"/>
  <c r="C42" i="55"/>
  <c r="G104" i="53" s="1"/>
  <c r="C44" i="55"/>
  <c r="G75" i="53" s="1"/>
  <c r="C45" i="55"/>
  <c r="G128" i="53" s="1"/>
  <c r="C47" i="55"/>
  <c r="G117" i="53" s="1"/>
  <c r="C48" i="55"/>
  <c r="C49" i="55"/>
  <c r="G78" i="53" s="1"/>
  <c r="C50" i="55"/>
  <c r="C51" i="55"/>
  <c r="C52" i="55"/>
  <c r="C53" i="55"/>
  <c r="G102" i="53" s="1"/>
  <c r="C54" i="55"/>
  <c r="C55" i="55"/>
  <c r="G84" i="53" s="1"/>
  <c r="C56" i="55"/>
  <c r="C57" i="55"/>
  <c r="C58" i="55"/>
  <c r="C59" i="55"/>
  <c r="C60" i="55"/>
  <c r="G129" i="53" s="1"/>
  <c r="C61" i="55"/>
  <c r="G130" i="53" s="1"/>
  <c r="C62" i="55"/>
  <c r="G131" i="53" s="1"/>
  <c r="C63" i="55"/>
  <c r="C64" i="55"/>
  <c r="C65" i="55"/>
  <c r="C66" i="55"/>
  <c r="C67" i="55"/>
  <c r="C68" i="55"/>
  <c r="C69" i="55"/>
  <c r="G83" i="53" s="1"/>
  <c r="C70" i="55"/>
  <c r="G15" i="53" s="1"/>
  <c r="C71" i="55"/>
  <c r="G14" i="53" s="1"/>
  <c r="C72" i="55"/>
  <c r="G106" i="53" s="1"/>
  <c r="C73" i="55"/>
  <c r="G107" i="53" s="1"/>
  <c r="C75" i="55"/>
  <c r="C76" i="55"/>
  <c r="G143" i="53" s="1"/>
  <c r="C77" i="55"/>
  <c r="G127" i="53" s="1"/>
  <c r="C78" i="55"/>
  <c r="C80" i="55"/>
  <c r="G126" i="53" s="1"/>
  <c r="C81" i="55"/>
  <c r="G144" i="53" s="1"/>
  <c r="C82" i="55"/>
  <c r="G145" i="53" s="1"/>
  <c r="C83" i="55"/>
  <c r="G146" i="53" s="1"/>
  <c r="C84" i="55"/>
  <c r="G94" i="53" s="1"/>
  <c r="C85" i="55"/>
  <c r="G95" i="53" s="1"/>
  <c r="C86" i="55"/>
  <c r="C87" i="55"/>
  <c r="G98" i="53" s="1"/>
  <c r="C88" i="55"/>
  <c r="G100" i="53" s="1"/>
  <c r="C89" i="55"/>
  <c r="G99" i="53" s="1"/>
  <c r="C91" i="55"/>
  <c r="G147" i="53" s="1"/>
  <c r="C92" i="55"/>
  <c r="G149" i="53" s="1"/>
  <c r="C94" i="55"/>
  <c r="G151" i="53" s="1"/>
  <c r="C95" i="55"/>
  <c r="G97" i="53" s="1"/>
  <c r="C96" i="55"/>
  <c r="G119" i="53" s="1"/>
  <c r="C97" i="55"/>
  <c r="C98" i="55"/>
  <c r="C99" i="55"/>
  <c r="G120" i="53" s="1"/>
  <c r="C100" i="55"/>
  <c r="G123" i="53" s="1"/>
  <c r="C101" i="55"/>
  <c r="C102" i="55"/>
  <c r="G96" i="53" s="1"/>
  <c r="C103" i="55"/>
  <c r="C104" i="55"/>
  <c r="C105" i="55"/>
  <c r="C106" i="55"/>
  <c r="G12" i="53" s="1"/>
  <c r="C107" i="55"/>
  <c r="C108" i="55"/>
  <c r="G13" i="53" s="1"/>
  <c r="C109" i="55"/>
  <c r="C110" i="55"/>
  <c r="C111" i="55"/>
  <c r="C112" i="55"/>
  <c r="G153" i="53" s="1"/>
  <c r="C113" i="55"/>
  <c r="C114" i="55"/>
  <c r="C115" i="55"/>
  <c r="G132" i="53" s="1"/>
  <c r="C7" i="55"/>
  <c r="G19" i="53" s="1"/>
  <c r="Q14" i="55"/>
  <c r="J14" i="55"/>
  <c r="I14" i="55"/>
  <c r="F14" i="55"/>
  <c r="E14" i="55"/>
  <c r="D14" i="55" a="1"/>
  <c r="D14" i="55" s="1"/>
  <c r="B14" i="55"/>
  <c r="E104" i="55"/>
  <c r="E105" i="55"/>
  <c r="E106" i="55"/>
  <c r="E107" i="55"/>
  <c r="E108" i="55"/>
  <c r="E109" i="55"/>
  <c r="E110" i="55"/>
  <c r="E111" i="55"/>
  <c r="E112" i="55"/>
  <c r="E113" i="55"/>
  <c r="E114" i="55"/>
  <c r="E115" i="55"/>
  <c r="F104" i="55"/>
  <c r="F105" i="55"/>
  <c r="F106" i="55"/>
  <c r="F107" i="55"/>
  <c r="F108" i="55"/>
  <c r="F109" i="55"/>
  <c r="F110" i="55"/>
  <c r="F111" i="55"/>
  <c r="F112" i="55"/>
  <c r="F113" i="55"/>
  <c r="F114" i="55"/>
  <c r="F115" i="55"/>
  <c r="Q69" i="55"/>
  <c r="F69" i="55"/>
  <c r="E69" i="55"/>
  <c r="D69" i="55" a="1"/>
  <c r="D69" i="55" s="1"/>
  <c r="B69" i="55"/>
  <c r="Q53" i="55"/>
  <c r="J53" i="55"/>
  <c r="I53" i="55"/>
  <c r="F53" i="55"/>
  <c r="E53" i="55"/>
  <c r="D53" i="55" a="1"/>
  <c r="D53" i="55" s="1"/>
  <c r="B53" i="55"/>
  <c r="Q97" i="55"/>
  <c r="P97" i="55"/>
  <c r="S97" i="55" s="1"/>
  <c r="T97" i="55" s="1"/>
  <c r="J97" i="55"/>
  <c r="R97" i="55" s="1"/>
  <c r="I97" i="55"/>
  <c r="F97" i="55"/>
  <c r="E97" i="55"/>
  <c r="D97" i="55" a="1"/>
  <c r="D97" i="55" s="1"/>
  <c r="B97" i="55"/>
  <c r="Q94" i="55"/>
  <c r="F94" i="55"/>
  <c r="E94" i="55"/>
  <c r="D94" i="55" a="1"/>
  <c r="D94" i="55" s="1"/>
  <c r="K94" i="55" s="1" a="1"/>
  <c r="K94" i="55" s="1"/>
  <c r="B94" i="55"/>
  <c r="F8" i="55"/>
  <c r="Q8" i="55"/>
  <c r="P8" i="55"/>
  <c r="S8" i="55" s="1"/>
  <c r="J8" i="55"/>
  <c r="R8" i="55" s="1"/>
  <c r="I8" i="55"/>
  <c r="E8" i="55"/>
  <c r="D8" i="55" a="1"/>
  <c r="D8" i="55" s="1"/>
  <c r="B8" i="55"/>
  <c r="Q104" i="55"/>
  <c r="Q105" i="55"/>
  <c r="Q106" i="55"/>
  <c r="Q107" i="55"/>
  <c r="Q108" i="55"/>
  <c r="Q109" i="55"/>
  <c r="Q110" i="55"/>
  <c r="Q111" i="55"/>
  <c r="Q112" i="55"/>
  <c r="Q113" i="55"/>
  <c r="Q114" i="55"/>
  <c r="Q115" i="55"/>
  <c r="P104" i="55"/>
  <c r="S104" i="55" s="1"/>
  <c r="P105" i="55"/>
  <c r="S105" i="55"/>
  <c r="P107" i="55"/>
  <c r="S107" i="55" s="1"/>
  <c r="P109" i="55"/>
  <c r="S109" i="55" s="1"/>
  <c r="P110" i="55"/>
  <c r="S110" i="55" s="1"/>
  <c r="P111" i="55"/>
  <c r="S111" i="55" s="1"/>
  <c r="P113" i="55"/>
  <c r="S113" i="55" s="1"/>
  <c r="P114" i="55"/>
  <c r="S114" i="55" s="1"/>
  <c r="J113" i="55"/>
  <c r="R113" i="55" s="1"/>
  <c r="I113" i="55"/>
  <c r="D113" i="55" a="1"/>
  <c r="D113" i="55" s="1"/>
  <c r="L113" i="55" s="1" a="1"/>
  <c r="L113" i="55" s="1"/>
  <c r="B113" i="55"/>
  <c r="Q91" i="55"/>
  <c r="F91" i="55"/>
  <c r="E91" i="55"/>
  <c r="D91" i="55" a="1"/>
  <c r="D91" i="55" s="1"/>
  <c r="B91" i="55"/>
  <c r="B21" i="55"/>
  <c r="D21" i="55" a="1"/>
  <c r="D21" i="55" s="1"/>
  <c r="K21" i="55" s="1" a="1"/>
  <c r="K21" i="55" s="1"/>
  <c r="E21" i="55"/>
  <c r="F21" i="55"/>
  <c r="Q21" i="55"/>
  <c r="D60" i="55" a="1"/>
  <c r="D60" i="55" s="1"/>
  <c r="K60" i="55" s="1" a="1"/>
  <c r="K60" i="55" s="1"/>
  <c r="D61" i="55" a="1"/>
  <c r="D61" i="55" s="1"/>
  <c r="D62" i="55" a="1"/>
  <c r="D62" i="55" s="1"/>
  <c r="D63" i="55" a="1"/>
  <c r="D63" i="55" s="1"/>
  <c r="D64" i="55" a="1"/>
  <c r="D64" i="55" s="1"/>
  <c r="D65" i="55" a="1"/>
  <c r="D65" i="55" s="1"/>
  <c r="L65" i="55" s="1" a="1"/>
  <c r="L65" i="55" s="1"/>
  <c r="D66" i="55" a="1"/>
  <c r="D66" i="55" s="1"/>
  <c r="D67" i="55" a="1"/>
  <c r="D67" i="55" s="1"/>
  <c r="D68" i="55" a="1"/>
  <c r="D68" i="55" s="1"/>
  <c r="D70" i="55" a="1"/>
  <c r="D70" i="55" s="1"/>
  <c r="D71" i="55" a="1"/>
  <c r="D71" i="55" s="1"/>
  <c r="D72" i="55" a="1"/>
  <c r="D72" i="55" s="1"/>
  <c r="D73" i="55" a="1"/>
  <c r="D73" i="55" s="1"/>
  <c r="D75" i="55" a="1"/>
  <c r="D75" i="55" s="1"/>
  <c r="L75" i="55" s="1" a="1"/>
  <c r="L75" i="55" s="1"/>
  <c r="D76" i="55" a="1"/>
  <c r="D76" i="55" s="1"/>
  <c r="D77" i="55" a="1"/>
  <c r="D77" i="55" s="1"/>
  <c r="D78" i="55" a="1"/>
  <c r="D78" i="55" s="1"/>
  <c r="D80" i="55" a="1"/>
  <c r="D80" i="55" s="1"/>
  <c r="D81" i="55" a="1"/>
  <c r="D81" i="55" s="1"/>
  <c r="K81" i="55" s="1" a="1"/>
  <c r="K81" i="55" s="1"/>
  <c r="D82" i="55" a="1"/>
  <c r="D82" i="55" s="1"/>
  <c r="D83" i="55" a="1"/>
  <c r="D83" i="55" s="1"/>
  <c r="D84" i="55" a="1"/>
  <c r="D84" i="55" s="1"/>
  <c r="D85" i="55" a="1"/>
  <c r="D85" i="55" s="1"/>
  <c r="D86" i="55" a="1"/>
  <c r="D86" i="55" s="1"/>
  <c r="L86" i="55" s="1" a="1"/>
  <c r="L86" i="55" s="1"/>
  <c r="D87" i="55" a="1"/>
  <c r="D87" i="55" s="1"/>
  <c r="D88" i="55" a="1"/>
  <c r="D88" i="55" s="1"/>
  <c r="D89" i="55" a="1"/>
  <c r="D89" i="55" s="1"/>
  <c r="D92" i="55" a="1"/>
  <c r="D92" i="55" s="1"/>
  <c r="D95" i="55" a="1"/>
  <c r="D95" i="55" s="1"/>
  <c r="D96" i="55" a="1"/>
  <c r="D96" i="55" s="1"/>
  <c r="D98" i="55" a="1"/>
  <c r="D98" i="55" s="1"/>
  <c r="D99" i="55" a="1"/>
  <c r="D99" i="55" s="1"/>
  <c r="D100" i="55" a="1"/>
  <c r="D100" i="55" s="1"/>
  <c r="D101" i="55" a="1"/>
  <c r="D101" i="55" s="1"/>
  <c r="D102" i="55" a="1"/>
  <c r="D102" i="55" s="1"/>
  <c r="D103" i="55" a="1"/>
  <c r="D103" i="55" s="1"/>
  <c r="D104" i="55" a="1"/>
  <c r="D104" i="55" s="1"/>
  <c r="D105" i="55" a="1"/>
  <c r="D105" i="55" s="1"/>
  <c r="D106" i="55" a="1"/>
  <c r="D106" i="55" s="1"/>
  <c r="D107" i="55" a="1"/>
  <c r="D107" i="55" s="1"/>
  <c r="D108" i="55" a="1"/>
  <c r="D108" i="55" s="1"/>
  <c r="D109" i="55" a="1"/>
  <c r="D109" i="55" s="1"/>
  <c r="K109" i="55" s="1" a="1"/>
  <c r="K109" i="55" s="1"/>
  <c r="D110" i="55" a="1"/>
  <c r="D110" i="55" s="1"/>
  <c r="D111" i="55" a="1"/>
  <c r="D111" i="55" s="1"/>
  <c r="D112" i="55" a="1"/>
  <c r="D112" i="55" s="1"/>
  <c r="D114" i="55" a="1"/>
  <c r="D114" i="55" s="1"/>
  <c r="D115" i="55" a="1"/>
  <c r="D115" i="55" s="1"/>
  <c r="D9" i="55" a="1"/>
  <c r="D9" i="55" s="1"/>
  <c r="D10" i="55" a="1"/>
  <c r="D10" i="55" s="1"/>
  <c r="D12" i="55" a="1"/>
  <c r="D12" i="55" s="1"/>
  <c r="K12" i="55" s="1" a="1"/>
  <c r="K12" i="55" s="1"/>
  <c r="D13" i="55" a="1"/>
  <c r="D13" i="55" s="1"/>
  <c r="K13" i="55" s="1" a="1"/>
  <c r="K13" i="55" s="1"/>
  <c r="D15" i="55" a="1"/>
  <c r="D15" i="55" s="1"/>
  <c r="D17" i="55" a="1"/>
  <c r="D17" i="55" s="1"/>
  <c r="K17" i="55" s="1" a="1"/>
  <c r="K17" i="55" s="1"/>
  <c r="D18" i="55" a="1"/>
  <c r="D18" i="55" s="1"/>
  <c r="D19" i="55" a="1"/>
  <c r="D19" i="55" s="1"/>
  <c r="K19" i="55" s="1" a="1"/>
  <c r="K19" i="55" s="1"/>
  <c r="D20" i="55" a="1"/>
  <c r="D20" i="55" s="1"/>
  <c r="D22" i="55" a="1"/>
  <c r="D22" i="55" s="1"/>
  <c r="D23" i="55" a="1"/>
  <c r="D23" i="55" s="1"/>
  <c r="D24" i="55" a="1"/>
  <c r="D24" i="55" s="1"/>
  <c r="D25" i="55" a="1"/>
  <c r="D25" i="55" s="1"/>
  <c r="D26" i="55" a="1"/>
  <c r="D26" i="55" s="1"/>
  <c r="D27" i="55" a="1"/>
  <c r="D27" i="55" s="1"/>
  <c r="D28" i="55" a="1"/>
  <c r="D28" i="55" s="1"/>
  <c r="K28" i="55" s="1" a="1"/>
  <c r="K28" i="55" s="1"/>
  <c r="D29" i="55" a="1"/>
  <c r="D29" i="55" s="1"/>
  <c r="D30" i="55" a="1"/>
  <c r="D30" i="55" s="1"/>
  <c r="D31" i="55" a="1"/>
  <c r="D31" i="55" s="1"/>
  <c r="D32" i="55" a="1"/>
  <c r="D32" i="55" s="1"/>
  <c r="D37" i="55" a="1"/>
  <c r="D37" i="55" s="1"/>
  <c r="D38" i="55" a="1"/>
  <c r="D38" i="55" s="1"/>
  <c r="D39" i="55" a="1"/>
  <c r="D39" i="55" s="1"/>
  <c r="D40" i="55" a="1"/>
  <c r="D40" i="55" s="1"/>
  <c r="D41" i="55" a="1"/>
  <c r="D41" i="55" s="1"/>
  <c r="D42" i="55" a="1"/>
  <c r="D42" i="55" s="1"/>
  <c r="D44" i="55" a="1"/>
  <c r="D44" i="55" s="1"/>
  <c r="D45" i="55" a="1"/>
  <c r="D45" i="55" s="1"/>
  <c r="D47" i="55" a="1"/>
  <c r="D47" i="55" s="1"/>
  <c r="D48" i="55" a="1"/>
  <c r="D48" i="55" s="1"/>
  <c r="D49" i="55" a="1"/>
  <c r="D49" i="55" s="1"/>
  <c r="D50" i="55" a="1"/>
  <c r="D50" i="55" s="1"/>
  <c r="D51" i="55" a="1"/>
  <c r="D51" i="55" s="1"/>
  <c r="D52" i="55" a="1"/>
  <c r="D52" i="55" s="1"/>
  <c r="D54" i="55" a="1"/>
  <c r="D54" i="55" s="1"/>
  <c r="D55" i="55" a="1"/>
  <c r="D55" i="55" s="1"/>
  <c r="K55" i="55" s="1" a="1"/>
  <c r="K55" i="55" s="1"/>
  <c r="D56" i="55" a="1"/>
  <c r="D56" i="55" s="1"/>
  <c r="D57" i="55" a="1"/>
  <c r="D57" i="55" s="1"/>
  <c r="D58" i="55" a="1"/>
  <c r="D58" i="55" s="1"/>
  <c r="L58" i="55" s="1" a="1"/>
  <c r="L58" i="55" s="1"/>
  <c r="D59" i="55" a="1"/>
  <c r="D59" i="55" s="1"/>
  <c r="B115" i="55"/>
  <c r="J103" i="55"/>
  <c r="R103" i="55" s="1"/>
  <c r="J104" i="55"/>
  <c r="R104" i="55" s="1"/>
  <c r="T104" i="55" s="1"/>
  <c r="R105" i="55"/>
  <c r="J106" i="55"/>
  <c r="R107" i="55"/>
  <c r="J108" i="55"/>
  <c r="R109" i="55"/>
  <c r="R110" i="55"/>
  <c r="J111" i="55"/>
  <c r="R111" i="55" s="1"/>
  <c r="J114" i="55"/>
  <c r="R114" i="55" s="1"/>
  <c r="J115" i="55"/>
  <c r="I103" i="55"/>
  <c r="I104" i="55"/>
  <c r="I106" i="55"/>
  <c r="I108" i="55"/>
  <c r="I111" i="55"/>
  <c r="I114" i="55"/>
  <c r="I115" i="55"/>
  <c r="AG7" i="53"/>
  <c r="S16" i="53"/>
  <c r="X16" i="53" s="1"/>
  <c r="S18" i="53"/>
  <c r="S20" i="53"/>
  <c r="X20" i="53" s="1"/>
  <c r="S22" i="53"/>
  <c r="X22" i="53"/>
  <c r="S24" i="53"/>
  <c r="X24" i="53" s="1"/>
  <c r="S26" i="53"/>
  <c r="X26" i="53"/>
  <c r="S28" i="53"/>
  <c r="X28" i="53" s="1"/>
  <c r="S30" i="53"/>
  <c r="X30" i="53"/>
  <c r="S32" i="53"/>
  <c r="X32" i="53" s="1"/>
  <c r="S34" i="53"/>
  <c r="X34" i="53"/>
  <c r="S36" i="53"/>
  <c r="X36" i="53" s="1"/>
  <c r="S38" i="53"/>
  <c r="X38" i="53"/>
  <c r="S42" i="53"/>
  <c r="X42" i="53" s="1"/>
  <c r="S44" i="53"/>
  <c r="X44" i="53"/>
  <c r="S46" i="53"/>
  <c r="X46" i="53" s="1"/>
  <c r="S48" i="53"/>
  <c r="X48" i="53"/>
  <c r="S50" i="53"/>
  <c r="X50" i="53" s="1"/>
  <c r="S52" i="53"/>
  <c r="X52" i="53"/>
  <c r="S54" i="53"/>
  <c r="X54" i="53" s="1"/>
  <c r="S56" i="53"/>
  <c r="X56" i="53"/>
  <c r="S58" i="53"/>
  <c r="X58" i="53" s="1"/>
  <c r="S60" i="53"/>
  <c r="X60" i="53"/>
  <c r="S62" i="53"/>
  <c r="X62" i="53" s="1"/>
  <c r="S64" i="53"/>
  <c r="X64" i="53"/>
  <c r="S66" i="53"/>
  <c r="X66" i="53" s="1"/>
  <c r="S67" i="53"/>
  <c r="S69" i="53"/>
  <c r="G5" i="59" s="1"/>
  <c r="S73" i="53"/>
  <c r="S75" i="53"/>
  <c r="S77" i="53"/>
  <c r="S79" i="53"/>
  <c r="S81" i="53"/>
  <c r="S83" i="53"/>
  <c r="S85" i="53"/>
  <c r="S89" i="53"/>
  <c r="S91" i="53"/>
  <c r="S93" i="53"/>
  <c r="S97" i="53"/>
  <c r="S101" i="53"/>
  <c r="S102" i="53"/>
  <c r="S105" i="53"/>
  <c r="S107" i="53"/>
  <c r="S110" i="53"/>
  <c r="G30" i="59" s="1"/>
  <c r="S113" i="53"/>
  <c r="S117" i="53"/>
  <c r="S121" i="53"/>
  <c r="S124" i="53"/>
  <c r="S127" i="53"/>
  <c r="S128" i="53"/>
  <c r="S131" i="53"/>
  <c r="S132" i="53"/>
  <c r="X7" i="53"/>
  <c r="Z44" i="53"/>
  <c r="AE44" i="53" s="1"/>
  <c r="Z46" i="53"/>
  <c r="AE46" i="53" s="1"/>
  <c r="Z48" i="53"/>
  <c r="AE48" i="53"/>
  <c r="Z50" i="53"/>
  <c r="AE50" i="53" s="1"/>
  <c r="Z52" i="53"/>
  <c r="AE52" i="53"/>
  <c r="Z54" i="53"/>
  <c r="AE54" i="53" s="1"/>
  <c r="Z56" i="53"/>
  <c r="AE56" i="53" s="1"/>
  <c r="Z58" i="53"/>
  <c r="AE58" i="53" s="1"/>
  <c r="Z60" i="53"/>
  <c r="AE60" i="53"/>
  <c r="Z62" i="53"/>
  <c r="AE62" i="53" s="1"/>
  <c r="Z64" i="53"/>
  <c r="AE64" i="53" s="1"/>
  <c r="Z66" i="53"/>
  <c r="AE66" i="53"/>
  <c r="Z67" i="53"/>
  <c r="P19" i="55" s="1"/>
  <c r="S19" i="55" s="1"/>
  <c r="Z69" i="53"/>
  <c r="P17" i="55"/>
  <c r="Z73" i="53"/>
  <c r="Z75" i="53"/>
  <c r="Z77" i="53"/>
  <c r="Z79" i="53"/>
  <c r="Z81" i="53"/>
  <c r="Z83" i="53"/>
  <c r="Z85" i="53"/>
  <c r="Z89" i="53"/>
  <c r="Z91" i="53"/>
  <c r="Z93" i="53"/>
  <c r="Z97" i="53"/>
  <c r="Z101" i="53"/>
  <c r="P89" i="55"/>
  <c r="Z102" i="53"/>
  <c r="P53" i="55"/>
  <c r="S53" i="55" s="1"/>
  <c r="Z105" i="53"/>
  <c r="P42" i="55"/>
  <c r="Z107" i="53"/>
  <c r="P72" i="55"/>
  <c r="Z110" i="53"/>
  <c r="O30" i="59" s="1"/>
  <c r="Z113" i="53"/>
  <c r="Z117" i="53"/>
  <c r="P22" i="55"/>
  <c r="S22" i="55" s="1"/>
  <c r="Z121" i="53"/>
  <c r="P96" i="55"/>
  <c r="S96" i="55" s="1"/>
  <c r="Z124" i="53"/>
  <c r="Z127" i="53"/>
  <c r="P77" i="55" s="1"/>
  <c r="Z128" i="53"/>
  <c r="P45" i="55"/>
  <c r="Z131" i="53"/>
  <c r="P60" i="55"/>
  <c r="R60" i="55" s="1"/>
  <c r="Z132" i="53"/>
  <c r="Z16" i="53"/>
  <c r="AE16" i="53" s="1"/>
  <c r="Z18" i="53"/>
  <c r="AE18" i="53" s="1"/>
  <c r="Z20" i="53"/>
  <c r="Z22" i="53"/>
  <c r="AE22" i="53"/>
  <c r="Z24" i="53"/>
  <c r="AE24" i="53" s="1"/>
  <c r="Z26" i="53"/>
  <c r="AE26" i="53" s="1"/>
  <c r="Z28" i="53"/>
  <c r="AE28" i="53" s="1"/>
  <c r="Z30" i="53"/>
  <c r="AE30" i="53"/>
  <c r="Z32" i="53"/>
  <c r="AE32" i="53" s="1"/>
  <c r="Z34" i="53"/>
  <c r="AE34" i="53" s="1"/>
  <c r="Z36" i="53"/>
  <c r="AE36" i="53" s="1"/>
  <c r="Z38" i="53"/>
  <c r="AE38" i="53"/>
  <c r="Z42" i="53"/>
  <c r="AE42" i="53" s="1"/>
  <c r="P16" i="53"/>
  <c r="P18" i="53"/>
  <c r="P20" i="53"/>
  <c r="P22" i="53"/>
  <c r="P24" i="53"/>
  <c r="P26" i="53"/>
  <c r="P28" i="53"/>
  <c r="P30" i="53"/>
  <c r="P32" i="53"/>
  <c r="P34" i="53"/>
  <c r="P36" i="53"/>
  <c r="P38" i="53"/>
  <c r="P42" i="53"/>
  <c r="P44" i="53"/>
  <c r="P46" i="53"/>
  <c r="P48" i="53"/>
  <c r="P50" i="53"/>
  <c r="P52" i="53"/>
  <c r="P54" i="53"/>
  <c r="P56" i="53"/>
  <c r="P58" i="53"/>
  <c r="P60" i="53"/>
  <c r="P62" i="53"/>
  <c r="P64" i="53"/>
  <c r="P66" i="53"/>
  <c r="P67" i="53"/>
  <c r="P69" i="53"/>
  <c r="P73" i="53"/>
  <c r="P101" i="53"/>
  <c r="P102" i="53"/>
  <c r="P105" i="53"/>
  <c r="P107" i="53"/>
  <c r="P110" i="53"/>
  <c r="P113" i="53"/>
  <c r="P117" i="53"/>
  <c r="P121" i="53"/>
  <c r="P124" i="53"/>
  <c r="P127" i="53"/>
  <c r="P131" i="53"/>
  <c r="P7" i="53"/>
  <c r="B9" i="55"/>
  <c r="B10" i="55"/>
  <c r="B12" i="55"/>
  <c r="B13" i="55"/>
  <c r="B15" i="55"/>
  <c r="B17" i="55"/>
  <c r="B18" i="55"/>
  <c r="B19" i="55"/>
  <c r="B20" i="55"/>
  <c r="B22" i="55"/>
  <c r="B23" i="55"/>
  <c r="B24" i="55"/>
  <c r="B25" i="55"/>
  <c r="B26" i="55"/>
  <c r="B27" i="55"/>
  <c r="B28" i="55"/>
  <c r="B29" i="55"/>
  <c r="B30" i="55"/>
  <c r="B31" i="55"/>
  <c r="B32" i="55"/>
  <c r="B37" i="55"/>
  <c r="B38" i="55"/>
  <c r="B39" i="55"/>
  <c r="B40" i="55"/>
  <c r="B41" i="55"/>
  <c r="B42" i="55"/>
  <c r="B44" i="55"/>
  <c r="B45" i="55"/>
  <c r="B47" i="55"/>
  <c r="B48" i="55"/>
  <c r="B49" i="55"/>
  <c r="B50" i="55"/>
  <c r="B51" i="55"/>
  <c r="B52" i="55"/>
  <c r="B54" i="55"/>
  <c r="B55" i="55"/>
  <c r="B56" i="55"/>
  <c r="B57" i="55"/>
  <c r="B58" i="55"/>
  <c r="B59" i="55"/>
  <c r="B60" i="55"/>
  <c r="B61" i="55"/>
  <c r="B62" i="55"/>
  <c r="B63" i="55"/>
  <c r="B64" i="55"/>
  <c r="B65" i="55"/>
  <c r="B66" i="55"/>
  <c r="B67" i="55"/>
  <c r="B68" i="55"/>
  <c r="B70" i="55"/>
  <c r="B71" i="55"/>
  <c r="B72" i="55"/>
  <c r="B73" i="55"/>
  <c r="B75" i="55"/>
  <c r="B76" i="55"/>
  <c r="B78" i="55"/>
  <c r="B80" i="55"/>
  <c r="B81" i="55"/>
  <c r="B82" i="55"/>
  <c r="B83" i="55"/>
  <c r="B84" i="55"/>
  <c r="B85" i="55"/>
  <c r="B87" i="55"/>
  <c r="B88" i="55"/>
  <c r="B89" i="55"/>
  <c r="B92" i="55"/>
  <c r="B95" i="55"/>
  <c r="B96" i="55"/>
  <c r="B98" i="55"/>
  <c r="B99" i="55"/>
  <c r="B100" i="55"/>
  <c r="B101" i="55"/>
  <c r="B102" i="55"/>
  <c r="B103" i="55"/>
  <c r="B104" i="55"/>
  <c r="B105" i="55"/>
  <c r="B106" i="55"/>
  <c r="B107" i="55"/>
  <c r="B108" i="55"/>
  <c r="B109" i="55"/>
  <c r="B110" i="55"/>
  <c r="B111" i="55"/>
  <c r="B112" i="55"/>
  <c r="B114" i="55"/>
  <c r="B7" i="55"/>
  <c r="AG132" i="53"/>
  <c r="AD2" i="53"/>
  <c r="K2" i="53"/>
  <c r="L2" i="53"/>
  <c r="AA2" i="53"/>
  <c r="AG52" i="53"/>
  <c r="AG54" i="53"/>
  <c r="AG56" i="53"/>
  <c r="AG58" i="53"/>
  <c r="AG66" i="53"/>
  <c r="AG64" i="53"/>
  <c r="AG62" i="53"/>
  <c r="AG60" i="53"/>
  <c r="AG50" i="53"/>
  <c r="AG48" i="53"/>
  <c r="AG46" i="53"/>
  <c r="AG44" i="53"/>
  <c r="AG42" i="53"/>
  <c r="AG24" i="53"/>
  <c r="AG26" i="53"/>
  <c r="AG28" i="53"/>
  <c r="AG30" i="53"/>
  <c r="AG32" i="53"/>
  <c r="C38" i="60"/>
  <c r="D38" i="60"/>
  <c r="E38" i="60"/>
  <c r="B38" i="60"/>
  <c r="F2" i="55"/>
  <c r="D7" i="55" a="1"/>
  <c r="D7" i="55" s="1"/>
  <c r="K7" i="55" s="1" a="1"/>
  <c r="K7" i="55" s="1"/>
  <c r="F22" i="60"/>
  <c r="F23" i="60" s="1"/>
  <c r="G121" i="55"/>
  <c r="AG38" i="53"/>
  <c r="Z7" i="53"/>
  <c r="P66" i="55"/>
  <c r="S66" i="55" s="1"/>
  <c r="P23" i="55"/>
  <c r="S23" i="55" s="1"/>
  <c r="Q30" i="55"/>
  <c r="E9" i="55"/>
  <c r="F9" i="55"/>
  <c r="I9" i="55"/>
  <c r="J9" i="55"/>
  <c r="Q9" i="55"/>
  <c r="E10" i="55"/>
  <c r="F10" i="55"/>
  <c r="P10" i="55"/>
  <c r="R10" i="55" s="1"/>
  <c r="Q10" i="55"/>
  <c r="E12" i="55"/>
  <c r="F12" i="55"/>
  <c r="P12" i="55"/>
  <c r="S12" i="55" s="1"/>
  <c r="Q12" i="55"/>
  <c r="E13" i="55"/>
  <c r="F13" i="55"/>
  <c r="Q13" i="55"/>
  <c r="E15" i="55"/>
  <c r="F15" i="55"/>
  <c r="Q15" i="55"/>
  <c r="E17" i="55"/>
  <c r="F17" i="55"/>
  <c r="Q17" i="55"/>
  <c r="E18" i="55"/>
  <c r="F18" i="55"/>
  <c r="Q18" i="55"/>
  <c r="E19" i="55"/>
  <c r="F19" i="55"/>
  <c r="Q19" i="55"/>
  <c r="E20" i="55"/>
  <c r="F20" i="55"/>
  <c r="Q20" i="55"/>
  <c r="E22" i="55"/>
  <c r="F22" i="55"/>
  <c r="I22" i="55"/>
  <c r="J22" i="55"/>
  <c r="Q22" i="55"/>
  <c r="E23" i="55"/>
  <c r="F23" i="55"/>
  <c r="I23" i="55"/>
  <c r="J23" i="55"/>
  <c r="Q23" i="55"/>
  <c r="E24" i="55"/>
  <c r="F24" i="55"/>
  <c r="I24" i="55"/>
  <c r="J24" i="55"/>
  <c r="Q24" i="55"/>
  <c r="J25" i="55"/>
  <c r="R25" i="55" s="1"/>
  <c r="E25" i="55"/>
  <c r="F25" i="55"/>
  <c r="I25" i="55"/>
  <c r="Q25" i="55"/>
  <c r="E26" i="55"/>
  <c r="F26" i="55"/>
  <c r="P26" i="55"/>
  <c r="S26" i="55" s="1"/>
  <c r="Q26" i="55"/>
  <c r="E27" i="55"/>
  <c r="F27" i="55"/>
  <c r="Q27" i="55"/>
  <c r="E28" i="55"/>
  <c r="P28" i="55"/>
  <c r="S28" i="55" s="1"/>
  <c r="Q28" i="55"/>
  <c r="E29" i="55"/>
  <c r="F29" i="55"/>
  <c r="I29" i="55"/>
  <c r="J29" i="55"/>
  <c r="R29" i="55" s="1"/>
  <c r="P29" i="55"/>
  <c r="S29" i="55" s="1"/>
  <c r="Q29" i="55"/>
  <c r="E30" i="55"/>
  <c r="F30" i="55"/>
  <c r="I30" i="55"/>
  <c r="J30" i="55"/>
  <c r="J31" i="55"/>
  <c r="R31" i="55" s="1"/>
  <c r="E31" i="55"/>
  <c r="F31" i="55"/>
  <c r="I31" i="55"/>
  <c r="P31" i="55"/>
  <c r="S31" i="55" s="1"/>
  <c r="Q31" i="55"/>
  <c r="E32" i="55"/>
  <c r="F32" i="55"/>
  <c r="I32" i="55"/>
  <c r="J32" i="55"/>
  <c r="Q32" i="55"/>
  <c r="E37" i="55"/>
  <c r="F37" i="55"/>
  <c r="I37" i="55"/>
  <c r="J37" i="55"/>
  <c r="Q37" i="55"/>
  <c r="E38" i="55"/>
  <c r="F38" i="55"/>
  <c r="P38" i="55"/>
  <c r="S38" i="55" s="1"/>
  <c r="R38" i="55"/>
  <c r="Q38" i="55"/>
  <c r="E39" i="55"/>
  <c r="F39" i="55"/>
  <c r="I39" i="55"/>
  <c r="J39" i="55"/>
  <c r="Q39" i="55"/>
  <c r="E40" i="55"/>
  <c r="F40" i="55"/>
  <c r="I40" i="55"/>
  <c r="J40" i="55"/>
  <c r="Q40" i="55"/>
  <c r="J41" i="55"/>
  <c r="R41" i="55" s="1"/>
  <c r="E41" i="55"/>
  <c r="F41" i="55"/>
  <c r="I41" i="55"/>
  <c r="P41" i="55"/>
  <c r="S41" i="55" s="1"/>
  <c r="Q41" i="55"/>
  <c r="J42" i="55"/>
  <c r="E42" i="55"/>
  <c r="F42" i="55"/>
  <c r="I42" i="55"/>
  <c r="Q42" i="55"/>
  <c r="E44" i="55"/>
  <c r="F44" i="55"/>
  <c r="I44" i="55"/>
  <c r="J44" i="55"/>
  <c r="Q44" i="55"/>
  <c r="E45" i="55"/>
  <c r="F45" i="55"/>
  <c r="I45" i="55"/>
  <c r="J45" i="55"/>
  <c r="K45" i="55" s="1" a="1"/>
  <c r="K45" i="55" s="1"/>
  <c r="Q45" i="55"/>
  <c r="E47" i="55"/>
  <c r="F47" i="55"/>
  <c r="Q47" i="55"/>
  <c r="E48" i="55"/>
  <c r="F48" i="55"/>
  <c r="I48" i="55"/>
  <c r="J48" i="55"/>
  <c r="R48" i="55" s="1"/>
  <c r="Q48" i="55"/>
  <c r="E49" i="55"/>
  <c r="F49" i="55"/>
  <c r="I49" i="55"/>
  <c r="J49" i="55"/>
  <c r="Q49" i="55"/>
  <c r="J50" i="55"/>
  <c r="R50" i="55" s="1"/>
  <c r="E50" i="55"/>
  <c r="F50" i="55"/>
  <c r="I50" i="55"/>
  <c r="P50" i="55"/>
  <c r="S50" i="55" s="1"/>
  <c r="Q50" i="55"/>
  <c r="E51" i="55"/>
  <c r="F51" i="55"/>
  <c r="I51" i="55"/>
  <c r="J51" i="55"/>
  <c r="R51" i="55" s="1"/>
  <c r="P51" i="55"/>
  <c r="S51" i="55" s="1"/>
  <c r="Q51" i="55"/>
  <c r="E52" i="55"/>
  <c r="F52" i="55"/>
  <c r="I52" i="55"/>
  <c r="J52" i="55"/>
  <c r="R52" i="55" s="1"/>
  <c r="P52" i="55"/>
  <c r="S52" i="55" s="1"/>
  <c r="Q52" i="55"/>
  <c r="J54" i="55"/>
  <c r="R54" i="55" s="1"/>
  <c r="E54" i="55"/>
  <c r="F54" i="55"/>
  <c r="I54" i="55"/>
  <c r="P54" i="55"/>
  <c r="S54" i="55" s="1"/>
  <c r="T54" i="55" s="1"/>
  <c r="Q54" i="55"/>
  <c r="E55" i="55"/>
  <c r="F55" i="55"/>
  <c r="Q55" i="55"/>
  <c r="E56" i="55"/>
  <c r="F58" i="55"/>
  <c r="I56" i="55"/>
  <c r="J56" i="55"/>
  <c r="R56" i="55" s="1"/>
  <c r="P56" i="55"/>
  <c r="S56" i="55" s="1"/>
  <c r="Q56" i="55"/>
  <c r="E57" i="55"/>
  <c r="F57" i="55"/>
  <c r="I57" i="55"/>
  <c r="J57" i="55"/>
  <c r="R57" i="55" s="1"/>
  <c r="P57" i="55"/>
  <c r="S57" i="55" s="1"/>
  <c r="Q57" i="55"/>
  <c r="E58" i="55"/>
  <c r="I58" i="55"/>
  <c r="J58" i="55"/>
  <c r="R58" i="55" s="1"/>
  <c r="P58" i="55"/>
  <c r="S58" i="55" s="1"/>
  <c r="Q58" i="55"/>
  <c r="E59" i="55"/>
  <c r="F59" i="55"/>
  <c r="I59" i="55"/>
  <c r="J59" i="55"/>
  <c r="R59" i="55" s="1"/>
  <c r="P59" i="55"/>
  <c r="S59" i="55" s="1"/>
  <c r="Q59" i="55"/>
  <c r="E60" i="55"/>
  <c r="F60" i="55"/>
  <c r="Q60" i="55"/>
  <c r="E61" i="55"/>
  <c r="F61" i="55"/>
  <c r="Q61" i="55"/>
  <c r="E62" i="55"/>
  <c r="F62" i="55"/>
  <c r="Q62" i="55"/>
  <c r="E63" i="55"/>
  <c r="F63" i="55"/>
  <c r="P63" i="55"/>
  <c r="Q63" i="55"/>
  <c r="E64" i="55"/>
  <c r="F64" i="55"/>
  <c r="P64" i="55"/>
  <c r="S64" i="55" s="1"/>
  <c r="Q64" i="55"/>
  <c r="E65" i="55"/>
  <c r="F65" i="55"/>
  <c r="P65" i="55"/>
  <c r="S65" i="55" s="1"/>
  <c r="Q65" i="55"/>
  <c r="E66" i="55"/>
  <c r="F66" i="55"/>
  <c r="Q66" i="55"/>
  <c r="E67" i="55"/>
  <c r="F67" i="55"/>
  <c r="P67" i="55"/>
  <c r="S67" i="55" s="1"/>
  <c r="Q67" i="55"/>
  <c r="E68" i="55"/>
  <c r="F68" i="55"/>
  <c r="P68" i="55"/>
  <c r="S68" i="55" s="1"/>
  <c r="Q68" i="55"/>
  <c r="E70" i="55"/>
  <c r="F70" i="55"/>
  <c r="I70" i="55"/>
  <c r="J70" i="55"/>
  <c r="Q70" i="55"/>
  <c r="E71" i="55"/>
  <c r="F71" i="55"/>
  <c r="Q71" i="55"/>
  <c r="E72" i="55"/>
  <c r="F72" i="55"/>
  <c r="I72" i="55"/>
  <c r="J72" i="55"/>
  <c r="Q72" i="55"/>
  <c r="E73" i="55"/>
  <c r="F73" i="55"/>
  <c r="I73" i="55"/>
  <c r="J73" i="55"/>
  <c r="Q73" i="55"/>
  <c r="E75" i="55"/>
  <c r="F75" i="55"/>
  <c r="I75" i="55"/>
  <c r="J75" i="55"/>
  <c r="R75" i="55" s="1"/>
  <c r="P75" i="55"/>
  <c r="S75" i="55" s="1"/>
  <c r="Q75" i="55"/>
  <c r="E76" i="55"/>
  <c r="F76" i="55"/>
  <c r="Q76" i="55"/>
  <c r="E77" i="55"/>
  <c r="F77" i="55"/>
  <c r="I77" i="55"/>
  <c r="J77" i="55"/>
  <c r="Q77" i="55"/>
  <c r="E78" i="55"/>
  <c r="F78" i="55"/>
  <c r="I78" i="55"/>
  <c r="J78" i="55"/>
  <c r="R78" i="55" s="1"/>
  <c r="Q78" i="55"/>
  <c r="J80" i="55"/>
  <c r="E80" i="55"/>
  <c r="F80" i="55"/>
  <c r="I80" i="55"/>
  <c r="Q80" i="55"/>
  <c r="E81" i="55"/>
  <c r="F81" i="55"/>
  <c r="Q81" i="55"/>
  <c r="E82" i="55"/>
  <c r="F82" i="55"/>
  <c r="Q82" i="55"/>
  <c r="E83" i="55"/>
  <c r="F83" i="55"/>
  <c r="Q83" i="55"/>
  <c r="E84" i="55"/>
  <c r="F84" i="55"/>
  <c r="I84" i="55"/>
  <c r="J84" i="55"/>
  <c r="Q84" i="55"/>
  <c r="E85" i="55"/>
  <c r="F85" i="55"/>
  <c r="I85" i="55"/>
  <c r="J85" i="55"/>
  <c r="Q85" i="55"/>
  <c r="E86" i="55"/>
  <c r="F86" i="55"/>
  <c r="P86" i="55"/>
  <c r="R86" i="55" s="1"/>
  <c r="Q86" i="55"/>
  <c r="E87" i="55"/>
  <c r="F87" i="55"/>
  <c r="I87" i="55"/>
  <c r="J87" i="55"/>
  <c r="Q87" i="55"/>
  <c r="E88" i="55"/>
  <c r="F88" i="55"/>
  <c r="I88" i="55"/>
  <c r="J88" i="55"/>
  <c r="Q88" i="55"/>
  <c r="E89" i="55"/>
  <c r="F89" i="55"/>
  <c r="I89" i="55"/>
  <c r="J89" i="55"/>
  <c r="Q89" i="55"/>
  <c r="E92" i="55"/>
  <c r="F92" i="55"/>
  <c r="P92" i="55"/>
  <c r="R92" i="55" s="1"/>
  <c r="Q92" i="55"/>
  <c r="J95" i="55"/>
  <c r="E95" i="55"/>
  <c r="F95" i="55"/>
  <c r="I95" i="55"/>
  <c r="Q95" i="55"/>
  <c r="E96" i="55"/>
  <c r="F96" i="55"/>
  <c r="I96" i="55"/>
  <c r="J96" i="55"/>
  <c r="Q96" i="55"/>
  <c r="E98" i="55"/>
  <c r="F98" i="55"/>
  <c r="I98" i="55"/>
  <c r="J98" i="55"/>
  <c r="R98" i="55" s="1"/>
  <c r="P98" i="55"/>
  <c r="S98" i="55" s="1"/>
  <c r="Q98" i="55"/>
  <c r="E99" i="55"/>
  <c r="F99" i="55"/>
  <c r="I99" i="55"/>
  <c r="J99" i="55"/>
  <c r="Q99" i="55"/>
  <c r="E100" i="55"/>
  <c r="F100" i="55"/>
  <c r="I100" i="55"/>
  <c r="J100" i="55"/>
  <c r="Q100" i="55"/>
  <c r="J101" i="55"/>
  <c r="E101" i="55"/>
  <c r="F101" i="55"/>
  <c r="I101" i="55"/>
  <c r="Q101" i="55"/>
  <c r="E102" i="55"/>
  <c r="F102" i="55"/>
  <c r="Q102" i="55"/>
  <c r="E103" i="55"/>
  <c r="F103" i="55"/>
  <c r="P103" i="55"/>
  <c r="S103" i="55" s="1"/>
  <c r="Q103" i="55"/>
  <c r="Q7" i="55"/>
  <c r="E7" i="55"/>
  <c r="G38" i="59"/>
  <c r="M38" i="59"/>
  <c r="AG16" i="53"/>
  <c r="S30" i="59"/>
  <c r="S37" i="59"/>
  <c r="S38" i="59"/>
  <c r="R30" i="59"/>
  <c r="R37" i="59"/>
  <c r="R38" i="59"/>
  <c r="Q30" i="59"/>
  <c r="Q37" i="59"/>
  <c r="Q38" i="59"/>
  <c r="P30" i="59"/>
  <c r="K30" i="59"/>
  <c r="K37" i="59"/>
  <c r="K38" i="59"/>
  <c r="J30" i="59"/>
  <c r="I30" i="59"/>
  <c r="C30" i="59"/>
  <c r="H30" i="59"/>
  <c r="H37" i="59"/>
  <c r="H38" i="59"/>
  <c r="C37" i="59"/>
  <c r="C38" i="59"/>
  <c r="L38" i="59" s="1"/>
  <c r="I37" i="59"/>
  <c r="I38" i="59"/>
  <c r="E30" i="59"/>
  <c r="E37" i="59"/>
  <c r="E38" i="59"/>
  <c r="D30" i="59"/>
  <c r="D37" i="59"/>
  <c r="D38" i="59"/>
  <c r="B30" i="59"/>
  <c r="B37" i="59"/>
  <c r="B38" i="59"/>
  <c r="T38" i="59" s="1"/>
  <c r="P37" i="59"/>
  <c r="P38" i="59"/>
  <c r="J37" i="59"/>
  <c r="S17" i="59"/>
  <c r="S18" i="59"/>
  <c r="S25" i="59"/>
  <c r="R17" i="59"/>
  <c r="R18" i="59"/>
  <c r="R25" i="59"/>
  <c r="Q17" i="59"/>
  <c r="P17" i="59"/>
  <c r="P18" i="59"/>
  <c r="P25" i="59"/>
  <c r="K17" i="59"/>
  <c r="K18" i="59"/>
  <c r="K25" i="59"/>
  <c r="J17" i="59"/>
  <c r="I17" i="59"/>
  <c r="I18" i="59"/>
  <c r="I25" i="59"/>
  <c r="C17" i="59"/>
  <c r="C18" i="59"/>
  <c r="C25" i="59"/>
  <c r="N25" i="59" s="1"/>
  <c r="H17" i="59"/>
  <c r="H18" i="59"/>
  <c r="H25" i="59"/>
  <c r="E17" i="59"/>
  <c r="E18" i="59"/>
  <c r="E25" i="59"/>
  <c r="B17" i="59"/>
  <c r="D17" i="59"/>
  <c r="Q18" i="59"/>
  <c r="B18" i="59"/>
  <c r="B25" i="59"/>
  <c r="F25" i="59" s="1"/>
  <c r="J18" i="59"/>
  <c r="J25" i="59"/>
  <c r="G25" i="59"/>
  <c r="M25" i="59" s="1"/>
  <c r="D18" i="59"/>
  <c r="D25" i="59"/>
  <c r="S4" i="59"/>
  <c r="S5" i="59"/>
  <c r="S12" i="59"/>
  <c r="R4" i="59"/>
  <c r="Q4" i="59"/>
  <c r="Q5" i="59"/>
  <c r="Q12" i="59"/>
  <c r="B4" i="59"/>
  <c r="P4" i="59"/>
  <c r="K4" i="59"/>
  <c r="K5" i="59"/>
  <c r="K12" i="59"/>
  <c r="J4" i="59"/>
  <c r="I4" i="59"/>
  <c r="I5" i="59"/>
  <c r="I12" i="59"/>
  <c r="H4" i="59"/>
  <c r="H5" i="59"/>
  <c r="H12" i="59"/>
  <c r="E4" i="59"/>
  <c r="E5" i="59"/>
  <c r="E12" i="59"/>
  <c r="D4" i="59"/>
  <c r="D5" i="59"/>
  <c r="D12" i="59"/>
  <c r="C4" i="59"/>
  <c r="R5" i="59"/>
  <c r="R12" i="59"/>
  <c r="P5" i="59"/>
  <c r="P12" i="59"/>
  <c r="J5" i="59"/>
  <c r="C5" i="59"/>
  <c r="B5" i="59"/>
  <c r="AG36" i="53"/>
  <c r="AG34" i="53"/>
  <c r="AG22" i="53"/>
  <c r="AG20" i="53"/>
  <c r="AG18" i="53"/>
  <c r="C12" i="59"/>
  <c r="N12" i="59"/>
  <c r="G12" i="59"/>
  <c r="M12" i="59" s="1"/>
  <c r="J12" i="59"/>
  <c r="B12" i="59"/>
  <c r="T12" i="59" s="1"/>
  <c r="I3" i="52"/>
  <c r="I13" i="52"/>
  <c r="I12" i="52"/>
  <c r="I11" i="52"/>
  <c r="I10" i="52"/>
  <c r="I9" i="52"/>
  <c r="I8" i="52"/>
  <c r="I7" i="52"/>
  <c r="I6" i="52"/>
  <c r="I5" i="52"/>
  <c r="I4" i="52"/>
  <c r="J38" i="59"/>
  <c r="Q25" i="59"/>
  <c r="C7" i="26"/>
  <c r="C6" i="26" s="1"/>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V12" i="26" s="1"/>
  <c r="B12" i="26"/>
  <c r="O12" i="59"/>
  <c r="U12" i="59" s="1"/>
  <c r="O38" i="59"/>
  <c r="U38" i="59"/>
  <c r="O25" i="59"/>
  <c r="U25" i="59" s="1"/>
  <c r="F7" i="55"/>
  <c r="G22" i="60"/>
  <c r="Q14" i="26"/>
  <c r="AB12" i="26"/>
  <c r="P25" i="55"/>
  <c r="S25" i="55" s="1"/>
  <c r="P48" i="55"/>
  <c r="S48" i="55" s="1"/>
  <c r="P13" i="55"/>
  <c r="S13" i="55" s="1"/>
  <c r="P14" i="26"/>
  <c r="AI12" i="26"/>
  <c r="Z14" i="26"/>
  <c r="F14" i="26"/>
  <c r="M12" i="26"/>
  <c r="P20" i="55"/>
  <c r="S20" i="55" s="1"/>
  <c r="U12" i="26"/>
  <c r="Q2" i="55"/>
  <c r="M81" i="55" a="1"/>
  <c r="M81" i="55" s="1"/>
  <c r="M2" i="55"/>
  <c r="M119" i="55"/>
  <c r="I119" i="55"/>
  <c r="R28" i="55"/>
  <c r="R66" i="55"/>
  <c r="R67" i="55"/>
  <c r="R68" i="55"/>
  <c r="M88" i="55" a="1"/>
  <c r="M88" i="55" s="1"/>
  <c r="M60" i="55" a="1"/>
  <c r="M60" i="55" s="1"/>
  <c r="M85" i="55" a="1"/>
  <c r="M85" i="55" s="1"/>
  <c r="M44" i="55" a="1"/>
  <c r="M44" i="55" s="1"/>
  <c r="M41" i="55" a="1"/>
  <c r="M41" i="55" s="1"/>
  <c r="O41" i="55" s="1"/>
  <c r="M37" i="55" a="1"/>
  <c r="M37" i="55" s="1"/>
  <c r="M23" i="55" a="1"/>
  <c r="M23" i="55" s="1"/>
  <c r="M30" i="55" a="1"/>
  <c r="M30" i="55" s="1"/>
  <c r="M101" i="55" a="1"/>
  <c r="M101" i="55" s="1"/>
  <c r="M68" i="55" a="1"/>
  <c r="M68" i="55" s="1"/>
  <c r="O68" i="55" s="1"/>
  <c r="M65" i="55" a="1"/>
  <c r="M65" i="55" s="1"/>
  <c r="O65" i="55" s="1"/>
  <c r="M42" i="55" a="1"/>
  <c r="M42" i="55" s="1"/>
  <c r="M73" i="55" a="1"/>
  <c r="M73" i="55" s="1"/>
  <c r="M27" i="55" a="1"/>
  <c r="M27" i="55" s="1"/>
  <c r="M48" i="55" a="1"/>
  <c r="M48" i="55" s="1"/>
  <c r="O48" i="55" s="1"/>
  <c r="M47" i="55" a="1"/>
  <c r="M47" i="55" s="1"/>
  <c r="N67" i="55" a="1"/>
  <c r="N67" i="55" s="1"/>
  <c r="M96" i="55" a="1"/>
  <c r="M96" i="55" s="1"/>
  <c r="M50" i="55" a="1"/>
  <c r="M50" i="55" s="1"/>
  <c r="O50" i="55" s="1"/>
  <c r="M55" i="55" a="1"/>
  <c r="M55" i="55" s="1"/>
  <c r="M67" i="55" a="1"/>
  <c r="M67" i="55" s="1"/>
  <c r="O67" i="55" s="1"/>
  <c r="M78" i="55" a="1"/>
  <c r="M78" i="55" s="1"/>
  <c r="O78" i="55" s="1"/>
  <c r="M39" i="55" a="1"/>
  <c r="M39" i="55" s="1"/>
  <c r="M63" i="55" a="1"/>
  <c r="M63" i="55" s="1"/>
  <c r="O63" i="55" s="1"/>
  <c r="M51" i="55" a="1"/>
  <c r="M51" i="55" s="1"/>
  <c r="O51" i="55" s="1"/>
  <c r="M66" i="55" a="1"/>
  <c r="M66" i="55" s="1"/>
  <c r="O66" i="55" s="1"/>
  <c r="M20" i="55" a="1"/>
  <c r="M20" i="55" s="1"/>
  <c r="O20" i="55" s="1"/>
  <c r="M52" i="55" a="1"/>
  <c r="M52" i="55" s="1"/>
  <c r="O52" i="55" s="1"/>
  <c r="M102" i="55" a="1"/>
  <c r="M102" i="55" s="1"/>
  <c r="M19" i="55" a="1"/>
  <c r="M19" i="55" s="1"/>
  <c r="M54" i="55" a="1"/>
  <c r="M54" i="55" s="1"/>
  <c r="O54" i="55" s="1"/>
  <c r="M99" i="55" a="1"/>
  <c r="M99" i="55" s="1"/>
  <c r="M40" i="55" a="1"/>
  <c r="M40" i="55" s="1"/>
  <c r="M9" i="55" a="1"/>
  <c r="M9" i="55" s="1"/>
  <c r="M71" i="55" a="1"/>
  <c r="M71" i="55" s="1"/>
  <c r="M13" i="55" a="1"/>
  <c r="M13" i="55" s="1"/>
  <c r="O13" i="55" s="1"/>
  <c r="M83" i="55" a="1"/>
  <c r="M83" i="55" s="1"/>
  <c r="M56" i="55" a="1"/>
  <c r="M56" i="55" s="1"/>
  <c r="O56" i="55" s="1"/>
  <c r="M82" i="55" a="1"/>
  <c r="M82" i="55" s="1"/>
  <c r="M86" i="55" a="1"/>
  <c r="M86" i="55" s="1"/>
  <c r="O86" i="55" s="1"/>
  <c r="M25" i="55" a="1"/>
  <c r="M25" i="55" s="1"/>
  <c r="O25" i="55" s="1"/>
  <c r="M17" i="55" a="1"/>
  <c r="M17" i="55" s="1"/>
  <c r="M28" i="55" a="1"/>
  <c r="M28" i="55" s="1"/>
  <c r="O28" i="55" s="1"/>
  <c r="M87" i="55" a="1"/>
  <c r="M87" i="55" s="1"/>
  <c r="M100" i="55" a="1"/>
  <c r="M100" i="55" s="1"/>
  <c r="M49" i="55" a="1"/>
  <c r="M49" i="55" s="1"/>
  <c r="M10" i="55" a="1"/>
  <c r="M10" i="55" s="1"/>
  <c r="O10" i="55" s="1"/>
  <c r="M12" i="55" a="1"/>
  <c r="M12" i="55" s="1"/>
  <c r="M7" i="55" a="1"/>
  <c r="M7" i="55" s="1"/>
  <c r="M70" i="55" a="1"/>
  <c r="M70" i="55" s="1"/>
  <c r="M22" i="55" a="1"/>
  <c r="M22" i="55" s="1"/>
  <c r="M18" i="55" a="1"/>
  <c r="M18" i="55" s="1"/>
  <c r="M26" i="55" a="1"/>
  <c r="M26" i="55" s="1"/>
  <c r="M24" i="55" a="1"/>
  <c r="M24" i="55" s="1"/>
  <c r="M98" i="55" a="1"/>
  <c r="M98" i="55" s="1"/>
  <c r="O98" i="55" s="1"/>
  <c r="M103" i="55" a="1"/>
  <c r="M103" i="55" s="1"/>
  <c r="O103" i="55" s="1"/>
  <c r="M95" i="55" a="1"/>
  <c r="M95" i="55" s="1"/>
  <c r="N52" i="55" a="1"/>
  <c r="N52" i="55" s="1"/>
  <c r="M32" i="55" a="1"/>
  <c r="M32" i="55" s="1"/>
  <c r="M84" i="55" a="1"/>
  <c r="M84" i="55" s="1"/>
  <c r="M64" i="55" a="1"/>
  <c r="M64" i="55" s="1"/>
  <c r="O64" i="55" s="1"/>
  <c r="N98" i="55" a="1"/>
  <c r="N98" i="55" s="1"/>
  <c r="N103" i="55" a="1"/>
  <c r="N103" i="55" s="1"/>
  <c r="M29" i="55" a="1"/>
  <c r="M29" i="55" s="1"/>
  <c r="O29" i="55" s="1"/>
  <c r="N61" i="55" a="1"/>
  <c r="N61" i="55" s="1"/>
  <c r="M80" i="55" a="1"/>
  <c r="M80" i="55" s="1"/>
  <c r="M59" i="55" a="1"/>
  <c r="M59" i="55" s="1"/>
  <c r="O59" i="55" s="1"/>
  <c r="M72" i="55" a="1"/>
  <c r="M72" i="55" s="1"/>
  <c r="M58" i="55" a="1"/>
  <c r="M58" i="55" s="1"/>
  <c r="O58" i="55" s="1"/>
  <c r="N29" i="55" a="1"/>
  <c r="N29" i="55" s="1"/>
  <c r="Q119" i="55"/>
  <c r="M76" i="55" a="1"/>
  <c r="M76" i="55" s="1"/>
  <c r="N57" i="55" a="1"/>
  <c r="N57" i="55" s="1"/>
  <c r="N42" i="55" a="1"/>
  <c r="N42" i="55" s="1"/>
  <c r="N96" i="55" a="1"/>
  <c r="N96" i="55" s="1"/>
  <c r="N49" i="55" a="1"/>
  <c r="N49" i="55" s="1"/>
  <c r="N81" i="55" a="1"/>
  <c r="N81" i="55" s="1"/>
  <c r="N56" i="55" a="1"/>
  <c r="N56" i="55" s="1"/>
  <c r="N9" i="55" a="1"/>
  <c r="N9" i="55" s="1"/>
  <c r="AB2" i="53"/>
  <c r="N73" i="55" a="1"/>
  <c r="N73" i="55" s="1"/>
  <c r="O73" i="55" s="1"/>
  <c r="N32" i="55" a="1"/>
  <c r="N32" i="55" s="1"/>
  <c r="N7" i="55" a="1"/>
  <c r="N7" i="55" s="1"/>
  <c r="N100" i="55" a="1"/>
  <c r="N100" i="55" s="1"/>
  <c r="N95" i="55" a="1"/>
  <c r="N95" i="55" s="1"/>
  <c r="N20" i="55" a="1"/>
  <c r="N20" i="55" s="1"/>
  <c r="N26" i="55" a="1"/>
  <c r="N26" i="55" s="1"/>
  <c r="O26" i="55" s="1"/>
  <c r="N19" i="55" a="1"/>
  <c r="N19" i="55" s="1"/>
  <c r="N10" i="55" a="1"/>
  <c r="N10" i="55" s="1"/>
  <c r="N66" i="55" a="1"/>
  <c r="N66" i="55" s="1"/>
  <c r="N92" i="55" a="1"/>
  <c r="N92" i="55" s="1"/>
  <c r="N55" i="55" a="1"/>
  <c r="N55" i="55" s="1"/>
  <c r="N31" i="55" a="1"/>
  <c r="N31" i="55" s="1"/>
  <c r="N23" i="55" a="1"/>
  <c r="N23" i="55" s="1"/>
  <c r="O23" i="55" s="1"/>
  <c r="N85" i="55" a="1"/>
  <c r="N85" i="55" s="1"/>
  <c r="N75" i="55" a="1"/>
  <c r="N75" i="55" s="1"/>
  <c r="N17" i="55" a="1"/>
  <c r="N17" i="55" s="1"/>
  <c r="O17" i="55" s="1"/>
  <c r="N101" i="55" a="1"/>
  <c r="N101" i="55" s="1"/>
  <c r="N77" i="55" a="1"/>
  <c r="N77" i="55" s="1"/>
  <c r="N50" i="55" a="1"/>
  <c r="N50" i="55" s="1"/>
  <c r="N44" i="55" a="1"/>
  <c r="N44" i="55" s="1"/>
  <c r="N38" i="55" a="1"/>
  <c r="N38" i="55" s="1"/>
  <c r="M57" i="55" a="1"/>
  <c r="M57" i="55" s="1"/>
  <c r="O57" i="55" s="1"/>
  <c r="M93" i="55" a="1"/>
  <c r="M93" i="55"/>
  <c r="M90" i="55" a="1"/>
  <c r="M90" i="55" s="1"/>
  <c r="O90" i="55" s="1"/>
  <c r="M16" i="55" a="1"/>
  <c r="M16" i="55" s="1"/>
  <c r="O16" i="55" s="1"/>
  <c r="M79" i="55" a="1"/>
  <c r="M79" i="55" s="1"/>
  <c r="M43" i="55" a="1"/>
  <c r="M43" i="55" s="1"/>
  <c r="O43" i="55" s="1"/>
  <c r="M33" i="55" a="1"/>
  <c r="M33" i="55" s="1"/>
  <c r="M46" i="55" a="1"/>
  <c r="M46" i="55" s="1"/>
  <c r="O46" i="55" s="1"/>
  <c r="M34" i="55" a="1"/>
  <c r="M34" i="55" s="1"/>
  <c r="O34" i="55" s="1"/>
  <c r="M11" i="55" a="1"/>
  <c r="M11" i="55" s="1"/>
  <c r="O11" i="55" s="1"/>
  <c r="M74" i="55" a="1"/>
  <c r="M74" i="55" s="1"/>
  <c r="O74" i="55" s="1"/>
  <c r="M36" i="55" a="1"/>
  <c r="M36" i="55" s="1"/>
  <c r="M14" i="55" a="1"/>
  <c r="M14" i="55" s="1"/>
  <c r="N25" i="55" a="1"/>
  <c r="N25" i="55" s="1"/>
  <c r="N102" i="55" a="1"/>
  <c r="N102" i="55" s="1"/>
  <c r="N91" i="55" a="1"/>
  <c r="N91" i="55" s="1"/>
  <c r="N93" i="55" a="1"/>
  <c r="N93" i="55" s="1"/>
  <c r="N90" i="55" a="1"/>
  <c r="N90" i="55" s="1"/>
  <c r="N79" i="55" a="1"/>
  <c r="N79" i="55" s="1"/>
  <c r="N43" i="55" a="1"/>
  <c r="N43" i="55" s="1"/>
  <c r="N33" i="55" a="1"/>
  <c r="N33" i="55" s="1"/>
  <c r="N46" i="55" a="1"/>
  <c r="N46" i="55" s="1"/>
  <c r="N34" i="55" a="1"/>
  <c r="N34" i="55" s="1"/>
  <c r="N11" i="55" a="1"/>
  <c r="N11" i="55" s="1"/>
  <c r="N36" i="55" a="1"/>
  <c r="N36" i="55" s="1"/>
  <c r="N16" i="55" a="1"/>
  <c r="N16" i="55" s="1"/>
  <c r="N74" i="55" a="1"/>
  <c r="N74" i="55" s="1"/>
  <c r="N14" i="55" a="1"/>
  <c r="N14" i="55" s="1"/>
  <c r="N87" i="55" a="1"/>
  <c r="N87" i="55" s="1"/>
  <c r="N80" i="55" a="1"/>
  <c r="N80" i="55" s="1"/>
  <c r="N18" i="55" a="1"/>
  <c r="N18" i="55" s="1"/>
  <c r="O18" i="55" s="1"/>
  <c r="N47" i="55" a="1"/>
  <c r="N47" i="55" s="1"/>
  <c r="O47" i="55" s="1"/>
  <c r="N63" i="55" a="1"/>
  <c r="N63" i="55" s="1"/>
  <c r="N22" i="55" a="1"/>
  <c r="N22" i="55" s="1"/>
  <c r="N89" i="55" a="1"/>
  <c r="N89" i="55" s="1"/>
  <c r="N82" i="55" a="1"/>
  <c r="N82" i="55" s="1"/>
  <c r="N37" i="55" a="1"/>
  <c r="N37" i="55" s="1"/>
  <c r="N30" i="55" a="1"/>
  <c r="N30" i="55" s="1"/>
  <c r="M62" i="55" a="1"/>
  <c r="M62" i="55" s="1"/>
  <c r="M61" i="55" a="1"/>
  <c r="M61" i="55" s="1"/>
  <c r="N27" i="55" a="1"/>
  <c r="N27" i="55" s="1"/>
  <c r="M77" i="55" a="1"/>
  <c r="M77" i="55" s="1"/>
  <c r="P76" i="55"/>
  <c r="S76" i="55" s="1"/>
  <c r="M75" i="55" a="1"/>
  <c r="M75" i="55" s="1"/>
  <c r="O75" i="55" s="1"/>
  <c r="N51" i="55" a="1"/>
  <c r="N51" i="55" s="1"/>
  <c r="N45" i="55" a="1"/>
  <c r="N45" i="55" s="1"/>
  <c r="N28" i="55" a="1"/>
  <c r="N28" i="55" s="1"/>
  <c r="P15" i="55"/>
  <c r="S15" i="55" s="1"/>
  <c r="M91" i="55" a="1"/>
  <c r="M91" i="55" s="1"/>
  <c r="P82" i="55"/>
  <c r="R82" i="55" s="1"/>
  <c r="P81" i="55"/>
  <c r="S81" i="55" s="1"/>
  <c r="M45" i="55" a="1"/>
  <c r="M45" i="55" s="1"/>
  <c r="N21" i="55" a="1"/>
  <c r="N21" i="55" s="1"/>
  <c r="M21" i="55" a="1"/>
  <c r="M21" i="55" s="1"/>
  <c r="M31" i="55" a="1"/>
  <c r="M31" i="55" s="1"/>
  <c r="O31" i="55" s="1"/>
  <c r="M92" i="55" a="1"/>
  <c r="M92" i="55" s="1"/>
  <c r="M89" i="55" a="1"/>
  <c r="M89" i="55" s="1"/>
  <c r="N86" i="55" a="1"/>
  <c r="N86" i="55" s="1"/>
  <c r="N83" i="55" a="1"/>
  <c r="N83" i="55" s="1"/>
  <c r="O83" i="55" s="1"/>
  <c r="N72" i="55" a="1"/>
  <c r="N72" i="55" s="1"/>
  <c r="O72" i="55" s="1"/>
  <c r="N71" i="55" a="1"/>
  <c r="N71" i="55" s="1"/>
  <c r="O71" i="55" s="1"/>
  <c r="N58" i="55" a="1"/>
  <c r="N58" i="55" s="1"/>
  <c r="N48" i="55" a="1"/>
  <c r="N48" i="55" s="1"/>
  <c r="N106" i="55" a="1"/>
  <c r="N106" i="55" s="1"/>
  <c r="N114" i="55" a="1"/>
  <c r="N114" i="55" s="1"/>
  <c r="N107" i="55" a="1"/>
  <c r="N107" i="55" s="1"/>
  <c r="N115" i="55" a="1"/>
  <c r="N115" i="55" s="1"/>
  <c r="N53" i="55" a="1"/>
  <c r="N53" i="55" s="1"/>
  <c r="N108" i="55" a="1"/>
  <c r="N108" i="55" s="1"/>
  <c r="N109" i="55" a="1"/>
  <c r="N109" i="55" s="1"/>
  <c r="N111" i="55" a="1"/>
  <c r="N111" i="55" s="1"/>
  <c r="N112" i="55" a="1"/>
  <c r="N112" i="55" s="1"/>
  <c r="N94" i="55" a="1"/>
  <c r="N94" i="55" s="1"/>
  <c r="N104" i="55" a="1"/>
  <c r="N104" i="55" s="1"/>
  <c r="N113" i="55" a="1"/>
  <c r="N113" i="55" s="1"/>
  <c r="N8" i="55" a="1"/>
  <c r="N8" i="55" s="1"/>
  <c r="N110" i="55" a="1"/>
  <c r="N110" i="55" s="1"/>
  <c r="N105" i="55" a="1"/>
  <c r="N105" i="55" s="1"/>
  <c r="N69" i="55" a="1"/>
  <c r="N69" i="55" s="1"/>
  <c r="N97" i="55" a="1"/>
  <c r="N97" i="55" s="1"/>
  <c r="M15" i="55" a="1"/>
  <c r="M15" i="55" s="1"/>
  <c r="M94" i="55" a="1"/>
  <c r="M94" i="55" s="1"/>
  <c r="M110" i="55" a="1"/>
  <c r="M110" i="55" s="1"/>
  <c r="O110" i="55" s="1"/>
  <c r="M115" i="55" a="1"/>
  <c r="M115" i="55" s="1"/>
  <c r="M97" i="55" a="1"/>
  <c r="M97" i="55" s="1"/>
  <c r="O97" i="55" s="1"/>
  <c r="M111" i="55" a="1"/>
  <c r="M111" i="55" s="1"/>
  <c r="O111" i="55" s="1"/>
  <c r="M108" i="55" a="1"/>
  <c r="M108" i="55" s="1"/>
  <c r="M109" i="55" a="1"/>
  <c r="M109" i="55" s="1"/>
  <c r="O109" i="55" s="1"/>
  <c r="M53" i="55" a="1"/>
  <c r="M53" i="55" s="1"/>
  <c r="M104" i="55" a="1"/>
  <c r="M104" i="55" s="1"/>
  <c r="O104" i="55" s="1"/>
  <c r="M112" i="55" a="1"/>
  <c r="M112" i="55" s="1"/>
  <c r="M113" i="55" a="1"/>
  <c r="M113" i="55" s="1"/>
  <c r="O113" i="55" s="1"/>
  <c r="M8" i="55" a="1"/>
  <c r="M8" i="55" s="1"/>
  <c r="O8" i="55" s="1"/>
  <c r="M69" i="55" a="1"/>
  <c r="M69" i="55" s="1"/>
  <c r="M105" i="55" a="1"/>
  <c r="M105" i="55" s="1"/>
  <c r="O105" i="55" s="1"/>
  <c r="M106" i="55" a="1"/>
  <c r="M106" i="55" s="1"/>
  <c r="M114" i="55" a="1"/>
  <c r="M114" i="55" s="1"/>
  <c r="O114" i="55" s="1"/>
  <c r="M107" i="55" a="1"/>
  <c r="M107" i="55" s="1"/>
  <c r="O107" i="55" s="1"/>
  <c r="N60" i="55" a="1"/>
  <c r="N60" i="55" s="1"/>
  <c r="O60" i="55" s="1"/>
  <c r="N41" i="55" a="1"/>
  <c r="N41" i="55" s="1"/>
  <c r="N40" i="55" a="1"/>
  <c r="N40" i="55" s="1"/>
  <c r="M38" i="55" a="1"/>
  <c r="M38" i="55" s="1"/>
  <c r="O38" i="55" s="1"/>
  <c r="G37" i="59"/>
  <c r="P80" i="55"/>
  <c r="S80" i="55" s="1"/>
  <c r="P71" i="55"/>
  <c r="S71" i="55" s="1"/>
  <c r="P78" i="55"/>
  <c r="S78" i="55" s="1"/>
  <c r="S63" i="55"/>
  <c r="Q12" i="26"/>
  <c r="Z12" i="26"/>
  <c r="U14" i="26"/>
  <c r="Y14" i="26"/>
  <c r="I14" i="26"/>
  <c r="K14" i="26"/>
  <c r="J14" i="26"/>
  <c r="N12" i="26"/>
  <c r="S12" i="26"/>
  <c r="O12" i="26"/>
  <c r="S14" i="26"/>
  <c r="X12" i="26"/>
  <c r="AE12" i="26"/>
  <c r="K12" i="26"/>
  <c r="AK14" i="26"/>
  <c r="AB14" i="26"/>
  <c r="C12" i="26"/>
  <c r="E12" i="26"/>
  <c r="AE14" i="26"/>
  <c r="P12" i="26"/>
  <c r="N14" i="26"/>
  <c r="Y12" i="26"/>
  <c r="AH12" i="26"/>
  <c r="AG12" i="26"/>
  <c r="H12" i="26"/>
  <c r="T14" i="26"/>
  <c r="D7" i="26"/>
  <c r="H119" i="55"/>
  <c r="H2" i="55"/>
  <c r="D6" i="26"/>
  <c r="E7" i="26"/>
  <c r="G2" i="55"/>
  <c r="G3" i="55"/>
  <c r="G119" i="55"/>
  <c r="H3" i="55" s="1"/>
  <c r="G120" i="55"/>
  <c r="R13" i="55"/>
  <c r="K36" i="55" a="1"/>
  <c r="K36" i="55" s="1"/>
  <c r="S92" i="55"/>
  <c r="T92" i="55" s="1"/>
  <c r="P83" i="55"/>
  <c r="R83" i="55" s="1"/>
  <c r="P27" i="55"/>
  <c r="R27" i="55" s="1"/>
  <c r="K79" i="55" a="1"/>
  <c r="K79" i="55" s="1"/>
  <c r="K76" i="55" a="1"/>
  <c r="K76" i="55" s="1"/>
  <c r="K33" i="55" a="1"/>
  <c r="K33" i="55" s="1"/>
  <c r="K99" i="55" a="1"/>
  <c r="K99" i="55" s="1"/>
  <c r="K85" i="55" a="1"/>
  <c r="K85" i="55" s="1"/>
  <c r="J119" i="55"/>
  <c r="O23" i="59"/>
  <c r="U23" i="59" s="1"/>
  <c r="P30" i="55"/>
  <c r="S30" i="55" s="1"/>
  <c r="P108" i="55"/>
  <c r="P87" i="55"/>
  <c r="S87" i="55" s="1"/>
  <c r="P95" i="55"/>
  <c r="S95" i="55" s="1"/>
  <c r="O6" i="59"/>
  <c r="O32" i="59"/>
  <c r="P49" i="55"/>
  <c r="S49" i="55" s="1"/>
  <c r="O10" i="59"/>
  <c r="O36" i="59"/>
  <c r="X143" i="53"/>
  <c r="G19" i="59"/>
  <c r="X148" i="53"/>
  <c r="G23" i="59"/>
  <c r="G21" i="59"/>
  <c r="AE143" i="53"/>
  <c r="O19" i="59"/>
  <c r="O21" i="59"/>
  <c r="X135" i="53"/>
  <c r="G24" i="59"/>
  <c r="M24" i="59" s="1"/>
  <c r="G11" i="59"/>
  <c r="AE135" i="53"/>
  <c r="O11" i="59"/>
  <c r="O24" i="59"/>
  <c r="S60" i="55"/>
  <c r="T60" i="55" s="1"/>
  <c r="AE132" i="53"/>
  <c r="O9" i="59"/>
  <c r="O22" i="59"/>
  <c r="P33" i="55"/>
  <c r="S33" i="55" s="1"/>
  <c r="G6" i="59"/>
  <c r="G32" i="59"/>
  <c r="G36" i="59"/>
  <c r="G10" i="59"/>
  <c r="AE7" i="53"/>
  <c r="P61" i="55"/>
  <c r="R61" i="55" s="1"/>
  <c r="X132" i="53"/>
  <c r="G22" i="59"/>
  <c r="G9" i="59"/>
  <c r="L9" i="59" s="1"/>
  <c r="P73" i="55"/>
  <c r="S73" i="55" s="1"/>
  <c r="O33" i="59"/>
  <c r="O7" i="59"/>
  <c r="X18" i="53"/>
  <c r="S86" i="55"/>
  <c r="N13" i="55" a="1"/>
  <c r="N13" i="55" s="1"/>
  <c r="N99" i="55" a="1"/>
  <c r="N99" i="55" s="1"/>
  <c r="O99" i="55" s="1"/>
  <c r="P115" i="55"/>
  <c r="S115" i="55" s="1"/>
  <c r="N62" i="55" a="1"/>
  <c r="N62" i="55" s="1"/>
  <c r="N54" i="55" a="1"/>
  <c r="N54" i="55" s="1"/>
  <c r="N65" i="55" a="1"/>
  <c r="N65" i="55" s="1"/>
  <c r="N64" i="55" a="1"/>
  <c r="N64" i="55" s="1"/>
  <c r="N2" i="55"/>
  <c r="N39" i="55" a="1"/>
  <c r="N39" i="55" s="1"/>
  <c r="O39" i="55" s="1"/>
  <c r="N76" i="55" a="1"/>
  <c r="N76" i="55" s="1"/>
  <c r="O76" i="55" s="1"/>
  <c r="N78" i="55" a="1"/>
  <c r="N78" i="55" s="1"/>
  <c r="N88" i="55" a="1"/>
  <c r="N88" i="55" s="1"/>
  <c r="N12" i="55" a="1"/>
  <c r="N12" i="55" s="1"/>
  <c r="O12" i="55" s="1"/>
  <c r="N119" i="55"/>
  <c r="N68" i="55" a="1"/>
  <c r="N68" i="55" s="1"/>
  <c r="N15" i="55" a="1"/>
  <c r="N15" i="55" s="1"/>
  <c r="N70" i="55" a="1"/>
  <c r="N70" i="55" s="1"/>
  <c r="O70" i="55" s="1"/>
  <c r="N84" i="55" a="1"/>
  <c r="N84" i="55" s="1"/>
  <c r="O84" i="55" s="1"/>
  <c r="N24" i="55" a="1"/>
  <c r="N24" i="55" s="1"/>
  <c r="P106" i="55"/>
  <c r="R106" i="55" s="1"/>
  <c r="P99" i="55"/>
  <c r="S99" i="55" s="1"/>
  <c r="P112" i="55"/>
  <c r="S112" i="55" s="1"/>
  <c r="T48" i="55"/>
  <c r="K119" i="55"/>
  <c r="I2" i="55"/>
  <c r="R19" i="55"/>
  <c r="T19" i="55" s="1"/>
  <c r="O37" i="59"/>
  <c r="U37" i="59"/>
  <c r="G4" i="59"/>
  <c r="O5" i="59"/>
  <c r="U5" i="59" s="1"/>
  <c r="K71" i="55" a="1"/>
  <c r="K71" i="55" s="1"/>
  <c r="K62" i="55" a="1"/>
  <c r="K62" i="55" s="1"/>
  <c r="O100" i="55"/>
  <c r="K108" i="55" a="1"/>
  <c r="K108" i="55" s="1"/>
  <c r="K87" i="55" a="1"/>
  <c r="K87" i="55" s="1"/>
  <c r="K65" i="55" a="1"/>
  <c r="K65" i="55" s="1"/>
  <c r="K75" i="55" a="1"/>
  <c r="K75" i="55" s="1"/>
  <c r="K102" i="55" a="1"/>
  <c r="K102" i="55" s="1"/>
  <c r="K83" i="55" a="1"/>
  <c r="K83" i="55" s="1"/>
  <c r="K100" i="55" a="1"/>
  <c r="K100" i="55" s="1"/>
  <c r="L13" i="55" a="1"/>
  <c r="L13" i="55" s="1"/>
  <c r="P14" i="55"/>
  <c r="R14" i="55" s="1"/>
  <c r="P44" i="55"/>
  <c r="S44" i="55" s="1"/>
  <c r="K47" i="55" a="1"/>
  <c r="K47" i="55" s="1"/>
  <c r="K15" i="55" a="1"/>
  <c r="K15" i="55" s="1"/>
  <c r="P9" i="55"/>
  <c r="S9" i="55" s="1"/>
  <c r="P93" i="55"/>
  <c r="R93" i="55" s="1"/>
  <c r="K27" i="55" a="1"/>
  <c r="K27" i="55" s="1"/>
  <c r="K26" i="55" a="1"/>
  <c r="K26" i="55" s="1"/>
  <c r="K92" i="55" a="1"/>
  <c r="K92" i="55" s="1"/>
  <c r="K82" i="55" a="1"/>
  <c r="K82" i="55" s="1"/>
  <c r="K32" i="55" a="1"/>
  <c r="K32" i="55" s="1"/>
  <c r="K30" i="55" a="1"/>
  <c r="K30" i="55" s="1"/>
  <c r="K9" i="55" a="1"/>
  <c r="K9" i="55" s="1"/>
  <c r="K42" i="55" a="1"/>
  <c r="K42" i="55" s="1"/>
  <c r="K22" i="55" a="1"/>
  <c r="K22" i="55" s="1"/>
  <c r="K115" i="55" a="1"/>
  <c r="K115" i="55" s="1"/>
  <c r="K39" i="55" a="1"/>
  <c r="K39" i="55" s="1"/>
  <c r="K37" i="55" a="1"/>
  <c r="K37" i="55" s="1"/>
  <c r="K86" i="55" a="1"/>
  <c r="K86" i="55" s="1"/>
  <c r="K39" i="59"/>
  <c r="R39" i="59"/>
  <c r="E13" i="59"/>
  <c r="N38" i="59"/>
  <c r="I39" i="59"/>
  <c r="R13" i="59"/>
  <c r="C39" i="59"/>
  <c r="K101" i="55" a="1"/>
  <c r="K101" i="55" s="1"/>
  <c r="S26" i="59"/>
  <c r="P26" i="59"/>
  <c r="I26" i="59"/>
  <c r="K26" i="59"/>
  <c r="E26" i="59"/>
  <c r="D39" i="59"/>
  <c r="T30" i="59"/>
  <c r="D26" i="59"/>
  <c r="J39" i="59"/>
  <c r="L25" i="59"/>
  <c r="N37" i="59"/>
  <c r="S39" i="59"/>
  <c r="V18" i="59"/>
  <c r="R26" i="59"/>
  <c r="N18" i="59"/>
  <c r="J13" i="59"/>
  <c r="C26" i="59"/>
  <c r="D13" i="59"/>
  <c r="T37" i="59"/>
  <c r="I13" i="59"/>
  <c r="N13" i="59" s="1"/>
  <c r="Q13" i="59"/>
  <c r="L5" i="59"/>
  <c r="N4" i="59"/>
  <c r="N5" i="59"/>
  <c r="K13" i="59"/>
  <c r="S13" i="59"/>
  <c r="J26" i="59"/>
  <c r="H39" i="59"/>
  <c r="Q26" i="59"/>
  <c r="P39" i="59"/>
  <c r="V5" i="59"/>
  <c r="H13" i="59"/>
  <c r="P13" i="59"/>
  <c r="N17" i="59"/>
  <c r="E39" i="59"/>
  <c r="N30" i="59"/>
  <c r="Q39" i="59"/>
  <c r="L12" i="59"/>
  <c r="F4" i="59"/>
  <c r="V25" i="59"/>
  <c r="C13" i="59"/>
  <c r="F30" i="59"/>
  <c r="V30" i="59"/>
  <c r="F37" i="59"/>
  <c r="V17" i="59"/>
  <c r="U30" i="59"/>
  <c r="H26" i="59"/>
  <c r="L30" i="59"/>
  <c r="M5" i="59"/>
  <c r="R42" i="55"/>
  <c r="V38" i="59"/>
  <c r="V4" i="59"/>
  <c r="F38" i="59"/>
  <c r="F17" i="59"/>
  <c r="P70" i="55"/>
  <c r="R70" i="55" s="1"/>
  <c r="R22" i="55"/>
  <c r="T22" i="55" s="1"/>
  <c r="R96" i="55"/>
  <c r="T96" i="55" s="1"/>
  <c r="F18" i="59"/>
  <c r="S42" i="55"/>
  <c r="P100" i="55"/>
  <c r="S100" i="55" s="1"/>
  <c r="T56" i="55"/>
  <c r="F5" i="59"/>
  <c r="V37" i="59"/>
  <c r="R53" i="55"/>
  <c r="T53" i="55" s="1"/>
  <c r="K14" i="55" a="1"/>
  <c r="K14" i="55" s="1"/>
  <c r="T31" i="55"/>
  <c r="K80" i="55" a="1"/>
  <c r="K80" i="55" s="1"/>
  <c r="K61" i="55" a="1"/>
  <c r="K61" i="55" s="1"/>
  <c r="B26" i="59"/>
  <c r="V26" i="59" s="1"/>
  <c r="B13" i="59"/>
  <c r="V13" i="59" s="1"/>
  <c r="T25" i="59"/>
  <c r="B39" i="59"/>
  <c r="V12" i="59"/>
  <c r="F12" i="59"/>
  <c r="T114" i="55"/>
  <c r="T41" i="55"/>
  <c r="L28" i="55" a="1"/>
  <c r="L28" i="55" s="1"/>
  <c r="N35" i="55" a="1"/>
  <c r="N35" i="55" s="1"/>
  <c r="K69" i="55" a="1"/>
  <c r="K69" i="55" s="1"/>
  <c r="R12" i="55"/>
  <c r="T12" i="55" s="1"/>
  <c r="P36" i="55"/>
  <c r="S36" i="55" s="1"/>
  <c r="K53" i="55" a="1"/>
  <c r="K53" i="55" s="1"/>
  <c r="R26" i="55"/>
  <c r="O17" i="59"/>
  <c r="U17" i="59" s="1"/>
  <c r="G18" i="59"/>
  <c r="L18" i="59"/>
  <c r="T66" i="55"/>
  <c r="T105" i="55"/>
  <c r="L74" i="55" a="1"/>
  <c r="L74" i="55" s="1"/>
  <c r="P40" i="55"/>
  <c r="S40" i="55" s="1"/>
  <c r="P24" i="55"/>
  <c r="R24" i="55" s="1"/>
  <c r="T68" i="55"/>
  <c r="T8" i="55"/>
  <c r="AE148" i="53"/>
  <c r="L97" i="55" a="1"/>
  <c r="L97" i="55" s="1"/>
  <c r="K97" i="55" a="1"/>
  <c r="K97" i="55" s="1"/>
  <c r="K91" i="55" a="1"/>
  <c r="K91" i="55" s="1"/>
  <c r="R72" i="55"/>
  <c r="S72" i="55"/>
  <c r="R89" i="55"/>
  <c r="S89" i="55"/>
  <c r="S45" i="55"/>
  <c r="R17" i="55"/>
  <c r="S17" i="55"/>
  <c r="P62" i="55"/>
  <c r="R62" i="55" s="1"/>
  <c r="R23" i="55"/>
  <c r="T23" i="55" s="1"/>
  <c r="P18" i="55"/>
  <c r="R18" i="55" s="1"/>
  <c r="P88" i="55"/>
  <c r="R88" i="55" s="1"/>
  <c r="P37" i="55"/>
  <c r="S37" i="55" s="1"/>
  <c r="S10" i="55"/>
  <c r="K11" i="55" a="1"/>
  <c r="K11" i="55" s="1"/>
  <c r="K49" i="55" a="1"/>
  <c r="K49" i="55" s="1"/>
  <c r="P79" i="55"/>
  <c r="S79" i="55" s="1"/>
  <c r="G17" i="59"/>
  <c r="G26" i="59" s="1"/>
  <c r="K112" i="55" a="1"/>
  <c r="K112" i="55" s="1"/>
  <c r="P32" i="55"/>
  <c r="R32" i="55" s="1"/>
  <c r="P55" i="55"/>
  <c r="R55" i="55" s="1"/>
  <c r="T16" i="55"/>
  <c r="M37" i="59"/>
  <c r="L37" i="59"/>
  <c r="M30" i="59"/>
  <c r="L52" i="55" a="1"/>
  <c r="L52" i="55" s="1"/>
  <c r="K52" i="55" a="1"/>
  <c r="K52" i="55" s="1"/>
  <c r="K41" i="55" a="1"/>
  <c r="K41" i="55" s="1"/>
  <c r="L41" i="55" a="1"/>
  <c r="L41" i="55" s="1"/>
  <c r="K107" i="55" a="1"/>
  <c r="K107" i="55" s="1"/>
  <c r="L107" i="55" a="1"/>
  <c r="L107" i="55" s="1"/>
  <c r="K77" i="55" a="1"/>
  <c r="K77" i="55" s="1"/>
  <c r="L67" i="55" a="1"/>
  <c r="L67" i="55" s="1"/>
  <c r="K67" i="55" a="1"/>
  <c r="K67" i="55" s="1"/>
  <c r="L98" i="55" a="1"/>
  <c r="L98" i="55" s="1"/>
  <c r="K98" i="55" a="1"/>
  <c r="K98" i="55" s="1"/>
  <c r="L57" i="55" a="1"/>
  <c r="L57" i="55" s="1"/>
  <c r="K57" i="55" a="1"/>
  <c r="K57" i="55" s="1"/>
  <c r="L48" i="55" a="1"/>
  <c r="L48" i="55" s="1"/>
  <c r="K48" i="55" a="1"/>
  <c r="K48" i="55" s="1"/>
  <c r="K38" i="55" a="1"/>
  <c r="K38" i="55" s="1"/>
  <c r="L38" i="55" a="1"/>
  <c r="L38" i="55" s="1"/>
  <c r="K56" i="55" a="1"/>
  <c r="K56" i="55" s="1"/>
  <c r="L56" i="55" a="1"/>
  <c r="L56" i="55" s="1"/>
  <c r="L25" i="55" a="1"/>
  <c r="L25" i="55" s="1"/>
  <c r="K25" i="55" a="1"/>
  <c r="K25" i="55" s="1"/>
  <c r="L103" i="55" a="1"/>
  <c r="L103" i="55" s="1"/>
  <c r="K103" i="55" a="1"/>
  <c r="K103" i="55" s="1"/>
  <c r="F24" i="60"/>
  <c r="F25" i="60" s="1"/>
  <c r="G25" i="60" s="1"/>
  <c r="G23" i="60"/>
  <c r="P47" i="55"/>
  <c r="R47" i="55" s="1"/>
  <c r="O18" i="59"/>
  <c r="L109" i="55" a="1"/>
  <c r="L109" i="55" s="1"/>
  <c r="P21" i="55"/>
  <c r="S21" i="55" s="1"/>
  <c r="AI14" i="26"/>
  <c r="L12" i="26"/>
  <c r="AF14" i="26"/>
  <c r="V14" i="26"/>
  <c r="AA12" i="26"/>
  <c r="AK12" i="26"/>
  <c r="P85" i="55"/>
  <c r="S85" i="55" s="1"/>
  <c r="K16" i="55" a="1"/>
  <c r="K16" i="55" s="1"/>
  <c r="L16" i="55" a="1"/>
  <c r="L16" i="55" s="1"/>
  <c r="P84" i="55"/>
  <c r="S84" i="55" s="1"/>
  <c r="P69" i="55"/>
  <c r="S69" i="55" s="1"/>
  <c r="AJ14" i="26"/>
  <c r="G12" i="26"/>
  <c r="I12" i="26"/>
  <c r="W14" i="26"/>
  <c r="AL12" i="26"/>
  <c r="K113" i="55" a="1"/>
  <c r="K113" i="55" s="1"/>
  <c r="L34" i="55" a="1"/>
  <c r="L34" i="55" s="1"/>
  <c r="H14" i="26"/>
  <c r="F12" i="26"/>
  <c r="J12" i="26"/>
  <c r="X14" i="26"/>
  <c r="B6" i="26"/>
  <c r="P101" i="55"/>
  <c r="S101" i="55" s="1"/>
  <c r="K18" i="55" a="1"/>
  <c r="K18" i="55" s="1"/>
  <c r="K58" i="55" a="1"/>
  <c r="K58" i="55" s="1"/>
  <c r="K23" i="55" a="1"/>
  <c r="K23" i="55" s="1"/>
  <c r="M14" i="26"/>
  <c r="L14" i="26"/>
  <c r="AD12" i="26"/>
  <c r="D12" i="26"/>
  <c r="AL14" i="26"/>
  <c r="K43" i="55" a="1"/>
  <c r="K43" i="55" s="1"/>
  <c r="L43" i="55" a="1"/>
  <c r="L43" i="55" s="1"/>
  <c r="J2" i="55"/>
  <c r="L90" i="55" a="1"/>
  <c r="L90" i="55" s="1"/>
  <c r="K90" i="55" a="1"/>
  <c r="K90" i="55" s="1"/>
  <c r="P7" i="55"/>
  <c r="R7" i="55" s="1"/>
  <c r="W12" i="26"/>
  <c r="AD14" i="26"/>
  <c r="G14" i="26"/>
  <c r="AC12" i="26"/>
  <c r="K35" i="55" a="1"/>
  <c r="K35" i="55" s="1"/>
  <c r="L35" i="55" a="1"/>
  <c r="L35" i="55" s="1"/>
  <c r="P102" i="55"/>
  <c r="R102" i="55" s="1"/>
  <c r="AE151" i="53"/>
  <c r="P94" i="55"/>
  <c r="R94" i="55" s="1"/>
  <c r="P91" i="55"/>
  <c r="S91" i="55" s="1"/>
  <c r="T23" i="59"/>
  <c r="R87" i="55"/>
  <c r="T87" i="55" s="1"/>
  <c r="S61" i="55"/>
  <c r="M6" i="59"/>
  <c r="L6" i="59"/>
  <c r="L24" i="59"/>
  <c r="M19" i="59"/>
  <c r="L19" i="59"/>
  <c r="U24" i="59"/>
  <c r="T24" i="59"/>
  <c r="U21" i="59"/>
  <c r="T21" i="59"/>
  <c r="U36" i="59"/>
  <c r="T36" i="59"/>
  <c r="U11" i="59"/>
  <c r="T11" i="59"/>
  <c r="U19" i="59"/>
  <c r="T19" i="59"/>
  <c r="U10" i="59"/>
  <c r="T10" i="59"/>
  <c r="M9" i="59"/>
  <c r="U22" i="59"/>
  <c r="T22" i="59"/>
  <c r="U7" i="59"/>
  <c r="T7" i="59"/>
  <c r="M22" i="59"/>
  <c r="L22" i="59"/>
  <c r="L10" i="59"/>
  <c r="M10" i="59"/>
  <c r="U9" i="59"/>
  <c r="T9" i="59"/>
  <c r="M21" i="59"/>
  <c r="L21" i="59"/>
  <c r="U32" i="59"/>
  <c r="T32" i="59"/>
  <c r="M36" i="59"/>
  <c r="L36" i="59"/>
  <c r="M23" i="59"/>
  <c r="L23" i="59"/>
  <c r="U6" i="59"/>
  <c r="T6" i="59"/>
  <c r="M32" i="59"/>
  <c r="L32" i="59"/>
  <c r="L11" i="59"/>
  <c r="M11" i="59"/>
  <c r="T5" i="59"/>
  <c r="N39" i="59"/>
  <c r="M18" i="59"/>
  <c r="M17" i="59"/>
  <c r="R79" i="55"/>
  <c r="T18" i="59"/>
  <c r="U18" i="59"/>
  <c r="G24" i="60"/>
  <c r="F26" i="60"/>
  <c r="G26" i="60" s="1"/>
  <c r="F27" i="60"/>
  <c r="F28" i="60" s="1"/>
  <c r="D10" i="57"/>
  <c r="D6" i="57"/>
  <c r="D8" i="57"/>
  <c r="D12" i="57"/>
  <c r="D5" i="57"/>
  <c r="D7" i="57"/>
  <c r="D11" i="57"/>
  <c r="D9" i="57"/>
  <c r="O49" i="55" l="1"/>
  <c r="O80" i="55"/>
  <c r="H120" i="55"/>
  <c r="R44" i="55"/>
  <c r="R45" i="55"/>
  <c r="O37" i="55"/>
  <c r="O82" i="55"/>
  <c r="T98" i="55"/>
  <c r="R15" i="55"/>
  <c r="T15" i="55" s="1"/>
  <c r="O77" i="55"/>
  <c r="O7" i="55"/>
  <c r="O27" i="55"/>
  <c r="O69" i="55"/>
  <c r="K73" i="55" a="1"/>
  <c r="K73" i="55" s="1"/>
  <c r="T89" i="55"/>
  <c r="R73" i="55"/>
  <c r="T73" i="55" s="1"/>
  <c r="R99" i="55"/>
  <c r="S83" i="55"/>
  <c r="T83" i="55" s="1"/>
  <c r="O95" i="55"/>
  <c r="T72" i="55"/>
  <c r="S82" i="55"/>
  <c r="T82" i="55" s="1"/>
  <c r="O53" i="55"/>
  <c r="O96" i="55"/>
  <c r="T52" i="55"/>
  <c r="T42" i="55"/>
  <c r="T43" i="55"/>
  <c r="T63" i="55"/>
  <c r="S62" i="55"/>
  <c r="T62" i="55" s="1"/>
  <c r="R71" i="55"/>
  <c r="T71" i="55" s="1"/>
  <c r="O32" i="55"/>
  <c r="O42" i="55"/>
  <c r="T28" i="55"/>
  <c r="R40" i="55"/>
  <c r="T40" i="55" s="1"/>
  <c r="R76" i="55"/>
  <c r="T76" i="55" s="1"/>
  <c r="K70" i="55" a="1"/>
  <c r="K70" i="55" s="1"/>
  <c r="S14" i="55"/>
  <c r="T14" i="55" s="1"/>
  <c r="T109" i="55"/>
  <c r="T35" i="55"/>
  <c r="L51" i="55" a="1"/>
  <c r="L51" i="55" s="1"/>
  <c r="K51" i="55" a="1"/>
  <c r="K51" i="55" s="1"/>
  <c r="R85" i="55"/>
  <c r="T85" i="55" s="1"/>
  <c r="T38" i="55"/>
  <c r="T29" i="55"/>
  <c r="K89" i="55" a="1"/>
  <c r="K89" i="55" s="1"/>
  <c r="T11" i="55"/>
  <c r="O45" i="55"/>
  <c r="S18" i="55"/>
  <c r="T18" i="55" s="1"/>
  <c r="T78" i="55"/>
  <c r="T90" i="55"/>
  <c r="K63" i="55" a="1"/>
  <c r="K63" i="55" s="1"/>
  <c r="L63" i="55" a="1"/>
  <c r="L63" i="55" s="1"/>
  <c r="L110" i="55" a="1"/>
  <c r="L110" i="55" s="1"/>
  <c r="K110" i="55" a="1"/>
  <c r="K110" i="55" s="1"/>
  <c r="L8" i="55" a="1"/>
  <c r="L8" i="55" s="1"/>
  <c r="K8" i="55" a="1"/>
  <c r="K8" i="55" s="1"/>
  <c r="T44" i="55"/>
  <c r="K72" i="55" a="1"/>
  <c r="K72" i="55" s="1"/>
  <c r="O101" i="55"/>
  <c r="T58" i="55"/>
  <c r="K40" i="55" a="1"/>
  <c r="K40" i="55" s="1"/>
  <c r="T34" i="55"/>
  <c r="T17" i="55"/>
  <c r="O88" i="55"/>
  <c r="O21" i="55"/>
  <c r="T75" i="55"/>
  <c r="K106" i="55" a="1"/>
  <c r="K106" i="55" s="1"/>
  <c r="T110" i="55"/>
  <c r="T46" i="55"/>
  <c r="T74" i="55"/>
  <c r="K96" i="55" a="1"/>
  <c r="K96" i="55" s="1"/>
  <c r="R33" i="55"/>
  <c r="T33" i="55" s="1"/>
  <c r="T64" i="55"/>
  <c r="R101" i="55"/>
  <c r="T101" i="55" s="1"/>
  <c r="S93" i="55"/>
  <c r="T93" i="55" s="1"/>
  <c r="O15" i="55"/>
  <c r="O33" i="55"/>
  <c r="T111" i="55"/>
  <c r="K44" i="55" a="1"/>
  <c r="K44" i="55" s="1"/>
  <c r="T20" i="55"/>
  <c r="L64" i="55" a="1"/>
  <c r="L64" i="55" s="1"/>
  <c r="K64" i="55" a="1"/>
  <c r="K64" i="55" s="1"/>
  <c r="K68" i="55" a="1"/>
  <c r="K68" i="55" s="1"/>
  <c r="L68" i="55" a="1"/>
  <c r="L68" i="55" s="1"/>
  <c r="K111" i="55" a="1"/>
  <c r="K111" i="55" s="1"/>
  <c r="L111" i="55" a="1"/>
  <c r="L111" i="55" s="1"/>
  <c r="K29" i="55" a="1"/>
  <c r="K29" i="55" s="1"/>
  <c r="L29" i="55" a="1"/>
  <c r="L29" i="55" s="1"/>
  <c r="R91" i="55"/>
  <c r="T91" i="55" s="1"/>
  <c r="O91" i="55"/>
  <c r="O22" i="55"/>
  <c r="O30" i="55"/>
  <c r="T65" i="55"/>
  <c r="K95" i="55" a="1"/>
  <c r="K95" i="55" s="1"/>
  <c r="K84" i="55" a="1"/>
  <c r="K84" i="55" s="1"/>
  <c r="O115" i="55"/>
  <c r="T67" i="55"/>
  <c r="R84" i="55"/>
  <c r="T84" i="55" s="1"/>
  <c r="T13" i="55"/>
  <c r="T57" i="55"/>
  <c r="R69" i="55"/>
  <c r="T69" i="55" s="1"/>
  <c r="S102" i="55"/>
  <c r="T102" i="55" s="1"/>
  <c r="S32" i="55"/>
  <c r="T32" i="55" s="1"/>
  <c r="R115" i="55"/>
  <c r="T115" i="55" s="1"/>
  <c r="R49" i="55"/>
  <c r="T49" i="55" s="1"/>
  <c r="S24" i="55"/>
  <c r="O106" i="55"/>
  <c r="O94" i="55"/>
  <c r="O36" i="55"/>
  <c r="K24" i="55" a="1"/>
  <c r="K24" i="55" s="1"/>
  <c r="T79" i="55"/>
  <c r="R100" i="55"/>
  <c r="T100" i="55" s="1"/>
  <c r="O44" i="55"/>
  <c r="T50" i="55"/>
  <c r="T10" i="55"/>
  <c r="K88" i="55" a="1"/>
  <c r="K88" i="55" s="1"/>
  <c r="O89" i="55"/>
  <c r="O9" i="55"/>
  <c r="T113" i="55"/>
  <c r="T99" i="55"/>
  <c r="O92" i="55"/>
  <c r="T59" i="55"/>
  <c r="T51" i="55"/>
  <c r="T26" i="55"/>
  <c r="T107" i="55"/>
  <c r="O93" i="55"/>
  <c r="O87" i="55"/>
  <c r="L54" i="55" a="1"/>
  <c r="L54" i="55" s="1"/>
  <c r="K54" i="55" a="1"/>
  <c r="K54" i="55" s="1"/>
  <c r="O102" i="55"/>
  <c r="T103" i="55"/>
  <c r="L31" i="55" a="1"/>
  <c r="L31" i="55" s="1"/>
  <c r="K31" i="55" a="1"/>
  <c r="K31" i="55" s="1"/>
  <c r="K114" i="55" a="1"/>
  <c r="K114" i="55" s="1"/>
  <c r="L114" i="55" a="1"/>
  <c r="L114" i="55" s="1"/>
  <c r="L46" i="55" a="1"/>
  <c r="L46" i="55" s="1"/>
  <c r="K46" i="55" a="1"/>
  <c r="K46" i="55" s="1"/>
  <c r="O79" i="55"/>
  <c r="K59" i="55" a="1"/>
  <c r="K59" i="55" s="1"/>
  <c r="L59" i="55" a="1"/>
  <c r="L59" i="55" s="1"/>
  <c r="L66" i="55" a="1"/>
  <c r="L66" i="55" s="1"/>
  <c r="K66" i="55" a="1"/>
  <c r="K66" i="55" s="1"/>
  <c r="K10" i="55" a="1"/>
  <c r="K10" i="55" s="1"/>
  <c r="L10" i="55" a="1"/>
  <c r="L10" i="55" s="1"/>
  <c r="T25" i="55"/>
  <c r="K104" i="55" a="1"/>
  <c r="K104" i="55" s="1"/>
  <c r="L104" i="55" a="1"/>
  <c r="L104" i="55" s="1"/>
  <c r="L20" i="55" a="1"/>
  <c r="L20" i="55" s="1"/>
  <c r="K20" i="55" a="1"/>
  <c r="K20" i="55" s="1"/>
  <c r="L105" i="55" a="1"/>
  <c r="L105" i="55" s="1"/>
  <c r="K105" i="55" a="1"/>
  <c r="K105" i="55" s="1"/>
  <c r="K78" i="55" a="1"/>
  <c r="K78" i="55" s="1"/>
  <c r="L78" i="55" a="1"/>
  <c r="L78" i="55" s="1"/>
  <c r="T61" i="55"/>
  <c r="S47" i="55"/>
  <c r="T47" i="55" s="1"/>
  <c r="R9" i="55"/>
  <c r="T9" i="55" s="1"/>
  <c r="O55" i="55"/>
  <c r="O62" i="55"/>
  <c r="O61" i="55"/>
  <c r="R36" i="55"/>
  <c r="T36" i="55" s="1"/>
  <c r="O19" i="55"/>
  <c r="R30" i="55"/>
  <c r="T30" i="55" s="1"/>
  <c r="T24" i="55"/>
  <c r="S106" i="55"/>
  <c r="T106" i="55" s="1"/>
  <c r="O85" i="55"/>
  <c r="O81" i="55"/>
  <c r="O24" i="55"/>
  <c r="S7" i="55"/>
  <c r="T7" i="55" s="1"/>
  <c r="S70" i="55"/>
  <c r="T70" i="55" s="1"/>
  <c r="S27" i="55"/>
  <c r="T27" i="55" s="1"/>
  <c r="T45" i="55"/>
  <c r="R81" i="55"/>
  <c r="T81" i="55" s="1"/>
  <c r="O14" i="55"/>
  <c r="D13" i="57"/>
  <c r="E5" i="57"/>
  <c r="E6" i="57" s="1"/>
  <c r="E7" i="57" s="1"/>
  <c r="E8" i="57" s="1"/>
  <c r="E9" i="57" s="1"/>
  <c r="E10" i="57" s="1"/>
  <c r="E11" i="57" s="1"/>
  <c r="E12" i="57" s="1"/>
  <c r="L26" i="59"/>
  <c r="M26" i="59"/>
  <c r="G28" i="60"/>
  <c r="F29" i="60"/>
  <c r="V39" i="59"/>
  <c r="M4" i="59"/>
  <c r="P2" i="53"/>
  <c r="L55" i="55" a="1"/>
  <c r="L55" i="55" s="1"/>
  <c r="L115" i="55" a="1"/>
  <c r="L115" i="55" s="1"/>
  <c r="L81" i="55" a="1"/>
  <c r="L81" i="55" s="1"/>
  <c r="L100" i="55" a="1"/>
  <c r="L100" i="55" s="1"/>
  <c r="L14" i="55" a="1"/>
  <c r="L14" i="55" s="1"/>
  <c r="AE20" i="53"/>
  <c r="O4" i="59"/>
  <c r="Z2" i="53"/>
  <c r="S77" i="55"/>
  <c r="R77" i="55"/>
  <c r="T77" i="55" s="1"/>
  <c r="P39" i="55"/>
  <c r="O34" i="59"/>
  <c r="O8" i="59"/>
  <c r="G34" i="59"/>
  <c r="G8" i="59"/>
  <c r="S2" i="53"/>
  <c r="G33" i="59"/>
  <c r="G7" i="59"/>
  <c r="K50" i="55" a="1"/>
  <c r="K50" i="55" s="1"/>
  <c r="L50" i="55" a="1"/>
  <c r="L50" i="55" s="1"/>
  <c r="O119" i="55"/>
  <c r="O2" i="55"/>
  <c r="G27" i="60"/>
  <c r="R21" i="55"/>
  <c r="T21" i="55" s="1"/>
  <c r="S88" i="55"/>
  <c r="T88" i="55" s="1"/>
  <c r="R37" i="55"/>
  <c r="T37" i="55" s="1"/>
  <c r="S94" i="55"/>
  <c r="T94" i="55" s="1"/>
  <c r="R112" i="55"/>
  <c r="T112" i="55" s="1"/>
  <c r="R95" i="55"/>
  <c r="T95" i="55" s="1"/>
  <c r="O26" i="59"/>
  <c r="T17" i="59"/>
  <c r="N26" i="59"/>
  <c r="F7" i="26"/>
  <c r="E6" i="26"/>
  <c r="S55" i="55"/>
  <c r="T55" i="55" s="1"/>
  <c r="T33" i="59"/>
  <c r="L17" i="59"/>
  <c r="L4" i="59"/>
  <c r="U33" i="59"/>
  <c r="R80" i="55"/>
  <c r="T80" i="55" s="1"/>
  <c r="O112" i="55"/>
  <c r="O40" i="55"/>
  <c r="T86" i="55"/>
  <c r="P158" i="53"/>
  <c r="Z158" i="53"/>
  <c r="G115" i="53"/>
  <c r="G111" i="53"/>
  <c r="G9" i="53"/>
  <c r="G124" i="53"/>
  <c r="G118" i="53"/>
  <c r="AF12" i="26"/>
  <c r="AC14" i="26"/>
  <c r="T12" i="26"/>
  <c r="R14" i="26"/>
  <c r="G2" i="26"/>
  <c r="AJ12" i="26"/>
  <c r="G70" i="53"/>
  <c r="G74" i="53"/>
  <c r="G11" i="53"/>
  <c r="G110" i="53"/>
  <c r="G20" i="53"/>
  <c r="G28" i="53"/>
  <c r="G36" i="53"/>
  <c r="G44" i="53"/>
  <c r="G52" i="53"/>
  <c r="G60" i="53"/>
  <c r="G116" i="53"/>
  <c r="G22" i="53"/>
  <c r="G30" i="53"/>
  <c r="G38" i="53"/>
  <c r="G46" i="53"/>
  <c r="G54" i="53"/>
  <c r="G62" i="53"/>
  <c r="G7" i="53"/>
  <c r="G8" i="53"/>
  <c r="G24" i="53"/>
  <c r="G32" i="53"/>
  <c r="G40" i="53"/>
  <c r="G48" i="53"/>
  <c r="G56" i="53"/>
  <c r="G64" i="53"/>
  <c r="G112" i="53"/>
  <c r="G18" i="53"/>
  <c r="G26" i="53"/>
  <c r="G34" i="53"/>
  <c r="G42" i="53"/>
  <c r="G50" i="53"/>
  <c r="G58" i="53"/>
  <c r="G66" i="53"/>
  <c r="S158" i="53"/>
  <c r="AG14" i="26"/>
  <c r="AA14" i="26"/>
  <c r="AH14" i="26"/>
  <c r="O14" i="26"/>
  <c r="R12" i="26"/>
  <c r="F6" i="59"/>
  <c r="L35" i="59"/>
  <c r="V21" i="59"/>
  <c r="G6" i="53"/>
  <c r="G138" i="53"/>
  <c r="G122" i="53"/>
  <c r="G90" i="53"/>
  <c r="G82" i="53"/>
  <c r="G10" i="53"/>
  <c r="AE6" i="53"/>
  <c r="G137" i="53"/>
  <c r="G121" i="53"/>
  <c r="G113" i="53"/>
  <c r="G105" i="53"/>
  <c r="G89" i="53"/>
  <c r="G81" i="53"/>
  <c r="G65" i="53"/>
  <c r="G57" i="53"/>
  <c r="G49" i="53"/>
  <c r="G41" i="53"/>
  <c r="G33" i="53"/>
  <c r="G25" i="53"/>
  <c r="G17" i="53"/>
  <c r="G152" i="53"/>
  <c r="G136" i="53"/>
  <c r="G88" i="53"/>
  <c r="G80" i="53"/>
  <c r="G72" i="53"/>
  <c r="G135" i="53"/>
  <c r="G87" i="53"/>
  <c r="G71" i="53"/>
  <c r="G63" i="53"/>
  <c r="G55" i="53"/>
  <c r="G47" i="53"/>
  <c r="G39" i="53"/>
  <c r="G31" i="53"/>
  <c r="G23" i="53"/>
  <c r="G150" i="53"/>
  <c r="G86" i="53"/>
  <c r="F8" i="59"/>
  <c r="G125" i="53"/>
  <c r="G109" i="53"/>
  <c r="G93" i="53"/>
  <c r="G85" i="53"/>
  <c r="G61" i="53"/>
  <c r="G53" i="53"/>
  <c r="G45" i="53"/>
  <c r="G37" i="53"/>
  <c r="G29" i="53"/>
  <c r="G21" i="53"/>
  <c r="G140" i="53"/>
  <c r="G92" i="53"/>
  <c r="G91" i="53"/>
  <c r="G59" i="53"/>
  <c r="G51" i="53"/>
  <c r="G43" i="53"/>
  <c r="G35" i="53"/>
  <c r="G27" i="53"/>
  <c r="U8" i="59" l="1"/>
  <c r="T8" i="59"/>
  <c r="X2" i="53"/>
  <c r="X158" i="53"/>
  <c r="S39" i="55"/>
  <c r="R39" i="55"/>
  <c r="F6" i="26"/>
  <c r="G7" i="26"/>
  <c r="G39" i="59"/>
  <c r="M33" i="59"/>
  <c r="L33" i="59"/>
  <c r="P119" i="55"/>
  <c r="AE2" i="53"/>
  <c r="P2" i="55"/>
  <c r="AE158" i="53"/>
  <c r="U26" i="59"/>
  <c r="T26" i="59"/>
  <c r="L8" i="59"/>
  <c r="M8" i="59"/>
  <c r="T4" i="59"/>
  <c r="O13" i="59"/>
  <c r="U4" i="59"/>
  <c r="U34" i="59"/>
  <c r="T34" i="59"/>
  <c r="O39" i="59"/>
  <c r="M7" i="59"/>
  <c r="L7" i="59"/>
  <c r="G29" i="60"/>
  <c r="F30" i="60"/>
  <c r="L119" i="55"/>
  <c r="L45" i="55" a="1"/>
  <c r="L45" i="55" s="1"/>
  <c r="L108" i="55" a="1"/>
  <c r="L108" i="55" s="1"/>
  <c r="L44" i="55" a="1"/>
  <c r="L44" i="55" s="1"/>
  <c r="L39" i="55" a="1"/>
  <c r="L39" i="55" s="1"/>
  <c r="L96" i="55" a="1"/>
  <c r="L96" i="55" s="1"/>
  <c r="L94" i="55" a="1"/>
  <c r="L94" i="55" s="1"/>
  <c r="L37" i="55" a="1"/>
  <c r="L37" i="55" s="1"/>
  <c r="L99" i="55" a="1"/>
  <c r="L99" i="55" s="1"/>
  <c r="L88" i="55" a="1"/>
  <c r="L88" i="55" s="1"/>
  <c r="L112" i="55" a="1"/>
  <c r="L112" i="55" s="1"/>
  <c r="L72" i="55" a="1"/>
  <c r="L72" i="55" s="1"/>
  <c r="L91" i="55" a="1"/>
  <c r="L91" i="55" s="1"/>
  <c r="L85" i="55" a="1"/>
  <c r="L85" i="55" s="1"/>
  <c r="L102" i="55" a="1"/>
  <c r="L102" i="55" s="1"/>
  <c r="L40" i="55" a="1"/>
  <c r="L40" i="55" s="1"/>
  <c r="L84" i="55" a="1"/>
  <c r="L84" i="55" s="1"/>
  <c r="F13" i="59" a="1"/>
  <c r="F13" i="59" s="1"/>
  <c r="L101" i="55" a="1"/>
  <c r="L101" i="55" s="1"/>
  <c r="L17" i="55" a="1"/>
  <c r="L17" i="55" s="1"/>
  <c r="L106" i="55" a="1"/>
  <c r="L106" i="55" s="1"/>
  <c r="L53" i="55" a="1"/>
  <c r="L53" i="55" s="1"/>
  <c r="L60" i="55" a="1"/>
  <c r="L60" i="55" s="1"/>
  <c r="L62" i="55" a="1"/>
  <c r="L62" i="55" s="1"/>
  <c r="L27" i="55" a="1"/>
  <c r="L27" i="55" s="1"/>
  <c r="L87" i="55" a="1"/>
  <c r="L87" i="55" s="1"/>
  <c r="L2" i="55"/>
  <c r="L95" i="55" a="1"/>
  <c r="L95" i="55" s="1"/>
  <c r="L70" i="55" a="1"/>
  <c r="L70" i="55" s="1"/>
  <c r="L21" i="55" a="1"/>
  <c r="L21" i="55" s="1"/>
  <c r="L76" i="55" a="1"/>
  <c r="L76" i="55" s="1"/>
  <c r="L71" i="55" a="1"/>
  <c r="L71" i="55" s="1"/>
  <c r="L7" i="55" a="1"/>
  <c r="L7" i="55" s="1"/>
  <c r="L19" i="55" a="1"/>
  <c r="L19" i="55" s="1"/>
  <c r="L32" i="55" a="1"/>
  <c r="L32" i="55" s="1"/>
  <c r="L15" i="55" a="1"/>
  <c r="L15" i="55" s="1"/>
  <c r="L77" i="55" a="1"/>
  <c r="L77" i="55" s="1"/>
  <c r="L49" i="55" a="1"/>
  <c r="L49" i="55" s="1"/>
  <c r="L42" i="55" a="1"/>
  <c r="L42" i="55" s="1"/>
  <c r="L89" i="55" a="1"/>
  <c r="L89" i="55" s="1"/>
  <c r="L73" i="55" a="1"/>
  <c r="L73" i="55" s="1"/>
  <c r="L9" i="55" a="1"/>
  <c r="L9" i="55" s="1"/>
  <c r="F39" i="59" a="1"/>
  <c r="F39" i="59" s="1"/>
  <c r="L82" i="55" a="1"/>
  <c r="L82" i="55" s="1"/>
  <c r="L30" i="55" a="1"/>
  <c r="L30" i="55" s="1"/>
  <c r="L26" i="55" a="1"/>
  <c r="L26" i="55" s="1"/>
  <c r="L92" i="55" a="1"/>
  <c r="L92" i="55" s="1"/>
  <c r="L47" i="55" a="1"/>
  <c r="L47" i="55" s="1"/>
  <c r="L23" i="55" a="1"/>
  <c r="L23" i="55" s="1"/>
  <c r="L83" i="55" a="1"/>
  <c r="L83" i="55" s="1"/>
  <c r="L18" i="55" a="1"/>
  <c r="L18" i="55" s="1"/>
  <c r="L69" i="55" a="1"/>
  <c r="L69" i="55" s="1"/>
  <c r="L93" i="55" a="1"/>
  <c r="L93" i="55" s="1"/>
  <c r="L12" i="55" a="1"/>
  <c r="L12" i="55" s="1"/>
  <c r="L33" i="55" a="1"/>
  <c r="L33" i="55" s="1"/>
  <c r="L22" i="55" a="1"/>
  <c r="L22" i="55" s="1"/>
  <c r="L61" i="55" a="1"/>
  <c r="L61" i="55" s="1"/>
  <c r="L79" i="55" a="1"/>
  <c r="L79" i="55" s="1"/>
  <c r="L36" i="55" a="1"/>
  <c r="L36" i="55" s="1"/>
  <c r="L24" i="55" a="1"/>
  <c r="L24" i="55" s="1"/>
  <c r="L80" i="55" a="1"/>
  <c r="L80" i="55" s="1"/>
  <c r="F26" i="59" a="1"/>
  <c r="F26" i="59" s="1"/>
  <c r="M34" i="59"/>
  <c r="L34" i="59"/>
  <c r="G13" i="59"/>
  <c r="T39" i="55" l="1"/>
  <c r="G6" i="26"/>
  <c r="H7" i="26"/>
  <c r="L13" i="59"/>
  <c r="M13" i="59"/>
  <c r="G30" i="60"/>
  <c r="F31" i="60"/>
  <c r="T13" i="59"/>
  <c r="U13" i="59"/>
  <c r="R2" i="55"/>
  <c r="S2" i="55"/>
  <c r="S119" i="55"/>
  <c r="R119" i="55"/>
  <c r="U39" i="59"/>
  <c r="T39" i="59"/>
  <c r="L39" i="59"/>
  <c r="M39" i="59"/>
  <c r="F32" i="60" l="1"/>
  <c r="G31" i="60"/>
  <c r="I7" i="26"/>
  <c r="H6" i="26"/>
  <c r="T119" i="55"/>
  <c r="T2" i="55"/>
  <c r="I6" i="26" l="1"/>
  <c r="J7" i="26"/>
  <c r="G32" i="60"/>
  <c r="F33" i="60"/>
  <c r="J6" i="26" l="1"/>
  <c r="K7" i="26"/>
  <c r="G33" i="60"/>
  <c r="F34" i="60"/>
  <c r="K6" i="26" l="1"/>
  <c r="L7" i="26"/>
  <c r="G34" i="60"/>
  <c r="F35" i="60"/>
  <c r="F36" i="60" l="1"/>
  <c r="G35" i="60"/>
  <c r="M7" i="26"/>
  <c r="L6" i="26"/>
  <c r="M6" i="26" l="1"/>
  <c r="N7" i="26"/>
  <c r="F37" i="60"/>
  <c r="G37" i="60" s="1"/>
  <c r="G36" i="60"/>
  <c r="O7" i="26" l="1"/>
  <c r="N6" i="26"/>
  <c r="O6" i="26" l="1"/>
  <c r="P7" i="26"/>
  <c r="P6" i="26" l="1"/>
  <c r="Q7" i="26"/>
  <c r="R7" i="26" l="1"/>
  <c r="Q6" i="26"/>
  <c r="R6" i="26" l="1"/>
  <c r="S7" i="26"/>
  <c r="T7" i="26" l="1"/>
  <c r="S6" i="26"/>
  <c r="T6" i="26" l="1"/>
  <c r="U7" i="26"/>
  <c r="U6" i="26" l="1"/>
  <c r="V7" i="26"/>
  <c r="V6" i="26" l="1"/>
  <c r="W7" i="26"/>
  <c r="X7" i="26" l="1"/>
  <c r="W6" i="26"/>
  <c r="Y7" i="26" l="1"/>
  <c r="X6" i="26"/>
  <c r="Z7" i="26" l="1"/>
  <c r="Y6" i="26"/>
  <c r="AA7" i="26" l="1"/>
  <c r="Z6" i="26"/>
  <c r="AA6" i="26" l="1"/>
  <c r="AB7" i="26"/>
  <c r="AC7" i="26" l="1"/>
  <c r="AB6" i="26"/>
  <c r="AD7" i="26" l="1"/>
  <c r="AC6" i="26"/>
  <c r="AD6" i="26" l="1"/>
  <c r="AE7" i="26"/>
  <c r="AF7" i="26" l="1"/>
  <c r="AE6" i="26"/>
  <c r="AG7" i="26" l="1"/>
  <c r="AF6" i="26"/>
  <c r="AG6" i="26" l="1"/>
  <c r="AH7" i="26"/>
  <c r="AH6" i="26" l="1"/>
  <c r="AI7" i="26"/>
  <c r="AI6" i="26" l="1"/>
  <c r="AJ7" i="26"/>
  <c r="AK7" i="26" l="1"/>
  <c r="AJ6"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E0BFFB97-F94C-4E0E-ACF2-3AAC2D38CD12}">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6"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9"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473FBF5D-9940-44DC-9A18-C0DADDADA2C7}">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810C9B3B-25C7-4AF4-8815-60D1B686F489}">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<sst xmlns="http://schemas.openxmlformats.org/spreadsheetml/2006/main" count="3186" uniqueCount="815">
  <si>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</si>
  <si>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</si>
  <si>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</si>
  <si>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</si>
  <si>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</si>
  <si>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</si>
  <si>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</si>
  <si>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</si>
  <si>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</si>
  <si>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</si>
  <si>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</si>
  <si>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</si>
  <si>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</si>
  <si>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</si>
  <si>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</si>
  <si>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</si>
  <si>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</si>
  <si>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</si>
  <si>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</si>
  <si>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</si>
  <si>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</si>
  <si>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</si>
  <si>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</si>
  <si>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</si>
  <si>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</si>
  <si>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</si>
  <si>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</si>
  <si>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</si>
  <si>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</si>
  <si>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</si>
  <si>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</si>
  <si>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</si>
  <si>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</si>
  <si>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</si>
  <si>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</si>
  <si>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</si>
  <si>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</si>
  <si>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</si>
  <si>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</si>
  <si>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</si>
  <si>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</si>
  <si>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</si>
  <si>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</si>
  <si>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</si>
  <si>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</si>
  <si>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</si>
  <si>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</si>
  <si>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</si>
  <si>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</si>
  <si>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</si>
  <si>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</si>
  <si>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</si>
  <si>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</si>
  <si>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</si>
  <si>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</si>
  <si>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</si>
  <si>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</si>
  <si>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</si>
  <si>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</si>
  <si>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</si>
  <si>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</si>
  <si>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</si>
  <si>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</si>
  <si>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</si>
  <si>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</si>
  <si>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</si>
  <si>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</si>
  <si>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</si>
  <si>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</si>
  <si>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</si>
  <si>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</si>
  <si>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</si>
  <si>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</si>
  <si>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</si>
  <si>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</si>
  <si>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</si>
  <si>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</si>
  <si>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</si>
  <si>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</si>
  <si>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</si>
  <si>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</si>
  <si>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</si>
  <si>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</si>
  <si>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</si>
  <si>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</si>
  <si>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</si>
  <si>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</si>
  <si>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</si>
  <si>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</si>
  <si>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</si>
  <si>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</si>
  <si>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</si>
  <si>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</si>
  <si>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</si>
  <si>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</si>
  <si>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</si>
  <si>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</si>
  <si>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</si>
  <si>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</si>
  <si>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</si>
  <si>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</si>
  <si>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</si>
  <si>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</si>
  <si>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</si>
  <si>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</si>
  <si>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</si>
  <si>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</si>
  <si>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</si>
  <si>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</si>
  <si>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</si>
  <si>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</si>
  <si>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</si>
  <si>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</si>
  <si>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</si>
  <si>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</si>
  <si>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</si>
  <si>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</si>
  <si>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</si>
  <si>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</si>
  <si>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</si>
  <si>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</si>
  <si>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</si>
  <si>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</si>
  <si>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</si>
  <si>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</si>
  <si>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</si>
  <si>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</si>
  <si>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</si>
  <si>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</si>
  <si>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</si>
  <si>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</si>
  <si>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</si>
  <si>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</si>
  <si>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</si>
  <si>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</si>
  <si>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</si>
  <si>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</si>
  <si>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</si>
  <si>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</si>
  <si>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</si>
  <si>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</si>
  <si>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</si>
  <si>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</si>
  <si>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</si>
  <si>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</si>
  <si>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</si>
  <si>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</si>
  <si>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</si>
  <si>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</si>
  <si>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</si>
  <si>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</si>
  <si>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</si>
  <si>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</si>
  <si>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</si>
  <si>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</si>
  <si>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</si>
  <si>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</si>
  <si>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</si>
  <si>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</si>
  <si>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</si>
  <si>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</si>
  <si>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</si>
  <si>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</si>
  <si>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</si>
  <si>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</si>
  <si>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</si>
  <si>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</si>
  <si>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</si>
  <si>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</si>
  <si>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</si>
  <si>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</si>
  <si>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</si>
  <si>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</si>
  <si>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</si>
  <si>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</si>
  <si>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</si>
  <si>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</si>
  <si>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</si>
  <si>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</si>
  <si>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</si>
  <si>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</si>
  <si>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</si>
  <si>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</si>
  <si>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</si>
  <si>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</si>
  <si>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</si>
  <si>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</si>
  <si>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</si>
  <si>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</si>
  <si>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</si>
  <si>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</si>
  <si>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</si>
  <si>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</si>
  <si>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</si>
  <si>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</si>
  <si>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</si>
  <si>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</si>
  <si>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</si>
  <si>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</si>
  <si>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</si>
  <si>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</si>
  <si>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</si>
  <si>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</si>
  <si>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</si>
  <si>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</si>
  <si>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</si>
  <si>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</si>
  <si>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</si>
  <si>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</si>
  <si>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</si>
  <si>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</si>
  <si>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</si>
  <si>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</si>
  <si>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</si>
  <si>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</si>
  <si>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</si>
  <si>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</si>
  <si>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</si>
  <si>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</si>
  <si>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</si>
  <si>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</si>
  <si>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</si>
  <si>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</si>
  <si>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</si>
  <si>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</si>
  <si>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</si>
  <si>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</si>
  <si>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</si>
  <si>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</si>
  <si>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</si>
  <si>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</si>
  <si>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</si>
  <si>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</si>
  <si>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</si>
  <si>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</si>
  <si>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</si>
  <si>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</si>
  <si>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</si>
  <si>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</si>
  <si>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</si>
  <si>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</si>
  <si>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</si>
  <si>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</si>
  <si>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</si>
  <si>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</si>
  <si>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</si>
  <si>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</si>
  <si>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</si>
  <si>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</si>
  <si>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</si>
  <si>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</si>
  <si>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</si>
  <si>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</si>
  <si>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</si>
  <si>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</si>
  <si>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</si>
  <si>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EX-FEAT-001</t>
  </si>
  <si>
    <t>CLK</t>
  </si>
  <si>
    <t>CLK Debug feature</t>
  </si>
  <si>
    <t>Tick Counter/Clock Measurement</t>
  </si>
  <si>
    <t>PM002.900</t>
  </si>
  <si>
    <t>Tserver</t>
  </si>
  <si>
    <t>EX-FEAT-009</t>
  </si>
  <si>
    <t>DPM</t>
  </si>
  <si>
    <t>DPM (all PPCLKs )</t>
  </si>
  <si>
    <t>PM80.12.1</t>
  </si>
  <si>
    <t>autodpmtog</t>
  </si>
  <si>
    <t>EX-FEAT-003</t>
  </si>
  <si>
    <t>EX-FEAT-075</t>
  </si>
  <si>
    <t>EX-FEAT-022</t>
  </si>
  <si>
    <t>EX-FEAT-168</t>
  </si>
  <si>
    <t>EX-FEAT-170</t>
  </si>
  <si>
    <t>EX-FEAT-119</t>
  </si>
  <si>
    <t>EX-FEAT-117</t>
  </si>
  <si>
    <t>EX-FEAT-061</t>
  </si>
  <si>
    <t>DFS sweep</t>
  </si>
  <si>
    <t>DFS DID Sweep: MPIOCLK DFS Sweep Test: Divide by 8 to 128</t>
  </si>
  <si>
    <t>PM002.xxx.1</t>
  </si>
  <si>
    <t>Please update all pm2.xxxx tests list according to Navi48 clock tress</t>
  </si>
  <si>
    <t>DFS DID Sweep: SOCCLK DFS Sweep Test: Divide by 8 to 128</t>
  </si>
  <si>
    <t>PM002.xxx.2</t>
  </si>
  <si>
    <t>DFS DID Sweep: GFX_BYPASSCLK DFS Sweep Test: Divide by 8 to 128</t>
  </si>
  <si>
    <t>PM002.xxx.3</t>
  </si>
  <si>
    <t>DFS DID Sweep: FCLK Sweep Test: Divide by 8 to 128</t>
  </si>
  <si>
    <t>PM002.xxx.4</t>
  </si>
  <si>
    <t>DFS DID Sweep: USRCPCLK Sweep Test: Divide by 8 to 128</t>
  </si>
  <si>
    <t>PM002.xxx.5</t>
  </si>
  <si>
    <t>DFS DID Sweep: DISPCLK Sweep Test: Divide by 8 to 128</t>
  </si>
  <si>
    <t>PM002.xxx.6</t>
  </si>
  <si>
    <t>DFS DID Sweep: DPPCLK Sweep Test: Divide by 8 to 128</t>
  </si>
  <si>
    <t>PM002.xxx.7</t>
  </si>
  <si>
    <t>DFS DID Sweep: CSRCLK Sweep Test: Divide by 8 to 128</t>
  </si>
  <si>
    <t>PM002.xxx.8</t>
  </si>
  <si>
    <t>DFS DID Sweep: DPREFCLK Sweep Test: Divide by 8 to 128</t>
  </si>
  <si>
    <t>PM002.xxx.9</t>
  </si>
  <si>
    <t>DFS DID Sweep: DTBCLK Sweep Test: Divide by 8 to 128</t>
  </si>
  <si>
    <t>PM002.xxx.10</t>
  </si>
  <si>
    <t>DFS DID Sweep: DCFCLK_BYPASS Sweep Test: Divide by 8 to 128</t>
  </si>
  <si>
    <t>PM002.xxx.11</t>
  </si>
  <si>
    <t>DFS DID Sweep: DCLK Sweep Test: Divide by 8 to 128</t>
  </si>
  <si>
    <t>PM002.xxx.12</t>
  </si>
  <si>
    <t>DFS DID Sweep: D1CLK Sweep Test: Divide by 8 to 128</t>
  </si>
  <si>
    <t>PM002.xxx.13</t>
  </si>
  <si>
    <t>DFS DID Sweep: VCLK Sweep Test: Divide by 8 to 128</t>
  </si>
  <si>
    <t>PM002.xxx.14</t>
  </si>
  <si>
    <t>DFS DID Sweep: V1CLK Sweep Test: Divide by 8 to 128</t>
  </si>
  <si>
    <t>PM002.xxx.15</t>
  </si>
  <si>
    <t>DFS DID Sweep: LCLK Sweep Test: Divide by 8 to 128</t>
  </si>
  <si>
    <t>PM002.xxx.16</t>
  </si>
  <si>
    <t>DFS DID Sweep: MP1CLK Sweep Test: Divide by 8 to 128</t>
  </si>
  <si>
    <t>PM002.xxx.17</t>
  </si>
  <si>
    <t>PM002.xxx.18</t>
  </si>
  <si>
    <t>PM002.xxx.19</t>
  </si>
  <si>
    <t>PM002.xxx.20</t>
  </si>
  <si>
    <t>DFS DID Sweep: BACO1200CLK_BYPASSCLK Sweep Test: Divide by 8 to 128</t>
  </si>
  <si>
    <t>PM002.xxx.21</t>
  </si>
  <si>
    <t>DFS DID Sweep: USBDFSCLK Sweep Test: Divide by 8 to 128</t>
  </si>
  <si>
    <t>PM002.xxx.22</t>
  </si>
  <si>
    <t>DFS DID Sweep: BACO700CLK_BYPASS Sweep Test: Divide by 8 to 128</t>
  </si>
  <si>
    <t>PM002.xxx.23</t>
  </si>
  <si>
    <t>DFS DID Sweep: BACO400CLK Sweep Test: Divide by 8 to 128</t>
  </si>
  <si>
    <t>PM002.xxx.24</t>
  </si>
  <si>
    <t>DFS DID Sweep: UCLK Sweep Test: Divide by 8 to 128</t>
  </si>
  <si>
    <t>PM002.xxx.25</t>
  </si>
  <si>
    <t>EX-FEAT-017</t>
  </si>
  <si>
    <t>Spread Spectrum</t>
  </si>
  <si>
    <t>PM060.xx.3</t>
  </si>
  <si>
    <t>?</t>
  </si>
  <si>
    <t>wk-3</t>
  </si>
  <si>
    <t>EX-FEAT-014</t>
  </si>
  <si>
    <t>Fuse</t>
  </si>
  <si>
    <t>Fuse Distribution</t>
  </si>
  <si>
    <t>PLL/DFS Fuse distribution</t>
  </si>
  <si>
    <t>PM001.200</t>
  </si>
  <si>
    <t>EX-FEAT-015</t>
  </si>
  <si>
    <t>EX-FEAT-037</t>
  </si>
  <si>
    <t>MP1</t>
  </si>
  <si>
    <t>SMU sanity Check</t>
  </si>
  <si>
    <t>[MP1] Tensilica</t>
  </si>
  <si>
    <t>PM080.5</t>
  </si>
  <si>
    <t>EMU</t>
  </si>
  <si>
    <t>EX-FEAT-071</t>
  </si>
  <si>
    <t>EX-FEAT-049</t>
  </si>
  <si>
    <t>EX-FEAT-040</t>
  </si>
  <si>
    <t>[MP1] Tensilica-indirect sram access</t>
  </si>
  <si>
    <t>PM080.1</t>
  </si>
  <si>
    <t>RSMU AXI path</t>
  </si>
  <si>
    <t>[Mp1]AXI and Register Interface</t>
  </si>
  <si>
    <t>PM080.05</t>
  </si>
  <si>
    <t>wk-4</t>
  </si>
  <si>
    <t>EX-FEAT-059</t>
  </si>
  <si>
    <t>EX-FEAT-077</t>
  </si>
  <si>
    <t>RSMU</t>
  </si>
  <si>
    <t>Timestamp</t>
  </si>
  <si>
    <t>Timestamp counter</t>
  </si>
  <si>
    <t>PM051.004</t>
  </si>
  <si>
    <t>EX-FEAT-046</t>
  </si>
  <si>
    <t>EX-FEAT-093</t>
  </si>
  <si>
    <t>SMUIO</t>
  </si>
  <si>
    <t>SVI3</t>
  </si>
  <si>
    <t>VID Sweep - PM_VDDCR_VDD &amp; Telemetry</t>
  </si>
  <si>
    <t>PM033.004</t>
  </si>
  <si>
    <t>-pm_volt_start=0.90 -pm_volt_end=1.2 -pm_volt_step=0.01 -pm_volt_threshold=0.02</t>
  </si>
  <si>
    <t>EX-FEAT-116</t>
  </si>
  <si>
    <t>VID Sweep - PM_VDDCR_SOC &amp; Telemetry</t>
  </si>
  <si>
    <t>PM033.005</t>
  </si>
  <si>
    <t>-pm_volt_start=0.90 -pm_volt_end=1.2 -pm_volt_step=0.01 -pm_volt_threshold=0.03</t>
  </si>
  <si>
    <t>Boot VID Change</t>
  </si>
  <si>
    <t>PM033.020</t>
  </si>
  <si>
    <t>Invalid Slave check</t>
  </si>
  <si>
    <t>PM033.021</t>
  </si>
  <si>
    <t>VID Change wDelay check</t>
  </si>
  <si>
    <t>PM033.022</t>
  </si>
  <si>
    <t>PSI Change</t>
  </si>
  <si>
    <t>PM033.023</t>
  </si>
  <si>
    <t>Clock Gating</t>
  </si>
  <si>
    <t>VID Sweep</t>
  </si>
  <si>
    <t>-pm_svi3_cg_en=1</t>
  </si>
  <si>
    <t>EX-FEAT-139</t>
  </si>
  <si>
    <t>THM</t>
  </si>
  <si>
    <t>Critical Temperature Fault  check</t>
  </si>
  <si>
    <t>PM013.008</t>
  </si>
  <si>
    <t>TNG</t>
  </si>
  <si>
    <t>EX-FEAT-140</t>
  </si>
  <si>
    <t>EX-FEAT-128</t>
  </si>
  <si>
    <t>EX-FEAT-158</t>
  </si>
  <si>
    <t>EX-FEAT-142</t>
  </si>
  <si>
    <t>TMON</t>
  </si>
  <si>
    <t>PM80.12.2</t>
  </si>
  <si>
    <t>EX-FEAT-145</t>
  </si>
  <si>
    <t>EX-FEAT-144</t>
  </si>
  <si>
    <t>EX-FEAT-134</t>
  </si>
  <si>
    <t>EX-FEAT-091</t>
  </si>
  <si>
    <t>Data-Logging</t>
  </si>
  <si>
    <t>Monitor_perf=thermal_metrics</t>
  </si>
  <si>
    <t>PM80.12.3</t>
  </si>
  <si>
    <t>WK7</t>
  </si>
  <si>
    <t>EX-FEAT-035</t>
  </si>
  <si>
    <t>agmlog</t>
  </si>
  <si>
    <t>PM80.12.4</t>
  </si>
  <si>
    <t>EX-FEAT-067</t>
  </si>
  <si>
    <t>EX-FEAT-122</t>
  </si>
  <si>
    <t>psmlogging</t>
  </si>
  <si>
    <t>PM80.12.5</t>
  </si>
  <si>
    <t>EX-FEAT-123</t>
  </si>
  <si>
    <t>EX-FEAT-019</t>
  </si>
  <si>
    <t>SOC ULV</t>
  </si>
  <si>
    <t>PM80.808</t>
  </si>
  <si>
    <t>WK6</t>
  </si>
  <si>
    <t>CLK-DPM</t>
  </si>
  <si>
    <t>autodpm</t>
  </si>
  <si>
    <t>PM80.12.6</t>
  </si>
  <si>
    <t>SOC CLK DPM:force</t>
  </si>
  <si>
    <t>PM20.1</t>
  </si>
  <si>
    <t>EX-FEAT-020</t>
  </si>
  <si>
    <t>MM CLK DPM:force</t>
  </si>
  <si>
    <t>PM25.2-4</t>
  </si>
  <si>
    <t>EX-FEAT-165</t>
  </si>
  <si>
    <t>FAN</t>
  </si>
  <si>
    <t>0-rpm</t>
  </si>
  <si>
    <t>PM14.11</t>
  </si>
  <si>
    <t>EX-FEAT-159</t>
  </si>
  <si>
    <t>EX-FEAT-163</t>
  </si>
  <si>
    <t>EX-FEAT-164</t>
  </si>
  <si>
    <t>fan-rpm-report</t>
  </si>
  <si>
    <t>PM14.1</t>
  </si>
  <si>
    <t>OOB</t>
  </si>
  <si>
    <t>SMBUS Out-of-Band Management </t>
  </si>
  <si>
    <t>PM13.16</t>
  </si>
  <si>
    <t>EX-FEAT-135</t>
  </si>
  <si>
    <t>EX-FEAT-129</t>
  </si>
  <si>
    <t>PM13.23</t>
  </si>
  <si>
    <t>EX-FEAT-072</t>
  </si>
  <si>
    <t>SMN-IF</t>
  </si>
  <si>
    <t>Message Hub</t>
  </si>
  <si>
    <t>PM80.5</t>
  </si>
  <si>
    <t>EX-FEAT-103</t>
  </si>
  <si>
    <t>I2C</t>
  </si>
  <si>
    <t>read e2prom</t>
  </si>
  <si>
    <t>PM80.993</t>
  </si>
  <si>
    <t>EX-FEAT-104</t>
  </si>
  <si>
    <t>EX-FEAT-106</t>
  </si>
  <si>
    <t>EX-FEAT-178</t>
  </si>
  <si>
    <t>IMU</t>
  </si>
  <si>
    <t>IMU Ucode loading</t>
  </si>
  <si>
    <t>PM074.03</t>
  </si>
  <si>
    <t>EX-FEAT-021</t>
  </si>
  <si>
    <t>DFS</t>
  </si>
  <si>
    <t>Dynamic ReFCLK gating</t>
  </si>
  <si>
    <t>PM2.300</t>
  </si>
  <si>
    <t>test all clocks</t>
  </si>
  <si>
    <t>EX-FEAT-006</t>
  </si>
  <si>
    <t>DFS Global bypass</t>
  </si>
  <si>
    <t>PMxx.xx.1</t>
  </si>
  <si>
    <t>EX-FEAT-010</t>
  </si>
  <si>
    <t>MSMU</t>
  </si>
  <si>
    <t>Sanity Register Access</t>
  </si>
  <si>
    <t>PM100.001</t>
  </si>
  <si>
    <t>-pm_msmu_instance=&lt;0,1&gt; -pm_msmu_cg_save_restore</t>
  </si>
  <si>
    <t>Instruction RAM and Data RAM</t>
  </si>
  <si>
    <t>PM100.002</t>
  </si>
  <si>
    <t>FSM Read/Write Instruction</t>
  </si>
  <si>
    <t>PM100.003</t>
  </si>
  <si>
    <t>FSM Test/Jump Instruction</t>
  </si>
  <si>
    <t>PM100.004</t>
  </si>
  <si>
    <t>FSM Poll Instruction</t>
  </si>
  <si>
    <t>PM100.005</t>
  </si>
  <si>
    <t>IRAM and DRAM Deep Sleep</t>
  </si>
  <si>
    <t>PM100.006</t>
  </si>
  <si>
    <t>EX-FEAT-024</t>
  </si>
  <si>
    <t>PMxx.xx.2</t>
  </si>
  <si>
    <t>EX-FEAT-025</t>
  </si>
  <si>
    <t>DFS-Global clock gating</t>
  </si>
  <si>
    <t>PMxx.xx.3</t>
  </si>
  <si>
    <t>EX-FEAT-126</t>
  </si>
  <si>
    <t>TMON RD config change: Max 32 RD per TMON -&gt; 32(max) RDI's per TMON</t>
  </si>
  <si>
    <t>PMxx.xx.4</t>
  </si>
  <si>
    <t>EX-FEAT-136</t>
  </si>
  <si>
    <t>H2L -temperature is lower than THM.DIG_THERM_INTL</t>
  </si>
  <si>
    <t>PMxx.xx.5</t>
  </si>
  <si>
    <t>EX-FEAT-137</t>
  </si>
  <si>
    <t xml:space="preserve">L2H-temperature is higher than </t>
  </si>
  <si>
    <t>PMxx.xx.6</t>
  </si>
  <si>
    <t>EX-FEAT-138</t>
  </si>
  <si>
    <t>Temperature Slew/Scale</t>
  </si>
  <si>
    <t>PMxx.xx.7</t>
  </si>
  <si>
    <t>EX-FEAT-153</t>
  </si>
  <si>
    <t>RSMU INTR</t>
  </si>
  <si>
    <t>Interrupt</t>
  </si>
  <si>
    <t>PM051.008</t>
  </si>
  <si>
    <t>EX-FEAT-155</t>
  </si>
  <si>
    <t>EX-FEAT-154</t>
  </si>
  <si>
    <t>RSMU/SMN Dynamic CG</t>
  </si>
  <si>
    <t>PM051.010</t>
  </si>
  <si>
    <t>EX-FEAT-157</t>
  </si>
  <si>
    <t>TSEN-read -RDI</t>
  </si>
  <si>
    <t>PM13.33</t>
  </si>
  <si>
    <t>DFLL deep sleep</t>
  </si>
  <si>
    <t>PM10.800</t>
  </si>
  <si>
    <t>EX-FEAT-174</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</si>
  <si>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</si>
  <si>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</si>
  <si>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</si>
  <si>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FUSE</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</si>
  <si>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</si>
  <si>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</si>
  <si>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</si>
  <si>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</si>
  <si>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</si>
  <si>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DFS-DID Switch for All Slices</t>
  </si>
  <si>
    <t>P2</t>
  </si>
  <si>
    <t>Total # of Features</t>
  </si>
  <si>
    <t>Based on our current resource plan, hard to commit legacy features, IPSEs don't reply on DIAG to validate them</t>
  </si>
  <si>
    <t>EX-FEAT-002</t>
  </si>
  <si>
    <t>PLL Power UP/Down</t>
  </si>
  <si>
    <t>P3</t>
  </si>
  <si>
    <t>Total # of P1</t>
  </si>
  <si>
    <t>VCO Change/Fractional Divider/Multiplier</t>
  </si>
  <si>
    <t>P1</t>
  </si>
  <si>
    <t>Total # of P2</t>
  </si>
  <si>
    <t>EX-FEAT-004</t>
  </si>
  <si>
    <t>Ref bypass/divider</t>
  </si>
  <si>
    <t>Total # of P3</t>
  </si>
  <si>
    <t>EX-FEAT-005</t>
  </si>
  <si>
    <t>Thermal Trip - PLL are turned off</t>
  </si>
  <si>
    <t>Total # of Diagnostics</t>
  </si>
  <si>
    <t>Total # of Driver</t>
  </si>
  <si>
    <t>EX-FEAT-008</t>
  </si>
  <si>
    <t>PLL babyStep</t>
  </si>
  <si>
    <t>Total # of IPSE</t>
  </si>
  <si>
    <t>Tick-Counter</t>
  </si>
  <si>
    <t>Total # of N/A</t>
  </si>
  <si>
    <t>MSMU Capability</t>
  </si>
  <si>
    <t>Total # of Legacy</t>
  </si>
  <si>
    <t>EX-FEAT-011</t>
  </si>
  <si>
    <t>PCC-DFSDivider Increase by Programable Amount</t>
  </si>
  <si>
    <t>Total # of Delta</t>
  </si>
  <si>
    <t>Fuses-Bootrom Fuses</t>
  </si>
  <si>
    <t>Total # of New</t>
  </si>
  <si>
    <t>Fuses-Startup Fuses</t>
  </si>
  <si>
    <t>PLL-SpreadSpectrum</t>
  </si>
  <si>
    <t>EX-FEAT-018</t>
  </si>
  <si>
    <t>Deep Sleep</t>
  </si>
  <si>
    <t>Fcstate - Test check Functionality</t>
  </si>
  <si>
    <t>Based on our current resource plan, hard to commit legacy features.  IPSEs don't reply on DIAG to validate them</t>
  </si>
  <si>
    <t>VCN IP sideband to control VCN clock via VCN IP</t>
  </si>
  <si>
    <t>Prioritize SLT&amp;BP&amp; new features</t>
  </si>
  <si>
    <t>Dynamic Ref Clk-gating - functional check</t>
  </si>
  <si>
    <t>Prioritize features FET lead and PEO relies on DIAG</t>
  </si>
  <si>
    <t>Fcstate-Pstate change</t>
  </si>
  <si>
    <t>Prioritize TNG tasks</t>
  </si>
  <si>
    <t>EX-FEAT-023</t>
  </si>
  <si>
    <t>PCC-stress Test</t>
  </si>
  <si>
    <t>DFS-ClockGating per Slice</t>
  </si>
  <si>
    <t>EX-FEAT-027</t>
  </si>
  <si>
    <t>MP0 DS</t>
  </si>
  <si>
    <t>EX-FEAT-034</t>
  </si>
  <si>
    <t>Postcode Trace Buffer in MP1</t>
  </si>
  <si>
    <t>DMA</t>
  </si>
  <si>
    <t>EX-FEAT-036</t>
  </si>
  <si>
    <t>Legacy SRBM MMIO Space</t>
  </si>
  <si>
    <t>Lx6</t>
  </si>
  <si>
    <t>MP1_FIRMWARE_FLAGS register</t>
  </si>
  <si>
    <t>EX-FEAT-042</t>
  </si>
  <si>
    <t>MPIO Functional test</t>
  </si>
  <si>
    <t>EX-FEAT-044</t>
  </si>
  <si>
    <t>RSMU Security HW</t>
  </si>
  <si>
    <t>CRU: MP1 Time Stamp Counter</t>
  </si>
  <si>
    <t>AXI Interconnect</t>
  </si>
  <si>
    <t>EX-FEAT-056</t>
  </si>
  <si>
    <t>CRU:Timer Control Registers and Interrupt</t>
  </si>
  <si>
    <t>Register Access SMN Apertures</t>
  </si>
  <si>
    <t>SMN address in Monolithic</t>
  </si>
  <si>
    <t>EX-FEAT-064</t>
  </si>
  <si>
    <t>SRAM: Legacy SRBM MMIO</t>
  </si>
  <si>
    <t>MMHUB TLB Mapping</t>
  </si>
  <si>
    <t>EX-FEAT-070</t>
  </si>
  <si>
    <t>ROM/PIN Strap Distribution</t>
  </si>
  <si>
    <t>AXI and Register Interface</t>
  </si>
  <si>
    <t>Check inbout/outbound register access</t>
  </si>
  <si>
    <t>EX-FEAT-073</t>
  </si>
  <si>
    <t>Check registers for Hard/Cold/Soft reset</t>
  </si>
  <si>
    <t>DPM Signal</t>
  </si>
  <si>
    <t>EX-FEAT-076</t>
  </si>
  <si>
    <t>Residency Counter</t>
  </si>
  <si>
    <t>RSMU TimeStamp Counter</t>
  </si>
  <si>
    <t>EX-FEAT-079</t>
  </si>
  <si>
    <t>Enable edge/level interrupt</t>
  </si>
  <si>
    <t>EX-FEAT-080</t>
  </si>
  <si>
    <t>interrupts</t>
  </si>
  <si>
    <t>EX-FEAT-085</t>
  </si>
  <si>
    <t>Power Gating control Registers</t>
  </si>
  <si>
    <t>Telemetry aggregation</t>
  </si>
  <si>
    <t>EX-FEAT-092</t>
  </si>
  <si>
    <t>DIE_ID, SOC_ID, PKGTYPE</t>
  </si>
  <si>
    <t>Voltage change</t>
  </si>
  <si>
    <t>EX-FEAT-094</t>
  </si>
  <si>
    <t>Topology_id, Link_config gpios as per SGM spec</t>
  </si>
  <si>
    <t>EX-FEAT-097</t>
  </si>
  <si>
    <t>Level-trigger GPIO interrupt</t>
  </si>
  <si>
    <t>EX-FEAT-098</t>
  </si>
  <si>
    <t>PCC/VR_HOT as programmable GPIO</t>
  </si>
  <si>
    <t>EX-FEAT-100</t>
  </si>
  <si>
    <t>ROM 64DWORD page bugger</t>
  </si>
  <si>
    <t>High Speed I2c</t>
  </si>
  <si>
    <t>I2C Done interrupt to MP1</t>
  </si>
  <si>
    <t>Check I2C Communication for I2C Controller Instance</t>
  </si>
  <si>
    <t>EX-FEAT-108</t>
  </si>
  <si>
    <t>GPIO input/output</t>
  </si>
  <si>
    <t>EX-FEAT-110</t>
  </si>
  <si>
    <t>GPIO interrupt mask/edge/level</t>
  </si>
  <si>
    <t>EX-FEAT-111</t>
  </si>
  <si>
    <t>GPIO PULL up/down</t>
  </si>
  <si>
    <t>EX-FEAT-113</t>
  </si>
  <si>
    <t>ROM read from both ROM_INDEX and MP1 Regs</t>
  </si>
  <si>
    <t>EX-FEAT-114</t>
  </si>
  <si>
    <t>ROM read/write</t>
  </si>
  <si>
    <t>EX-FEAT-115</t>
  </si>
  <si>
    <t>Config ROM index/data Auto-increment on/off</t>
  </si>
  <si>
    <t>High speed SVI3</t>
  </si>
  <si>
    <t>SPI Capability</t>
  </si>
  <si>
    <t>AVFS VDDCR Soc domain</t>
  </si>
  <si>
    <t>PSM</t>
  </si>
  <si>
    <t>PSM on VDDSOC</t>
  </si>
  <si>
    <t>EX-FEAT-124</t>
  </si>
  <si>
    <t>EX-FEAT-125</t>
  </si>
  <si>
    <t>ROM Clock config</t>
  </si>
  <si>
    <t>AXI-based auto polling temp requests triggered by FW</t>
  </si>
  <si>
    <t>Signal going to PLL and SVI3 -&gt; HW CTF</t>
  </si>
  <si>
    <t>Access 128 DW scratch register from SMBUS</t>
  </si>
  <si>
    <t>EX-FEAT-130</t>
  </si>
  <si>
    <t xml:space="preserve">SMBUS burst read mode </t>
  </si>
  <si>
    <t>EX-FEAT-133</t>
  </si>
  <si>
    <t>Access PCIE cfg space through SMBUS</t>
  </si>
  <si>
    <t>External Temp sensing /Skin temp</t>
  </si>
  <si>
    <t>SB-AXI (SMBUS Reading</t>
  </si>
  <si>
    <t>CTSEN/ RTSEN Disable</t>
  </si>
  <si>
    <t>HW Auto Polling</t>
  </si>
  <si>
    <t>Raw data to temperature data calculation for TSEN</t>
  </si>
  <si>
    <t>Temperature HW CTF Temp Sel</t>
  </si>
  <si>
    <t>Thermal Trigger - temperature is higher than THM.GNB_TEMP_THRESHOLD</t>
  </si>
  <si>
    <t>EX-FEAT-141</t>
  </si>
  <si>
    <t>TSEN Calibration Mod</t>
  </si>
  <si>
    <t>TSEN Mission Mod</t>
  </si>
  <si>
    <t>SMU TSEN Initialization Sequence</t>
  </si>
  <si>
    <t>SMU&lt;-&gt;CTSEN Interface</t>
  </si>
  <si>
    <t>EX-FEAT-148</t>
  </si>
  <si>
    <t>Mailbox</t>
  </si>
  <si>
    <t>rsmu interrupt over smn network</t>
  </si>
  <si>
    <t xml:space="preserve">RSMU register access </t>
  </si>
  <si>
    <t>TSEN-CTF</t>
  </si>
  <si>
    <t>Fan Dynamic Mode</t>
  </si>
  <si>
    <t>EX-FEAT-161</t>
  </si>
  <si>
    <t>ODPR</t>
  </si>
  <si>
    <t>EX-FEAT-162</t>
  </si>
  <si>
    <t>CLDO used for MALL L3</t>
  </si>
  <si>
    <t>Fan Static PWM Mode</t>
  </si>
  <si>
    <t>Fan Static RPM Mode</t>
  </si>
  <si>
    <t>Fan Zero RPM Mode</t>
  </si>
  <si>
    <t>EX-FEAT-166</t>
  </si>
  <si>
    <t>Didt</t>
  </si>
  <si>
    <t>EX-FEAT-167</t>
  </si>
  <si>
    <t>Throttle GFX (PWRBK/PCC)</t>
  </si>
  <si>
    <t>Voltage control</t>
  </si>
  <si>
    <t>EX-FEAT-169</t>
  </si>
  <si>
    <t>IMU cgcg/mgcg</t>
  </si>
  <si>
    <t>RLC MSG box</t>
  </si>
  <si>
    <t>EX-FEAT-171</t>
  </si>
  <si>
    <t>IH to RSMU</t>
  </si>
  <si>
    <t>EX-FEAT-172</t>
  </si>
  <si>
    <t>IMU-SOC datapath</t>
  </si>
  <si>
    <t>EX-FEAT-173</t>
  </si>
  <si>
    <t>DFLL stretch</t>
  </si>
  <si>
    <t>EX-FEAT-175</t>
  </si>
  <si>
    <t>APCC DFLL</t>
  </si>
  <si>
    <t>EX-FEAT-176</t>
  </si>
  <si>
    <t>DFLL Spread Spectrum</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</si>
  <si>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</si>
  <si>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</si>
  <si>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wk-11</t>
  </si>
  <si>
    <t>wk-10</t>
  </si>
  <si>
    <t>wk-7</t>
  </si>
  <si>
    <t>wk-2</t>
  </si>
  <si>
    <t>wk-8</t>
  </si>
  <si>
    <t>wk-13</t>
  </si>
  <si>
    <t>wk-1</t>
  </si>
  <si>
    <t>wk-6</t>
  </si>
  <si>
    <t>wk-5</t>
  </si>
  <si>
    <t>wk-16</t>
  </si>
  <si>
    <t>wk-14</t>
  </si>
  <si>
    <t>TBD</t>
  </si>
  <si>
    <t>wk8</t>
  </si>
  <si>
    <t>Reg Access Limitation. Not accessible to Diag</t>
  </si>
  <si>
    <t>wk7</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</si>
  <si>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</si>
  <si>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</si>
  <si>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</si>
  <si>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</si>
  <si>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</si>
  <si>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</si>
  <si>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</si>
  <si>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</si>
  <si>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</si>
  <si>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</si>
  <si>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</si>
  <si>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</si>
  <si>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</si>
  <si>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</si>
  <si>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</si>
  <si>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</si>
  <si>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</si>
  <si>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</si>
  <si>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</si>
  <si>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</si>
  <si>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</si>
  <si>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</si>
  <si>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</si>
  <si>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</si>
  <si>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</si>
  <si>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</si>
  <si>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</si>
  <si>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</si>
  <si>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</si>
  <si>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</si>
  <si>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</si>
  <si>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</si>
  <si>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</si>
  <si>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</si>
  <si>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</si>
  <si>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</si>
  <si>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</si>
  <si>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</si>
  <si>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</si>
  <si>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</si>
  <si>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</si>
  <si>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</si>
  <si>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</si>
  <si>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</si>
  <si>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</si>
  <si>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</si>
  <si>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</si>
  <si>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</si>
  <si>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</si>
  <si>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</si>
  <si>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</si>
  <si>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</si>
  <si>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</si>
  <si>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</si>
  <si>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</si>
  <si>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</si>
  <si>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</si>
  <si>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#Accum</t>
  </si>
  <si>
    <t>%Coverage</t>
  </si>
  <si>
    <t>wk-9</t>
  </si>
  <si>
    <t>wk-12</t>
  </si>
  <si>
    <t>wk-15</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</si>
  <si>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</si>
  <si>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</si>
  <si>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</si>
  <si>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</si>
  <si>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</si>
  <si>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</si>
  <si>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</si>
  <si>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</si>
  <si>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</si>
  <si>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</si>
  <si>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</si>
  <si>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</si>
  <si>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</si>
  <si>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</si>
  <si>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</si>
  <si>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</si>
  <si>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</si>
  <si>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</si>
  <si>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</si>
  <si>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</si>
  <si>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</si>
  <si>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</si>
  <si>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</si>
  <si>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</si>
  <si>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</si>
  <si>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</si>
  <si>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</si>
  <si>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</si>
  <si>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</si>
  <si>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</si>
  <si>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</si>
  <si>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</si>
  <si>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</si>
  <si>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</si>
  <si>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</si>
  <si>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</si>
  <si>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</si>
  <si>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</si>
  <si>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</si>
  <si>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</si>
  <si>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</si>
  <si>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</si>
  <si>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</si>
  <si>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</si>
  <si>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</si>
  <si>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</si>
  <si>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</si>
  <si>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</si>
  <si>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</si>
  <si>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</si>
  <si>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</si>
  <si>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</si>
  <si>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</si>
  <si>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</si>
  <si>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</si>
  <si>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code development efforts</t>
  </si>
  <si>
    <t>N-1 efforts</t>
  </si>
  <si>
    <t>Xvim</t>
  </si>
  <si>
    <t>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</si>
</sst>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strike/>
      <sz val="11"/>
      <color theme="1"/>
      <name val="Calibri"/>
      <family val="2"/>
      <scheme val="minor"/>
    </font>
    <font>
      <strike/>
      <sz val="11"/>
      <color rgb="FF000000"/>
      <name val="Calibri"/>
      <family val="2"/>
      <scheme val="minor"/>
    </font>
    <font>
      <sz val="11"/>
      <color theme="8" tint="-0.249977111117893"/>
      <name val="Calibri"/>
      <family val="2"/>
      <scheme val="minor"/>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0"/>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bottom style="thin">
        <color auto="1"/>
      </bottom>
      <diagonal/>
    </border>
    <border>
      <left/>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7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0" fontId="18" fillId="0" borderId="0" xfId="0" applyFont="1" applyAlignment="1">
      <alignment horizontal="center" vertical="center"/>
    </xf>
    <xf numFmtId="0" fontId="0" fillId="0" borderId="0" xfId="0" applyAlignment="1">
      <alignment wrapText="1"/>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52" borderId="17" xfId="0" applyNumberForma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33" borderId="13"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40" borderId="23" xfId="0" applyFill="1" applyBorder="1" applyAlignment="1" applyProtection="1">
      <alignment vertical="center"/>
      <protection locked="0"/>
    </xf>
    <xf numFmtId="0" fontId="0" fillId="40" borderId="24" xfId="0" applyFill="1" applyBorder="1" applyAlignment="1">
      <alignment horizontal="center" vertical="center" wrapText="1"/>
    </xf>
    <xf numFmtId="0" fontId="0" fillId="40" borderId="24" xfId="0" applyFill="1" applyBorder="1" applyAlignment="1" applyProtection="1">
      <alignment horizontal="center" vertical="center" wrapText="1"/>
      <protection locked="0"/>
    </xf>
    <xf numFmtId="0" fontId="0" fillId="40" borderId="36" xfId="0" applyFill="1" applyBorder="1" applyAlignment="1">
      <alignment horizontal="center" vertical="center" wrapText="1"/>
    </xf>
    <xf numFmtId="0" fontId="18" fillId="52" borderId="10"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0" fontId="0" fillId="33" borderId="23" xfId="0" applyFill="1" applyBorder="1" applyAlignment="1">
      <alignment horizontal="center" vertical="center" wrapText="1"/>
    </xf>
    <xf numFmtId="0" fontId="0" fillId="33" borderId="24" xfId="0" applyFill="1" applyBorder="1" applyAlignment="1">
      <alignment horizontal="center" vertical="center" wrapText="1"/>
    </xf>
    <xf numFmtId="166" fontId="0" fillId="33" borderId="24" xfId="0" applyNumberFormat="1" applyFill="1" applyBorder="1" applyAlignment="1">
      <alignment horizontal="center" vertical="center" wrapText="1"/>
    </xf>
    <xf numFmtId="166" fontId="0" fillId="33" borderId="24" xfId="42" applyNumberFormat="1" applyFont="1" applyFill="1" applyBorder="1" applyAlignment="1">
      <alignment horizontal="center" vertical="center" wrapText="1"/>
    </xf>
    <xf numFmtId="0" fontId="0" fillId="33" borderId="36" xfId="0" applyFill="1" applyBorder="1" applyAlignment="1" applyProtection="1">
      <alignment horizontal="left" vertical="center" wrapText="1"/>
      <protection locked="0"/>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0" xfId="0"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0" fontId="0" fillId="52" borderId="10" xfId="0" applyFill="1" applyBorder="1" applyAlignment="1">
      <alignment horizontal="left" vertical="center"/>
    </xf>
    <xf numFmtId="0" fontId="0" fillId="33" borderId="10" xfId="0" applyFill="1" applyBorder="1" applyAlignment="1">
      <alignment horizontal="left" vertical="center"/>
    </xf>
    <xf numFmtId="166" fontId="0" fillId="41" borderId="39" xfId="42" applyNumberFormat="1" applyFont="1" applyFill="1" applyBorder="1" applyAlignment="1">
      <alignment horizontal="center" vertical="center" wrapText="1"/>
    </xf>
    <xf numFmtId="166" fontId="0" fillId="41" borderId="65" xfId="42" applyNumberFormat="1" applyFont="1" applyFill="1" applyBorder="1" applyAlignment="1">
      <alignment horizontal="center" vertical="center" wrapText="1"/>
    </xf>
    <xf numFmtId="0" fontId="0" fillId="52" borderId="18" xfId="0" applyFill="1" applyBorder="1" applyAlignment="1">
      <alignment vertical="center" wrapText="1"/>
    </xf>
    <xf numFmtId="0" fontId="0" fillId="52" borderId="14" xfId="0" applyFill="1" applyBorder="1" applyAlignment="1">
      <alignment vertical="center" wrapText="1"/>
    </xf>
    <xf numFmtId="0" fontId="45" fillId="52" borderId="10" xfId="0" applyFont="1" applyFill="1" applyBorder="1" applyAlignment="1">
      <alignment horizontal="left" vertical="center"/>
    </xf>
    <xf numFmtId="0" fontId="0" fillId="52" borderId="20" xfId="0" applyFill="1" applyBorder="1" applyAlignment="1">
      <alignment vertical="center"/>
    </xf>
    <xf numFmtId="0" fontId="19" fillId="43" borderId="50" xfId="0" applyFont="1" applyFill="1" applyBorder="1" applyAlignment="1">
      <alignment horizontal="center" vertical="center" wrapText="1"/>
    </xf>
    <xf numFmtId="0" fontId="38" fillId="49" borderId="68" xfId="0" applyFont="1" applyFill="1" applyBorder="1" applyAlignment="1">
      <alignment horizontal="center" vertical="center" wrapText="1"/>
    </xf>
    <xf numFmtId="0" fontId="38" fillId="49" borderId="69" xfId="0" applyFont="1" applyFill="1" applyBorder="1" applyAlignment="1">
      <alignment horizontal="center" vertical="center" wrapText="1"/>
    </xf>
    <xf numFmtId="0" fontId="38" fillId="49" borderId="70" xfId="0" applyFont="1" applyFill="1" applyBorder="1" applyAlignment="1">
      <alignment horizontal="center" vertical="center" wrapText="1"/>
    </xf>
    <xf numFmtId="0" fontId="38" fillId="45" borderId="73"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70" xfId="0"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43" borderId="11" xfId="0" applyFont="1" applyFill="1" applyBorder="1" applyAlignment="1" applyProtection="1">
      <alignment horizontal="left" vertical="center" wrapText="1"/>
      <protection locked="0"/>
    </xf>
    <xf numFmtId="0" fontId="16"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wrapText="1"/>
      <protection locked="0"/>
    </xf>
    <xf numFmtId="0" fontId="38" fillId="43" borderId="15" xfId="0" applyFont="1" applyFill="1" applyBorder="1" applyAlignment="1">
      <alignment horizontal="left" vertical="center" wrapText="1"/>
    </xf>
    <xf numFmtId="0" fontId="18" fillId="40" borderId="10" xfId="0" applyFont="1" applyFill="1" applyBorder="1" applyAlignment="1">
      <alignment horizontal="center" vertical="center"/>
    </xf>
    <xf numFmtId="0" fontId="45" fillId="52" borderId="14" xfId="0"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166" fontId="18" fillId="50" borderId="10" xfId="0" applyNumberFormat="1" applyFont="1" applyFill="1" applyBorder="1" applyAlignment="1">
      <alignment horizontal="center" vertical="center"/>
    </xf>
    <xf numFmtId="1" fontId="18" fillId="46" borderId="10" xfId="0" applyNumberFormat="1" applyFont="1" applyFill="1" applyBorder="1" applyAlignment="1">
      <alignment horizontal="center" vertical="center"/>
    </xf>
    <xf numFmtId="0" fontId="18" fillId="46" borderId="10" xfId="0" applyFont="1" applyFill="1" applyBorder="1" applyAlignment="1">
      <alignment horizontal="center" vertical="center"/>
    </xf>
    <xf numFmtId="166" fontId="18" fillId="46" borderId="10" xfId="42"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0" fontId="18" fillId="40" borderId="17" xfId="0" applyFont="1" applyFill="1" applyBorder="1" applyAlignment="1">
      <alignment horizontal="center" vertical="center"/>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52" borderId="55" xfId="0" applyFont="1" applyFill="1" applyBorder="1" applyAlignment="1" applyProtection="1">
      <alignment horizontal="center" vertical="center"/>
      <protection locked="0"/>
    </xf>
    <xf numFmtId="0" fontId="18" fillId="52" borderId="48" xfId="0" applyFont="1" applyFill="1" applyBorder="1" applyAlignment="1" applyProtection="1">
      <alignment horizontal="center" vertical="center"/>
      <protection locked="0"/>
    </xf>
    <xf numFmtId="0" fontId="31" fillId="47" borderId="52" xfId="0" applyFont="1" applyFill="1" applyBorder="1" applyAlignment="1">
      <alignment horizontal="center" vertical="center"/>
    </xf>
    <xf numFmtId="0" fontId="31" fillId="44" borderId="71" xfId="0" applyFont="1" applyFill="1" applyBorder="1" applyAlignment="1">
      <alignment horizontal="center" vertical="center"/>
    </xf>
    <xf numFmtId="0" fontId="31" fillId="44" borderId="57" xfId="0" applyFont="1" applyFill="1" applyBorder="1" applyAlignment="1">
      <alignment horizontal="center" vertical="center"/>
    </xf>
    <xf numFmtId="0" fontId="18" fillId="52" borderId="49" xfId="0" applyFont="1" applyFill="1" applyBorder="1" applyAlignment="1" applyProtection="1">
      <alignment horizontal="center" vertical="center"/>
      <protection locked="0"/>
    </xf>
    <xf numFmtId="0" fontId="18" fillId="40" borderId="30" xfId="0" applyFont="1" applyFill="1" applyBorder="1" applyAlignment="1">
      <alignment horizontal="center" vertical="center"/>
    </xf>
    <xf numFmtId="0" fontId="18" fillId="40" borderId="24" xfId="0"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166" fontId="18" fillId="50" borderId="24" xfId="0" applyNumberFormat="1" applyFont="1" applyFill="1" applyBorder="1" applyAlignment="1">
      <alignment horizontal="center" vertical="center"/>
    </xf>
    <xf numFmtId="1" fontId="18" fillId="46" borderId="24" xfId="0" applyNumberFormat="1" applyFont="1" applyFill="1" applyBorder="1" applyAlignment="1">
      <alignment horizontal="center" vertical="center"/>
    </xf>
    <xf numFmtId="0" fontId="18" fillId="46" borderId="24" xfId="0" applyFont="1" applyFill="1" applyBorder="1" applyAlignment="1">
      <alignment horizontal="center" vertical="center"/>
    </xf>
    <xf numFmtId="166" fontId="18" fillId="46" borderId="24" xfId="42"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0" fontId="31" fillId="37" borderId="52" xfId="0" applyFont="1" applyFill="1" applyBorder="1" applyAlignment="1">
      <alignment horizontal="center" vertical="center"/>
    </xf>
    <xf numFmtId="0" fontId="31" fillId="48" borderId="52" xfId="0" applyFont="1" applyFill="1" applyBorder="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1" fontId="18" fillId="46" borderId="31"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0" fillId="52" borderId="10" xfId="0" applyFill="1" applyBorder="1" applyAlignment="1" applyProtection="1">
      <alignment horizontal="center"/>
      <protection locked="0"/>
    </xf>
    <xf numFmtId="0" fontId="0" fillId="52" borderId="14" xfId="0" applyFill="1" applyBorder="1" applyAlignment="1" applyProtection="1">
      <alignment horizontal="center"/>
      <protection locked="0"/>
    </xf>
    <xf numFmtId="1" fontId="18" fillId="52" borderId="19" xfId="0" applyNumberFormat="1" applyFont="1" applyFill="1" applyBorder="1" applyAlignment="1">
      <alignment horizontal="center" vertical="center"/>
    </xf>
    <xf numFmtId="1" fontId="41" fillId="42" borderId="12" xfId="0" applyNumberFormat="1" applyFont="1" applyFill="1" applyBorder="1" applyAlignment="1" applyProtection="1">
      <alignment horizontal="center" vertical="center"/>
      <protection locked="0"/>
    </xf>
    <xf numFmtId="0" fontId="0" fillId="50" borderId="17" xfId="0" applyFill="1" applyBorder="1" applyAlignment="1">
      <alignment vertical="center" wrapText="1"/>
    </xf>
    <xf numFmtId="0" fontId="0" fillId="52" borderId="10" xfId="0" applyFill="1" applyBorder="1" applyProtection="1">
      <protection locked="0"/>
    </xf>
    <xf numFmtId="0" fontId="16" fillId="43" borderId="10" xfId="0" applyFont="1" applyFill="1" applyBorder="1" applyAlignment="1" applyProtection="1">
      <alignment horizontal="left" vertical="center" wrapText="1"/>
      <protection locked="0"/>
    </xf>
    <xf numFmtId="10" fontId="0" fillId="0" borderId="0" xfId="0" applyNumberFormat="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0" fillId="51" borderId="14" xfId="0" applyFill="1" applyBorder="1" applyAlignment="1">
      <alignment vertical="center" wrapText="1"/>
    </xf>
    <xf numFmtId="166" fontId="46" fillId="41" borderId="10" xfId="0" applyNumberFormat="1" applyFont="1" applyFill="1" applyBorder="1" applyAlignment="1">
      <alignment horizontal="center" vertical="center"/>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0" xfId="0" applyFont="1" applyFill="1" applyBorder="1" applyAlignment="1" applyProtection="1">
      <alignment vertical="center"/>
      <protection locked="0"/>
    </xf>
    <xf numFmtId="43" fontId="18" fillId="52" borderId="56" xfId="44" applyFont="1" applyFill="1" applyBorder="1" applyAlignment="1" applyProtection="1">
      <alignment horizontal="center" vertical="center"/>
      <protection locked="0"/>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18" fillId="52" borderId="56" xfId="0" applyNumberFormat="1" applyFont="1" applyFill="1" applyBorder="1" applyAlignment="1" applyProtection="1">
      <alignment vertical="center"/>
      <protection locked="0"/>
    </xf>
    <xf numFmtId="1" fontId="18" fillId="52" borderId="17" xfId="0" applyNumberFormat="1"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18" fillId="52" borderId="10" xfId="0" applyFont="1" applyFill="1" applyBorder="1" applyAlignment="1" applyProtection="1">
      <alignment horizontal="left" vertical="center"/>
      <protection locked="0"/>
    </xf>
    <xf numFmtId="1" fontId="46" fillId="52" borderId="17" xfId="0" applyNumberFormat="1" applyFont="1" applyFill="1" applyBorder="1" applyAlignment="1" applyProtection="1">
      <alignment horizontal="center" vertical="center"/>
      <protection locked="0"/>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0" fillId="52" borderId="10" xfId="0" applyFill="1" applyBorder="1" applyAlignment="1" applyProtection="1">
      <alignment horizontal="left" wrapText="1"/>
      <protection locked="0"/>
    </xf>
    <xf numFmtId="0" fontId="0" fillId="54" borderId="10" xfId="0" applyFill="1" applyBorder="1" applyAlignment="1" applyProtection="1">
      <alignment horizontal="center"/>
      <protection locked="0"/>
    </xf>
    <xf numFmtId="0" fontId="0" fillId="40" borderId="24" xfId="0" applyFill="1" applyBorder="1" applyAlignment="1">
      <alignment horizontal="left" vertical="center" wrapText="1"/>
    </xf>
    <xf numFmtId="0" fontId="0" fillId="0" borderId="19" xfId="0" applyBorder="1" applyAlignment="1" applyProtection="1">
      <alignment horizontal="left" vertical="center" wrapText="1"/>
      <protection locked="0"/>
    </xf>
    <xf numFmtId="43" fontId="18" fillId="52" borderId="10" xfId="44"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0" fontId="18" fillId="40" borderId="17" xfId="0" applyFont="1" applyFill="1" applyBorder="1" applyAlignment="1" applyProtection="1">
      <alignment horizontal="center" vertical="center" wrapText="1"/>
      <protection locked="0"/>
    </xf>
    <xf numFmtId="0" fontId="14" fillId="41" borderId="17" xfId="0" applyFont="1" applyFill="1" applyBorder="1" applyAlignment="1" applyProtection="1">
      <alignment horizontal="center" vertical="center" wrapText="1"/>
      <protection locked="0"/>
    </xf>
    <xf numFmtId="0" fontId="0" fillId="53" borderId="10" xfId="0" applyFill="1" applyBorder="1" applyAlignment="1" applyProtection="1">
      <alignment horizontal="center"/>
      <protection locked="0"/>
    </xf>
    <xf numFmtId="0" fontId="0" fillId="34" borderId="10" xfId="0" applyFill="1" applyBorder="1" applyAlignment="1" applyProtection="1">
      <alignment horizontal="center"/>
      <protection locked="0"/>
    </xf>
    <xf numFmtId="0" fontId="0" fillId="55" borderId="10" xfId="0" applyFill="1" applyBorder="1" applyAlignment="1" applyProtection="1">
      <alignment horizontal="center"/>
      <protection locked="0"/>
    </xf>
    <xf numFmtId="0" fontId="19" fillId="0" borderId="0" xfId="0" applyFont="1" applyAlignment="1">
      <alignment horizontal="left" vertical="center"/>
    </xf>
    <xf numFmtId="0" fontId="0" fillId="0" borderId="0" xfId="0" applyAlignment="1" applyProtection="1">
      <alignment horizontal="center"/>
      <protection locked="0"/>
    </xf>
    <xf numFmtId="0" fontId="0" fillId="0" borderId="79"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80" xfId="0" applyBorder="1" applyAlignment="1" applyProtection="1">
      <alignment horizontal="center"/>
      <protection locked="0"/>
    </xf>
    <xf numFmtId="0" fontId="45" fillId="52" borderId="56" xfId="0" applyFont="1" applyFill="1" applyBorder="1" applyAlignment="1">
      <alignment horizontal="center" vertical="center"/>
    </xf>
    <xf numFmtId="0" fontId="0" fillId="51" borderId="17" xfId="0" applyFill="1" applyBorder="1" applyAlignment="1" applyProtection="1">
      <alignment horizontal="center" vertical="center" wrapText="1"/>
      <protection locked="0"/>
    </xf>
    <xf numFmtId="0" fontId="0" fillId="56" borderId="10" xfId="0" applyFill="1" applyBorder="1" applyAlignment="1">
      <alignment horizontal="left" vertical="center"/>
    </xf>
    <xf numFmtId="0" fontId="18" fillId="52" borderId="10" xfId="0" applyFont="1" applyFill="1" applyBorder="1" applyAlignment="1">
      <alignment horizontal="left" vertical="center"/>
    </xf>
    <xf numFmtId="0" fontId="0" fillId="57" borderId="0" xfId="0" applyFill="1" applyAlignment="1" applyProtection="1">
      <alignment horizontal="center"/>
      <protection locked="0"/>
    </xf>
    <xf numFmtId="0" fontId="0" fillId="0" borderId="0" xfId="0" applyAlignment="1" applyProtection="1">
      <alignment horizontal="center" vertical="center" wrapText="1"/>
      <protection locked="0"/>
    </xf>
    <xf numFmtId="49" fontId="0" fillId="52" borderId="10" xfId="0" applyNumberFormat="1" applyFill="1" applyBorder="1" applyAlignment="1">
      <alignment horizontal="left" vertical="center"/>
    </xf>
    <xf numFmtId="0" fontId="47" fillId="52" borderId="56" xfId="0" applyFont="1" applyFill="1" applyBorder="1" applyAlignment="1">
      <alignment horizontal="center" vertical="center"/>
    </xf>
    <xf numFmtId="9" fontId="18" fillId="52" borderId="10" xfId="0" applyNumberFormat="1" applyFont="1" applyFill="1" applyBorder="1" applyAlignment="1" applyProtection="1">
      <alignment horizontal="center" vertical="center"/>
      <protection locked="0"/>
    </xf>
    <xf numFmtId="0" fontId="14" fillId="41" borderId="35" xfId="0" applyFont="1" applyFill="1" applyBorder="1" applyAlignment="1">
      <alignment horizontal="left" vertical="center" wrapText="1"/>
    </xf>
    <xf numFmtId="0" fontId="14" fillId="41" borderId="78"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8"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5"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5"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7" fillId="40" borderId="66"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76"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1" fontId="41" fillId="33" borderId="17" xfId="0" applyNumberFormat="1"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70" xfId="42" applyNumberFormat="1" applyFont="1" applyFill="1" applyBorder="1" applyAlignment="1">
      <alignment horizontal="center" vertical="center" wrapText="1"/>
    </xf>
    <xf numFmtId="166" fontId="41" fillId="41" borderId="58" xfId="42" applyNumberFormat="1" applyFont="1" applyFill="1" applyBorder="1" applyAlignment="1">
      <alignment horizontal="center" vertical="center" wrapText="1"/>
    </xf>
    <xf numFmtId="1" fontId="41" fillId="33" borderId="68" xfId="0" applyNumberFormat="1" applyFont="1" applyFill="1" applyBorder="1" applyAlignment="1">
      <alignment horizontal="center" vertical="center" wrapText="1"/>
    </xf>
    <xf numFmtId="1" fontId="41" fillId="33" borderId="59" xfId="0" applyNumberFormat="1" applyFont="1" applyFill="1" applyBorder="1" applyAlignment="1">
      <alignment horizontal="center" vertical="center" wrapText="1"/>
    </xf>
    <xf numFmtId="1" fontId="41" fillId="33" borderId="69" xfId="0" applyNumberFormat="1" applyFont="1" applyFill="1" applyBorder="1" applyAlignment="1">
      <alignment horizontal="center" vertical="center" wrapText="1"/>
    </xf>
    <xf numFmtId="0" fontId="41" fillId="33" borderId="57" xfId="0" applyFont="1" applyFill="1" applyBorder="1" applyAlignment="1">
      <alignment horizontal="center" vertical="center" wrapText="1"/>
    </xf>
    <xf numFmtId="166" fontId="41" fillId="33" borderId="69" xfId="42" applyNumberFormat="1" applyFont="1" applyFill="1" applyBorder="1" applyAlignment="1">
      <alignment horizontal="center" vertical="center" wrapText="1"/>
    </xf>
    <xf numFmtId="166" fontId="41" fillId="33" borderId="57" xfId="42" applyNumberFormat="1" applyFont="1" applyFill="1" applyBorder="1" applyAlignment="1">
      <alignment horizontal="center" vertical="center" wrapText="1"/>
    </xf>
    <xf numFmtId="0" fontId="41" fillId="40" borderId="69" xfId="0" applyFont="1" applyFill="1" applyBorder="1" applyAlignment="1">
      <alignment horizontal="center" vertical="center" wrapText="1"/>
    </xf>
    <xf numFmtId="0" fontId="41" fillId="40" borderId="57"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41" fillId="40" borderId="58" xfId="0" applyFont="1" applyFill="1" applyBorder="1" applyAlignment="1">
      <alignment horizontal="center" vertical="center" wrapText="1"/>
    </xf>
    <xf numFmtId="1" fontId="41" fillId="41" borderId="69" xfId="0" applyNumberFormat="1" applyFont="1" applyFill="1" applyBorder="1" applyAlignment="1">
      <alignment horizontal="center" vertical="center" wrapText="1"/>
    </xf>
    <xf numFmtId="1" fontId="41" fillId="41" borderId="57" xfId="0" applyNumberFormat="1" applyFont="1" applyFill="1" applyBorder="1" applyAlignment="1">
      <alignment horizontal="center" vertical="center" wrapText="1"/>
    </xf>
    <xf numFmtId="0" fontId="41" fillId="33" borderId="70" xfId="0" applyFont="1" applyFill="1" applyBorder="1" applyAlignment="1" applyProtection="1">
      <alignment horizontal="center" vertical="center" wrapText="1"/>
      <protection locked="0"/>
    </xf>
    <xf numFmtId="0" fontId="41" fillId="33" borderId="58" xfId="0" applyFont="1" applyFill="1" applyBorder="1" applyAlignment="1" applyProtection="1">
      <alignment horizontal="center" vertical="center" wrapText="1"/>
      <protection locked="0"/>
    </xf>
    <xf numFmtId="1" fontId="41" fillId="41" borderId="68" xfId="0" applyNumberFormat="1" applyFont="1" applyFill="1" applyBorder="1" applyAlignment="1">
      <alignment horizontal="center" vertical="center" wrapText="1"/>
    </xf>
    <xf numFmtId="1" fontId="41" fillId="41" borderId="59" xfId="0" applyNumberFormat="1" applyFont="1" applyFill="1" applyBorder="1" applyAlignment="1">
      <alignment horizontal="center" vertical="center" wrapText="1"/>
    </xf>
    <xf numFmtId="166" fontId="41" fillId="42" borderId="70" xfId="42" applyNumberFormat="1" applyFont="1" applyFill="1" applyBorder="1" applyAlignment="1">
      <alignment horizontal="center" vertical="center" wrapText="1"/>
    </xf>
    <xf numFmtId="166" fontId="41" fillId="42" borderId="58" xfId="42" applyNumberFormat="1" applyFont="1" applyFill="1" applyBorder="1" applyAlignment="1">
      <alignment horizontal="center" vertical="center" wrapText="1"/>
    </xf>
    <xf numFmtId="166" fontId="41" fillId="42" borderId="68" xfId="42" applyNumberFormat="1" applyFont="1" applyFill="1" applyBorder="1" applyAlignment="1">
      <alignment horizontal="center" vertical="center" wrapText="1"/>
    </xf>
    <xf numFmtId="166" fontId="41" fillId="42" borderId="59" xfId="42"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8" fillId="51" borderId="17" xfId="0" applyFont="1" applyFill="1" applyBorder="1" applyAlignment="1" applyProtection="1">
      <alignment horizontal="center" vertical="center" wrapText="1"/>
      <protection locked="0"/>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aiflian/Downloads/NV31_IMU_Diagnostics_IP_Status_Tracker%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FeatureSHR"/>
      <sheetName val="Progress"/>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7">
          <cell r="A7" t="str">
            <v>EX-FEAT-001</v>
          </cell>
          <cell r="B7" t="str">
            <v>GFX Initialization</v>
          </cell>
          <cell r="C7" t="str">
            <v>P0</v>
          </cell>
          <cell r="D7" t="str">
            <v xml:space="preserve">PM0080.12, </v>
          </cell>
          <cell r="E7" t="str">
            <v>IMU</v>
          </cell>
          <cell r="F7" t="str">
            <v>Delta</v>
          </cell>
          <cell r="G7" t="str">
            <v>Yes</v>
          </cell>
          <cell r="H7" t="str">
            <v>Yes</v>
          </cell>
          <cell r="I7">
            <v>1</v>
          </cell>
          <cell r="J7">
            <v>1</v>
          </cell>
          <cell r="K7">
            <v>1</v>
          </cell>
          <cell r="L7" t="e">
            <v>#DIV/0!</v>
          </cell>
          <cell r="M7">
            <v>1</v>
          </cell>
          <cell r="N7">
            <v>1</v>
          </cell>
          <cell r="O7">
            <v>1</v>
          </cell>
          <cell r="P7">
            <v>1</v>
          </cell>
          <cell r="Q7">
            <v>1</v>
          </cell>
          <cell r="R7">
            <v>1</v>
          </cell>
          <cell r="S7">
            <v>1</v>
          </cell>
          <cell r="T7">
            <v>1</v>
          </cell>
          <cell r="U7" t="str">
            <v>wk-14</v>
          </cell>
        </row>
        <row r="8">
          <cell r="A8" t="str">
            <v>EX-FEAT-002</v>
          </cell>
          <cell r="B8" t="str">
            <v>GFX CGCG/MGCG</v>
          </cell>
          <cell r="C8" t="str">
            <v>P0</v>
          </cell>
          <cell r="D8" t="str">
            <v xml:space="preserve">PM041.029, </v>
          </cell>
          <cell r="E8" t="str">
            <v>IMU</v>
          </cell>
          <cell r="F8" t="str">
            <v>Legacy</v>
          </cell>
          <cell r="G8" t="str">
            <v>Yes</v>
          </cell>
          <cell r="H8" t="str">
            <v>Yes</v>
          </cell>
          <cell r="I8">
            <v>1</v>
          </cell>
          <cell r="J8">
            <v>1</v>
          </cell>
          <cell r="K8">
            <v>1</v>
          </cell>
          <cell r="L8" t="e">
            <v>#DIV/0!</v>
          </cell>
          <cell r="M8">
            <v>1</v>
          </cell>
          <cell r="N8">
            <v>1</v>
          </cell>
          <cell r="O8">
            <v>1</v>
          </cell>
          <cell r="P8">
            <v>1</v>
          </cell>
          <cell r="Q8">
            <v>1</v>
          </cell>
          <cell r="R8">
            <v>1</v>
          </cell>
          <cell r="S8">
            <v>1</v>
          </cell>
          <cell r="T8">
            <v>1</v>
          </cell>
          <cell r="U8" t="str">
            <v>wk-4</v>
          </cell>
        </row>
        <row r="9">
          <cell r="A9" t="str">
            <v>EX-FEAT-003</v>
          </cell>
          <cell r="B9" t="str">
            <v>GFXOFF</v>
          </cell>
          <cell r="C9" t="str">
            <v>P0</v>
          </cell>
          <cell r="D9" t="str">
            <v xml:space="preserve">PM0080.12, </v>
          </cell>
          <cell r="E9" t="str">
            <v>IMU</v>
          </cell>
          <cell r="F9" t="str">
            <v>New</v>
          </cell>
          <cell r="G9" t="str">
            <v>Yes</v>
          </cell>
          <cell r="H9" t="str">
            <v>Yes</v>
          </cell>
          <cell r="I9">
            <v>1</v>
          </cell>
          <cell r="J9">
            <v>1</v>
          </cell>
          <cell r="K9">
            <v>1</v>
          </cell>
          <cell r="L9" t="e">
            <v>#DIV/0!</v>
          </cell>
          <cell r="M9">
            <v>1</v>
          </cell>
          <cell r="N9">
            <v>1</v>
          </cell>
          <cell r="O9">
            <v>1</v>
          </cell>
          <cell r="P9">
            <v>1</v>
          </cell>
          <cell r="Q9">
            <v>1</v>
          </cell>
          <cell r="R9">
            <v>1</v>
          </cell>
          <cell r="S9">
            <v>1</v>
          </cell>
          <cell r="T9">
            <v>1</v>
          </cell>
          <cell r="U9" t="str">
            <v>wk-14</v>
          </cell>
        </row>
        <row r="10">
          <cell r="A10" t="str">
            <v>EX-FEAT-004</v>
          </cell>
          <cell r="B10" t="str">
            <v>IMU Ucode loading</v>
          </cell>
          <cell r="C10" t="str">
            <v>P0</v>
          </cell>
          <cell r="D10" t="str">
            <v xml:space="preserve">PM074.03, </v>
          </cell>
          <cell r="E10" t="str">
            <v>IMU</v>
          </cell>
          <cell r="F10" t="str">
            <v>New</v>
          </cell>
          <cell r="G10" t="str">
            <v>Yes</v>
          </cell>
          <cell r="H10" t="str">
            <v>Yes</v>
          </cell>
          <cell r="I10">
            <v>1</v>
          </cell>
          <cell r="J10">
            <v>1</v>
          </cell>
          <cell r="K10">
            <v>1</v>
          </cell>
          <cell r="L10" t="e">
            <v>#DIV/0!</v>
          </cell>
          <cell r="M10">
            <v>1</v>
          </cell>
          <cell r="N10">
            <v>1</v>
          </cell>
          <cell r="O10">
            <v>1</v>
          </cell>
          <cell r="P10">
            <v>1</v>
          </cell>
          <cell r="Q10">
            <v>1</v>
          </cell>
          <cell r="R10">
            <v>1</v>
          </cell>
          <cell r="S10">
            <v>1</v>
          </cell>
          <cell r="T10">
            <v>1</v>
          </cell>
          <cell r="U10" t="str">
            <v>wk-1</v>
          </cell>
        </row>
        <row r="11">
          <cell r="A11" t="str">
            <v>EX-FEAT-005</v>
          </cell>
          <cell r="B11" t="str">
            <v>Power Throttling</v>
          </cell>
          <cell r="C11" t="str">
            <v>P0</v>
          </cell>
          <cell r="D11" t="str">
            <v xml:space="preserve">PM80.12, </v>
          </cell>
          <cell r="E11" t="str">
            <v>IMU</v>
          </cell>
          <cell r="F11" t="str">
            <v>New</v>
          </cell>
          <cell r="G11" t="str">
            <v>Yes</v>
          </cell>
          <cell r="H11" t="str">
            <v>Yes</v>
          </cell>
          <cell r="I11">
            <v>0</v>
          </cell>
          <cell r="J11">
            <v>0</v>
          </cell>
          <cell r="K11" t="e">
            <v>#DIV/0!</v>
          </cell>
          <cell r="L11" t="e">
            <v>#DIV/0!</v>
          </cell>
          <cell r="M11">
            <v>1</v>
          </cell>
          <cell r="N11">
            <v>1</v>
          </cell>
          <cell r="O11">
            <v>1</v>
          </cell>
          <cell r="P11">
            <v>0</v>
          </cell>
          <cell r="Q11">
            <v>0</v>
          </cell>
          <cell r="R11">
            <v>0</v>
          </cell>
          <cell r="S11">
            <v>0</v>
          </cell>
          <cell r="T11">
            <v>0</v>
          </cell>
          <cell r="U11" t="str">
            <v>wk-15</v>
          </cell>
        </row>
        <row r="12">
          <cell r="A12" t="str">
            <v>EX-FEAT-006</v>
          </cell>
          <cell r="B12" t="str">
            <v>TDC Throttling</v>
          </cell>
          <cell r="C12" t="str">
            <v>P2</v>
          </cell>
          <cell r="D12" t="str">
            <v xml:space="preserve">PM80.12, </v>
          </cell>
          <cell r="E12" t="str">
            <v>IMU</v>
          </cell>
          <cell r="F12" t="str">
            <v>New</v>
          </cell>
          <cell r="G12" t="str">
            <v>Yes</v>
          </cell>
          <cell r="H12" t="str">
            <v>NO</v>
          </cell>
          <cell r="I12">
            <v>0</v>
          </cell>
          <cell r="J12">
            <v>2</v>
          </cell>
          <cell r="K12">
            <v>1</v>
          </cell>
          <cell r="L12" t="e">
            <v>#DIV/0!</v>
          </cell>
          <cell r="M12">
            <v>1</v>
          </cell>
          <cell r="N12">
            <v>1</v>
          </cell>
          <cell r="O12">
            <v>1</v>
          </cell>
          <cell r="P12">
            <v>1</v>
          </cell>
          <cell r="Q12">
            <v>1</v>
          </cell>
          <cell r="R12">
            <v>0.5</v>
          </cell>
          <cell r="S12">
            <v>1</v>
          </cell>
          <cell r="T12">
            <v>0.5</v>
          </cell>
          <cell r="U12" t="str">
            <v>wk-10</v>
          </cell>
        </row>
        <row r="13">
          <cell r="A13" t="str">
            <v>EX-FEAT-007</v>
          </cell>
          <cell r="B13" t="str">
            <v>Thermal Throttling</v>
          </cell>
          <cell r="C13" t="str">
            <v>P2</v>
          </cell>
          <cell r="D13" t="str">
            <v xml:space="preserve">PM80.12, </v>
          </cell>
          <cell r="E13" t="str">
            <v>IMU</v>
          </cell>
          <cell r="F13" t="str">
            <v>New</v>
          </cell>
          <cell r="G13" t="str">
            <v>Yes</v>
          </cell>
          <cell r="H13" t="str">
            <v>NO</v>
          </cell>
          <cell r="I13">
            <v>0</v>
          </cell>
          <cell r="J13">
            <v>0</v>
          </cell>
          <cell r="K13" t="e">
            <v>#DIV/0!</v>
          </cell>
          <cell r="L13" t="e">
            <v>#DIV/0!</v>
          </cell>
          <cell r="M13">
            <v>1</v>
          </cell>
          <cell r="N13">
            <v>1</v>
          </cell>
          <cell r="O13">
            <v>1</v>
          </cell>
          <cell r="P13">
            <v>0</v>
          </cell>
          <cell r="Q13">
            <v>0</v>
          </cell>
          <cell r="R13">
            <v>0</v>
          </cell>
          <cell r="S13">
            <v>0</v>
          </cell>
          <cell r="T13">
            <v>0</v>
          </cell>
          <cell r="U13" t="str">
            <v>N/A</v>
          </cell>
        </row>
        <row r="14">
          <cell r="A14" t="str">
            <v>EX-FEAT-008</v>
          </cell>
          <cell r="B14" t="str">
            <v>Telemetry Aggregation</v>
          </cell>
          <cell r="C14" t="str">
            <v>P2</v>
          </cell>
          <cell r="D14" t="str">
            <v xml:space="preserve">PM80.12, </v>
          </cell>
          <cell r="E14" t="str">
            <v>IMU</v>
          </cell>
          <cell r="F14" t="str">
            <v>New</v>
          </cell>
          <cell r="G14" t="str">
            <v>yes</v>
          </cell>
          <cell r="H14" t="str">
            <v>yes</v>
          </cell>
          <cell r="I14">
            <v>0</v>
          </cell>
          <cell r="J14">
            <v>0</v>
          </cell>
          <cell r="K14" t="e">
            <v>#DIV/0!</v>
          </cell>
          <cell r="L14" t="e">
            <v>#DIV/0!</v>
          </cell>
          <cell r="M14">
            <v>0</v>
          </cell>
          <cell r="N14">
            <v>0</v>
          </cell>
          <cell r="O14">
            <v>0</v>
          </cell>
          <cell r="P14">
            <v>1</v>
          </cell>
          <cell r="Q14">
            <v>1</v>
          </cell>
          <cell r="R14">
            <v>0</v>
          </cell>
          <cell r="S14">
            <v>1</v>
          </cell>
          <cell r="T14">
            <v>0</v>
          </cell>
          <cell r="U14" t="str">
            <v>wk-16</v>
          </cell>
        </row>
        <row r="15">
          <cell r="A15" t="str">
            <v>EX-FEAT-009</v>
          </cell>
          <cell r="B15" t="str">
            <v>Force Messages from MP1</v>
          </cell>
          <cell r="C15" t="str">
            <v>P0</v>
          </cell>
          <cell r="D15" t="str">
            <v xml:space="preserve">PM0080.12, </v>
          </cell>
          <cell r="E15" t="str">
            <v>IMU</v>
          </cell>
          <cell r="F15" t="str">
            <v>New</v>
          </cell>
          <cell r="G15" t="str">
            <v>Yes</v>
          </cell>
          <cell r="H15" t="str">
            <v>Yes</v>
          </cell>
          <cell r="I15">
            <v>1</v>
          </cell>
          <cell r="J15">
            <v>1</v>
          </cell>
          <cell r="K15">
            <v>1</v>
          </cell>
          <cell r="L15" t="e">
            <v>#DIV/0!</v>
          </cell>
          <cell r="M15">
            <v>1</v>
          </cell>
          <cell r="N15">
            <v>1</v>
          </cell>
          <cell r="O15">
            <v>1</v>
          </cell>
          <cell r="P15">
            <v>1</v>
          </cell>
          <cell r="Q15">
            <v>1</v>
          </cell>
          <cell r="R15">
            <v>1</v>
          </cell>
          <cell r="S15">
            <v>1</v>
          </cell>
          <cell r="T15">
            <v>1</v>
          </cell>
          <cell r="U15" t="str">
            <v>wk-3</v>
          </cell>
        </row>
        <row r="16">
          <cell r="A16" t="str">
            <v>EX-FEAT-010</v>
          </cell>
          <cell r="B16" t="str">
            <v>Didt</v>
          </cell>
          <cell r="C16" t="str">
            <v>P2</v>
          </cell>
          <cell r="D16" t="str">
            <v xml:space="preserve">PM80.12, PM80.12, PM080.311, </v>
          </cell>
          <cell r="E16" t="str">
            <v>IMU</v>
          </cell>
          <cell r="F16" t="str">
            <v>New</v>
          </cell>
          <cell r="G16" t="str">
            <v>Yes</v>
          </cell>
          <cell r="H16" t="str">
            <v>NO</v>
          </cell>
          <cell r="I16">
            <v>1</v>
          </cell>
          <cell r="J16">
            <v>3</v>
          </cell>
          <cell r="K16">
            <v>1</v>
          </cell>
          <cell r="L16" t="e">
            <v>#DIV/0!</v>
          </cell>
          <cell r="M16">
            <v>3</v>
          </cell>
          <cell r="N16">
            <v>3</v>
          </cell>
          <cell r="O16">
            <v>1</v>
          </cell>
          <cell r="P16">
            <v>2</v>
          </cell>
          <cell r="Q16">
            <v>2</v>
          </cell>
          <cell r="R16">
            <v>0.66666666666666663</v>
          </cell>
          <cell r="S16">
            <v>1</v>
          </cell>
          <cell r="T16">
            <v>0.66666666666666663</v>
          </cell>
          <cell r="U16" t="str">
            <v>wk-1</v>
          </cell>
        </row>
        <row r="17">
          <cell r="A17" t="str">
            <v>EX-FEAT-011</v>
          </cell>
          <cell r="B17" t="str">
            <v>Busy aggregation</v>
          </cell>
          <cell r="C17" t="str">
            <v>P0</v>
          </cell>
          <cell r="D17" t="str">
            <v xml:space="preserve">PM80.12, </v>
          </cell>
          <cell r="E17" t="str">
            <v>IMU</v>
          </cell>
          <cell r="F17" t="str">
            <v>New</v>
          </cell>
          <cell r="G17" t="str">
            <v>Yes</v>
          </cell>
          <cell r="H17" t="str">
            <v>Yes</v>
          </cell>
          <cell r="I17">
            <v>0</v>
          </cell>
          <cell r="J17">
            <v>0</v>
          </cell>
          <cell r="K17" t="e">
            <v>#DIV/0!</v>
          </cell>
          <cell r="L17" t="e">
            <v>#DIV/0!</v>
          </cell>
          <cell r="M17">
            <v>0</v>
          </cell>
          <cell r="N17">
            <v>0</v>
          </cell>
          <cell r="O17">
            <v>0</v>
          </cell>
          <cell r="P17">
            <v>1</v>
          </cell>
          <cell r="Q17">
            <v>1</v>
          </cell>
          <cell r="R17">
            <v>0</v>
          </cell>
          <cell r="S17">
            <v>1</v>
          </cell>
          <cell r="T17">
            <v>0</v>
          </cell>
          <cell r="U17" t="str">
            <v>wk-15</v>
          </cell>
        </row>
        <row r="18">
          <cell r="A18" t="str">
            <v>EX-FEAT-013</v>
          </cell>
          <cell r="B18" t="str">
            <v>MP1/RLC/IMU handshakes</v>
          </cell>
          <cell r="C18" t="str">
            <v>P0</v>
          </cell>
          <cell r="D18" t="str">
            <v xml:space="preserve">PM0080.12, </v>
          </cell>
          <cell r="E18" t="str">
            <v>IMU</v>
          </cell>
          <cell r="F18" t="str">
            <v>New</v>
          </cell>
          <cell r="G18" t="str">
            <v>Yes</v>
          </cell>
          <cell r="H18" t="str">
            <v>Yes</v>
          </cell>
          <cell r="I18">
            <v>1</v>
          </cell>
          <cell r="J18">
            <v>1</v>
          </cell>
          <cell r="K18">
            <v>1</v>
          </cell>
          <cell r="L18" t="e">
            <v>#DIV/0!</v>
          </cell>
          <cell r="M18">
            <v>1</v>
          </cell>
          <cell r="N18">
            <v>1</v>
          </cell>
          <cell r="O18">
            <v>1</v>
          </cell>
          <cell r="P18">
            <v>1</v>
          </cell>
          <cell r="Q18">
            <v>1</v>
          </cell>
          <cell r="R18">
            <v>1</v>
          </cell>
          <cell r="S18">
            <v>1</v>
          </cell>
          <cell r="T18">
            <v>1</v>
          </cell>
          <cell r="U18" t="str">
            <v>wk-4</v>
          </cell>
        </row>
        <row r="19">
          <cell r="A19" t="str">
            <v>EX-FEAT-014</v>
          </cell>
          <cell r="B19" t="str">
            <v>GPO</v>
          </cell>
          <cell r="C19" t="str">
            <v>P3</v>
          </cell>
          <cell r="D19" t="str">
            <v xml:space="preserve">PM80.12, </v>
          </cell>
          <cell r="E19" t="str">
            <v>IMU</v>
          </cell>
          <cell r="F19" t="str">
            <v>New</v>
          </cell>
          <cell r="G19" t="str">
            <v>Yes</v>
          </cell>
          <cell r="H19" t="str">
            <v>NO</v>
          </cell>
          <cell r="I19">
            <v>0</v>
          </cell>
          <cell r="J19">
            <v>0</v>
          </cell>
          <cell r="K19" t="e">
            <v>#DIV/0!</v>
          </cell>
          <cell r="L19">
            <v>1</v>
          </cell>
          <cell r="M19">
            <v>1</v>
          </cell>
          <cell r="N19">
            <v>1</v>
          </cell>
          <cell r="O19">
            <v>1</v>
          </cell>
          <cell r="P19">
            <v>1</v>
          </cell>
          <cell r="Q19">
            <v>1</v>
          </cell>
          <cell r="R19">
            <v>0</v>
          </cell>
          <cell r="S19">
            <v>1</v>
          </cell>
          <cell r="T19">
            <v>0</v>
          </cell>
          <cell r="U19" t="str">
            <v>wk-15</v>
          </cell>
        </row>
        <row r="20">
          <cell r="A20" t="str">
            <v>EX-FEAT-015</v>
          </cell>
          <cell r="B20" t="str">
            <v>ATE FW (if MP1 does not have full access) (CPO and RTAVFS)</v>
          </cell>
          <cell r="E20" t="str">
            <v>IMU</v>
          </cell>
          <cell r="F20" t="str">
            <v>New</v>
          </cell>
          <cell r="G20" t="str">
            <v>No</v>
          </cell>
          <cell r="H20" t="str">
            <v>No</v>
          </cell>
          <cell r="I20" t="str">
            <v>Yes</v>
          </cell>
          <cell r="J20" t="str">
            <v>Yes</v>
          </cell>
          <cell r="K20" t="str">
            <v>Yes</v>
          </cell>
          <cell r="L20" t="str">
            <v>Yes</v>
          </cell>
          <cell r="M20" t="str">
            <v>Yes</v>
          </cell>
          <cell r="N20" t="str">
            <v>Yes</v>
          </cell>
          <cell r="O20" t="str">
            <v>Yes</v>
          </cell>
          <cell r="P20" t="str">
            <v>Yes</v>
          </cell>
          <cell r="Q20" t="str">
            <v>Yes</v>
          </cell>
          <cell r="R20" t="str">
            <v>Yes</v>
          </cell>
          <cell r="S20" t="str">
            <v>Yes</v>
          </cell>
          <cell r="T20" t="str">
            <v>Yes</v>
          </cell>
        </row>
        <row r="21">
          <cell r="A21" t="str">
            <v>EX-FEAT-016</v>
          </cell>
          <cell r="B21" t="str">
            <v>RM (if RLC cannot access)</v>
          </cell>
          <cell r="E21" t="str">
            <v>IMU</v>
          </cell>
          <cell r="F21" t="str">
            <v>New</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row>
        <row r="22">
          <cell r="A22" t="str">
            <v>EX-FEAT-017</v>
          </cell>
          <cell r="B22" t="str">
            <v>CLDO calibration/setup?</v>
          </cell>
          <cell r="E22" t="str">
            <v>IMU</v>
          </cell>
          <cell r="F22" t="str">
            <v>New</v>
          </cell>
          <cell r="G22" t="str">
            <v>No</v>
          </cell>
          <cell r="H22" t="str">
            <v>No</v>
          </cell>
          <cell r="I22">
            <v>0</v>
          </cell>
          <cell r="J22">
            <v>0</v>
          </cell>
          <cell r="K22">
            <v>0</v>
          </cell>
          <cell r="L22">
            <v>0</v>
          </cell>
          <cell r="M22">
            <v>0</v>
          </cell>
          <cell r="N22">
            <v>0</v>
          </cell>
          <cell r="O22">
            <v>0</v>
          </cell>
          <cell r="P22">
            <v>0</v>
          </cell>
          <cell r="Q22">
            <v>0</v>
          </cell>
          <cell r="R22">
            <v>0</v>
          </cell>
          <cell r="S22">
            <v>0</v>
          </cell>
          <cell r="T22">
            <v>0</v>
          </cell>
        </row>
        <row r="23">
          <cell r="A23" t="str">
            <v>EX-FEAT-018</v>
          </cell>
          <cell r="B23" t="str">
            <v>GFX-DPM</v>
          </cell>
          <cell r="C23" t="str">
            <v>P0</v>
          </cell>
          <cell r="D23" t="str">
            <v xml:space="preserve">PM080.12, </v>
          </cell>
          <cell r="E23" t="str">
            <v>IMU</v>
          </cell>
          <cell r="F23" t="str">
            <v>New</v>
          </cell>
          <cell r="G23" t="str">
            <v>Yes</v>
          </cell>
          <cell r="H23" t="str">
            <v>Yes</v>
          </cell>
          <cell r="I23">
            <v>1</v>
          </cell>
          <cell r="J23">
            <v>1</v>
          </cell>
          <cell r="K23">
            <v>1</v>
          </cell>
          <cell r="L23" t="e">
            <v>#DIV/0!</v>
          </cell>
          <cell r="M23">
            <v>0</v>
          </cell>
          <cell r="N23">
            <v>0</v>
          </cell>
          <cell r="O23">
            <v>0</v>
          </cell>
          <cell r="P23">
            <v>1</v>
          </cell>
          <cell r="Q23">
            <v>1</v>
          </cell>
          <cell r="R23">
            <v>1</v>
          </cell>
          <cell r="S23">
            <v>1</v>
          </cell>
          <cell r="T23">
            <v>1</v>
          </cell>
          <cell r="U23" t="str">
            <v>wk-4</v>
          </cell>
        </row>
        <row r="24">
          <cell r="A24" t="str">
            <v>EX-FEAT-019</v>
          </cell>
          <cell r="B24" t="str">
            <v>Throttle GFX (PWRBK/PCC)</v>
          </cell>
          <cell r="C24" t="str">
            <v>P3</v>
          </cell>
          <cell r="D24" t="str">
            <v xml:space="preserve">PM080.311, </v>
          </cell>
          <cell r="E24" t="str">
            <v>IMU</v>
          </cell>
          <cell r="F24" t="str">
            <v>Legacy</v>
          </cell>
          <cell r="G24" t="str">
            <v>Yes</v>
          </cell>
          <cell r="H24" t="str">
            <v>NO</v>
          </cell>
          <cell r="I24">
            <v>1</v>
          </cell>
          <cell r="J24">
            <v>1</v>
          </cell>
          <cell r="K24">
            <v>1</v>
          </cell>
          <cell r="L24" t="e">
            <v>#DIV/0!</v>
          </cell>
          <cell r="M24">
            <v>1</v>
          </cell>
          <cell r="N24">
            <v>1</v>
          </cell>
          <cell r="O24">
            <v>1</v>
          </cell>
          <cell r="P24">
            <v>1</v>
          </cell>
          <cell r="Q24">
            <v>1</v>
          </cell>
          <cell r="R24">
            <v>1</v>
          </cell>
          <cell r="S24">
            <v>1</v>
          </cell>
          <cell r="T24">
            <v>1</v>
          </cell>
          <cell r="U24" t="str">
            <v>wk-7</v>
          </cell>
        </row>
        <row r="25">
          <cell r="A25" t="str">
            <v>EX-FEAT-020</v>
          </cell>
          <cell r="B25" t="str">
            <v xml:space="preserve">SRAM Load </v>
          </cell>
          <cell r="C25" t="str">
            <v>P0</v>
          </cell>
          <cell r="D25" t="str">
            <v xml:space="preserve">PM0080.12, </v>
          </cell>
          <cell r="E25" t="str">
            <v>IMU</v>
          </cell>
          <cell r="F25" t="str">
            <v>New</v>
          </cell>
          <cell r="G25" t="str">
            <v>Yes</v>
          </cell>
          <cell r="H25" t="str">
            <v>Yes</v>
          </cell>
          <cell r="I25">
            <v>1</v>
          </cell>
          <cell r="J25">
            <v>1</v>
          </cell>
          <cell r="K25">
            <v>1</v>
          </cell>
          <cell r="L25" t="e">
            <v>#DIV/0!</v>
          </cell>
          <cell r="M25">
            <v>1</v>
          </cell>
          <cell r="N25">
            <v>1</v>
          </cell>
          <cell r="O25">
            <v>1</v>
          </cell>
          <cell r="P25">
            <v>1</v>
          </cell>
          <cell r="Q25">
            <v>1</v>
          </cell>
          <cell r="R25">
            <v>1</v>
          </cell>
          <cell r="S25">
            <v>1</v>
          </cell>
          <cell r="T25">
            <v>1</v>
          </cell>
          <cell r="U25" t="str">
            <v>wk-14</v>
          </cell>
        </row>
        <row r="26">
          <cell r="A26" t="str">
            <v>EX-FEAT-021</v>
          </cell>
          <cell r="B26" t="str">
            <v>Voltage control</v>
          </cell>
          <cell r="C26" t="str">
            <v>P0</v>
          </cell>
          <cell r="D26" t="str">
            <v xml:space="preserve">PM074.06, </v>
          </cell>
          <cell r="E26" t="str">
            <v>IMU</v>
          </cell>
          <cell r="F26" t="str">
            <v>New</v>
          </cell>
          <cell r="G26" t="str">
            <v>Yes</v>
          </cell>
          <cell r="H26" t="str">
            <v>Yes</v>
          </cell>
          <cell r="I26">
            <v>0</v>
          </cell>
          <cell r="J26">
            <v>0</v>
          </cell>
          <cell r="K26" t="e">
            <v>#DIV/0!</v>
          </cell>
          <cell r="L26" t="e">
            <v>#DIV/0!</v>
          </cell>
          <cell r="M26">
            <v>1</v>
          </cell>
          <cell r="N26">
            <v>1</v>
          </cell>
          <cell r="O26">
            <v>1</v>
          </cell>
          <cell r="P26">
            <v>1</v>
          </cell>
          <cell r="Q26">
            <v>1</v>
          </cell>
          <cell r="R26">
            <v>0</v>
          </cell>
          <cell r="S26">
            <v>1</v>
          </cell>
          <cell r="T26">
            <v>0</v>
          </cell>
          <cell r="U26" t="str">
            <v>wk7</v>
          </cell>
        </row>
        <row r="27">
          <cell r="A27" t="str">
            <v>EX-FEAT-022</v>
          </cell>
          <cell r="B27" t="str">
            <v>IMU cgcg/mgcg</v>
          </cell>
          <cell r="C27" t="str">
            <v>P0</v>
          </cell>
          <cell r="D27" t="str">
            <v xml:space="preserve">PM074.03, </v>
          </cell>
          <cell r="E27" t="str">
            <v>IMU</v>
          </cell>
          <cell r="F27" t="str">
            <v>New</v>
          </cell>
          <cell r="G27" t="str">
            <v>Yes</v>
          </cell>
          <cell r="H27" t="str">
            <v>Yes</v>
          </cell>
          <cell r="I27">
            <v>1</v>
          </cell>
          <cell r="J27">
            <v>1</v>
          </cell>
          <cell r="K27">
            <v>1</v>
          </cell>
          <cell r="L27" t="e">
            <v>#DIV/0!</v>
          </cell>
          <cell r="M27">
            <v>1</v>
          </cell>
          <cell r="N27">
            <v>1</v>
          </cell>
          <cell r="O27">
            <v>1</v>
          </cell>
          <cell r="P27">
            <v>0</v>
          </cell>
          <cell r="Q27">
            <v>0</v>
          </cell>
          <cell r="R27">
            <v>0</v>
          </cell>
          <cell r="S27">
            <v>0</v>
          </cell>
          <cell r="T27">
            <v>0</v>
          </cell>
          <cell r="U27" t="str">
            <v>wk-3</v>
          </cell>
        </row>
        <row r="28">
          <cell r="A28" t="str">
            <v>EX-FEAT-023</v>
          </cell>
          <cell r="B28" t="str">
            <v>IMU  clk devider</v>
          </cell>
          <cell r="D28" t="str">
            <v/>
          </cell>
          <cell r="E28" t="str">
            <v>IMU</v>
          </cell>
          <cell r="F28" t="str">
            <v>New</v>
          </cell>
          <cell r="G28" t="str">
            <v>No</v>
          </cell>
          <cell r="H28" t="str">
            <v>No</v>
          </cell>
          <cell r="I28">
            <v>0</v>
          </cell>
          <cell r="J28">
            <v>0</v>
          </cell>
          <cell r="K28">
            <v>0</v>
          </cell>
          <cell r="L28">
            <v>1</v>
          </cell>
          <cell r="M28">
            <v>0</v>
          </cell>
          <cell r="N28">
            <v>0</v>
          </cell>
          <cell r="O28">
            <v>0</v>
          </cell>
          <cell r="P28">
            <v>0</v>
          </cell>
          <cell r="Q28">
            <v>0</v>
          </cell>
          <cell r="R28">
            <v>0</v>
          </cell>
          <cell r="S28">
            <v>0</v>
          </cell>
          <cell r="T28">
            <v>0</v>
          </cell>
          <cell r="U28" t="str">
            <v>Yes</v>
          </cell>
        </row>
        <row r="29">
          <cell r="A29" t="str">
            <v>EX-FEAT-024</v>
          </cell>
          <cell r="B29" t="str">
            <v>RLC MSG box</v>
          </cell>
          <cell r="C29" t="str">
            <v>P0</v>
          </cell>
          <cell r="D29" t="str">
            <v xml:space="preserve">PM0080.12, PM074.05, </v>
          </cell>
          <cell r="E29" t="str">
            <v>IMU</v>
          </cell>
          <cell r="F29" t="str">
            <v>New</v>
          </cell>
          <cell r="G29" t="str">
            <v>Yes</v>
          </cell>
          <cell r="H29" t="str">
            <v>Yes</v>
          </cell>
          <cell r="U29" t="str">
            <v>wk-4</v>
          </cell>
        </row>
        <row r="30">
          <cell r="A30" t="str">
            <v>EX-FEAT-025</v>
          </cell>
          <cell r="B30" t="str">
            <v>Timestamp</v>
          </cell>
          <cell r="C30" t="str">
            <v>P0</v>
          </cell>
          <cell r="D30" t="str">
            <v xml:space="preserve">PM074.03, </v>
          </cell>
          <cell r="E30" t="str">
            <v>IMU</v>
          </cell>
          <cell r="F30" t="str">
            <v>New</v>
          </cell>
          <cell r="G30" t="str">
            <v>yes</v>
          </cell>
          <cell r="H30" t="str">
            <v>yes</v>
          </cell>
          <cell r="I30">
            <v>1</v>
          </cell>
          <cell r="J30">
            <v>1</v>
          </cell>
          <cell r="K30">
            <v>1</v>
          </cell>
          <cell r="L30">
            <v>1</v>
          </cell>
          <cell r="M30">
            <v>1</v>
          </cell>
          <cell r="N30">
            <v>1</v>
          </cell>
          <cell r="O30">
            <v>1</v>
          </cell>
          <cell r="P30">
            <v>1</v>
          </cell>
          <cell r="Q30">
            <v>1</v>
          </cell>
          <cell r="R30">
            <v>1</v>
          </cell>
          <cell r="S30">
            <v>1</v>
          </cell>
          <cell r="T30">
            <v>1</v>
          </cell>
          <cell r="U30" t="str">
            <v>wk-1</v>
          </cell>
        </row>
        <row r="31">
          <cell r="A31" t="str">
            <v>EX-FEAT-029</v>
          </cell>
          <cell r="B31" t="str">
            <v>Telemtry Data/overflow</v>
          </cell>
          <cell r="C31" t="str">
            <v>P0</v>
          </cell>
          <cell r="D31" t="str">
            <v>PM036.1</v>
          </cell>
          <cell r="E31" t="str">
            <v>IMU</v>
          </cell>
          <cell r="F31" t="str">
            <v>New</v>
          </cell>
          <cell r="G31" t="str">
            <v>Yes</v>
          </cell>
          <cell r="H31" t="str">
            <v>yes</v>
          </cell>
          <cell r="I31">
            <v>0</v>
          </cell>
          <cell r="J31">
            <v>0</v>
          </cell>
          <cell r="K31" t="e">
            <v>#DIV/0!</v>
          </cell>
          <cell r="L31" t="e">
            <v>#DIV/0!</v>
          </cell>
          <cell r="M31">
            <v>0</v>
          </cell>
          <cell r="N31">
            <v>0</v>
          </cell>
          <cell r="O31">
            <v>0</v>
          </cell>
          <cell r="P31">
            <v>0</v>
          </cell>
          <cell r="Q31">
            <v>0</v>
          </cell>
          <cell r="R31">
            <v>0</v>
          </cell>
          <cell r="S31">
            <v>0</v>
          </cell>
          <cell r="T31">
            <v>0</v>
          </cell>
          <cell r="U31" t="str">
            <v>wk-16</v>
          </cell>
        </row>
        <row r="32">
          <cell r="A32" t="str">
            <v>EX-FEAT-030</v>
          </cell>
          <cell r="B32" t="str">
            <v>DPM Activity counter</v>
          </cell>
          <cell r="C32" t="str">
            <v>P0</v>
          </cell>
          <cell r="D32" t="str">
            <v xml:space="preserve">PM080.12, </v>
          </cell>
          <cell r="E32" t="str">
            <v>IMU</v>
          </cell>
          <cell r="F32" t="str">
            <v>New</v>
          </cell>
          <cell r="G32" t="str">
            <v>Yes</v>
          </cell>
          <cell r="H32" t="str">
            <v>Yes</v>
          </cell>
          <cell r="I32">
            <v>1</v>
          </cell>
          <cell r="J32">
            <v>1</v>
          </cell>
          <cell r="K32">
            <v>1</v>
          </cell>
          <cell r="L32" t="e">
            <v>#DIV/0!</v>
          </cell>
          <cell r="M32">
            <v>0</v>
          </cell>
          <cell r="N32">
            <v>0</v>
          </cell>
          <cell r="O32">
            <v>0</v>
          </cell>
          <cell r="P32">
            <v>1</v>
          </cell>
          <cell r="Q32">
            <v>1</v>
          </cell>
          <cell r="R32">
            <v>1</v>
          </cell>
          <cell r="S32">
            <v>1</v>
          </cell>
          <cell r="T32">
            <v>1</v>
          </cell>
          <cell r="U32" t="str">
            <v>wk-15</v>
          </cell>
        </row>
        <row r="33">
          <cell r="A33" t="str">
            <v>EX-FEAT-032</v>
          </cell>
          <cell r="B33" t="str">
            <v>RLC fence control</v>
          </cell>
          <cell r="C33" t="str">
            <v>P0</v>
          </cell>
          <cell r="D33" t="str">
            <v xml:space="preserve">PM0080.12, </v>
          </cell>
          <cell r="E33" t="str">
            <v>IMU</v>
          </cell>
          <cell r="F33" t="str">
            <v>New</v>
          </cell>
          <cell r="G33" t="str">
            <v>Yes</v>
          </cell>
          <cell r="H33" t="str">
            <v>Yes</v>
          </cell>
          <cell r="I33">
            <v>1</v>
          </cell>
          <cell r="J33">
            <v>1</v>
          </cell>
          <cell r="K33">
            <v>1</v>
          </cell>
          <cell r="L33" t="e">
            <v>#DIV/0!</v>
          </cell>
          <cell r="M33">
            <v>1</v>
          </cell>
          <cell r="N33">
            <v>1</v>
          </cell>
          <cell r="O33">
            <v>1</v>
          </cell>
          <cell r="P33">
            <v>1</v>
          </cell>
          <cell r="Q33">
            <v>1</v>
          </cell>
          <cell r="R33">
            <v>1</v>
          </cell>
          <cell r="S33">
            <v>1</v>
          </cell>
          <cell r="T33">
            <v>1</v>
          </cell>
          <cell r="U33" t="str">
            <v>wk-15</v>
          </cell>
        </row>
        <row r="34">
          <cell r="A34" t="str">
            <v>EX-FEAT-033</v>
          </cell>
          <cell r="B34" t="str">
            <v>IH to RSMU</v>
          </cell>
          <cell r="D34" t="str">
            <v xml:space="preserve">PM074.07, </v>
          </cell>
          <cell r="E34" t="str">
            <v>IMU</v>
          </cell>
          <cell r="F34" t="str">
            <v>New</v>
          </cell>
          <cell r="G34" t="str">
            <v>Yes</v>
          </cell>
          <cell r="H34" t="str">
            <v>Yes</v>
          </cell>
          <cell r="I34">
            <v>1</v>
          </cell>
          <cell r="J34">
            <v>1</v>
          </cell>
          <cell r="K34">
            <v>1</v>
          </cell>
          <cell r="L34" t="e">
            <v>#DIV/0!</v>
          </cell>
          <cell r="M34">
            <v>1</v>
          </cell>
          <cell r="N34">
            <v>1</v>
          </cell>
          <cell r="O34">
            <v>1</v>
          </cell>
          <cell r="P34">
            <v>1</v>
          </cell>
          <cell r="Q34">
            <v>1</v>
          </cell>
          <cell r="R34">
            <v>1</v>
          </cell>
          <cell r="S34">
            <v>1</v>
          </cell>
          <cell r="T34">
            <v>1</v>
          </cell>
          <cell r="U34" t="str">
            <v>wk-14</v>
          </cell>
        </row>
        <row r="35">
          <cell r="A35" t="str">
            <v>EX-FEAT-035</v>
          </cell>
          <cell r="B35" t="str">
            <v>RLC sideband</v>
          </cell>
          <cell r="C35" t="str">
            <v>P0</v>
          </cell>
          <cell r="D35" t="str">
            <v xml:space="preserve">PM0080.12, </v>
          </cell>
          <cell r="E35" t="e">
            <v>#N/A</v>
          </cell>
          <cell r="F35" t="str">
            <v>New</v>
          </cell>
          <cell r="G35" t="str">
            <v>No</v>
          </cell>
          <cell r="H35" t="str">
            <v>No</v>
          </cell>
          <cell r="I35">
            <v>1</v>
          </cell>
          <cell r="J35">
            <v>1</v>
          </cell>
          <cell r="K35">
            <v>1</v>
          </cell>
          <cell r="L35" t="e">
            <v>#DIV/0!</v>
          </cell>
          <cell r="M35">
            <v>1</v>
          </cell>
          <cell r="N35">
            <v>1</v>
          </cell>
          <cell r="O35">
            <v>1</v>
          </cell>
          <cell r="P35">
            <v>1</v>
          </cell>
          <cell r="Q35">
            <v>1</v>
          </cell>
          <cell r="R35">
            <v>1</v>
          </cell>
          <cell r="S35">
            <v>1</v>
          </cell>
          <cell r="T35">
            <v>1</v>
          </cell>
          <cell r="U35" t="str">
            <v>wk-3</v>
          </cell>
        </row>
        <row r="36">
          <cell r="A36" t="str">
            <v>EX-FEAT-036</v>
          </cell>
          <cell r="B36" t="str">
            <v>IMU-SOC datapath</v>
          </cell>
          <cell r="C36" t="str">
            <v>P0</v>
          </cell>
          <cell r="D36" t="str">
            <v xml:space="preserve">PM074.04, </v>
          </cell>
          <cell r="E36" t="str">
            <v>IMU</v>
          </cell>
          <cell r="F36" t="str">
            <v>New</v>
          </cell>
          <cell r="G36" t="str">
            <v>Yes</v>
          </cell>
          <cell r="H36" t="str">
            <v>Yes</v>
          </cell>
          <cell r="I36">
            <v>1</v>
          </cell>
          <cell r="J36">
            <v>1</v>
          </cell>
          <cell r="K36">
            <v>1</v>
          </cell>
          <cell r="L36" t="e">
            <v>#DIV/0!</v>
          </cell>
          <cell r="M36">
            <v>1</v>
          </cell>
          <cell r="N36">
            <v>1</v>
          </cell>
          <cell r="O36">
            <v>1</v>
          </cell>
          <cell r="P36">
            <v>1</v>
          </cell>
          <cell r="Q36">
            <v>1</v>
          </cell>
          <cell r="R36">
            <v>1</v>
          </cell>
          <cell r="S36">
            <v>1</v>
          </cell>
          <cell r="T36">
            <v>1</v>
          </cell>
          <cell r="U36" t="str">
            <v>wk-14</v>
          </cell>
        </row>
        <row r="37">
          <cell r="A37" t="str">
            <v>EX-FEAT-038</v>
          </cell>
          <cell r="B37" t="str">
            <v>DFLL stretch</v>
          </cell>
          <cell r="C37" t="str">
            <v>P2</v>
          </cell>
          <cell r="D37" t="str">
            <v xml:space="preserve">PM0xx.xx, </v>
          </cell>
          <cell r="E37" t="str">
            <v>IMU</v>
          </cell>
          <cell r="F37" t="str">
            <v>New</v>
          </cell>
          <cell r="G37" t="str">
            <v>No</v>
          </cell>
          <cell r="H37" t="str">
            <v>No</v>
          </cell>
          <cell r="I37">
            <v>1</v>
          </cell>
          <cell r="J37">
            <v>1</v>
          </cell>
          <cell r="K37">
            <v>1</v>
          </cell>
          <cell r="L37" t="e">
            <v>#DIV/0!</v>
          </cell>
          <cell r="M37">
            <v>0</v>
          </cell>
          <cell r="N37">
            <v>0</v>
          </cell>
          <cell r="O37">
            <v>0</v>
          </cell>
          <cell r="P37">
            <v>1</v>
          </cell>
          <cell r="Q37">
            <v>1</v>
          </cell>
          <cell r="R37">
            <v>1</v>
          </cell>
          <cell r="S37">
            <v>1</v>
          </cell>
          <cell r="T37">
            <v>1</v>
          </cell>
          <cell r="U37" t="str">
            <v>N/A</v>
          </cell>
        </row>
        <row r="38">
          <cell r="A38" t="str">
            <v>EX-FEAT-039</v>
          </cell>
          <cell r="B38" t="str">
            <v>DFLL deep sleep</v>
          </cell>
          <cell r="C38" t="str">
            <v>P2</v>
          </cell>
          <cell r="D38" t="str">
            <v xml:space="preserve">PM010.032, </v>
          </cell>
          <cell r="E38" t="str">
            <v>IMU</v>
          </cell>
          <cell r="F38" t="str">
            <v>New</v>
          </cell>
          <cell r="G38" t="str">
            <v>Yes</v>
          </cell>
          <cell r="H38" t="str">
            <v>NO</v>
          </cell>
          <cell r="I38">
            <v>1</v>
          </cell>
          <cell r="J38">
            <v>1</v>
          </cell>
          <cell r="K38">
            <v>1</v>
          </cell>
          <cell r="L38">
            <v>1</v>
          </cell>
          <cell r="M38">
            <v>0</v>
          </cell>
          <cell r="N38">
            <v>0</v>
          </cell>
          <cell r="O38">
            <v>0</v>
          </cell>
          <cell r="P38">
            <v>1</v>
          </cell>
          <cell r="Q38">
            <v>1</v>
          </cell>
          <cell r="R38">
            <v>1</v>
          </cell>
          <cell r="S38">
            <v>1</v>
          </cell>
          <cell r="T38">
            <v>1</v>
          </cell>
          <cell r="U38" t="str">
            <v>wk-8</v>
          </cell>
        </row>
        <row r="39">
          <cell r="A39" t="str">
            <v>EX-FEAT-040</v>
          </cell>
          <cell r="B39" t="str">
            <v>DFLL Spread Spectrum</v>
          </cell>
          <cell r="C39" t="str">
            <v>P0</v>
          </cell>
          <cell r="D39" t="str">
            <v xml:space="preserve">PM0xx.xx, </v>
          </cell>
          <cell r="E39" t="str">
            <v>IMU</v>
          </cell>
          <cell r="F39" t="str">
            <v>New</v>
          </cell>
          <cell r="G39" t="str">
            <v>Yes</v>
          </cell>
          <cell r="H39" t="str">
            <v>NO</v>
          </cell>
          <cell r="I39">
            <v>1</v>
          </cell>
          <cell r="J39">
            <v>1</v>
          </cell>
          <cell r="K39">
            <v>1</v>
          </cell>
          <cell r="L39" t="e">
            <v>#DIV/0!</v>
          </cell>
          <cell r="M39">
            <v>0</v>
          </cell>
          <cell r="N39">
            <v>0</v>
          </cell>
          <cell r="O39">
            <v>0</v>
          </cell>
          <cell r="P39">
            <v>0</v>
          </cell>
          <cell r="Q39">
            <v>0</v>
          </cell>
          <cell r="R39">
            <v>0</v>
          </cell>
          <cell r="S39">
            <v>0</v>
          </cell>
          <cell r="T39">
            <v>0</v>
          </cell>
          <cell r="U39" t="str">
            <v>wk-8</v>
          </cell>
        </row>
        <row r="40">
          <cell r="A40" t="str">
            <v>EX-FEAT-041</v>
          </cell>
          <cell r="B40" t="str">
            <v>DFLL mux</v>
          </cell>
          <cell r="C40" t="str">
            <v>P0</v>
          </cell>
          <cell r="D40" t="str">
            <v xml:space="preserve">PM080.12, </v>
          </cell>
          <cell r="E40" t="str">
            <v>IMU</v>
          </cell>
          <cell r="F40" t="str">
            <v>New</v>
          </cell>
          <cell r="G40" t="str">
            <v>Yes</v>
          </cell>
          <cell r="H40" t="str">
            <v>Yes</v>
          </cell>
          <cell r="I40">
            <v>1</v>
          </cell>
          <cell r="J40">
            <v>1</v>
          </cell>
          <cell r="K40">
            <v>1</v>
          </cell>
          <cell r="L40" t="e">
            <v>#DIV/0!</v>
          </cell>
          <cell r="M40">
            <v>0</v>
          </cell>
          <cell r="N40">
            <v>0</v>
          </cell>
          <cell r="O40">
            <v>0</v>
          </cell>
          <cell r="P40">
            <v>1</v>
          </cell>
          <cell r="Q40">
            <v>1</v>
          </cell>
          <cell r="R40">
            <v>1</v>
          </cell>
          <cell r="S40">
            <v>1</v>
          </cell>
          <cell r="T40">
            <v>1</v>
          </cell>
          <cell r="U40" t="str">
            <v>wk-4</v>
          </cell>
        </row>
        <row r="41">
          <cell r="A41" t="str">
            <v>EX-FEAT-042</v>
          </cell>
          <cell r="B41" t="str">
            <v>8 DFLL(Add all DFLL features) VS GFX_BYPASS CLK</v>
          </cell>
          <cell r="C41" t="str">
            <v>P0</v>
          </cell>
          <cell r="D41" t="str">
            <v xml:space="preserve">PM0xx.0xx, </v>
          </cell>
          <cell r="E41" t="str">
            <v>IMU</v>
          </cell>
          <cell r="F41" t="str">
            <v>New</v>
          </cell>
          <cell r="G41" t="str">
            <v>Yes</v>
          </cell>
          <cell r="H41" t="str">
            <v>Yes</v>
          </cell>
          <cell r="I41">
            <v>1</v>
          </cell>
          <cell r="J41">
            <v>1</v>
          </cell>
          <cell r="K41">
            <v>1</v>
          </cell>
          <cell r="L41" t="e">
            <v>#DIV/0!</v>
          </cell>
          <cell r="M41">
            <v>1</v>
          </cell>
          <cell r="N41">
            <v>1</v>
          </cell>
          <cell r="O41">
            <v>1</v>
          </cell>
          <cell r="P41">
            <v>1</v>
          </cell>
          <cell r="Q41">
            <v>1</v>
          </cell>
          <cell r="R41">
            <v>1</v>
          </cell>
          <cell r="S41">
            <v>1</v>
          </cell>
          <cell r="T41">
            <v>1</v>
          </cell>
          <cell r="U41" t="str">
            <v>wk-4</v>
          </cell>
        </row>
        <row r="42">
          <cell r="A42" t="str">
            <v>EX-FEAT-043</v>
          </cell>
          <cell r="B42" t="str">
            <v>GFX SOCCLK DS enable (IMU override)</v>
          </cell>
          <cell r="C42" t="str">
            <v>P0</v>
          </cell>
          <cell r="D42" t="str">
            <v xml:space="preserve">PM0080.12, </v>
          </cell>
          <cell r="F42" t="str">
            <v>New</v>
          </cell>
          <cell r="G42" t="str">
            <v>Yes</v>
          </cell>
          <cell r="H42" t="str">
            <v>Yes</v>
          </cell>
          <cell r="U42" t="str">
            <v>wk-14</v>
          </cell>
        </row>
        <row r="45">
          <cell r="A45" t="str">
            <v>PLEASE DO NOT CROSS THIS LINE.   Insert New Rows OR Copied Cells "Above" The Last Known Good Row Only So Each Copied Cells &amp; Rows Still Contains The Right Formulas (Similar Concept for Removing or Deleting Rows)</v>
          </cell>
        </row>
        <row r="47">
          <cell r="A47" t="str">
            <v>Total Summary</v>
          </cell>
          <cell r="G47">
            <v>30</v>
          </cell>
          <cell r="H47">
            <v>23</v>
          </cell>
          <cell r="I47">
            <v>15</v>
          </cell>
          <cell r="J47">
            <v>17</v>
          </cell>
          <cell r="K47">
            <v>1</v>
          </cell>
          <cell r="L47" t="e">
            <v>#DIV/0!</v>
          </cell>
          <cell r="M47">
            <v>15</v>
          </cell>
          <cell r="N47">
            <v>15</v>
          </cell>
          <cell r="O47">
            <v>1</v>
          </cell>
          <cell r="P47">
            <v>17</v>
          </cell>
          <cell r="Q47">
            <v>17</v>
          </cell>
          <cell r="R47">
            <v>1</v>
          </cell>
          <cell r="S47">
            <v>1</v>
          </cell>
          <cell r="T47">
            <v>1</v>
          </cell>
        </row>
        <row r="48">
          <cell r="G48">
            <v>0.83333333333333337</v>
          </cell>
          <cell r="H48">
            <v>0.76666666666666672</v>
          </cell>
        </row>
      </sheetData>
      <sheetData sheetId="8" refreshError="1"/>
      <sheetData sheetId="9" refreshError="1"/>
      <sheetData sheetId="10" refreshError="1"/>
      <sheetData sheetId="1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33.683469212963" createdVersion="7" refreshedVersion="7" minRefreshableVersion="3" recordCount="110" xr:uid="{C971AEDC-6B38-4DDC-AC58-79EE0738BB22}">
  <cacheSource type="worksheet">
    <worksheetSource ref="F6:U103" sheet="Feature Summary"/>
  </cacheSource>
  <cacheFields count="16">
    <cacheField name="Category" numFmtId="0">
      <sharedItems count="3">
        <s v="Delta"/>
        <s v="Legacy"/>
        <s v="New"/>
      </sharedItems>
    </cacheField>
    <cacheField name="Entitled?" numFmtId="0">
      <sharedItems/>
    </cacheField>
    <cacheField name="Committed?" numFmtId="0">
      <sharedItems count="2">
        <s v="Yes"/>
        <s v="No"/>
      </sharedItems>
    </cacheField>
    <cacheField name="Effort" numFmtId="0">
      <sharedItems containsSemiMixedTypes="0" containsString="0" containsNumber="1" containsInteger="1" minValue="0" maxValue="15"/>
    </cacheField>
    <cacheField name="# Tests Per Feature" numFmtId="0">
      <sharedItems containsSemiMixedTypes="0" containsString="0" containsNumber="1" containsInteger="1" minValue="0" maxValue="15"/>
    </cacheField>
    <cacheField name="% TP Done" numFmtId="166">
      <sharedItems containsMixedTypes="1" containsNumber="1" containsInteger="1" minValue="0" maxValue="1"/>
    </cacheField>
    <cacheField name="% Code Done" numFmtId="166">
      <sharedItems containsMixedTypes="1" containsNumber="1" minValue="0" maxValue="1"/>
    </cacheField>
    <cacheField name="# Planned" numFmtId="1">
      <sharedItems containsSemiMixedTypes="0" containsString="0" containsNumber="1" containsInteger="1" minValue="0" maxValue="3"/>
    </cacheField>
    <cacheField name="# Passed" numFmtId="1">
      <sharedItems containsSemiMixedTypes="0" containsString="0" containsNumber="1" containsInteger="1" minValue="0" maxValue="3"/>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9">
        <s v="wk-11"/>
        <s v="N/A"/>
        <s v="wk-10"/>
        <s v="wk-7"/>
        <s v="wk-1"/>
        <s v="wk-2"/>
        <s v="wk-8"/>
        <s v="wk-13"/>
        <s v="wk-6"/>
        <m/>
        <s v="wk-4"/>
        <s v="wk-5"/>
        <s v="wk-3"/>
        <s v="wk-16"/>
        <s v="wk-14"/>
        <s v="TBD"/>
        <s v="wk8"/>
        <s v="NA"/>
        <s v="wk-9"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x v="0"/>
    <s v="Yes"/>
    <x v="0"/>
    <n v="14"/>
    <n v="14"/>
    <n v="1"/>
    <n v="0.9642857142857143"/>
    <n v="1"/>
    <n v="1"/>
    <n v="1"/>
    <n v="0"/>
    <n v="0"/>
    <n v="0"/>
    <n v="0"/>
    <n v="0"/>
    <x v="0"/>
  </r>
  <r>
    <x v="1"/>
    <s v="Yes"/>
    <x v="1"/>
    <n v="0"/>
    <n v="0"/>
    <n v="0"/>
    <n v="0"/>
    <n v="0"/>
    <n v="0"/>
    <n v="0"/>
    <n v="0"/>
    <n v="0"/>
    <n v="0"/>
    <n v="0"/>
    <n v="0"/>
    <x v="1"/>
  </r>
  <r>
    <x v="1"/>
    <s v="Yes"/>
    <x v="0"/>
    <n v="1"/>
    <n v="1"/>
    <n v="1"/>
    <n v="0.5"/>
    <n v="1"/>
    <n v="1"/>
    <n v="1"/>
    <n v="0"/>
    <n v="0"/>
    <n v="0"/>
    <n v="0"/>
    <n v="0"/>
    <x v="2"/>
  </r>
  <r>
    <x v="1"/>
    <s v="Yes"/>
    <x v="1"/>
    <n v="0"/>
    <n v="0"/>
    <n v="0"/>
    <n v="0"/>
    <n v="0"/>
    <n v="0"/>
    <n v="0"/>
    <n v="0"/>
    <n v="0"/>
    <n v="0"/>
    <n v="0"/>
    <n v="0"/>
    <x v="1"/>
  </r>
  <r>
    <x v="1"/>
    <s v="No"/>
    <x v="1"/>
    <n v="0"/>
    <n v="0"/>
    <n v="0"/>
    <n v="0"/>
    <n v="0"/>
    <n v="0"/>
    <n v="0"/>
    <n v="0"/>
    <n v="0"/>
    <n v="0"/>
    <n v="0"/>
    <n v="0"/>
    <x v="1"/>
  </r>
  <r>
    <x v="1"/>
    <s v="Yes"/>
    <x v="0"/>
    <n v="1"/>
    <n v="1"/>
    <n v="1"/>
    <n v="0.5"/>
    <n v="1"/>
    <n v="1"/>
    <n v="1"/>
    <n v="0"/>
    <n v="0"/>
    <n v="0"/>
    <n v="0"/>
    <n v="0"/>
    <x v="2"/>
  </r>
  <r>
    <x v="1"/>
    <s v="Yes"/>
    <x v="0"/>
    <n v="15"/>
    <n v="15"/>
    <n v="1"/>
    <n v="0.96666666666666667"/>
    <n v="1"/>
    <n v="1"/>
    <n v="1"/>
    <n v="0"/>
    <n v="0"/>
    <n v="0"/>
    <n v="0"/>
    <n v="0"/>
    <x v="2"/>
  </r>
  <r>
    <x v="1"/>
    <s v="Yes"/>
    <x v="1"/>
    <n v="1"/>
    <n v="1"/>
    <n v="1"/>
    <n v="1"/>
    <n v="1"/>
    <n v="1"/>
    <n v="1"/>
    <n v="0"/>
    <n v="0"/>
    <n v="0"/>
    <n v="0"/>
    <n v="0"/>
    <x v="3"/>
  </r>
  <r>
    <x v="1"/>
    <s v="Yes"/>
    <x v="1"/>
    <n v="1"/>
    <n v="1"/>
    <n v="1"/>
    <n v="1"/>
    <n v="1"/>
    <n v="1"/>
    <n v="1"/>
    <n v="0"/>
    <n v="0"/>
    <n v="0"/>
    <n v="0"/>
    <n v="0"/>
    <x v="4"/>
  </r>
  <r>
    <x v="0"/>
    <s v="Yes"/>
    <x v="0"/>
    <n v="1"/>
    <n v="1"/>
    <n v="1"/>
    <n v="1"/>
    <n v="1"/>
    <n v="1"/>
    <n v="1"/>
    <n v="0"/>
    <n v="0"/>
    <n v="0"/>
    <n v="0"/>
    <n v="0"/>
    <x v="5"/>
  </r>
  <r>
    <x v="0"/>
    <s v="Yes"/>
    <x v="0"/>
    <n v="1"/>
    <n v="1"/>
    <n v="1"/>
    <n v="1"/>
    <n v="1"/>
    <n v="1"/>
    <n v="1"/>
    <n v="0"/>
    <n v="0"/>
    <n v="0"/>
    <n v="0"/>
    <n v="0"/>
    <x v="5"/>
  </r>
  <r>
    <x v="0"/>
    <s v="Yes"/>
    <x v="1"/>
    <n v="1"/>
    <n v="1"/>
    <n v="1"/>
    <n v="1"/>
    <n v="0"/>
    <n v="0"/>
    <n v="0"/>
    <n v="0"/>
    <n v="0"/>
    <n v="0"/>
    <n v="0"/>
    <n v="0"/>
    <x v="3"/>
  </r>
  <r>
    <x v="0"/>
    <s v="Yes"/>
    <x v="1"/>
    <n v="2"/>
    <n v="2"/>
    <n v="1"/>
    <n v="1"/>
    <n v="2"/>
    <n v="2"/>
    <n v="1"/>
    <n v="0"/>
    <n v="0"/>
    <n v="0"/>
    <n v="0"/>
    <n v="0"/>
    <x v="6"/>
  </r>
  <r>
    <x v="0"/>
    <s v="Yes"/>
    <x v="0"/>
    <n v="2"/>
    <n v="2"/>
    <n v="1"/>
    <n v="0.75"/>
    <n v="2"/>
    <n v="1"/>
    <n v="0.5"/>
    <n v="0"/>
    <n v="0"/>
    <n v="0"/>
    <n v="0"/>
    <n v="0"/>
    <x v="7"/>
  </r>
  <r>
    <x v="1"/>
    <s v="Yes"/>
    <x v="0"/>
    <n v="1"/>
    <n v="4"/>
    <n v="1"/>
    <n v="1"/>
    <n v="0"/>
    <n v="0"/>
    <n v="0"/>
    <n v="0"/>
    <n v="0"/>
    <n v="0"/>
    <n v="0"/>
    <n v="0"/>
    <x v="2"/>
  </r>
  <r>
    <x v="1"/>
    <s v="Yes"/>
    <x v="1"/>
    <n v="1"/>
    <n v="1"/>
    <n v="1"/>
    <n v="1"/>
    <n v="0"/>
    <n v="0"/>
    <n v="0"/>
    <n v="0"/>
    <n v="0"/>
    <n v="0"/>
    <n v="0"/>
    <n v="0"/>
    <x v="4"/>
  </r>
  <r>
    <x v="1"/>
    <s v="Yes"/>
    <x v="0"/>
    <n v="1"/>
    <n v="1"/>
    <n v="1"/>
    <n v="0.5"/>
    <n v="1"/>
    <n v="0"/>
    <n v="0"/>
    <n v="0"/>
    <n v="0"/>
    <n v="0"/>
    <n v="0"/>
    <n v="0"/>
    <x v="2"/>
  </r>
  <r>
    <x v="0"/>
    <s v="Yes"/>
    <x v="1"/>
    <n v="1"/>
    <n v="1"/>
    <n v="1"/>
    <n v="1"/>
    <n v="1"/>
    <n v="1"/>
    <n v="1"/>
    <n v="0"/>
    <n v="0"/>
    <n v="0"/>
    <n v="0"/>
    <n v="0"/>
    <x v="8"/>
  </r>
  <r>
    <x v="1"/>
    <s v="No"/>
    <x v="1"/>
    <n v="0"/>
    <n v="0"/>
    <n v="0"/>
    <n v="0"/>
    <n v="0"/>
    <n v="0"/>
    <n v="0"/>
    <n v="0"/>
    <n v="0"/>
    <n v="0"/>
    <n v="0"/>
    <n v="0"/>
    <x v="9"/>
  </r>
  <r>
    <x v="1"/>
    <s v="No"/>
    <x v="1"/>
    <n v="0"/>
    <n v="0"/>
    <n v="0"/>
    <n v="0"/>
    <n v="0"/>
    <n v="0"/>
    <n v="0"/>
    <n v="0"/>
    <n v="0"/>
    <n v="0"/>
    <n v="0"/>
    <n v="0"/>
    <x v="9"/>
  </r>
  <r>
    <x v="1"/>
    <s v="Yes"/>
    <x v="1"/>
    <n v="1"/>
    <n v="1"/>
    <n v="1"/>
    <n v="0.5"/>
    <n v="0"/>
    <n v="0"/>
    <n v="0"/>
    <n v="0"/>
    <n v="0"/>
    <n v="0"/>
    <n v="0"/>
    <n v="0"/>
    <x v="1"/>
  </r>
  <r>
    <x v="1"/>
    <s v="No"/>
    <x v="1"/>
    <n v="0"/>
    <n v="0"/>
    <n v="0"/>
    <n v="0"/>
    <n v="0"/>
    <n v="0"/>
    <n v="0"/>
    <n v="0"/>
    <n v="0"/>
    <n v="0"/>
    <n v="0"/>
    <n v="0"/>
    <x v="9"/>
  </r>
  <r>
    <x v="1"/>
    <s v="Yes"/>
    <x v="0"/>
    <n v="1"/>
    <n v="1"/>
    <n v="1"/>
    <n v="1"/>
    <n v="1"/>
    <n v="1"/>
    <n v="1"/>
    <n v="0"/>
    <n v="0"/>
    <n v="0"/>
    <n v="0"/>
    <n v="0"/>
    <x v="10"/>
  </r>
  <r>
    <x v="2"/>
    <s v="Yes"/>
    <x v="0"/>
    <n v="1"/>
    <n v="1"/>
    <n v="1"/>
    <n v="1"/>
    <n v="1"/>
    <n v="1"/>
    <n v="1"/>
    <n v="0"/>
    <n v="0"/>
    <n v="0"/>
    <n v="0"/>
    <n v="0"/>
    <x v="4"/>
  </r>
  <r>
    <x v="1"/>
    <s v="Yes"/>
    <x v="0"/>
    <n v="2"/>
    <n v="2"/>
    <n v="1"/>
    <n v="1"/>
    <n v="2"/>
    <n v="2"/>
    <n v="1"/>
    <n v="0"/>
    <n v="0"/>
    <n v="0"/>
    <n v="0"/>
    <n v="0"/>
    <x v="4"/>
  </r>
  <r>
    <x v="1"/>
    <s v="No"/>
    <x v="1"/>
    <n v="0"/>
    <n v="0"/>
    <n v="0"/>
    <n v="0"/>
    <n v="0"/>
    <n v="0"/>
    <n v="0"/>
    <n v="0"/>
    <n v="0"/>
    <n v="0"/>
    <n v="0"/>
    <n v="0"/>
    <x v="9"/>
  </r>
  <r>
    <x v="1"/>
    <s v="Yes"/>
    <x v="0"/>
    <n v="1"/>
    <n v="1"/>
    <n v="1"/>
    <n v="1"/>
    <n v="1"/>
    <n v="1"/>
    <n v="1"/>
    <n v="0"/>
    <n v="0"/>
    <n v="0"/>
    <n v="0"/>
    <n v="0"/>
    <x v="10"/>
  </r>
  <r>
    <x v="2"/>
    <s v="No"/>
    <x v="1"/>
    <n v="0"/>
    <n v="0"/>
    <n v="0"/>
    <n v="0"/>
    <n v="0"/>
    <n v="0"/>
    <n v="0"/>
    <n v="0"/>
    <n v="0"/>
    <n v="0"/>
    <n v="0"/>
    <n v="0"/>
    <x v="9"/>
  </r>
  <r>
    <x v="1"/>
    <s v="Yes"/>
    <x v="0"/>
    <n v="4"/>
    <n v="4"/>
    <n v="1"/>
    <n v="1"/>
    <n v="3"/>
    <n v="3"/>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10"/>
  </r>
  <r>
    <x v="1"/>
    <s v="Yes"/>
    <x v="0"/>
    <n v="1"/>
    <n v="1"/>
    <n v="1"/>
    <n v="1"/>
    <n v="1"/>
    <n v="1"/>
    <n v="1"/>
    <n v="0"/>
    <n v="0"/>
    <n v="0"/>
    <n v="0"/>
    <n v="0"/>
    <x v="10"/>
  </r>
  <r>
    <x v="1"/>
    <s v="Yes"/>
    <x v="0"/>
    <n v="1"/>
    <n v="1"/>
    <n v="1"/>
    <n v="1"/>
    <n v="1"/>
    <n v="1"/>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4"/>
  </r>
  <r>
    <x v="1"/>
    <s v="Yes"/>
    <x v="0"/>
    <n v="1"/>
    <n v="1"/>
    <n v="1"/>
    <n v="1"/>
    <n v="1"/>
    <n v="1"/>
    <n v="1"/>
    <n v="0"/>
    <n v="0"/>
    <n v="0"/>
    <n v="0"/>
    <n v="0"/>
    <x v="10"/>
  </r>
  <r>
    <x v="1"/>
    <s v="Yes"/>
    <x v="0"/>
    <n v="2"/>
    <n v="2"/>
    <n v="1"/>
    <n v="1"/>
    <n v="2"/>
    <n v="2"/>
    <n v="1"/>
    <n v="0"/>
    <n v="0"/>
    <n v="0"/>
    <n v="0"/>
    <n v="0"/>
    <x v="4"/>
  </r>
  <r>
    <x v="1"/>
    <s v="Yes"/>
    <x v="0"/>
    <n v="1"/>
    <n v="1"/>
    <n v="1"/>
    <n v="1"/>
    <n v="1"/>
    <n v="1"/>
    <n v="1"/>
    <n v="0"/>
    <n v="0"/>
    <n v="0"/>
    <n v="0"/>
    <n v="0"/>
    <x v="4"/>
  </r>
  <r>
    <x v="0"/>
    <s v="Yes"/>
    <x v="1"/>
    <n v="1"/>
    <n v="1"/>
    <n v="1"/>
    <n v="1"/>
    <n v="0"/>
    <n v="0"/>
    <n v="0"/>
    <n v="0"/>
    <n v="0"/>
    <n v="0"/>
    <n v="0"/>
    <n v="0"/>
    <x v="5"/>
  </r>
  <r>
    <x v="0"/>
    <s v="Yes"/>
    <x v="0"/>
    <n v="3"/>
    <n v="3"/>
    <n v="1"/>
    <n v="1"/>
    <n v="2"/>
    <n v="2"/>
    <n v="1"/>
    <n v="0"/>
    <n v="0"/>
    <n v="0"/>
    <n v="0"/>
    <n v="0"/>
    <x v="5"/>
  </r>
  <r>
    <x v="0"/>
    <s v="No"/>
    <x v="1"/>
    <n v="0"/>
    <n v="0"/>
    <n v="0"/>
    <n v="0"/>
    <n v="0"/>
    <n v="0"/>
    <n v="0"/>
    <n v="0"/>
    <n v="0"/>
    <n v="0"/>
    <n v="0"/>
    <n v="0"/>
    <x v="9"/>
  </r>
  <r>
    <x v="0"/>
    <s v="Yes"/>
    <x v="1"/>
    <n v="1"/>
    <n v="1"/>
    <n v="1"/>
    <n v="1"/>
    <n v="0"/>
    <n v="0"/>
    <n v="0"/>
    <n v="0"/>
    <n v="0"/>
    <n v="0"/>
    <n v="0"/>
    <n v="0"/>
    <x v="11"/>
  </r>
  <r>
    <x v="0"/>
    <s v="Yes"/>
    <x v="1"/>
    <n v="2"/>
    <n v="2"/>
    <n v="1"/>
    <n v="1"/>
    <n v="0"/>
    <n v="0"/>
    <n v="0"/>
    <n v="0"/>
    <n v="0"/>
    <n v="0"/>
    <n v="0"/>
    <n v="0"/>
    <x v="11"/>
  </r>
  <r>
    <x v="0"/>
    <s v="No"/>
    <x v="1"/>
    <n v="0"/>
    <n v="0"/>
    <n v="0"/>
    <n v="0"/>
    <n v="0"/>
    <n v="0"/>
    <n v="0"/>
    <n v="0"/>
    <n v="0"/>
    <n v="0"/>
    <n v="0"/>
    <n v="0"/>
    <x v="9"/>
  </r>
  <r>
    <x v="0"/>
    <s v="Yes"/>
    <x v="0"/>
    <n v="1"/>
    <n v="1"/>
    <n v="1"/>
    <n v="1"/>
    <n v="0"/>
    <n v="0"/>
    <n v="0"/>
    <n v="0"/>
    <n v="0"/>
    <n v="0"/>
    <n v="0"/>
    <n v="0"/>
    <x v="12"/>
  </r>
  <r>
    <x v="1"/>
    <s v="Yes"/>
    <x v="1"/>
    <n v="1"/>
    <n v="1"/>
    <n v="1"/>
    <n v="1"/>
    <n v="0"/>
    <n v="0"/>
    <n v="0"/>
    <n v="0"/>
    <n v="0"/>
    <n v="0"/>
    <n v="0"/>
    <n v="0"/>
    <x v="11"/>
  </r>
  <r>
    <x v="1"/>
    <s v="Yes"/>
    <x v="0"/>
    <n v="5"/>
    <n v="5"/>
    <n v="1"/>
    <n v="1"/>
    <n v="1"/>
    <n v="1"/>
    <n v="1"/>
    <n v="0"/>
    <n v="0"/>
    <n v="0"/>
    <n v="0"/>
    <n v="0"/>
    <x v="13"/>
  </r>
  <r>
    <x v="1"/>
    <s v="Yes"/>
    <x v="1"/>
    <n v="1"/>
    <n v="1"/>
    <n v="1"/>
    <n v="0.5"/>
    <n v="0"/>
    <n v="0"/>
    <n v="0"/>
    <n v="0"/>
    <n v="0"/>
    <n v="0"/>
    <n v="0"/>
    <n v="0"/>
    <x v="4"/>
  </r>
  <r>
    <x v="2"/>
    <s v="Yes"/>
    <x v="1"/>
    <n v="7"/>
    <n v="7"/>
    <n v="1"/>
    <n v="1"/>
    <n v="0"/>
    <n v="0"/>
    <n v="0"/>
    <n v="0"/>
    <n v="0"/>
    <n v="0"/>
    <n v="0"/>
    <n v="0"/>
    <x v="4"/>
  </r>
  <r>
    <x v="1"/>
    <s v="Yes"/>
    <x v="1"/>
    <n v="1"/>
    <n v="1"/>
    <n v="1"/>
    <n v="0.5"/>
    <n v="0"/>
    <n v="0"/>
    <n v="0"/>
    <n v="0"/>
    <n v="0"/>
    <n v="0"/>
    <n v="0"/>
    <n v="0"/>
    <x v="4"/>
  </r>
  <r>
    <x v="1"/>
    <s v="No"/>
    <x v="1"/>
    <n v="0"/>
    <n v="0"/>
    <n v="0"/>
    <n v="0"/>
    <n v="0"/>
    <n v="0"/>
    <n v="0"/>
    <n v="0"/>
    <n v="0"/>
    <n v="0"/>
    <n v="0"/>
    <n v="0"/>
    <x v="9"/>
  </r>
  <r>
    <x v="1"/>
    <s v="Yes"/>
    <x v="1"/>
    <n v="1"/>
    <n v="1"/>
    <n v="1"/>
    <n v="1"/>
    <n v="1"/>
    <n v="1"/>
    <n v="1"/>
    <n v="0"/>
    <n v="0"/>
    <n v="0"/>
    <n v="0"/>
    <n v="0"/>
    <x v="4"/>
  </r>
  <r>
    <x v="1"/>
    <s v="Yes"/>
    <x v="1"/>
    <n v="5"/>
    <n v="5"/>
    <n v="1"/>
    <n v="0.8"/>
    <n v="0"/>
    <n v="0"/>
    <n v="0"/>
    <n v="0"/>
    <n v="0"/>
    <n v="0"/>
    <n v="0"/>
    <n v="0"/>
    <x v="4"/>
  </r>
  <r>
    <x v="1"/>
    <s v="No"/>
    <x v="1"/>
    <n v="0"/>
    <n v="0"/>
    <n v="0"/>
    <n v="0"/>
    <n v="0"/>
    <n v="0"/>
    <n v="0"/>
    <n v="0"/>
    <n v="0"/>
    <n v="0"/>
    <n v="0"/>
    <n v="0"/>
    <x v="9"/>
  </r>
  <r>
    <x v="1"/>
    <s v="Yes"/>
    <x v="0"/>
    <n v="1"/>
    <n v="1"/>
    <n v="1"/>
    <n v="1"/>
    <n v="1"/>
    <n v="1"/>
    <n v="1"/>
    <n v="0"/>
    <n v="0"/>
    <n v="0"/>
    <n v="0"/>
    <n v="0"/>
    <x v="14"/>
  </r>
  <r>
    <x v="1"/>
    <s v="Yes"/>
    <x v="0"/>
    <n v="1"/>
    <n v="1"/>
    <n v="1"/>
    <n v="1"/>
    <n v="1"/>
    <n v="1"/>
    <n v="1"/>
    <n v="0"/>
    <n v="0"/>
    <n v="0"/>
    <n v="0"/>
    <n v="0"/>
    <x v="15"/>
  </r>
  <r>
    <x v="1"/>
    <s v="No"/>
    <x v="1"/>
    <n v="0"/>
    <n v="0"/>
    <n v="0"/>
    <n v="0"/>
    <n v="0"/>
    <n v="0"/>
    <n v="0"/>
    <n v="0"/>
    <n v="0"/>
    <n v="0"/>
    <n v="0"/>
    <n v="0"/>
    <x v="9"/>
  </r>
  <r>
    <x v="1"/>
    <s v="Yes"/>
    <x v="0"/>
    <n v="2"/>
    <n v="2"/>
    <n v="1"/>
    <n v="1"/>
    <n v="2"/>
    <n v="2"/>
    <n v="1"/>
    <n v="0"/>
    <n v="0"/>
    <n v="0"/>
    <n v="0"/>
    <n v="0"/>
    <x v="15"/>
  </r>
  <r>
    <x v="1"/>
    <s v="Yes"/>
    <x v="0"/>
    <n v="1"/>
    <n v="1"/>
    <n v="1"/>
    <n v="1"/>
    <n v="1"/>
    <n v="1"/>
    <n v="1"/>
    <n v="0"/>
    <n v="0"/>
    <n v="0"/>
    <n v="0"/>
    <n v="0"/>
    <x v="5"/>
  </r>
  <r>
    <x v="1"/>
    <s v="Yes"/>
    <x v="0"/>
    <n v="1"/>
    <n v="1"/>
    <n v="1"/>
    <n v="1"/>
    <n v="1"/>
    <n v="1"/>
    <n v="1"/>
    <n v="0"/>
    <n v="0"/>
    <n v="0"/>
    <n v="0"/>
    <n v="0"/>
    <x v="5"/>
  </r>
  <r>
    <x v="1"/>
    <s v="Yes"/>
    <x v="0"/>
    <n v="1"/>
    <n v="1"/>
    <n v="1"/>
    <n v="1"/>
    <n v="1"/>
    <n v="1"/>
    <n v="1"/>
    <n v="0"/>
    <n v="0"/>
    <n v="0"/>
    <n v="0"/>
    <n v="0"/>
    <x v="5"/>
  </r>
  <r>
    <x v="1"/>
    <s v="Yes"/>
    <x v="0"/>
    <n v="2"/>
    <n v="2"/>
    <n v="1"/>
    <n v="1"/>
    <n v="2"/>
    <n v="2"/>
    <n v="1"/>
    <n v="0"/>
    <n v="0"/>
    <n v="0"/>
    <n v="0"/>
    <n v="0"/>
    <x v="5"/>
  </r>
  <r>
    <x v="1"/>
    <s v="Yes"/>
    <x v="1"/>
    <n v="5"/>
    <n v="5"/>
    <n v="1"/>
    <n v="0.8"/>
    <n v="0"/>
    <n v="0"/>
    <n v="0"/>
    <n v="0"/>
    <n v="0"/>
    <n v="0"/>
    <n v="0"/>
    <n v="0"/>
    <x v="4"/>
  </r>
  <r>
    <x v="1"/>
    <s v="Yes"/>
    <x v="1"/>
    <n v="5"/>
    <n v="5"/>
    <n v="1"/>
    <n v="0.8"/>
    <n v="0"/>
    <n v="0"/>
    <n v="0"/>
    <n v="0"/>
    <n v="0"/>
    <n v="0"/>
    <n v="0"/>
    <n v="0"/>
    <x v="4"/>
  </r>
  <r>
    <x v="1"/>
    <s v="Yes"/>
    <x v="1"/>
    <n v="5"/>
    <n v="5"/>
    <n v="1"/>
    <n v="0.8"/>
    <n v="0"/>
    <n v="0"/>
    <n v="0"/>
    <n v="0"/>
    <n v="0"/>
    <n v="0"/>
    <n v="0"/>
    <n v="0"/>
    <x v="4"/>
  </r>
  <r>
    <x v="1"/>
    <s v="Yes"/>
    <x v="1"/>
    <n v="6"/>
    <n v="6"/>
    <n v="1"/>
    <n v="1"/>
    <n v="0"/>
    <n v="0"/>
    <n v="0"/>
    <n v="0"/>
    <n v="0"/>
    <n v="0"/>
    <n v="0"/>
    <n v="0"/>
    <x v="4"/>
  </r>
  <r>
    <x v="1"/>
    <s v="No"/>
    <x v="1"/>
    <n v="0"/>
    <n v="0"/>
    <n v="0"/>
    <n v="0"/>
    <n v="0"/>
    <n v="0"/>
    <n v="0"/>
    <n v="0"/>
    <n v="0"/>
    <n v="0"/>
    <n v="0"/>
    <n v="0"/>
    <x v="9"/>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1"/>
    <n v="0"/>
    <n v="0"/>
    <e v="#DIV/0!"/>
    <e v="#DIV/0!"/>
    <n v="0"/>
    <n v="0"/>
    <n v="0"/>
    <n v="0"/>
    <n v="0"/>
    <n v="0"/>
    <n v="0"/>
    <n v="0"/>
    <x v="17"/>
  </r>
  <r>
    <x v="1"/>
    <s v="No"/>
    <x v="1"/>
    <n v="0"/>
    <n v="0"/>
    <n v="0"/>
    <n v="0"/>
    <n v="0"/>
    <n v="0"/>
    <n v="0"/>
    <n v="0"/>
    <n v="0"/>
    <n v="0"/>
    <n v="0"/>
    <n v="0"/>
    <x v="9"/>
  </r>
  <r>
    <x v="1"/>
    <s v="Yes"/>
    <x v="0"/>
    <n v="1"/>
    <n v="1"/>
    <n v="1"/>
    <n v="0.4"/>
    <n v="0"/>
    <n v="0"/>
    <n v="0"/>
    <n v="0"/>
    <n v="0"/>
    <n v="0"/>
    <n v="0"/>
    <n v="0"/>
    <x v="12"/>
  </r>
  <r>
    <x v="1"/>
    <s v="Yes"/>
    <x v="0"/>
    <n v="2"/>
    <n v="2"/>
    <n v="1"/>
    <n v="0.7"/>
    <n v="2"/>
    <n v="2"/>
    <n v="1"/>
    <n v="0"/>
    <n v="0"/>
    <n v="0"/>
    <n v="0"/>
    <n v="0"/>
    <x v="3"/>
  </r>
  <r>
    <x v="1"/>
    <s v="Yes"/>
    <x v="0"/>
    <n v="2"/>
    <n v="2"/>
    <n v="1"/>
    <n v="0.7"/>
    <n v="2"/>
    <n v="2"/>
    <n v="1"/>
    <n v="0"/>
    <n v="0"/>
    <n v="0"/>
    <n v="0"/>
    <n v="0"/>
    <x v="3"/>
  </r>
  <r>
    <x v="1"/>
    <s v="Yes"/>
    <x v="0"/>
    <n v="2"/>
    <n v="2"/>
    <n v="1"/>
    <n v="0.55000000000000004"/>
    <n v="2"/>
    <n v="1"/>
    <n v="0.5"/>
    <n v="0"/>
    <n v="0"/>
    <n v="0"/>
    <n v="0"/>
    <n v="0"/>
    <x v="12"/>
  </r>
  <r>
    <x v="1"/>
    <s v="Yes"/>
    <x v="0"/>
    <n v="1"/>
    <n v="1"/>
    <n v="1"/>
    <n v="0.7"/>
    <n v="1"/>
    <n v="1"/>
    <n v="1"/>
    <n v="0"/>
    <n v="0"/>
    <n v="0"/>
    <n v="0"/>
    <n v="0"/>
    <x v="12"/>
  </r>
  <r>
    <x v="1"/>
    <s v="Yes"/>
    <x v="1"/>
    <n v="2"/>
    <n v="2"/>
    <n v="1"/>
    <n v="0.4"/>
    <n v="1"/>
    <n v="0"/>
    <n v="0"/>
    <n v="0"/>
    <n v="0"/>
    <n v="0"/>
    <n v="0"/>
    <n v="0"/>
    <x v="5"/>
  </r>
  <r>
    <x v="1"/>
    <s v="Yes"/>
    <x v="1"/>
    <n v="2"/>
    <n v="2"/>
    <n v="1"/>
    <n v="0.4"/>
    <n v="1"/>
    <n v="0"/>
    <n v="0"/>
    <n v="0"/>
    <n v="0"/>
    <n v="0"/>
    <n v="0"/>
    <n v="0"/>
    <x v="5"/>
  </r>
  <r>
    <x v="1"/>
    <s v="Yes"/>
    <x v="0"/>
    <n v="1"/>
    <n v="1"/>
    <n v="1"/>
    <n v="0.4"/>
    <n v="0"/>
    <n v="0"/>
    <n v="0"/>
    <n v="0"/>
    <n v="0"/>
    <n v="0"/>
    <n v="0"/>
    <n v="0"/>
    <x v="12"/>
  </r>
  <r>
    <x v="1"/>
    <s v="Yes"/>
    <x v="0"/>
    <n v="1"/>
    <n v="1"/>
    <n v="1"/>
    <n v="0.4"/>
    <n v="1"/>
    <n v="0"/>
    <n v="0"/>
    <n v="0"/>
    <n v="0"/>
    <n v="0"/>
    <n v="0"/>
    <n v="0"/>
    <x v="12"/>
  </r>
  <r>
    <x v="1"/>
    <s v="Yes"/>
    <x v="0"/>
    <n v="1"/>
    <n v="1"/>
    <n v="1"/>
    <n v="0.4"/>
    <n v="1"/>
    <n v="0"/>
    <n v="0"/>
    <n v="0"/>
    <n v="0"/>
    <n v="0"/>
    <n v="0"/>
    <n v="0"/>
    <x v="12"/>
  </r>
  <r>
    <x v="1"/>
    <s v="Yes"/>
    <x v="0"/>
    <n v="1"/>
    <n v="1"/>
    <n v="1"/>
    <n v="0.4"/>
    <n v="0"/>
    <n v="0"/>
    <n v="0"/>
    <n v="0"/>
    <n v="0"/>
    <n v="0"/>
    <n v="0"/>
    <n v="0"/>
    <x v="12"/>
  </r>
  <r>
    <x v="1"/>
    <s v="Yes"/>
    <x v="0"/>
    <n v="1"/>
    <n v="1"/>
    <n v="1"/>
    <n v="0.4"/>
    <n v="1"/>
    <n v="0"/>
    <n v="0"/>
    <n v="0"/>
    <n v="0"/>
    <n v="0"/>
    <n v="0"/>
    <n v="0"/>
    <x v="12"/>
  </r>
  <r>
    <x v="1"/>
    <s v="Yes"/>
    <x v="0"/>
    <n v="2"/>
    <n v="2"/>
    <n v="1"/>
    <n v="0.4"/>
    <n v="1"/>
    <n v="0"/>
    <n v="0"/>
    <n v="0"/>
    <n v="0"/>
    <n v="0"/>
    <n v="0"/>
    <n v="0"/>
    <x v="12"/>
  </r>
  <r>
    <x v="1"/>
    <s v="Yes"/>
    <x v="0"/>
    <n v="1"/>
    <n v="1"/>
    <n v="1"/>
    <n v="0.4"/>
    <n v="1"/>
    <n v="0"/>
    <n v="0"/>
    <n v="0"/>
    <n v="0"/>
    <n v="0"/>
    <n v="0"/>
    <n v="0"/>
    <x v="14"/>
  </r>
  <r>
    <x v="1"/>
    <s v="Yes"/>
    <x v="1"/>
    <n v="1"/>
    <n v="1"/>
    <n v="1"/>
    <n v="1"/>
    <n v="1"/>
    <n v="1"/>
    <n v="1"/>
    <n v="0"/>
    <n v="0"/>
    <n v="0"/>
    <n v="0"/>
    <n v="0"/>
    <x v="1"/>
  </r>
  <r>
    <x v="1"/>
    <s v="Yes"/>
    <x v="0"/>
    <n v="1"/>
    <n v="1"/>
    <n v="1"/>
    <n v="1"/>
    <n v="1"/>
    <n v="1"/>
    <n v="1"/>
    <n v="0"/>
    <n v="0"/>
    <n v="0"/>
    <n v="0"/>
    <n v="0"/>
    <x v="2"/>
  </r>
  <r>
    <x v="2"/>
    <s v="Yes"/>
    <x v="0"/>
    <n v="1"/>
    <n v="1"/>
    <n v="1"/>
    <n v="0.4"/>
    <n v="1"/>
    <n v="0"/>
    <n v="0"/>
    <n v="0"/>
    <n v="0"/>
    <n v="0"/>
    <n v="0"/>
    <n v="0"/>
    <x v="12"/>
  </r>
  <r>
    <x v="2"/>
    <s v="Yes"/>
    <x v="0"/>
    <n v="1"/>
    <n v="1"/>
    <n v="1"/>
    <n v="0.4"/>
    <n v="1"/>
    <n v="0"/>
    <n v="0"/>
    <n v="0"/>
    <n v="0"/>
    <n v="0"/>
    <n v="0"/>
    <n v="0"/>
    <x v="12"/>
  </r>
  <r>
    <x v="1"/>
    <s v="Yes"/>
    <x v="0"/>
    <n v="1"/>
    <n v="1"/>
    <n v="1"/>
    <n v="0.5"/>
    <n v="1"/>
    <n v="1"/>
    <n v="1"/>
    <n v="0"/>
    <n v="0"/>
    <n v="0"/>
    <n v="0"/>
    <n v="0"/>
    <x v="3"/>
  </r>
  <r>
    <x v="1"/>
    <s v="No"/>
    <x v="1"/>
    <n v="0"/>
    <n v="0"/>
    <n v="0"/>
    <n v="0"/>
    <n v="0"/>
    <n v="0"/>
    <n v="0"/>
    <n v="0"/>
    <n v="0"/>
    <n v="0"/>
    <n v="0"/>
    <n v="0"/>
    <x v="9"/>
  </r>
  <r>
    <x v="1"/>
    <s v="No"/>
    <x v="1"/>
    <n v="0"/>
    <n v="0"/>
    <n v="0"/>
    <n v="0"/>
    <n v="0"/>
    <n v="0"/>
    <n v="0"/>
    <n v="0"/>
    <n v="0"/>
    <n v="0"/>
    <n v="0"/>
    <n v="0"/>
    <x v="9"/>
  </r>
  <r>
    <x v="1"/>
    <s v="No"/>
    <x v="1"/>
    <n v="0"/>
    <n v="0"/>
    <n v="0"/>
    <n v="0"/>
    <n v="0"/>
    <n v="0"/>
    <n v="0"/>
    <n v="0"/>
    <n v="0"/>
    <n v="0"/>
    <n v="0"/>
    <n v="0"/>
    <x v="9"/>
  </r>
  <r>
    <x v="1"/>
    <s v="Yes"/>
    <x v="0"/>
    <n v="1"/>
    <n v="1"/>
    <n v="1"/>
    <n v="1"/>
    <n v="1"/>
    <n v="1"/>
    <n v="1"/>
    <n v="0"/>
    <n v="0"/>
    <n v="0"/>
    <n v="0"/>
    <n v="0"/>
    <x v="12"/>
  </r>
  <r>
    <x v="1"/>
    <s v="Yes"/>
    <x v="0"/>
    <n v="1"/>
    <n v="1"/>
    <n v="1"/>
    <n v="1"/>
    <n v="1"/>
    <n v="1"/>
    <n v="1"/>
    <n v="0"/>
    <n v="0"/>
    <n v="0"/>
    <n v="0"/>
    <n v="0"/>
    <x v="12"/>
  </r>
  <r>
    <x v="1"/>
    <s v="Yes"/>
    <x v="0"/>
    <n v="1"/>
    <n v="1"/>
    <n v="1"/>
    <n v="0.5"/>
    <n v="1"/>
    <n v="1"/>
    <n v="1"/>
    <n v="0"/>
    <n v="0"/>
    <n v="0"/>
    <n v="0"/>
    <n v="0"/>
    <x v="3"/>
  </r>
  <r>
    <x v="1"/>
    <s v="Yes"/>
    <x v="1"/>
    <n v="0"/>
    <n v="0"/>
    <n v="0"/>
    <n v="0"/>
    <n v="0"/>
    <n v="0"/>
    <n v="0"/>
    <n v="0"/>
    <n v="0"/>
    <n v="0"/>
    <n v="0"/>
    <n v="0"/>
    <x v="1"/>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74A554-29D0-4A4F-B9F5-0565B9587C49}"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E18" firstHeaderRow="1" firstDataRow="2" firstDataCol="1" rowPageCount="1" colPageCount="1"/>
  <pivotFields count="16">
    <pivotField axis="axisCol" dataField="1" showAll="0">
      <items count="4">
        <item x="0"/>
        <item x="1"/>
        <item x="2"/>
        <item t="default"/>
      </items>
    </pivotField>
    <pivotField showAll="0"/>
    <pivotField axis="axisPage" showAll="0">
      <items count="3">
        <item x="1"/>
        <item x="0"/>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0">
        <item x="1"/>
        <item x="4"/>
        <item x="2"/>
        <item x="7"/>
        <item x="5"/>
        <item x="12"/>
        <item x="10"/>
        <item x="11"/>
        <item x="8"/>
        <item x="3"/>
        <item x="6"/>
        <item m="1" x="18"/>
        <item x="9"/>
        <item x="15"/>
        <item x="14"/>
        <item x="0"/>
        <item x="13"/>
        <item x="16"/>
        <item x="17"/>
        <item t="default"/>
      </items>
    </pivotField>
  </pivotFields>
  <rowFields count="1">
    <field x="15"/>
  </rowFields>
  <rowItems count="13">
    <i>
      <x v="1"/>
    </i>
    <i>
      <x v="2"/>
    </i>
    <i>
      <x v="3"/>
    </i>
    <i>
      <x v="4"/>
    </i>
    <i>
      <x v="5"/>
    </i>
    <i>
      <x v="6"/>
    </i>
    <i>
      <x v="9"/>
    </i>
    <i>
      <x v="13"/>
    </i>
    <i>
      <x v="14"/>
    </i>
    <i>
      <x v="15"/>
    </i>
    <i>
      <x v="16"/>
    </i>
    <i>
      <x v="17"/>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7.bin"/><Relationship Id="rId1" Type="http://schemas.openxmlformats.org/officeDocument/2006/relationships/hyperlink" Target="http://confluence.amd.com/display/RTGSOC/rsmu+interrupt+over+smn+network" TargetMode="Externa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796875" defaultRowHeight="14.5" x14ac:dyDescent="0.35"/>
  <cols>
    <col min="1" max="1" width="8.81640625" style="90" bestFit="1" customWidth="1"/>
    <col min="2" max="2" width="10.81640625" style="81" bestFit="1" customWidth="1"/>
    <col min="3" max="3" width="10.1796875" style="81" bestFit="1" customWidth="1"/>
    <col min="4" max="4" width="120.54296875" style="78" bestFit="1" customWidth="1"/>
    <col min="5" max="5" width="40.1796875" style="81" bestFit="1" customWidth="1"/>
    <col min="6" max="6" width="35.54296875" style="81" bestFit="1" customWidth="1"/>
    <col min="7" max="16384" width="9.1796875" style="81"/>
  </cols>
  <sheetData>
    <row r="1" spans="1:6" x14ac:dyDescent="0.35">
      <c r="A1" s="88" t="s">
        <v>0</v>
      </c>
      <c r="B1" s="89" t="s">
        <v>1</v>
      </c>
      <c r="C1" s="89" t="s">
        <v>2</v>
      </c>
      <c r="D1" s="84" t="s">
        <v>3</v>
      </c>
      <c r="E1" s="89" t="s">
        <v>4</v>
      </c>
      <c r="F1" s="89" t="s">
        <v>5</v>
      </c>
    </row>
    <row r="2" spans="1:6" x14ac:dyDescent="0.35">
      <c r="A2" s="90">
        <v>43651</v>
      </c>
      <c r="B2" s="81" t="s">
        <v>6</v>
      </c>
      <c r="C2" s="81" t="s">
        <v>7</v>
      </c>
      <c r="D2" s="78" t="s">
        <v>8</v>
      </c>
      <c r="E2" s="81" t="s">
        <v>9</v>
      </c>
      <c r="F2" s="81" t="s">
        <v>10</v>
      </c>
    </row>
    <row r="3" spans="1:6" x14ac:dyDescent="0.35">
      <c r="A3" s="90">
        <v>43697</v>
      </c>
      <c r="B3" s="81" t="s">
        <v>6</v>
      </c>
      <c r="C3" s="81" t="s">
        <v>11</v>
      </c>
      <c r="D3" s="78" t="s">
        <v>12</v>
      </c>
      <c r="E3" s="81" t="s">
        <v>13</v>
      </c>
      <c r="F3" s="81" t="s">
        <v>14</v>
      </c>
    </row>
    <row r="4" spans="1:6" x14ac:dyDescent="0.35">
      <c r="A4" s="90">
        <v>43651</v>
      </c>
      <c r="B4" s="81" t="s">
        <v>15</v>
      </c>
      <c r="C4" s="81" t="s">
        <v>7</v>
      </c>
      <c r="D4" s="78" t="s">
        <v>16</v>
      </c>
      <c r="F4" s="81" t="s">
        <v>17</v>
      </c>
    </row>
    <row r="5" spans="1:6" x14ac:dyDescent="0.35">
      <c r="A5" s="90">
        <v>43651</v>
      </c>
      <c r="B5" s="81" t="s">
        <v>15</v>
      </c>
      <c r="C5" s="81" t="s">
        <v>7</v>
      </c>
      <c r="D5" s="78" t="s">
        <v>18</v>
      </c>
    </row>
    <row r="6" spans="1:6" x14ac:dyDescent="0.35">
      <c r="A6" s="90">
        <v>43697</v>
      </c>
      <c r="B6" s="81" t="s">
        <v>15</v>
      </c>
      <c r="C6" s="81" t="s">
        <v>19</v>
      </c>
      <c r="D6" s="78" t="s">
        <v>20</v>
      </c>
      <c r="F6" s="81" t="s">
        <v>21</v>
      </c>
    </row>
    <row r="7" spans="1:6" x14ac:dyDescent="0.35">
      <c r="A7" s="91">
        <v>43713</v>
      </c>
      <c r="B7" s="92" t="s">
        <v>6</v>
      </c>
      <c r="C7" s="92" t="s">
        <v>22</v>
      </c>
      <c r="D7" s="93" t="s">
        <v>23</v>
      </c>
      <c r="E7" s="92"/>
      <c r="F7" s="92"/>
    </row>
    <row r="8" spans="1:6" x14ac:dyDescent="0.35">
      <c r="A8" s="90">
        <v>43713</v>
      </c>
      <c r="B8" s="81" t="s">
        <v>6</v>
      </c>
      <c r="C8" s="81" t="s">
        <v>22</v>
      </c>
      <c r="D8" s="78" t="s">
        <v>24</v>
      </c>
    </row>
    <row r="9" spans="1:6" x14ac:dyDescent="0.35">
      <c r="A9" s="90">
        <v>43713</v>
      </c>
      <c r="B9" s="81" t="s">
        <v>6</v>
      </c>
      <c r="C9" s="81" t="s">
        <v>22</v>
      </c>
      <c r="D9" s="78" t="s">
        <v>25</v>
      </c>
    </row>
    <row r="10" spans="1:6" x14ac:dyDescent="0.35">
      <c r="A10" s="90">
        <v>43713</v>
      </c>
      <c r="B10" s="81" t="s">
        <v>6</v>
      </c>
      <c r="C10" s="81" t="s">
        <v>22</v>
      </c>
      <c r="D10" s="78" t="s">
        <v>26</v>
      </c>
    </row>
    <row r="11" spans="1:6" x14ac:dyDescent="0.35">
      <c r="A11" s="90">
        <v>43713</v>
      </c>
      <c r="B11" s="81" t="s">
        <v>6</v>
      </c>
      <c r="C11" s="81" t="s">
        <v>22</v>
      </c>
      <c r="D11" s="78" t="s">
        <v>27</v>
      </c>
    </row>
    <row r="12" spans="1:6" x14ac:dyDescent="0.35">
      <c r="A12" s="90">
        <v>43721</v>
      </c>
      <c r="B12" s="81" t="s">
        <v>6</v>
      </c>
      <c r="C12" s="81" t="s">
        <v>22</v>
      </c>
      <c r="D12" s="78" t="s">
        <v>28</v>
      </c>
    </row>
    <row r="15" spans="1:6" ht="29" x14ac:dyDescent="0.3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53125" defaultRowHeight="14.5" x14ac:dyDescent="0.35"/>
  <cols>
    <col min="1" max="1" width="8.453125" style="79"/>
    <col min="5" max="5" width="9" style="79" bestFit="1" customWidth="1"/>
    <col min="9" max="9" width="11" bestFit="1" customWidth="1"/>
  </cols>
  <sheetData>
    <row r="1" spans="1:9" x14ac:dyDescent="0.35">
      <c r="A1" s="79" t="s">
        <v>30</v>
      </c>
      <c r="C1" t="s">
        <v>31</v>
      </c>
      <c r="E1" s="79" t="s">
        <v>32</v>
      </c>
      <c r="G1" t="s">
        <v>33</v>
      </c>
      <c r="I1" t="s">
        <v>34</v>
      </c>
    </row>
    <row r="2" spans="1:9" x14ac:dyDescent="0.35">
      <c r="A2" s="79" t="s">
        <v>35</v>
      </c>
      <c r="C2" t="s">
        <v>36</v>
      </c>
      <c r="E2" s="79" t="s">
        <v>37</v>
      </c>
      <c r="G2" t="s">
        <v>38</v>
      </c>
      <c r="I2" t="s">
        <v>39</v>
      </c>
    </row>
    <row r="3" spans="1:9" x14ac:dyDescent="0.35">
      <c r="A3" s="79" t="s">
        <v>40</v>
      </c>
      <c r="E3" s="79" t="s">
        <v>41</v>
      </c>
      <c r="G3" t="s">
        <v>42</v>
      </c>
      <c r="I3" t="s">
        <v>43</v>
      </c>
    </row>
    <row r="4" spans="1:9" x14ac:dyDescent="0.35">
      <c r="A4" s="79" t="s">
        <v>44</v>
      </c>
      <c r="E4" s="79" t="s">
        <v>45</v>
      </c>
      <c r="I4" t="s">
        <v>44</v>
      </c>
    </row>
    <row r="5" spans="1:9" x14ac:dyDescent="0.35">
      <c r="E5" s="79" t="s">
        <v>46</v>
      </c>
    </row>
    <row r="6" spans="1:9" x14ac:dyDescent="0.35">
      <c r="E6" s="79" t="s">
        <v>47</v>
      </c>
    </row>
    <row r="7" spans="1:9" x14ac:dyDescent="0.3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1796875" defaultRowHeight="14.5" x14ac:dyDescent="0.35"/>
  <cols>
    <col min="1" max="1" width="20.81640625" style="84" bestFit="1" customWidth="1"/>
    <col min="2" max="2" width="27" style="78" bestFit="1" customWidth="1"/>
    <col min="3" max="3" width="26" style="78" bestFit="1" customWidth="1"/>
    <col min="4" max="4" width="83.54296875" style="78" customWidth="1"/>
    <col min="5" max="5" width="14.81640625" style="78" bestFit="1" customWidth="1"/>
    <col min="6" max="6" width="28.1796875" style="78" bestFit="1" customWidth="1"/>
    <col min="7" max="7" width="66.81640625" style="78" customWidth="1"/>
    <col min="8" max="16384" width="26.1796875" style="78"/>
  </cols>
  <sheetData>
    <row r="1" spans="1:7" s="84" customFormat="1" ht="15" thickBot="1" x14ac:dyDescent="0.4">
      <c r="A1" s="115" t="s">
        <v>48</v>
      </c>
      <c r="B1" s="527" t="s">
        <v>49</v>
      </c>
      <c r="C1" s="528"/>
      <c r="D1" s="528"/>
      <c r="E1" s="156" t="s">
        <v>50</v>
      </c>
      <c r="F1" s="156" t="s">
        <v>51</v>
      </c>
      <c r="G1" s="110" t="s">
        <v>52</v>
      </c>
    </row>
    <row r="2" spans="1:7" x14ac:dyDescent="0.35">
      <c r="A2" s="116" t="s">
        <v>53</v>
      </c>
      <c r="B2" s="529" t="s">
        <v>54</v>
      </c>
      <c r="C2" s="530"/>
      <c r="D2" s="530"/>
      <c r="E2" s="222" t="s">
        <v>55</v>
      </c>
      <c r="F2" s="222" t="s">
        <v>56</v>
      </c>
      <c r="G2" s="247" t="s">
        <v>57</v>
      </c>
    </row>
    <row r="3" spans="1:7" s="81" customFormat="1" x14ac:dyDescent="0.35">
      <c r="A3" s="183" t="s">
        <v>58</v>
      </c>
      <c r="B3" s="536" t="s">
        <v>59</v>
      </c>
      <c r="C3" s="537"/>
      <c r="D3" s="538"/>
      <c r="E3" s="80" t="s">
        <v>55</v>
      </c>
      <c r="F3" s="80" t="s">
        <v>56</v>
      </c>
      <c r="G3" s="248" t="s">
        <v>57</v>
      </c>
    </row>
    <row r="4" spans="1:7" x14ac:dyDescent="0.35">
      <c r="A4" s="183" t="s">
        <v>60</v>
      </c>
      <c r="B4" s="533" t="s">
        <v>61</v>
      </c>
      <c r="C4" s="534"/>
      <c r="D4" s="535"/>
      <c r="E4" s="80" t="s">
        <v>62</v>
      </c>
      <c r="F4" s="80" t="s">
        <v>56</v>
      </c>
      <c r="G4" s="248" t="s">
        <v>57</v>
      </c>
    </row>
    <row r="5" spans="1:7" x14ac:dyDescent="0.35">
      <c r="A5" s="117" t="s">
        <v>63</v>
      </c>
      <c r="B5" s="533" t="s">
        <v>64</v>
      </c>
      <c r="C5" s="534"/>
      <c r="D5" s="535"/>
      <c r="E5" s="80" t="s">
        <v>62</v>
      </c>
      <c r="F5" s="80" t="s">
        <v>56</v>
      </c>
      <c r="G5" s="248" t="s">
        <v>57</v>
      </c>
    </row>
    <row r="6" spans="1:7" x14ac:dyDescent="0.35">
      <c r="A6" s="117" t="s">
        <v>65</v>
      </c>
      <c r="B6" s="533" t="s">
        <v>66</v>
      </c>
      <c r="C6" s="534"/>
      <c r="D6" s="535"/>
      <c r="E6" s="80" t="s">
        <v>67</v>
      </c>
      <c r="F6" s="80" t="s">
        <v>56</v>
      </c>
      <c r="G6" s="85"/>
    </row>
    <row r="7" spans="1:7" ht="15" thickBot="1" x14ac:dyDescent="0.4">
      <c r="A7" s="118" t="s">
        <v>68</v>
      </c>
      <c r="B7" s="531" t="s">
        <v>69</v>
      </c>
      <c r="C7" s="532"/>
      <c r="D7" s="532"/>
      <c r="E7" s="86" t="s">
        <v>67</v>
      </c>
      <c r="F7" s="86"/>
      <c r="G7" s="87"/>
    </row>
    <row r="8" spans="1:7" s="84" customFormat="1" ht="15" thickBot="1" x14ac:dyDescent="0.4">
      <c r="A8" s="115" t="s">
        <v>48</v>
      </c>
      <c r="B8" s="281" t="s">
        <v>1</v>
      </c>
      <c r="C8" s="156" t="s">
        <v>70</v>
      </c>
      <c r="D8" s="156" t="s">
        <v>49</v>
      </c>
      <c r="E8" s="156" t="s">
        <v>50</v>
      </c>
      <c r="F8" s="156" t="s">
        <v>51</v>
      </c>
      <c r="G8" s="110" t="s">
        <v>52</v>
      </c>
    </row>
    <row r="9" spans="1:7" ht="101.5" x14ac:dyDescent="0.35">
      <c r="A9" s="513" t="s">
        <v>53</v>
      </c>
      <c r="B9" s="516" t="s">
        <v>71</v>
      </c>
      <c r="C9" s="254" t="s">
        <v>72</v>
      </c>
      <c r="D9" s="94" t="s">
        <v>73</v>
      </c>
      <c r="E9" s="94" t="s">
        <v>55</v>
      </c>
      <c r="F9" s="94" t="s">
        <v>74</v>
      </c>
      <c r="G9" s="282" t="s">
        <v>75</v>
      </c>
    </row>
    <row r="10" spans="1:7" ht="58" x14ac:dyDescent="0.35">
      <c r="A10" s="514"/>
      <c r="B10" s="517"/>
      <c r="C10" s="250" t="s">
        <v>76</v>
      </c>
      <c r="D10" s="82" t="s">
        <v>77</v>
      </c>
      <c r="E10" s="82" t="s">
        <v>55</v>
      </c>
      <c r="F10" s="82" t="s">
        <v>74</v>
      </c>
      <c r="G10" s="243" t="s">
        <v>78</v>
      </c>
    </row>
    <row r="11" spans="1:7" ht="43.5" x14ac:dyDescent="0.35">
      <c r="A11" s="514"/>
      <c r="B11" s="517"/>
      <c r="C11" s="250" t="s">
        <v>79</v>
      </c>
      <c r="D11" s="82" t="s">
        <v>80</v>
      </c>
      <c r="E11" s="82" t="s">
        <v>81</v>
      </c>
      <c r="F11" s="82" t="s">
        <v>74</v>
      </c>
      <c r="G11" s="95" t="s">
        <v>82</v>
      </c>
    </row>
    <row r="12" spans="1:7" ht="116" x14ac:dyDescent="0.35">
      <c r="A12" s="514"/>
      <c r="B12" s="517"/>
      <c r="C12" s="250" t="s">
        <v>83</v>
      </c>
      <c r="D12" s="259" t="s">
        <v>84</v>
      </c>
      <c r="E12" s="82" t="s">
        <v>81</v>
      </c>
      <c r="F12" s="82" t="s">
        <v>74</v>
      </c>
      <c r="G12" s="243" t="s">
        <v>85</v>
      </c>
    </row>
    <row r="13" spans="1:7" ht="29" x14ac:dyDescent="0.35">
      <c r="A13" s="514"/>
      <c r="B13" s="517"/>
      <c r="C13" s="250" t="s">
        <v>86</v>
      </c>
      <c r="D13" s="82" t="s">
        <v>87</v>
      </c>
      <c r="E13" s="82" t="s">
        <v>81</v>
      </c>
      <c r="F13" s="82" t="s">
        <v>74</v>
      </c>
      <c r="G13" s="95" t="s">
        <v>88</v>
      </c>
    </row>
    <row r="14" spans="1:7" ht="29" x14ac:dyDescent="0.35">
      <c r="A14" s="514"/>
      <c r="B14" s="517"/>
      <c r="C14" s="250" t="s">
        <v>89</v>
      </c>
      <c r="D14" s="82" t="s">
        <v>90</v>
      </c>
      <c r="E14" s="82" t="s">
        <v>81</v>
      </c>
      <c r="F14" s="82" t="s">
        <v>74</v>
      </c>
      <c r="G14" s="95" t="s">
        <v>88</v>
      </c>
    </row>
    <row r="15" spans="1:7" x14ac:dyDescent="0.35">
      <c r="A15" s="514"/>
      <c r="B15" s="517"/>
      <c r="C15" s="121" t="s">
        <v>91</v>
      </c>
      <c r="D15" s="82" t="s">
        <v>92</v>
      </c>
      <c r="E15" s="82" t="s">
        <v>55</v>
      </c>
      <c r="F15" s="82" t="s">
        <v>74</v>
      </c>
      <c r="G15" s="95" t="s">
        <v>93</v>
      </c>
    </row>
    <row r="16" spans="1:7" ht="58" x14ac:dyDescent="0.35">
      <c r="A16" s="514"/>
      <c r="B16" s="517"/>
      <c r="C16" s="250" t="s">
        <v>94</v>
      </c>
      <c r="D16" s="259" t="s">
        <v>95</v>
      </c>
      <c r="E16" s="82" t="s">
        <v>81</v>
      </c>
      <c r="F16" s="82" t="s">
        <v>74</v>
      </c>
      <c r="G16" s="243" t="s">
        <v>96</v>
      </c>
    </row>
    <row r="17" spans="1:7" ht="29" x14ac:dyDescent="0.35">
      <c r="A17" s="514"/>
      <c r="B17" s="517"/>
      <c r="C17" s="250" t="s">
        <v>97</v>
      </c>
      <c r="D17" s="82" t="s">
        <v>98</v>
      </c>
      <c r="E17" s="82" t="s">
        <v>81</v>
      </c>
      <c r="F17" s="82" t="s">
        <v>74</v>
      </c>
      <c r="G17" s="95" t="s">
        <v>99</v>
      </c>
    </row>
    <row r="18" spans="1:7" ht="43.5" x14ac:dyDescent="0.35">
      <c r="A18" s="514"/>
      <c r="B18" s="517"/>
      <c r="C18" s="250" t="s">
        <v>100</v>
      </c>
      <c r="D18" s="82" t="s">
        <v>101</v>
      </c>
      <c r="E18" s="82" t="s">
        <v>81</v>
      </c>
      <c r="F18" s="82" t="s">
        <v>74</v>
      </c>
      <c r="G18" s="95" t="s">
        <v>102</v>
      </c>
    </row>
    <row r="19" spans="1:7" x14ac:dyDescent="0.35">
      <c r="A19" s="514"/>
      <c r="B19" s="517"/>
      <c r="C19" s="250" t="s">
        <v>103</v>
      </c>
      <c r="D19" s="82" t="s">
        <v>104</v>
      </c>
      <c r="E19" s="82" t="s">
        <v>81</v>
      </c>
      <c r="F19" s="82" t="s">
        <v>74</v>
      </c>
      <c r="G19" s="95" t="s">
        <v>105</v>
      </c>
    </row>
    <row r="20" spans="1:7" ht="102" thickBot="1" x14ac:dyDescent="0.4">
      <c r="A20" s="514"/>
      <c r="B20" s="518"/>
      <c r="C20" s="283" t="s">
        <v>1</v>
      </c>
      <c r="D20" s="440" t="s">
        <v>106</v>
      </c>
      <c r="E20" s="284" t="s">
        <v>81</v>
      </c>
      <c r="F20" s="284" t="s">
        <v>74</v>
      </c>
      <c r="G20" s="285" t="s">
        <v>107</v>
      </c>
    </row>
    <row r="21" spans="1:7" ht="43.5" x14ac:dyDescent="0.35">
      <c r="A21" s="514"/>
      <c r="B21" s="550" t="s">
        <v>108</v>
      </c>
      <c r="C21" s="251" t="s">
        <v>109</v>
      </c>
      <c r="D21" s="105" t="s">
        <v>110</v>
      </c>
      <c r="E21" s="105" t="s">
        <v>81</v>
      </c>
      <c r="F21" s="105" t="s">
        <v>111</v>
      </c>
      <c r="G21" s="157" t="s">
        <v>112</v>
      </c>
    </row>
    <row r="22" spans="1:7" ht="29" x14ac:dyDescent="0.35">
      <c r="A22" s="514"/>
      <c r="B22" s="551"/>
      <c r="C22" s="252" t="s">
        <v>113</v>
      </c>
      <c r="D22" s="289" t="s">
        <v>114</v>
      </c>
      <c r="E22" s="289" t="s">
        <v>81</v>
      </c>
      <c r="F22" s="289" t="s">
        <v>111</v>
      </c>
      <c r="G22" s="290" t="s">
        <v>115</v>
      </c>
    </row>
    <row r="23" spans="1:7" ht="15" thickBot="1" x14ac:dyDescent="0.4">
      <c r="A23" s="514"/>
      <c r="B23" s="552"/>
      <c r="C23" s="291" t="s">
        <v>116</v>
      </c>
      <c r="D23" s="107" t="s">
        <v>117</v>
      </c>
      <c r="E23" s="107" t="s">
        <v>81</v>
      </c>
      <c r="F23" s="107" t="s">
        <v>111</v>
      </c>
      <c r="G23" s="108" t="s">
        <v>118</v>
      </c>
    </row>
    <row r="24" spans="1:7" ht="30" customHeight="1" x14ac:dyDescent="0.35">
      <c r="A24" s="514"/>
      <c r="B24" s="553" t="s">
        <v>119</v>
      </c>
      <c r="C24" s="286" t="s">
        <v>120</v>
      </c>
      <c r="D24" s="287" t="s">
        <v>121</v>
      </c>
      <c r="E24" s="287" t="s">
        <v>81</v>
      </c>
      <c r="F24" s="287" t="s">
        <v>74</v>
      </c>
      <c r="G24" s="288" t="s">
        <v>122</v>
      </c>
    </row>
    <row r="25" spans="1:7" ht="30" customHeight="1" x14ac:dyDescent="0.35">
      <c r="A25" s="514"/>
      <c r="B25" s="554"/>
      <c r="C25" s="252" t="s">
        <v>123</v>
      </c>
      <c r="D25" s="109" t="s">
        <v>124</v>
      </c>
      <c r="E25" s="109" t="s">
        <v>81</v>
      </c>
      <c r="F25" s="109" t="s">
        <v>125</v>
      </c>
      <c r="G25" s="507" t="s">
        <v>126</v>
      </c>
    </row>
    <row r="26" spans="1:7" ht="29" x14ac:dyDescent="0.35">
      <c r="A26" s="514"/>
      <c r="B26" s="554"/>
      <c r="C26" s="203" t="s">
        <v>127</v>
      </c>
      <c r="D26" s="109" t="s">
        <v>128</v>
      </c>
      <c r="E26" s="109" t="s">
        <v>81</v>
      </c>
      <c r="F26" s="109" t="s">
        <v>125</v>
      </c>
      <c r="G26" s="508"/>
    </row>
    <row r="27" spans="1:7" x14ac:dyDescent="0.35">
      <c r="A27" s="514"/>
      <c r="B27" s="554"/>
      <c r="C27" s="252" t="s">
        <v>30</v>
      </c>
      <c r="D27" s="109" t="s">
        <v>129</v>
      </c>
      <c r="E27" s="109" t="s">
        <v>81</v>
      </c>
      <c r="F27" s="109" t="s">
        <v>125</v>
      </c>
      <c r="G27" s="508"/>
    </row>
    <row r="28" spans="1:7" x14ac:dyDescent="0.35">
      <c r="A28" s="514"/>
      <c r="B28" s="554"/>
      <c r="C28" s="252" t="s">
        <v>130</v>
      </c>
      <c r="D28" s="109" t="s">
        <v>131</v>
      </c>
      <c r="E28" s="109" t="s">
        <v>81</v>
      </c>
      <c r="F28" s="109" t="s">
        <v>125</v>
      </c>
      <c r="G28" s="508"/>
    </row>
    <row r="29" spans="1:7" x14ac:dyDescent="0.35">
      <c r="A29" s="514"/>
      <c r="B29" s="554"/>
      <c r="C29" s="252" t="s">
        <v>35</v>
      </c>
      <c r="D29" s="109" t="s">
        <v>132</v>
      </c>
      <c r="E29" s="109" t="s">
        <v>81</v>
      </c>
      <c r="F29" s="109" t="s">
        <v>125</v>
      </c>
      <c r="G29" s="508"/>
    </row>
    <row r="30" spans="1:7" x14ac:dyDescent="0.35">
      <c r="A30" s="514"/>
      <c r="B30" s="554"/>
      <c r="C30" s="252" t="s">
        <v>133</v>
      </c>
      <c r="D30" s="109" t="s">
        <v>134</v>
      </c>
      <c r="E30" s="109" t="s">
        <v>81</v>
      </c>
      <c r="F30" s="109" t="s">
        <v>125</v>
      </c>
      <c r="G30" s="508"/>
    </row>
    <row r="31" spans="1:7" x14ac:dyDescent="0.35">
      <c r="A31" s="514"/>
      <c r="B31" s="554"/>
      <c r="C31" s="203" t="s">
        <v>135</v>
      </c>
      <c r="D31" s="109" t="s">
        <v>136</v>
      </c>
      <c r="E31" s="109" t="s">
        <v>81</v>
      </c>
      <c r="F31" s="109" t="s">
        <v>125</v>
      </c>
      <c r="G31" s="508"/>
    </row>
    <row r="32" spans="1:7" ht="29.5" thickBot="1" x14ac:dyDescent="0.4">
      <c r="A32" s="514"/>
      <c r="B32" s="555"/>
      <c r="C32" s="253" t="s">
        <v>137</v>
      </c>
      <c r="D32" s="104" t="s">
        <v>138</v>
      </c>
      <c r="E32" s="104" t="s">
        <v>81</v>
      </c>
      <c r="F32" s="104" t="s">
        <v>125</v>
      </c>
      <c r="G32" s="509"/>
    </row>
    <row r="33" spans="1:7" ht="29" x14ac:dyDescent="0.35">
      <c r="A33" s="514"/>
      <c r="B33" s="556" t="s">
        <v>139</v>
      </c>
      <c r="C33" s="238" t="s">
        <v>127</v>
      </c>
      <c r="D33" s="201" t="s">
        <v>140</v>
      </c>
      <c r="E33" s="201" t="s">
        <v>81</v>
      </c>
      <c r="F33" s="201" t="s">
        <v>141</v>
      </c>
      <c r="G33" s="202" t="s">
        <v>142</v>
      </c>
    </row>
    <row r="34" spans="1:7" x14ac:dyDescent="0.35">
      <c r="A34" s="514"/>
      <c r="B34" s="557"/>
      <c r="C34" s="250" t="s">
        <v>30</v>
      </c>
      <c r="D34" s="83" t="s">
        <v>143</v>
      </c>
      <c r="E34" s="83" t="s">
        <v>81</v>
      </c>
      <c r="F34" s="83" t="s">
        <v>141</v>
      </c>
      <c r="G34" s="99"/>
    </row>
    <row r="35" spans="1:7" x14ac:dyDescent="0.35">
      <c r="A35" s="514"/>
      <c r="B35" s="557"/>
      <c r="C35" s="250" t="s">
        <v>130</v>
      </c>
      <c r="D35" s="83" t="s">
        <v>144</v>
      </c>
      <c r="E35" s="83" t="s">
        <v>81</v>
      </c>
      <c r="F35" s="83" t="s">
        <v>141</v>
      </c>
      <c r="G35" s="99" t="s">
        <v>145</v>
      </c>
    </row>
    <row r="36" spans="1:7" x14ac:dyDescent="0.35">
      <c r="A36" s="514"/>
      <c r="B36" s="557"/>
      <c r="C36" s="250" t="s">
        <v>35</v>
      </c>
      <c r="D36" s="83" t="s">
        <v>146</v>
      </c>
      <c r="E36" s="83" t="s">
        <v>81</v>
      </c>
      <c r="F36" s="83" t="s">
        <v>141</v>
      </c>
      <c r="G36" s="113"/>
    </row>
    <row r="37" spans="1:7" x14ac:dyDescent="0.35">
      <c r="A37" s="514"/>
      <c r="B37" s="557"/>
      <c r="C37" s="250" t="s">
        <v>133</v>
      </c>
      <c r="D37" s="83" t="s">
        <v>147</v>
      </c>
      <c r="E37" s="83" t="s">
        <v>81</v>
      </c>
      <c r="F37" s="83" t="s">
        <v>141</v>
      </c>
      <c r="G37" s="99" t="s">
        <v>148</v>
      </c>
    </row>
    <row r="38" spans="1:7" x14ac:dyDescent="0.35">
      <c r="A38" s="514"/>
      <c r="B38" s="557"/>
      <c r="C38" s="204" t="s">
        <v>135</v>
      </c>
      <c r="D38" s="83" t="s">
        <v>149</v>
      </c>
      <c r="E38" s="83" t="s">
        <v>81</v>
      </c>
      <c r="F38" s="83" t="s">
        <v>141</v>
      </c>
      <c r="G38" s="99"/>
    </row>
    <row r="39" spans="1:7" ht="29" x14ac:dyDescent="0.35">
      <c r="A39" s="514"/>
      <c r="B39" s="557"/>
      <c r="C39" s="252" t="s">
        <v>150</v>
      </c>
      <c r="D39" s="83" t="s">
        <v>151</v>
      </c>
      <c r="E39" s="83" t="s">
        <v>81</v>
      </c>
      <c r="F39" s="83" t="s">
        <v>141</v>
      </c>
      <c r="G39" s="99"/>
    </row>
    <row r="40" spans="1:7" ht="29" x14ac:dyDescent="0.35">
      <c r="A40" s="514"/>
      <c r="B40" s="557"/>
      <c r="C40" s="204" t="s">
        <v>152</v>
      </c>
      <c r="D40" s="83" t="s">
        <v>153</v>
      </c>
      <c r="E40" s="83" t="s">
        <v>55</v>
      </c>
      <c r="F40" s="83" t="s">
        <v>141</v>
      </c>
      <c r="G40" s="99" t="s">
        <v>154</v>
      </c>
    </row>
    <row r="41" spans="1:7" ht="29.5" thickBot="1" x14ac:dyDescent="0.4">
      <c r="A41" s="514"/>
      <c r="B41" s="558"/>
      <c r="C41" s="249" t="s">
        <v>155</v>
      </c>
      <c r="D41" s="100" t="s">
        <v>156</v>
      </c>
      <c r="E41" s="100" t="s">
        <v>81</v>
      </c>
      <c r="F41" s="100" t="s">
        <v>141</v>
      </c>
      <c r="G41" s="101" t="s">
        <v>157</v>
      </c>
    </row>
    <row r="42" spans="1:7" ht="131" thickBot="1" x14ac:dyDescent="0.4">
      <c r="A42" s="513" t="s">
        <v>58</v>
      </c>
      <c r="B42" s="292" t="s">
        <v>158</v>
      </c>
      <c r="C42" s="254" t="s">
        <v>83</v>
      </c>
      <c r="D42" s="293" t="s">
        <v>159</v>
      </c>
      <c r="E42" s="293" t="s">
        <v>81</v>
      </c>
      <c r="F42" s="293" t="s">
        <v>74</v>
      </c>
      <c r="G42" s="294" t="s">
        <v>160</v>
      </c>
    </row>
    <row r="43" spans="1:7" ht="15" customHeight="1" x14ac:dyDescent="0.35">
      <c r="A43" s="514"/>
      <c r="B43" s="542" t="s">
        <v>161</v>
      </c>
      <c r="C43" s="235" t="s">
        <v>162</v>
      </c>
      <c r="D43" s="223" t="s">
        <v>163</v>
      </c>
      <c r="E43" s="223" t="s">
        <v>62</v>
      </c>
      <c r="F43" s="223" t="s">
        <v>74</v>
      </c>
      <c r="G43" s="206" t="s">
        <v>164</v>
      </c>
    </row>
    <row r="44" spans="1:7" ht="29" x14ac:dyDescent="0.35">
      <c r="A44" s="514"/>
      <c r="B44" s="543"/>
      <c r="C44" s="236" t="s">
        <v>123</v>
      </c>
      <c r="D44" s="224" t="s">
        <v>165</v>
      </c>
      <c r="E44" s="224" t="s">
        <v>62</v>
      </c>
      <c r="F44" s="224" t="s">
        <v>74</v>
      </c>
      <c r="G44" s="207" t="s">
        <v>164</v>
      </c>
    </row>
    <row r="45" spans="1:7" ht="29" x14ac:dyDescent="0.35">
      <c r="A45" s="514"/>
      <c r="B45" s="543"/>
      <c r="C45" s="236" t="s">
        <v>100</v>
      </c>
      <c r="D45" s="224" t="s">
        <v>166</v>
      </c>
      <c r="E45" s="224" t="s">
        <v>62</v>
      </c>
      <c r="F45" s="224" t="s">
        <v>74</v>
      </c>
      <c r="G45" s="207" t="s">
        <v>167</v>
      </c>
    </row>
    <row r="46" spans="1:7" x14ac:dyDescent="0.35">
      <c r="A46" s="514"/>
      <c r="B46" s="543"/>
      <c r="C46" s="236" t="s">
        <v>168</v>
      </c>
      <c r="D46" s="224" t="s">
        <v>169</v>
      </c>
      <c r="E46" s="224" t="s">
        <v>62</v>
      </c>
      <c r="F46" s="224" t="s">
        <v>74</v>
      </c>
      <c r="G46" s="207" t="s">
        <v>164</v>
      </c>
    </row>
    <row r="47" spans="1:7" ht="15" thickBot="1" x14ac:dyDescent="0.4">
      <c r="A47" s="514"/>
      <c r="B47" s="544"/>
      <c r="C47" s="237" t="s">
        <v>170</v>
      </c>
      <c r="D47" s="225" t="s">
        <v>171</v>
      </c>
      <c r="E47" s="224" t="s">
        <v>62</v>
      </c>
      <c r="F47" s="225" t="s">
        <v>74</v>
      </c>
      <c r="G47" s="208" t="s">
        <v>164</v>
      </c>
    </row>
    <row r="48" spans="1:7" ht="29" x14ac:dyDescent="0.35">
      <c r="A48" s="514"/>
      <c r="B48" s="545" t="s">
        <v>172</v>
      </c>
      <c r="C48" s="232" t="s">
        <v>127</v>
      </c>
      <c r="D48" s="226" t="s">
        <v>173</v>
      </c>
      <c r="E48" s="226" t="s">
        <v>62</v>
      </c>
      <c r="F48" s="226" t="s">
        <v>125</v>
      </c>
      <c r="G48" s="510" t="s">
        <v>174</v>
      </c>
    </row>
    <row r="49" spans="1:7" ht="29" x14ac:dyDescent="0.35">
      <c r="A49" s="514"/>
      <c r="B49" s="545"/>
      <c r="C49" s="233" t="s">
        <v>30</v>
      </c>
      <c r="D49" s="209" t="s">
        <v>175</v>
      </c>
      <c r="E49" s="209" t="s">
        <v>62</v>
      </c>
      <c r="F49" s="209" t="s">
        <v>125</v>
      </c>
      <c r="G49" s="511"/>
    </row>
    <row r="50" spans="1:7" ht="29" x14ac:dyDescent="0.35">
      <c r="A50" s="514"/>
      <c r="B50" s="545"/>
      <c r="C50" s="233" t="s">
        <v>130</v>
      </c>
      <c r="D50" s="209" t="s">
        <v>176</v>
      </c>
      <c r="E50" s="209" t="s">
        <v>62</v>
      </c>
      <c r="F50" s="209" t="s">
        <v>125</v>
      </c>
      <c r="G50" s="511"/>
    </row>
    <row r="51" spans="1:7" x14ac:dyDescent="0.35">
      <c r="A51" s="514"/>
      <c r="B51" s="545"/>
      <c r="C51" s="233" t="s">
        <v>35</v>
      </c>
      <c r="D51" s="209" t="s">
        <v>177</v>
      </c>
      <c r="E51" s="209" t="s">
        <v>62</v>
      </c>
      <c r="F51" s="209" t="s">
        <v>125</v>
      </c>
      <c r="G51" s="511"/>
    </row>
    <row r="52" spans="1:7" x14ac:dyDescent="0.35">
      <c r="A52" s="514"/>
      <c r="B52" s="545"/>
      <c r="C52" s="233" t="s">
        <v>133</v>
      </c>
      <c r="D52" s="209" t="s">
        <v>178</v>
      </c>
      <c r="E52" s="209" t="s">
        <v>62</v>
      </c>
      <c r="F52" s="209" t="s">
        <v>125</v>
      </c>
      <c r="G52" s="511"/>
    </row>
    <row r="53" spans="1:7" x14ac:dyDescent="0.35">
      <c r="A53" s="514"/>
      <c r="B53" s="545"/>
      <c r="C53" s="233" t="s">
        <v>179</v>
      </c>
      <c r="D53" s="209" t="s">
        <v>180</v>
      </c>
      <c r="E53" s="209" t="s">
        <v>62</v>
      </c>
      <c r="F53" s="209" t="s">
        <v>125</v>
      </c>
      <c r="G53" s="511"/>
    </row>
    <row r="54" spans="1:7" x14ac:dyDescent="0.35">
      <c r="A54" s="514"/>
      <c r="B54" s="545"/>
      <c r="C54" s="233" t="s">
        <v>135</v>
      </c>
      <c r="D54" s="209" t="s">
        <v>181</v>
      </c>
      <c r="E54" s="209" t="s">
        <v>62</v>
      </c>
      <c r="F54" s="209" t="s">
        <v>125</v>
      </c>
      <c r="G54" s="511"/>
    </row>
    <row r="55" spans="1:7" ht="29.5" thickBot="1" x14ac:dyDescent="0.4">
      <c r="A55" s="514"/>
      <c r="B55" s="546"/>
      <c r="C55" s="234" t="s">
        <v>182</v>
      </c>
      <c r="D55" s="227" t="s">
        <v>183</v>
      </c>
      <c r="E55" s="227" t="s">
        <v>62</v>
      </c>
      <c r="F55" s="227" t="s">
        <v>125</v>
      </c>
      <c r="G55" s="512"/>
    </row>
    <row r="56" spans="1:7" ht="29" x14ac:dyDescent="0.35">
      <c r="A56" s="514"/>
      <c r="B56" s="547" t="s">
        <v>139</v>
      </c>
      <c r="C56" s="278" t="s">
        <v>127</v>
      </c>
      <c r="D56" s="279" t="s">
        <v>184</v>
      </c>
      <c r="E56" s="279" t="s">
        <v>62</v>
      </c>
      <c r="F56" s="279" t="s">
        <v>141</v>
      </c>
      <c r="G56" s="280" t="s">
        <v>164</v>
      </c>
    </row>
    <row r="57" spans="1:7" x14ac:dyDescent="0.35">
      <c r="A57" s="514"/>
      <c r="B57" s="548"/>
      <c r="C57" s="230" t="s">
        <v>30</v>
      </c>
      <c r="D57" s="228" t="s">
        <v>185</v>
      </c>
      <c r="E57" s="228" t="s">
        <v>62</v>
      </c>
      <c r="F57" s="228" t="s">
        <v>141</v>
      </c>
      <c r="G57" s="205" t="s">
        <v>164</v>
      </c>
    </row>
    <row r="58" spans="1:7" ht="29" x14ac:dyDescent="0.35">
      <c r="A58" s="514"/>
      <c r="B58" s="548"/>
      <c r="C58" s="230" t="s">
        <v>130</v>
      </c>
      <c r="D58" s="228" t="s">
        <v>186</v>
      </c>
      <c r="E58" s="228" t="s">
        <v>62</v>
      </c>
      <c r="F58" s="228" t="s">
        <v>141</v>
      </c>
      <c r="G58" s="205" t="s">
        <v>164</v>
      </c>
    </row>
    <row r="59" spans="1:7" x14ac:dyDescent="0.35">
      <c r="A59" s="514"/>
      <c r="B59" s="548"/>
      <c r="C59" s="230" t="s">
        <v>35</v>
      </c>
      <c r="D59" s="228" t="s">
        <v>187</v>
      </c>
      <c r="E59" s="228" t="s">
        <v>62</v>
      </c>
      <c r="F59" s="228" t="s">
        <v>141</v>
      </c>
      <c r="G59" s="205" t="s">
        <v>164</v>
      </c>
    </row>
    <row r="60" spans="1:7" x14ac:dyDescent="0.35">
      <c r="A60" s="514"/>
      <c r="B60" s="548"/>
      <c r="C60" s="230" t="s">
        <v>133</v>
      </c>
      <c r="D60" s="228" t="s">
        <v>188</v>
      </c>
      <c r="E60" s="228" t="s">
        <v>62</v>
      </c>
      <c r="F60" s="228" t="s">
        <v>141</v>
      </c>
      <c r="G60" s="205" t="s">
        <v>164</v>
      </c>
    </row>
    <row r="61" spans="1:7" x14ac:dyDescent="0.35">
      <c r="A61" s="514"/>
      <c r="B61" s="548"/>
      <c r="C61" s="230" t="s">
        <v>179</v>
      </c>
      <c r="D61" s="228" t="s">
        <v>189</v>
      </c>
      <c r="E61" s="228" t="s">
        <v>62</v>
      </c>
      <c r="F61" s="228" t="s">
        <v>141</v>
      </c>
      <c r="G61" s="205" t="s">
        <v>164</v>
      </c>
    </row>
    <row r="62" spans="1:7" x14ac:dyDescent="0.35">
      <c r="A62" s="514"/>
      <c r="B62" s="548"/>
      <c r="C62" s="230" t="s">
        <v>135</v>
      </c>
      <c r="D62" s="228" t="s">
        <v>190</v>
      </c>
      <c r="E62" s="228" t="s">
        <v>62</v>
      </c>
      <c r="F62" s="228" t="s">
        <v>141</v>
      </c>
      <c r="G62" s="205" t="s">
        <v>164</v>
      </c>
    </row>
    <row r="63" spans="1:7" ht="15" thickBot="1" x14ac:dyDescent="0.4">
      <c r="A63" s="515"/>
      <c r="B63" s="549"/>
      <c r="C63" s="231" t="s">
        <v>182</v>
      </c>
      <c r="D63" s="229" t="s">
        <v>191</v>
      </c>
      <c r="E63" s="229" t="s">
        <v>62</v>
      </c>
      <c r="F63" s="229" t="s">
        <v>141</v>
      </c>
      <c r="G63" s="210" t="s">
        <v>164</v>
      </c>
    </row>
    <row r="64" spans="1:7" ht="116" x14ac:dyDescent="0.35">
      <c r="A64" s="514" t="s">
        <v>60</v>
      </c>
      <c r="B64" s="539" t="s">
        <v>192</v>
      </c>
      <c r="C64" s="251" t="s">
        <v>72</v>
      </c>
      <c r="D64" s="212" t="s">
        <v>193</v>
      </c>
      <c r="E64" s="212" t="s">
        <v>55</v>
      </c>
      <c r="F64" s="212" t="s">
        <v>74</v>
      </c>
      <c r="G64" s="295" t="s">
        <v>194</v>
      </c>
    </row>
    <row r="65" spans="1:7" ht="58" x14ac:dyDescent="0.35">
      <c r="A65" s="514"/>
      <c r="B65" s="540"/>
      <c r="C65" s="252" t="s">
        <v>76</v>
      </c>
      <c r="D65" s="213" t="s">
        <v>77</v>
      </c>
      <c r="E65" s="213" t="s">
        <v>55</v>
      </c>
      <c r="F65" s="213" t="s">
        <v>74</v>
      </c>
      <c r="G65" s="297" t="s">
        <v>195</v>
      </c>
    </row>
    <row r="66" spans="1:7" x14ac:dyDescent="0.35">
      <c r="A66" s="514"/>
      <c r="B66" s="540"/>
      <c r="C66" s="252" t="s">
        <v>91</v>
      </c>
      <c r="D66" s="213" t="s">
        <v>92</v>
      </c>
      <c r="E66" s="213" t="s">
        <v>55</v>
      </c>
      <c r="F66" s="213" t="s">
        <v>74</v>
      </c>
      <c r="G66" s="214" t="s">
        <v>196</v>
      </c>
    </row>
    <row r="67" spans="1:7" ht="29" x14ac:dyDescent="0.35">
      <c r="A67" s="514"/>
      <c r="B67" s="540"/>
      <c r="C67" s="252" t="s">
        <v>197</v>
      </c>
      <c r="D67" s="213" t="s">
        <v>198</v>
      </c>
      <c r="E67" s="213" t="s">
        <v>55</v>
      </c>
      <c r="F67" s="213" t="s">
        <v>74</v>
      </c>
      <c r="G67" s="214" t="s">
        <v>199</v>
      </c>
    </row>
    <row r="68" spans="1:7" x14ac:dyDescent="0.35">
      <c r="A68" s="514"/>
      <c r="B68" s="540"/>
      <c r="C68" s="252" t="s">
        <v>1</v>
      </c>
      <c r="D68" s="213" t="s">
        <v>200</v>
      </c>
      <c r="E68" s="213" t="s">
        <v>55</v>
      </c>
      <c r="F68" s="213" t="s">
        <v>74</v>
      </c>
      <c r="G68" s="214" t="s">
        <v>201</v>
      </c>
    </row>
    <row r="69" spans="1:7" ht="15" thickBot="1" x14ac:dyDescent="0.4">
      <c r="A69" s="514"/>
      <c r="B69" s="541"/>
      <c r="C69" s="253" t="s">
        <v>202</v>
      </c>
      <c r="D69" s="215" t="s">
        <v>203</v>
      </c>
      <c r="E69" s="215" t="s">
        <v>55</v>
      </c>
      <c r="F69" s="215" t="s">
        <v>74</v>
      </c>
      <c r="G69" s="216"/>
    </row>
    <row r="70" spans="1:7" ht="130.5" x14ac:dyDescent="0.35">
      <c r="A70" s="513" t="s">
        <v>63</v>
      </c>
      <c r="B70" s="516" t="s">
        <v>71</v>
      </c>
      <c r="C70" s="255" t="s">
        <v>72</v>
      </c>
      <c r="D70" s="211" t="s">
        <v>204</v>
      </c>
      <c r="E70" s="211" t="s">
        <v>55</v>
      </c>
      <c r="F70" s="211" t="s">
        <v>74</v>
      </c>
      <c r="G70" s="296" t="s">
        <v>205</v>
      </c>
    </row>
    <row r="71" spans="1:7" x14ac:dyDescent="0.35">
      <c r="A71" s="514"/>
      <c r="B71" s="517"/>
      <c r="C71" s="121" t="s">
        <v>76</v>
      </c>
      <c r="D71" s="82" t="s">
        <v>77</v>
      </c>
      <c r="E71" s="82" t="s">
        <v>55</v>
      </c>
      <c r="F71" s="82" t="s">
        <v>74</v>
      </c>
      <c r="G71" s="95" t="s">
        <v>164</v>
      </c>
    </row>
    <row r="72" spans="1:7" x14ac:dyDescent="0.35">
      <c r="A72" s="514"/>
      <c r="B72" s="517"/>
      <c r="C72" s="121" t="s">
        <v>91</v>
      </c>
      <c r="D72" s="82" t="s">
        <v>92</v>
      </c>
      <c r="E72" s="82" t="s">
        <v>55</v>
      </c>
      <c r="F72" s="82" t="s">
        <v>74</v>
      </c>
      <c r="G72" s="95" t="s">
        <v>206</v>
      </c>
    </row>
    <row r="73" spans="1:7" x14ac:dyDescent="0.35">
      <c r="A73" s="514"/>
      <c r="B73" s="517"/>
      <c r="C73" s="121" t="s">
        <v>207</v>
      </c>
      <c r="D73" s="82" t="s">
        <v>208</v>
      </c>
      <c r="E73" s="82" t="s">
        <v>81</v>
      </c>
      <c r="F73" s="82" t="s">
        <v>74</v>
      </c>
      <c r="G73" s="95" t="s">
        <v>164</v>
      </c>
    </row>
    <row r="74" spans="1:7" ht="60" customHeight="1" x14ac:dyDescent="0.35">
      <c r="A74" s="514"/>
      <c r="B74" s="517"/>
      <c r="C74" s="121" t="s">
        <v>83</v>
      </c>
      <c r="D74" s="82" t="s">
        <v>209</v>
      </c>
      <c r="E74" s="82" t="s">
        <v>81</v>
      </c>
      <c r="F74" s="82" t="s">
        <v>74</v>
      </c>
      <c r="G74" s="95" t="s">
        <v>164</v>
      </c>
    </row>
    <row r="75" spans="1:7" x14ac:dyDescent="0.35">
      <c r="A75" s="514"/>
      <c r="B75" s="517"/>
      <c r="C75" s="121" t="s">
        <v>1</v>
      </c>
      <c r="D75" s="82" t="s">
        <v>200</v>
      </c>
      <c r="E75" s="82" t="s">
        <v>81</v>
      </c>
      <c r="F75" s="82" t="s">
        <v>74</v>
      </c>
      <c r="G75" s="95" t="s">
        <v>164</v>
      </c>
    </row>
    <row r="76" spans="1:7" ht="87" x14ac:dyDescent="0.35">
      <c r="A76" s="514"/>
      <c r="B76" s="517"/>
      <c r="C76" s="121" t="s">
        <v>210</v>
      </c>
      <c r="D76" s="82" t="s">
        <v>211</v>
      </c>
      <c r="E76" s="82" t="s">
        <v>55</v>
      </c>
      <c r="F76" s="82" t="s">
        <v>74</v>
      </c>
      <c r="G76" s="243" t="s">
        <v>212</v>
      </c>
    </row>
    <row r="77" spans="1:7" ht="87" x14ac:dyDescent="0.35">
      <c r="A77" s="514"/>
      <c r="B77" s="517"/>
      <c r="C77" s="121" t="s">
        <v>213</v>
      </c>
      <c r="D77" s="82" t="s">
        <v>214</v>
      </c>
      <c r="E77" s="82" t="s">
        <v>55</v>
      </c>
      <c r="F77" s="82" t="s">
        <v>74</v>
      </c>
      <c r="G77" s="243" t="s">
        <v>215</v>
      </c>
    </row>
    <row r="78" spans="1:7" ht="29" x14ac:dyDescent="0.35">
      <c r="A78" s="514"/>
      <c r="B78" s="517"/>
      <c r="C78" s="121" t="s">
        <v>100</v>
      </c>
      <c r="D78" s="82" t="s">
        <v>166</v>
      </c>
      <c r="E78" s="82" t="s">
        <v>81</v>
      </c>
      <c r="F78" s="82" t="s">
        <v>74</v>
      </c>
      <c r="G78" s="95" t="s">
        <v>167</v>
      </c>
    </row>
    <row r="79" spans="1:7" ht="29.5" thickBot="1" x14ac:dyDescent="0.4">
      <c r="A79" s="514"/>
      <c r="B79" s="518"/>
      <c r="C79" s="122" t="s">
        <v>216</v>
      </c>
      <c r="D79" s="96" t="s">
        <v>217</v>
      </c>
      <c r="E79" s="96" t="s">
        <v>55</v>
      </c>
      <c r="F79" s="96" t="s">
        <v>74</v>
      </c>
      <c r="G79" s="97" t="s">
        <v>218</v>
      </c>
    </row>
    <row r="80" spans="1:7" ht="29" x14ac:dyDescent="0.35">
      <c r="A80" s="514"/>
      <c r="B80" s="519" t="s">
        <v>108</v>
      </c>
      <c r="C80" s="123" t="s">
        <v>109</v>
      </c>
      <c r="D80" s="105" t="s">
        <v>219</v>
      </c>
      <c r="E80" s="105" t="s">
        <v>55</v>
      </c>
      <c r="F80" s="105" t="s">
        <v>220</v>
      </c>
      <c r="G80" s="106" t="s">
        <v>218</v>
      </c>
    </row>
    <row r="81" spans="1:7" ht="29.5" thickBot="1" x14ac:dyDescent="0.4">
      <c r="A81" s="514"/>
      <c r="B81" s="520"/>
      <c r="C81" s="124" t="s">
        <v>116</v>
      </c>
      <c r="D81" s="107" t="s">
        <v>221</v>
      </c>
      <c r="E81" s="107" t="s">
        <v>55</v>
      </c>
      <c r="F81" s="107" t="s">
        <v>220</v>
      </c>
      <c r="G81" s="108" t="s">
        <v>218</v>
      </c>
    </row>
    <row r="82" spans="1:7" ht="29" x14ac:dyDescent="0.35">
      <c r="A82" s="514"/>
      <c r="B82" s="521" t="s">
        <v>119</v>
      </c>
      <c r="C82" s="125" t="s">
        <v>222</v>
      </c>
      <c r="D82" s="102" t="s">
        <v>223</v>
      </c>
      <c r="E82" s="102" t="s">
        <v>55</v>
      </c>
      <c r="F82" s="102" t="s">
        <v>74</v>
      </c>
      <c r="G82" s="103" t="s">
        <v>218</v>
      </c>
    </row>
    <row r="83" spans="1:7" ht="29" x14ac:dyDescent="0.35">
      <c r="A83" s="514"/>
      <c r="B83" s="522"/>
      <c r="C83" s="127" t="s">
        <v>224</v>
      </c>
      <c r="D83" s="109" t="s">
        <v>225</v>
      </c>
      <c r="E83" s="109" t="s">
        <v>55</v>
      </c>
      <c r="F83" s="109" t="s">
        <v>220</v>
      </c>
      <c r="G83" s="114" t="s">
        <v>218</v>
      </c>
    </row>
    <row r="84" spans="1:7" ht="29.5" thickBot="1" x14ac:dyDescent="0.4">
      <c r="A84" s="514"/>
      <c r="B84" s="523"/>
      <c r="C84" s="128" t="s">
        <v>182</v>
      </c>
      <c r="D84" s="119" t="s">
        <v>226</v>
      </c>
      <c r="E84" s="119" t="s">
        <v>55</v>
      </c>
      <c r="F84" s="119" t="s">
        <v>220</v>
      </c>
      <c r="G84" s="120" t="s">
        <v>218</v>
      </c>
    </row>
    <row r="85" spans="1:7" ht="29" x14ac:dyDescent="0.35">
      <c r="A85" s="514"/>
      <c r="B85" s="524" t="s">
        <v>139</v>
      </c>
      <c r="C85" s="126" t="s">
        <v>227</v>
      </c>
      <c r="D85" s="111" t="s">
        <v>228</v>
      </c>
      <c r="E85" s="111" t="s">
        <v>55</v>
      </c>
      <c r="F85" s="111" t="s">
        <v>220</v>
      </c>
      <c r="G85" s="112" t="s">
        <v>218</v>
      </c>
    </row>
    <row r="86" spans="1:7" ht="29" x14ac:dyDescent="0.35">
      <c r="A86" s="514"/>
      <c r="B86" s="525"/>
      <c r="C86" s="98" t="s">
        <v>224</v>
      </c>
      <c r="D86" s="83" t="s">
        <v>229</v>
      </c>
      <c r="E86" s="83" t="s">
        <v>55</v>
      </c>
      <c r="F86" s="83" t="s">
        <v>220</v>
      </c>
      <c r="G86" s="99" t="s">
        <v>218</v>
      </c>
    </row>
    <row r="87" spans="1:7" ht="29" x14ac:dyDescent="0.35">
      <c r="A87" s="514"/>
      <c r="B87" s="525"/>
      <c r="C87" s="98" t="s">
        <v>179</v>
      </c>
      <c r="D87" s="83" t="s">
        <v>230</v>
      </c>
      <c r="E87" s="83" t="s">
        <v>55</v>
      </c>
      <c r="F87" s="83" t="s">
        <v>220</v>
      </c>
      <c r="G87" s="99" t="s">
        <v>218</v>
      </c>
    </row>
    <row r="88" spans="1:7" ht="29" x14ac:dyDescent="0.35">
      <c r="A88" s="514"/>
      <c r="B88" s="525"/>
      <c r="C88" s="98" t="s">
        <v>135</v>
      </c>
      <c r="D88" s="83" t="s">
        <v>231</v>
      </c>
      <c r="E88" s="83" t="s">
        <v>55</v>
      </c>
      <c r="F88" s="83" t="s">
        <v>220</v>
      </c>
      <c r="G88" s="99" t="s">
        <v>218</v>
      </c>
    </row>
    <row r="89" spans="1:7" ht="45" customHeight="1" x14ac:dyDescent="0.35">
      <c r="A89" s="514"/>
      <c r="B89" s="525"/>
      <c r="C89" s="98" t="s">
        <v>182</v>
      </c>
      <c r="D89" s="83" t="s">
        <v>232</v>
      </c>
      <c r="E89" s="83" t="s">
        <v>55</v>
      </c>
      <c r="F89" s="83" t="s">
        <v>220</v>
      </c>
      <c r="G89" s="99" t="s">
        <v>218</v>
      </c>
    </row>
    <row r="90" spans="1:7" ht="29.5" thickBot="1" x14ac:dyDescent="0.4">
      <c r="A90" s="515"/>
      <c r="B90" s="526"/>
      <c r="C90" s="249"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1CD11-A3FE-401A-AE40-682936ED56D8}">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796875" defaultRowHeight="14.5" x14ac:dyDescent="0.35"/>
  <cols>
    <col min="1" max="1" width="9.81640625" style="158" bestFit="1" customWidth="1"/>
    <col min="2" max="2" width="123" style="81" bestFit="1" customWidth="1"/>
    <col min="3" max="3" width="7.1796875" style="81" bestFit="1" customWidth="1"/>
    <col min="4" max="16384" width="9.1796875" style="81"/>
  </cols>
  <sheetData>
    <row r="1" spans="1:3" x14ac:dyDescent="0.35">
      <c r="A1" s="476" t="s">
        <v>0</v>
      </c>
      <c r="B1" s="477" t="s">
        <v>235</v>
      </c>
      <c r="C1" s="477" t="s">
        <v>236</v>
      </c>
    </row>
    <row r="2" spans="1:3" x14ac:dyDescent="0.35">
      <c r="A2" s="478">
        <v>43807</v>
      </c>
      <c r="B2" s="479" t="s">
        <v>237</v>
      </c>
      <c r="C2" s="479" t="s">
        <v>11</v>
      </c>
    </row>
    <row r="3" spans="1:3" ht="29" x14ac:dyDescent="0.35">
      <c r="A3" s="478">
        <v>43937</v>
      </c>
      <c r="B3" s="80" t="s">
        <v>238</v>
      </c>
      <c r="C3" s="479" t="s">
        <v>11</v>
      </c>
    </row>
    <row r="4" spans="1:3" x14ac:dyDescent="0.35">
      <c r="A4" s="478">
        <v>43941</v>
      </c>
      <c r="B4" s="479" t="s">
        <v>239</v>
      </c>
      <c r="C4" s="479" t="s">
        <v>11</v>
      </c>
    </row>
    <row r="5" spans="1:3" x14ac:dyDescent="0.35">
      <c r="A5" s="478">
        <v>43942</v>
      </c>
      <c r="B5" s="479" t="s">
        <v>240</v>
      </c>
      <c r="C5" s="479" t="s">
        <v>11</v>
      </c>
    </row>
    <row r="6" spans="1:3" x14ac:dyDescent="0.35">
      <c r="A6" s="478">
        <v>43963</v>
      </c>
      <c r="B6" s="479" t="s">
        <v>241</v>
      </c>
      <c r="C6" s="479" t="s">
        <v>11</v>
      </c>
    </row>
    <row r="7" spans="1:3" x14ac:dyDescent="0.35">
      <c r="A7" s="478">
        <v>43990</v>
      </c>
      <c r="B7" s="479" t="s">
        <v>242</v>
      </c>
      <c r="C7" s="479" t="s">
        <v>11</v>
      </c>
    </row>
    <row r="8" spans="1:3" ht="29" x14ac:dyDescent="0.35">
      <c r="A8" s="478">
        <v>44104</v>
      </c>
      <c r="B8" s="80" t="s">
        <v>243</v>
      </c>
      <c r="C8" s="479" t="s">
        <v>244</v>
      </c>
    </row>
    <row r="9" spans="1:3" ht="145" x14ac:dyDescent="0.35">
      <c r="A9" s="478">
        <v>44128</v>
      </c>
      <c r="B9" s="80" t="s">
        <v>245</v>
      </c>
      <c r="C9" s="479" t="s">
        <v>244</v>
      </c>
    </row>
    <row r="10" spans="1:3" x14ac:dyDescent="0.35">
      <c r="A10" s="478">
        <v>44361</v>
      </c>
      <c r="B10" s="479" t="s">
        <v>246</v>
      </c>
      <c r="C10" s="479" t="s">
        <v>247</v>
      </c>
    </row>
    <row r="11" spans="1:3" x14ac:dyDescent="0.35">
      <c r="A11" s="478">
        <v>44813</v>
      </c>
      <c r="B11" s="479" t="s">
        <v>248</v>
      </c>
      <c r="C11" s="479"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75"/>
  <sheetViews>
    <sheetView zoomScale="95" zoomScaleNormal="95" workbookViewId="0">
      <pane xSplit="2" ySplit="5" topLeftCell="H92" activePane="bottomRight" state="frozen"/>
      <selection pane="topRight" activeCell="C1" sqref="C1"/>
      <selection pane="bottomLeft" activeCell="A4" sqref="A4"/>
      <selection pane="bottomRight" activeCell="O104" sqref="O104"/>
    </sheetView>
  </sheetViews>
  <sheetFormatPr defaultColWidth="9.1796875" defaultRowHeight="14.5" x14ac:dyDescent="0.35"/>
  <cols>
    <col min="1" max="1" width="19.81640625" style="161" customWidth="1"/>
    <col min="2" max="2" width="60.54296875" style="159" customWidth="1"/>
    <col min="3" max="3" width="13.1796875" style="159" customWidth="1"/>
    <col min="4" max="4" width="14.1796875" style="162" bestFit="1" customWidth="1"/>
    <col min="5" max="5" width="30.81640625" style="159" customWidth="1"/>
    <col min="6" max="6" width="73.1796875" style="159" customWidth="1"/>
    <col min="7" max="7" width="9.81640625" style="159" bestFit="1" customWidth="1"/>
    <col min="8" max="9" width="14.81640625" style="162" customWidth="1"/>
    <col min="10" max="10" width="44.1796875" style="159" customWidth="1"/>
    <col min="11" max="11" width="14.1796875" style="159" customWidth="1"/>
    <col min="12" max="12" width="16.54296875" style="159" bestFit="1" customWidth="1"/>
    <col min="13" max="13" width="10.81640625" style="159" bestFit="1" customWidth="1"/>
    <col min="14" max="14" width="12.1796875" style="159" bestFit="1" customWidth="1"/>
    <col min="15" max="15" width="11.1796875" style="159" bestFit="1" customWidth="1"/>
    <col min="16" max="16" width="14.453125" style="159" bestFit="1" customWidth="1"/>
    <col min="17" max="17" width="10.1796875" style="159" bestFit="1" customWidth="1"/>
    <col min="18" max="18" width="18.453125" style="164" customWidth="1"/>
    <col min="19" max="19" width="11.1796875" style="164" bestFit="1" customWidth="1"/>
    <col min="20" max="20" width="6.81640625" style="163" customWidth="1"/>
    <col min="21" max="21" width="9.81640625" style="163" bestFit="1" customWidth="1"/>
    <col min="22" max="23" width="11.54296875" style="163" customWidth="1"/>
    <col min="24" max="24" width="12.81640625" style="163" customWidth="1"/>
    <col min="25" max="25" width="11.54296875" style="164" customWidth="1"/>
    <col min="26" max="26" width="11.54296875" style="164" bestFit="1" customWidth="1"/>
    <col min="27" max="27" width="7.1796875" style="163" bestFit="1" customWidth="1"/>
    <col min="28" max="28" width="10.1796875" style="163" bestFit="1" customWidth="1"/>
    <col min="29" max="29" width="6.453125" style="163" bestFit="1" customWidth="1"/>
    <col min="30" max="30" width="7" style="163" bestFit="1" customWidth="1"/>
    <col min="31" max="31" width="13.54296875" style="163" bestFit="1" customWidth="1"/>
    <col min="32" max="32" width="21.54296875" style="159" customWidth="1"/>
    <col min="33" max="33" width="10.81640625" style="159" bestFit="1" customWidth="1"/>
    <col min="34" max="34" width="22.1796875" style="159" customWidth="1"/>
    <col min="35" max="16384" width="9.1796875" style="159"/>
  </cols>
  <sheetData>
    <row r="1" spans="1:34" ht="19.5" customHeight="1" x14ac:dyDescent="0.35">
      <c r="A1" s="568" t="s">
        <v>249</v>
      </c>
      <c r="B1" s="569"/>
      <c r="C1" s="569"/>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570"/>
    </row>
    <row r="2" spans="1:34" ht="19.5" customHeight="1" x14ac:dyDescent="0.35">
      <c r="A2" s="565" t="s">
        <v>250</v>
      </c>
      <c r="B2" s="566"/>
      <c r="C2" s="566"/>
      <c r="D2" s="566"/>
      <c r="E2" s="566"/>
      <c r="F2" s="566"/>
      <c r="G2" s="566"/>
      <c r="H2" s="566"/>
      <c r="I2" s="566"/>
      <c r="J2" s="567"/>
      <c r="K2" s="266">
        <f>SUM(K7:K154)</f>
        <v>147</v>
      </c>
      <c r="L2" s="266">
        <f>SUM(L7:L154)</f>
        <v>147</v>
      </c>
      <c r="M2" s="267"/>
      <c r="N2" s="298">
        <f>SUMPRODUCT(K7:K154,N7:N154)/K158</f>
        <v>0.9932432432432432</v>
      </c>
      <c r="O2" s="450">
        <f>SUM(O7:O154)</f>
        <v>66.899999999999906</v>
      </c>
      <c r="P2" s="299">
        <f>SUMPRODUCT(K7:K154,P7:P154)/K158</f>
        <v>0.45202702702702641</v>
      </c>
      <c r="Q2" s="268"/>
      <c r="R2" s="269">
        <f t="shared" ref="R2:W2" si="0">SUM(R7:R154)</f>
        <v>147</v>
      </c>
      <c r="S2" s="300">
        <f t="shared" si="0"/>
        <v>54</v>
      </c>
      <c r="T2" s="300">
        <f t="shared" si="0"/>
        <v>54</v>
      </c>
      <c r="U2" s="300">
        <f t="shared" si="0"/>
        <v>0</v>
      </c>
      <c r="V2" s="300">
        <f t="shared" si="0"/>
        <v>0</v>
      </c>
      <c r="W2" s="300">
        <f t="shared" si="0"/>
        <v>0</v>
      </c>
      <c r="X2" s="301">
        <f>IF((S158=0),0,((T158+U158)/S158*100%))</f>
        <v>1</v>
      </c>
      <c r="Y2" s="270"/>
      <c r="Z2" s="302">
        <f>SUM(Z7:Z154)</f>
        <v>0</v>
      </c>
      <c r="AA2" s="302">
        <f>SUM(AA7:AA154)</f>
        <v>0</v>
      </c>
      <c r="AB2" s="302">
        <f>SUM(AB7:AB170)</f>
        <v>0</v>
      </c>
      <c r="AC2" s="302">
        <f>SUM(AC7:AC170)</f>
        <v>0</v>
      </c>
      <c r="AD2" s="302">
        <f>SUM(AD7:AD170)</f>
        <v>0</v>
      </c>
      <c r="AE2" s="303">
        <f>IF((Z158=0),0,((AA158+AB158)/Z158*100%))</f>
        <v>0</v>
      </c>
      <c r="AF2" s="271"/>
      <c r="AG2" s="271"/>
      <c r="AH2" s="272"/>
    </row>
    <row r="3" spans="1:34" ht="19.5" customHeight="1" thickBot="1" x14ac:dyDescent="0.4">
      <c r="A3" s="568" t="s">
        <v>251</v>
      </c>
      <c r="B3" s="569"/>
      <c r="C3" s="569"/>
      <c r="D3" s="569"/>
      <c r="E3" s="569"/>
      <c r="F3" s="569"/>
      <c r="G3" s="569"/>
      <c r="H3" s="569"/>
      <c r="I3" s="569"/>
      <c r="J3" s="569"/>
      <c r="K3" s="569"/>
      <c r="L3" s="569"/>
      <c r="M3" s="569"/>
      <c r="N3" s="569"/>
      <c r="O3" s="569"/>
      <c r="P3" s="569"/>
      <c r="Q3" s="569"/>
      <c r="R3" s="569"/>
      <c r="S3" s="569"/>
      <c r="T3" s="569"/>
      <c r="U3" s="569"/>
      <c r="V3" s="569"/>
      <c r="W3" s="569"/>
      <c r="X3" s="569"/>
      <c r="Y3" s="569"/>
      <c r="Z3" s="569"/>
      <c r="AA3" s="569"/>
      <c r="AB3" s="569"/>
      <c r="AC3" s="569"/>
      <c r="AD3" s="569"/>
      <c r="AE3" s="569"/>
      <c r="AF3" s="569"/>
      <c r="AG3" s="569"/>
      <c r="AH3" s="570"/>
    </row>
    <row r="4" spans="1:34" ht="31.5" customHeight="1" thickBot="1" x14ac:dyDescent="0.4">
      <c r="A4" s="571" t="s">
        <v>71</v>
      </c>
      <c r="B4" s="572"/>
      <c r="C4" s="572"/>
      <c r="D4" s="572"/>
      <c r="E4" s="572"/>
      <c r="F4" s="572"/>
      <c r="G4" s="572"/>
      <c r="H4" s="572"/>
      <c r="I4" s="572"/>
      <c r="J4" s="572"/>
      <c r="K4" s="572"/>
      <c r="L4" s="572"/>
      <c r="M4" s="573"/>
      <c r="N4" s="574" t="s">
        <v>252</v>
      </c>
      <c r="O4" s="575"/>
      <c r="P4" s="576"/>
      <c r="Q4" s="580" t="s">
        <v>253</v>
      </c>
      <c r="R4" s="581"/>
      <c r="S4" s="581"/>
      <c r="T4" s="581"/>
      <c r="U4" s="581"/>
      <c r="V4" s="581"/>
      <c r="W4" s="581"/>
      <c r="X4" s="581"/>
      <c r="Y4" s="582"/>
      <c r="Z4" s="577" t="s">
        <v>254</v>
      </c>
      <c r="AA4" s="578"/>
      <c r="AB4" s="578"/>
      <c r="AC4" s="578"/>
      <c r="AD4" s="578"/>
      <c r="AE4" s="578"/>
      <c r="AF4" s="578"/>
      <c r="AG4" s="578"/>
      <c r="AH4" s="579"/>
    </row>
    <row r="5" spans="1:34" s="160" customFormat="1" ht="15" thickBot="1" x14ac:dyDescent="0.4">
      <c r="A5" s="441" t="s">
        <v>72</v>
      </c>
      <c r="B5" s="442" t="s">
        <v>76</v>
      </c>
      <c r="C5" s="442" t="s">
        <v>79</v>
      </c>
      <c r="D5" s="443" t="s">
        <v>83</v>
      </c>
      <c r="E5" s="442" t="s">
        <v>86</v>
      </c>
      <c r="F5" s="442" t="s">
        <v>89</v>
      </c>
      <c r="G5" s="442" t="s">
        <v>91</v>
      </c>
      <c r="H5" s="442" t="s">
        <v>94</v>
      </c>
      <c r="I5" s="442" t="s">
        <v>255</v>
      </c>
      <c r="J5" s="442" t="s">
        <v>97</v>
      </c>
      <c r="K5" s="444" t="s">
        <v>100</v>
      </c>
      <c r="L5" s="444" t="s">
        <v>103</v>
      </c>
      <c r="M5" s="439" t="s">
        <v>1</v>
      </c>
      <c r="N5" s="345" t="s">
        <v>109</v>
      </c>
      <c r="O5" s="346" t="s">
        <v>113</v>
      </c>
      <c r="P5" s="347" t="s">
        <v>116</v>
      </c>
      <c r="Q5" s="348" t="s">
        <v>120</v>
      </c>
      <c r="R5" s="349" t="s">
        <v>123</v>
      </c>
      <c r="S5" s="349" t="s">
        <v>127</v>
      </c>
      <c r="T5" s="350" t="s">
        <v>30</v>
      </c>
      <c r="U5" s="350" t="s">
        <v>130</v>
      </c>
      <c r="V5" s="350" t="s">
        <v>35</v>
      </c>
      <c r="W5" s="350" t="s">
        <v>133</v>
      </c>
      <c r="X5" s="350" t="s">
        <v>135</v>
      </c>
      <c r="Y5" s="344" t="s">
        <v>137</v>
      </c>
      <c r="Z5" s="351" t="s">
        <v>127</v>
      </c>
      <c r="AA5" s="350" t="s">
        <v>30</v>
      </c>
      <c r="AB5" s="350" t="s">
        <v>130</v>
      </c>
      <c r="AC5" s="350" t="s">
        <v>35</v>
      </c>
      <c r="AD5" s="350" t="s">
        <v>133</v>
      </c>
      <c r="AE5" s="350" t="s">
        <v>135</v>
      </c>
      <c r="AF5" s="343" t="s">
        <v>150</v>
      </c>
      <c r="AG5" s="343" t="s">
        <v>152</v>
      </c>
      <c r="AH5" s="352" t="s">
        <v>155</v>
      </c>
    </row>
    <row r="6" spans="1:34" ht="15" thickBot="1" x14ac:dyDescent="0.4">
      <c r="A6" s="252" t="s">
        <v>256</v>
      </c>
      <c r="B6" s="480" t="str">
        <f>VLOOKUP(A6,'Feature Raw Data'!$A$3:$B$3934,2,FALSE)</f>
        <v>DFS-DID Switch for All Slices</v>
      </c>
      <c r="C6" s="317"/>
      <c r="D6" s="315" t="s">
        <v>257</v>
      </c>
      <c r="E6" s="361" t="s">
        <v>258</v>
      </c>
      <c r="F6" s="353" t="s">
        <v>259</v>
      </c>
      <c r="G6" s="385" t="str">
        <f>VLOOKUP(A6,'Feature Summary'!$A$7:$C$4005,3,FALSE)</f>
        <v>P2</v>
      </c>
      <c r="H6" s="361" t="s">
        <v>260</v>
      </c>
      <c r="I6" s="361" t="s">
        <v>261</v>
      </c>
      <c r="J6" s="361"/>
      <c r="K6" s="245">
        <v>1</v>
      </c>
      <c r="L6" s="315">
        <v>1</v>
      </c>
      <c r="M6" s="386" t="s">
        <v>33</v>
      </c>
      <c r="N6" s="316">
        <v>1</v>
      </c>
      <c r="O6" s="315">
        <v>0</v>
      </c>
      <c r="P6" s="305">
        <f>IF((O6=0),0,(O6/L6))</f>
        <v>0</v>
      </c>
      <c r="Q6" s="315" t="s">
        <v>45</v>
      </c>
      <c r="R6" s="315">
        <v>1</v>
      </c>
      <c r="S6" s="306">
        <v>1</v>
      </c>
      <c r="T6" s="315">
        <v>1</v>
      </c>
      <c r="U6" s="307"/>
      <c r="V6" s="307"/>
      <c r="W6" s="307"/>
      <c r="X6" s="308">
        <f t="shared" ref="X6:X16" si="1">IF((S6=0),0,((T6+U6)/S6*100%))</f>
        <v>1</v>
      </c>
      <c r="Y6" s="368"/>
      <c r="Z6" s="309">
        <f t="shared" ref="Z6" si="2">SUM(AA6:AD6)</f>
        <v>0</v>
      </c>
      <c r="AA6" s="304"/>
      <c r="AB6" s="304"/>
      <c r="AC6" s="304"/>
      <c r="AD6" s="304"/>
      <c r="AE6" s="310">
        <f t="shared" ref="AE6" si="3">IF((Z6=0),0,((AA6+AB6)/Z6*100%))</f>
        <v>0</v>
      </c>
      <c r="AF6" s="244"/>
      <c r="AG6" s="362" t="str">
        <f>VLOOKUP(A6,'Feature Summary'!$A$7:$U$4024,21,FALSE)</f>
        <v>wk-11</v>
      </c>
      <c r="AH6" s="246"/>
    </row>
    <row r="7" spans="1:34" ht="15" thickBot="1" x14ac:dyDescent="0.4">
      <c r="A7" s="252" t="s">
        <v>262</v>
      </c>
      <c r="B7" s="480" t="str">
        <f>VLOOKUP(A7,'Feature Raw Data'!$A$3:$B$3934,2,FALSE)</f>
        <v>Tick-Counter</v>
      </c>
      <c r="C7" s="317"/>
      <c r="D7" s="315" t="s">
        <v>257</v>
      </c>
      <c r="E7" s="361" t="s">
        <v>258</v>
      </c>
      <c r="F7" s="353" t="s">
        <v>259</v>
      </c>
      <c r="G7" s="385" t="str">
        <f>VLOOKUP(A7,'Feature Summary'!$A$7:$C$4005,3,FALSE)</f>
        <v>P1</v>
      </c>
      <c r="H7" s="361" t="s">
        <v>260</v>
      </c>
      <c r="I7" s="361" t="s">
        <v>261</v>
      </c>
      <c r="J7" s="361"/>
      <c r="K7" s="245">
        <v>1</v>
      </c>
      <c r="L7" s="315">
        <v>1</v>
      </c>
      <c r="M7" s="386" t="s">
        <v>33</v>
      </c>
      <c r="N7" s="316">
        <v>1</v>
      </c>
      <c r="O7" s="315">
        <v>0</v>
      </c>
      <c r="P7" s="305">
        <f>IF((O7=0),0,(O7/L7))</f>
        <v>0</v>
      </c>
      <c r="Q7" s="315" t="s">
        <v>45</v>
      </c>
      <c r="R7" s="315">
        <v>1</v>
      </c>
      <c r="S7" s="306">
        <v>1</v>
      </c>
      <c r="T7" s="315">
        <v>1</v>
      </c>
      <c r="U7" s="307"/>
      <c r="V7" s="307"/>
      <c r="W7" s="307"/>
      <c r="X7" s="308">
        <f t="shared" si="1"/>
        <v>1</v>
      </c>
      <c r="Y7" s="368"/>
      <c r="Z7" s="309">
        <f t="shared" ref="Z7:Z101" si="4">SUM(AA7:AD7)</f>
        <v>0</v>
      </c>
      <c r="AA7" s="304"/>
      <c r="AB7" s="304"/>
      <c r="AC7" s="304"/>
      <c r="AD7" s="304"/>
      <c r="AE7" s="310">
        <f t="shared" ref="AE7:AE15" si="5">IF((Z7=0),0,((AA7+AB7)/Z7*100%))</f>
        <v>0</v>
      </c>
      <c r="AF7" s="244"/>
      <c r="AG7" s="362" t="str">
        <f>VLOOKUP(A7,'Feature Summary'!$A$7:$U$4024,21,FALSE)</f>
        <v>wk-10</v>
      </c>
      <c r="AH7" s="246"/>
    </row>
    <row r="8" spans="1:34" ht="15" thickBot="1" x14ac:dyDescent="0.4">
      <c r="A8" s="252" t="s">
        <v>262</v>
      </c>
      <c r="B8" s="480" t="str">
        <f>VLOOKUP(A8,'Feature Raw Data'!$A$3:$B$3934,2,FALSE)</f>
        <v>Tick-Counter</v>
      </c>
      <c r="C8" s="317"/>
      <c r="D8" s="315" t="s">
        <v>257</v>
      </c>
      <c r="E8" s="361" t="s">
        <v>263</v>
      </c>
      <c r="F8" s="353" t="s">
        <v>264</v>
      </c>
      <c r="G8" s="385" t="str">
        <f>VLOOKUP(A8,'Feature Summary'!$A$7:$C$4005,3,FALSE)</f>
        <v>P1</v>
      </c>
      <c r="H8" s="361" t="s">
        <v>265</v>
      </c>
      <c r="I8" s="361" t="s">
        <v>261</v>
      </c>
      <c r="J8" s="361" t="s">
        <v>266</v>
      </c>
      <c r="K8" s="245">
        <v>1</v>
      </c>
      <c r="L8" s="315">
        <v>1</v>
      </c>
      <c r="M8" s="498" t="s">
        <v>42</v>
      </c>
      <c r="N8" s="506">
        <v>1</v>
      </c>
      <c r="O8" s="315">
        <v>0.6</v>
      </c>
      <c r="P8" s="305">
        <f t="shared" ref="P8" si="6">IF((O8=0),0,(O8/L8))</f>
        <v>0.6</v>
      </c>
      <c r="Q8" s="315" t="s">
        <v>45</v>
      </c>
      <c r="R8" s="315">
        <v>1</v>
      </c>
      <c r="S8" s="306">
        <f t="shared" ref="S8" si="7">SUM(T8:W8)</f>
        <v>0</v>
      </c>
      <c r="T8" s="315"/>
      <c r="U8" s="307"/>
      <c r="V8" s="307"/>
      <c r="W8" s="307"/>
      <c r="X8" s="308">
        <f t="shared" si="1"/>
        <v>0</v>
      </c>
      <c r="Y8" s="368"/>
      <c r="Z8" s="309">
        <f t="shared" si="4"/>
        <v>0</v>
      </c>
      <c r="AA8" s="304"/>
      <c r="AB8" s="304"/>
      <c r="AC8" s="304"/>
      <c r="AD8" s="304"/>
      <c r="AE8" s="310">
        <f t="shared" ref="AE8" si="8">IF((Z8=0),0,((AA8+AB8)/Z8*100%))</f>
        <v>0</v>
      </c>
      <c r="AF8" s="244"/>
      <c r="AG8" s="362" t="str">
        <f>VLOOKUP(A8,'Feature Summary'!$A$7:$U$4024,21,FALSE)</f>
        <v>wk-10</v>
      </c>
      <c r="AH8" s="246"/>
    </row>
    <row r="9" spans="1:34" ht="15" thickBot="1" x14ac:dyDescent="0.4">
      <c r="A9" s="252" t="s">
        <v>267</v>
      </c>
      <c r="B9" s="480" t="str">
        <f>VLOOKUP(A9,'Feature Raw Data'!$A$3:$B$3934,2,FALSE)</f>
        <v>VCO Change/Fractional Divider/Multiplier</v>
      </c>
      <c r="C9" s="317"/>
      <c r="D9" s="315" t="s">
        <v>257</v>
      </c>
      <c r="E9" s="361" t="s">
        <v>263</v>
      </c>
      <c r="F9" s="353" t="s">
        <v>264</v>
      </c>
      <c r="G9" s="385" t="str">
        <f>VLOOKUP(A9,'Feature Summary'!$A$7:$C$4005,3,FALSE)</f>
        <v>P1</v>
      </c>
      <c r="H9" s="361" t="s">
        <v>265</v>
      </c>
      <c r="I9" s="361" t="s">
        <v>261</v>
      </c>
      <c r="J9" s="361" t="s">
        <v>266</v>
      </c>
      <c r="K9" s="245">
        <v>1</v>
      </c>
      <c r="L9" s="315">
        <v>1</v>
      </c>
      <c r="M9" s="498" t="s">
        <v>42</v>
      </c>
      <c r="N9" s="506">
        <v>1</v>
      </c>
      <c r="O9" s="315">
        <v>0.6</v>
      </c>
      <c r="P9" s="305">
        <f t="shared" ref="P9" si="9">IF((O9=0),0,(O9/L9))</f>
        <v>0.6</v>
      </c>
      <c r="Q9" s="315" t="s">
        <v>45</v>
      </c>
      <c r="R9" s="315">
        <v>1</v>
      </c>
      <c r="S9" s="306">
        <f t="shared" ref="S9" si="10">SUM(T9:W9)</f>
        <v>0</v>
      </c>
      <c r="T9" s="315"/>
      <c r="U9" s="307"/>
      <c r="V9" s="307"/>
      <c r="W9" s="307"/>
      <c r="X9" s="308">
        <f t="shared" si="1"/>
        <v>0</v>
      </c>
      <c r="Y9" s="368"/>
      <c r="Z9" s="309">
        <f t="shared" ref="Z9" si="11">SUM(AA9:AD9)</f>
        <v>0</v>
      </c>
      <c r="AA9" s="304"/>
      <c r="AB9" s="304"/>
      <c r="AC9" s="304"/>
      <c r="AD9" s="304"/>
      <c r="AE9" s="310">
        <f t="shared" si="5"/>
        <v>0</v>
      </c>
      <c r="AF9" s="244"/>
      <c r="AG9" s="362" t="str">
        <f>VLOOKUP(A9,'Feature Summary'!$A$7:$U$4024,21,FALSE)</f>
        <v>wk-10</v>
      </c>
      <c r="AH9" s="246"/>
    </row>
    <row r="10" spans="1:34" ht="15" thickBot="1" x14ac:dyDescent="0.4">
      <c r="A10" s="252" t="s">
        <v>268</v>
      </c>
      <c r="B10" s="480" t="str">
        <f>VLOOKUP(A10,'Feature Raw Data'!$A$3:$B$3934,2,FALSE)</f>
        <v>DPM Signal</v>
      </c>
      <c r="C10" s="317"/>
      <c r="D10" s="315" t="s">
        <v>257</v>
      </c>
      <c r="E10" s="361" t="s">
        <v>263</v>
      </c>
      <c r="F10" s="353" t="s">
        <v>264</v>
      </c>
      <c r="G10" s="385" t="str">
        <f>VLOOKUP(A10,'Feature Summary'!$A$7:$C$4005,3,FALSE)</f>
        <v>P1</v>
      </c>
      <c r="H10" s="361" t="s">
        <v>265</v>
      </c>
      <c r="I10" s="361" t="s">
        <v>261</v>
      </c>
      <c r="J10" s="361" t="s">
        <v>266</v>
      </c>
      <c r="K10" s="245">
        <v>1</v>
      </c>
      <c r="L10" s="315">
        <v>1</v>
      </c>
      <c r="M10" s="498" t="s">
        <v>42</v>
      </c>
      <c r="N10" s="506">
        <v>1</v>
      </c>
      <c r="O10" s="315">
        <v>0.6</v>
      </c>
      <c r="P10" s="305">
        <f t="shared" ref="P10" si="12">IF((O10=0),0,(O10/L10))</f>
        <v>0.6</v>
      </c>
      <c r="Q10" s="315" t="s">
        <v>45</v>
      </c>
      <c r="R10" s="315">
        <v>1</v>
      </c>
      <c r="S10" s="306">
        <f t="shared" ref="S10" si="13">SUM(T10:W10)</f>
        <v>0</v>
      </c>
      <c r="T10" s="315"/>
      <c r="U10" s="307"/>
      <c r="V10" s="307"/>
      <c r="W10" s="307"/>
      <c r="X10" s="308">
        <f t="shared" si="1"/>
        <v>0</v>
      </c>
      <c r="Y10" s="368"/>
      <c r="Z10" s="309">
        <f t="shared" si="4"/>
        <v>0</v>
      </c>
      <c r="AA10" s="304"/>
      <c r="AB10" s="304"/>
      <c r="AC10" s="304"/>
      <c r="AD10" s="304"/>
      <c r="AE10" s="310">
        <f t="shared" ref="AE10" si="14">IF((Z10=0),0,((AA10+AB10)/Z10*100%))</f>
        <v>0</v>
      </c>
      <c r="AF10" s="244"/>
      <c r="AG10" s="362" t="str">
        <f>VLOOKUP(A10,'Feature Summary'!$A$7:$U$4024,21,FALSE)</f>
        <v>wk-2</v>
      </c>
      <c r="AH10" s="246"/>
    </row>
    <row r="11" spans="1:34" ht="15" thickBot="1" x14ac:dyDescent="0.4">
      <c r="A11" s="252" t="s">
        <v>269</v>
      </c>
      <c r="B11" s="480" t="str">
        <f>VLOOKUP(A11,'Feature Raw Data'!$A$3:$B$3934,2,FALSE)</f>
        <v>Fcstate-Pstate change</v>
      </c>
      <c r="C11" s="317"/>
      <c r="D11" s="315" t="s">
        <v>257</v>
      </c>
      <c r="E11" s="361" t="s">
        <v>263</v>
      </c>
      <c r="F11" s="353" t="s">
        <v>264</v>
      </c>
      <c r="G11" s="385" t="str">
        <f>VLOOKUP(A11,'Feature Summary'!$A$7:$C$4005,3,FALSE)</f>
        <v>P1</v>
      </c>
      <c r="H11" s="361" t="s">
        <v>265</v>
      </c>
      <c r="I11" s="361" t="s">
        <v>261</v>
      </c>
      <c r="J11" s="361" t="s">
        <v>266</v>
      </c>
      <c r="K11" s="245">
        <v>1</v>
      </c>
      <c r="L11" s="315">
        <v>1</v>
      </c>
      <c r="M11" s="498" t="s">
        <v>42</v>
      </c>
      <c r="N11" s="506">
        <v>1</v>
      </c>
      <c r="O11" s="315">
        <v>0.6</v>
      </c>
      <c r="P11" s="305">
        <f t="shared" ref="P11" si="15">IF((O11=0),0,(O11/L11))</f>
        <v>0.6</v>
      </c>
      <c r="Q11" s="315" t="s">
        <v>45</v>
      </c>
      <c r="R11" s="315">
        <v>1</v>
      </c>
      <c r="S11" s="306">
        <f t="shared" ref="S11" si="16">SUM(T11:W11)</f>
        <v>0</v>
      </c>
      <c r="T11" s="315"/>
      <c r="U11" s="307"/>
      <c r="V11" s="307"/>
      <c r="W11" s="307"/>
      <c r="X11" s="308">
        <f t="shared" si="1"/>
        <v>0</v>
      </c>
      <c r="Y11" s="368"/>
      <c r="Z11" s="309">
        <f t="shared" ref="Z11" si="17">SUM(AA11:AD11)</f>
        <v>0</v>
      </c>
      <c r="AA11" s="304"/>
      <c r="AB11" s="304"/>
      <c r="AC11" s="304"/>
      <c r="AD11" s="304"/>
      <c r="AE11" s="310">
        <f t="shared" si="5"/>
        <v>0</v>
      </c>
      <c r="AF11" s="244"/>
      <c r="AG11" s="362" t="str">
        <f>VLOOKUP(A11,'Feature Summary'!$A$7:$U$4024,21,FALSE)</f>
        <v>wk-10</v>
      </c>
      <c r="AH11" s="246"/>
    </row>
    <row r="12" spans="1:34" ht="15" thickBot="1" x14ac:dyDescent="0.4">
      <c r="A12" s="252" t="s">
        <v>270</v>
      </c>
      <c r="B12" s="480" t="str">
        <f>VLOOKUP(A12,'Feature Raw Data'!$A$3:$B$3934,2,FALSE)</f>
        <v>Voltage control</v>
      </c>
      <c r="C12" s="317"/>
      <c r="D12" s="315" t="s">
        <v>257</v>
      </c>
      <c r="E12" s="361" t="s">
        <v>263</v>
      </c>
      <c r="F12" s="353" t="s">
        <v>264</v>
      </c>
      <c r="G12" s="385" t="str">
        <f>VLOOKUP(A12,'Feature Summary'!$A$7:$C$4005,3,FALSE)</f>
        <v>P1</v>
      </c>
      <c r="H12" s="361" t="s">
        <v>265</v>
      </c>
      <c r="I12" s="361" t="s">
        <v>261</v>
      </c>
      <c r="J12" s="361" t="s">
        <v>266</v>
      </c>
      <c r="K12" s="245">
        <v>1</v>
      </c>
      <c r="L12" s="315">
        <v>1</v>
      </c>
      <c r="M12" s="498" t="s">
        <v>42</v>
      </c>
      <c r="N12" s="506">
        <v>1</v>
      </c>
      <c r="O12" s="315">
        <v>0.6</v>
      </c>
      <c r="P12" s="305">
        <f t="shared" ref="P12" si="18">IF((O12=0),0,(O12/L12))</f>
        <v>0.6</v>
      </c>
      <c r="Q12" s="315" t="s">
        <v>45</v>
      </c>
      <c r="R12" s="315">
        <v>1</v>
      </c>
      <c r="S12" s="306">
        <f t="shared" ref="S12" si="19">SUM(T12:W12)</f>
        <v>0</v>
      </c>
      <c r="T12" s="315"/>
      <c r="U12" s="307"/>
      <c r="V12" s="307"/>
      <c r="W12" s="307"/>
      <c r="X12" s="308">
        <f t="shared" si="1"/>
        <v>0</v>
      </c>
      <c r="Y12" s="368"/>
      <c r="Z12" s="309">
        <f t="shared" si="4"/>
        <v>0</v>
      </c>
      <c r="AA12" s="304"/>
      <c r="AB12" s="304"/>
      <c r="AC12" s="304"/>
      <c r="AD12" s="304"/>
      <c r="AE12" s="310">
        <f t="shared" ref="AE12" si="20">IF((Z12=0),0,((AA12+AB12)/Z12*100%))</f>
        <v>0</v>
      </c>
      <c r="AF12" s="244"/>
      <c r="AG12" s="362" t="str">
        <f>VLOOKUP(A12,'Feature Summary'!$A$7:$U$4024,21,FALSE)</f>
        <v>wk7</v>
      </c>
      <c r="AH12" s="246"/>
    </row>
    <row r="13" spans="1:34" ht="15" thickBot="1" x14ac:dyDescent="0.4">
      <c r="A13" s="252" t="s">
        <v>271</v>
      </c>
      <c r="B13" s="480" t="str">
        <f>VLOOKUP(A13,'Feature Raw Data'!$A$3:$B$3934,2,FALSE)</f>
        <v>RLC MSG box</v>
      </c>
      <c r="C13" s="317"/>
      <c r="D13" s="315" t="s">
        <v>257</v>
      </c>
      <c r="E13" s="361" t="s">
        <v>263</v>
      </c>
      <c r="F13" s="353" t="s">
        <v>264</v>
      </c>
      <c r="G13" s="385" t="str">
        <f>VLOOKUP(A13,'Feature Summary'!$A$7:$C$4005,3,FALSE)</f>
        <v>P1</v>
      </c>
      <c r="H13" s="361" t="s">
        <v>265</v>
      </c>
      <c r="I13" s="361" t="s">
        <v>261</v>
      </c>
      <c r="J13" s="361" t="s">
        <v>266</v>
      </c>
      <c r="K13" s="245">
        <v>1</v>
      </c>
      <c r="L13" s="315">
        <v>1</v>
      </c>
      <c r="M13" s="498" t="s">
        <v>42</v>
      </c>
      <c r="N13" s="506">
        <v>1</v>
      </c>
      <c r="O13" s="315">
        <v>0.6</v>
      </c>
      <c r="P13" s="305">
        <f t="shared" ref="P13:P15" si="21">IF((O13=0),0,(O13/L13))</f>
        <v>0.6</v>
      </c>
      <c r="Q13" s="315" t="s">
        <v>45</v>
      </c>
      <c r="R13" s="315">
        <v>1</v>
      </c>
      <c r="S13" s="306">
        <f t="shared" ref="S13:S15" si="22">SUM(T13:W13)</f>
        <v>0</v>
      </c>
      <c r="T13" s="315"/>
      <c r="U13" s="307"/>
      <c r="V13" s="307"/>
      <c r="W13" s="307"/>
      <c r="X13" s="308">
        <f t="shared" si="1"/>
        <v>0</v>
      </c>
      <c r="Y13" s="368"/>
      <c r="Z13" s="309">
        <f t="shared" ref="Z13:Z15" si="23">SUM(AA13:AD13)</f>
        <v>0</v>
      </c>
      <c r="AA13" s="304"/>
      <c r="AB13" s="304"/>
      <c r="AC13" s="304"/>
      <c r="AD13" s="304"/>
      <c r="AE13" s="310">
        <f t="shared" si="5"/>
        <v>0</v>
      </c>
      <c r="AF13" s="244"/>
      <c r="AG13" s="362" t="str">
        <f>VLOOKUP(A13,'Feature Summary'!$A$7:$U$4024,21,FALSE)</f>
        <v>wk-4</v>
      </c>
      <c r="AH13" s="246"/>
    </row>
    <row r="14" spans="1:34" ht="15" thickBot="1" x14ac:dyDescent="0.4">
      <c r="A14" s="252" t="s">
        <v>272</v>
      </c>
      <c r="B14" s="480" t="str">
        <f>VLOOKUP(A14,'Feature Raw Data'!$A$3:$B$3934,2,FALSE)</f>
        <v>AVFS VDDCR Soc domain</v>
      </c>
      <c r="C14" s="317"/>
      <c r="D14" s="315" t="s">
        <v>257</v>
      </c>
      <c r="E14" s="361" t="s">
        <v>263</v>
      </c>
      <c r="F14" s="353" t="s">
        <v>264</v>
      </c>
      <c r="G14" s="385" t="str">
        <f>VLOOKUP(A14,'Feature Summary'!$A$7:$C$4005,3,FALSE)</f>
        <v>P1</v>
      </c>
      <c r="H14" s="361" t="s">
        <v>265</v>
      </c>
      <c r="I14" s="361" t="s">
        <v>261</v>
      </c>
      <c r="J14" s="361" t="s">
        <v>266</v>
      </c>
      <c r="K14" s="245">
        <v>1</v>
      </c>
      <c r="L14" s="315">
        <v>1</v>
      </c>
      <c r="M14" s="498" t="s">
        <v>42</v>
      </c>
      <c r="N14" s="506">
        <v>1</v>
      </c>
      <c r="O14" s="315">
        <v>0.6</v>
      </c>
      <c r="P14" s="305">
        <f t="shared" ref="P14" si="24">IF((O14=0),0,(O14/L14))</f>
        <v>0.6</v>
      </c>
      <c r="Q14" s="315" t="s">
        <v>45</v>
      </c>
      <c r="R14" s="315">
        <v>1</v>
      </c>
      <c r="S14" s="306">
        <f t="shared" ref="S14" si="25">SUM(T14:W14)</f>
        <v>0</v>
      </c>
      <c r="T14" s="315"/>
      <c r="U14" s="307"/>
      <c r="V14" s="307"/>
      <c r="W14" s="307"/>
      <c r="X14" s="308">
        <f t="shared" si="1"/>
        <v>0</v>
      </c>
      <c r="Y14" s="368"/>
      <c r="Z14" s="309">
        <f t="shared" ref="Z14" si="26">SUM(AA14:AD14)</f>
        <v>0</v>
      </c>
      <c r="AA14" s="304"/>
      <c r="AB14" s="304"/>
      <c r="AC14" s="304"/>
      <c r="AD14" s="304"/>
      <c r="AE14" s="310">
        <f t="shared" ref="AE14" si="27">IF((Z14=0),0,((AA14+AB14)/Z14*100%))</f>
        <v>0</v>
      </c>
      <c r="AF14" s="244"/>
      <c r="AG14" s="362" t="str">
        <f>VLOOKUP(A14,'Feature Summary'!$A$7:$U$4024,21,FALSE)</f>
        <v>wk8</v>
      </c>
      <c r="AH14" s="246"/>
    </row>
    <row r="15" spans="1:34" ht="15" thickBot="1" x14ac:dyDescent="0.4">
      <c r="A15" s="252" t="s">
        <v>273</v>
      </c>
      <c r="B15" s="480" t="str">
        <f>VLOOKUP(A15,'Feature Raw Data'!$A$3:$B$3934,2,FALSE)</f>
        <v>SPI Capability</v>
      </c>
      <c r="C15" s="317"/>
      <c r="D15" s="315" t="s">
        <v>257</v>
      </c>
      <c r="E15" s="361" t="s">
        <v>263</v>
      </c>
      <c r="F15" s="353" t="s">
        <v>264</v>
      </c>
      <c r="G15" s="385" t="str">
        <f>VLOOKUP(A15,'Feature Summary'!$A$7:$C$4005,3,FALSE)</f>
        <v>P2</v>
      </c>
      <c r="H15" s="361" t="s">
        <v>265</v>
      </c>
      <c r="I15" s="361" t="s">
        <v>261</v>
      </c>
      <c r="J15" s="361" t="s">
        <v>266</v>
      </c>
      <c r="K15" s="245">
        <v>1</v>
      </c>
      <c r="L15" s="315">
        <v>1</v>
      </c>
      <c r="M15" s="498" t="s">
        <v>42</v>
      </c>
      <c r="N15" s="506">
        <v>1</v>
      </c>
      <c r="O15" s="315">
        <v>0.6</v>
      </c>
      <c r="P15" s="305">
        <f t="shared" si="21"/>
        <v>0.6</v>
      </c>
      <c r="Q15" s="315" t="s">
        <v>45</v>
      </c>
      <c r="R15" s="315">
        <v>1</v>
      </c>
      <c r="S15" s="306">
        <f t="shared" si="22"/>
        <v>0</v>
      </c>
      <c r="T15" s="315"/>
      <c r="U15" s="307"/>
      <c r="V15" s="307"/>
      <c r="W15" s="307"/>
      <c r="X15" s="308">
        <f t="shared" si="1"/>
        <v>0</v>
      </c>
      <c r="Y15" s="368"/>
      <c r="Z15" s="309">
        <f t="shared" si="23"/>
        <v>0</v>
      </c>
      <c r="AA15" s="304"/>
      <c r="AB15" s="304"/>
      <c r="AC15" s="304"/>
      <c r="AD15" s="304"/>
      <c r="AE15" s="310">
        <f t="shared" si="5"/>
        <v>0</v>
      </c>
      <c r="AF15" s="244"/>
      <c r="AG15" s="362">
        <f>VLOOKUP(A15,'Feature Summary'!$A$7:$U$4024,21,FALSE)</f>
        <v>0</v>
      </c>
      <c r="AH15" s="246"/>
    </row>
    <row r="16" spans="1:34" ht="15" thickBot="1" x14ac:dyDescent="0.4">
      <c r="A16" s="252" t="s">
        <v>274</v>
      </c>
      <c r="B16" s="480" t="str">
        <f>VLOOKUP(A16,'Feature Raw Data'!$A$3:$B$3934,2,FALSE)</f>
        <v>SMN address in Monolithic</v>
      </c>
      <c r="C16" s="317"/>
      <c r="D16" s="315" t="s">
        <v>257</v>
      </c>
      <c r="E16" s="361" t="s">
        <v>263</v>
      </c>
      <c r="F16" s="353" t="s">
        <v>264</v>
      </c>
      <c r="G16" s="385" t="str">
        <f>VLOOKUP(A16,'Feature Summary'!$A$7:$C$4005,3,FALSE)</f>
        <v>P1</v>
      </c>
      <c r="H16" s="361" t="s">
        <v>265</v>
      </c>
      <c r="I16" s="361" t="s">
        <v>261</v>
      </c>
      <c r="J16" s="361" t="s">
        <v>266</v>
      </c>
      <c r="K16" s="245">
        <v>1</v>
      </c>
      <c r="L16" s="315">
        <v>1</v>
      </c>
      <c r="M16" s="498" t="s">
        <v>42</v>
      </c>
      <c r="N16" s="506">
        <v>1</v>
      </c>
      <c r="O16" s="315">
        <v>0.6</v>
      </c>
      <c r="P16" s="305">
        <f t="shared" ref="P16:P101" si="28">IF((O16=0),0,(O16/L16))</f>
        <v>0.6</v>
      </c>
      <c r="Q16" s="315" t="s">
        <v>45</v>
      </c>
      <c r="R16" s="315">
        <v>1</v>
      </c>
      <c r="S16" s="306">
        <f t="shared" ref="S16:S101" si="29">SUM(T16:W16)</f>
        <v>0</v>
      </c>
      <c r="T16" s="315"/>
      <c r="U16" s="307"/>
      <c r="V16" s="307"/>
      <c r="W16" s="307"/>
      <c r="X16" s="308">
        <f t="shared" si="1"/>
        <v>0</v>
      </c>
      <c r="Y16" s="368"/>
      <c r="Z16" s="309">
        <f t="shared" si="4"/>
        <v>0</v>
      </c>
      <c r="AA16" s="304"/>
      <c r="AB16" s="304"/>
      <c r="AC16" s="304"/>
      <c r="AD16" s="304"/>
      <c r="AE16" s="310">
        <f t="shared" ref="AE16:AE17" si="30">IF((Z16=0),0,((AA16+AB16)/Z16*100%))</f>
        <v>0</v>
      </c>
      <c r="AF16" s="244"/>
      <c r="AG16" s="362">
        <f>VLOOKUP(A16,'Feature Summary'!$A$7:$U$4024,21,FALSE)</f>
        <v>0</v>
      </c>
      <c r="AH16" s="246"/>
    </row>
    <row r="17" spans="1:34" ht="15" thickBot="1" x14ac:dyDescent="0.4">
      <c r="A17" s="252" t="s">
        <v>256</v>
      </c>
      <c r="B17" s="480" t="str">
        <f>VLOOKUP(A17,'Feature Raw Data'!$A$3:$B$3934,2,FALSE)</f>
        <v>DFS-DID Switch for All Slices</v>
      </c>
      <c r="C17" s="317"/>
      <c r="D17" s="315" t="s">
        <v>257</v>
      </c>
      <c r="E17" s="361" t="s">
        <v>275</v>
      </c>
      <c r="F17" s="353" t="s">
        <v>276</v>
      </c>
      <c r="G17" s="385" t="str">
        <f>VLOOKUP(A17,'Feature Summary'!$A$7:$C$4005,3,FALSE)</f>
        <v>P2</v>
      </c>
      <c r="H17" s="361" t="s">
        <v>277</v>
      </c>
      <c r="I17" s="361" t="s">
        <v>261</v>
      </c>
      <c r="J17" s="500" t="s">
        <v>278</v>
      </c>
      <c r="K17" s="245">
        <v>1</v>
      </c>
      <c r="L17" s="315">
        <v>1</v>
      </c>
      <c r="M17" s="498" t="s">
        <v>38</v>
      </c>
      <c r="N17" s="506">
        <v>1</v>
      </c>
      <c r="O17" s="315">
        <v>0.4</v>
      </c>
      <c r="P17" s="305">
        <f t="shared" ref="P17" si="31">IF((O17=0),0,(O17/L17))</f>
        <v>0.4</v>
      </c>
      <c r="Q17" s="315" t="s">
        <v>45</v>
      </c>
      <c r="R17" s="315">
        <v>1</v>
      </c>
      <c r="S17" s="306">
        <f t="shared" ref="S17" si="32">SUM(T17:W17)</f>
        <v>1</v>
      </c>
      <c r="T17" s="315">
        <v>1</v>
      </c>
      <c r="U17" s="307"/>
      <c r="V17" s="307"/>
      <c r="W17" s="307"/>
      <c r="X17" s="308">
        <f t="shared" ref="X17" si="33">IF((S17=0),0,((T17+U17)/S17*100%))</f>
        <v>1</v>
      </c>
      <c r="Y17" s="368"/>
      <c r="Z17" s="309">
        <f t="shared" ref="Z17" si="34">SUM(AA17:AD17)</f>
        <v>0</v>
      </c>
      <c r="AA17" s="304"/>
      <c r="AB17" s="304"/>
      <c r="AC17" s="304"/>
      <c r="AD17" s="304"/>
      <c r="AE17" s="310">
        <f t="shared" si="30"/>
        <v>0</v>
      </c>
      <c r="AF17" s="244"/>
      <c r="AG17" s="362" t="str">
        <f>VLOOKUP(A17,'Feature Summary'!$A$7:$U$4024,21,FALSE)</f>
        <v>wk-11</v>
      </c>
      <c r="AH17" s="246"/>
    </row>
    <row r="18" spans="1:34" ht="15" thickBot="1" x14ac:dyDescent="0.4">
      <c r="A18" s="252" t="s">
        <v>262</v>
      </c>
      <c r="B18" s="480" t="str">
        <f>VLOOKUP(A18,'Feature Raw Data'!$A$3:$B$3934,2,FALSE)</f>
        <v>Tick-Counter</v>
      </c>
      <c r="C18" s="317"/>
      <c r="D18" s="315" t="s">
        <v>257</v>
      </c>
      <c r="E18" s="361" t="s">
        <v>275</v>
      </c>
      <c r="F18" s="353" t="s">
        <v>276</v>
      </c>
      <c r="G18" s="385" t="str">
        <f>VLOOKUP(A18,'Feature Summary'!$A$7:$C$4005,3,FALSE)</f>
        <v>P1</v>
      </c>
      <c r="H18" s="361" t="s">
        <v>277</v>
      </c>
      <c r="I18" s="361" t="s">
        <v>261</v>
      </c>
      <c r="J18" s="500" t="s">
        <v>278</v>
      </c>
      <c r="K18" s="245">
        <v>1</v>
      </c>
      <c r="L18" s="315">
        <v>1</v>
      </c>
      <c r="M18" s="498" t="s">
        <v>38</v>
      </c>
      <c r="N18" s="506">
        <v>1</v>
      </c>
      <c r="O18" s="315">
        <v>0.4</v>
      </c>
      <c r="P18" s="305">
        <f t="shared" si="28"/>
        <v>0.4</v>
      </c>
      <c r="Q18" s="315" t="s">
        <v>45</v>
      </c>
      <c r="R18" s="315">
        <v>1</v>
      </c>
      <c r="S18" s="306">
        <f t="shared" si="29"/>
        <v>1</v>
      </c>
      <c r="T18" s="315">
        <v>1</v>
      </c>
      <c r="U18" s="307"/>
      <c r="V18" s="307"/>
      <c r="W18" s="307"/>
      <c r="X18" s="308">
        <f t="shared" ref="X18" si="35">IF((S18=0),0,((T18+U18)/S18*100%))</f>
        <v>1</v>
      </c>
      <c r="Y18" s="368"/>
      <c r="Z18" s="309">
        <f t="shared" si="4"/>
        <v>0</v>
      </c>
      <c r="AA18" s="304"/>
      <c r="AB18" s="304"/>
      <c r="AC18" s="304"/>
      <c r="AD18" s="304"/>
      <c r="AE18" s="310">
        <f t="shared" ref="AE18:AE19" si="36">IF((Z18=0),0,((AA18+AB18)/Z18*100%))</f>
        <v>0</v>
      </c>
      <c r="AF18" s="244"/>
      <c r="AG18" s="362" t="str">
        <f>VLOOKUP(A18,'Feature Summary'!$A$7:$U$4024,21,FALSE)</f>
        <v>wk-10</v>
      </c>
      <c r="AH18" s="246"/>
    </row>
    <row r="19" spans="1:34" ht="15" thickBot="1" x14ac:dyDescent="0.4">
      <c r="A19" s="252" t="s">
        <v>256</v>
      </c>
      <c r="B19" s="480" t="str">
        <f>VLOOKUP(A19,'Feature Raw Data'!$A$3:$B$3934,2,FALSE)</f>
        <v>DFS-DID Switch for All Slices</v>
      </c>
      <c r="C19" s="317"/>
      <c r="D19" s="315" t="s">
        <v>257</v>
      </c>
      <c r="E19" s="361" t="s">
        <v>275</v>
      </c>
      <c r="F19" s="353" t="s">
        <v>279</v>
      </c>
      <c r="G19" s="385" t="str">
        <f>VLOOKUP(A19,'Feature Summary'!$A$7:$C$4005,3,FALSE)</f>
        <v>P2</v>
      </c>
      <c r="H19" s="361" t="s">
        <v>280</v>
      </c>
      <c r="I19" s="361" t="s">
        <v>261</v>
      </c>
      <c r="J19" s="500" t="s">
        <v>278</v>
      </c>
      <c r="K19" s="245">
        <v>1</v>
      </c>
      <c r="L19" s="315">
        <v>1</v>
      </c>
      <c r="M19" s="498" t="s">
        <v>38</v>
      </c>
      <c r="N19" s="506">
        <v>1</v>
      </c>
      <c r="O19" s="315">
        <v>0.4</v>
      </c>
      <c r="P19" s="305">
        <f t="shared" ref="P19" si="37">IF((O19=0),0,(O19/L19))</f>
        <v>0.4</v>
      </c>
      <c r="Q19" s="315" t="s">
        <v>45</v>
      </c>
      <c r="R19" s="315">
        <v>1</v>
      </c>
      <c r="S19" s="306">
        <f t="shared" ref="S19" si="38">SUM(T19:W19)</f>
        <v>1</v>
      </c>
      <c r="T19" s="315">
        <v>1</v>
      </c>
      <c r="U19" s="307"/>
      <c r="V19" s="307"/>
      <c r="W19" s="307"/>
      <c r="X19" s="308">
        <f>IF((S19=0),0,((T19+U19)/S19*100%))</f>
        <v>1</v>
      </c>
      <c r="Y19" s="368"/>
      <c r="Z19" s="309">
        <f t="shared" ref="Z19" si="39">SUM(AA19:AD19)</f>
        <v>0</v>
      </c>
      <c r="AA19" s="304"/>
      <c r="AB19" s="304"/>
      <c r="AC19" s="304"/>
      <c r="AD19" s="304"/>
      <c r="AE19" s="310">
        <f t="shared" si="36"/>
        <v>0</v>
      </c>
      <c r="AF19" s="244"/>
      <c r="AG19" s="362" t="str">
        <f>VLOOKUP(A19,'Feature Summary'!$A$7:$U$4024,21,FALSE)</f>
        <v>wk-11</v>
      </c>
      <c r="AH19" s="246"/>
    </row>
    <row r="20" spans="1:34" ht="15" thickBot="1" x14ac:dyDescent="0.4">
      <c r="A20" s="252" t="s">
        <v>262</v>
      </c>
      <c r="B20" s="480" t="str">
        <f>VLOOKUP(A20,'Feature Raw Data'!$A$3:$B$3934,2,FALSE)</f>
        <v>Tick-Counter</v>
      </c>
      <c r="C20" s="317"/>
      <c r="D20" s="315" t="s">
        <v>257</v>
      </c>
      <c r="E20" s="361" t="s">
        <v>275</v>
      </c>
      <c r="F20" s="353" t="s">
        <v>279</v>
      </c>
      <c r="G20" s="385" t="str">
        <f>VLOOKUP(A20,'Feature Summary'!$A$7:$C$4005,3,FALSE)</f>
        <v>P1</v>
      </c>
      <c r="H20" s="361" t="s">
        <v>280</v>
      </c>
      <c r="I20" s="361" t="s">
        <v>261</v>
      </c>
      <c r="J20" s="500" t="s">
        <v>278</v>
      </c>
      <c r="K20" s="245">
        <v>1</v>
      </c>
      <c r="L20" s="315">
        <v>1</v>
      </c>
      <c r="M20" s="498" t="s">
        <v>38</v>
      </c>
      <c r="N20" s="506">
        <v>1</v>
      </c>
      <c r="O20" s="315">
        <v>0.4</v>
      </c>
      <c r="P20" s="305">
        <f t="shared" si="28"/>
        <v>0.4</v>
      </c>
      <c r="Q20" s="315" t="s">
        <v>45</v>
      </c>
      <c r="R20" s="315">
        <v>1</v>
      </c>
      <c r="S20" s="306">
        <f t="shared" si="29"/>
        <v>1</v>
      </c>
      <c r="T20" s="315">
        <v>1</v>
      </c>
      <c r="U20" s="307"/>
      <c r="V20" s="307"/>
      <c r="W20" s="307"/>
      <c r="X20" s="308">
        <f>IF((S20=0),0,((T20+U20)/S20*100%))</f>
        <v>1</v>
      </c>
      <c r="Y20" s="368"/>
      <c r="Z20" s="309">
        <f t="shared" si="4"/>
        <v>0</v>
      </c>
      <c r="AA20" s="304"/>
      <c r="AB20" s="304"/>
      <c r="AC20" s="304"/>
      <c r="AD20" s="304"/>
      <c r="AE20" s="310">
        <f t="shared" ref="AE20:AE21" si="40">IF((Z20=0),0,((AA20+AB20)/Z20*100%))</f>
        <v>0</v>
      </c>
      <c r="AF20" s="244"/>
      <c r="AG20" s="362" t="str">
        <f>VLOOKUP(A20,'Feature Summary'!$A$7:$U$4024,21,FALSE)</f>
        <v>wk-10</v>
      </c>
      <c r="AH20" s="246"/>
    </row>
    <row r="21" spans="1:34" ht="15" thickBot="1" x14ac:dyDescent="0.4">
      <c r="A21" s="252" t="s">
        <v>256</v>
      </c>
      <c r="B21" s="480" t="str">
        <f>VLOOKUP(A21,'Feature Raw Data'!$A$3:$B$3934,2,FALSE)</f>
        <v>DFS-DID Switch for All Slices</v>
      </c>
      <c r="C21" s="317"/>
      <c r="D21" s="315" t="s">
        <v>257</v>
      </c>
      <c r="E21" s="361" t="s">
        <v>275</v>
      </c>
      <c r="F21" s="353" t="s">
        <v>281</v>
      </c>
      <c r="G21" s="385" t="str">
        <f>VLOOKUP(A21,'Feature Summary'!$A$7:$C$4005,3,FALSE)</f>
        <v>P2</v>
      </c>
      <c r="H21" s="361" t="s">
        <v>282</v>
      </c>
      <c r="I21" s="361" t="s">
        <v>261</v>
      </c>
      <c r="J21" s="500" t="s">
        <v>278</v>
      </c>
      <c r="K21" s="245">
        <v>1</v>
      </c>
      <c r="L21" s="315">
        <v>1</v>
      </c>
      <c r="M21" s="498" t="s">
        <v>38</v>
      </c>
      <c r="N21" s="506">
        <v>1</v>
      </c>
      <c r="O21" s="315">
        <v>0.4</v>
      </c>
      <c r="P21" s="305">
        <f t="shared" ref="P21" si="41">IF((O21=0),0,(O21/L21))</f>
        <v>0.4</v>
      </c>
      <c r="Q21" s="315" t="s">
        <v>45</v>
      </c>
      <c r="R21" s="315">
        <v>1</v>
      </c>
      <c r="S21" s="306">
        <f t="shared" ref="S21" si="42">SUM(T21:W21)</f>
        <v>1</v>
      </c>
      <c r="T21" s="315">
        <v>1</v>
      </c>
      <c r="U21" s="307"/>
      <c r="V21" s="307"/>
      <c r="W21" s="307"/>
      <c r="X21" s="308">
        <f t="shared" ref="X21" si="43">IF((S21=0),0,((T21+U21)/S21*100%))</f>
        <v>1</v>
      </c>
      <c r="Y21" s="368"/>
      <c r="Z21" s="309">
        <f t="shared" ref="Z21" si="44">SUM(AA21:AD21)</f>
        <v>0</v>
      </c>
      <c r="AA21" s="304"/>
      <c r="AB21" s="304"/>
      <c r="AC21" s="304"/>
      <c r="AD21" s="304"/>
      <c r="AE21" s="310">
        <f t="shared" si="40"/>
        <v>0</v>
      </c>
      <c r="AF21" s="244"/>
      <c r="AG21" s="362" t="str">
        <f>VLOOKUP(A21,'Feature Summary'!$A$7:$U$4024,21,FALSE)</f>
        <v>wk-11</v>
      </c>
      <c r="AH21" s="246"/>
    </row>
    <row r="22" spans="1:34" ht="15" thickBot="1" x14ac:dyDescent="0.4">
      <c r="A22" s="252" t="s">
        <v>262</v>
      </c>
      <c r="B22" s="480" t="str">
        <f>VLOOKUP(A22,'Feature Raw Data'!$A$3:$B$3934,2,FALSE)</f>
        <v>Tick-Counter</v>
      </c>
      <c r="C22" s="317"/>
      <c r="D22" s="315" t="s">
        <v>257</v>
      </c>
      <c r="E22" s="361" t="s">
        <v>275</v>
      </c>
      <c r="F22" s="353" t="s">
        <v>281</v>
      </c>
      <c r="G22" s="385" t="str">
        <f>VLOOKUP(A22,'Feature Summary'!$A$7:$C$4005,3,FALSE)</f>
        <v>P1</v>
      </c>
      <c r="H22" s="361" t="s">
        <v>282</v>
      </c>
      <c r="I22" s="361" t="s">
        <v>261</v>
      </c>
      <c r="J22" s="500" t="s">
        <v>278</v>
      </c>
      <c r="K22" s="245">
        <v>1</v>
      </c>
      <c r="L22" s="315">
        <v>1</v>
      </c>
      <c r="M22" s="498" t="s">
        <v>38</v>
      </c>
      <c r="N22" s="506">
        <v>1</v>
      </c>
      <c r="O22" s="315">
        <v>0.4</v>
      </c>
      <c r="P22" s="305">
        <f t="shared" si="28"/>
        <v>0.4</v>
      </c>
      <c r="Q22" s="315" t="s">
        <v>45</v>
      </c>
      <c r="R22" s="315">
        <v>1</v>
      </c>
      <c r="S22" s="306">
        <f t="shared" si="29"/>
        <v>1</v>
      </c>
      <c r="T22" s="315">
        <v>1</v>
      </c>
      <c r="U22" s="307"/>
      <c r="V22" s="307"/>
      <c r="W22" s="307"/>
      <c r="X22" s="308">
        <f t="shared" ref="X22:X37" si="45">IF((S22=0),0,((T22+U22)/S22*100%))</f>
        <v>1</v>
      </c>
      <c r="Y22" s="368"/>
      <c r="Z22" s="309">
        <f t="shared" si="4"/>
        <v>0</v>
      </c>
      <c r="AA22" s="304"/>
      <c r="AB22" s="304"/>
      <c r="AC22" s="304"/>
      <c r="AD22" s="304"/>
      <c r="AE22" s="310">
        <f t="shared" ref="AE22:AE37" si="46">IF((Z22=0),0,((AA22+AB22)/Z22*100%))</f>
        <v>0</v>
      </c>
      <c r="AF22" s="244"/>
      <c r="AG22" s="362" t="str">
        <f>VLOOKUP(A22,'Feature Summary'!$A$7:$U$4024,21,FALSE)</f>
        <v>wk-10</v>
      </c>
      <c r="AH22" s="246"/>
    </row>
    <row r="23" spans="1:34" ht="15" thickBot="1" x14ac:dyDescent="0.4">
      <c r="A23" s="252" t="s">
        <v>256</v>
      </c>
      <c r="B23" s="480" t="str">
        <f>VLOOKUP(A23,'Feature Raw Data'!$A$3:$B$3934,2,FALSE)</f>
        <v>DFS-DID Switch for All Slices</v>
      </c>
      <c r="C23" s="317"/>
      <c r="D23" s="315" t="s">
        <v>257</v>
      </c>
      <c r="E23" s="361" t="s">
        <v>275</v>
      </c>
      <c r="F23" s="353" t="s">
        <v>283</v>
      </c>
      <c r="G23" s="385" t="str">
        <f>VLOOKUP(A23,'Feature Summary'!$A$7:$C$4005,3,FALSE)</f>
        <v>P2</v>
      </c>
      <c r="H23" s="361" t="s">
        <v>284</v>
      </c>
      <c r="I23" s="361" t="s">
        <v>261</v>
      </c>
      <c r="J23" s="500" t="s">
        <v>278</v>
      </c>
      <c r="K23" s="245">
        <v>1</v>
      </c>
      <c r="L23" s="315">
        <v>1</v>
      </c>
      <c r="M23" s="498" t="s">
        <v>38</v>
      </c>
      <c r="N23" s="506">
        <v>1</v>
      </c>
      <c r="O23" s="315">
        <v>0.4</v>
      </c>
      <c r="P23" s="305">
        <f t="shared" ref="P23" si="47">IF((O23=0),0,(O23/L23))</f>
        <v>0.4</v>
      </c>
      <c r="Q23" s="315" t="s">
        <v>45</v>
      </c>
      <c r="R23" s="315">
        <v>1</v>
      </c>
      <c r="S23" s="306">
        <f t="shared" ref="S23" si="48">SUM(T23:W23)</f>
        <v>1</v>
      </c>
      <c r="T23" s="315">
        <v>1</v>
      </c>
      <c r="U23" s="307"/>
      <c r="V23" s="307"/>
      <c r="W23" s="307"/>
      <c r="X23" s="308">
        <f t="shared" ref="X23" si="49">IF((S23=0),0,((T23+U23)/S23*100%))</f>
        <v>1</v>
      </c>
      <c r="Y23" s="368"/>
      <c r="Z23" s="309">
        <f t="shared" ref="Z23" si="50">SUM(AA23:AD23)</f>
        <v>0</v>
      </c>
      <c r="AA23" s="304"/>
      <c r="AB23" s="304"/>
      <c r="AC23" s="304"/>
      <c r="AD23" s="304"/>
      <c r="AE23" s="310">
        <f t="shared" ref="AE23" si="51">IF((Z23=0),0,((AA23+AB23)/Z23*100%))</f>
        <v>0</v>
      </c>
      <c r="AF23" s="244"/>
      <c r="AG23" s="362" t="str">
        <f>VLOOKUP(A40,'Feature Summary'!$A$7:$U$4024,21,FALSE)</f>
        <v>wk-10</v>
      </c>
      <c r="AH23" s="246"/>
    </row>
    <row r="24" spans="1:34" ht="15" thickBot="1" x14ac:dyDescent="0.4">
      <c r="A24" s="252" t="s">
        <v>262</v>
      </c>
      <c r="B24" s="480" t="str">
        <f>VLOOKUP(A24,'Feature Raw Data'!$A$3:$B$3934,2,FALSE)</f>
        <v>Tick-Counter</v>
      </c>
      <c r="C24" s="317"/>
      <c r="D24" s="315" t="s">
        <v>257</v>
      </c>
      <c r="E24" s="361" t="s">
        <v>275</v>
      </c>
      <c r="F24" s="353" t="s">
        <v>283</v>
      </c>
      <c r="G24" s="385" t="str">
        <f>VLOOKUP(A24,'Feature Summary'!$A$7:$C$4005,3,FALSE)</f>
        <v>P1</v>
      </c>
      <c r="H24" s="361" t="s">
        <v>284</v>
      </c>
      <c r="I24" s="361" t="s">
        <v>261</v>
      </c>
      <c r="J24" s="500" t="s">
        <v>278</v>
      </c>
      <c r="K24" s="245">
        <v>1</v>
      </c>
      <c r="L24" s="315">
        <v>1</v>
      </c>
      <c r="M24" s="498" t="s">
        <v>38</v>
      </c>
      <c r="N24" s="506">
        <v>1</v>
      </c>
      <c r="O24" s="315">
        <v>0.4</v>
      </c>
      <c r="P24" s="305">
        <f t="shared" si="28"/>
        <v>0.4</v>
      </c>
      <c r="Q24" s="315" t="s">
        <v>45</v>
      </c>
      <c r="R24" s="315">
        <v>1</v>
      </c>
      <c r="S24" s="306">
        <f t="shared" si="29"/>
        <v>1</v>
      </c>
      <c r="T24" s="315">
        <v>1</v>
      </c>
      <c r="U24" s="307"/>
      <c r="V24" s="307"/>
      <c r="W24" s="307"/>
      <c r="X24" s="308">
        <f t="shared" si="45"/>
        <v>1</v>
      </c>
      <c r="Y24" s="368"/>
      <c r="Z24" s="309">
        <f t="shared" si="4"/>
        <v>0</v>
      </c>
      <c r="AA24" s="304"/>
      <c r="AB24" s="304"/>
      <c r="AC24" s="304"/>
      <c r="AD24" s="304"/>
      <c r="AE24" s="310">
        <f t="shared" si="46"/>
        <v>0</v>
      </c>
      <c r="AF24" s="244"/>
      <c r="AG24" s="362" t="str">
        <f>VLOOKUP(A42,'Feature Summary'!$A$7:$U$4024,21,FALSE)</f>
        <v>wk-10</v>
      </c>
      <c r="AH24" s="246"/>
    </row>
    <row r="25" spans="1:34" ht="15" thickBot="1" x14ac:dyDescent="0.4">
      <c r="A25" s="252" t="s">
        <v>256</v>
      </c>
      <c r="B25" s="480" t="str">
        <f>VLOOKUP(A25,'Feature Raw Data'!$A$3:$B$3934,2,FALSE)</f>
        <v>DFS-DID Switch for All Slices</v>
      </c>
      <c r="C25" s="317"/>
      <c r="D25" s="315" t="s">
        <v>257</v>
      </c>
      <c r="E25" s="361" t="s">
        <v>275</v>
      </c>
      <c r="F25" s="353" t="s">
        <v>285</v>
      </c>
      <c r="G25" s="385" t="str">
        <f>VLOOKUP(A25,'Feature Summary'!$A$7:$C$4005,3,FALSE)</f>
        <v>P2</v>
      </c>
      <c r="H25" s="361" t="s">
        <v>286</v>
      </c>
      <c r="I25" s="361" t="s">
        <v>261</v>
      </c>
      <c r="J25" s="500" t="s">
        <v>278</v>
      </c>
      <c r="K25" s="245">
        <v>1</v>
      </c>
      <c r="L25" s="315">
        <v>1</v>
      </c>
      <c r="M25" s="498" t="s">
        <v>38</v>
      </c>
      <c r="N25" s="506">
        <v>1</v>
      </c>
      <c r="O25" s="315">
        <v>0.4</v>
      </c>
      <c r="P25" s="305">
        <f t="shared" ref="P25" si="52">IF((O25=0),0,(O25/L25))</f>
        <v>0.4</v>
      </c>
      <c r="Q25" s="315" t="s">
        <v>45</v>
      </c>
      <c r="R25" s="315">
        <v>1</v>
      </c>
      <c r="S25" s="306">
        <f t="shared" ref="S25" si="53">SUM(T25:W25)</f>
        <v>1</v>
      </c>
      <c r="T25" s="315">
        <v>1</v>
      </c>
      <c r="U25" s="307"/>
      <c r="V25" s="307"/>
      <c r="W25" s="307"/>
      <c r="X25" s="308">
        <f t="shared" si="45"/>
        <v>1</v>
      </c>
      <c r="Y25" s="368"/>
      <c r="Z25" s="309">
        <f t="shared" ref="Z25" si="54">SUM(AA25:AD25)</f>
        <v>0</v>
      </c>
      <c r="AA25" s="304"/>
      <c r="AB25" s="304"/>
      <c r="AC25" s="304"/>
      <c r="AD25" s="304"/>
      <c r="AE25" s="310">
        <f t="shared" si="46"/>
        <v>0</v>
      </c>
      <c r="AF25" s="244"/>
      <c r="AG25" s="362" t="str">
        <f>VLOOKUP(A42,'Feature Summary'!$A$7:$U$4024,21,FALSE)</f>
        <v>wk-10</v>
      </c>
      <c r="AH25" s="246"/>
    </row>
    <row r="26" spans="1:34" ht="15" thickBot="1" x14ac:dyDescent="0.4">
      <c r="A26" s="252" t="s">
        <v>262</v>
      </c>
      <c r="B26" s="480" t="str">
        <f>VLOOKUP(A26,'Feature Raw Data'!$A$3:$B$3934,2,FALSE)</f>
        <v>Tick-Counter</v>
      </c>
      <c r="C26" s="317"/>
      <c r="D26" s="315" t="s">
        <v>257</v>
      </c>
      <c r="E26" s="361" t="s">
        <v>275</v>
      </c>
      <c r="F26" s="353" t="s">
        <v>285</v>
      </c>
      <c r="G26" s="385" t="str">
        <f>VLOOKUP(A26,'Feature Summary'!$A$7:$C$4005,3,FALSE)</f>
        <v>P1</v>
      </c>
      <c r="H26" s="361" t="s">
        <v>286</v>
      </c>
      <c r="I26" s="361" t="s">
        <v>261</v>
      </c>
      <c r="J26" s="500" t="s">
        <v>278</v>
      </c>
      <c r="K26" s="245">
        <v>1</v>
      </c>
      <c r="L26" s="315">
        <v>1</v>
      </c>
      <c r="M26" s="498" t="s">
        <v>38</v>
      </c>
      <c r="N26" s="506">
        <v>1</v>
      </c>
      <c r="O26" s="315">
        <v>0.4</v>
      </c>
      <c r="P26" s="305">
        <f t="shared" si="28"/>
        <v>0.4</v>
      </c>
      <c r="Q26" s="315" t="s">
        <v>45</v>
      </c>
      <c r="R26" s="315">
        <v>1</v>
      </c>
      <c r="S26" s="306">
        <f t="shared" si="29"/>
        <v>1</v>
      </c>
      <c r="T26" s="315">
        <v>1</v>
      </c>
      <c r="U26" s="307"/>
      <c r="V26" s="307"/>
      <c r="W26" s="307"/>
      <c r="X26" s="308">
        <f t="shared" ref="X26:X33" si="55">IF((S26=0),0,((T26+U26)/S26*100%))</f>
        <v>1</v>
      </c>
      <c r="Y26" s="368"/>
      <c r="Z26" s="309">
        <f t="shared" si="4"/>
        <v>0</v>
      </c>
      <c r="AA26" s="304"/>
      <c r="AB26" s="304"/>
      <c r="AC26" s="304"/>
      <c r="AD26" s="304"/>
      <c r="AE26" s="310">
        <f t="shared" ref="AE26:AE31" si="56">IF((Z26=0),0,((AA26+AB26)/Z26*100%))</f>
        <v>0</v>
      </c>
      <c r="AF26" s="244"/>
      <c r="AG26" s="362" t="str">
        <f>VLOOKUP(A44,'Feature Summary'!$A$7:$U$4024,21,FALSE)</f>
        <v>wk-10</v>
      </c>
      <c r="AH26" s="246"/>
    </row>
    <row r="27" spans="1:34" ht="15" thickBot="1" x14ac:dyDescent="0.4">
      <c r="A27" s="252" t="s">
        <v>256</v>
      </c>
      <c r="B27" s="480" t="str">
        <f>VLOOKUP(A27,'Feature Raw Data'!$A$3:$B$3934,2,FALSE)</f>
        <v>DFS-DID Switch for All Slices</v>
      </c>
      <c r="C27" s="317"/>
      <c r="D27" s="315" t="s">
        <v>257</v>
      </c>
      <c r="E27" s="361" t="s">
        <v>275</v>
      </c>
      <c r="F27" s="353" t="s">
        <v>287</v>
      </c>
      <c r="G27" s="385" t="str">
        <f>VLOOKUP(A27,'Feature Summary'!$A$7:$C$4005,3,FALSE)</f>
        <v>P2</v>
      </c>
      <c r="H27" s="361" t="s">
        <v>288</v>
      </c>
      <c r="I27" s="361" t="s">
        <v>261</v>
      </c>
      <c r="J27" s="500" t="s">
        <v>278</v>
      </c>
      <c r="K27" s="245">
        <v>1</v>
      </c>
      <c r="L27" s="315">
        <v>1</v>
      </c>
      <c r="M27" s="498" t="s">
        <v>38</v>
      </c>
      <c r="N27" s="506">
        <v>1</v>
      </c>
      <c r="O27" s="315">
        <v>0.4</v>
      </c>
      <c r="P27" s="305">
        <f t="shared" ref="P27" si="57">IF((O27=0),0,(O27/L27))</f>
        <v>0.4</v>
      </c>
      <c r="Q27" s="315" t="s">
        <v>45</v>
      </c>
      <c r="R27" s="315">
        <v>1</v>
      </c>
      <c r="S27" s="306">
        <f t="shared" ref="S27" si="58">SUM(T27:W27)</f>
        <v>1</v>
      </c>
      <c r="T27" s="315">
        <v>1</v>
      </c>
      <c r="U27" s="307"/>
      <c r="V27" s="307"/>
      <c r="W27" s="307"/>
      <c r="X27" s="308">
        <f t="shared" ref="X27" si="59">IF((S27=0),0,((T27+U27)/S27*100%))</f>
        <v>1</v>
      </c>
      <c r="Y27" s="368"/>
      <c r="Z27" s="309">
        <f t="shared" ref="Z27" si="60">SUM(AA27:AD27)</f>
        <v>0</v>
      </c>
      <c r="AA27" s="304"/>
      <c r="AB27" s="304"/>
      <c r="AC27" s="304"/>
      <c r="AD27" s="304"/>
      <c r="AE27" s="310">
        <f t="shared" ref="AE27" si="61">IF((Z27=0),0,((AA27+AB27)/Z27*100%))</f>
        <v>0</v>
      </c>
      <c r="AF27" s="244"/>
      <c r="AG27" s="362" t="str">
        <f>VLOOKUP(A44,'Feature Summary'!$A$7:$U$4024,21,FALSE)</f>
        <v>wk-10</v>
      </c>
      <c r="AH27" s="246"/>
    </row>
    <row r="28" spans="1:34" ht="15" thickBot="1" x14ac:dyDescent="0.4">
      <c r="A28" s="252" t="s">
        <v>262</v>
      </c>
      <c r="B28" s="480" t="str">
        <f>VLOOKUP(A28,'Feature Raw Data'!$A$3:$B$3934,2,FALSE)</f>
        <v>Tick-Counter</v>
      </c>
      <c r="C28" s="317"/>
      <c r="D28" s="315" t="s">
        <v>257</v>
      </c>
      <c r="E28" s="361" t="s">
        <v>275</v>
      </c>
      <c r="F28" s="353" t="s">
        <v>287</v>
      </c>
      <c r="G28" s="385" t="str">
        <f>VLOOKUP(A28,'Feature Summary'!$A$7:$C$4005,3,FALSE)</f>
        <v>P1</v>
      </c>
      <c r="H28" s="361" t="s">
        <v>288</v>
      </c>
      <c r="I28" s="361" t="s">
        <v>261</v>
      </c>
      <c r="J28" s="500" t="s">
        <v>278</v>
      </c>
      <c r="K28" s="245">
        <v>1</v>
      </c>
      <c r="L28" s="315">
        <v>1</v>
      </c>
      <c r="M28" s="498" t="s">
        <v>38</v>
      </c>
      <c r="N28" s="506">
        <v>1</v>
      </c>
      <c r="O28" s="315">
        <v>0.4</v>
      </c>
      <c r="P28" s="305">
        <f t="shared" si="28"/>
        <v>0.4</v>
      </c>
      <c r="Q28" s="315" t="s">
        <v>45</v>
      </c>
      <c r="R28" s="315">
        <v>1</v>
      </c>
      <c r="S28" s="306">
        <f t="shared" si="29"/>
        <v>1</v>
      </c>
      <c r="T28" s="315">
        <v>1</v>
      </c>
      <c r="U28" s="307"/>
      <c r="V28" s="307"/>
      <c r="W28" s="307"/>
      <c r="X28" s="308">
        <f t="shared" si="55"/>
        <v>1</v>
      </c>
      <c r="Y28" s="368"/>
      <c r="Z28" s="309">
        <f t="shared" si="4"/>
        <v>0</v>
      </c>
      <c r="AA28" s="304"/>
      <c r="AB28" s="304"/>
      <c r="AC28" s="304"/>
      <c r="AD28" s="304"/>
      <c r="AE28" s="310">
        <f t="shared" si="56"/>
        <v>0</v>
      </c>
      <c r="AF28" s="244"/>
      <c r="AG28" s="362" t="str">
        <f>VLOOKUP(A46,'Feature Summary'!$A$7:$U$4024,21,FALSE)</f>
        <v>wk-10</v>
      </c>
      <c r="AH28" s="246"/>
    </row>
    <row r="29" spans="1:34" ht="15" thickBot="1" x14ac:dyDescent="0.4">
      <c r="A29" s="252" t="s">
        <v>256</v>
      </c>
      <c r="B29" s="480" t="str">
        <f>VLOOKUP(A29,'Feature Raw Data'!$A$3:$B$3934,2,FALSE)</f>
        <v>DFS-DID Switch for All Slices</v>
      </c>
      <c r="C29" s="317"/>
      <c r="D29" s="315" t="s">
        <v>257</v>
      </c>
      <c r="E29" s="361" t="s">
        <v>275</v>
      </c>
      <c r="F29" s="353" t="s">
        <v>289</v>
      </c>
      <c r="G29" s="385" t="str">
        <f>VLOOKUP(A29,'Feature Summary'!$A$7:$C$4005,3,FALSE)</f>
        <v>P2</v>
      </c>
      <c r="H29" s="361" t="s">
        <v>290</v>
      </c>
      <c r="I29" s="361" t="s">
        <v>261</v>
      </c>
      <c r="J29" s="500" t="s">
        <v>278</v>
      </c>
      <c r="K29" s="245">
        <v>1</v>
      </c>
      <c r="L29" s="315">
        <v>1</v>
      </c>
      <c r="M29" s="498" t="s">
        <v>38</v>
      </c>
      <c r="N29" s="506">
        <v>1</v>
      </c>
      <c r="O29" s="315">
        <v>0.4</v>
      </c>
      <c r="P29" s="305">
        <f t="shared" ref="P29" si="62">IF((O29=0),0,(O29/L29))</f>
        <v>0.4</v>
      </c>
      <c r="Q29" s="315" t="s">
        <v>45</v>
      </c>
      <c r="R29" s="315">
        <v>1</v>
      </c>
      <c r="S29" s="306">
        <f t="shared" ref="S29" si="63">SUM(T29:W29)</f>
        <v>1</v>
      </c>
      <c r="T29" s="315">
        <v>1</v>
      </c>
      <c r="U29" s="307"/>
      <c r="V29" s="307"/>
      <c r="W29" s="307"/>
      <c r="X29" s="308">
        <f t="shared" ref="X29" si="64">IF((S29=0),0,((T29+U29)/S29*100%))</f>
        <v>1</v>
      </c>
      <c r="Y29" s="368"/>
      <c r="Z29" s="309">
        <f t="shared" ref="Z29" si="65">SUM(AA29:AD29)</f>
        <v>0</v>
      </c>
      <c r="AA29" s="304"/>
      <c r="AB29" s="304"/>
      <c r="AC29" s="304"/>
      <c r="AD29" s="304"/>
      <c r="AE29" s="310">
        <f t="shared" ref="AE29" si="66">IF((Z29=0),0,((AA29+AB29)/Z29*100%))</f>
        <v>0</v>
      </c>
      <c r="AF29" s="244"/>
      <c r="AG29" s="362" t="str">
        <f>VLOOKUP(A46,'Feature Summary'!$A$7:$U$4024,21,FALSE)</f>
        <v>wk-10</v>
      </c>
      <c r="AH29" s="246"/>
    </row>
    <row r="30" spans="1:34" ht="15" thickBot="1" x14ac:dyDescent="0.4">
      <c r="A30" s="252" t="s">
        <v>262</v>
      </c>
      <c r="B30" s="480" t="str">
        <f>VLOOKUP(A30,'Feature Raw Data'!$A$3:$B$3934,2,FALSE)</f>
        <v>Tick-Counter</v>
      </c>
      <c r="C30" s="317"/>
      <c r="D30" s="315" t="s">
        <v>257</v>
      </c>
      <c r="E30" s="361" t="s">
        <v>275</v>
      </c>
      <c r="F30" s="353" t="s">
        <v>289</v>
      </c>
      <c r="G30" s="385" t="str">
        <f>VLOOKUP(A30,'Feature Summary'!$A$7:$C$4005,3,FALSE)</f>
        <v>P1</v>
      </c>
      <c r="H30" s="361" t="s">
        <v>290</v>
      </c>
      <c r="I30" s="361" t="s">
        <v>261</v>
      </c>
      <c r="J30" s="500" t="s">
        <v>278</v>
      </c>
      <c r="K30" s="245">
        <v>1</v>
      </c>
      <c r="L30" s="315">
        <v>1</v>
      </c>
      <c r="M30" s="498" t="s">
        <v>38</v>
      </c>
      <c r="N30" s="506">
        <v>1</v>
      </c>
      <c r="O30" s="315">
        <v>0.4</v>
      </c>
      <c r="P30" s="305">
        <f t="shared" si="28"/>
        <v>0.4</v>
      </c>
      <c r="Q30" s="315" t="s">
        <v>45</v>
      </c>
      <c r="R30" s="315">
        <v>1</v>
      </c>
      <c r="S30" s="306">
        <f t="shared" si="29"/>
        <v>1</v>
      </c>
      <c r="T30" s="315">
        <v>1</v>
      </c>
      <c r="U30" s="307"/>
      <c r="V30" s="307"/>
      <c r="W30" s="307"/>
      <c r="X30" s="308">
        <f t="shared" si="55"/>
        <v>1</v>
      </c>
      <c r="Y30" s="368"/>
      <c r="Z30" s="309">
        <f t="shared" si="4"/>
        <v>0</v>
      </c>
      <c r="AA30" s="304"/>
      <c r="AB30" s="304"/>
      <c r="AC30" s="304"/>
      <c r="AD30" s="304"/>
      <c r="AE30" s="310">
        <f t="shared" si="56"/>
        <v>0</v>
      </c>
      <c r="AF30" s="244"/>
      <c r="AG30" s="362" t="str">
        <f>VLOOKUP(A48,'Feature Summary'!$A$7:$U$4024,21,FALSE)</f>
        <v>wk-10</v>
      </c>
      <c r="AH30" s="246"/>
    </row>
    <row r="31" spans="1:34" ht="15" thickBot="1" x14ac:dyDescent="0.4">
      <c r="A31" s="252" t="s">
        <v>256</v>
      </c>
      <c r="B31" s="480" t="str">
        <f>VLOOKUP(A31,'Feature Raw Data'!$A$3:$B$3934,2,FALSE)</f>
        <v>DFS-DID Switch for All Slices</v>
      </c>
      <c r="C31" s="317"/>
      <c r="D31" s="315" t="s">
        <v>257</v>
      </c>
      <c r="E31" s="361" t="s">
        <v>275</v>
      </c>
      <c r="F31" s="353" t="s">
        <v>291</v>
      </c>
      <c r="G31" s="385" t="str">
        <f>VLOOKUP(A31,'Feature Summary'!$A$7:$C$4005,3,FALSE)</f>
        <v>P2</v>
      </c>
      <c r="H31" s="361" t="s">
        <v>292</v>
      </c>
      <c r="I31" s="361" t="s">
        <v>261</v>
      </c>
      <c r="J31" s="500" t="s">
        <v>278</v>
      </c>
      <c r="K31" s="245">
        <v>1</v>
      </c>
      <c r="L31" s="315">
        <v>1</v>
      </c>
      <c r="M31" s="498" t="s">
        <v>38</v>
      </c>
      <c r="N31" s="506">
        <v>1</v>
      </c>
      <c r="O31" s="315">
        <v>0.4</v>
      </c>
      <c r="P31" s="305">
        <f t="shared" ref="P31" si="67">IF((O31=0),0,(O31/L31))</f>
        <v>0.4</v>
      </c>
      <c r="Q31" s="315" t="s">
        <v>45</v>
      </c>
      <c r="R31" s="315">
        <v>1</v>
      </c>
      <c r="S31" s="306">
        <f t="shared" ref="S31" si="68">SUM(T31:W31)</f>
        <v>1</v>
      </c>
      <c r="T31" s="315">
        <v>1</v>
      </c>
      <c r="U31" s="307"/>
      <c r="V31" s="307"/>
      <c r="W31" s="307"/>
      <c r="X31" s="308">
        <f t="shared" ref="X31" si="69">IF((S31=0),0,((T31+U31)/S31*100%))</f>
        <v>1</v>
      </c>
      <c r="Y31" s="368"/>
      <c r="Z31" s="309">
        <f t="shared" ref="Z31" si="70">SUM(AA31:AD31)</f>
        <v>0</v>
      </c>
      <c r="AA31" s="304"/>
      <c r="AB31" s="304"/>
      <c r="AC31" s="304"/>
      <c r="AD31" s="304"/>
      <c r="AE31" s="310">
        <f t="shared" si="56"/>
        <v>0</v>
      </c>
      <c r="AF31" s="244"/>
      <c r="AG31" s="362" t="str">
        <f>VLOOKUP(A48,'Feature Summary'!$A$7:$U$4024,21,FALSE)</f>
        <v>wk-10</v>
      </c>
      <c r="AH31" s="246"/>
    </row>
    <row r="32" spans="1:34" ht="15" thickBot="1" x14ac:dyDescent="0.4">
      <c r="A32" s="252" t="s">
        <v>262</v>
      </c>
      <c r="B32" s="480" t="str">
        <f>VLOOKUP(A32,'Feature Raw Data'!$A$3:$B$3934,2,FALSE)</f>
        <v>Tick-Counter</v>
      </c>
      <c r="C32" s="317"/>
      <c r="D32" s="315" t="s">
        <v>257</v>
      </c>
      <c r="E32" s="361" t="s">
        <v>275</v>
      </c>
      <c r="F32" s="353" t="s">
        <v>291</v>
      </c>
      <c r="G32" s="385" t="str">
        <f>VLOOKUP(A32,'Feature Summary'!$A$7:$C$4005,3,FALSE)</f>
        <v>P1</v>
      </c>
      <c r="H32" s="361" t="s">
        <v>292</v>
      </c>
      <c r="I32" s="361" t="s">
        <v>261</v>
      </c>
      <c r="J32" s="500" t="s">
        <v>278</v>
      </c>
      <c r="K32" s="245">
        <v>1</v>
      </c>
      <c r="L32" s="315">
        <v>1</v>
      </c>
      <c r="M32" s="498" t="s">
        <v>38</v>
      </c>
      <c r="N32" s="506">
        <v>1</v>
      </c>
      <c r="O32" s="315">
        <v>0.4</v>
      </c>
      <c r="P32" s="305">
        <f t="shared" si="28"/>
        <v>0.4</v>
      </c>
      <c r="Q32" s="315" t="s">
        <v>45</v>
      </c>
      <c r="R32" s="315">
        <v>1</v>
      </c>
      <c r="S32" s="306">
        <f t="shared" si="29"/>
        <v>1</v>
      </c>
      <c r="T32" s="315">
        <v>1</v>
      </c>
      <c r="U32" s="307"/>
      <c r="V32" s="307"/>
      <c r="W32" s="307"/>
      <c r="X32" s="308">
        <f t="shared" si="55"/>
        <v>1</v>
      </c>
      <c r="Y32" s="368"/>
      <c r="Z32" s="309">
        <f t="shared" si="4"/>
        <v>0</v>
      </c>
      <c r="AA32" s="304"/>
      <c r="AB32" s="304"/>
      <c r="AC32" s="304"/>
      <c r="AD32" s="304"/>
      <c r="AE32" s="310">
        <f t="shared" si="46"/>
        <v>0</v>
      </c>
      <c r="AF32" s="244"/>
      <c r="AG32" s="362" t="str">
        <f>VLOOKUP(A50,'Feature Summary'!$A$7:$U$4024,21,FALSE)</f>
        <v>wk-10</v>
      </c>
      <c r="AH32" s="246"/>
    </row>
    <row r="33" spans="1:34" ht="15" thickBot="1" x14ac:dyDescent="0.4">
      <c r="A33" s="252" t="s">
        <v>256</v>
      </c>
      <c r="B33" s="480" t="str">
        <f>VLOOKUP(A33,'Feature Raw Data'!$A$3:$B$3934,2,FALSE)</f>
        <v>DFS-DID Switch for All Slices</v>
      </c>
      <c r="C33" s="317"/>
      <c r="D33" s="315" t="s">
        <v>257</v>
      </c>
      <c r="E33" s="361" t="s">
        <v>275</v>
      </c>
      <c r="F33" s="353" t="s">
        <v>293</v>
      </c>
      <c r="G33" s="385" t="str">
        <f>VLOOKUP(A33,'Feature Summary'!$A$7:$C$4005,3,FALSE)</f>
        <v>P2</v>
      </c>
      <c r="H33" s="361" t="s">
        <v>294</v>
      </c>
      <c r="I33" s="361" t="s">
        <v>261</v>
      </c>
      <c r="J33" s="500" t="s">
        <v>278</v>
      </c>
      <c r="K33" s="245">
        <v>1</v>
      </c>
      <c r="L33" s="315">
        <v>1</v>
      </c>
      <c r="M33" s="498" t="s">
        <v>38</v>
      </c>
      <c r="N33" s="506">
        <v>1</v>
      </c>
      <c r="O33" s="315">
        <v>0.4</v>
      </c>
      <c r="P33" s="305">
        <f t="shared" ref="P33" si="71">IF((O33=0),0,(O33/L33))</f>
        <v>0.4</v>
      </c>
      <c r="Q33" s="315" t="s">
        <v>45</v>
      </c>
      <c r="R33" s="315">
        <v>1</v>
      </c>
      <c r="S33" s="306">
        <f t="shared" ref="S33" si="72">SUM(T33:W33)</f>
        <v>1</v>
      </c>
      <c r="T33" s="315">
        <v>1</v>
      </c>
      <c r="U33" s="307"/>
      <c r="V33" s="307"/>
      <c r="W33" s="307"/>
      <c r="X33" s="308">
        <f t="shared" si="55"/>
        <v>1</v>
      </c>
      <c r="Y33" s="368"/>
      <c r="Z33" s="309">
        <f t="shared" ref="Z33" si="73">SUM(AA33:AD33)</f>
        <v>0</v>
      </c>
      <c r="AA33" s="304"/>
      <c r="AB33" s="304"/>
      <c r="AC33" s="304"/>
      <c r="AD33" s="304"/>
      <c r="AE33" s="310">
        <f t="shared" ref="AE33" si="74">IF((Z33=0),0,((AA33+AB33)/Z33*100%))</f>
        <v>0</v>
      </c>
      <c r="AF33" s="244"/>
      <c r="AG33" s="362" t="str">
        <f>VLOOKUP(A50,'Feature Summary'!$A$7:$U$4024,21,FALSE)</f>
        <v>wk-10</v>
      </c>
      <c r="AH33" s="246"/>
    </row>
    <row r="34" spans="1:34" ht="15" thickBot="1" x14ac:dyDescent="0.4">
      <c r="A34" s="252" t="s">
        <v>262</v>
      </c>
      <c r="B34" s="480" t="str">
        <f>VLOOKUP(A34,'Feature Raw Data'!$A$3:$B$3934,2,FALSE)</f>
        <v>Tick-Counter</v>
      </c>
      <c r="C34" s="317"/>
      <c r="D34" s="315" t="s">
        <v>257</v>
      </c>
      <c r="E34" s="361" t="s">
        <v>275</v>
      </c>
      <c r="F34" s="353" t="s">
        <v>293</v>
      </c>
      <c r="G34" s="385" t="str">
        <f>VLOOKUP(A34,'Feature Summary'!$A$7:$C$4005,3,FALSE)</f>
        <v>P1</v>
      </c>
      <c r="H34" s="361" t="s">
        <v>294</v>
      </c>
      <c r="I34" s="361" t="s">
        <v>261</v>
      </c>
      <c r="J34" s="500" t="s">
        <v>278</v>
      </c>
      <c r="K34" s="245">
        <v>1</v>
      </c>
      <c r="L34" s="315">
        <v>1</v>
      </c>
      <c r="M34" s="498" t="s">
        <v>38</v>
      </c>
      <c r="N34" s="506">
        <v>1</v>
      </c>
      <c r="O34" s="315">
        <v>0.4</v>
      </c>
      <c r="P34" s="305">
        <f t="shared" si="28"/>
        <v>0.4</v>
      </c>
      <c r="Q34" s="315" t="s">
        <v>45</v>
      </c>
      <c r="R34" s="315">
        <v>1</v>
      </c>
      <c r="S34" s="306">
        <f t="shared" si="29"/>
        <v>1</v>
      </c>
      <c r="T34" s="315">
        <v>1</v>
      </c>
      <c r="U34" s="307"/>
      <c r="V34" s="307"/>
      <c r="W34" s="307"/>
      <c r="X34" s="308">
        <f t="shared" si="45"/>
        <v>1</v>
      </c>
      <c r="Y34" s="368"/>
      <c r="Z34" s="309">
        <f t="shared" si="4"/>
        <v>0</v>
      </c>
      <c r="AA34" s="304"/>
      <c r="AB34" s="304"/>
      <c r="AC34" s="304"/>
      <c r="AD34" s="304"/>
      <c r="AE34" s="310">
        <f t="shared" si="46"/>
        <v>0</v>
      </c>
      <c r="AF34" s="244"/>
      <c r="AG34" s="362" t="str">
        <f>VLOOKUP(A52,'Feature Summary'!$A$7:$U$4024,21,FALSE)</f>
        <v>wk-10</v>
      </c>
      <c r="AH34" s="246"/>
    </row>
    <row r="35" spans="1:34" ht="15" thickBot="1" x14ac:dyDescent="0.4">
      <c r="A35" s="252" t="s">
        <v>256</v>
      </c>
      <c r="B35" s="480" t="str">
        <f>VLOOKUP(A35,'Feature Raw Data'!$A$3:$B$3934,2,FALSE)</f>
        <v>DFS-DID Switch for All Slices</v>
      </c>
      <c r="C35" s="317"/>
      <c r="D35" s="315" t="s">
        <v>257</v>
      </c>
      <c r="E35" s="361" t="s">
        <v>275</v>
      </c>
      <c r="F35" s="353" t="s">
        <v>295</v>
      </c>
      <c r="G35" s="385" t="str">
        <f>VLOOKUP(A35,'Feature Summary'!$A$7:$C$4005,3,FALSE)</f>
        <v>P2</v>
      </c>
      <c r="H35" s="361" t="s">
        <v>296</v>
      </c>
      <c r="I35" s="361" t="s">
        <v>261</v>
      </c>
      <c r="J35" s="500" t="s">
        <v>278</v>
      </c>
      <c r="K35" s="245">
        <v>1</v>
      </c>
      <c r="L35" s="315">
        <v>1</v>
      </c>
      <c r="M35" s="498" t="s">
        <v>38</v>
      </c>
      <c r="N35" s="506">
        <v>1</v>
      </c>
      <c r="O35" s="315">
        <v>0.4</v>
      </c>
      <c r="P35" s="305">
        <f t="shared" ref="P35" si="75">IF((O35=0),0,(O35/L35))</f>
        <v>0.4</v>
      </c>
      <c r="Q35" s="315" t="s">
        <v>45</v>
      </c>
      <c r="R35" s="315">
        <v>1</v>
      </c>
      <c r="S35" s="306">
        <f t="shared" ref="S35" si="76">SUM(T35:W35)</f>
        <v>1</v>
      </c>
      <c r="T35" s="315">
        <v>1</v>
      </c>
      <c r="U35" s="307"/>
      <c r="V35" s="307"/>
      <c r="W35" s="307"/>
      <c r="X35" s="308">
        <f t="shared" ref="X35" si="77">IF((S35=0),0,((T35+U35)/S35*100%))</f>
        <v>1</v>
      </c>
      <c r="Y35" s="368"/>
      <c r="Z35" s="309">
        <f t="shared" ref="Z35" si="78">SUM(AA35:AD35)</f>
        <v>0</v>
      </c>
      <c r="AA35" s="304"/>
      <c r="AB35" s="304"/>
      <c r="AC35" s="304"/>
      <c r="AD35" s="304"/>
      <c r="AE35" s="310">
        <f t="shared" ref="AE35" si="79">IF((Z35=0),0,((AA35+AB35)/Z35*100%))</f>
        <v>0</v>
      </c>
      <c r="AF35" s="244"/>
      <c r="AG35" s="362" t="str">
        <f>VLOOKUP(A52,'Feature Summary'!$A$7:$U$4024,21,FALSE)</f>
        <v>wk-10</v>
      </c>
      <c r="AH35" s="246"/>
    </row>
    <row r="36" spans="1:34" ht="15" thickBot="1" x14ac:dyDescent="0.4">
      <c r="A36" s="252" t="s">
        <v>262</v>
      </c>
      <c r="B36" s="480" t="str">
        <f>VLOOKUP(A36,'Feature Raw Data'!$A$3:$B$3934,2,FALSE)</f>
        <v>Tick-Counter</v>
      </c>
      <c r="C36" s="317"/>
      <c r="D36" s="315" t="s">
        <v>257</v>
      </c>
      <c r="E36" s="361" t="s">
        <v>275</v>
      </c>
      <c r="F36" s="353" t="s">
        <v>295</v>
      </c>
      <c r="G36" s="385" t="str">
        <f>VLOOKUP(A36,'Feature Summary'!$A$7:$C$4005,3,FALSE)</f>
        <v>P1</v>
      </c>
      <c r="H36" s="361" t="s">
        <v>296</v>
      </c>
      <c r="I36" s="361" t="s">
        <v>261</v>
      </c>
      <c r="J36" s="500" t="s">
        <v>278</v>
      </c>
      <c r="K36" s="245">
        <v>1</v>
      </c>
      <c r="L36" s="315">
        <v>1</v>
      </c>
      <c r="M36" s="498" t="s">
        <v>38</v>
      </c>
      <c r="N36" s="506">
        <v>1</v>
      </c>
      <c r="O36" s="315">
        <v>0.4</v>
      </c>
      <c r="P36" s="305">
        <f t="shared" si="28"/>
        <v>0.4</v>
      </c>
      <c r="Q36" s="315" t="s">
        <v>45</v>
      </c>
      <c r="R36" s="315">
        <v>1</v>
      </c>
      <c r="S36" s="306">
        <f t="shared" si="29"/>
        <v>1</v>
      </c>
      <c r="T36" s="315">
        <v>1</v>
      </c>
      <c r="U36" s="307"/>
      <c r="V36" s="307"/>
      <c r="W36" s="307"/>
      <c r="X36" s="308">
        <f t="shared" si="45"/>
        <v>1</v>
      </c>
      <c r="Y36" s="368"/>
      <c r="Z36" s="309">
        <f t="shared" si="4"/>
        <v>0</v>
      </c>
      <c r="AA36" s="304"/>
      <c r="AB36" s="304"/>
      <c r="AC36" s="304"/>
      <c r="AD36" s="304"/>
      <c r="AE36" s="310">
        <f t="shared" si="46"/>
        <v>0</v>
      </c>
      <c r="AF36" s="244"/>
      <c r="AG36" s="362" t="str">
        <f>VLOOKUP(A54,'Feature Summary'!$A$7:$U$4024,21,FALSE)</f>
        <v>wk-10</v>
      </c>
      <c r="AH36" s="246"/>
    </row>
    <row r="37" spans="1:34" ht="15" thickBot="1" x14ac:dyDescent="0.4">
      <c r="A37" s="252" t="s">
        <v>256</v>
      </c>
      <c r="B37" s="480" t="str">
        <f>VLOOKUP(A37,'Feature Raw Data'!$A$3:$B$3934,2,FALSE)</f>
        <v>DFS-DID Switch for All Slices</v>
      </c>
      <c r="C37" s="317"/>
      <c r="D37" s="315" t="s">
        <v>257</v>
      </c>
      <c r="E37" s="361" t="s">
        <v>275</v>
      </c>
      <c r="F37" s="353" t="s">
        <v>297</v>
      </c>
      <c r="G37" s="385" t="str">
        <f>VLOOKUP(A37,'Feature Summary'!$A$7:$C$4005,3,FALSE)</f>
        <v>P2</v>
      </c>
      <c r="H37" s="361" t="s">
        <v>298</v>
      </c>
      <c r="I37" s="361" t="s">
        <v>261</v>
      </c>
      <c r="J37" s="500" t="s">
        <v>278</v>
      </c>
      <c r="K37" s="245">
        <v>1</v>
      </c>
      <c r="L37" s="315">
        <v>1</v>
      </c>
      <c r="M37" s="498" t="s">
        <v>38</v>
      </c>
      <c r="N37" s="506">
        <v>1</v>
      </c>
      <c r="O37" s="315">
        <v>0.4</v>
      </c>
      <c r="P37" s="305">
        <f t="shared" ref="P37" si="80">IF((O37=0),0,(O37/L37))</f>
        <v>0.4</v>
      </c>
      <c r="Q37" s="315" t="s">
        <v>45</v>
      </c>
      <c r="R37" s="315">
        <v>1</v>
      </c>
      <c r="S37" s="306">
        <f t="shared" ref="S37" si="81">SUM(T37:W37)</f>
        <v>1</v>
      </c>
      <c r="T37" s="315">
        <v>1</v>
      </c>
      <c r="U37" s="307"/>
      <c r="V37" s="307"/>
      <c r="W37" s="307"/>
      <c r="X37" s="308">
        <f t="shared" si="45"/>
        <v>1</v>
      </c>
      <c r="Y37" s="368"/>
      <c r="Z37" s="309">
        <f t="shared" ref="Z37" si="82">SUM(AA37:AD37)</f>
        <v>0</v>
      </c>
      <c r="AA37" s="304"/>
      <c r="AB37" s="304"/>
      <c r="AC37" s="304"/>
      <c r="AD37" s="304"/>
      <c r="AE37" s="310">
        <f t="shared" si="46"/>
        <v>0</v>
      </c>
      <c r="AF37" s="244"/>
      <c r="AG37" s="362" t="str">
        <f>VLOOKUP(A54,'Feature Summary'!$A$7:$U$4024,21,FALSE)</f>
        <v>wk-10</v>
      </c>
      <c r="AH37" s="246"/>
    </row>
    <row r="38" spans="1:34" ht="15" thickBot="1" x14ac:dyDescent="0.4">
      <c r="A38" s="252" t="s">
        <v>262</v>
      </c>
      <c r="B38" s="480" t="str">
        <f>VLOOKUP(A38,'Feature Raw Data'!$A$3:$B$3934,2,FALSE)</f>
        <v>Tick-Counter</v>
      </c>
      <c r="C38" s="317"/>
      <c r="D38" s="315" t="s">
        <v>257</v>
      </c>
      <c r="E38" s="361" t="s">
        <v>275</v>
      </c>
      <c r="F38" s="353" t="s">
        <v>297</v>
      </c>
      <c r="G38" s="385" t="str">
        <f>VLOOKUP(A38,'Feature Summary'!$A$7:$C$4005,3,FALSE)</f>
        <v>P1</v>
      </c>
      <c r="H38" s="361" t="s">
        <v>298</v>
      </c>
      <c r="I38" s="361" t="s">
        <v>261</v>
      </c>
      <c r="J38" s="500" t="s">
        <v>278</v>
      </c>
      <c r="K38" s="245">
        <v>1</v>
      </c>
      <c r="L38" s="315">
        <v>1</v>
      </c>
      <c r="M38" s="498" t="s">
        <v>38</v>
      </c>
      <c r="N38" s="506">
        <v>1</v>
      </c>
      <c r="O38" s="315">
        <v>0.4</v>
      </c>
      <c r="P38" s="305">
        <f t="shared" si="28"/>
        <v>0.4</v>
      </c>
      <c r="Q38" s="315" t="s">
        <v>45</v>
      </c>
      <c r="R38" s="315">
        <v>1</v>
      </c>
      <c r="S38" s="306">
        <f t="shared" si="29"/>
        <v>1</v>
      </c>
      <c r="T38" s="315">
        <v>1</v>
      </c>
      <c r="U38" s="307"/>
      <c r="V38" s="307"/>
      <c r="W38" s="307"/>
      <c r="X38" s="308">
        <f t="shared" ref="X38:X51" si="83">IF((S38=0),0,((T38+U38)/S38*100%))</f>
        <v>1</v>
      </c>
      <c r="Y38" s="368"/>
      <c r="Z38" s="309">
        <f t="shared" si="4"/>
        <v>0</v>
      </c>
      <c r="AA38" s="304"/>
      <c r="AB38" s="304"/>
      <c r="AC38" s="304"/>
      <c r="AD38" s="304"/>
      <c r="AE38" s="310">
        <f t="shared" ref="AE38:AE51" si="84">IF((Z38=0),0,((AA38+AB38)/Z38*100%))</f>
        <v>0</v>
      </c>
      <c r="AF38" s="244"/>
      <c r="AG38" s="362" t="str">
        <f>VLOOKUP(A56,'Feature Summary'!$A$7:$U$4024,21,FALSE)</f>
        <v>wk-10</v>
      </c>
      <c r="AH38" s="246"/>
    </row>
    <row r="39" spans="1:34" ht="15" thickBot="1" x14ac:dyDescent="0.4">
      <c r="A39" s="252" t="s">
        <v>256</v>
      </c>
      <c r="B39" s="480" t="str">
        <f>VLOOKUP(A39,'Feature Raw Data'!$A$3:$B$3934,2,FALSE)</f>
        <v>DFS-DID Switch for All Slices</v>
      </c>
      <c r="C39" s="317"/>
      <c r="D39" s="315" t="s">
        <v>257</v>
      </c>
      <c r="E39" s="361" t="s">
        <v>275</v>
      </c>
      <c r="F39" s="353" t="s">
        <v>299</v>
      </c>
      <c r="G39" s="385" t="str">
        <f>VLOOKUP(A39,'Feature Summary'!$A$7:$C$4005,3,FALSE)</f>
        <v>P2</v>
      </c>
      <c r="H39" s="361" t="s">
        <v>300</v>
      </c>
      <c r="I39" s="361" t="s">
        <v>261</v>
      </c>
      <c r="J39" s="500" t="s">
        <v>278</v>
      </c>
      <c r="K39" s="245">
        <v>1</v>
      </c>
      <c r="L39" s="315">
        <v>1</v>
      </c>
      <c r="M39" s="498" t="s">
        <v>38</v>
      </c>
      <c r="N39" s="506">
        <v>1</v>
      </c>
      <c r="O39" s="315">
        <v>0.4</v>
      </c>
      <c r="P39" s="305">
        <f t="shared" ref="P39" si="85">IF((O39=0),0,(O39/L39))</f>
        <v>0.4</v>
      </c>
      <c r="Q39" s="315" t="s">
        <v>45</v>
      </c>
      <c r="R39" s="315">
        <v>1</v>
      </c>
      <c r="S39" s="306">
        <f t="shared" ref="S39" si="86">SUM(T39:W39)</f>
        <v>1</v>
      </c>
      <c r="T39" s="315">
        <v>1</v>
      </c>
      <c r="U39" s="307"/>
      <c r="V39" s="307"/>
      <c r="W39" s="307"/>
      <c r="X39" s="308">
        <f t="shared" ref="X39" si="87">IF((S39=0),0,((T39+U39)/S39*100%))</f>
        <v>1</v>
      </c>
      <c r="Y39" s="368"/>
      <c r="Z39" s="309">
        <f t="shared" ref="Z39" si="88">SUM(AA39:AD39)</f>
        <v>0</v>
      </c>
      <c r="AA39" s="304"/>
      <c r="AB39" s="304"/>
      <c r="AC39" s="304"/>
      <c r="AD39" s="304"/>
      <c r="AE39" s="310">
        <f t="shared" ref="AE39" si="89">IF((Z39=0),0,((AA39+AB39)/Z39*100%))</f>
        <v>0</v>
      </c>
      <c r="AF39" s="244"/>
      <c r="AG39" s="362" t="str">
        <f>VLOOKUP(A56,'Feature Summary'!$A$7:$U$4024,21,FALSE)</f>
        <v>wk-10</v>
      </c>
      <c r="AH39" s="246"/>
    </row>
    <row r="40" spans="1:34" ht="15" thickBot="1" x14ac:dyDescent="0.4">
      <c r="A40" s="252" t="s">
        <v>262</v>
      </c>
      <c r="B40" s="480" t="str">
        <f>VLOOKUP(A40,'Feature Raw Data'!$A$3:$B$3934,2,FALSE)</f>
        <v>Tick-Counter</v>
      </c>
      <c r="C40" s="317"/>
      <c r="D40" s="315" t="s">
        <v>257</v>
      </c>
      <c r="E40" s="361" t="s">
        <v>275</v>
      </c>
      <c r="F40" s="353" t="s">
        <v>299</v>
      </c>
      <c r="G40" s="385" t="str">
        <f>VLOOKUP(A40,'Feature Summary'!$A$7:$C$4005,3,FALSE)</f>
        <v>P1</v>
      </c>
      <c r="H40" s="361" t="s">
        <v>300</v>
      </c>
      <c r="I40" s="361" t="s">
        <v>261</v>
      </c>
      <c r="J40" s="500" t="s">
        <v>278</v>
      </c>
      <c r="K40" s="245">
        <v>1</v>
      </c>
      <c r="L40" s="315">
        <v>1</v>
      </c>
      <c r="M40" s="498" t="s">
        <v>38</v>
      </c>
      <c r="N40" s="506">
        <v>1</v>
      </c>
      <c r="O40" s="315">
        <v>0.4</v>
      </c>
      <c r="P40" s="305">
        <f t="shared" si="28"/>
        <v>0.4</v>
      </c>
      <c r="Q40" s="315" t="s">
        <v>45</v>
      </c>
      <c r="R40" s="315">
        <v>1</v>
      </c>
      <c r="S40" s="306">
        <f t="shared" si="29"/>
        <v>1</v>
      </c>
      <c r="T40" s="315">
        <v>1</v>
      </c>
      <c r="U40" s="307"/>
      <c r="V40" s="307"/>
      <c r="W40" s="307"/>
      <c r="X40" s="308">
        <f t="shared" si="83"/>
        <v>1</v>
      </c>
      <c r="Y40" s="368"/>
      <c r="Z40" s="309">
        <f t="shared" si="4"/>
        <v>0</v>
      </c>
      <c r="AA40" s="304"/>
      <c r="AB40" s="304"/>
      <c r="AC40" s="304"/>
      <c r="AD40" s="304"/>
      <c r="AE40" s="310">
        <f t="shared" si="84"/>
        <v>0</v>
      </c>
      <c r="AF40" s="244"/>
      <c r="AG40" s="362" t="str">
        <f>VLOOKUP(A58,'Feature Summary'!$A$7:$U$4024,21,FALSE)</f>
        <v>wk-10</v>
      </c>
      <c r="AH40" s="246"/>
    </row>
    <row r="41" spans="1:34" ht="15" thickBot="1" x14ac:dyDescent="0.4">
      <c r="A41" s="252" t="s">
        <v>256</v>
      </c>
      <c r="B41" s="480" t="str">
        <f>VLOOKUP(A41,'Feature Raw Data'!$A$3:$B$3934,2,FALSE)</f>
        <v>DFS-DID Switch for All Slices</v>
      </c>
      <c r="C41" s="317"/>
      <c r="D41" s="315" t="s">
        <v>257</v>
      </c>
      <c r="E41" s="361" t="s">
        <v>275</v>
      </c>
      <c r="F41" s="353" t="s">
        <v>301</v>
      </c>
      <c r="G41" s="385" t="str">
        <f>VLOOKUP(A41,'Feature Summary'!$A$7:$C$4005,3,FALSE)</f>
        <v>P2</v>
      </c>
      <c r="H41" s="361" t="s">
        <v>302</v>
      </c>
      <c r="I41" s="361" t="s">
        <v>261</v>
      </c>
      <c r="J41" s="500" t="s">
        <v>278</v>
      </c>
      <c r="K41" s="245">
        <v>1</v>
      </c>
      <c r="L41" s="315">
        <v>1</v>
      </c>
      <c r="M41" s="498" t="s">
        <v>38</v>
      </c>
      <c r="N41" s="506">
        <v>1</v>
      </c>
      <c r="O41" s="315">
        <v>0.4</v>
      </c>
      <c r="P41" s="305">
        <f t="shared" ref="P41" si="90">IF((O41=0),0,(O41/L41))</f>
        <v>0.4</v>
      </c>
      <c r="Q41" s="315" t="s">
        <v>45</v>
      </c>
      <c r="R41" s="315">
        <v>1</v>
      </c>
      <c r="S41" s="306">
        <f t="shared" ref="S41" si="91">SUM(T41:W41)</f>
        <v>1</v>
      </c>
      <c r="T41" s="315">
        <v>1</v>
      </c>
      <c r="U41" s="307"/>
      <c r="V41" s="307"/>
      <c r="W41" s="307"/>
      <c r="X41" s="308">
        <f t="shared" ref="X41" si="92">IF((S41=0),0,((T41+U41)/S41*100%))</f>
        <v>1</v>
      </c>
      <c r="Y41" s="368"/>
      <c r="Z41" s="309">
        <f t="shared" ref="Z41" si="93">SUM(AA41:AD41)</f>
        <v>0</v>
      </c>
      <c r="AA41" s="304"/>
      <c r="AB41" s="304"/>
      <c r="AC41" s="304"/>
      <c r="AD41" s="304"/>
      <c r="AE41" s="310">
        <f t="shared" ref="AE41" si="94">IF((Z41=0),0,((AA41+AB41)/Z41*100%))</f>
        <v>0</v>
      </c>
      <c r="AF41" s="244"/>
      <c r="AG41" s="362" t="str">
        <f>VLOOKUP(A58,'Feature Summary'!$A$7:$U$4024,21,FALSE)</f>
        <v>wk-10</v>
      </c>
      <c r="AH41" s="246"/>
    </row>
    <row r="42" spans="1:34" ht="15" thickBot="1" x14ac:dyDescent="0.4">
      <c r="A42" s="252" t="s">
        <v>262</v>
      </c>
      <c r="B42" s="480" t="str">
        <f>VLOOKUP(A42,'Feature Raw Data'!$A$3:$B$3934,2,FALSE)</f>
        <v>Tick-Counter</v>
      </c>
      <c r="C42" s="317"/>
      <c r="D42" s="315" t="s">
        <v>257</v>
      </c>
      <c r="E42" s="361" t="s">
        <v>275</v>
      </c>
      <c r="F42" s="353" t="s">
        <v>301</v>
      </c>
      <c r="G42" s="385" t="str">
        <f>VLOOKUP(A42,'Feature Summary'!$A$7:$C$4005,3,FALSE)</f>
        <v>P1</v>
      </c>
      <c r="H42" s="361" t="s">
        <v>302</v>
      </c>
      <c r="I42" s="361" t="s">
        <v>261</v>
      </c>
      <c r="J42" s="500" t="s">
        <v>278</v>
      </c>
      <c r="K42" s="245">
        <v>1</v>
      </c>
      <c r="L42" s="315">
        <v>1</v>
      </c>
      <c r="M42" s="498" t="s">
        <v>38</v>
      </c>
      <c r="N42" s="506">
        <v>1</v>
      </c>
      <c r="O42" s="315">
        <v>0.4</v>
      </c>
      <c r="P42" s="305">
        <f t="shared" si="28"/>
        <v>0.4</v>
      </c>
      <c r="Q42" s="315" t="s">
        <v>45</v>
      </c>
      <c r="R42" s="315">
        <v>1</v>
      </c>
      <c r="S42" s="306">
        <f t="shared" si="29"/>
        <v>1</v>
      </c>
      <c r="T42" s="315">
        <v>1</v>
      </c>
      <c r="U42" s="307"/>
      <c r="V42" s="307"/>
      <c r="W42" s="307"/>
      <c r="X42" s="308">
        <f t="shared" si="83"/>
        <v>1</v>
      </c>
      <c r="Y42" s="368"/>
      <c r="Z42" s="309">
        <f t="shared" si="4"/>
        <v>0</v>
      </c>
      <c r="AA42" s="304"/>
      <c r="AB42" s="304"/>
      <c r="AC42" s="304"/>
      <c r="AD42" s="304"/>
      <c r="AE42" s="310">
        <f t="shared" si="84"/>
        <v>0</v>
      </c>
      <c r="AF42" s="244"/>
      <c r="AG42" s="362" t="str">
        <f>VLOOKUP(A60,'Feature Summary'!$A$7:$U$4024,21,FALSE)</f>
        <v>wk-10</v>
      </c>
      <c r="AH42" s="246"/>
    </row>
    <row r="43" spans="1:34" ht="15" thickBot="1" x14ac:dyDescent="0.4">
      <c r="A43" s="252" t="s">
        <v>256</v>
      </c>
      <c r="B43" s="480" t="str">
        <f>VLOOKUP(A43,'Feature Raw Data'!$A$3:$B$3934,2,FALSE)</f>
        <v>DFS-DID Switch for All Slices</v>
      </c>
      <c r="C43" s="317"/>
      <c r="D43" s="315" t="s">
        <v>257</v>
      </c>
      <c r="E43" s="361" t="s">
        <v>275</v>
      </c>
      <c r="F43" s="353" t="s">
        <v>303</v>
      </c>
      <c r="G43" s="385" t="str">
        <f>VLOOKUP(A43,'Feature Summary'!$A$7:$C$4005,3,FALSE)</f>
        <v>P2</v>
      </c>
      <c r="H43" s="361" t="s">
        <v>304</v>
      </c>
      <c r="I43" s="361" t="s">
        <v>261</v>
      </c>
      <c r="J43" s="500" t="s">
        <v>278</v>
      </c>
      <c r="K43" s="245">
        <v>1</v>
      </c>
      <c r="L43" s="315">
        <v>1</v>
      </c>
      <c r="M43" s="498" t="s">
        <v>38</v>
      </c>
      <c r="N43" s="506">
        <v>1</v>
      </c>
      <c r="O43" s="315">
        <v>0.4</v>
      </c>
      <c r="P43" s="305">
        <f t="shared" ref="P43" si="95">IF((O43=0),0,(O43/L43))</f>
        <v>0.4</v>
      </c>
      <c r="Q43" s="315" t="s">
        <v>45</v>
      </c>
      <c r="R43" s="315">
        <v>1</v>
      </c>
      <c r="S43" s="306">
        <f t="shared" ref="S43" si="96">SUM(T43:W43)</f>
        <v>1</v>
      </c>
      <c r="T43" s="315">
        <v>1</v>
      </c>
      <c r="U43" s="307"/>
      <c r="V43" s="307"/>
      <c r="W43" s="307"/>
      <c r="X43" s="308">
        <f t="shared" ref="X43" si="97">IF((S43=0),0,((T43+U43)/S43*100%))</f>
        <v>1</v>
      </c>
      <c r="Y43" s="368"/>
      <c r="Z43" s="309">
        <f t="shared" ref="Z43" si="98">SUM(AA43:AD43)</f>
        <v>0</v>
      </c>
      <c r="AA43" s="304"/>
      <c r="AB43" s="304"/>
      <c r="AC43" s="304"/>
      <c r="AD43" s="304"/>
      <c r="AE43" s="310">
        <f t="shared" ref="AE43" si="99">IF((Z43=0),0,((AA43+AB43)/Z43*100%))</f>
        <v>0</v>
      </c>
      <c r="AF43" s="244"/>
      <c r="AG43" s="362" t="str">
        <f>VLOOKUP(A60,'Feature Summary'!$A$7:$U$4024,21,FALSE)</f>
        <v>wk-10</v>
      </c>
      <c r="AH43" s="246"/>
    </row>
    <row r="44" spans="1:34" ht="15" thickBot="1" x14ac:dyDescent="0.4">
      <c r="A44" s="252" t="s">
        <v>262</v>
      </c>
      <c r="B44" s="480" t="str">
        <f>VLOOKUP(A44,'Feature Raw Data'!$A$3:$B$3934,2,FALSE)</f>
        <v>Tick-Counter</v>
      </c>
      <c r="C44" s="317"/>
      <c r="D44" s="315" t="s">
        <v>257</v>
      </c>
      <c r="E44" s="361" t="s">
        <v>275</v>
      </c>
      <c r="F44" s="353" t="s">
        <v>303</v>
      </c>
      <c r="G44" s="385" t="str">
        <f>VLOOKUP(A44,'Feature Summary'!$A$7:$C$4005,3,FALSE)</f>
        <v>P1</v>
      </c>
      <c r="H44" s="361" t="s">
        <v>304</v>
      </c>
      <c r="I44" s="361" t="s">
        <v>261</v>
      </c>
      <c r="J44" s="500" t="s">
        <v>278</v>
      </c>
      <c r="K44" s="245">
        <v>1</v>
      </c>
      <c r="L44" s="315">
        <v>1</v>
      </c>
      <c r="M44" s="498" t="s">
        <v>38</v>
      </c>
      <c r="N44" s="506">
        <v>1</v>
      </c>
      <c r="O44" s="315">
        <v>0.4</v>
      </c>
      <c r="P44" s="305">
        <f t="shared" si="28"/>
        <v>0.4</v>
      </c>
      <c r="Q44" s="315" t="s">
        <v>45</v>
      </c>
      <c r="R44" s="315">
        <v>1</v>
      </c>
      <c r="S44" s="306">
        <f t="shared" si="29"/>
        <v>1</v>
      </c>
      <c r="T44" s="315">
        <v>1</v>
      </c>
      <c r="U44" s="307"/>
      <c r="V44" s="307"/>
      <c r="W44" s="307"/>
      <c r="X44" s="308">
        <f t="shared" si="83"/>
        <v>1</v>
      </c>
      <c r="Y44" s="368"/>
      <c r="Z44" s="309">
        <f t="shared" si="4"/>
        <v>0</v>
      </c>
      <c r="AA44" s="304"/>
      <c r="AB44" s="304"/>
      <c r="AC44" s="304"/>
      <c r="AD44" s="304"/>
      <c r="AE44" s="310">
        <f t="shared" si="84"/>
        <v>0</v>
      </c>
      <c r="AF44" s="244"/>
      <c r="AG44" s="362" t="str">
        <f>VLOOKUP(A62,'Feature Summary'!$A$7:$U$4024,21,FALSE)</f>
        <v>wk-10</v>
      </c>
      <c r="AH44" s="246"/>
    </row>
    <row r="45" spans="1:34" ht="15" thickBot="1" x14ac:dyDescent="0.4">
      <c r="A45" s="252" t="s">
        <v>256</v>
      </c>
      <c r="B45" s="480" t="str">
        <f>VLOOKUP(A45,'Feature Raw Data'!$A$3:$B$3934,2,FALSE)</f>
        <v>DFS-DID Switch for All Slices</v>
      </c>
      <c r="C45" s="317"/>
      <c r="D45" s="315" t="s">
        <v>257</v>
      </c>
      <c r="E45" s="361" t="s">
        <v>275</v>
      </c>
      <c r="F45" s="353" t="s">
        <v>305</v>
      </c>
      <c r="G45" s="385" t="str">
        <f>VLOOKUP(A45,'Feature Summary'!$A$7:$C$4005,3,FALSE)</f>
        <v>P2</v>
      </c>
      <c r="H45" s="361" t="s">
        <v>306</v>
      </c>
      <c r="I45" s="361" t="s">
        <v>261</v>
      </c>
      <c r="J45" s="500" t="s">
        <v>278</v>
      </c>
      <c r="K45" s="245">
        <v>1</v>
      </c>
      <c r="L45" s="315">
        <v>1</v>
      </c>
      <c r="M45" s="498" t="s">
        <v>38</v>
      </c>
      <c r="N45" s="506">
        <v>1</v>
      </c>
      <c r="O45" s="315">
        <v>0.4</v>
      </c>
      <c r="P45" s="305">
        <f t="shared" ref="P45" si="100">IF((O45=0),0,(O45/L45))</f>
        <v>0.4</v>
      </c>
      <c r="Q45" s="315" t="s">
        <v>45</v>
      </c>
      <c r="R45" s="315">
        <v>1</v>
      </c>
      <c r="S45" s="306">
        <f t="shared" ref="S45" si="101">SUM(T45:W45)</f>
        <v>1</v>
      </c>
      <c r="T45" s="315">
        <v>1</v>
      </c>
      <c r="U45" s="307"/>
      <c r="V45" s="307"/>
      <c r="W45" s="307"/>
      <c r="X45" s="308">
        <f t="shared" ref="X45" si="102">IF((S45=0),0,((T45+U45)/S45*100%))</f>
        <v>1</v>
      </c>
      <c r="Y45" s="368"/>
      <c r="Z45" s="309">
        <f t="shared" ref="Z45" si="103">SUM(AA45:AD45)</f>
        <v>0</v>
      </c>
      <c r="AA45" s="304"/>
      <c r="AB45" s="304"/>
      <c r="AC45" s="304"/>
      <c r="AD45" s="304"/>
      <c r="AE45" s="310">
        <f t="shared" ref="AE45" si="104">IF((Z45=0),0,((AA45+AB45)/Z45*100%))</f>
        <v>0</v>
      </c>
      <c r="AF45" s="244"/>
      <c r="AG45" s="362" t="str">
        <f>VLOOKUP(A62,'Feature Summary'!$A$7:$U$4024,21,FALSE)</f>
        <v>wk-10</v>
      </c>
      <c r="AH45" s="246"/>
    </row>
    <row r="46" spans="1:34" ht="15" thickBot="1" x14ac:dyDescent="0.4">
      <c r="A46" s="252" t="s">
        <v>262</v>
      </c>
      <c r="B46" s="480" t="str">
        <f>VLOOKUP(A46,'Feature Raw Data'!$A$3:$B$3934,2,FALSE)</f>
        <v>Tick-Counter</v>
      </c>
      <c r="C46" s="317"/>
      <c r="D46" s="315" t="s">
        <v>257</v>
      </c>
      <c r="E46" s="361" t="s">
        <v>275</v>
      </c>
      <c r="F46" s="353" t="s">
        <v>305</v>
      </c>
      <c r="G46" s="385" t="str">
        <f>VLOOKUP(A46,'Feature Summary'!$A$7:$C$4005,3,FALSE)</f>
        <v>P1</v>
      </c>
      <c r="H46" s="361" t="s">
        <v>306</v>
      </c>
      <c r="I46" s="361" t="s">
        <v>261</v>
      </c>
      <c r="J46" s="500" t="s">
        <v>278</v>
      </c>
      <c r="K46" s="245">
        <v>1</v>
      </c>
      <c r="L46" s="315">
        <v>1</v>
      </c>
      <c r="M46" s="498" t="s">
        <v>38</v>
      </c>
      <c r="N46" s="506">
        <v>1</v>
      </c>
      <c r="O46" s="315">
        <v>0.4</v>
      </c>
      <c r="P46" s="305">
        <f t="shared" si="28"/>
        <v>0.4</v>
      </c>
      <c r="Q46" s="315" t="s">
        <v>45</v>
      </c>
      <c r="R46" s="315">
        <v>1</v>
      </c>
      <c r="S46" s="306">
        <f t="shared" si="29"/>
        <v>1</v>
      </c>
      <c r="T46" s="315">
        <v>1</v>
      </c>
      <c r="U46" s="307"/>
      <c r="V46" s="307"/>
      <c r="W46" s="307"/>
      <c r="X46" s="308">
        <f t="shared" si="83"/>
        <v>1</v>
      </c>
      <c r="Y46" s="368"/>
      <c r="Z46" s="309">
        <f t="shared" si="4"/>
        <v>0</v>
      </c>
      <c r="AA46" s="304"/>
      <c r="AB46" s="304"/>
      <c r="AC46" s="304"/>
      <c r="AD46" s="304"/>
      <c r="AE46" s="310">
        <f t="shared" si="84"/>
        <v>0</v>
      </c>
      <c r="AF46" s="244"/>
      <c r="AG46" s="362" t="str">
        <f>VLOOKUP(A64,'Feature Summary'!$A$7:$U$4024,21,FALSE)</f>
        <v>wk-10</v>
      </c>
      <c r="AH46" s="246"/>
    </row>
    <row r="47" spans="1:34" ht="15" thickBot="1" x14ac:dyDescent="0.4">
      <c r="A47" s="252" t="s">
        <v>256</v>
      </c>
      <c r="B47" s="480" t="str">
        <f>VLOOKUP(A47,'Feature Raw Data'!$A$3:$B$3934,2,FALSE)</f>
        <v>DFS-DID Switch for All Slices</v>
      </c>
      <c r="C47" s="317"/>
      <c r="D47" s="315" t="s">
        <v>257</v>
      </c>
      <c r="E47" s="361" t="s">
        <v>275</v>
      </c>
      <c r="F47" s="353" t="s">
        <v>307</v>
      </c>
      <c r="G47" s="385" t="str">
        <f>VLOOKUP(A47,'Feature Summary'!$A$7:$C$4005,3,FALSE)</f>
        <v>P2</v>
      </c>
      <c r="H47" s="361" t="s">
        <v>308</v>
      </c>
      <c r="I47" s="361" t="s">
        <v>261</v>
      </c>
      <c r="J47" s="500" t="s">
        <v>278</v>
      </c>
      <c r="K47" s="245">
        <v>1</v>
      </c>
      <c r="L47" s="315">
        <v>1</v>
      </c>
      <c r="M47" s="498" t="s">
        <v>38</v>
      </c>
      <c r="N47" s="506">
        <v>1</v>
      </c>
      <c r="O47" s="315">
        <v>0.4</v>
      </c>
      <c r="P47" s="305">
        <f t="shared" ref="P47" si="105">IF((O47=0),0,(O47/L47))</f>
        <v>0.4</v>
      </c>
      <c r="Q47" s="315" t="s">
        <v>45</v>
      </c>
      <c r="R47" s="315">
        <v>1</v>
      </c>
      <c r="S47" s="306">
        <f t="shared" ref="S47" si="106">SUM(T47:W47)</f>
        <v>1</v>
      </c>
      <c r="T47" s="315">
        <v>1</v>
      </c>
      <c r="U47" s="307"/>
      <c r="V47" s="307"/>
      <c r="W47" s="307"/>
      <c r="X47" s="308">
        <f t="shared" ref="X47" si="107">IF((S47=0),0,((T47+U47)/S47*100%))</f>
        <v>1</v>
      </c>
      <c r="Y47" s="368"/>
      <c r="Z47" s="309">
        <f t="shared" ref="Z47" si="108">SUM(AA47:AD47)</f>
        <v>0</v>
      </c>
      <c r="AA47" s="304"/>
      <c r="AB47" s="304"/>
      <c r="AC47" s="304"/>
      <c r="AD47" s="304"/>
      <c r="AE47" s="310">
        <f t="shared" ref="AE47" si="109">IF((Z47=0),0,((AA47+AB47)/Z47*100%))</f>
        <v>0</v>
      </c>
      <c r="AF47" s="244"/>
      <c r="AG47" s="362" t="str">
        <f>VLOOKUP(A64,'Feature Summary'!$A$7:$U$4024,21,FALSE)</f>
        <v>wk-10</v>
      </c>
      <c r="AH47" s="246"/>
    </row>
    <row r="48" spans="1:34" ht="15" thickBot="1" x14ac:dyDescent="0.4">
      <c r="A48" s="252" t="s">
        <v>262</v>
      </c>
      <c r="B48" s="480" t="str">
        <f>VLOOKUP(A48,'Feature Raw Data'!$A$3:$B$3934,2,FALSE)</f>
        <v>Tick-Counter</v>
      </c>
      <c r="C48" s="317"/>
      <c r="D48" s="315" t="s">
        <v>257</v>
      </c>
      <c r="E48" s="361" t="s">
        <v>275</v>
      </c>
      <c r="F48" s="353" t="s">
        <v>307</v>
      </c>
      <c r="G48" s="385" t="str">
        <f>VLOOKUP(A48,'Feature Summary'!$A$7:$C$4005,3,FALSE)</f>
        <v>P1</v>
      </c>
      <c r="H48" s="361" t="s">
        <v>308</v>
      </c>
      <c r="I48" s="361" t="s">
        <v>261</v>
      </c>
      <c r="J48" s="500" t="s">
        <v>278</v>
      </c>
      <c r="K48" s="245">
        <v>1</v>
      </c>
      <c r="L48" s="315">
        <v>1</v>
      </c>
      <c r="M48" s="498" t="s">
        <v>38</v>
      </c>
      <c r="N48" s="506">
        <v>1</v>
      </c>
      <c r="O48" s="315">
        <v>0.4</v>
      </c>
      <c r="P48" s="305">
        <f t="shared" si="28"/>
        <v>0.4</v>
      </c>
      <c r="Q48" s="315" t="s">
        <v>45</v>
      </c>
      <c r="R48" s="315">
        <v>1</v>
      </c>
      <c r="S48" s="306">
        <f t="shared" si="29"/>
        <v>1</v>
      </c>
      <c r="T48" s="315">
        <v>1</v>
      </c>
      <c r="U48" s="307"/>
      <c r="V48" s="307"/>
      <c r="W48" s="307"/>
      <c r="X48" s="308">
        <f t="shared" si="83"/>
        <v>1</v>
      </c>
      <c r="Y48" s="368"/>
      <c r="Z48" s="309">
        <f t="shared" si="4"/>
        <v>0</v>
      </c>
      <c r="AA48" s="304"/>
      <c r="AB48" s="304"/>
      <c r="AC48" s="304"/>
      <c r="AD48" s="304"/>
      <c r="AE48" s="310">
        <f t="shared" si="84"/>
        <v>0</v>
      </c>
      <c r="AF48" s="244"/>
      <c r="AG48" s="362" t="str">
        <f>VLOOKUP(A66,'Feature Summary'!$A$7:$U$4024,21,FALSE)</f>
        <v>wk-10</v>
      </c>
      <c r="AH48" s="246"/>
    </row>
    <row r="49" spans="1:34" ht="15" thickBot="1" x14ac:dyDescent="0.4">
      <c r="A49" s="252" t="s">
        <v>256</v>
      </c>
      <c r="B49" s="480" t="str">
        <f>VLOOKUP(A49,'Feature Raw Data'!$A$3:$B$3934,2,FALSE)</f>
        <v>DFS-DID Switch for All Slices</v>
      </c>
      <c r="C49" s="317"/>
      <c r="D49" s="315" t="s">
        <v>257</v>
      </c>
      <c r="E49" s="361" t="s">
        <v>275</v>
      </c>
      <c r="F49" s="353" t="s">
        <v>309</v>
      </c>
      <c r="G49" s="385" t="str">
        <f>VLOOKUP(A49,'Feature Summary'!$A$7:$C$4005,3,FALSE)</f>
        <v>P2</v>
      </c>
      <c r="H49" s="361" t="s">
        <v>310</v>
      </c>
      <c r="I49" s="361" t="s">
        <v>261</v>
      </c>
      <c r="J49" s="500" t="s">
        <v>278</v>
      </c>
      <c r="K49" s="245">
        <v>1</v>
      </c>
      <c r="L49" s="315">
        <v>1</v>
      </c>
      <c r="M49" s="498" t="s">
        <v>38</v>
      </c>
      <c r="N49" s="506">
        <v>1</v>
      </c>
      <c r="O49" s="315">
        <v>0.4</v>
      </c>
      <c r="P49" s="305">
        <f t="shared" ref="P49" si="110">IF((O49=0),0,(O49/L49))</f>
        <v>0.4</v>
      </c>
      <c r="Q49" s="315" t="s">
        <v>45</v>
      </c>
      <c r="R49" s="315">
        <v>1</v>
      </c>
      <c r="S49" s="306">
        <f t="shared" ref="S49" si="111">SUM(T49:W49)</f>
        <v>1</v>
      </c>
      <c r="T49" s="315">
        <v>1</v>
      </c>
      <c r="U49" s="307"/>
      <c r="V49" s="307"/>
      <c r="W49" s="307"/>
      <c r="X49" s="308">
        <f t="shared" ref="X49" si="112">IF((S49=0),0,((T49+U49)/S49*100%))</f>
        <v>1</v>
      </c>
      <c r="Y49" s="368"/>
      <c r="Z49" s="309">
        <f t="shared" ref="Z49" si="113">SUM(AA49:AD49)</f>
        <v>0</v>
      </c>
      <c r="AA49" s="304"/>
      <c r="AB49" s="304"/>
      <c r="AC49" s="304"/>
      <c r="AD49" s="304"/>
      <c r="AE49" s="310">
        <f t="shared" ref="AE49" si="114">IF((Z49=0),0,((AA49+AB49)/Z49*100%))</f>
        <v>0</v>
      </c>
      <c r="AF49" s="244"/>
      <c r="AG49" s="362" t="str">
        <f>VLOOKUP(A66,'Feature Summary'!$A$7:$U$4024,21,FALSE)</f>
        <v>wk-10</v>
      </c>
      <c r="AH49" s="246"/>
    </row>
    <row r="50" spans="1:34" ht="15" thickBot="1" x14ac:dyDescent="0.4">
      <c r="A50" s="252" t="s">
        <v>262</v>
      </c>
      <c r="B50" s="480" t="str">
        <f>VLOOKUP(A50,'Feature Raw Data'!$A$3:$B$3934,2,FALSE)</f>
        <v>Tick-Counter</v>
      </c>
      <c r="C50" s="317"/>
      <c r="D50" s="315" t="s">
        <v>257</v>
      </c>
      <c r="E50" s="361" t="s">
        <v>275</v>
      </c>
      <c r="F50" s="353" t="s">
        <v>309</v>
      </c>
      <c r="G50" s="385" t="str">
        <f>VLOOKUP(A50,'Feature Summary'!$A$7:$C$4005,3,FALSE)</f>
        <v>P1</v>
      </c>
      <c r="H50" s="361" t="s">
        <v>310</v>
      </c>
      <c r="I50" s="361" t="s">
        <v>261</v>
      </c>
      <c r="J50" s="500" t="s">
        <v>278</v>
      </c>
      <c r="K50" s="245">
        <v>1</v>
      </c>
      <c r="L50" s="315">
        <v>1</v>
      </c>
      <c r="M50" s="498" t="s">
        <v>38</v>
      </c>
      <c r="N50" s="506">
        <v>1</v>
      </c>
      <c r="O50" s="315">
        <v>0.4</v>
      </c>
      <c r="P50" s="305">
        <f t="shared" si="28"/>
        <v>0.4</v>
      </c>
      <c r="Q50" s="315" t="s">
        <v>45</v>
      </c>
      <c r="R50" s="315">
        <v>1</v>
      </c>
      <c r="S50" s="306">
        <f t="shared" si="29"/>
        <v>1</v>
      </c>
      <c r="T50" s="315">
        <v>1</v>
      </c>
      <c r="U50" s="307"/>
      <c r="V50" s="307"/>
      <c r="W50" s="307"/>
      <c r="X50" s="308">
        <f t="shared" si="83"/>
        <v>1</v>
      </c>
      <c r="Y50" s="368"/>
      <c r="Z50" s="309">
        <f t="shared" si="4"/>
        <v>0</v>
      </c>
      <c r="AA50" s="304"/>
      <c r="AB50" s="304"/>
      <c r="AC50" s="304"/>
      <c r="AD50" s="304"/>
      <c r="AE50" s="310">
        <f t="shared" si="84"/>
        <v>0</v>
      </c>
      <c r="AF50" s="244"/>
      <c r="AG50" s="362" t="e">
        <f>VLOOKUP(#REF!,'Feature Summary'!$A$7:$U$4024,21,FALSE)</f>
        <v>#REF!</v>
      </c>
      <c r="AH50" s="246"/>
    </row>
    <row r="51" spans="1:34" ht="15" thickBot="1" x14ac:dyDescent="0.4">
      <c r="A51" s="252" t="s">
        <v>256</v>
      </c>
      <c r="B51" s="480" t="str">
        <f>VLOOKUP(A51,'Feature Raw Data'!$A$3:$B$3934,2,FALSE)</f>
        <v>DFS-DID Switch for All Slices</v>
      </c>
      <c r="C51" s="317"/>
      <c r="D51" s="315" t="s">
        <v>257</v>
      </c>
      <c r="E51" s="361" t="s">
        <v>275</v>
      </c>
      <c r="F51" s="353" t="s">
        <v>291</v>
      </c>
      <c r="G51" s="385" t="str">
        <f>VLOOKUP(A51,'Feature Summary'!$A$7:$C$4005,3,FALSE)</f>
        <v>P2</v>
      </c>
      <c r="H51" s="361" t="s">
        <v>311</v>
      </c>
      <c r="I51" s="361" t="s">
        <v>261</v>
      </c>
      <c r="J51" s="500" t="s">
        <v>278</v>
      </c>
      <c r="K51" s="245">
        <v>1</v>
      </c>
      <c r="L51" s="315">
        <v>1</v>
      </c>
      <c r="M51" s="498" t="s">
        <v>38</v>
      </c>
      <c r="N51" s="506">
        <v>1</v>
      </c>
      <c r="O51" s="315">
        <v>0.4</v>
      </c>
      <c r="P51" s="305">
        <f t="shared" ref="P51" si="115">IF((O51=0),0,(O51/L51))</f>
        <v>0.4</v>
      </c>
      <c r="Q51" s="315" t="s">
        <v>45</v>
      </c>
      <c r="R51" s="315">
        <v>1</v>
      </c>
      <c r="S51" s="306">
        <f t="shared" ref="S51" si="116">SUM(T51:W51)</f>
        <v>1</v>
      </c>
      <c r="T51" s="315">
        <v>1</v>
      </c>
      <c r="U51" s="307"/>
      <c r="V51" s="307"/>
      <c r="W51" s="307"/>
      <c r="X51" s="308">
        <f t="shared" si="83"/>
        <v>1</v>
      </c>
      <c r="Y51" s="368"/>
      <c r="Z51" s="309">
        <f t="shared" ref="Z51" si="117">SUM(AA51:AD51)</f>
        <v>0</v>
      </c>
      <c r="AA51" s="304"/>
      <c r="AB51" s="304"/>
      <c r="AC51" s="304"/>
      <c r="AD51" s="304"/>
      <c r="AE51" s="310">
        <f t="shared" si="84"/>
        <v>0</v>
      </c>
      <c r="AF51" s="244"/>
      <c r="AG51" s="362" t="e">
        <f>VLOOKUP(#REF!,'Feature Summary'!$A$7:$U$4024,21,FALSE)</f>
        <v>#REF!</v>
      </c>
      <c r="AH51" s="246"/>
    </row>
    <row r="52" spans="1:34" ht="15" thickBot="1" x14ac:dyDescent="0.4">
      <c r="A52" s="252" t="s">
        <v>262</v>
      </c>
      <c r="B52" s="480" t="str">
        <f>VLOOKUP(A52,'Feature Raw Data'!$A$3:$B$3934,2,FALSE)</f>
        <v>Tick-Counter</v>
      </c>
      <c r="C52" s="317"/>
      <c r="D52" s="315" t="s">
        <v>257</v>
      </c>
      <c r="E52" s="361" t="s">
        <v>275</v>
      </c>
      <c r="F52" s="353" t="s">
        <v>291</v>
      </c>
      <c r="G52" s="385" t="str">
        <f>VLOOKUP(A52,'Feature Summary'!$A$7:$C$4005,3,FALSE)</f>
        <v>P1</v>
      </c>
      <c r="H52" s="361" t="s">
        <v>311</v>
      </c>
      <c r="I52" s="361" t="s">
        <v>261</v>
      </c>
      <c r="J52" s="500" t="s">
        <v>278</v>
      </c>
      <c r="K52" s="245">
        <v>1</v>
      </c>
      <c r="L52" s="315">
        <v>1</v>
      </c>
      <c r="M52" s="498" t="s">
        <v>38</v>
      </c>
      <c r="N52" s="506">
        <v>1</v>
      </c>
      <c r="O52" s="315">
        <v>0.4</v>
      </c>
      <c r="P52" s="305">
        <f t="shared" si="28"/>
        <v>0.4</v>
      </c>
      <c r="Q52" s="315" t="s">
        <v>45</v>
      </c>
      <c r="R52" s="315">
        <v>1</v>
      </c>
      <c r="S52" s="306">
        <f t="shared" si="29"/>
        <v>1</v>
      </c>
      <c r="T52" s="315">
        <v>1</v>
      </c>
      <c r="U52" s="307"/>
      <c r="V52" s="307"/>
      <c r="W52" s="307"/>
      <c r="X52" s="308">
        <f t="shared" ref="X52:X59" si="118">IF((S52=0),0,((T52+U52)/S52*100%))</f>
        <v>1</v>
      </c>
      <c r="Y52" s="368"/>
      <c r="Z52" s="309">
        <f t="shared" si="4"/>
        <v>0</v>
      </c>
      <c r="AA52" s="304"/>
      <c r="AB52" s="304"/>
      <c r="AC52" s="304"/>
      <c r="AD52" s="304"/>
      <c r="AE52" s="310">
        <f t="shared" ref="AE52:AE59" si="119">IF((Z52=0),0,((AA52+AB52)/Z52*100%))</f>
        <v>0</v>
      </c>
      <c r="AF52" s="244"/>
      <c r="AG52" s="362" t="e">
        <f>VLOOKUP(#REF!,'Feature Summary'!$A$7:$U$4024,21,FALSE)</f>
        <v>#REF!</v>
      </c>
      <c r="AH52" s="246"/>
    </row>
    <row r="53" spans="1:34" ht="15" thickBot="1" x14ac:dyDescent="0.4">
      <c r="A53" s="252" t="s">
        <v>256</v>
      </c>
      <c r="B53" s="480" t="str">
        <f>VLOOKUP(A53,'Feature Raw Data'!$A$3:$B$3934,2,FALSE)</f>
        <v>DFS-DID Switch for All Slices</v>
      </c>
      <c r="C53" s="317"/>
      <c r="D53" s="315" t="s">
        <v>257</v>
      </c>
      <c r="E53" s="361" t="s">
        <v>275</v>
      </c>
      <c r="F53" s="353" t="s">
        <v>293</v>
      </c>
      <c r="G53" s="385" t="str">
        <f>VLOOKUP(A53,'Feature Summary'!$A$7:$C$4005,3,FALSE)</f>
        <v>P2</v>
      </c>
      <c r="H53" s="361" t="s">
        <v>312</v>
      </c>
      <c r="I53" s="361" t="s">
        <v>261</v>
      </c>
      <c r="J53" s="500" t="s">
        <v>278</v>
      </c>
      <c r="K53" s="245">
        <v>1</v>
      </c>
      <c r="L53" s="315">
        <v>1</v>
      </c>
      <c r="M53" s="498" t="s">
        <v>38</v>
      </c>
      <c r="N53" s="506">
        <v>1</v>
      </c>
      <c r="O53" s="315">
        <v>0.4</v>
      </c>
      <c r="P53" s="305">
        <f t="shared" ref="P53" si="120">IF((O53=0),0,(O53/L53))</f>
        <v>0.4</v>
      </c>
      <c r="Q53" s="315" t="s">
        <v>45</v>
      </c>
      <c r="R53" s="315">
        <v>1</v>
      </c>
      <c r="S53" s="306">
        <f t="shared" ref="S53" si="121">SUM(T53:W53)</f>
        <v>1</v>
      </c>
      <c r="T53" s="315">
        <v>1</v>
      </c>
      <c r="U53" s="307"/>
      <c r="V53" s="307"/>
      <c r="W53" s="307"/>
      <c r="X53" s="308">
        <f t="shared" ref="X53" si="122">IF((S53=0),0,((T53+U53)/S53*100%))</f>
        <v>1</v>
      </c>
      <c r="Y53" s="368"/>
      <c r="Z53" s="309">
        <f t="shared" ref="Z53" si="123">SUM(AA53:AD53)</f>
        <v>0</v>
      </c>
      <c r="AA53" s="304"/>
      <c r="AB53" s="304"/>
      <c r="AC53" s="304"/>
      <c r="AD53" s="304"/>
      <c r="AE53" s="310">
        <f t="shared" ref="AE53" si="124">IF((Z53=0),0,((AA53+AB53)/Z53*100%))</f>
        <v>0</v>
      </c>
      <c r="AF53" s="244"/>
      <c r="AG53" s="362" t="e">
        <f>VLOOKUP(#REF!,'Feature Summary'!$A$7:$U$4024,21,FALSE)</f>
        <v>#REF!</v>
      </c>
      <c r="AH53" s="246"/>
    </row>
    <row r="54" spans="1:34" ht="15" thickBot="1" x14ac:dyDescent="0.4">
      <c r="A54" s="252" t="s">
        <v>262</v>
      </c>
      <c r="B54" s="480" t="str">
        <f>VLOOKUP(A54,'Feature Raw Data'!$A$3:$B$3934,2,FALSE)</f>
        <v>Tick-Counter</v>
      </c>
      <c r="C54" s="317"/>
      <c r="D54" s="315" t="s">
        <v>257</v>
      </c>
      <c r="E54" s="361" t="s">
        <v>275</v>
      </c>
      <c r="F54" s="353" t="s">
        <v>293</v>
      </c>
      <c r="G54" s="385" t="str">
        <f>VLOOKUP(A54,'Feature Summary'!$A$7:$C$4005,3,FALSE)</f>
        <v>P1</v>
      </c>
      <c r="H54" s="361" t="s">
        <v>312</v>
      </c>
      <c r="I54" s="361" t="s">
        <v>261</v>
      </c>
      <c r="J54" s="500" t="s">
        <v>278</v>
      </c>
      <c r="K54" s="245">
        <v>1</v>
      </c>
      <c r="L54" s="315">
        <v>1</v>
      </c>
      <c r="M54" s="498" t="s">
        <v>38</v>
      </c>
      <c r="N54" s="506">
        <v>1</v>
      </c>
      <c r="O54" s="315">
        <v>0.4</v>
      </c>
      <c r="P54" s="305">
        <f t="shared" si="28"/>
        <v>0.4</v>
      </c>
      <c r="Q54" s="315" t="s">
        <v>45</v>
      </c>
      <c r="R54" s="315">
        <v>1</v>
      </c>
      <c r="S54" s="306">
        <f t="shared" si="29"/>
        <v>1</v>
      </c>
      <c r="T54" s="315">
        <v>1</v>
      </c>
      <c r="U54" s="307"/>
      <c r="V54" s="307"/>
      <c r="W54" s="307"/>
      <c r="X54" s="308">
        <f t="shared" si="118"/>
        <v>1</v>
      </c>
      <c r="Y54" s="368"/>
      <c r="Z54" s="309">
        <f t="shared" si="4"/>
        <v>0</v>
      </c>
      <c r="AA54" s="304"/>
      <c r="AB54" s="304"/>
      <c r="AC54" s="304"/>
      <c r="AD54" s="304"/>
      <c r="AE54" s="310">
        <f t="shared" si="119"/>
        <v>0</v>
      </c>
      <c r="AF54" s="244"/>
      <c r="AG54" s="362" t="e">
        <f>VLOOKUP(#REF!,'Feature Summary'!$A$7:$U$4024,21,FALSE)</f>
        <v>#REF!</v>
      </c>
      <c r="AH54" s="246"/>
    </row>
    <row r="55" spans="1:34" ht="15" thickBot="1" x14ac:dyDescent="0.4">
      <c r="A55" s="252" t="s">
        <v>256</v>
      </c>
      <c r="B55" s="480" t="str">
        <f>VLOOKUP(A55,'Feature Raw Data'!$A$3:$B$3934,2,FALSE)</f>
        <v>DFS-DID Switch for All Slices</v>
      </c>
      <c r="C55" s="317"/>
      <c r="D55" s="315" t="s">
        <v>257</v>
      </c>
      <c r="E55" s="361" t="s">
        <v>275</v>
      </c>
      <c r="F55" s="353" t="s">
        <v>295</v>
      </c>
      <c r="G55" s="385" t="str">
        <f>VLOOKUP(A55,'Feature Summary'!$A$7:$C$4005,3,FALSE)</f>
        <v>P2</v>
      </c>
      <c r="H55" s="361" t="s">
        <v>313</v>
      </c>
      <c r="I55" s="361" t="s">
        <v>261</v>
      </c>
      <c r="J55" s="500" t="s">
        <v>278</v>
      </c>
      <c r="K55" s="245">
        <v>1</v>
      </c>
      <c r="L55" s="315">
        <v>1</v>
      </c>
      <c r="M55" s="498" t="s">
        <v>38</v>
      </c>
      <c r="N55" s="506">
        <v>1</v>
      </c>
      <c r="O55" s="315">
        <v>0.4</v>
      </c>
      <c r="P55" s="305">
        <f t="shared" ref="P55" si="125">IF((O55=0),0,(O55/L55))</f>
        <v>0.4</v>
      </c>
      <c r="Q55" s="315" t="s">
        <v>45</v>
      </c>
      <c r="R55" s="315">
        <v>1</v>
      </c>
      <c r="S55" s="306">
        <f t="shared" ref="S55" si="126">SUM(T55:W55)</f>
        <v>1</v>
      </c>
      <c r="T55" s="315">
        <v>1</v>
      </c>
      <c r="U55" s="307"/>
      <c r="V55" s="307"/>
      <c r="W55" s="307"/>
      <c r="X55" s="308">
        <f t="shared" ref="X55" si="127">IF((S55=0),0,((T55+U55)/S55*100%))</f>
        <v>1</v>
      </c>
      <c r="Y55" s="368"/>
      <c r="Z55" s="309">
        <f t="shared" ref="Z55" si="128">SUM(AA55:AD55)</f>
        <v>0</v>
      </c>
      <c r="AA55" s="304"/>
      <c r="AB55" s="304"/>
      <c r="AC55" s="304"/>
      <c r="AD55" s="304"/>
      <c r="AE55" s="310">
        <f t="shared" ref="AE55" si="129">IF((Z55=0),0,((AA55+AB55)/Z55*100%))</f>
        <v>0</v>
      </c>
      <c r="AF55" s="244"/>
      <c r="AG55" s="362" t="e">
        <f>VLOOKUP(#REF!,'Feature Summary'!$A$7:$U$4024,21,FALSE)</f>
        <v>#REF!</v>
      </c>
      <c r="AH55" s="246"/>
    </row>
    <row r="56" spans="1:34" ht="15" thickBot="1" x14ac:dyDescent="0.4">
      <c r="A56" s="252" t="s">
        <v>262</v>
      </c>
      <c r="B56" s="480" t="str">
        <f>VLOOKUP(A56,'Feature Raw Data'!$A$3:$B$3934,2,FALSE)</f>
        <v>Tick-Counter</v>
      </c>
      <c r="C56" s="317"/>
      <c r="D56" s="315" t="s">
        <v>257</v>
      </c>
      <c r="E56" s="361" t="s">
        <v>275</v>
      </c>
      <c r="F56" s="353" t="s">
        <v>295</v>
      </c>
      <c r="G56" s="385" t="str">
        <f>VLOOKUP(A56,'Feature Summary'!$A$7:$C$4005,3,FALSE)</f>
        <v>P1</v>
      </c>
      <c r="H56" s="361" t="s">
        <v>313</v>
      </c>
      <c r="I56" s="361" t="s">
        <v>261</v>
      </c>
      <c r="J56" s="500" t="s">
        <v>278</v>
      </c>
      <c r="K56" s="245">
        <v>1</v>
      </c>
      <c r="L56" s="315">
        <v>1</v>
      </c>
      <c r="M56" s="498" t="s">
        <v>38</v>
      </c>
      <c r="N56" s="506">
        <v>1</v>
      </c>
      <c r="O56" s="315">
        <v>0.4</v>
      </c>
      <c r="P56" s="305">
        <f t="shared" si="28"/>
        <v>0.4</v>
      </c>
      <c r="Q56" s="315" t="s">
        <v>45</v>
      </c>
      <c r="R56" s="315">
        <v>1</v>
      </c>
      <c r="S56" s="306">
        <f t="shared" si="29"/>
        <v>1</v>
      </c>
      <c r="T56" s="315">
        <v>1</v>
      </c>
      <c r="U56" s="307"/>
      <c r="V56" s="307"/>
      <c r="W56" s="307"/>
      <c r="X56" s="308">
        <f t="shared" si="118"/>
        <v>1</v>
      </c>
      <c r="Y56" s="368"/>
      <c r="Z56" s="309">
        <f t="shared" si="4"/>
        <v>0</v>
      </c>
      <c r="AA56" s="304"/>
      <c r="AB56" s="304"/>
      <c r="AC56" s="304"/>
      <c r="AD56" s="304"/>
      <c r="AE56" s="310">
        <f t="shared" si="119"/>
        <v>0</v>
      </c>
      <c r="AF56" s="244"/>
      <c r="AG56" s="362" t="e">
        <f>VLOOKUP(#REF!,'Feature Summary'!$A$7:$U$4024,21,FALSE)</f>
        <v>#REF!</v>
      </c>
      <c r="AH56" s="246"/>
    </row>
    <row r="57" spans="1:34" ht="15" thickBot="1" x14ac:dyDescent="0.4">
      <c r="A57" s="252" t="s">
        <v>256</v>
      </c>
      <c r="B57" s="480" t="str">
        <f>VLOOKUP(A57,'Feature Raw Data'!$A$3:$B$3934,2,FALSE)</f>
        <v>DFS-DID Switch for All Slices</v>
      </c>
      <c r="C57" s="317"/>
      <c r="D57" s="315" t="s">
        <v>257</v>
      </c>
      <c r="E57" s="361" t="s">
        <v>275</v>
      </c>
      <c r="F57" s="353" t="s">
        <v>314</v>
      </c>
      <c r="G57" s="385" t="str">
        <f>VLOOKUP(A57,'Feature Summary'!$A$7:$C$4005,3,FALSE)</f>
        <v>P2</v>
      </c>
      <c r="H57" s="361" t="s">
        <v>315</v>
      </c>
      <c r="I57" s="361" t="s">
        <v>261</v>
      </c>
      <c r="J57" s="500" t="s">
        <v>278</v>
      </c>
      <c r="K57" s="245">
        <v>1</v>
      </c>
      <c r="L57" s="315">
        <v>1</v>
      </c>
      <c r="M57" s="498" t="s">
        <v>38</v>
      </c>
      <c r="N57" s="506">
        <v>1</v>
      </c>
      <c r="O57" s="315">
        <v>0.4</v>
      </c>
      <c r="P57" s="305">
        <f t="shared" ref="P57" si="130">IF((O57=0),0,(O57/L57))</f>
        <v>0.4</v>
      </c>
      <c r="Q57" s="315" t="s">
        <v>45</v>
      </c>
      <c r="R57" s="315">
        <v>1</v>
      </c>
      <c r="S57" s="306">
        <f t="shared" ref="S57" si="131">SUM(T57:W57)</f>
        <v>1</v>
      </c>
      <c r="T57" s="315">
        <v>1</v>
      </c>
      <c r="U57" s="307"/>
      <c r="V57" s="307"/>
      <c r="W57" s="307"/>
      <c r="X57" s="308">
        <f t="shared" ref="X57" si="132">IF((S57=0),0,((T57+U57)/S57*100%))</f>
        <v>1</v>
      </c>
      <c r="Y57" s="368"/>
      <c r="Z57" s="309">
        <f t="shared" ref="Z57" si="133">SUM(AA57:AD57)</f>
        <v>0</v>
      </c>
      <c r="AA57" s="304"/>
      <c r="AB57" s="304"/>
      <c r="AC57" s="304"/>
      <c r="AD57" s="304"/>
      <c r="AE57" s="310">
        <f t="shared" ref="AE57" si="134">IF((Z57=0),0,((AA57+AB57)/Z57*100%))</f>
        <v>0</v>
      </c>
      <c r="AF57" s="244"/>
      <c r="AG57" s="362" t="e">
        <f>VLOOKUP(#REF!,'Feature Summary'!$A$7:$U$4024,21,FALSE)</f>
        <v>#REF!</v>
      </c>
      <c r="AH57" s="246"/>
    </row>
    <row r="58" spans="1:34" ht="15" thickBot="1" x14ac:dyDescent="0.4">
      <c r="A58" s="252" t="s">
        <v>262</v>
      </c>
      <c r="B58" s="480" t="str">
        <f>VLOOKUP(A58,'Feature Raw Data'!$A$3:$B$3934,2,FALSE)</f>
        <v>Tick-Counter</v>
      </c>
      <c r="C58" s="317"/>
      <c r="D58" s="315" t="s">
        <v>257</v>
      </c>
      <c r="E58" s="361" t="s">
        <v>275</v>
      </c>
      <c r="F58" s="353" t="s">
        <v>314</v>
      </c>
      <c r="G58" s="385" t="str">
        <f>VLOOKUP(A58,'Feature Summary'!$A$7:$C$4005,3,FALSE)</f>
        <v>P1</v>
      </c>
      <c r="H58" s="361" t="s">
        <v>315</v>
      </c>
      <c r="I58" s="361" t="s">
        <v>261</v>
      </c>
      <c r="J58" s="500" t="s">
        <v>278</v>
      </c>
      <c r="K58" s="245">
        <v>1</v>
      </c>
      <c r="L58" s="315">
        <v>1</v>
      </c>
      <c r="M58" s="498" t="s">
        <v>38</v>
      </c>
      <c r="N58" s="506">
        <v>1</v>
      </c>
      <c r="O58" s="315">
        <v>0.4</v>
      </c>
      <c r="P58" s="305">
        <f t="shared" si="28"/>
        <v>0.4</v>
      </c>
      <c r="Q58" s="315" t="s">
        <v>45</v>
      </c>
      <c r="R58" s="315">
        <v>1</v>
      </c>
      <c r="S58" s="306">
        <f t="shared" si="29"/>
        <v>1</v>
      </c>
      <c r="T58" s="315">
        <v>1</v>
      </c>
      <c r="U58" s="307"/>
      <c r="V58" s="307"/>
      <c r="W58" s="307"/>
      <c r="X58" s="308">
        <f t="shared" si="118"/>
        <v>1</v>
      </c>
      <c r="Y58" s="368"/>
      <c r="Z58" s="309">
        <f t="shared" si="4"/>
        <v>0</v>
      </c>
      <c r="AA58" s="304"/>
      <c r="AB58" s="304"/>
      <c r="AC58" s="304"/>
      <c r="AD58" s="304"/>
      <c r="AE58" s="310">
        <f t="shared" si="119"/>
        <v>0</v>
      </c>
      <c r="AF58" s="244"/>
      <c r="AG58" s="362" t="e">
        <f>VLOOKUP(#REF!,'Feature Summary'!$A$7:$U$4024,21,FALSE)</f>
        <v>#REF!</v>
      </c>
      <c r="AH58" s="246"/>
    </row>
    <row r="59" spans="1:34" ht="15" thickBot="1" x14ac:dyDescent="0.4">
      <c r="A59" s="252" t="s">
        <v>256</v>
      </c>
      <c r="B59" s="480" t="str">
        <f>VLOOKUP(A59,'Feature Raw Data'!$A$3:$B$3934,2,FALSE)</f>
        <v>DFS-DID Switch for All Slices</v>
      </c>
      <c r="C59" s="317"/>
      <c r="D59" s="315" t="s">
        <v>257</v>
      </c>
      <c r="E59" s="361" t="s">
        <v>275</v>
      </c>
      <c r="F59" s="353" t="s">
        <v>316</v>
      </c>
      <c r="G59" s="385" t="str">
        <f>VLOOKUP(A59,'Feature Summary'!$A$7:$C$4005,3,FALSE)</f>
        <v>P2</v>
      </c>
      <c r="H59" s="361" t="s">
        <v>317</v>
      </c>
      <c r="I59" s="361" t="s">
        <v>261</v>
      </c>
      <c r="J59" s="500" t="s">
        <v>278</v>
      </c>
      <c r="K59" s="245">
        <v>1</v>
      </c>
      <c r="L59" s="315">
        <v>1</v>
      </c>
      <c r="M59" s="498" t="s">
        <v>38</v>
      </c>
      <c r="N59" s="506">
        <v>1</v>
      </c>
      <c r="O59" s="315">
        <v>0.4</v>
      </c>
      <c r="P59" s="305">
        <f t="shared" ref="P59" si="135">IF((O59=0),0,(O59/L59))</f>
        <v>0.4</v>
      </c>
      <c r="Q59" s="315" t="s">
        <v>45</v>
      </c>
      <c r="R59" s="315">
        <v>1</v>
      </c>
      <c r="S59" s="306">
        <f t="shared" ref="S59" si="136">SUM(T59:W59)</f>
        <v>1</v>
      </c>
      <c r="T59" s="315">
        <v>1</v>
      </c>
      <c r="U59" s="307"/>
      <c r="V59" s="307"/>
      <c r="W59" s="307"/>
      <c r="X59" s="308">
        <f t="shared" si="118"/>
        <v>1</v>
      </c>
      <c r="Y59" s="368"/>
      <c r="Z59" s="309">
        <f t="shared" ref="Z59" si="137">SUM(AA59:AD59)</f>
        <v>0</v>
      </c>
      <c r="AA59" s="304"/>
      <c r="AB59" s="304"/>
      <c r="AC59" s="304"/>
      <c r="AD59" s="304"/>
      <c r="AE59" s="310">
        <f t="shared" si="119"/>
        <v>0</v>
      </c>
      <c r="AF59" s="244"/>
      <c r="AG59" s="362" t="e">
        <f>VLOOKUP(#REF!,'Feature Summary'!$A$7:$U$4024,21,FALSE)</f>
        <v>#REF!</v>
      </c>
      <c r="AH59" s="246"/>
    </row>
    <row r="60" spans="1:34" ht="15" thickBot="1" x14ac:dyDescent="0.4">
      <c r="A60" s="252" t="s">
        <v>262</v>
      </c>
      <c r="B60" s="480" t="str">
        <f>VLOOKUP(A60,'Feature Raw Data'!$A$3:$B$3934,2,FALSE)</f>
        <v>Tick-Counter</v>
      </c>
      <c r="C60" s="317"/>
      <c r="D60" s="315" t="s">
        <v>257</v>
      </c>
      <c r="E60" s="361" t="s">
        <v>275</v>
      </c>
      <c r="F60" s="353" t="s">
        <v>316</v>
      </c>
      <c r="G60" s="385" t="str">
        <f>VLOOKUP(A60,'Feature Summary'!$A$7:$C$4005,3,FALSE)</f>
        <v>P1</v>
      </c>
      <c r="H60" s="361" t="s">
        <v>317</v>
      </c>
      <c r="I60" s="361" t="s">
        <v>261</v>
      </c>
      <c r="J60" s="500" t="s">
        <v>278</v>
      </c>
      <c r="K60" s="245">
        <v>1</v>
      </c>
      <c r="L60" s="315">
        <v>1</v>
      </c>
      <c r="M60" s="498" t="s">
        <v>38</v>
      </c>
      <c r="N60" s="506">
        <v>1</v>
      </c>
      <c r="O60" s="315">
        <v>0.4</v>
      </c>
      <c r="P60" s="305">
        <f t="shared" si="28"/>
        <v>0.4</v>
      </c>
      <c r="Q60" s="315" t="s">
        <v>45</v>
      </c>
      <c r="R60" s="315">
        <v>1</v>
      </c>
      <c r="S60" s="306">
        <f t="shared" si="29"/>
        <v>0</v>
      </c>
      <c r="T60" s="315"/>
      <c r="U60" s="307"/>
      <c r="V60" s="307"/>
      <c r="W60" s="307"/>
      <c r="X60" s="308">
        <f t="shared" ref="X60:X66" si="138">IF((S60=0),0,((T60+U60)/S60*100%))</f>
        <v>0</v>
      </c>
      <c r="Y60" s="368"/>
      <c r="Z60" s="309">
        <f t="shared" si="4"/>
        <v>0</v>
      </c>
      <c r="AA60" s="304"/>
      <c r="AB60" s="304"/>
      <c r="AC60" s="304"/>
      <c r="AD60" s="304"/>
      <c r="AE60" s="310">
        <f t="shared" ref="AE60:AE66" si="139">IF((Z60=0),0,((AA60+AB60)/Z60*100%))</f>
        <v>0</v>
      </c>
      <c r="AF60" s="244"/>
      <c r="AG60" s="362" t="e">
        <f>VLOOKUP(#REF!,'Feature Summary'!$A$7:$U$4024,21,FALSE)</f>
        <v>#REF!</v>
      </c>
      <c r="AH60" s="246"/>
    </row>
    <row r="61" spans="1:34" ht="15" thickBot="1" x14ac:dyDescent="0.4">
      <c r="A61" s="252" t="s">
        <v>256</v>
      </c>
      <c r="B61" s="480" t="str">
        <f>VLOOKUP(A61,'Feature Raw Data'!$A$3:$B$3934,2,FALSE)</f>
        <v>DFS-DID Switch for All Slices</v>
      </c>
      <c r="C61" s="317"/>
      <c r="D61" s="315" t="s">
        <v>257</v>
      </c>
      <c r="E61" s="361" t="s">
        <v>275</v>
      </c>
      <c r="F61" s="353" t="s">
        <v>318</v>
      </c>
      <c r="G61" s="385" t="str">
        <f>VLOOKUP(A61,'Feature Summary'!$A$7:$C$4005,3,FALSE)</f>
        <v>P2</v>
      </c>
      <c r="H61" s="361" t="s">
        <v>319</v>
      </c>
      <c r="I61" s="361" t="s">
        <v>261</v>
      </c>
      <c r="J61" s="500" t="s">
        <v>278</v>
      </c>
      <c r="K61" s="245">
        <v>1</v>
      </c>
      <c r="L61" s="315">
        <v>1</v>
      </c>
      <c r="M61" s="498" t="s">
        <v>38</v>
      </c>
      <c r="N61" s="506">
        <v>1</v>
      </c>
      <c r="O61" s="315">
        <v>0.4</v>
      </c>
      <c r="P61" s="305">
        <f t="shared" ref="P61" si="140">IF((O61=0),0,(O61/L61))</f>
        <v>0.4</v>
      </c>
      <c r="Q61" s="315" t="s">
        <v>45</v>
      </c>
      <c r="R61" s="315">
        <v>1</v>
      </c>
      <c r="S61" s="306">
        <f t="shared" ref="S61" si="141">SUM(T61:W61)</f>
        <v>0</v>
      </c>
      <c r="T61" s="315"/>
      <c r="U61" s="307"/>
      <c r="V61" s="307"/>
      <c r="W61" s="307"/>
      <c r="X61" s="308">
        <f t="shared" ref="X61" si="142">IF((S61=0),0,((T61+U61)/S61*100%))</f>
        <v>0</v>
      </c>
      <c r="Y61" s="368"/>
      <c r="Z61" s="309">
        <f t="shared" ref="Z61" si="143">SUM(AA61:AD61)</f>
        <v>0</v>
      </c>
      <c r="AA61" s="304"/>
      <c r="AB61" s="304"/>
      <c r="AC61" s="304"/>
      <c r="AD61" s="304"/>
      <c r="AE61" s="310">
        <f t="shared" ref="AE61" si="144">IF((Z61=0),0,((AA61+AB61)/Z61*100%))</f>
        <v>0</v>
      </c>
      <c r="AF61" s="244"/>
      <c r="AG61" s="362" t="e">
        <f>VLOOKUP(#REF!,'Feature Summary'!$A$7:$U$4024,21,FALSE)</f>
        <v>#REF!</v>
      </c>
      <c r="AH61" s="246"/>
    </row>
    <row r="62" spans="1:34" ht="15" thickBot="1" x14ac:dyDescent="0.4">
      <c r="A62" s="252" t="s">
        <v>262</v>
      </c>
      <c r="B62" s="480" t="str">
        <f>VLOOKUP(A62,'Feature Raw Data'!$A$3:$B$3934,2,FALSE)</f>
        <v>Tick-Counter</v>
      </c>
      <c r="C62" s="317"/>
      <c r="D62" s="315" t="s">
        <v>257</v>
      </c>
      <c r="E62" s="361" t="s">
        <v>275</v>
      </c>
      <c r="F62" s="353" t="s">
        <v>318</v>
      </c>
      <c r="G62" s="385" t="str">
        <f>VLOOKUP(A62,'Feature Summary'!$A$7:$C$4005,3,FALSE)</f>
        <v>P1</v>
      </c>
      <c r="H62" s="361" t="s">
        <v>319</v>
      </c>
      <c r="I62" s="361" t="s">
        <v>261</v>
      </c>
      <c r="J62" s="500" t="s">
        <v>278</v>
      </c>
      <c r="K62" s="245">
        <v>1</v>
      </c>
      <c r="L62" s="315">
        <v>1</v>
      </c>
      <c r="M62" s="498" t="s">
        <v>38</v>
      </c>
      <c r="N62" s="506">
        <v>1</v>
      </c>
      <c r="O62" s="315">
        <v>0.4</v>
      </c>
      <c r="P62" s="305">
        <f t="shared" si="28"/>
        <v>0.4</v>
      </c>
      <c r="Q62" s="315" t="s">
        <v>45</v>
      </c>
      <c r="R62" s="315">
        <v>1</v>
      </c>
      <c r="S62" s="306">
        <f t="shared" si="29"/>
        <v>0</v>
      </c>
      <c r="T62" s="315"/>
      <c r="U62" s="307"/>
      <c r="V62" s="307"/>
      <c r="W62" s="307"/>
      <c r="X62" s="308">
        <f t="shared" si="138"/>
        <v>0</v>
      </c>
      <c r="Y62" s="368"/>
      <c r="Z62" s="309">
        <f t="shared" si="4"/>
        <v>0</v>
      </c>
      <c r="AA62" s="304"/>
      <c r="AB62" s="304"/>
      <c r="AC62" s="304"/>
      <c r="AD62" s="304"/>
      <c r="AE62" s="310">
        <f t="shared" si="139"/>
        <v>0</v>
      </c>
      <c r="AF62" s="244"/>
      <c r="AG62" s="362" t="e">
        <f>VLOOKUP(#REF!,'Feature Summary'!$A$7:$U$4024,21,FALSE)</f>
        <v>#REF!</v>
      </c>
      <c r="AH62" s="246"/>
    </row>
    <row r="63" spans="1:34" ht="15" thickBot="1" x14ac:dyDescent="0.4">
      <c r="A63" s="252" t="s">
        <v>256</v>
      </c>
      <c r="B63" s="480" t="str">
        <f>VLOOKUP(A63,'Feature Raw Data'!$A$3:$B$3934,2,FALSE)</f>
        <v>DFS-DID Switch for All Slices</v>
      </c>
      <c r="C63" s="317"/>
      <c r="D63" s="315" t="s">
        <v>257</v>
      </c>
      <c r="E63" s="361" t="s">
        <v>275</v>
      </c>
      <c r="F63" s="353" t="s">
        <v>320</v>
      </c>
      <c r="G63" s="385" t="str">
        <f>VLOOKUP(A63,'Feature Summary'!$A$7:$C$4005,3,FALSE)</f>
        <v>P2</v>
      </c>
      <c r="H63" s="361" t="s">
        <v>321</v>
      </c>
      <c r="I63" s="361" t="s">
        <v>261</v>
      </c>
      <c r="J63" s="500" t="s">
        <v>278</v>
      </c>
      <c r="K63" s="245">
        <v>1</v>
      </c>
      <c r="L63" s="315">
        <v>1</v>
      </c>
      <c r="M63" s="498" t="s">
        <v>38</v>
      </c>
      <c r="N63" s="506">
        <v>1</v>
      </c>
      <c r="O63" s="315">
        <v>0.4</v>
      </c>
      <c r="P63" s="305">
        <f t="shared" ref="P63" si="145">IF((O63=0),0,(O63/L63))</f>
        <v>0.4</v>
      </c>
      <c r="Q63" s="315" t="s">
        <v>45</v>
      </c>
      <c r="R63" s="315">
        <v>1</v>
      </c>
      <c r="S63" s="306">
        <f t="shared" ref="S63" si="146">SUM(T63:W63)</f>
        <v>0</v>
      </c>
      <c r="T63" s="315"/>
      <c r="U63" s="307"/>
      <c r="V63" s="307"/>
      <c r="W63" s="307"/>
      <c r="X63" s="308">
        <f t="shared" ref="X63" si="147">IF((S63=0),0,((T63+U63)/S63*100%))</f>
        <v>0</v>
      </c>
      <c r="Y63" s="368"/>
      <c r="Z63" s="309">
        <f t="shared" ref="Z63" si="148">SUM(AA63:AD63)</f>
        <v>0</v>
      </c>
      <c r="AA63" s="304"/>
      <c r="AB63" s="304"/>
      <c r="AC63" s="304"/>
      <c r="AD63" s="304"/>
      <c r="AE63" s="310">
        <f t="shared" ref="AE63" si="149">IF((Z63=0),0,((AA63+AB63)/Z63*100%))</f>
        <v>0</v>
      </c>
      <c r="AF63" s="244"/>
      <c r="AG63" s="362" t="e">
        <f>VLOOKUP(#REF!,'Feature Summary'!$A$7:$U$4024,21,FALSE)</f>
        <v>#REF!</v>
      </c>
      <c r="AH63" s="246"/>
    </row>
    <row r="64" spans="1:34" ht="15" thickBot="1" x14ac:dyDescent="0.4">
      <c r="A64" s="252" t="s">
        <v>262</v>
      </c>
      <c r="B64" s="480" t="str">
        <f>VLOOKUP(A64,'Feature Raw Data'!$A$3:$B$3934,2,FALSE)</f>
        <v>Tick-Counter</v>
      </c>
      <c r="C64" s="317"/>
      <c r="D64" s="315" t="s">
        <v>257</v>
      </c>
      <c r="E64" s="361" t="s">
        <v>275</v>
      </c>
      <c r="F64" s="353" t="s">
        <v>320</v>
      </c>
      <c r="G64" s="385" t="str">
        <f>VLOOKUP(A64,'Feature Summary'!$A$7:$C$4005,3,FALSE)</f>
        <v>P1</v>
      </c>
      <c r="H64" s="361" t="s">
        <v>321</v>
      </c>
      <c r="I64" s="361" t="s">
        <v>261</v>
      </c>
      <c r="J64" s="500" t="s">
        <v>278</v>
      </c>
      <c r="K64" s="245">
        <v>1</v>
      </c>
      <c r="L64" s="315">
        <v>1</v>
      </c>
      <c r="M64" s="498" t="s">
        <v>38</v>
      </c>
      <c r="N64" s="506">
        <v>1</v>
      </c>
      <c r="O64" s="315">
        <v>0.4</v>
      </c>
      <c r="P64" s="305">
        <f t="shared" si="28"/>
        <v>0.4</v>
      </c>
      <c r="Q64" s="315" t="s">
        <v>45</v>
      </c>
      <c r="R64" s="315">
        <v>1</v>
      </c>
      <c r="S64" s="306">
        <f t="shared" si="29"/>
        <v>0</v>
      </c>
      <c r="T64" s="315"/>
      <c r="U64" s="307"/>
      <c r="V64" s="307"/>
      <c r="W64" s="307"/>
      <c r="X64" s="308">
        <f t="shared" si="138"/>
        <v>0</v>
      </c>
      <c r="Y64" s="368"/>
      <c r="Z64" s="309">
        <f t="shared" si="4"/>
        <v>0</v>
      </c>
      <c r="AA64" s="304"/>
      <c r="AB64" s="304"/>
      <c r="AC64" s="304"/>
      <c r="AD64" s="304"/>
      <c r="AE64" s="310">
        <f t="shared" si="139"/>
        <v>0</v>
      </c>
      <c r="AF64" s="244"/>
      <c r="AG64" s="362" t="e">
        <f>VLOOKUP(#REF!,'Feature Summary'!$A$7:$U$4024,21,FALSE)</f>
        <v>#REF!</v>
      </c>
      <c r="AH64" s="246"/>
    </row>
    <row r="65" spans="1:34" ht="15" thickBot="1" x14ac:dyDescent="0.4">
      <c r="A65" s="252" t="s">
        <v>256</v>
      </c>
      <c r="B65" s="480" t="str">
        <f>VLOOKUP(A65,'Feature Raw Data'!$A$3:$B$3934,2,FALSE)</f>
        <v>DFS-DID Switch for All Slices</v>
      </c>
      <c r="C65" s="317"/>
      <c r="D65" s="315" t="s">
        <v>257</v>
      </c>
      <c r="E65" s="361" t="s">
        <v>275</v>
      </c>
      <c r="F65" s="353" t="s">
        <v>322</v>
      </c>
      <c r="G65" s="385" t="str">
        <f>VLOOKUP(A65,'Feature Summary'!$A$7:$C$4005,3,FALSE)</f>
        <v>P2</v>
      </c>
      <c r="H65" s="361" t="s">
        <v>323</v>
      </c>
      <c r="I65" s="361" t="s">
        <v>261</v>
      </c>
      <c r="J65" s="500" t="s">
        <v>278</v>
      </c>
      <c r="K65" s="245">
        <v>1</v>
      </c>
      <c r="L65" s="315">
        <v>1</v>
      </c>
      <c r="M65" s="498" t="s">
        <v>38</v>
      </c>
      <c r="N65" s="506">
        <v>1</v>
      </c>
      <c r="O65" s="315">
        <v>0.4</v>
      </c>
      <c r="P65" s="305">
        <f t="shared" ref="P65" si="150">IF((O65=0),0,(O65/L65))</f>
        <v>0.4</v>
      </c>
      <c r="Q65" s="315" t="s">
        <v>45</v>
      </c>
      <c r="R65" s="315">
        <v>1</v>
      </c>
      <c r="S65" s="306">
        <f t="shared" ref="S65" si="151">SUM(T65:W65)</f>
        <v>0</v>
      </c>
      <c r="T65" s="315"/>
      <c r="U65" s="307"/>
      <c r="V65" s="307"/>
      <c r="W65" s="307"/>
      <c r="X65" s="308">
        <f t="shared" ref="X65" si="152">IF((S65=0),0,((T65+U65)/S65*100%))</f>
        <v>0</v>
      </c>
      <c r="Y65" s="368"/>
      <c r="Z65" s="309">
        <f t="shared" ref="Z65" si="153">SUM(AA65:AD65)</f>
        <v>0</v>
      </c>
      <c r="AA65" s="304"/>
      <c r="AB65" s="304"/>
      <c r="AC65" s="304"/>
      <c r="AD65" s="304"/>
      <c r="AE65" s="310">
        <f t="shared" ref="AE65" si="154">IF((Z65=0),0,((AA65+AB65)/Z65*100%))</f>
        <v>0</v>
      </c>
      <c r="AF65" s="244"/>
      <c r="AG65" s="362" t="e">
        <f>VLOOKUP(#REF!,'Feature Summary'!$A$7:$U$4024,21,FALSE)</f>
        <v>#REF!</v>
      </c>
      <c r="AH65" s="246"/>
    </row>
    <row r="66" spans="1:34" ht="15" thickBot="1" x14ac:dyDescent="0.4">
      <c r="A66" s="252" t="s">
        <v>262</v>
      </c>
      <c r="B66" s="480" t="str">
        <f>VLOOKUP(A66,'Feature Raw Data'!$A$3:$B$3934,2,FALSE)</f>
        <v>Tick-Counter</v>
      </c>
      <c r="C66" s="317"/>
      <c r="D66" s="315" t="s">
        <v>257</v>
      </c>
      <c r="E66" s="361" t="s">
        <v>275</v>
      </c>
      <c r="F66" s="353" t="s">
        <v>322</v>
      </c>
      <c r="G66" s="385" t="str">
        <f>VLOOKUP(A66,'Feature Summary'!$A$7:$C$4005,3,FALSE)</f>
        <v>P1</v>
      </c>
      <c r="H66" s="361" t="s">
        <v>323</v>
      </c>
      <c r="I66" s="361" t="s">
        <v>261</v>
      </c>
      <c r="J66" s="500" t="s">
        <v>278</v>
      </c>
      <c r="K66" s="245">
        <v>1</v>
      </c>
      <c r="L66" s="315">
        <v>1</v>
      </c>
      <c r="M66" s="498" t="s">
        <v>38</v>
      </c>
      <c r="N66" s="506">
        <v>1</v>
      </c>
      <c r="O66" s="315">
        <v>0.4</v>
      </c>
      <c r="P66" s="305">
        <f t="shared" si="28"/>
        <v>0.4</v>
      </c>
      <c r="Q66" s="315" t="s">
        <v>45</v>
      </c>
      <c r="R66" s="315">
        <v>1</v>
      </c>
      <c r="S66" s="306">
        <f t="shared" si="29"/>
        <v>0</v>
      </c>
      <c r="T66" s="315"/>
      <c r="U66" s="307"/>
      <c r="V66" s="307"/>
      <c r="W66" s="307"/>
      <c r="X66" s="308">
        <f t="shared" si="138"/>
        <v>0</v>
      </c>
      <c r="Y66" s="368"/>
      <c r="Z66" s="309">
        <f t="shared" si="4"/>
        <v>0</v>
      </c>
      <c r="AA66" s="304"/>
      <c r="AB66" s="304"/>
      <c r="AC66" s="304"/>
      <c r="AD66" s="304"/>
      <c r="AE66" s="310">
        <f t="shared" si="139"/>
        <v>0</v>
      </c>
      <c r="AF66" s="244"/>
      <c r="AG66" s="362" t="e">
        <f>VLOOKUP(#REF!,'Feature Summary'!$A$7:$U$4024,21,FALSE)</f>
        <v>#REF!</v>
      </c>
      <c r="AH66" s="246"/>
    </row>
    <row r="67" spans="1:34" ht="15" thickBot="1" x14ac:dyDescent="0.4">
      <c r="A67" s="252" t="s">
        <v>324</v>
      </c>
      <c r="B67" s="480" t="str">
        <f>VLOOKUP(A67,'Feature Raw Data'!$A$3:$B$3934,2,FALSE)</f>
        <v>PLL-SpreadSpectrum</v>
      </c>
      <c r="C67" s="317"/>
      <c r="D67" s="315" t="s">
        <v>257</v>
      </c>
      <c r="E67" s="367" t="s">
        <v>325</v>
      </c>
      <c r="F67" s="367" t="s">
        <v>325</v>
      </c>
      <c r="G67" s="385" t="str">
        <f>VLOOKUP(A67,'Feature Summary'!$A$7:$C$4005,3,FALSE)</f>
        <v>P2</v>
      </c>
      <c r="H67" s="361" t="s">
        <v>326</v>
      </c>
      <c r="I67" s="361" t="s">
        <v>261</v>
      </c>
      <c r="J67" s="500" t="s">
        <v>327</v>
      </c>
      <c r="K67" s="245">
        <v>1</v>
      </c>
      <c r="L67" s="315">
        <v>1</v>
      </c>
      <c r="M67" s="498" t="s">
        <v>38</v>
      </c>
      <c r="N67" s="506">
        <v>1</v>
      </c>
      <c r="O67" s="315">
        <v>0.4</v>
      </c>
      <c r="P67" s="305">
        <f t="shared" si="28"/>
        <v>0.4</v>
      </c>
      <c r="Q67" s="315" t="s">
        <v>45</v>
      </c>
      <c r="R67" s="315">
        <v>1</v>
      </c>
      <c r="S67" s="306">
        <f t="shared" si="29"/>
        <v>0</v>
      </c>
      <c r="T67" s="315"/>
      <c r="U67" s="307"/>
      <c r="V67" s="307"/>
      <c r="W67" s="307"/>
      <c r="X67" s="308">
        <v>0</v>
      </c>
      <c r="Y67" s="368"/>
      <c r="Z67" s="309">
        <f t="shared" si="4"/>
        <v>0</v>
      </c>
      <c r="AA67" s="304"/>
      <c r="AB67" s="304"/>
      <c r="AC67" s="304"/>
      <c r="AD67" s="304"/>
      <c r="AE67" s="310">
        <v>0</v>
      </c>
      <c r="AF67" s="244"/>
      <c r="AG67" s="362" t="s">
        <v>328</v>
      </c>
      <c r="AH67" s="246"/>
    </row>
    <row r="68" spans="1:34" ht="15" thickBot="1" x14ac:dyDescent="0.4">
      <c r="A68" s="252" t="s">
        <v>329</v>
      </c>
      <c r="B68" s="480" t="str">
        <f>VLOOKUP(A68,'Feature Raw Data'!$A$3:$B$3934,2,FALSE)</f>
        <v>Fuses-Bootrom Fuses</v>
      </c>
      <c r="C68" s="317"/>
      <c r="D68" s="315" t="s">
        <v>330</v>
      </c>
      <c r="E68" s="361" t="s">
        <v>331</v>
      </c>
      <c r="F68" s="353" t="s">
        <v>332</v>
      </c>
      <c r="G68" s="385" t="str">
        <f>VLOOKUP(A68,'Feature Summary'!$A$7:$C$4005,3,FALSE)</f>
        <v>P2</v>
      </c>
      <c r="H68" s="361" t="s">
        <v>333</v>
      </c>
      <c r="I68" s="361" t="s">
        <v>261</v>
      </c>
      <c r="J68" s="361"/>
      <c r="K68" s="245">
        <v>1</v>
      </c>
      <c r="L68" s="245">
        <v>1</v>
      </c>
      <c r="M68" s="498" t="s">
        <v>38</v>
      </c>
      <c r="N68" s="506">
        <v>1</v>
      </c>
      <c r="O68" s="315">
        <v>0.4</v>
      </c>
      <c r="P68" s="305">
        <f t="shared" ref="P68" si="155">IF((O68=0),0,(O68/L68))</f>
        <v>0.4</v>
      </c>
      <c r="Q68" s="315" t="s">
        <v>45</v>
      </c>
      <c r="R68" s="315">
        <v>1</v>
      </c>
      <c r="S68" s="306">
        <f t="shared" ref="S68" si="156">SUM(T68:W68)</f>
        <v>0</v>
      </c>
      <c r="T68" s="315"/>
      <c r="U68" s="307"/>
      <c r="V68" s="307"/>
      <c r="W68" s="307"/>
      <c r="X68" s="308">
        <v>0</v>
      </c>
      <c r="Y68" s="368"/>
      <c r="Z68" s="309">
        <f t="shared" ref="Z68" si="157">SUM(AA68:AD68)</f>
        <v>0</v>
      </c>
      <c r="AA68" s="304"/>
      <c r="AB68" s="304"/>
      <c r="AC68" s="304"/>
      <c r="AD68" s="304"/>
      <c r="AE68" s="310">
        <v>0</v>
      </c>
      <c r="AF68" s="244"/>
      <c r="AG68" s="362" t="e">
        <v>#N/A</v>
      </c>
      <c r="AH68" s="246"/>
    </row>
    <row r="69" spans="1:34" ht="15" thickBot="1" x14ac:dyDescent="0.4">
      <c r="A69" s="252" t="s">
        <v>334</v>
      </c>
      <c r="B69" s="480" t="str">
        <f>VLOOKUP(A69,'Feature Raw Data'!$A$3:$B$3934,2,FALSE)</f>
        <v>Fuses-Startup Fuses</v>
      </c>
      <c r="C69" s="317"/>
      <c r="D69" s="315" t="s">
        <v>330</v>
      </c>
      <c r="E69" s="361" t="s">
        <v>331</v>
      </c>
      <c r="F69" s="353" t="s">
        <v>332</v>
      </c>
      <c r="G69" s="385" t="str">
        <f>VLOOKUP(A69,'Feature Summary'!$A$7:$C$4005,3,FALSE)</f>
        <v>P2</v>
      </c>
      <c r="H69" s="361" t="s">
        <v>333</v>
      </c>
      <c r="I69" s="361" t="s">
        <v>261</v>
      </c>
      <c r="J69" s="361"/>
      <c r="K69" s="245">
        <v>1</v>
      </c>
      <c r="L69" s="245">
        <v>1</v>
      </c>
      <c r="M69" s="498" t="s">
        <v>38</v>
      </c>
      <c r="N69" s="506">
        <v>1</v>
      </c>
      <c r="O69" s="315">
        <v>0.4</v>
      </c>
      <c r="P69" s="305">
        <f t="shared" si="28"/>
        <v>0.4</v>
      </c>
      <c r="Q69" s="315" t="s">
        <v>45</v>
      </c>
      <c r="R69" s="315">
        <v>1</v>
      </c>
      <c r="S69" s="306">
        <f t="shared" si="29"/>
        <v>0</v>
      </c>
      <c r="T69" s="315"/>
      <c r="U69" s="307"/>
      <c r="V69" s="307"/>
      <c r="W69" s="307"/>
      <c r="X69" s="308">
        <v>0</v>
      </c>
      <c r="Y69" s="368"/>
      <c r="Z69" s="309">
        <f t="shared" si="4"/>
        <v>0</v>
      </c>
      <c r="AA69" s="304"/>
      <c r="AB69" s="304"/>
      <c r="AC69" s="304"/>
      <c r="AD69" s="304"/>
      <c r="AE69" s="310">
        <v>0</v>
      </c>
      <c r="AF69" s="244"/>
      <c r="AG69" s="362" t="e">
        <v>#N/A</v>
      </c>
      <c r="AH69" s="246"/>
    </row>
    <row r="70" spans="1:34" ht="15" thickBot="1" x14ac:dyDescent="0.4">
      <c r="A70" s="252" t="s">
        <v>335</v>
      </c>
      <c r="B70" s="480" t="str">
        <f>VLOOKUP(A70,'Feature Raw Data'!$A$3:$B$3934,2,FALSE)</f>
        <v>Lx6</v>
      </c>
      <c r="C70" s="317"/>
      <c r="D70" s="315" t="s">
        <v>336</v>
      </c>
      <c r="E70" s="361" t="s">
        <v>337</v>
      </c>
      <c r="F70" s="367" t="s">
        <v>338</v>
      </c>
      <c r="G70" s="385" t="str">
        <f>VLOOKUP(A70,'Feature Summary'!$A$7:$C$4005,3,FALSE)</f>
        <v>P1</v>
      </c>
      <c r="H70" s="361" t="s">
        <v>339</v>
      </c>
      <c r="I70" s="361" t="s">
        <v>261</v>
      </c>
      <c r="J70" s="361"/>
      <c r="K70" s="245">
        <v>1</v>
      </c>
      <c r="L70" s="315">
        <v>1</v>
      </c>
      <c r="M70" s="498" t="s">
        <v>33</v>
      </c>
      <c r="N70" s="506">
        <v>1</v>
      </c>
      <c r="O70" s="315">
        <v>1</v>
      </c>
      <c r="P70" s="305">
        <f t="shared" ref="P70" si="158">IF((O70=0),0,(O70/L70))</f>
        <v>1</v>
      </c>
      <c r="Q70" s="315" t="s">
        <v>340</v>
      </c>
      <c r="R70" s="315">
        <v>1</v>
      </c>
      <c r="S70" s="306">
        <f t="shared" ref="S70" si="159">SUM(T70:W70)</f>
        <v>1</v>
      </c>
      <c r="T70" s="315">
        <v>1</v>
      </c>
      <c r="U70" s="307"/>
      <c r="V70" s="307"/>
      <c r="W70" s="307"/>
      <c r="X70" s="308">
        <v>0</v>
      </c>
      <c r="Y70" s="368"/>
      <c r="Z70" s="309">
        <f t="shared" ref="Z70" si="160">SUM(AA70:AD70)</f>
        <v>0</v>
      </c>
      <c r="AA70" s="304"/>
      <c r="AB70" s="304"/>
      <c r="AC70" s="304"/>
      <c r="AD70" s="304"/>
      <c r="AE70" s="310">
        <v>0</v>
      </c>
      <c r="AF70" s="244"/>
      <c r="AG70" s="362" t="e">
        <v>#N/A</v>
      </c>
      <c r="AH70" s="246"/>
    </row>
    <row r="71" spans="1:34" ht="15" thickBot="1" x14ac:dyDescent="0.4">
      <c r="A71" s="252" t="s">
        <v>341</v>
      </c>
      <c r="B71" s="480" t="str">
        <f>VLOOKUP(A71,'Feature Raw Data'!$A$3:$B$3934,2,FALSE)</f>
        <v>AXI and Register Interface</v>
      </c>
      <c r="C71" s="317"/>
      <c r="D71" s="315" t="s">
        <v>336</v>
      </c>
      <c r="E71" s="361" t="s">
        <v>337</v>
      </c>
      <c r="F71" s="367" t="s">
        <v>338</v>
      </c>
      <c r="G71" s="385" t="str">
        <f>VLOOKUP(A71,'Feature Summary'!$A$7:$C$4005,3,FALSE)</f>
        <v>P1</v>
      </c>
      <c r="H71" s="361" t="s">
        <v>339</v>
      </c>
      <c r="I71" s="361" t="s">
        <v>261</v>
      </c>
      <c r="J71" s="361"/>
      <c r="K71" s="245">
        <v>1</v>
      </c>
      <c r="L71" s="315">
        <v>1</v>
      </c>
      <c r="M71" s="498" t="s">
        <v>33</v>
      </c>
      <c r="N71" s="506">
        <v>1</v>
      </c>
      <c r="O71" s="315">
        <v>1</v>
      </c>
      <c r="P71" s="305">
        <f t="shared" si="28"/>
        <v>1</v>
      </c>
      <c r="Q71" s="315" t="s">
        <v>340</v>
      </c>
      <c r="R71" s="315">
        <v>1</v>
      </c>
      <c r="S71" s="306">
        <f t="shared" si="29"/>
        <v>1</v>
      </c>
      <c r="T71" s="315">
        <v>1</v>
      </c>
      <c r="U71" s="307"/>
      <c r="V71" s="307"/>
      <c r="W71" s="307"/>
      <c r="X71" s="308">
        <v>0</v>
      </c>
      <c r="Y71" s="368"/>
      <c r="Z71" s="309">
        <f t="shared" si="4"/>
        <v>0</v>
      </c>
      <c r="AA71" s="304"/>
      <c r="AB71" s="304"/>
      <c r="AC71" s="304"/>
      <c r="AD71" s="304"/>
      <c r="AE71" s="310">
        <v>0</v>
      </c>
      <c r="AF71" s="244"/>
      <c r="AG71" s="362" t="e">
        <v>#N/A</v>
      </c>
      <c r="AH71" s="246"/>
    </row>
    <row r="72" spans="1:34" ht="15" thickBot="1" x14ac:dyDescent="0.4">
      <c r="A72" s="252" t="s">
        <v>342</v>
      </c>
      <c r="B72" s="480" t="str">
        <f>VLOOKUP(A72,'Feature Raw Data'!$A$3:$B$3934,2,FALSE)</f>
        <v>AXI Interconnect</v>
      </c>
      <c r="C72" s="317"/>
      <c r="D72" s="315" t="s">
        <v>336</v>
      </c>
      <c r="E72" s="361" t="s">
        <v>337</v>
      </c>
      <c r="F72" s="367" t="s">
        <v>338</v>
      </c>
      <c r="G72" s="385" t="str">
        <f>VLOOKUP(A72,'Feature Summary'!$A$7:$C$4005,3,FALSE)</f>
        <v>P1</v>
      </c>
      <c r="H72" s="361" t="s">
        <v>339</v>
      </c>
      <c r="I72" s="361" t="s">
        <v>261</v>
      </c>
      <c r="J72" s="361"/>
      <c r="K72" s="245">
        <v>1</v>
      </c>
      <c r="L72" s="315">
        <v>1</v>
      </c>
      <c r="M72" s="498" t="s">
        <v>33</v>
      </c>
      <c r="N72" s="506">
        <v>1</v>
      </c>
      <c r="O72" s="315">
        <v>1</v>
      </c>
      <c r="P72" s="305">
        <f t="shared" ref="P72" si="161">IF((O72=0),0,(O72/L72))</f>
        <v>1</v>
      </c>
      <c r="Q72" s="315" t="s">
        <v>340</v>
      </c>
      <c r="R72" s="315">
        <v>1</v>
      </c>
      <c r="S72" s="306">
        <f t="shared" ref="S72" si="162">SUM(T72:W72)</f>
        <v>1</v>
      </c>
      <c r="T72" s="315">
        <v>1</v>
      </c>
      <c r="U72" s="307"/>
      <c r="V72" s="307"/>
      <c r="W72" s="307"/>
      <c r="X72" s="308">
        <v>0</v>
      </c>
      <c r="Y72" s="368"/>
      <c r="Z72" s="309">
        <f t="shared" ref="Z72" si="163">SUM(AA72:AD72)</f>
        <v>0</v>
      </c>
      <c r="AA72" s="304"/>
      <c r="AB72" s="304"/>
      <c r="AC72" s="304"/>
      <c r="AD72" s="304"/>
      <c r="AE72" s="310">
        <v>0</v>
      </c>
      <c r="AF72" s="244"/>
      <c r="AG72" s="362" t="e">
        <v>#N/A</v>
      </c>
      <c r="AH72" s="246"/>
    </row>
    <row r="73" spans="1:34" ht="15" thickBot="1" x14ac:dyDescent="0.4">
      <c r="A73" s="252" t="s">
        <v>343</v>
      </c>
      <c r="B73" s="480" t="str">
        <f>VLOOKUP(A73,'Feature Raw Data'!$A$3:$B$3934,2,FALSE)</f>
        <v>MP1_FIRMWARE_FLAGS register</v>
      </c>
      <c r="C73" s="317"/>
      <c r="D73" s="315" t="s">
        <v>336</v>
      </c>
      <c r="E73" s="361" t="s">
        <v>337</v>
      </c>
      <c r="F73" s="367" t="s">
        <v>338</v>
      </c>
      <c r="G73" s="385" t="str">
        <f>VLOOKUP(A73,'Feature Summary'!$A$7:$C$4005,3,FALSE)</f>
        <v>P1</v>
      </c>
      <c r="H73" s="361" t="s">
        <v>339</v>
      </c>
      <c r="I73" s="361" t="s">
        <v>261</v>
      </c>
      <c r="J73" s="361"/>
      <c r="K73" s="245">
        <v>1</v>
      </c>
      <c r="L73" s="315">
        <v>1</v>
      </c>
      <c r="M73" s="498" t="s">
        <v>33</v>
      </c>
      <c r="N73" s="506">
        <v>1</v>
      </c>
      <c r="O73" s="315">
        <v>1</v>
      </c>
      <c r="P73" s="305">
        <f t="shared" si="28"/>
        <v>1</v>
      </c>
      <c r="Q73" s="315" t="s">
        <v>340</v>
      </c>
      <c r="R73" s="315">
        <v>1</v>
      </c>
      <c r="S73" s="306">
        <f t="shared" si="29"/>
        <v>1</v>
      </c>
      <c r="T73" s="315">
        <v>1</v>
      </c>
      <c r="U73" s="307"/>
      <c r="V73" s="307"/>
      <c r="W73" s="307"/>
      <c r="X73" s="308">
        <v>0</v>
      </c>
      <c r="Y73" s="368"/>
      <c r="Z73" s="309">
        <f t="shared" si="4"/>
        <v>0</v>
      </c>
      <c r="AA73" s="304"/>
      <c r="AB73" s="304"/>
      <c r="AC73" s="304"/>
      <c r="AD73" s="304"/>
      <c r="AE73" s="310">
        <v>0</v>
      </c>
      <c r="AF73" s="244"/>
      <c r="AG73" s="362" t="e">
        <v>#N/A</v>
      </c>
      <c r="AH73" s="246"/>
    </row>
    <row r="74" spans="1:34" ht="15" thickBot="1" x14ac:dyDescent="0.4">
      <c r="A74" s="252" t="s">
        <v>335</v>
      </c>
      <c r="B74" s="480" t="str">
        <f>VLOOKUP(A74,'Feature Raw Data'!$A$3:$B$3934,2,FALSE)</f>
        <v>Lx6</v>
      </c>
      <c r="C74" s="317"/>
      <c r="D74" s="315" t="s">
        <v>336</v>
      </c>
      <c r="E74" s="361" t="s">
        <v>337</v>
      </c>
      <c r="F74" s="367" t="s">
        <v>344</v>
      </c>
      <c r="G74" s="385" t="str">
        <f>VLOOKUP(A74,'Feature Summary'!$A$7:$C$4005,3,FALSE)</f>
        <v>P1</v>
      </c>
      <c r="H74" s="361" t="s">
        <v>345</v>
      </c>
      <c r="I74" s="361" t="s">
        <v>261</v>
      </c>
      <c r="J74" s="361"/>
      <c r="K74" s="245">
        <v>1</v>
      </c>
      <c r="L74" s="315">
        <v>1</v>
      </c>
      <c r="M74" s="498" t="s">
        <v>33</v>
      </c>
      <c r="N74" s="506">
        <v>1</v>
      </c>
      <c r="O74" s="315">
        <v>1</v>
      </c>
      <c r="P74" s="305">
        <f t="shared" ref="P74" si="164">IF((O74=0),0,(O74/L74))</f>
        <v>1</v>
      </c>
      <c r="Q74" s="315" t="s">
        <v>45</v>
      </c>
      <c r="R74" s="315">
        <v>1</v>
      </c>
      <c r="S74" s="306">
        <f t="shared" ref="S74" si="165">SUM(T74:W74)</f>
        <v>1</v>
      </c>
      <c r="T74" s="315">
        <v>1</v>
      </c>
      <c r="U74" s="307"/>
      <c r="V74" s="307"/>
      <c r="W74" s="307"/>
      <c r="X74" s="308">
        <v>0</v>
      </c>
      <c r="Y74" s="368"/>
      <c r="Z74" s="309">
        <f t="shared" ref="Z74" si="166">SUM(AA74:AD74)</f>
        <v>0</v>
      </c>
      <c r="AA74" s="304"/>
      <c r="AB74" s="304"/>
      <c r="AC74" s="304"/>
      <c r="AD74" s="304"/>
      <c r="AE74" s="310">
        <v>0</v>
      </c>
      <c r="AF74" s="244"/>
      <c r="AG74" s="362" t="e">
        <v>#N/A</v>
      </c>
      <c r="AH74" s="246"/>
    </row>
    <row r="75" spans="1:34" ht="15" thickBot="1" x14ac:dyDescent="0.4">
      <c r="A75" s="252" t="s">
        <v>341</v>
      </c>
      <c r="B75" s="480" t="str">
        <f>VLOOKUP(A75,'Feature Raw Data'!$A$3:$B$3934,2,FALSE)</f>
        <v>AXI and Register Interface</v>
      </c>
      <c r="C75" s="317"/>
      <c r="D75" s="315" t="s">
        <v>336</v>
      </c>
      <c r="E75" s="361" t="s">
        <v>337</v>
      </c>
      <c r="F75" s="367" t="s">
        <v>344</v>
      </c>
      <c r="G75" s="385" t="str">
        <f>VLOOKUP(A75,'Feature Summary'!$A$7:$C$4005,3,FALSE)</f>
        <v>P1</v>
      </c>
      <c r="H75" s="361" t="s">
        <v>345</v>
      </c>
      <c r="I75" s="361" t="s">
        <v>261</v>
      </c>
      <c r="J75" s="361"/>
      <c r="K75" s="245">
        <v>1</v>
      </c>
      <c r="L75" s="315">
        <v>1</v>
      </c>
      <c r="M75" s="498" t="s">
        <v>33</v>
      </c>
      <c r="N75" s="506">
        <v>1</v>
      </c>
      <c r="O75" s="315">
        <v>1</v>
      </c>
      <c r="P75" s="305">
        <f t="shared" si="28"/>
        <v>1</v>
      </c>
      <c r="Q75" s="315" t="s">
        <v>45</v>
      </c>
      <c r="R75" s="315">
        <v>1</v>
      </c>
      <c r="S75" s="306">
        <f t="shared" si="29"/>
        <v>1</v>
      </c>
      <c r="T75" s="315">
        <v>1</v>
      </c>
      <c r="U75" s="307"/>
      <c r="V75" s="307"/>
      <c r="W75" s="307"/>
      <c r="X75" s="308">
        <v>0</v>
      </c>
      <c r="Y75" s="368"/>
      <c r="Z75" s="309">
        <f t="shared" si="4"/>
        <v>0</v>
      </c>
      <c r="AA75" s="304"/>
      <c r="AB75" s="304"/>
      <c r="AC75" s="304"/>
      <c r="AD75" s="304"/>
      <c r="AE75" s="310">
        <v>0</v>
      </c>
      <c r="AF75" s="244"/>
      <c r="AG75" s="362" t="e">
        <v>#N/A</v>
      </c>
      <c r="AH75" s="246"/>
    </row>
    <row r="76" spans="1:34" ht="15" thickBot="1" x14ac:dyDescent="0.4">
      <c r="A76" s="252" t="s">
        <v>342</v>
      </c>
      <c r="B76" s="480" t="str">
        <f>VLOOKUP(A76,'Feature Raw Data'!$A$3:$B$3934,2,FALSE)</f>
        <v>AXI Interconnect</v>
      </c>
      <c r="C76" s="317"/>
      <c r="D76" s="315" t="s">
        <v>336</v>
      </c>
      <c r="E76" s="361" t="s">
        <v>346</v>
      </c>
      <c r="F76" s="367" t="s">
        <v>347</v>
      </c>
      <c r="G76" s="385" t="str">
        <f>VLOOKUP(A76,'Feature Summary'!$A$7:$C$4005,3,FALSE)</f>
        <v>P1</v>
      </c>
      <c r="H76" s="361" t="s">
        <v>348</v>
      </c>
      <c r="I76" s="361" t="s">
        <v>261</v>
      </c>
      <c r="J76" s="361"/>
      <c r="K76" s="245">
        <v>1</v>
      </c>
      <c r="L76" s="315">
        <v>1</v>
      </c>
      <c r="M76" s="498" t="s">
        <v>33</v>
      </c>
      <c r="N76" s="506">
        <v>1</v>
      </c>
      <c r="O76" s="315">
        <v>1</v>
      </c>
      <c r="P76" s="305">
        <f t="shared" ref="P76" si="167">IF((O76=0),0,(O76/L76))</f>
        <v>1</v>
      </c>
      <c r="Q76" s="315" t="s">
        <v>340</v>
      </c>
      <c r="R76" s="315">
        <v>1</v>
      </c>
      <c r="S76" s="306">
        <f t="shared" ref="S76" si="168">SUM(T76:W76)</f>
        <v>1</v>
      </c>
      <c r="T76" s="315">
        <v>1</v>
      </c>
      <c r="U76" s="307"/>
      <c r="V76" s="307"/>
      <c r="W76" s="307"/>
      <c r="X76" s="308">
        <v>0</v>
      </c>
      <c r="Y76" s="368"/>
      <c r="Z76" s="309">
        <f t="shared" ref="Z76" si="169">SUM(AA76:AD76)</f>
        <v>0</v>
      </c>
      <c r="AA76" s="304"/>
      <c r="AB76" s="304"/>
      <c r="AC76" s="304"/>
      <c r="AD76" s="304"/>
      <c r="AE76" s="310">
        <v>0</v>
      </c>
      <c r="AF76" s="244"/>
      <c r="AG76" s="362" t="s">
        <v>349</v>
      </c>
      <c r="AH76" s="246"/>
    </row>
    <row r="77" spans="1:34" ht="15" thickBot="1" x14ac:dyDescent="0.4">
      <c r="A77" s="252" t="s">
        <v>350</v>
      </c>
      <c r="B77" s="480" t="str">
        <f>VLOOKUP(A77,'Feature Raw Data'!$A$3:$B$3934,2,FALSE)</f>
        <v>Register Access SMN Apertures</v>
      </c>
      <c r="C77" s="317"/>
      <c r="D77" s="315" t="s">
        <v>336</v>
      </c>
      <c r="E77" s="361" t="s">
        <v>346</v>
      </c>
      <c r="F77" s="367" t="s">
        <v>347</v>
      </c>
      <c r="G77" s="385" t="str">
        <f>VLOOKUP(A77,'Feature Summary'!$A$7:$C$4005,3,FALSE)</f>
        <v>P3</v>
      </c>
      <c r="H77" s="361" t="s">
        <v>348</v>
      </c>
      <c r="I77" s="361" t="s">
        <v>261</v>
      </c>
      <c r="J77" s="361"/>
      <c r="K77" s="245">
        <v>1</v>
      </c>
      <c r="L77" s="315">
        <v>1</v>
      </c>
      <c r="M77" s="498" t="s">
        <v>33</v>
      </c>
      <c r="N77" s="506">
        <v>1</v>
      </c>
      <c r="O77" s="315">
        <v>1</v>
      </c>
      <c r="P77" s="305">
        <f t="shared" si="28"/>
        <v>1</v>
      </c>
      <c r="Q77" s="315" t="s">
        <v>340</v>
      </c>
      <c r="R77" s="315">
        <v>1</v>
      </c>
      <c r="S77" s="306">
        <f t="shared" si="29"/>
        <v>1</v>
      </c>
      <c r="T77" s="315">
        <v>1</v>
      </c>
      <c r="U77" s="307"/>
      <c r="V77" s="307"/>
      <c r="W77" s="307"/>
      <c r="X77" s="308">
        <v>0</v>
      </c>
      <c r="Y77" s="368"/>
      <c r="Z77" s="309">
        <f t="shared" si="4"/>
        <v>0</v>
      </c>
      <c r="AA77" s="304"/>
      <c r="AB77" s="304"/>
      <c r="AC77" s="304"/>
      <c r="AD77" s="304"/>
      <c r="AE77" s="310">
        <v>0</v>
      </c>
      <c r="AF77" s="244"/>
      <c r="AG77" s="362" t="s">
        <v>349</v>
      </c>
      <c r="AH77" s="246"/>
    </row>
    <row r="78" spans="1:34" ht="15" thickBot="1" x14ac:dyDescent="0.4">
      <c r="A78" s="252" t="s">
        <v>351</v>
      </c>
      <c r="B78" s="480" t="str">
        <f>VLOOKUP(A78,'Feature Raw Data'!$A$3:$B$3934,2,FALSE)</f>
        <v>RSMU TimeStamp Counter</v>
      </c>
      <c r="C78" s="317"/>
      <c r="D78" s="315" t="s">
        <v>352</v>
      </c>
      <c r="E78" s="361" t="s">
        <v>353</v>
      </c>
      <c r="F78" s="361" t="s">
        <v>354</v>
      </c>
      <c r="G78" s="385" t="str">
        <f>VLOOKUP(A78,'Feature Summary'!$A$7:$C$4005,3,FALSE)</f>
        <v>P2</v>
      </c>
      <c r="H78" s="361" t="s">
        <v>355</v>
      </c>
      <c r="I78" s="361" t="s">
        <v>261</v>
      </c>
      <c r="J78" s="361"/>
      <c r="K78" s="245">
        <v>1</v>
      </c>
      <c r="L78" s="315">
        <v>1</v>
      </c>
      <c r="M78" s="498" t="s">
        <v>33</v>
      </c>
      <c r="N78" s="506">
        <v>1</v>
      </c>
      <c r="O78" s="315">
        <v>0.3</v>
      </c>
      <c r="P78" s="305">
        <f t="shared" ref="P78" si="170">IF((O78=0),0,(O78/L78))</f>
        <v>0.3</v>
      </c>
      <c r="Q78" s="315" t="s">
        <v>45</v>
      </c>
      <c r="R78" s="315">
        <v>1</v>
      </c>
      <c r="S78" s="306">
        <f t="shared" ref="S78" si="171">SUM(T78:W78)</f>
        <v>0</v>
      </c>
      <c r="T78" s="315"/>
      <c r="U78" s="307"/>
      <c r="V78" s="307"/>
      <c r="W78" s="307"/>
      <c r="X78" s="308">
        <v>0</v>
      </c>
      <c r="Y78" s="368"/>
      <c r="Z78" s="309">
        <f t="shared" ref="Z78" si="172">SUM(AA78:AD78)</f>
        <v>0</v>
      </c>
      <c r="AA78" s="304"/>
      <c r="AB78" s="304"/>
      <c r="AC78" s="304"/>
      <c r="AD78" s="304"/>
      <c r="AE78" s="310">
        <v>0</v>
      </c>
      <c r="AF78" s="244"/>
      <c r="AG78" s="362" t="s">
        <v>44</v>
      </c>
      <c r="AH78" s="246"/>
    </row>
    <row r="79" spans="1:34" ht="15" thickBot="1" x14ac:dyDescent="0.4">
      <c r="A79" s="252" t="s">
        <v>356</v>
      </c>
      <c r="B79" s="480" t="str">
        <f>VLOOKUP(A79,'Feature Raw Data'!$A$3:$B$3934,2,FALSE)</f>
        <v>CRU: MP1 Time Stamp Counter</v>
      </c>
      <c r="C79" s="317"/>
      <c r="D79" s="315" t="s">
        <v>352</v>
      </c>
      <c r="E79" s="361" t="s">
        <v>353</v>
      </c>
      <c r="F79" s="361" t="s">
        <v>354</v>
      </c>
      <c r="G79" s="385" t="str">
        <f>VLOOKUP(A79,'Feature Summary'!$A$7:$C$4005,3,FALSE)</f>
        <v>P2</v>
      </c>
      <c r="H79" s="361" t="s">
        <v>355</v>
      </c>
      <c r="I79" s="361" t="s">
        <v>261</v>
      </c>
      <c r="J79" s="361"/>
      <c r="K79" s="245">
        <v>1</v>
      </c>
      <c r="L79" s="315">
        <v>1</v>
      </c>
      <c r="M79" s="498" t="s">
        <v>33</v>
      </c>
      <c r="N79" s="506">
        <v>1</v>
      </c>
      <c r="O79" s="315">
        <v>0.3</v>
      </c>
      <c r="P79" s="305">
        <f t="shared" si="28"/>
        <v>0.3</v>
      </c>
      <c r="Q79" s="315" t="s">
        <v>45</v>
      </c>
      <c r="R79" s="315">
        <v>1</v>
      </c>
      <c r="S79" s="306">
        <f t="shared" si="29"/>
        <v>0</v>
      </c>
      <c r="T79" s="315"/>
      <c r="U79" s="307"/>
      <c r="V79" s="307"/>
      <c r="W79" s="307"/>
      <c r="X79" s="308">
        <v>0</v>
      </c>
      <c r="Y79" s="368"/>
      <c r="Z79" s="309">
        <f t="shared" si="4"/>
        <v>0</v>
      </c>
      <c r="AA79" s="304"/>
      <c r="AB79" s="304"/>
      <c r="AC79" s="304"/>
      <c r="AD79" s="304"/>
      <c r="AE79" s="310">
        <v>0</v>
      </c>
      <c r="AF79" s="244"/>
      <c r="AG79" s="362" t="s">
        <v>44</v>
      </c>
      <c r="AH79" s="246"/>
    </row>
    <row r="80" spans="1:34" ht="15" thickBot="1" x14ac:dyDescent="0.4">
      <c r="A80" s="252" t="s">
        <v>357</v>
      </c>
      <c r="B80" s="480" t="str">
        <f>VLOOKUP(A80,'Feature Raw Data'!$A$3:$B$3934,2,FALSE)</f>
        <v>Voltage change</v>
      </c>
      <c r="C80" s="317"/>
      <c r="D80" s="315" t="s">
        <v>358</v>
      </c>
      <c r="E80" s="361" t="s">
        <v>359</v>
      </c>
      <c r="F80" s="353" t="s">
        <v>360</v>
      </c>
      <c r="G80" s="385" t="str">
        <f>VLOOKUP(A80,'Feature Summary'!$A$7:$C$4005,3,FALSE)</f>
        <v>P2</v>
      </c>
      <c r="H80" s="361" t="s">
        <v>361</v>
      </c>
      <c r="I80" s="361" t="s">
        <v>261</v>
      </c>
      <c r="J80" s="361" t="s">
        <v>362</v>
      </c>
      <c r="K80" s="245">
        <v>1</v>
      </c>
      <c r="L80" s="315">
        <v>1</v>
      </c>
      <c r="M80" s="498" t="s">
        <v>33</v>
      </c>
      <c r="N80" s="506">
        <v>1</v>
      </c>
      <c r="O80" s="315">
        <v>0.5</v>
      </c>
      <c r="P80" s="305">
        <f t="shared" ref="P80" si="173">IF((O80=0),0,(O80/L80))</f>
        <v>0.5</v>
      </c>
      <c r="Q80" s="315" t="s">
        <v>45</v>
      </c>
      <c r="R80" s="315">
        <v>1</v>
      </c>
      <c r="S80" s="306">
        <f t="shared" ref="S80" si="174">SUM(T80:W80)</f>
        <v>0</v>
      </c>
      <c r="T80" s="315"/>
      <c r="U80" s="307"/>
      <c r="V80" s="307"/>
      <c r="W80" s="307"/>
      <c r="X80" s="308">
        <v>0</v>
      </c>
      <c r="Y80" s="368"/>
      <c r="Z80" s="309">
        <f t="shared" ref="Z80" si="175">SUM(AA80:AD80)</f>
        <v>0</v>
      </c>
      <c r="AA80" s="304"/>
      <c r="AB80" s="304"/>
      <c r="AC80" s="304"/>
      <c r="AD80" s="304"/>
      <c r="AE80" s="310">
        <v>0</v>
      </c>
      <c r="AF80" s="244"/>
      <c r="AG80" s="362" t="s">
        <v>44</v>
      </c>
      <c r="AH80" s="246"/>
    </row>
    <row r="81" spans="1:34" ht="15" thickBot="1" x14ac:dyDescent="0.4">
      <c r="A81" s="252" t="s">
        <v>363</v>
      </c>
      <c r="B81" s="480" t="str">
        <f>VLOOKUP(A81,'Feature Raw Data'!$A$3:$B$3934,2,FALSE)</f>
        <v>High speed SVI3</v>
      </c>
      <c r="C81" s="317"/>
      <c r="D81" s="315" t="s">
        <v>358</v>
      </c>
      <c r="E81" s="361" t="s">
        <v>359</v>
      </c>
      <c r="F81" s="353" t="s">
        <v>360</v>
      </c>
      <c r="G81" s="385" t="str">
        <f>VLOOKUP(A81,'Feature Summary'!$A$7:$C$4005,3,FALSE)</f>
        <v>P2</v>
      </c>
      <c r="H81" s="361" t="s">
        <v>361</v>
      </c>
      <c r="I81" s="361" t="s">
        <v>261</v>
      </c>
      <c r="J81" s="361" t="s">
        <v>362</v>
      </c>
      <c r="K81" s="245">
        <v>1</v>
      </c>
      <c r="L81" s="315">
        <v>1</v>
      </c>
      <c r="M81" s="498" t="s">
        <v>33</v>
      </c>
      <c r="N81" s="506">
        <v>1</v>
      </c>
      <c r="O81" s="315">
        <v>0.5</v>
      </c>
      <c r="P81" s="305">
        <f t="shared" si="28"/>
        <v>0.5</v>
      </c>
      <c r="Q81" s="315" t="s">
        <v>45</v>
      </c>
      <c r="R81" s="315">
        <v>1</v>
      </c>
      <c r="S81" s="306">
        <f t="shared" si="29"/>
        <v>0</v>
      </c>
      <c r="T81" s="315"/>
      <c r="U81" s="307"/>
      <c r="V81" s="307"/>
      <c r="W81" s="307"/>
      <c r="X81" s="308">
        <v>0</v>
      </c>
      <c r="Y81" s="368"/>
      <c r="Z81" s="309">
        <f t="shared" si="4"/>
        <v>0</v>
      </c>
      <c r="AA81" s="304"/>
      <c r="AB81" s="304"/>
      <c r="AC81" s="304"/>
      <c r="AD81" s="304"/>
      <c r="AE81" s="310">
        <v>0</v>
      </c>
      <c r="AF81" s="244"/>
      <c r="AG81" s="362" t="s">
        <v>44</v>
      </c>
      <c r="AH81" s="246"/>
    </row>
    <row r="82" spans="1:34" ht="15" thickBot="1" x14ac:dyDescent="0.4">
      <c r="A82" s="252" t="s">
        <v>357</v>
      </c>
      <c r="B82" s="480" t="str">
        <f>VLOOKUP(A82,'Feature Raw Data'!$A$3:$B$3934,2,FALSE)</f>
        <v>Voltage change</v>
      </c>
      <c r="C82" s="317"/>
      <c r="D82" s="315" t="s">
        <v>358</v>
      </c>
      <c r="E82" s="361" t="s">
        <v>359</v>
      </c>
      <c r="F82" s="353" t="s">
        <v>364</v>
      </c>
      <c r="G82" s="385" t="str">
        <f>VLOOKUP(A82,'Feature Summary'!$A$7:$C$4005,3,FALSE)</f>
        <v>P2</v>
      </c>
      <c r="H82" s="361" t="s">
        <v>365</v>
      </c>
      <c r="I82" s="361" t="s">
        <v>261</v>
      </c>
      <c r="J82" s="361" t="s">
        <v>366</v>
      </c>
      <c r="K82" s="245">
        <v>1</v>
      </c>
      <c r="L82" s="315">
        <v>1</v>
      </c>
      <c r="M82" s="498" t="s">
        <v>33</v>
      </c>
      <c r="N82" s="506">
        <v>1</v>
      </c>
      <c r="O82" s="315">
        <v>0.5</v>
      </c>
      <c r="P82" s="305">
        <f t="shared" ref="P82" si="176">IF((O82=0),0,(O82/L82))</f>
        <v>0.5</v>
      </c>
      <c r="Q82" s="315" t="s">
        <v>45</v>
      </c>
      <c r="R82" s="315">
        <v>1</v>
      </c>
      <c r="S82" s="306">
        <f t="shared" ref="S82" si="177">SUM(T82:W82)</f>
        <v>0</v>
      </c>
      <c r="T82" s="315"/>
      <c r="U82" s="307"/>
      <c r="V82" s="307"/>
      <c r="W82" s="307"/>
      <c r="X82" s="308">
        <v>0</v>
      </c>
      <c r="Y82" s="368"/>
      <c r="Z82" s="309">
        <f t="shared" ref="Z82" si="178">SUM(AA82:AD82)</f>
        <v>0</v>
      </c>
      <c r="AA82" s="304"/>
      <c r="AB82" s="304"/>
      <c r="AC82" s="304"/>
      <c r="AD82" s="304"/>
      <c r="AE82" s="310">
        <v>0</v>
      </c>
      <c r="AF82" s="244"/>
      <c r="AG82" s="362" t="e">
        <v>#N/A</v>
      </c>
      <c r="AH82" s="246"/>
    </row>
    <row r="83" spans="1:34" ht="15" thickBot="1" x14ac:dyDescent="0.4">
      <c r="A83" s="252" t="s">
        <v>363</v>
      </c>
      <c r="B83" s="480" t="str">
        <f>VLOOKUP(A83,'Feature Raw Data'!$A$3:$B$3934,2,FALSE)</f>
        <v>High speed SVI3</v>
      </c>
      <c r="C83" s="317"/>
      <c r="D83" s="315" t="s">
        <v>358</v>
      </c>
      <c r="E83" s="361" t="s">
        <v>359</v>
      </c>
      <c r="F83" s="353" t="s">
        <v>364</v>
      </c>
      <c r="G83" s="385" t="str">
        <f>VLOOKUP(A83,'Feature Summary'!$A$7:$C$4005,3,FALSE)</f>
        <v>P2</v>
      </c>
      <c r="H83" s="361" t="s">
        <v>365</v>
      </c>
      <c r="I83" s="361" t="s">
        <v>261</v>
      </c>
      <c r="J83" s="361" t="s">
        <v>366</v>
      </c>
      <c r="K83" s="245">
        <v>1</v>
      </c>
      <c r="L83" s="315">
        <v>1</v>
      </c>
      <c r="M83" s="498" t="s">
        <v>33</v>
      </c>
      <c r="N83" s="506">
        <v>1</v>
      </c>
      <c r="O83" s="315">
        <v>0.5</v>
      </c>
      <c r="P83" s="305">
        <f t="shared" si="28"/>
        <v>0.5</v>
      </c>
      <c r="Q83" s="315" t="s">
        <v>45</v>
      </c>
      <c r="R83" s="315">
        <v>1</v>
      </c>
      <c r="S83" s="306">
        <f t="shared" si="29"/>
        <v>0</v>
      </c>
      <c r="T83" s="315"/>
      <c r="U83" s="307"/>
      <c r="V83" s="307"/>
      <c r="W83" s="307"/>
      <c r="X83" s="308">
        <v>0</v>
      </c>
      <c r="Y83" s="368"/>
      <c r="Z83" s="309">
        <f t="shared" si="4"/>
        <v>0</v>
      </c>
      <c r="AA83" s="304"/>
      <c r="AB83" s="304"/>
      <c r="AC83" s="304"/>
      <c r="AD83" s="304"/>
      <c r="AE83" s="310">
        <v>0</v>
      </c>
      <c r="AF83" s="244"/>
      <c r="AG83" s="362" t="e">
        <v>#N/A</v>
      </c>
      <c r="AH83" s="246"/>
    </row>
    <row r="84" spans="1:34" ht="15" thickBot="1" x14ac:dyDescent="0.4">
      <c r="A84" s="252" t="s">
        <v>357</v>
      </c>
      <c r="B84" s="480" t="str">
        <f>VLOOKUP(A84,'Feature Raw Data'!$A$3:$B$3934,2,FALSE)</f>
        <v>Voltage change</v>
      </c>
      <c r="C84" s="317"/>
      <c r="D84" s="315" t="s">
        <v>358</v>
      </c>
      <c r="E84" s="361" t="s">
        <v>359</v>
      </c>
      <c r="F84" s="353" t="s">
        <v>367</v>
      </c>
      <c r="G84" s="385" t="str">
        <f>VLOOKUP(A84,'Feature Summary'!$A$7:$C$4005,3,FALSE)</f>
        <v>P2</v>
      </c>
      <c r="H84" s="361" t="s">
        <v>368</v>
      </c>
      <c r="I84" s="361" t="s">
        <v>261</v>
      </c>
      <c r="J84" s="361"/>
      <c r="K84" s="245">
        <v>1</v>
      </c>
      <c r="L84" s="245">
        <v>1</v>
      </c>
      <c r="M84" s="505" t="s">
        <v>33</v>
      </c>
      <c r="N84" s="506">
        <v>1</v>
      </c>
      <c r="O84" s="315">
        <v>0.5</v>
      </c>
      <c r="P84" s="305">
        <f t="shared" ref="P84" si="179">IF((O84=0),0,(O84/L84))</f>
        <v>0.5</v>
      </c>
      <c r="Q84" s="315" t="s">
        <v>45</v>
      </c>
      <c r="R84" s="315">
        <v>1</v>
      </c>
      <c r="S84" s="306">
        <f t="shared" ref="S84" si="180">SUM(T84:W84)</f>
        <v>0</v>
      </c>
      <c r="T84" s="315"/>
      <c r="U84" s="307"/>
      <c r="V84" s="307"/>
      <c r="W84" s="307"/>
      <c r="X84" s="459">
        <v>0</v>
      </c>
      <c r="Y84" s="368"/>
      <c r="Z84" s="309">
        <f t="shared" ref="Z84" si="181">SUM(AA84:AD84)</f>
        <v>0</v>
      </c>
      <c r="AA84" s="475"/>
      <c r="AB84" s="304"/>
      <c r="AC84" s="304"/>
      <c r="AD84" s="304"/>
      <c r="AE84" s="310">
        <v>0</v>
      </c>
      <c r="AF84" s="244"/>
      <c r="AG84" s="362" t="e">
        <v>#N/A</v>
      </c>
      <c r="AH84" s="246"/>
    </row>
    <row r="85" spans="1:34" ht="15" thickBot="1" x14ac:dyDescent="0.4">
      <c r="A85" s="252" t="s">
        <v>363</v>
      </c>
      <c r="B85" s="480" t="str">
        <f>VLOOKUP(A85,'Feature Raw Data'!$A$3:$B$3934,2,FALSE)</f>
        <v>High speed SVI3</v>
      </c>
      <c r="C85" s="317"/>
      <c r="D85" s="315" t="s">
        <v>358</v>
      </c>
      <c r="E85" s="361" t="s">
        <v>359</v>
      </c>
      <c r="F85" s="353" t="s">
        <v>367</v>
      </c>
      <c r="G85" s="385" t="str">
        <f>VLOOKUP(A85,'Feature Summary'!$A$7:$C$4005,3,FALSE)</f>
        <v>P2</v>
      </c>
      <c r="H85" s="361" t="s">
        <v>368</v>
      </c>
      <c r="I85" s="361" t="s">
        <v>261</v>
      </c>
      <c r="J85" s="361"/>
      <c r="K85" s="245">
        <v>1</v>
      </c>
      <c r="L85" s="245">
        <v>1</v>
      </c>
      <c r="M85" s="505" t="s">
        <v>33</v>
      </c>
      <c r="N85" s="506">
        <v>1</v>
      </c>
      <c r="O85" s="315">
        <v>0.5</v>
      </c>
      <c r="P85" s="305">
        <f t="shared" si="28"/>
        <v>0.5</v>
      </c>
      <c r="Q85" s="315" t="s">
        <v>45</v>
      </c>
      <c r="R85" s="315">
        <v>1</v>
      </c>
      <c r="S85" s="306">
        <f t="shared" si="29"/>
        <v>0</v>
      </c>
      <c r="T85" s="315"/>
      <c r="U85" s="307"/>
      <c r="V85" s="307"/>
      <c r="W85" s="307"/>
      <c r="X85" s="459">
        <v>0</v>
      </c>
      <c r="Y85" s="368"/>
      <c r="Z85" s="309">
        <f t="shared" si="4"/>
        <v>0</v>
      </c>
      <c r="AA85" s="475"/>
      <c r="AB85" s="304"/>
      <c r="AC85" s="304"/>
      <c r="AD85" s="304"/>
      <c r="AE85" s="310">
        <v>0</v>
      </c>
      <c r="AF85" s="244"/>
      <c r="AG85" s="362" t="e">
        <v>#N/A</v>
      </c>
      <c r="AH85" s="246"/>
    </row>
    <row r="86" spans="1:34" ht="15" thickBot="1" x14ac:dyDescent="0.4">
      <c r="A86" s="252" t="s">
        <v>357</v>
      </c>
      <c r="B86" s="480" t="str">
        <f>VLOOKUP(A86,'Feature Raw Data'!$A$3:$B$3934,2,FALSE)</f>
        <v>Voltage change</v>
      </c>
      <c r="C86" s="317"/>
      <c r="D86" s="315" t="s">
        <v>358</v>
      </c>
      <c r="E86" s="361" t="s">
        <v>359</v>
      </c>
      <c r="F86" s="353" t="s">
        <v>369</v>
      </c>
      <c r="G86" s="385" t="str">
        <f>VLOOKUP(A86,'Feature Summary'!$A$7:$C$4005,3,FALSE)</f>
        <v>P2</v>
      </c>
      <c r="H86" s="361" t="s">
        <v>370</v>
      </c>
      <c r="I86" s="361" t="s">
        <v>261</v>
      </c>
      <c r="J86" s="361"/>
      <c r="K86" s="245">
        <v>1</v>
      </c>
      <c r="L86" s="245">
        <v>1</v>
      </c>
      <c r="M86" s="498" t="s">
        <v>33</v>
      </c>
      <c r="N86" s="506">
        <v>1</v>
      </c>
      <c r="O86" s="315">
        <v>0.5</v>
      </c>
      <c r="P86" s="305">
        <f t="shared" ref="P86" si="182">IF((O86=0),0,(O86/L86))</f>
        <v>0.5</v>
      </c>
      <c r="Q86" s="315" t="s">
        <v>45</v>
      </c>
      <c r="R86" s="315">
        <v>1</v>
      </c>
      <c r="S86" s="306">
        <f t="shared" ref="S86" si="183">SUM(T86:W86)</f>
        <v>0</v>
      </c>
      <c r="T86" s="315"/>
      <c r="U86" s="307"/>
      <c r="V86" s="307"/>
      <c r="W86" s="307"/>
      <c r="X86" s="308">
        <v>0</v>
      </c>
      <c r="Y86" s="368"/>
      <c r="Z86" s="309">
        <f t="shared" ref="Z86" si="184">SUM(AA86:AD86)</f>
        <v>0</v>
      </c>
      <c r="AA86" s="304"/>
      <c r="AB86" s="304"/>
      <c r="AC86" s="304"/>
      <c r="AD86" s="304"/>
      <c r="AE86" s="310">
        <v>0</v>
      </c>
      <c r="AF86" s="244"/>
      <c r="AG86" s="362" t="e">
        <v>#N/A</v>
      </c>
      <c r="AH86" s="246"/>
    </row>
    <row r="87" spans="1:34" ht="15" thickBot="1" x14ac:dyDescent="0.4">
      <c r="A87" s="252" t="s">
        <v>363</v>
      </c>
      <c r="B87" s="480" t="str">
        <f>VLOOKUP(A87,'Feature Raw Data'!$A$3:$B$3934,2,FALSE)</f>
        <v>High speed SVI3</v>
      </c>
      <c r="C87" s="317"/>
      <c r="D87" s="315" t="s">
        <v>358</v>
      </c>
      <c r="E87" s="361" t="s">
        <v>359</v>
      </c>
      <c r="F87" s="353" t="s">
        <v>369</v>
      </c>
      <c r="G87" s="385" t="str">
        <f>VLOOKUP(A87,'Feature Summary'!$A$7:$C$4005,3,FALSE)</f>
        <v>P2</v>
      </c>
      <c r="H87" s="361" t="s">
        <v>370</v>
      </c>
      <c r="I87" s="361" t="s">
        <v>261</v>
      </c>
      <c r="J87" s="361"/>
      <c r="K87" s="245">
        <v>1</v>
      </c>
      <c r="L87" s="245">
        <v>1</v>
      </c>
      <c r="M87" s="498" t="s">
        <v>33</v>
      </c>
      <c r="N87" s="506">
        <v>1</v>
      </c>
      <c r="O87" s="315">
        <v>0.5</v>
      </c>
      <c r="P87" s="305">
        <f t="shared" si="28"/>
        <v>0.5</v>
      </c>
      <c r="Q87" s="315" t="s">
        <v>45</v>
      </c>
      <c r="R87" s="315">
        <v>1</v>
      </c>
      <c r="S87" s="306">
        <f t="shared" si="29"/>
        <v>0</v>
      </c>
      <c r="T87" s="315"/>
      <c r="U87" s="307"/>
      <c r="V87" s="307"/>
      <c r="W87" s="307"/>
      <c r="X87" s="308">
        <v>0</v>
      </c>
      <c r="Y87" s="368"/>
      <c r="Z87" s="309">
        <f t="shared" si="4"/>
        <v>0</v>
      </c>
      <c r="AA87" s="304"/>
      <c r="AB87" s="304"/>
      <c r="AC87" s="304"/>
      <c r="AD87" s="304"/>
      <c r="AE87" s="310">
        <v>0</v>
      </c>
      <c r="AF87" s="244"/>
      <c r="AG87" s="362" t="e">
        <v>#N/A</v>
      </c>
      <c r="AH87" s="246"/>
    </row>
    <row r="88" spans="1:34" ht="15" thickBot="1" x14ac:dyDescent="0.4">
      <c r="A88" s="252" t="s">
        <v>357</v>
      </c>
      <c r="B88" s="480" t="str">
        <f>VLOOKUP(A88,'Feature Raw Data'!$A$3:$B$3934,2,FALSE)</f>
        <v>Voltage change</v>
      </c>
      <c r="C88" s="317"/>
      <c r="D88" s="315" t="s">
        <v>358</v>
      </c>
      <c r="E88" s="361" t="s">
        <v>359</v>
      </c>
      <c r="F88" s="353" t="s">
        <v>371</v>
      </c>
      <c r="G88" s="385" t="str">
        <f>VLOOKUP(A88,'Feature Summary'!$A$7:$C$4005,3,FALSE)</f>
        <v>P2</v>
      </c>
      <c r="H88" s="361" t="s">
        <v>372</v>
      </c>
      <c r="I88" s="361" t="s">
        <v>261</v>
      </c>
      <c r="J88" s="361"/>
      <c r="K88" s="245">
        <v>1</v>
      </c>
      <c r="L88" s="245">
        <v>1</v>
      </c>
      <c r="M88" s="498" t="s">
        <v>33</v>
      </c>
      <c r="N88" s="506">
        <v>1</v>
      </c>
      <c r="O88" s="315">
        <v>0.5</v>
      </c>
      <c r="P88" s="305">
        <f t="shared" ref="P88" si="185">IF((O88=0),0,(O88/L88))</f>
        <v>0.5</v>
      </c>
      <c r="Q88" s="315" t="s">
        <v>45</v>
      </c>
      <c r="R88" s="315">
        <v>1</v>
      </c>
      <c r="S88" s="306">
        <f t="shared" ref="S88" si="186">SUM(T88:W88)</f>
        <v>0</v>
      </c>
      <c r="T88" s="315"/>
      <c r="U88" s="307"/>
      <c r="V88" s="307"/>
      <c r="W88" s="307"/>
      <c r="X88" s="308">
        <v>0</v>
      </c>
      <c r="Y88" s="368"/>
      <c r="Z88" s="309">
        <f t="shared" ref="Z88" si="187">SUM(AA88:AD88)</f>
        <v>0</v>
      </c>
      <c r="AA88" s="304"/>
      <c r="AB88" s="304"/>
      <c r="AC88" s="304"/>
      <c r="AD88" s="304"/>
      <c r="AE88" s="310">
        <v>0</v>
      </c>
      <c r="AF88" s="244"/>
      <c r="AG88" s="362" t="e">
        <v>#N/A</v>
      </c>
      <c r="AH88" s="246"/>
    </row>
    <row r="89" spans="1:34" ht="15" thickBot="1" x14ac:dyDescent="0.4">
      <c r="A89" s="252" t="s">
        <v>363</v>
      </c>
      <c r="B89" s="480" t="str">
        <f>VLOOKUP(A89,'Feature Raw Data'!$A$3:$B$3934,2,FALSE)</f>
        <v>High speed SVI3</v>
      </c>
      <c r="C89" s="317"/>
      <c r="D89" s="315" t="s">
        <v>358</v>
      </c>
      <c r="E89" s="361" t="s">
        <v>359</v>
      </c>
      <c r="F89" s="353" t="s">
        <v>371</v>
      </c>
      <c r="G89" s="385" t="str">
        <f>VLOOKUP(A89,'Feature Summary'!$A$7:$C$4005,3,FALSE)</f>
        <v>P2</v>
      </c>
      <c r="H89" s="361" t="s">
        <v>372</v>
      </c>
      <c r="I89" s="361" t="s">
        <v>261</v>
      </c>
      <c r="J89" s="361"/>
      <c r="K89" s="245">
        <v>1</v>
      </c>
      <c r="L89" s="245">
        <v>1</v>
      </c>
      <c r="M89" s="498" t="s">
        <v>33</v>
      </c>
      <c r="N89" s="506">
        <v>1</v>
      </c>
      <c r="O89" s="315">
        <v>0.5</v>
      </c>
      <c r="P89" s="305">
        <f t="shared" si="28"/>
        <v>0.5</v>
      </c>
      <c r="Q89" s="315" t="s">
        <v>45</v>
      </c>
      <c r="R89" s="315">
        <v>1</v>
      </c>
      <c r="S89" s="306">
        <f t="shared" si="29"/>
        <v>0</v>
      </c>
      <c r="T89" s="315"/>
      <c r="U89" s="307"/>
      <c r="V89" s="307"/>
      <c r="W89" s="307"/>
      <c r="X89" s="308">
        <v>0</v>
      </c>
      <c r="Y89" s="368"/>
      <c r="Z89" s="309">
        <f t="shared" si="4"/>
        <v>0</v>
      </c>
      <c r="AA89" s="304"/>
      <c r="AB89" s="304"/>
      <c r="AC89" s="304"/>
      <c r="AD89" s="304"/>
      <c r="AE89" s="310">
        <v>0</v>
      </c>
      <c r="AF89" s="244"/>
      <c r="AG89" s="362" t="e">
        <v>#N/A</v>
      </c>
      <c r="AH89" s="246"/>
    </row>
    <row r="90" spans="1:34" ht="15" thickBot="1" x14ac:dyDescent="0.4">
      <c r="A90" s="252" t="s">
        <v>357</v>
      </c>
      <c r="B90" s="480" t="str">
        <f>VLOOKUP(A90,'Feature Raw Data'!$A$3:$B$3934,2,FALSE)</f>
        <v>Voltage change</v>
      </c>
      <c r="C90" s="317"/>
      <c r="D90" s="315" t="s">
        <v>358</v>
      </c>
      <c r="E90" s="361" t="s">
        <v>359</v>
      </c>
      <c r="F90" s="353" t="s">
        <v>373</v>
      </c>
      <c r="G90" s="385" t="str">
        <f>VLOOKUP(A90,'Feature Summary'!$A$7:$C$4005,3,FALSE)</f>
        <v>P2</v>
      </c>
      <c r="H90" s="361" t="s">
        <v>374</v>
      </c>
      <c r="I90" s="361" t="s">
        <v>261</v>
      </c>
      <c r="J90" s="361"/>
      <c r="K90" s="245">
        <v>1</v>
      </c>
      <c r="L90" s="245">
        <v>1</v>
      </c>
      <c r="M90" s="498" t="s">
        <v>33</v>
      </c>
      <c r="N90" s="506">
        <v>1</v>
      </c>
      <c r="O90" s="315">
        <v>0.5</v>
      </c>
      <c r="P90" s="305">
        <f t="shared" ref="P90" si="188">IF((O90=0),0,(O90/L90))</f>
        <v>0.5</v>
      </c>
      <c r="Q90" s="315" t="s">
        <v>45</v>
      </c>
      <c r="R90" s="315">
        <v>1</v>
      </c>
      <c r="S90" s="306">
        <f t="shared" ref="S90" si="189">SUM(T90:W90)</f>
        <v>0</v>
      </c>
      <c r="T90" s="315"/>
      <c r="U90" s="307"/>
      <c r="V90" s="307"/>
      <c r="W90" s="307"/>
      <c r="X90" s="308">
        <v>0</v>
      </c>
      <c r="Y90" s="368"/>
      <c r="Z90" s="309">
        <f t="shared" ref="Z90" si="190">SUM(AA90:AD90)</f>
        <v>0</v>
      </c>
      <c r="AA90" s="304"/>
      <c r="AB90" s="304"/>
      <c r="AC90" s="304"/>
      <c r="AD90" s="304"/>
      <c r="AE90" s="310">
        <v>0</v>
      </c>
      <c r="AF90" s="244"/>
      <c r="AG90" s="362" t="e">
        <v>#N/A</v>
      </c>
      <c r="AH90" s="246"/>
    </row>
    <row r="91" spans="1:34" ht="15" thickBot="1" x14ac:dyDescent="0.4">
      <c r="A91" s="252" t="s">
        <v>363</v>
      </c>
      <c r="B91" s="480" t="str">
        <f>VLOOKUP(A91,'Feature Raw Data'!$A$3:$B$3934,2,FALSE)</f>
        <v>High speed SVI3</v>
      </c>
      <c r="C91" s="317"/>
      <c r="D91" s="315" t="s">
        <v>358</v>
      </c>
      <c r="E91" s="361" t="s">
        <v>359</v>
      </c>
      <c r="F91" s="353" t="s">
        <v>373</v>
      </c>
      <c r="G91" s="385" t="str">
        <f>VLOOKUP(A91,'Feature Summary'!$A$7:$C$4005,3,FALSE)</f>
        <v>P2</v>
      </c>
      <c r="H91" s="361" t="s">
        <v>374</v>
      </c>
      <c r="I91" s="361" t="s">
        <v>261</v>
      </c>
      <c r="J91" s="361"/>
      <c r="K91" s="245">
        <v>1</v>
      </c>
      <c r="L91" s="245">
        <v>1</v>
      </c>
      <c r="M91" s="498" t="s">
        <v>33</v>
      </c>
      <c r="N91" s="506">
        <v>1</v>
      </c>
      <c r="O91" s="315">
        <v>0.5</v>
      </c>
      <c r="P91" s="305">
        <f t="shared" si="28"/>
        <v>0.5</v>
      </c>
      <c r="Q91" s="315" t="s">
        <v>45</v>
      </c>
      <c r="R91" s="315">
        <v>1</v>
      </c>
      <c r="S91" s="306">
        <f t="shared" si="29"/>
        <v>0</v>
      </c>
      <c r="T91" s="315"/>
      <c r="U91" s="307"/>
      <c r="V91" s="307"/>
      <c r="W91" s="307"/>
      <c r="X91" s="308">
        <v>0</v>
      </c>
      <c r="Y91" s="368"/>
      <c r="Z91" s="309">
        <f t="shared" si="4"/>
        <v>0</v>
      </c>
      <c r="AA91" s="304"/>
      <c r="AB91" s="304"/>
      <c r="AC91" s="304"/>
      <c r="AD91" s="304"/>
      <c r="AE91" s="310">
        <v>0</v>
      </c>
      <c r="AF91" s="244"/>
      <c r="AG91" s="362" t="e">
        <v>#N/A</v>
      </c>
      <c r="AH91" s="246"/>
    </row>
    <row r="92" spans="1:34" ht="15" thickBot="1" x14ac:dyDescent="0.4">
      <c r="A92" s="252" t="s">
        <v>357</v>
      </c>
      <c r="B92" s="480" t="str">
        <f>VLOOKUP(A92,'Feature Raw Data'!$A$3:$B$3934,2,FALSE)</f>
        <v>Voltage change</v>
      </c>
      <c r="C92" s="317"/>
      <c r="D92" s="315" t="s">
        <v>358</v>
      </c>
      <c r="E92" s="361" t="s">
        <v>359</v>
      </c>
      <c r="F92" s="353" t="s">
        <v>375</v>
      </c>
      <c r="G92" s="385" t="str">
        <f>VLOOKUP(A92,'Feature Summary'!$A$7:$C$4005,3,FALSE)</f>
        <v>P2</v>
      </c>
      <c r="H92" s="361" t="s">
        <v>376</v>
      </c>
      <c r="I92" s="361" t="s">
        <v>261</v>
      </c>
      <c r="J92" s="361" t="s">
        <v>377</v>
      </c>
      <c r="K92" s="245">
        <v>1</v>
      </c>
      <c r="L92" s="245">
        <v>1</v>
      </c>
      <c r="M92" s="498" t="s">
        <v>33</v>
      </c>
      <c r="N92" s="506">
        <v>1</v>
      </c>
      <c r="O92" s="315">
        <v>0.5</v>
      </c>
      <c r="P92" s="305">
        <f t="shared" ref="P92" si="191">IF((O92=0),0,(O92/L92))</f>
        <v>0.5</v>
      </c>
      <c r="Q92" s="315" t="s">
        <v>45</v>
      </c>
      <c r="R92" s="315">
        <v>1</v>
      </c>
      <c r="S92" s="306">
        <f t="shared" ref="S92" si="192">SUM(T92:W92)</f>
        <v>0</v>
      </c>
      <c r="T92" s="315"/>
      <c r="U92" s="307"/>
      <c r="V92" s="307"/>
      <c r="W92" s="307"/>
      <c r="X92" s="308">
        <v>0</v>
      </c>
      <c r="Y92" s="368"/>
      <c r="Z92" s="309">
        <f t="shared" ref="Z92" si="193">SUM(AA92:AD92)</f>
        <v>0</v>
      </c>
      <c r="AA92" s="304"/>
      <c r="AB92" s="304"/>
      <c r="AC92" s="304"/>
      <c r="AD92" s="304"/>
      <c r="AE92" s="310">
        <v>0</v>
      </c>
      <c r="AF92" s="244"/>
      <c r="AG92" s="362" t="e">
        <v>#N/A</v>
      </c>
      <c r="AH92" s="246"/>
    </row>
    <row r="93" spans="1:34" ht="15" thickBot="1" x14ac:dyDescent="0.4">
      <c r="A93" s="252" t="s">
        <v>363</v>
      </c>
      <c r="B93" s="480" t="str">
        <f>VLOOKUP(A93,'Feature Raw Data'!$A$3:$B$3934,2,FALSE)</f>
        <v>High speed SVI3</v>
      </c>
      <c r="C93" s="317"/>
      <c r="D93" s="315" t="s">
        <v>358</v>
      </c>
      <c r="E93" s="361" t="s">
        <v>359</v>
      </c>
      <c r="F93" s="353" t="s">
        <v>375</v>
      </c>
      <c r="G93" s="385" t="str">
        <f>VLOOKUP(A93,'Feature Summary'!$A$7:$C$4005,3,FALSE)</f>
        <v>P2</v>
      </c>
      <c r="H93" s="361" t="s">
        <v>376</v>
      </c>
      <c r="I93" s="361" t="s">
        <v>261</v>
      </c>
      <c r="J93" s="361" t="s">
        <v>377</v>
      </c>
      <c r="K93" s="245">
        <v>1</v>
      </c>
      <c r="L93" s="245">
        <v>1</v>
      </c>
      <c r="M93" s="498" t="s">
        <v>33</v>
      </c>
      <c r="N93" s="506">
        <v>1</v>
      </c>
      <c r="O93" s="315">
        <v>0.5</v>
      </c>
      <c r="P93" s="305">
        <f t="shared" si="28"/>
        <v>0.5</v>
      </c>
      <c r="Q93" s="315" t="s">
        <v>45</v>
      </c>
      <c r="R93" s="315">
        <v>1</v>
      </c>
      <c r="S93" s="306">
        <f t="shared" si="29"/>
        <v>0</v>
      </c>
      <c r="T93" s="315"/>
      <c r="U93" s="307"/>
      <c r="V93" s="307"/>
      <c r="W93" s="307"/>
      <c r="X93" s="308">
        <v>0</v>
      </c>
      <c r="Y93" s="368"/>
      <c r="Z93" s="309">
        <f t="shared" si="4"/>
        <v>0</v>
      </c>
      <c r="AA93" s="304"/>
      <c r="AB93" s="304"/>
      <c r="AC93" s="304"/>
      <c r="AD93" s="304"/>
      <c r="AE93" s="310">
        <v>0</v>
      </c>
      <c r="AF93" s="244"/>
      <c r="AG93" s="362" t="e">
        <v>#N/A</v>
      </c>
      <c r="AH93" s="246"/>
    </row>
    <row r="94" spans="1:34" ht="15" thickBot="1" x14ac:dyDescent="0.4">
      <c r="A94" s="252" t="s">
        <v>378</v>
      </c>
      <c r="B94" s="480" t="str">
        <f>VLOOKUP(A94,'Feature Raw Data'!$A$3:$B$3934,2,FALSE)</f>
        <v>Temperature HW CTF Temp Sel</v>
      </c>
      <c r="C94" s="317"/>
      <c r="D94" s="315" t="s">
        <v>379</v>
      </c>
      <c r="E94" s="361" t="s">
        <v>379</v>
      </c>
      <c r="F94" s="353" t="s">
        <v>380</v>
      </c>
      <c r="G94" s="385" t="str">
        <f>VLOOKUP(A94,'Feature Summary'!$A$7:$C$4005,3,FALSE)</f>
        <v>P1</v>
      </c>
      <c r="H94" s="361" t="s">
        <v>381</v>
      </c>
      <c r="I94" s="361" t="s">
        <v>382</v>
      </c>
      <c r="J94" s="361"/>
      <c r="K94" s="245">
        <v>1</v>
      </c>
      <c r="L94" s="315">
        <v>1</v>
      </c>
      <c r="M94" s="498" t="s">
        <v>33</v>
      </c>
      <c r="N94" s="506">
        <v>1</v>
      </c>
      <c r="O94" s="315">
        <v>0.8</v>
      </c>
      <c r="P94" s="305">
        <f t="shared" ref="P94" si="194">IF((O94=0),0,(O94/L94))</f>
        <v>0.8</v>
      </c>
      <c r="Q94" s="315" t="s">
        <v>45</v>
      </c>
      <c r="R94" s="315">
        <v>1</v>
      </c>
      <c r="S94" s="306">
        <f t="shared" ref="S94" si="195">SUM(T94:W94)</f>
        <v>0</v>
      </c>
      <c r="T94" s="315"/>
      <c r="U94" s="307"/>
      <c r="V94" s="307"/>
      <c r="W94" s="307"/>
      <c r="X94" s="308">
        <v>0</v>
      </c>
      <c r="Y94" s="368"/>
      <c r="Z94" s="309">
        <f t="shared" ref="Z94" si="196">SUM(AA94:AD94)</f>
        <v>0</v>
      </c>
      <c r="AA94" s="304"/>
      <c r="AB94" s="304"/>
      <c r="AC94" s="304"/>
      <c r="AD94" s="304"/>
      <c r="AE94" s="310">
        <v>0</v>
      </c>
      <c r="AF94" s="244"/>
      <c r="AG94" s="362" t="e">
        <v>#N/A</v>
      </c>
      <c r="AH94" s="246"/>
    </row>
    <row r="95" spans="1:34" ht="15" thickBot="1" x14ac:dyDescent="0.4">
      <c r="A95" s="252" t="s">
        <v>383</v>
      </c>
      <c r="B95" s="480" t="str">
        <f>VLOOKUP(A95,'Feature Raw Data'!$A$3:$B$3934,2,FALSE)</f>
        <v>Thermal Trigger - temperature is higher than THM.GNB_TEMP_THRESHOLD</v>
      </c>
      <c r="C95" s="317"/>
      <c r="D95" s="315" t="s">
        <v>379</v>
      </c>
      <c r="E95" s="361" t="s">
        <v>379</v>
      </c>
      <c r="F95" s="353" t="s">
        <v>380</v>
      </c>
      <c r="G95" s="385" t="str">
        <f>VLOOKUP(A95,'Feature Summary'!$A$7:$C$4005,3,FALSE)</f>
        <v>P1</v>
      </c>
      <c r="H95" s="361" t="s">
        <v>381</v>
      </c>
      <c r="I95" s="361" t="s">
        <v>382</v>
      </c>
      <c r="J95" s="361"/>
      <c r="K95" s="245">
        <v>1</v>
      </c>
      <c r="L95" s="315">
        <v>1</v>
      </c>
      <c r="M95" s="498" t="s">
        <v>33</v>
      </c>
      <c r="N95" s="506">
        <v>1</v>
      </c>
      <c r="O95" s="315">
        <v>0.8</v>
      </c>
      <c r="P95" s="305">
        <f t="shared" si="28"/>
        <v>0.8</v>
      </c>
      <c r="Q95" s="315" t="s">
        <v>45</v>
      </c>
      <c r="R95" s="315">
        <v>1</v>
      </c>
      <c r="S95" s="306">
        <f t="shared" si="29"/>
        <v>0</v>
      </c>
      <c r="T95" s="315"/>
      <c r="U95" s="307"/>
      <c r="V95" s="307"/>
      <c r="W95" s="307"/>
      <c r="X95" s="308">
        <v>0</v>
      </c>
      <c r="Y95" s="368"/>
      <c r="Z95" s="309">
        <f t="shared" si="4"/>
        <v>0</v>
      </c>
      <c r="AA95" s="304"/>
      <c r="AB95" s="304"/>
      <c r="AC95" s="304"/>
      <c r="AD95" s="304"/>
      <c r="AE95" s="310">
        <v>0</v>
      </c>
      <c r="AF95" s="244"/>
      <c r="AG95" s="362" t="e">
        <v>#N/A</v>
      </c>
      <c r="AH95" s="246"/>
    </row>
    <row r="96" spans="1:34" ht="15" thickBot="1" x14ac:dyDescent="0.4">
      <c r="A96" s="252" t="s">
        <v>384</v>
      </c>
      <c r="B96" s="480" t="str">
        <f>VLOOKUP(A96,'Feature Raw Data'!$A$3:$B$3934,2,FALSE)</f>
        <v>Signal going to PLL and SVI3 -&gt; HW CTF</v>
      </c>
      <c r="C96" s="317"/>
      <c r="D96" s="315" t="s">
        <v>379</v>
      </c>
      <c r="E96" s="361" t="s">
        <v>379</v>
      </c>
      <c r="F96" s="353" t="s">
        <v>380</v>
      </c>
      <c r="G96" s="385" t="str">
        <f>VLOOKUP(A96,'Feature Summary'!$A$7:$C$4005,3,FALSE)</f>
        <v>P2</v>
      </c>
      <c r="H96" s="361" t="s">
        <v>381</v>
      </c>
      <c r="I96" s="361" t="s">
        <v>382</v>
      </c>
      <c r="J96" s="361"/>
      <c r="K96" s="245">
        <v>1</v>
      </c>
      <c r="L96" s="315">
        <v>1</v>
      </c>
      <c r="M96" s="498" t="s">
        <v>33</v>
      </c>
      <c r="N96" s="506">
        <v>1</v>
      </c>
      <c r="O96" s="315">
        <v>0.8</v>
      </c>
      <c r="P96" s="305">
        <f t="shared" ref="P96" si="197">IF((O96=0),0,(O96/L96))</f>
        <v>0.8</v>
      </c>
      <c r="Q96" s="315" t="s">
        <v>45</v>
      </c>
      <c r="R96" s="315">
        <v>1</v>
      </c>
      <c r="S96" s="306">
        <f t="shared" ref="S96" si="198">SUM(T96:W96)</f>
        <v>0</v>
      </c>
      <c r="T96" s="315"/>
      <c r="U96" s="307"/>
      <c r="V96" s="307"/>
      <c r="W96" s="307"/>
      <c r="X96" s="308">
        <v>0</v>
      </c>
      <c r="Y96" s="368"/>
      <c r="Z96" s="309">
        <f t="shared" ref="Z96" si="199">SUM(AA96:AD96)</f>
        <v>0</v>
      </c>
      <c r="AA96" s="304"/>
      <c r="AB96" s="304"/>
      <c r="AC96" s="304"/>
      <c r="AD96" s="304"/>
      <c r="AE96" s="310">
        <v>0</v>
      </c>
      <c r="AF96" s="244"/>
      <c r="AG96" s="362" t="e">
        <v>#N/A</v>
      </c>
      <c r="AH96" s="246"/>
    </row>
    <row r="97" spans="1:34" ht="15" thickBot="1" x14ac:dyDescent="0.4">
      <c r="A97" s="252" t="s">
        <v>385</v>
      </c>
      <c r="B97" s="480" t="str">
        <f>VLOOKUP(A97,'Feature Raw Data'!$A$3:$B$3934,2,FALSE)</f>
        <v>TSEN-CTF</v>
      </c>
      <c r="C97" s="317"/>
      <c r="D97" s="315" t="s">
        <v>379</v>
      </c>
      <c r="E97" s="361" t="s">
        <v>379</v>
      </c>
      <c r="F97" s="353" t="s">
        <v>380</v>
      </c>
      <c r="G97" s="385" t="str">
        <f>VLOOKUP(A97,'Feature Summary'!$A$7:$C$4005,3,FALSE)</f>
        <v>P1</v>
      </c>
      <c r="H97" s="361" t="s">
        <v>381</v>
      </c>
      <c r="I97" s="361" t="s">
        <v>382</v>
      </c>
      <c r="J97" s="361"/>
      <c r="K97" s="245">
        <v>1</v>
      </c>
      <c r="L97" s="315">
        <v>1</v>
      </c>
      <c r="M97" s="498" t="s">
        <v>33</v>
      </c>
      <c r="N97" s="506">
        <v>1</v>
      </c>
      <c r="O97" s="315">
        <v>0.8</v>
      </c>
      <c r="P97" s="305">
        <f t="shared" si="28"/>
        <v>0.8</v>
      </c>
      <c r="Q97" s="315" t="s">
        <v>45</v>
      </c>
      <c r="R97" s="315">
        <v>1</v>
      </c>
      <c r="S97" s="306">
        <f t="shared" si="29"/>
        <v>0</v>
      </c>
      <c r="T97" s="315"/>
      <c r="U97" s="307"/>
      <c r="V97" s="307"/>
      <c r="W97" s="307"/>
      <c r="X97" s="308">
        <v>0</v>
      </c>
      <c r="Y97" s="368"/>
      <c r="Z97" s="309">
        <f t="shared" si="4"/>
        <v>0</v>
      </c>
      <c r="AA97" s="304"/>
      <c r="AB97" s="304"/>
      <c r="AC97" s="304"/>
      <c r="AD97" s="304"/>
      <c r="AE97" s="310">
        <v>0</v>
      </c>
      <c r="AF97" s="244"/>
      <c r="AG97" s="362" t="e">
        <v>#N/A</v>
      </c>
      <c r="AH97" s="246"/>
    </row>
    <row r="98" spans="1:34" ht="15" thickBot="1" x14ac:dyDescent="0.4">
      <c r="A98" s="252" t="s">
        <v>386</v>
      </c>
      <c r="B98" s="480" t="str">
        <f>VLOOKUP(A98,'Feature Raw Data'!$A$3:$B$3934,2,FALSE)</f>
        <v>TSEN Mission Mod</v>
      </c>
      <c r="C98" s="317"/>
      <c r="D98" s="315" t="s">
        <v>379</v>
      </c>
      <c r="E98" s="361" t="s">
        <v>379</v>
      </c>
      <c r="F98" s="353" t="s">
        <v>387</v>
      </c>
      <c r="G98" s="385" t="str">
        <f>VLOOKUP(A98,'Feature Summary'!$A$7:$C$4005,3,FALSE)</f>
        <v>P1</v>
      </c>
      <c r="H98" s="361" t="s">
        <v>388</v>
      </c>
      <c r="I98" s="361" t="s">
        <v>261</v>
      </c>
      <c r="J98" s="361"/>
      <c r="K98" s="245">
        <v>1</v>
      </c>
      <c r="L98" s="315">
        <v>1</v>
      </c>
      <c r="M98" s="498" t="s">
        <v>33</v>
      </c>
      <c r="N98" s="506">
        <v>1</v>
      </c>
      <c r="O98" s="315">
        <v>0.5</v>
      </c>
      <c r="P98" s="305">
        <f t="shared" ref="P98" si="200">IF((O98=0),0,(O98/L98))</f>
        <v>0.5</v>
      </c>
      <c r="Q98" s="315" t="s">
        <v>45</v>
      </c>
      <c r="R98" s="315">
        <v>1</v>
      </c>
      <c r="S98" s="306">
        <f t="shared" ref="S98" si="201">SUM(T98:W98)</f>
        <v>0</v>
      </c>
      <c r="T98" s="315"/>
      <c r="U98" s="307"/>
      <c r="V98" s="307"/>
      <c r="W98" s="307"/>
      <c r="X98" s="308">
        <v>0</v>
      </c>
      <c r="Y98" s="368"/>
      <c r="Z98" s="309">
        <f t="shared" ref="Z98" si="202">SUM(AA98:AD98)</f>
        <v>0</v>
      </c>
      <c r="AA98" s="304"/>
      <c r="AB98" s="304"/>
      <c r="AC98" s="304"/>
      <c r="AD98" s="304"/>
      <c r="AE98" s="310">
        <v>0</v>
      </c>
      <c r="AF98" s="244"/>
      <c r="AG98" s="362" t="e">
        <v>#N/A</v>
      </c>
      <c r="AH98" s="246"/>
    </row>
    <row r="99" spans="1:34" ht="15" thickBot="1" x14ac:dyDescent="0.4">
      <c r="A99" s="252" t="s">
        <v>389</v>
      </c>
      <c r="B99" s="480" t="str">
        <f>VLOOKUP(A99,'Feature Raw Data'!$A$3:$B$3934,2,FALSE)</f>
        <v>SMU&lt;-&gt;CTSEN Interface</v>
      </c>
      <c r="C99" s="317"/>
      <c r="D99" s="315" t="s">
        <v>379</v>
      </c>
      <c r="E99" s="361" t="s">
        <v>379</v>
      </c>
      <c r="F99" s="353" t="s">
        <v>387</v>
      </c>
      <c r="G99" s="385" t="str">
        <f>VLOOKUP(A99,'Feature Summary'!$A$7:$C$4005,3,FALSE)</f>
        <v>P1</v>
      </c>
      <c r="H99" s="361" t="s">
        <v>388</v>
      </c>
      <c r="I99" s="361" t="s">
        <v>261</v>
      </c>
      <c r="J99" s="361"/>
      <c r="K99" s="245">
        <v>1</v>
      </c>
      <c r="L99" s="315">
        <v>1</v>
      </c>
      <c r="M99" s="498" t="s">
        <v>33</v>
      </c>
      <c r="N99" s="506">
        <v>1</v>
      </c>
      <c r="O99" s="315">
        <v>0.5</v>
      </c>
      <c r="P99" s="305">
        <f t="shared" si="28"/>
        <v>0.5</v>
      </c>
      <c r="Q99" s="315" t="s">
        <v>45</v>
      </c>
      <c r="R99" s="315">
        <v>1</v>
      </c>
      <c r="S99" s="306">
        <f t="shared" si="29"/>
        <v>0</v>
      </c>
      <c r="T99" s="315"/>
      <c r="U99" s="307"/>
      <c r="V99" s="307"/>
      <c r="W99" s="307"/>
      <c r="X99" s="308">
        <v>0</v>
      </c>
      <c r="Y99" s="368"/>
      <c r="Z99" s="309">
        <f t="shared" si="4"/>
        <v>0</v>
      </c>
      <c r="AA99" s="304"/>
      <c r="AB99" s="304"/>
      <c r="AC99" s="304"/>
      <c r="AD99" s="304"/>
      <c r="AE99" s="310">
        <v>0</v>
      </c>
      <c r="AF99" s="244"/>
      <c r="AG99" s="362" t="e">
        <v>#N/A</v>
      </c>
      <c r="AH99" s="246"/>
    </row>
    <row r="100" spans="1:34" ht="15" thickBot="1" x14ac:dyDescent="0.4">
      <c r="A100" s="252" t="s">
        <v>390</v>
      </c>
      <c r="B100" s="480" t="str">
        <f>VLOOKUP(A100,'Feature Raw Data'!$A$3:$B$3934,2,FALSE)</f>
        <v>SMU TSEN Initialization Sequence</v>
      </c>
      <c r="C100" s="317"/>
      <c r="D100" s="315" t="s">
        <v>379</v>
      </c>
      <c r="E100" s="361" t="s">
        <v>379</v>
      </c>
      <c r="F100" s="353" t="s">
        <v>387</v>
      </c>
      <c r="G100" s="385" t="str">
        <f>VLOOKUP(A100,'Feature Summary'!$A$7:$C$4005,3,FALSE)</f>
        <v>P1</v>
      </c>
      <c r="H100" s="361" t="s">
        <v>388</v>
      </c>
      <c r="I100" s="361" t="s">
        <v>261</v>
      </c>
      <c r="J100" s="361"/>
      <c r="K100" s="245">
        <v>1</v>
      </c>
      <c r="L100" s="315">
        <v>1</v>
      </c>
      <c r="M100" s="498" t="s">
        <v>33</v>
      </c>
      <c r="N100" s="506">
        <v>1</v>
      </c>
      <c r="O100" s="315">
        <v>0.5</v>
      </c>
      <c r="P100" s="305">
        <f t="shared" ref="P100" si="203">IF((O100=0),0,(O100/L100))</f>
        <v>0.5</v>
      </c>
      <c r="Q100" s="315" t="s">
        <v>45</v>
      </c>
      <c r="R100" s="315">
        <v>1</v>
      </c>
      <c r="S100" s="306">
        <f t="shared" ref="S100" si="204">SUM(T100:W100)</f>
        <v>0</v>
      </c>
      <c r="T100" s="315"/>
      <c r="U100" s="307"/>
      <c r="V100" s="307"/>
      <c r="W100" s="307"/>
      <c r="X100" s="308">
        <v>0</v>
      </c>
      <c r="Y100" s="368"/>
      <c r="Z100" s="309">
        <f t="shared" ref="Z100" si="205">SUM(AA100:AD100)</f>
        <v>0</v>
      </c>
      <c r="AA100" s="304"/>
      <c r="AB100" s="304"/>
      <c r="AC100" s="304"/>
      <c r="AD100" s="304"/>
      <c r="AE100" s="310">
        <v>0</v>
      </c>
      <c r="AF100" s="244"/>
      <c r="AG100" s="362" t="e">
        <v>#N/A</v>
      </c>
      <c r="AH100" s="246"/>
    </row>
    <row r="101" spans="1:34" ht="15" thickBot="1" x14ac:dyDescent="0.4">
      <c r="A101" s="252" t="s">
        <v>391</v>
      </c>
      <c r="B101" s="480" t="str">
        <f>VLOOKUP(A101,'Feature Raw Data'!$A$3:$B$3934,2,FALSE)</f>
        <v>External Temp sensing /Skin temp</v>
      </c>
      <c r="C101" s="317"/>
      <c r="D101" s="315" t="s">
        <v>379</v>
      </c>
      <c r="E101" s="361" t="s">
        <v>379</v>
      </c>
      <c r="F101" s="353" t="s">
        <v>387</v>
      </c>
      <c r="G101" s="385" t="str">
        <f>VLOOKUP(A101,'Feature Summary'!$A$7:$C$4005,3,FALSE)</f>
        <v>P2</v>
      </c>
      <c r="H101" s="361" t="s">
        <v>388</v>
      </c>
      <c r="I101" s="361" t="s">
        <v>261</v>
      </c>
      <c r="J101" s="361"/>
      <c r="K101" s="245">
        <v>1</v>
      </c>
      <c r="L101" s="315">
        <v>1</v>
      </c>
      <c r="M101" s="498" t="s">
        <v>33</v>
      </c>
      <c r="N101" s="506">
        <v>1</v>
      </c>
      <c r="O101" s="315">
        <v>0.5</v>
      </c>
      <c r="P101" s="305">
        <f t="shared" si="28"/>
        <v>0.5</v>
      </c>
      <c r="Q101" s="315" t="s">
        <v>45</v>
      </c>
      <c r="R101" s="315">
        <v>1</v>
      </c>
      <c r="S101" s="306">
        <f t="shared" si="29"/>
        <v>0</v>
      </c>
      <c r="T101" s="315"/>
      <c r="U101" s="307"/>
      <c r="V101" s="307"/>
      <c r="W101" s="307"/>
      <c r="X101" s="308">
        <v>0</v>
      </c>
      <c r="Y101" s="368"/>
      <c r="Z101" s="309">
        <f t="shared" si="4"/>
        <v>0</v>
      </c>
      <c r="AA101" s="304"/>
      <c r="AB101" s="304"/>
      <c r="AC101" s="304"/>
      <c r="AD101" s="304"/>
      <c r="AE101" s="310">
        <v>0</v>
      </c>
      <c r="AF101" s="244"/>
      <c r="AG101" s="362" t="e">
        <v>#N/A</v>
      </c>
      <c r="AH101" s="246"/>
    </row>
    <row r="102" spans="1:34" ht="15" thickBot="1" x14ac:dyDescent="0.4">
      <c r="A102" s="460" t="s">
        <v>392</v>
      </c>
      <c r="B102" s="480" t="str">
        <f>VLOOKUP(A102,'Feature Raw Data'!$A$3:$B$3934,2,FALSE)</f>
        <v>Telemetry aggregation</v>
      </c>
      <c r="C102" s="461"/>
      <c r="D102" s="462" t="s">
        <v>336</v>
      </c>
      <c r="E102" s="463" t="s">
        <v>393</v>
      </c>
      <c r="F102" s="463" t="s">
        <v>394</v>
      </c>
      <c r="G102" s="385" t="str">
        <f>VLOOKUP(A102,'Feature Summary'!$A$7:$C$4005,3,FALSE)</f>
        <v>P1</v>
      </c>
      <c r="H102" s="463" t="s">
        <v>395</v>
      </c>
      <c r="I102" s="361" t="s">
        <v>261</v>
      </c>
      <c r="J102" s="463"/>
      <c r="K102" s="462">
        <v>1</v>
      </c>
      <c r="L102" s="462">
        <v>1</v>
      </c>
      <c r="M102" s="464" t="s">
        <v>38</v>
      </c>
      <c r="N102" s="506">
        <v>1</v>
      </c>
      <c r="O102" s="315">
        <v>0.5</v>
      </c>
      <c r="P102" s="305">
        <f t="shared" ref="P102:P133" si="206">IF((O102=0),0,(O102/L102))</f>
        <v>0.5</v>
      </c>
      <c r="Q102" s="315" t="s">
        <v>45</v>
      </c>
      <c r="R102" s="315">
        <v>1</v>
      </c>
      <c r="S102" s="306">
        <f t="shared" ref="S102:S133" si="207">SUM(T102:W102)</f>
        <v>0</v>
      </c>
      <c r="T102" s="315"/>
      <c r="U102" s="307"/>
      <c r="V102" s="307"/>
      <c r="W102" s="307"/>
      <c r="X102" s="467">
        <v>0</v>
      </c>
      <c r="Y102" s="468"/>
      <c r="Z102" s="309">
        <f t="shared" ref="Z102:Z132" si="208">SUM(AA102:AD102)</f>
        <v>0</v>
      </c>
      <c r="AA102" s="469"/>
      <c r="AB102" s="470"/>
      <c r="AC102" s="470"/>
      <c r="AD102" s="470"/>
      <c r="AE102" s="471">
        <v>0</v>
      </c>
      <c r="AF102" s="463"/>
      <c r="AG102" s="472" t="s">
        <v>396</v>
      </c>
      <c r="AH102" s="473"/>
    </row>
    <row r="103" spans="1:34" ht="15" thickBot="1" x14ac:dyDescent="0.4">
      <c r="A103" s="460" t="s">
        <v>397</v>
      </c>
      <c r="B103" s="480" t="str">
        <f>VLOOKUP(A103,'Feature Raw Data'!$A$3:$B$3934,2,FALSE)</f>
        <v>DMA</v>
      </c>
      <c r="C103" s="461"/>
      <c r="D103" s="462" t="s">
        <v>336</v>
      </c>
      <c r="E103" s="463" t="s">
        <v>393</v>
      </c>
      <c r="F103" s="463" t="s">
        <v>398</v>
      </c>
      <c r="G103" s="385" t="str">
        <f>VLOOKUP(A103,'Feature Summary'!$A$7:$C$4005,3,FALSE)</f>
        <v>P1</v>
      </c>
      <c r="H103" s="463" t="s">
        <v>399</v>
      </c>
      <c r="I103" s="361" t="s">
        <v>261</v>
      </c>
      <c r="J103" s="463"/>
      <c r="K103" s="462">
        <v>1</v>
      </c>
      <c r="L103" s="462">
        <v>1</v>
      </c>
      <c r="M103" s="464" t="s">
        <v>33</v>
      </c>
      <c r="N103" s="506">
        <v>1</v>
      </c>
      <c r="O103" s="315">
        <v>0.8</v>
      </c>
      <c r="P103" s="305">
        <f t="shared" si="206"/>
        <v>0.8</v>
      </c>
      <c r="Q103" s="315" t="s">
        <v>45</v>
      </c>
      <c r="R103" s="315">
        <v>1</v>
      </c>
      <c r="S103" s="306">
        <f t="shared" si="207"/>
        <v>0</v>
      </c>
      <c r="T103" s="315"/>
      <c r="U103" s="307"/>
      <c r="V103" s="307"/>
      <c r="W103" s="307"/>
      <c r="X103" s="467">
        <v>0</v>
      </c>
      <c r="Y103" s="468"/>
      <c r="Z103" s="309">
        <f t="shared" si="208"/>
        <v>0</v>
      </c>
      <c r="AA103" s="469"/>
      <c r="AB103" s="470"/>
      <c r="AC103" s="470"/>
      <c r="AD103" s="470"/>
      <c r="AE103" s="471">
        <v>0</v>
      </c>
      <c r="AF103" s="463"/>
      <c r="AG103" s="472" t="e">
        <v>#N/A</v>
      </c>
      <c r="AH103" s="473"/>
    </row>
    <row r="104" spans="1:34" ht="15" thickBot="1" x14ac:dyDescent="0.4">
      <c r="A104" s="460" t="s">
        <v>400</v>
      </c>
      <c r="B104" s="480" t="str">
        <f>VLOOKUP(A104,'Feature Raw Data'!$A$3:$B$3934,2,FALSE)</f>
        <v>MMHUB TLB Mapping</v>
      </c>
      <c r="C104" s="461"/>
      <c r="D104" s="462" t="s">
        <v>336</v>
      </c>
      <c r="E104" s="463" t="s">
        <v>393</v>
      </c>
      <c r="F104" s="463" t="s">
        <v>398</v>
      </c>
      <c r="G104" s="385" t="str">
        <f>VLOOKUP(A104,'Feature Summary'!$A$7:$C$4005,3,FALSE)</f>
        <v>P1</v>
      </c>
      <c r="H104" s="463" t="s">
        <v>399</v>
      </c>
      <c r="I104" s="361" t="s">
        <v>261</v>
      </c>
      <c r="J104" s="463"/>
      <c r="K104" s="462">
        <v>1</v>
      </c>
      <c r="L104" s="462">
        <v>1</v>
      </c>
      <c r="M104" s="464" t="s">
        <v>33</v>
      </c>
      <c r="N104" s="506">
        <v>1</v>
      </c>
      <c r="O104" s="315">
        <v>0.8</v>
      </c>
      <c r="P104" s="305">
        <f t="shared" ref="P104" si="209">IF((O104=0),0,(O104/L104))</f>
        <v>0.8</v>
      </c>
      <c r="Q104" s="315" t="s">
        <v>45</v>
      </c>
      <c r="R104" s="315">
        <v>1</v>
      </c>
      <c r="S104" s="306">
        <f t="shared" ref="S104" si="210">SUM(T104:W104)</f>
        <v>0</v>
      </c>
      <c r="T104" s="315"/>
      <c r="U104" s="307"/>
      <c r="V104" s="307"/>
      <c r="W104" s="307"/>
      <c r="X104" s="467">
        <v>0</v>
      </c>
      <c r="Y104" s="468"/>
      <c r="Z104" s="309">
        <f t="shared" ref="Z104" si="211">SUM(AA104:AD104)</f>
        <v>0</v>
      </c>
      <c r="AA104" s="469"/>
      <c r="AB104" s="470"/>
      <c r="AC104" s="470"/>
      <c r="AD104" s="470"/>
      <c r="AE104" s="471">
        <v>0</v>
      </c>
      <c r="AF104" s="463"/>
      <c r="AG104" s="472" t="e">
        <v>#N/A</v>
      </c>
      <c r="AH104" s="473"/>
    </row>
    <row r="105" spans="1:34" ht="15" thickBot="1" x14ac:dyDescent="0.4">
      <c r="A105" s="460" t="s">
        <v>342</v>
      </c>
      <c r="B105" s="480" t="str">
        <f>VLOOKUP(A105,'Feature Raw Data'!$A$3:$B$3934,2,FALSE)</f>
        <v>AXI Interconnect</v>
      </c>
      <c r="C105" s="461"/>
      <c r="D105" s="462" t="s">
        <v>336</v>
      </c>
      <c r="E105" s="463" t="s">
        <v>393</v>
      </c>
      <c r="F105" s="463" t="s">
        <v>398</v>
      </c>
      <c r="G105" s="385" t="str">
        <f>VLOOKUP(A105,'Feature Summary'!$A$7:$C$4005,3,FALSE)</f>
        <v>P1</v>
      </c>
      <c r="H105" s="463" t="s">
        <v>399</v>
      </c>
      <c r="I105" s="361" t="s">
        <v>261</v>
      </c>
      <c r="J105" s="463"/>
      <c r="K105" s="462">
        <v>1</v>
      </c>
      <c r="L105" s="462">
        <v>1</v>
      </c>
      <c r="M105" s="464" t="s">
        <v>33</v>
      </c>
      <c r="N105" s="506">
        <v>1</v>
      </c>
      <c r="O105" s="315">
        <v>0.8</v>
      </c>
      <c r="P105" s="305">
        <f t="shared" si="206"/>
        <v>0.8</v>
      </c>
      <c r="Q105" s="315" t="s">
        <v>45</v>
      </c>
      <c r="R105" s="315">
        <v>1</v>
      </c>
      <c r="S105" s="306">
        <f t="shared" si="207"/>
        <v>0</v>
      </c>
      <c r="T105" s="315"/>
      <c r="U105" s="307"/>
      <c r="V105" s="307"/>
      <c r="W105" s="307"/>
      <c r="X105" s="467">
        <v>0</v>
      </c>
      <c r="Y105" s="468"/>
      <c r="Z105" s="309">
        <f t="shared" si="208"/>
        <v>0</v>
      </c>
      <c r="AA105" s="469"/>
      <c r="AB105" s="470"/>
      <c r="AC105" s="470"/>
      <c r="AD105" s="470"/>
      <c r="AE105" s="471">
        <v>0</v>
      </c>
      <c r="AF105" s="463"/>
      <c r="AG105" s="472" t="e">
        <v>#N/A</v>
      </c>
      <c r="AH105" s="473"/>
    </row>
    <row r="106" spans="1:34" ht="15" thickBot="1" x14ac:dyDescent="0.4">
      <c r="A106" s="460" t="s">
        <v>401</v>
      </c>
      <c r="B106" s="480" t="str">
        <f>VLOOKUP(A106,'Feature Raw Data'!$A$3:$B$3934,2,FALSE)</f>
        <v>PSM</v>
      </c>
      <c r="C106" s="461"/>
      <c r="D106" s="462" t="s">
        <v>336</v>
      </c>
      <c r="E106" s="463" t="s">
        <v>393</v>
      </c>
      <c r="F106" s="463" t="s">
        <v>402</v>
      </c>
      <c r="G106" s="385" t="str">
        <f>VLOOKUP(A106,'Feature Summary'!$A$7:$C$4005,3,FALSE)</f>
        <v>P1</v>
      </c>
      <c r="H106" s="463" t="s">
        <v>403</v>
      </c>
      <c r="I106" s="361" t="s">
        <v>382</v>
      </c>
      <c r="J106" s="463"/>
      <c r="K106" s="462">
        <v>1</v>
      </c>
      <c r="L106" s="462">
        <v>1</v>
      </c>
      <c r="M106" s="464" t="s">
        <v>33</v>
      </c>
      <c r="N106" s="506">
        <v>1</v>
      </c>
      <c r="O106" s="315">
        <v>0.8</v>
      </c>
      <c r="P106" s="305">
        <f t="shared" ref="P106" si="212">IF((O106=0),0,(O106/L106))</f>
        <v>0.8</v>
      </c>
      <c r="Q106" s="315" t="s">
        <v>45</v>
      </c>
      <c r="R106" s="315">
        <v>1</v>
      </c>
      <c r="S106" s="306">
        <f t="shared" ref="S106" si="213">SUM(T106:W106)</f>
        <v>0</v>
      </c>
      <c r="T106" s="315"/>
      <c r="U106" s="307"/>
      <c r="V106" s="307"/>
      <c r="W106" s="307"/>
      <c r="X106" s="467">
        <v>0</v>
      </c>
      <c r="Y106" s="468"/>
      <c r="Z106" s="309">
        <f t="shared" ref="Z106" si="214">SUM(AA106:AD106)</f>
        <v>0</v>
      </c>
      <c r="AA106" s="469"/>
      <c r="AB106" s="470"/>
      <c r="AC106" s="470"/>
      <c r="AD106" s="470"/>
      <c r="AE106" s="471">
        <v>0</v>
      </c>
      <c r="AF106" s="463"/>
      <c r="AG106" s="472" t="e">
        <v>#N/A</v>
      </c>
      <c r="AH106" s="473"/>
    </row>
    <row r="107" spans="1:34" ht="15" thickBot="1" x14ac:dyDescent="0.4">
      <c r="A107" s="460" t="s">
        <v>404</v>
      </c>
      <c r="B107" s="480" t="str">
        <f>VLOOKUP(A107,'Feature Raw Data'!$A$3:$B$3934,2,FALSE)</f>
        <v>PSM on VDDSOC</v>
      </c>
      <c r="C107" s="461"/>
      <c r="D107" s="462" t="s">
        <v>336</v>
      </c>
      <c r="E107" s="463" t="s">
        <v>393</v>
      </c>
      <c r="F107" s="463" t="s">
        <v>402</v>
      </c>
      <c r="G107" s="385" t="str">
        <f>VLOOKUP(A107,'Feature Summary'!$A$7:$C$4005,3,FALSE)</f>
        <v>P1</v>
      </c>
      <c r="H107" s="463" t="s">
        <v>403</v>
      </c>
      <c r="I107" s="361" t="s">
        <v>382</v>
      </c>
      <c r="J107" s="463"/>
      <c r="K107" s="462">
        <v>1</v>
      </c>
      <c r="L107" s="462">
        <v>1</v>
      </c>
      <c r="M107" s="464" t="s">
        <v>33</v>
      </c>
      <c r="N107" s="506">
        <v>1</v>
      </c>
      <c r="O107" s="315">
        <v>0.8</v>
      </c>
      <c r="P107" s="305">
        <f t="shared" si="206"/>
        <v>0.8</v>
      </c>
      <c r="Q107" s="315" t="s">
        <v>45</v>
      </c>
      <c r="R107" s="315">
        <v>1</v>
      </c>
      <c r="S107" s="306">
        <f t="shared" si="207"/>
        <v>0</v>
      </c>
      <c r="T107" s="315"/>
      <c r="U107" s="307"/>
      <c r="V107" s="307"/>
      <c r="W107" s="307"/>
      <c r="X107" s="467">
        <v>0</v>
      </c>
      <c r="Y107" s="468"/>
      <c r="Z107" s="309">
        <f t="shared" si="208"/>
        <v>0</v>
      </c>
      <c r="AA107" s="469"/>
      <c r="AB107" s="470"/>
      <c r="AC107" s="470"/>
      <c r="AD107" s="470"/>
      <c r="AE107" s="471">
        <v>0</v>
      </c>
      <c r="AF107" s="463"/>
      <c r="AG107" s="472" t="e">
        <v>#N/A</v>
      </c>
      <c r="AH107" s="473"/>
    </row>
    <row r="108" spans="1:34" ht="15" thickBot="1" x14ac:dyDescent="0.4">
      <c r="A108" s="460" t="s">
        <v>405</v>
      </c>
      <c r="B108" s="480" t="str">
        <f>VLOOKUP(A108,'Feature Raw Data'!$A$3:$B$3934,2,FALSE)</f>
        <v>Fcstate - Test check Functionality</v>
      </c>
      <c r="C108" s="461"/>
      <c r="D108" s="462" t="s">
        <v>336</v>
      </c>
      <c r="E108" s="461" t="s">
        <v>406</v>
      </c>
      <c r="F108" s="461" t="s">
        <v>406</v>
      </c>
      <c r="G108" s="385" t="str">
        <f>VLOOKUP(A108,'Feature Summary'!$A$7:$C$4005,3,FALSE)</f>
        <v>P2</v>
      </c>
      <c r="H108" s="474" t="s">
        <v>407</v>
      </c>
      <c r="I108" s="361" t="s">
        <v>382</v>
      </c>
      <c r="J108" s="463"/>
      <c r="K108" s="462">
        <v>1</v>
      </c>
      <c r="L108" s="462">
        <v>1</v>
      </c>
      <c r="M108" s="464" t="s">
        <v>42</v>
      </c>
      <c r="N108" s="506">
        <v>1</v>
      </c>
      <c r="O108" s="315">
        <v>0.8</v>
      </c>
      <c r="P108" s="305">
        <f t="shared" ref="P108:P109" si="215">IF((O108=0),0,(O108/L108))</f>
        <v>0.8</v>
      </c>
      <c r="Q108" s="315" t="s">
        <v>45</v>
      </c>
      <c r="R108" s="315">
        <v>1</v>
      </c>
      <c r="S108" s="306">
        <f t="shared" ref="S108:S109" si="216">SUM(T108:W108)</f>
        <v>0</v>
      </c>
      <c r="T108" s="315"/>
      <c r="U108" s="307"/>
      <c r="V108" s="307"/>
      <c r="W108" s="307"/>
      <c r="X108" s="467">
        <v>0</v>
      </c>
      <c r="Y108" s="468"/>
      <c r="Z108" s="309">
        <f t="shared" ref="Z108:Z109" si="217">SUM(AA108:AD108)</f>
        <v>0</v>
      </c>
      <c r="AA108" s="470"/>
      <c r="AB108" s="470"/>
      <c r="AC108" s="470"/>
      <c r="AD108" s="470"/>
      <c r="AE108" s="471">
        <v>0</v>
      </c>
      <c r="AF108" s="463"/>
      <c r="AG108" s="472" t="s">
        <v>408</v>
      </c>
      <c r="AH108" s="473"/>
    </row>
    <row r="109" spans="1:34" ht="15" thickBot="1" x14ac:dyDescent="0.4">
      <c r="A109" s="460" t="s">
        <v>405</v>
      </c>
      <c r="B109" s="480" t="str">
        <f>VLOOKUP(A109,'Feature Raw Data'!$A$3:$B$3934,2,FALSE)</f>
        <v>Fcstate - Test check Functionality</v>
      </c>
      <c r="C109" s="461"/>
      <c r="D109" s="462" t="s">
        <v>257</v>
      </c>
      <c r="E109" s="463" t="s">
        <v>409</v>
      </c>
      <c r="F109" s="463" t="s">
        <v>410</v>
      </c>
      <c r="G109" s="385" t="str">
        <f>VLOOKUP(A109,'Feature Summary'!$A$7:$C$4005,3,FALSE)</f>
        <v>P2</v>
      </c>
      <c r="H109" s="463" t="s">
        <v>411</v>
      </c>
      <c r="I109" s="361" t="s">
        <v>382</v>
      </c>
      <c r="J109" s="463"/>
      <c r="K109" s="245">
        <v>1</v>
      </c>
      <c r="L109" s="315">
        <v>1</v>
      </c>
      <c r="M109" s="464" t="s">
        <v>33</v>
      </c>
      <c r="N109" s="506">
        <v>1</v>
      </c>
      <c r="O109" s="315">
        <v>0.3</v>
      </c>
      <c r="P109" s="305">
        <f t="shared" si="215"/>
        <v>0.3</v>
      </c>
      <c r="Q109" s="315" t="s">
        <v>45</v>
      </c>
      <c r="R109" s="315">
        <v>1</v>
      </c>
      <c r="S109" s="306">
        <f t="shared" si="216"/>
        <v>0</v>
      </c>
      <c r="T109" s="315"/>
      <c r="U109" s="307"/>
      <c r="V109" s="307"/>
      <c r="W109" s="307"/>
      <c r="X109" s="467">
        <v>0</v>
      </c>
      <c r="Y109" s="468"/>
      <c r="Z109" s="309">
        <f t="shared" si="217"/>
        <v>0</v>
      </c>
      <c r="AA109" s="469"/>
      <c r="AB109" s="470"/>
      <c r="AC109" s="470"/>
      <c r="AD109" s="470"/>
      <c r="AE109" s="471">
        <v>0</v>
      </c>
      <c r="AF109" s="463"/>
      <c r="AG109" s="472" t="e">
        <v>#N/A</v>
      </c>
      <c r="AH109" s="473"/>
    </row>
    <row r="110" spans="1:34" ht="15" thickBot="1" x14ac:dyDescent="0.4">
      <c r="A110" s="460" t="s">
        <v>269</v>
      </c>
      <c r="B110" s="480" t="str">
        <f>VLOOKUP(A110,'Feature Raw Data'!$A$3:$B$3934,2,FALSE)</f>
        <v>Fcstate-Pstate change</v>
      </c>
      <c r="C110" s="461"/>
      <c r="D110" s="462" t="s">
        <v>257</v>
      </c>
      <c r="E110" s="463" t="s">
        <v>409</v>
      </c>
      <c r="F110" s="463" t="s">
        <v>410</v>
      </c>
      <c r="G110" s="385" t="str">
        <f>VLOOKUP(A110,'Feature Summary'!$A$7:$C$4005,3,FALSE)</f>
        <v>P1</v>
      </c>
      <c r="H110" s="463" t="s">
        <v>411</v>
      </c>
      <c r="I110" s="361" t="s">
        <v>382</v>
      </c>
      <c r="J110" s="463"/>
      <c r="K110" s="245">
        <v>1</v>
      </c>
      <c r="L110" s="315">
        <v>1</v>
      </c>
      <c r="M110" s="464" t="s">
        <v>33</v>
      </c>
      <c r="N110" s="506">
        <v>1</v>
      </c>
      <c r="O110" s="315">
        <v>0.3</v>
      </c>
      <c r="P110" s="305">
        <f t="shared" si="206"/>
        <v>0.3</v>
      </c>
      <c r="Q110" s="315" t="s">
        <v>45</v>
      </c>
      <c r="R110" s="315">
        <v>1</v>
      </c>
      <c r="S110" s="306">
        <f t="shared" si="207"/>
        <v>0</v>
      </c>
      <c r="T110" s="315"/>
      <c r="U110" s="307"/>
      <c r="V110" s="307"/>
      <c r="W110" s="307"/>
      <c r="X110" s="467">
        <v>0</v>
      </c>
      <c r="Y110" s="468"/>
      <c r="Z110" s="309">
        <f t="shared" si="208"/>
        <v>0</v>
      </c>
      <c r="AA110" s="469"/>
      <c r="AB110" s="470"/>
      <c r="AC110" s="470"/>
      <c r="AD110" s="470"/>
      <c r="AE110" s="471">
        <v>0</v>
      </c>
      <c r="AF110" s="463"/>
      <c r="AG110" s="472" t="e">
        <v>#N/A</v>
      </c>
      <c r="AH110" s="473"/>
    </row>
    <row r="111" spans="1:34" ht="15" thickBot="1" x14ac:dyDescent="0.4">
      <c r="A111" s="460" t="s">
        <v>267</v>
      </c>
      <c r="B111" s="480" t="str">
        <f>VLOOKUP(A111,'Feature Raw Data'!$A$3:$B$3934,2,FALSE)</f>
        <v>VCO Change/Fractional Divider/Multiplier</v>
      </c>
      <c r="C111" s="461"/>
      <c r="D111" s="462" t="s">
        <v>336</v>
      </c>
      <c r="E111" s="463" t="s">
        <v>409</v>
      </c>
      <c r="F111" s="461" t="s">
        <v>412</v>
      </c>
      <c r="G111" s="385" t="str">
        <f>VLOOKUP(A111,'Feature Summary'!$A$7:$C$4005,3,FALSE)</f>
        <v>P1</v>
      </c>
      <c r="H111" s="474" t="s">
        <v>413</v>
      </c>
      <c r="I111" s="361" t="s">
        <v>261</v>
      </c>
      <c r="J111" s="463"/>
      <c r="K111" s="462">
        <v>1</v>
      </c>
      <c r="L111" s="462">
        <v>1</v>
      </c>
      <c r="M111" s="464" t="s">
        <v>42</v>
      </c>
      <c r="N111" s="506">
        <v>1</v>
      </c>
      <c r="O111" s="315">
        <v>0.6</v>
      </c>
      <c r="P111" s="305">
        <f t="shared" si="206"/>
        <v>0.6</v>
      </c>
      <c r="Q111" s="315" t="s">
        <v>45</v>
      </c>
      <c r="R111" s="315">
        <v>1</v>
      </c>
      <c r="S111" s="306">
        <f t="shared" si="207"/>
        <v>0</v>
      </c>
      <c r="T111" s="315"/>
      <c r="U111" s="307"/>
      <c r="V111" s="307"/>
      <c r="W111" s="307"/>
      <c r="X111" s="467">
        <v>0</v>
      </c>
      <c r="Y111" s="468"/>
      <c r="Z111" s="309">
        <f t="shared" si="208"/>
        <v>0</v>
      </c>
      <c r="AA111" s="470"/>
      <c r="AB111" s="470"/>
      <c r="AC111" s="470"/>
      <c r="AD111" s="470"/>
      <c r="AE111" s="471">
        <v>0</v>
      </c>
      <c r="AF111" s="463"/>
      <c r="AG111" s="472" t="s">
        <v>408</v>
      </c>
      <c r="AH111" s="473"/>
    </row>
    <row r="112" spans="1:34" ht="15" thickBot="1" x14ac:dyDescent="0.4">
      <c r="A112" s="460" t="s">
        <v>262</v>
      </c>
      <c r="B112" s="480" t="str">
        <f>VLOOKUP(A112,'Feature Raw Data'!$A$3:$B$3934,2,FALSE)</f>
        <v>Tick-Counter</v>
      </c>
      <c r="C112" s="461"/>
      <c r="D112" s="462" t="s">
        <v>336</v>
      </c>
      <c r="E112" s="463" t="s">
        <v>409</v>
      </c>
      <c r="F112" s="461" t="s">
        <v>412</v>
      </c>
      <c r="G112" s="385" t="str">
        <f>VLOOKUP(A112,'Feature Summary'!$A$7:$C$4005,3,FALSE)</f>
        <v>P1</v>
      </c>
      <c r="H112" s="474" t="s">
        <v>413</v>
      </c>
      <c r="I112" s="361" t="s">
        <v>261</v>
      </c>
      <c r="J112" s="463"/>
      <c r="K112" s="462">
        <v>1</v>
      </c>
      <c r="L112" s="462">
        <v>1</v>
      </c>
      <c r="M112" s="464" t="s">
        <v>42</v>
      </c>
      <c r="N112" s="506">
        <v>1</v>
      </c>
      <c r="O112" s="315">
        <v>0.6</v>
      </c>
      <c r="P112" s="305">
        <f t="shared" ref="P112" si="218">IF((O112=0),0,(O112/L112))</f>
        <v>0.6</v>
      </c>
      <c r="Q112" s="315" t="s">
        <v>45</v>
      </c>
      <c r="R112" s="315">
        <v>1</v>
      </c>
      <c r="S112" s="306">
        <f t="shared" ref="S112" si="219">SUM(T112:W112)</f>
        <v>0</v>
      </c>
      <c r="T112" s="315"/>
      <c r="U112" s="307"/>
      <c r="V112" s="307"/>
      <c r="W112" s="307"/>
      <c r="X112" s="467">
        <v>0</v>
      </c>
      <c r="Y112" s="468"/>
      <c r="Z112" s="309">
        <f t="shared" ref="Z112" si="220">SUM(AA112:AD112)</f>
        <v>0</v>
      </c>
      <c r="AA112" s="470"/>
      <c r="AB112" s="470"/>
      <c r="AC112" s="470"/>
      <c r="AD112" s="470"/>
      <c r="AE112" s="471">
        <v>0</v>
      </c>
      <c r="AF112" s="463"/>
      <c r="AG112" s="472" t="s">
        <v>408</v>
      </c>
      <c r="AH112" s="473"/>
    </row>
    <row r="113" spans="1:34" ht="15" thickBot="1" x14ac:dyDescent="0.4">
      <c r="A113" s="460" t="s">
        <v>268</v>
      </c>
      <c r="B113" s="480" t="str">
        <f>VLOOKUP(A113,'Feature Raw Data'!$A$3:$B$3934,2,FALSE)</f>
        <v>DPM Signal</v>
      </c>
      <c r="C113" s="461"/>
      <c r="D113" s="462" t="s">
        <v>336</v>
      </c>
      <c r="E113" s="463" t="s">
        <v>409</v>
      </c>
      <c r="F113" s="461" t="s">
        <v>412</v>
      </c>
      <c r="G113" s="385" t="str">
        <f>VLOOKUP(A113,'Feature Summary'!$A$7:$C$4005,3,FALSE)</f>
        <v>P1</v>
      </c>
      <c r="H113" s="474" t="s">
        <v>413</v>
      </c>
      <c r="I113" s="361" t="s">
        <v>261</v>
      </c>
      <c r="J113" s="463"/>
      <c r="K113" s="462">
        <v>1</v>
      </c>
      <c r="L113" s="462">
        <v>1</v>
      </c>
      <c r="M113" s="464" t="s">
        <v>42</v>
      </c>
      <c r="N113" s="506">
        <v>1</v>
      </c>
      <c r="O113" s="315">
        <v>0.6</v>
      </c>
      <c r="P113" s="305">
        <f t="shared" si="206"/>
        <v>0.6</v>
      </c>
      <c r="Q113" s="315" t="s">
        <v>45</v>
      </c>
      <c r="R113" s="315">
        <v>1</v>
      </c>
      <c r="S113" s="306">
        <f t="shared" si="207"/>
        <v>0</v>
      </c>
      <c r="T113" s="315"/>
      <c r="U113" s="307"/>
      <c r="V113" s="307"/>
      <c r="W113" s="307"/>
      <c r="X113" s="467">
        <v>0</v>
      </c>
      <c r="Y113" s="468"/>
      <c r="Z113" s="309">
        <f t="shared" si="208"/>
        <v>0</v>
      </c>
      <c r="AA113" s="470"/>
      <c r="AB113" s="470"/>
      <c r="AC113" s="470"/>
      <c r="AD113" s="470"/>
      <c r="AE113" s="471">
        <v>0</v>
      </c>
      <c r="AF113" s="463"/>
      <c r="AG113" s="472" t="s">
        <v>408</v>
      </c>
      <c r="AH113" s="473"/>
    </row>
    <row r="114" spans="1:34" ht="15" thickBot="1" x14ac:dyDescent="0.4">
      <c r="A114" s="460" t="s">
        <v>414</v>
      </c>
      <c r="B114" s="480" t="str">
        <f>VLOOKUP(A114,'Feature Raw Data'!$A$3:$B$3934,2,FALSE)</f>
        <v>VCN IP sideband to control VCN clock via VCN IP</v>
      </c>
      <c r="C114" s="461"/>
      <c r="D114" s="462" t="s">
        <v>336</v>
      </c>
      <c r="E114" s="463" t="s">
        <v>409</v>
      </c>
      <c r="F114" s="461" t="s">
        <v>415</v>
      </c>
      <c r="G114" s="385" t="str">
        <f>VLOOKUP(A114,'Feature Summary'!$A$7:$C$4005,3,FALSE)</f>
        <v>P1</v>
      </c>
      <c r="H114" s="474" t="s">
        <v>416</v>
      </c>
      <c r="I114" s="361" t="s">
        <v>261</v>
      </c>
      <c r="J114" s="463"/>
      <c r="K114" s="245">
        <v>1</v>
      </c>
      <c r="L114" s="315">
        <v>1</v>
      </c>
      <c r="M114" s="464" t="s">
        <v>42</v>
      </c>
      <c r="N114" s="506">
        <v>1</v>
      </c>
      <c r="O114" s="315">
        <v>0.6</v>
      </c>
      <c r="P114" s="305">
        <f t="shared" ref="P114" si="221">IF((O114=0),0,(O114/L114))</f>
        <v>0.6</v>
      </c>
      <c r="Q114" s="315" t="s">
        <v>45</v>
      </c>
      <c r="R114" s="462">
        <v>1</v>
      </c>
      <c r="S114" s="306">
        <f t="shared" ref="S114" si="222">SUM(T114:W114)</f>
        <v>0</v>
      </c>
      <c r="T114" s="315"/>
      <c r="U114" s="307"/>
      <c r="V114" s="307"/>
      <c r="W114" s="307"/>
      <c r="X114" s="467">
        <v>0</v>
      </c>
      <c r="Y114" s="468"/>
      <c r="Z114" s="309">
        <f t="shared" ref="Z114" si="223">SUM(AA114:AD114)</f>
        <v>0</v>
      </c>
      <c r="AA114" s="470"/>
      <c r="AB114" s="470"/>
      <c r="AC114" s="470"/>
      <c r="AD114" s="470"/>
      <c r="AE114" s="471">
        <v>0</v>
      </c>
      <c r="AF114" s="463"/>
      <c r="AG114" s="472" t="s">
        <v>408</v>
      </c>
      <c r="AH114" s="473"/>
    </row>
    <row r="115" spans="1:34" ht="15" thickBot="1" x14ac:dyDescent="0.4">
      <c r="A115" s="460" t="s">
        <v>267</v>
      </c>
      <c r="B115" s="480" t="str">
        <f>VLOOKUP(A115,'Feature Raw Data'!$A$3:$B$3934,2,FALSE)</f>
        <v>VCO Change/Fractional Divider/Multiplier</v>
      </c>
      <c r="C115" s="461"/>
      <c r="D115" s="462" t="s">
        <v>336</v>
      </c>
      <c r="E115" s="463" t="s">
        <v>409</v>
      </c>
      <c r="F115" s="461" t="s">
        <v>415</v>
      </c>
      <c r="G115" s="385" t="str">
        <f>VLOOKUP(A115,'Feature Summary'!$A$7:$C$4005,3,FALSE)</f>
        <v>P1</v>
      </c>
      <c r="H115" s="474" t="s">
        <v>416</v>
      </c>
      <c r="I115" s="361" t="s">
        <v>261</v>
      </c>
      <c r="J115" s="463"/>
      <c r="K115" s="245">
        <v>1</v>
      </c>
      <c r="L115" s="315">
        <v>1</v>
      </c>
      <c r="M115" s="464" t="s">
        <v>42</v>
      </c>
      <c r="N115" s="506">
        <v>1</v>
      </c>
      <c r="O115" s="315">
        <v>0.6</v>
      </c>
      <c r="P115" s="305">
        <f t="shared" si="206"/>
        <v>0.6</v>
      </c>
      <c r="Q115" s="315" t="s">
        <v>45</v>
      </c>
      <c r="R115" s="462">
        <v>1</v>
      </c>
      <c r="S115" s="306">
        <f t="shared" si="207"/>
        <v>0</v>
      </c>
      <c r="T115" s="315"/>
      <c r="U115" s="307"/>
      <c r="V115" s="307"/>
      <c r="W115" s="307"/>
      <c r="X115" s="467">
        <v>0</v>
      </c>
      <c r="Y115" s="468"/>
      <c r="Z115" s="309">
        <f t="shared" si="208"/>
        <v>0</v>
      </c>
      <c r="AA115" s="470"/>
      <c r="AB115" s="470"/>
      <c r="AC115" s="470"/>
      <c r="AD115" s="470"/>
      <c r="AE115" s="471">
        <v>0</v>
      </c>
      <c r="AF115" s="463"/>
      <c r="AG115" s="472" t="s">
        <v>408</v>
      </c>
      <c r="AH115" s="473"/>
    </row>
    <row r="116" spans="1:34" ht="15" thickBot="1" x14ac:dyDescent="0.4">
      <c r="A116" s="460" t="s">
        <v>262</v>
      </c>
      <c r="B116" s="480" t="str">
        <f>VLOOKUP(A116,'Feature Raw Data'!$A$3:$B$3934,2,FALSE)</f>
        <v>Tick-Counter</v>
      </c>
      <c r="C116" s="461"/>
      <c r="D116" s="462" t="s">
        <v>336</v>
      </c>
      <c r="E116" s="463" t="s">
        <v>409</v>
      </c>
      <c r="F116" s="461" t="s">
        <v>415</v>
      </c>
      <c r="G116" s="385" t="str">
        <f>VLOOKUP(A116,'Feature Summary'!$A$7:$C$4005,3,FALSE)</f>
        <v>P1</v>
      </c>
      <c r="H116" s="474" t="s">
        <v>416</v>
      </c>
      <c r="I116" s="361" t="s">
        <v>261</v>
      </c>
      <c r="J116" s="463"/>
      <c r="K116" s="245">
        <v>1</v>
      </c>
      <c r="L116" s="315">
        <v>1</v>
      </c>
      <c r="M116" s="464" t="s">
        <v>42</v>
      </c>
      <c r="N116" s="506">
        <v>1</v>
      </c>
      <c r="O116" s="315">
        <v>0.6</v>
      </c>
      <c r="P116" s="305">
        <f t="shared" ref="P116" si="224">IF((O116=0),0,(O116/L116))</f>
        <v>0.6</v>
      </c>
      <c r="Q116" s="315" t="s">
        <v>45</v>
      </c>
      <c r="R116" s="462">
        <v>1</v>
      </c>
      <c r="S116" s="306">
        <f t="shared" ref="S116" si="225">SUM(T116:W116)</f>
        <v>0</v>
      </c>
      <c r="T116" s="315"/>
      <c r="U116" s="307"/>
      <c r="V116" s="307"/>
      <c r="W116" s="307"/>
      <c r="X116" s="467">
        <v>0</v>
      </c>
      <c r="Y116" s="468"/>
      <c r="Z116" s="309">
        <f t="shared" ref="Z116" si="226">SUM(AA116:AD116)</f>
        <v>0</v>
      </c>
      <c r="AA116" s="470"/>
      <c r="AB116" s="470"/>
      <c r="AC116" s="470"/>
      <c r="AD116" s="470"/>
      <c r="AE116" s="471">
        <v>0</v>
      </c>
      <c r="AF116" s="463"/>
      <c r="AG116" s="472" t="s">
        <v>408</v>
      </c>
      <c r="AH116" s="473"/>
    </row>
    <row r="117" spans="1:34" ht="15" thickBot="1" x14ac:dyDescent="0.4">
      <c r="A117" s="460" t="s">
        <v>268</v>
      </c>
      <c r="B117" s="480" t="str">
        <f>VLOOKUP(A117,'Feature Raw Data'!$A$3:$B$3934,2,FALSE)</f>
        <v>DPM Signal</v>
      </c>
      <c r="C117" s="461"/>
      <c r="D117" s="462" t="s">
        <v>336</v>
      </c>
      <c r="E117" s="463" t="s">
        <v>409</v>
      </c>
      <c r="F117" s="461" t="s">
        <v>415</v>
      </c>
      <c r="G117" s="385" t="str">
        <f>VLOOKUP(A117,'Feature Summary'!$A$7:$C$4005,3,FALSE)</f>
        <v>P1</v>
      </c>
      <c r="H117" s="474" t="s">
        <v>416</v>
      </c>
      <c r="I117" s="361" t="s">
        <v>261</v>
      </c>
      <c r="J117" s="463"/>
      <c r="K117" s="245">
        <v>1</v>
      </c>
      <c r="L117" s="315">
        <v>1</v>
      </c>
      <c r="M117" s="464" t="s">
        <v>42</v>
      </c>
      <c r="N117" s="506">
        <v>1</v>
      </c>
      <c r="O117" s="315">
        <v>0.6</v>
      </c>
      <c r="P117" s="305">
        <f t="shared" si="206"/>
        <v>0.6</v>
      </c>
      <c r="Q117" s="315" t="s">
        <v>45</v>
      </c>
      <c r="R117" s="462">
        <v>1</v>
      </c>
      <c r="S117" s="306">
        <f t="shared" si="207"/>
        <v>0</v>
      </c>
      <c r="T117" s="315"/>
      <c r="U117" s="307"/>
      <c r="V117" s="307"/>
      <c r="W117" s="307"/>
      <c r="X117" s="467">
        <v>0</v>
      </c>
      <c r="Y117" s="468"/>
      <c r="Z117" s="309">
        <f t="shared" si="208"/>
        <v>0</v>
      </c>
      <c r="AA117" s="470"/>
      <c r="AB117" s="470"/>
      <c r="AC117" s="470"/>
      <c r="AD117" s="470"/>
      <c r="AE117" s="471">
        <v>0</v>
      </c>
      <c r="AF117" s="463"/>
      <c r="AG117" s="472" t="s">
        <v>408</v>
      </c>
      <c r="AH117" s="473"/>
    </row>
    <row r="118" spans="1:34" ht="15" thickBot="1" x14ac:dyDescent="0.4">
      <c r="A118" s="460" t="s">
        <v>417</v>
      </c>
      <c r="B118" s="480" t="str">
        <f>VLOOKUP(A118,'Feature Raw Data'!$A$3:$B$3934,2,FALSE)</f>
        <v>Fan Zero RPM Mode</v>
      </c>
      <c r="C118" s="461"/>
      <c r="D118" s="462" t="s">
        <v>379</v>
      </c>
      <c r="E118" s="463" t="s">
        <v>418</v>
      </c>
      <c r="F118" s="463" t="s">
        <v>419</v>
      </c>
      <c r="G118" s="385" t="str">
        <f>VLOOKUP(A118,'Feature Summary'!$A$7:$C$4005,3,FALSE)</f>
        <v>P1</v>
      </c>
      <c r="H118" s="474" t="s">
        <v>420</v>
      </c>
      <c r="I118" s="361" t="s">
        <v>382</v>
      </c>
      <c r="J118" s="463"/>
      <c r="K118" s="462">
        <v>1</v>
      </c>
      <c r="L118" s="462">
        <v>1</v>
      </c>
      <c r="M118" s="464" t="s">
        <v>33</v>
      </c>
      <c r="N118" s="506">
        <v>1</v>
      </c>
      <c r="O118" s="315">
        <v>0.3</v>
      </c>
      <c r="P118" s="305">
        <f t="shared" si="206"/>
        <v>0.3</v>
      </c>
      <c r="Q118" s="315" t="s">
        <v>45</v>
      </c>
      <c r="R118" s="462">
        <v>1</v>
      </c>
      <c r="S118" s="306">
        <f t="shared" si="207"/>
        <v>0</v>
      </c>
      <c r="T118" s="315"/>
      <c r="U118" s="307"/>
      <c r="V118" s="307"/>
      <c r="W118" s="307"/>
      <c r="X118" s="467">
        <v>0</v>
      </c>
      <c r="Y118" s="468"/>
      <c r="Z118" s="309">
        <f t="shared" si="208"/>
        <v>0</v>
      </c>
      <c r="AA118" s="470"/>
      <c r="AB118" s="470"/>
      <c r="AC118" s="470"/>
      <c r="AD118" s="470"/>
      <c r="AE118" s="471">
        <v>0</v>
      </c>
      <c r="AF118" s="463"/>
      <c r="AG118" s="472" t="e">
        <v>#N/A</v>
      </c>
      <c r="AH118" s="473"/>
    </row>
    <row r="119" spans="1:34" ht="15" thickBot="1" x14ac:dyDescent="0.4">
      <c r="A119" s="460" t="s">
        <v>421</v>
      </c>
      <c r="B119" s="480" t="str">
        <f>VLOOKUP(A119,'Feature Raw Data'!$A$3:$B$3934,2,FALSE)</f>
        <v>Fan Dynamic Mode</v>
      </c>
      <c r="C119" s="461"/>
      <c r="D119" s="462" t="s">
        <v>379</v>
      </c>
      <c r="E119" s="463" t="s">
        <v>418</v>
      </c>
      <c r="F119" s="463" t="s">
        <v>419</v>
      </c>
      <c r="G119" s="385" t="str">
        <f>VLOOKUP(A119,'Feature Summary'!$A$7:$C$4005,3,FALSE)</f>
        <v>P1</v>
      </c>
      <c r="H119" s="474" t="s">
        <v>420</v>
      </c>
      <c r="I119" s="361" t="s">
        <v>382</v>
      </c>
      <c r="J119" s="463"/>
      <c r="K119" s="462">
        <v>1</v>
      </c>
      <c r="L119" s="462">
        <v>1</v>
      </c>
      <c r="M119" s="464" t="s">
        <v>33</v>
      </c>
      <c r="N119" s="506">
        <v>1</v>
      </c>
      <c r="O119" s="315">
        <v>0.3</v>
      </c>
      <c r="P119" s="305">
        <f t="shared" ref="P119:P120" si="227">IF((O119=0),0,(O119/L119))</f>
        <v>0.3</v>
      </c>
      <c r="Q119" s="315" t="s">
        <v>45</v>
      </c>
      <c r="R119" s="462">
        <v>1</v>
      </c>
      <c r="S119" s="306">
        <f t="shared" ref="S119:S120" si="228">SUM(T119:W119)</f>
        <v>0</v>
      </c>
      <c r="T119" s="315"/>
      <c r="U119" s="307"/>
      <c r="V119" s="307"/>
      <c r="W119" s="307"/>
      <c r="X119" s="467">
        <v>0</v>
      </c>
      <c r="Y119" s="468"/>
      <c r="Z119" s="309">
        <f t="shared" ref="Z119:Z120" si="229">SUM(AA119:AD119)</f>
        <v>0</v>
      </c>
      <c r="AA119" s="470"/>
      <c r="AB119" s="470"/>
      <c r="AC119" s="470"/>
      <c r="AD119" s="470"/>
      <c r="AE119" s="471">
        <v>0</v>
      </c>
      <c r="AF119" s="463"/>
      <c r="AG119" s="472" t="e">
        <v>#N/A</v>
      </c>
      <c r="AH119" s="473"/>
    </row>
    <row r="120" spans="1:34" ht="15" thickBot="1" x14ac:dyDescent="0.4">
      <c r="A120" s="460" t="s">
        <v>422</v>
      </c>
      <c r="B120" s="480" t="str">
        <f>VLOOKUP(A120,'Feature Raw Data'!$A$3:$B$3934,2,FALSE)</f>
        <v>Fan Static PWM Mode</v>
      </c>
      <c r="C120" s="461"/>
      <c r="D120" s="462" t="s">
        <v>379</v>
      </c>
      <c r="E120" s="463" t="s">
        <v>418</v>
      </c>
      <c r="F120" s="463" t="s">
        <v>419</v>
      </c>
      <c r="G120" s="385" t="str">
        <f>VLOOKUP(A120,'Feature Summary'!$A$7:$C$4005,3,FALSE)</f>
        <v>P1</v>
      </c>
      <c r="H120" s="474" t="s">
        <v>420</v>
      </c>
      <c r="I120" s="361" t="s">
        <v>382</v>
      </c>
      <c r="J120" s="463"/>
      <c r="K120" s="462">
        <v>1</v>
      </c>
      <c r="L120" s="462">
        <v>1</v>
      </c>
      <c r="M120" s="464" t="s">
        <v>33</v>
      </c>
      <c r="N120" s="506">
        <v>1</v>
      </c>
      <c r="O120" s="315">
        <v>0.3</v>
      </c>
      <c r="P120" s="305">
        <f t="shared" si="227"/>
        <v>0.3</v>
      </c>
      <c r="Q120" s="315" t="s">
        <v>45</v>
      </c>
      <c r="R120" s="462">
        <v>1</v>
      </c>
      <c r="S120" s="306">
        <f t="shared" si="228"/>
        <v>0</v>
      </c>
      <c r="T120" s="315"/>
      <c r="U120" s="307"/>
      <c r="V120" s="307"/>
      <c r="W120" s="307"/>
      <c r="X120" s="467">
        <v>0</v>
      </c>
      <c r="Y120" s="468"/>
      <c r="Z120" s="309">
        <f t="shared" si="229"/>
        <v>0</v>
      </c>
      <c r="AA120" s="470"/>
      <c r="AB120" s="470"/>
      <c r="AC120" s="470"/>
      <c r="AD120" s="470"/>
      <c r="AE120" s="471">
        <v>0</v>
      </c>
      <c r="AF120" s="463"/>
      <c r="AG120" s="472" t="e">
        <v>#N/A</v>
      </c>
      <c r="AH120" s="473"/>
    </row>
    <row r="121" spans="1:34" ht="15" thickBot="1" x14ac:dyDescent="0.4">
      <c r="A121" s="460" t="s">
        <v>423</v>
      </c>
      <c r="B121" s="480" t="str">
        <f>VLOOKUP(A121,'Feature Raw Data'!$A$3:$B$3934,2,FALSE)</f>
        <v>Fan Static RPM Mode</v>
      </c>
      <c r="C121" s="461"/>
      <c r="D121" s="462" t="s">
        <v>379</v>
      </c>
      <c r="E121" s="463" t="s">
        <v>418</v>
      </c>
      <c r="F121" s="463" t="s">
        <v>419</v>
      </c>
      <c r="G121" s="385" t="str">
        <f>VLOOKUP(A121,'Feature Summary'!$A$7:$C$4005,3,FALSE)</f>
        <v>P1</v>
      </c>
      <c r="H121" s="474" t="s">
        <v>420</v>
      </c>
      <c r="I121" s="361" t="s">
        <v>382</v>
      </c>
      <c r="J121" s="463"/>
      <c r="K121" s="462">
        <v>1</v>
      </c>
      <c r="L121" s="462">
        <v>1</v>
      </c>
      <c r="M121" s="464" t="s">
        <v>33</v>
      </c>
      <c r="N121" s="506">
        <v>1</v>
      </c>
      <c r="O121" s="315">
        <v>0.3</v>
      </c>
      <c r="P121" s="305">
        <f t="shared" si="206"/>
        <v>0.3</v>
      </c>
      <c r="Q121" s="315" t="s">
        <v>45</v>
      </c>
      <c r="R121" s="462">
        <v>1</v>
      </c>
      <c r="S121" s="306">
        <f t="shared" si="207"/>
        <v>0</v>
      </c>
      <c r="T121" s="315"/>
      <c r="U121" s="307"/>
      <c r="V121" s="307"/>
      <c r="W121" s="307"/>
      <c r="X121" s="467">
        <v>0</v>
      </c>
      <c r="Y121" s="468"/>
      <c r="Z121" s="309">
        <f t="shared" si="208"/>
        <v>0</v>
      </c>
      <c r="AA121" s="470"/>
      <c r="AB121" s="470"/>
      <c r="AC121" s="470"/>
      <c r="AD121" s="470"/>
      <c r="AE121" s="471">
        <v>0</v>
      </c>
      <c r="AF121" s="463"/>
      <c r="AG121" s="472" t="e">
        <v>#N/A</v>
      </c>
      <c r="AH121" s="473"/>
    </row>
    <row r="122" spans="1:34" ht="15" thickBot="1" x14ac:dyDescent="0.4">
      <c r="A122" s="460" t="s">
        <v>422</v>
      </c>
      <c r="B122" s="480" t="str">
        <f>VLOOKUP(A122,'Feature Raw Data'!$A$3:$B$3934,2,FALSE)</f>
        <v>Fan Static PWM Mode</v>
      </c>
      <c r="C122" s="461"/>
      <c r="D122" s="462" t="s">
        <v>379</v>
      </c>
      <c r="E122" s="463" t="s">
        <v>418</v>
      </c>
      <c r="F122" s="463" t="s">
        <v>424</v>
      </c>
      <c r="G122" s="385" t="str">
        <f>VLOOKUP(A122,'Feature Summary'!$A$7:$C$4005,3,FALSE)</f>
        <v>P1</v>
      </c>
      <c r="H122" s="474" t="s">
        <v>425</v>
      </c>
      <c r="I122" s="361" t="s">
        <v>261</v>
      </c>
      <c r="J122" s="463"/>
      <c r="K122" s="462">
        <v>1</v>
      </c>
      <c r="L122" s="462">
        <v>1</v>
      </c>
      <c r="M122" s="464" t="s">
        <v>33</v>
      </c>
      <c r="N122" s="506">
        <v>1</v>
      </c>
      <c r="O122" s="315">
        <v>0.8</v>
      </c>
      <c r="P122" s="305">
        <f t="shared" si="206"/>
        <v>0.8</v>
      </c>
      <c r="Q122" s="315" t="s">
        <v>45</v>
      </c>
      <c r="R122" s="462">
        <v>1</v>
      </c>
      <c r="S122" s="306">
        <f t="shared" si="207"/>
        <v>0</v>
      </c>
      <c r="T122" s="315"/>
      <c r="U122" s="307"/>
      <c r="V122" s="307"/>
      <c r="W122" s="307"/>
      <c r="X122" s="467">
        <v>0</v>
      </c>
      <c r="Y122" s="468"/>
      <c r="Z122" s="309">
        <f t="shared" si="208"/>
        <v>0</v>
      </c>
      <c r="AA122" s="470"/>
      <c r="AB122" s="470"/>
      <c r="AC122" s="470"/>
      <c r="AD122" s="470"/>
      <c r="AE122" s="471">
        <v>0</v>
      </c>
      <c r="AF122" s="463"/>
      <c r="AG122" s="472" t="e">
        <v>#N/A</v>
      </c>
      <c r="AH122" s="473"/>
    </row>
    <row r="123" spans="1:34" ht="15" thickBot="1" x14ac:dyDescent="0.4">
      <c r="A123" s="460" t="s">
        <v>423</v>
      </c>
      <c r="B123" s="480" t="str">
        <f>VLOOKUP(A123,'Feature Raw Data'!$A$3:$B$3934,2,FALSE)</f>
        <v>Fan Static RPM Mode</v>
      </c>
      <c r="C123" s="461"/>
      <c r="D123" s="462" t="s">
        <v>379</v>
      </c>
      <c r="E123" s="463" t="s">
        <v>418</v>
      </c>
      <c r="F123" s="463" t="s">
        <v>424</v>
      </c>
      <c r="G123" s="385" t="str">
        <f>VLOOKUP(A123,'Feature Summary'!$A$7:$C$4005,3,FALSE)</f>
        <v>P1</v>
      </c>
      <c r="H123" s="474" t="s">
        <v>425</v>
      </c>
      <c r="I123" s="361" t="s">
        <v>261</v>
      </c>
      <c r="J123" s="463"/>
      <c r="K123" s="462">
        <v>1</v>
      </c>
      <c r="L123" s="462">
        <v>1</v>
      </c>
      <c r="M123" s="464" t="s">
        <v>33</v>
      </c>
      <c r="N123" s="506">
        <v>1</v>
      </c>
      <c r="O123" s="315">
        <v>0.8</v>
      </c>
      <c r="P123" s="305">
        <f t="shared" ref="P123" si="230">IF((O123=0),0,(O123/L123))</f>
        <v>0.8</v>
      </c>
      <c r="Q123" s="315" t="s">
        <v>45</v>
      </c>
      <c r="R123" s="462">
        <v>1</v>
      </c>
      <c r="S123" s="306">
        <f t="shared" ref="S123" si="231">SUM(T123:W123)</f>
        <v>0</v>
      </c>
      <c r="T123" s="315"/>
      <c r="U123" s="307"/>
      <c r="V123" s="307"/>
      <c r="W123" s="307"/>
      <c r="X123" s="467">
        <v>0</v>
      </c>
      <c r="Y123" s="468"/>
      <c r="Z123" s="309">
        <f t="shared" ref="Z123" si="232">SUM(AA123:AD123)</f>
        <v>0</v>
      </c>
      <c r="AA123" s="470"/>
      <c r="AB123" s="470"/>
      <c r="AC123" s="470"/>
      <c r="AD123" s="470"/>
      <c r="AE123" s="471">
        <v>0</v>
      </c>
      <c r="AF123" s="463"/>
      <c r="AG123" s="472" t="e">
        <v>#N/A</v>
      </c>
      <c r="AH123" s="473"/>
    </row>
    <row r="124" spans="1:34" ht="15" thickBot="1" x14ac:dyDescent="0.4">
      <c r="A124" s="460" t="s">
        <v>417</v>
      </c>
      <c r="B124" s="480" t="str">
        <f>VLOOKUP(A124,'Feature Raw Data'!$A$3:$B$3934,2,FALSE)</f>
        <v>Fan Zero RPM Mode</v>
      </c>
      <c r="C124" s="461"/>
      <c r="D124" s="462" t="s">
        <v>379</v>
      </c>
      <c r="E124" s="463" t="s">
        <v>418</v>
      </c>
      <c r="F124" s="463" t="s">
        <v>424</v>
      </c>
      <c r="G124" s="385" t="str">
        <f>VLOOKUP(A124,'Feature Summary'!$A$7:$C$4005,3,FALSE)</f>
        <v>P1</v>
      </c>
      <c r="H124" s="474" t="s">
        <v>425</v>
      </c>
      <c r="I124" s="361" t="s">
        <v>261</v>
      </c>
      <c r="J124" s="463"/>
      <c r="K124" s="462">
        <v>1</v>
      </c>
      <c r="L124" s="462">
        <v>1</v>
      </c>
      <c r="M124" s="464" t="s">
        <v>33</v>
      </c>
      <c r="N124" s="506">
        <v>1</v>
      </c>
      <c r="O124" s="315">
        <v>0.8</v>
      </c>
      <c r="P124" s="305">
        <f t="shared" si="206"/>
        <v>0.8</v>
      </c>
      <c r="Q124" s="315" t="s">
        <v>45</v>
      </c>
      <c r="R124" s="462">
        <v>1</v>
      </c>
      <c r="S124" s="306">
        <f t="shared" si="207"/>
        <v>0</v>
      </c>
      <c r="T124" s="315"/>
      <c r="U124" s="307"/>
      <c r="V124" s="307"/>
      <c r="W124" s="307"/>
      <c r="X124" s="467">
        <v>0</v>
      </c>
      <c r="Y124" s="468"/>
      <c r="Z124" s="309">
        <f t="shared" si="208"/>
        <v>0</v>
      </c>
      <c r="AA124" s="470"/>
      <c r="AB124" s="470"/>
      <c r="AC124" s="470"/>
      <c r="AD124" s="470"/>
      <c r="AE124" s="471">
        <v>0</v>
      </c>
      <c r="AF124" s="463"/>
      <c r="AG124" s="472" t="e">
        <v>#N/A</v>
      </c>
      <c r="AH124" s="473"/>
    </row>
    <row r="125" spans="1:34" ht="15" thickBot="1" x14ac:dyDescent="0.4">
      <c r="A125" s="460" t="s">
        <v>391</v>
      </c>
      <c r="B125" s="480" t="str">
        <f>VLOOKUP(A125,'Feature Raw Data'!$A$3:$B$3934,2,FALSE)</f>
        <v>External Temp sensing /Skin temp</v>
      </c>
      <c r="C125" s="463"/>
      <c r="D125" s="462" t="s">
        <v>379</v>
      </c>
      <c r="E125" s="463" t="s">
        <v>426</v>
      </c>
      <c r="F125" s="461" t="s">
        <v>427</v>
      </c>
      <c r="G125" s="385" t="str">
        <f>VLOOKUP(A125,'Feature Summary'!$A$7:$C$4005,3,FALSE)</f>
        <v>P2</v>
      </c>
      <c r="H125" s="474" t="s">
        <v>428</v>
      </c>
      <c r="I125" s="361" t="s">
        <v>261</v>
      </c>
      <c r="J125" s="463"/>
      <c r="K125" s="462">
        <v>1</v>
      </c>
      <c r="L125" s="462">
        <v>1</v>
      </c>
      <c r="M125" s="464" t="s">
        <v>33</v>
      </c>
      <c r="N125" s="506">
        <v>1</v>
      </c>
      <c r="O125" s="315">
        <v>0.8</v>
      </c>
      <c r="P125" s="305">
        <f t="shared" si="206"/>
        <v>0.8</v>
      </c>
      <c r="Q125" s="315" t="s">
        <v>45</v>
      </c>
      <c r="R125" s="462">
        <v>1</v>
      </c>
      <c r="S125" s="306">
        <f t="shared" si="207"/>
        <v>0</v>
      </c>
      <c r="T125" s="315"/>
      <c r="U125" s="307"/>
      <c r="V125" s="307"/>
      <c r="W125" s="307"/>
      <c r="X125" s="467">
        <v>0</v>
      </c>
      <c r="Y125" s="468"/>
      <c r="Z125" s="309">
        <f t="shared" si="208"/>
        <v>0</v>
      </c>
      <c r="AA125" s="470"/>
      <c r="AB125" s="470"/>
      <c r="AC125" s="470"/>
      <c r="AD125" s="470"/>
      <c r="AE125" s="471">
        <v>0</v>
      </c>
      <c r="AF125" s="463"/>
      <c r="AG125" s="472" t="e">
        <v>#N/A</v>
      </c>
      <c r="AH125" s="473"/>
    </row>
    <row r="126" spans="1:34" ht="15" thickBot="1" x14ac:dyDescent="0.4">
      <c r="A126" s="460" t="s">
        <v>429</v>
      </c>
      <c r="B126" s="480" t="str">
        <f>VLOOKUP(A126,'Feature Raw Data'!$A$3:$B$3934,2,FALSE)</f>
        <v>SB-AXI (SMBUS Reading</v>
      </c>
      <c r="C126" s="463"/>
      <c r="D126" s="462" t="s">
        <v>379</v>
      </c>
      <c r="E126" s="463" t="s">
        <v>426</v>
      </c>
      <c r="F126" s="461" t="s">
        <v>427</v>
      </c>
      <c r="G126" s="385" t="str">
        <f>VLOOKUP(A126,'Feature Summary'!$A$7:$C$4005,3,FALSE)</f>
        <v>P1</v>
      </c>
      <c r="H126" s="474" t="s">
        <v>428</v>
      </c>
      <c r="I126" s="361" t="s">
        <v>261</v>
      </c>
      <c r="J126" s="463"/>
      <c r="K126" s="462">
        <v>1</v>
      </c>
      <c r="L126" s="462">
        <v>1</v>
      </c>
      <c r="M126" s="464" t="s">
        <v>33</v>
      </c>
      <c r="N126" s="506">
        <v>1</v>
      </c>
      <c r="O126" s="315">
        <v>0.8</v>
      </c>
      <c r="P126" s="305">
        <f t="shared" ref="P126" si="233">IF((O126=0),0,(O126/L126))</f>
        <v>0.8</v>
      </c>
      <c r="Q126" s="315" t="s">
        <v>45</v>
      </c>
      <c r="R126" s="462">
        <v>1</v>
      </c>
      <c r="S126" s="306">
        <f t="shared" ref="S126" si="234">SUM(T126:W126)</f>
        <v>0</v>
      </c>
      <c r="T126" s="315"/>
      <c r="U126" s="307"/>
      <c r="V126" s="307"/>
      <c r="W126" s="307"/>
      <c r="X126" s="467">
        <v>0</v>
      </c>
      <c r="Y126" s="468"/>
      <c r="Z126" s="309">
        <f t="shared" ref="Z126" si="235">SUM(AA126:AD126)</f>
        <v>0</v>
      </c>
      <c r="AA126" s="470"/>
      <c r="AB126" s="470"/>
      <c r="AC126" s="470"/>
      <c r="AD126" s="470"/>
      <c r="AE126" s="471">
        <v>0</v>
      </c>
      <c r="AF126" s="463"/>
      <c r="AG126" s="472" t="e">
        <v>#N/A</v>
      </c>
      <c r="AH126" s="473"/>
    </row>
    <row r="127" spans="1:34" ht="15" thickBot="1" x14ac:dyDescent="0.4">
      <c r="A127" s="460" t="s">
        <v>430</v>
      </c>
      <c r="B127" s="480" t="str">
        <f>VLOOKUP(A127,'Feature Raw Data'!$A$3:$B$3934,2,FALSE)</f>
        <v>Access 128 DW scratch register from SMBUS</v>
      </c>
      <c r="C127" s="463"/>
      <c r="D127" s="462" t="s">
        <v>379</v>
      </c>
      <c r="E127" s="463" t="s">
        <v>426</v>
      </c>
      <c r="F127" s="461" t="s">
        <v>427</v>
      </c>
      <c r="G127" s="385" t="str">
        <f>VLOOKUP(A127,'Feature Summary'!$A$7:$C$4005,3,FALSE)</f>
        <v>P2</v>
      </c>
      <c r="H127" s="474" t="s">
        <v>431</v>
      </c>
      <c r="I127" s="361" t="s">
        <v>261</v>
      </c>
      <c r="J127" s="463"/>
      <c r="K127" s="462">
        <v>1</v>
      </c>
      <c r="L127" s="462">
        <v>1</v>
      </c>
      <c r="M127" s="464" t="s">
        <v>33</v>
      </c>
      <c r="N127" s="506">
        <v>1</v>
      </c>
      <c r="O127" s="315">
        <v>0.8</v>
      </c>
      <c r="P127" s="305">
        <f t="shared" si="206"/>
        <v>0.8</v>
      </c>
      <c r="Q127" s="315" t="s">
        <v>45</v>
      </c>
      <c r="R127" s="462">
        <v>1</v>
      </c>
      <c r="S127" s="306">
        <f t="shared" si="207"/>
        <v>0</v>
      </c>
      <c r="T127" s="315"/>
      <c r="U127" s="307"/>
      <c r="V127" s="307"/>
      <c r="W127" s="307"/>
      <c r="X127" s="467">
        <v>0</v>
      </c>
      <c r="Y127" s="468"/>
      <c r="Z127" s="309">
        <f t="shared" si="208"/>
        <v>0</v>
      </c>
      <c r="AA127" s="470"/>
      <c r="AB127" s="470"/>
      <c r="AC127" s="470"/>
      <c r="AD127" s="470"/>
      <c r="AE127" s="471">
        <v>0</v>
      </c>
      <c r="AF127" s="463"/>
      <c r="AG127" s="472" t="e">
        <v>#N/A</v>
      </c>
      <c r="AH127" s="473"/>
    </row>
    <row r="128" spans="1:34" ht="15" thickBot="1" x14ac:dyDescent="0.4">
      <c r="A128" s="460" t="s">
        <v>432</v>
      </c>
      <c r="B128" s="480" t="str">
        <f>VLOOKUP(A128,'Feature Raw Data'!$A$3:$B$3934,2,FALSE)</f>
        <v>Check inbout/outbound register access</v>
      </c>
      <c r="C128" s="463"/>
      <c r="D128" s="462" t="s">
        <v>336</v>
      </c>
      <c r="E128" s="463" t="s">
        <v>433</v>
      </c>
      <c r="F128" s="461" t="s">
        <v>434</v>
      </c>
      <c r="G128" s="385" t="str">
        <f>VLOOKUP(A128,'Feature Summary'!$A$7:$C$4005,3,FALSE)</f>
        <v>P1</v>
      </c>
      <c r="H128" s="474" t="s">
        <v>435</v>
      </c>
      <c r="I128" s="361" t="s">
        <v>261</v>
      </c>
      <c r="J128" s="463"/>
      <c r="K128" s="462">
        <v>1</v>
      </c>
      <c r="L128" s="462">
        <v>1</v>
      </c>
      <c r="M128" s="464" t="s">
        <v>33</v>
      </c>
      <c r="N128" s="506">
        <v>1</v>
      </c>
      <c r="O128" s="315">
        <v>1</v>
      </c>
      <c r="P128" s="305">
        <f t="shared" si="206"/>
        <v>1</v>
      </c>
      <c r="Q128" s="315" t="s">
        <v>340</v>
      </c>
      <c r="R128" s="462">
        <v>1</v>
      </c>
      <c r="S128" s="306">
        <f t="shared" si="207"/>
        <v>1</v>
      </c>
      <c r="T128" s="315">
        <v>1</v>
      </c>
      <c r="U128" s="307"/>
      <c r="V128" s="307"/>
      <c r="W128" s="307"/>
      <c r="X128" s="467">
        <v>0</v>
      </c>
      <c r="Y128" s="468"/>
      <c r="Z128" s="309">
        <f t="shared" si="208"/>
        <v>0</v>
      </c>
      <c r="AA128" s="470"/>
      <c r="AB128" s="470"/>
      <c r="AC128" s="470"/>
      <c r="AD128" s="470"/>
      <c r="AE128" s="471">
        <v>0</v>
      </c>
      <c r="AF128" s="463"/>
      <c r="AG128" s="472" t="e">
        <v>#N/A</v>
      </c>
      <c r="AH128" s="473"/>
    </row>
    <row r="129" spans="1:34" ht="15" thickBot="1" x14ac:dyDescent="0.4">
      <c r="A129" s="460" t="s">
        <v>436</v>
      </c>
      <c r="B129" s="480" t="str">
        <f>VLOOKUP(A129,'Feature Raw Data'!$A$3:$B$3934,2,FALSE)</f>
        <v>High Speed I2c</v>
      </c>
      <c r="C129" s="463"/>
      <c r="D129" s="462" t="s">
        <v>358</v>
      </c>
      <c r="E129" s="463" t="s">
        <v>437</v>
      </c>
      <c r="F129" s="463" t="s">
        <v>438</v>
      </c>
      <c r="G129" s="385" t="str">
        <f>VLOOKUP(A129,'Feature Summary'!$A$7:$C$4005,3,FALSE)</f>
        <v>P1</v>
      </c>
      <c r="H129" s="474" t="s">
        <v>439</v>
      </c>
      <c r="I129" s="361" t="s">
        <v>382</v>
      </c>
      <c r="J129" s="463"/>
      <c r="K129" s="245">
        <v>1</v>
      </c>
      <c r="L129" s="245">
        <v>1</v>
      </c>
      <c r="M129" s="464" t="s">
        <v>33</v>
      </c>
      <c r="N129" s="506">
        <v>1</v>
      </c>
      <c r="O129" s="315">
        <v>0</v>
      </c>
      <c r="P129" s="305">
        <f t="shared" si="206"/>
        <v>0</v>
      </c>
      <c r="Q129" s="315" t="s">
        <v>45</v>
      </c>
      <c r="R129" s="462">
        <v>1</v>
      </c>
      <c r="S129" s="306">
        <f t="shared" si="207"/>
        <v>0</v>
      </c>
      <c r="T129" s="315"/>
      <c r="U129" s="307"/>
      <c r="V129" s="307"/>
      <c r="W129" s="307"/>
      <c r="X129" s="467">
        <v>0</v>
      </c>
      <c r="Y129" s="468"/>
      <c r="Z129" s="309">
        <f t="shared" si="208"/>
        <v>0</v>
      </c>
      <c r="AA129" s="470"/>
      <c r="AB129" s="470"/>
      <c r="AC129" s="470"/>
      <c r="AD129" s="470"/>
      <c r="AE129" s="471">
        <v>0</v>
      </c>
      <c r="AF129" s="463"/>
      <c r="AG129" s="472" t="e">
        <v>#N/A</v>
      </c>
      <c r="AH129" s="473"/>
    </row>
    <row r="130" spans="1:34" ht="15" thickBot="1" x14ac:dyDescent="0.4">
      <c r="A130" s="460" t="s">
        <v>440</v>
      </c>
      <c r="B130" s="480" t="str">
        <f>VLOOKUP(A130,'Feature Raw Data'!$A$3:$B$3934,2,FALSE)</f>
        <v>I2C Done interrupt to MP1</v>
      </c>
      <c r="C130" s="463"/>
      <c r="D130" s="462" t="s">
        <v>358</v>
      </c>
      <c r="E130" s="463" t="s">
        <v>437</v>
      </c>
      <c r="F130" s="463" t="s">
        <v>438</v>
      </c>
      <c r="G130" s="385" t="str">
        <f>VLOOKUP(A130,'Feature Summary'!$A$7:$C$4005,3,FALSE)</f>
        <v>P1</v>
      </c>
      <c r="H130" s="474" t="s">
        <v>439</v>
      </c>
      <c r="I130" s="361" t="s">
        <v>382</v>
      </c>
      <c r="J130" s="463"/>
      <c r="K130" s="245">
        <v>1</v>
      </c>
      <c r="L130" s="245">
        <v>1</v>
      </c>
      <c r="M130" s="464" t="s">
        <v>33</v>
      </c>
      <c r="N130" s="506">
        <v>1</v>
      </c>
      <c r="O130" s="315">
        <v>0</v>
      </c>
      <c r="P130" s="305">
        <f t="shared" ref="P130" si="236">IF((O130=0),0,(O130/L130))</f>
        <v>0</v>
      </c>
      <c r="Q130" s="315" t="s">
        <v>45</v>
      </c>
      <c r="R130" s="462">
        <v>1</v>
      </c>
      <c r="S130" s="306">
        <f t="shared" ref="S130" si="237">SUM(T130:W130)</f>
        <v>0</v>
      </c>
      <c r="T130" s="315"/>
      <c r="U130" s="307"/>
      <c r="V130" s="307"/>
      <c r="W130" s="307"/>
      <c r="X130" s="467">
        <v>0</v>
      </c>
      <c r="Y130" s="468"/>
      <c r="Z130" s="309">
        <f t="shared" ref="Z130" si="238">SUM(AA130:AD130)</f>
        <v>0</v>
      </c>
      <c r="AA130" s="470"/>
      <c r="AB130" s="470"/>
      <c r="AC130" s="470"/>
      <c r="AD130" s="470"/>
      <c r="AE130" s="471">
        <v>0</v>
      </c>
      <c r="AF130" s="463"/>
      <c r="AG130" s="472" t="e">
        <v>#N/A</v>
      </c>
      <c r="AH130" s="473"/>
    </row>
    <row r="131" spans="1:34" ht="15" thickBot="1" x14ac:dyDescent="0.4">
      <c r="A131" s="460" t="s">
        <v>441</v>
      </c>
      <c r="B131" s="480" t="str">
        <f>VLOOKUP(A131,'Feature Raw Data'!$A$3:$B$3934,2,FALSE)</f>
        <v>Check I2C Communication for I2C Controller Instance</v>
      </c>
      <c r="C131" s="463"/>
      <c r="D131" s="462" t="s">
        <v>358</v>
      </c>
      <c r="E131" s="463" t="s">
        <v>437</v>
      </c>
      <c r="F131" s="463" t="s">
        <v>438</v>
      </c>
      <c r="G131" s="385" t="str">
        <f>VLOOKUP(A131,'Feature Summary'!$A$7:$C$4005,3,FALSE)</f>
        <v>P2</v>
      </c>
      <c r="H131" s="474" t="s">
        <v>439</v>
      </c>
      <c r="I131" s="361" t="s">
        <v>382</v>
      </c>
      <c r="J131" s="463"/>
      <c r="K131" s="245">
        <v>1</v>
      </c>
      <c r="L131" s="245">
        <v>1</v>
      </c>
      <c r="M131" s="464" t="s">
        <v>33</v>
      </c>
      <c r="N131" s="506">
        <v>1</v>
      </c>
      <c r="O131" s="315">
        <v>0</v>
      </c>
      <c r="P131" s="305">
        <f t="shared" si="206"/>
        <v>0</v>
      </c>
      <c r="Q131" s="315" t="s">
        <v>45</v>
      </c>
      <c r="R131" s="462">
        <v>1</v>
      </c>
      <c r="S131" s="306">
        <f t="shared" si="207"/>
        <v>0</v>
      </c>
      <c r="T131" s="315"/>
      <c r="U131" s="307"/>
      <c r="V131" s="307"/>
      <c r="W131" s="307"/>
      <c r="X131" s="467">
        <v>0</v>
      </c>
      <c r="Y131" s="468"/>
      <c r="Z131" s="309">
        <f t="shared" si="208"/>
        <v>0</v>
      </c>
      <c r="AA131" s="470"/>
      <c r="AB131" s="470"/>
      <c r="AC131" s="470"/>
      <c r="AD131" s="470"/>
      <c r="AE131" s="471">
        <v>0</v>
      </c>
      <c r="AF131" s="463"/>
      <c r="AG131" s="472" t="e">
        <v>#N/A</v>
      </c>
      <c r="AH131" s="473"/>
    </row>
    <row r="132" spans="1:34" ht="15" thickBot="1" x14ac:dyDescent="0.4">
      <c r="A132" s="452" t="s">
        <v>442</v>
      </c>
      <c r="B132" s="480" t="str">
        <f>VLOOKUP(A132,'Feature Raw Data'!$A$3:$B$3934,2,FALSE)</f>
        <v>IMU Ucode loading</v>
      </c>
      <c r="C132" s="317"/>
      <c r="D132" s="315" t="s">
        <v>443</v>
      </c>
      <c r="E132" s="501" t="s">
        <v>443</v>
      </c>
      <c r="F132" s="480" t="s">
        <v>444</v>
      </c>
      <c r="G132" s="385" t="str">
        <f>VLOOKUP(A132,'Feature Summary'!$A$7:$C$4005,3,FALSE)</f>
        <v>P1</v>
      </c>
      <c r="H132" s="361" t="s">
        <v>445</v>
      </c>
      <c r="I132" s="361" t="s">
        <v>261</v>
      </c>
      <c r="J132" s="463"/>
      <c r="K132" s="245">
        <v>1</v>
      </c>
      <c r="L132" s="315">
        <v>1</v>
      </c>
      <c r="M132" s="498" t="s">
        <v>42</v>
      </c>
      <c r="N132" s="506">
        <v>1</v>
      </c>
      <c r="O132" s="315">
        <v>0.9</v>
      </c>
      <c r="P132" s="305">
        <f t="shared" si="206"/>
        <v>0.9</v>
      </c>
      <c r="Q132" s="315" t="s">
        <v>340</v>
      </c>
      <c r="R132" s="315">
        <v>1</v>
      </c>
      <c r="S132" s="306">
        <f t="shared" si="207"/>
        <v>1</v>
      </c>
      <c r="T132" s="315">
        <v>1</v>
      </c>
      <c r="U132" s="307"/>
      <c r="V132" s="307"/>
      <c r="W132" s="307"/>
      <c r="X132" s="308">
        <f t="shared" ref="X132" si="239">IF((S132=0),0,((T132+U132)/S132*100%))</f>
        <v>1</v>
      </c>
      <c r="Y132" s="368"/>
      <c r="Z132" s="309">
        <f t="shared" si="208"/>
        <v>0</v>
      </c>
      <c r="AA132" s="304"/>
      <c r="AB132" s="304"/>
      <c r="AC132" s="304"/>
      <c r="AD132" s="304"/>
      <c r="AE132" s="310">
        <f t="shared" ref="AE132" si="240">IF((Z132=0),0,((AA132+AB132)/Z132*100%))</f>
        <v>0</v>
      </c>
      <c r="AF132" s="244"/>
      <c r="AG132" s="362" t="e">
        <f>VLOOKUP(A132,'[1]Feature Summary'!$A$7:$U$3940,21,FALSE)</f>
        <v>#N/A</v>
      </c>
    </row>
    <row r="133" spans="1:34" ht="15" thickBot="1" x14ac:dyDescent="0.4">
      <c r="A133" s="252" t="s">
        <v>446</v>
      </c>
      <c r="B133" s="480" t="str">
        <f>VLOOKUP(A133,'Feature Raw Data'!$A$3:$B$3934,2,FALSE)</f>
        <v>Dynamic Ref Clk-gating - functional check</v>
      </c>
      <c r="C133" s="317"/>
      <c r="D133" s="315" t="s">
        <v>257</v>
      </c>
      <c r="E133" s="361" t="s">
        <v>447</v>
      </c>
      <c r="F133" s="480" t="s">
        <v>448</v>
      </c>
      <c r="G133" s="385" t="str">
        <f>VLOOKUP(A133,'Feature Summary'!$A$7:$C$4005,3,FALSE)</f>
        <v>P2</v>
      </c>
      <c r="H133" s="361" t="s">
        <v>449</v>
      </c>
      <c r="I133" s="361" t="s">
        <v>261</v>
      </c>
      <c r="J133" s="463" t="s">
        <v>450</v>
      </c>
      <c r="K133" s="245">
        <v>1</v>
      </c>
      <c r="L133" s="315">
        <v>1</v>
      </c>
      <c r="M133" s="498" t="s">
        <v>38</v>
      </c>
      <c r="N133" s="506">
        <v>1</v>
      </c>
      <c r="O133" s="315">
        <v>0</v>
      </c>
      <c r="P133" s="305">
        <f t="shared" si="206"/>
        <v>0</v>
      </c>
      <c r="Q133" s="315" t="s">
        <v>45</v>
      </c>
      <c r="R133" s="315">
        <v>1</v>
      </c>
      <c r="S133" s="306">
        <f t="shared" si="207"/>
        <v>0</v>
      </c>
      <c r="T133" s="315"/>
      <c r="U133" s="307"/>
      <c r="V133" s="307"/>
      <c r="W133" s="307"/>
      <c r="X133" s="308">
        <f t="shared" ref="X133" si="241">IF((S133=0),0,((T133+U133)/S133*100%))</f>
        <v>0</v>
      </c>
      <c r="Y133" s="368"/>
      <c r="Z133" s="309">
        <f t="shared" ref="Z133" si="242">SUM(AA133:AD133)</f>
        <v>0</v>
      </c>
      <c r="AA133" s="304"/>
      <c r="AB133" s="304"/>
      <c r="AC133" s="304"/>
      <c r="AD133" s="304"/>
      <c r="AE133" s="310">
        <f t="shared" ref="AE133" si="243">IF((Z133=0),0,((AA133+AB133)/Z133*100%))</f>
        <v>0</v>
      </c>
      <c r="AF133" s="244"/>
      <c r="AG133" s="362" t="str">
        <f>VLOOKUP(A133,'Feature Summary'!$A$7:$U$4024,21,FALSE)</f>
        <v>wk-1</v>
      </c>
      <c r="AH133" s="246"/>
    </row>
    <row r="134" spans="1:34" ht="15" thickBot="1" x14ac:dyDescent="0.4">
      <c r="A134" s="252" t="s">
        <v>451</v>
      </c>
      <c r="B134" s="480" t="str">
        <f>VLOOKUP(A134,'Feature Raw Data'!$A$3:$B$3934,2,FALSE)</f>
        <v>DFS Global bypass</v>
      </c>
      <c r="C134" s="317"/>
      <c r="D134" s="315" t="s">
        <v>257</v>
      </c>
      <c r="E134" s="361" t="s">
        <v>447</v>
      </c>
      <c r="F134" s="480" t="s">
        <v>452</v>
      </c>
      <c r="G134" s="385" t="str">
        <f>VLOOKUP(A134,'Feature Summary'!$A$7:$C$4005,3,FALSE)</f>
        <v>P2</v>
      </c>
      <c r="H134" s="361" t="s">
        <v>453</v>
      </c>
      <c r="I134" s="361" t="s">
        <v>261</v>
      </c>
      <c r="J134" s="463"/>
      <c r="K134" s="245">
        <v>1</v>
      </c>
      <c r="L134" s="315">
        <v>1</v>
      </c>
      <c r="M134" s="498" t="s">
        <v>38</v>
      </c>
      <c r="N134" s="506">
        <v>1</v>
      </c>
      <c r="O134" s="315">
        <v>0</v>
      </c>
      <c r="P134" s="305">
        <f t="shared" ref="P134:P136" si="244">IF((O134=0),0,(O134/L134))</f>
        <v>0</v>
      </c>
      <c r="Q134" s="315" t="s">
        <v>45</v>
      </c>
      <c r="R134" s="315">
        <v>1</v>
      </c>
      <c r="S134" s="306">
        <f t="shared" ref="S134:S136" si="245">SUM(T134:W134)</f>
        <v>0</v>
      </c>
      <c r="T134" s="315"/>
      <c r="U134" s="307"/>
      <c r="V134" s="307"/>
      <c r="W134" s="307"/>
      <c r="X134" s="308">
        <f t="shared" ref="X134:X136" si="246">IF((S134=0),0,((T134+U134)/S134*100%))</f>
        <v>0</v>
      </c>
      <c r="Y134" s="368"/>
      <c r="Z134" s="309">
        <f t="shared" ref="Z134:Z136" si="247">SUM(AA134:AD134)</f>
        <v>0</v>
      </c>
      <c r="AA134" s="304"/>
      <c r="AB134" s="304"/>
      <c r="AC134" s="304"/>
      <c r="AD134" s="304"/>
      <c r="AE134" s="310">
        <f t="shared" ref="AE134:AE136" si="248">IF((Z134=0),0,((AA134+AB134)/Z134*100%))</f>
        <v>0</v>
      </c>
      <c r="AF134" s="244"/>
      <c r="AG134" s="362" t="str">
        <f>VLOOKUP(A134,'Feature Summary'!$A$7:$U$4024,21,FALSE)</f>
        <v>N/A</v>
      </c>
      <c r="AH134" s="246"/>
    </row>
    <row r="135" spans="1:34" ht="15" thickBot="1" x14ac:dyDescent="0.4">
      <c r="A135" s="480" t="s">
        <v>454</v>
      </c>
      <c r="B135" s="480" t="str">
        <f>VLOOKUP(A135,'Feature Raw Data'!$A$3:$B$3934,2,FALSE)</f>
        <v>MSMU Capability</v>
      </c>
      <c r="C135" s="317"/>
      <c r="D135" s="315" t="s">
        <v>455</v>
      </c>
      <c r="E135" s="361" t="s">
        <v>455</v>
      </c>
      <c r="F135" s="353" t="s">
        <v>456</v>
      </c>
      <c r="G135" s="385" t="str">
        <f>VLOOKUP(A135,'Feature Summary'!$A$7:$C$4005,3,FALSE)</f>
        <v>P2</v>
      </c>
      <c r="H135" s="361" t="s">
        <v>457</v>
      </c>
      <c r="I135" s="504" t="s">
        <v>458</v>
      </c>
      <c r="J135" s="463"/>
      <c r="K135" s="245">
        <v>1</v>
      </c>
      <c r="L135" s="315">
        <v>1</v>
      </c>
      <c r="M135" s="498" t="s">
        <v>38</v>
      </c>
      <c r="N135" s="506">
        <v>1</v>
      </c>
      <c r="O135" s="315">
        <v>0</v>
      </c>
      <c r="P135" s="305">
        <f t="shared" ref="P135" si="249">IF((O135=0),0,(O135/L135))</f>
        <v>0</v>
      </c>
      <c r="Q135" s="315" t="s">
        <v>45</v>
      </c>
      <c r="R135" s="315">
        <v>1</v>
      </c>
      <c r="S135" s="306">
        <f t="shared" ref="S135" si="250">SUM(T135:W135)</f>
        <v>0</v>
      </c>
      <c r="T135" s="315"/>
      <c r="U135" s="307"/>
      <c r="V135" s="307"/>
      <c r="W135" s="307"/>
      <c r="X135" s="308">
        <f t="shared" ref="X135" si="251">IF((S135=0),0,((T135+U135)/S135*100%))</f>
        <v>0</v>
      </c>
      <c r="Y135" s="368"/>
      <c r="Z135" s="309">
        <f t="shared" ref="Z135" si="252">SUM(AA135:AD135)</f>
        <v>0</v>
      </c>
      <c r="AA135" s="304"/>
      <c r="AB135" s="304"/>
      <c r="AC135" s="304"/>
      <c r="AD135" s="304"/>
      <c r="AE135" s="310">
        <f t="shared" ref="AE135" si="253">IF((Z135=0),0,((AA135+AB135)/Z135*100%))</f>
        <v>0</v>
      </c>
      <c r="AF135" s="244"/>
      <c r="AG135" s="362" t="str">
        <f>VLOOKUP(A135,'Feature Summary'!$A$7:$U$4024,21,FALSE)</f>
        <v>wk-10</v>
      </c>
      <c r="AH135" s="246"/>
    </row>
    <row r="136" spans="1:34" ht="15" thickBot="1" x14ac:dyDescent="0.4">
      <c r="A136" s="480" t="s">
        <v>454</v>
      </c>
      <c r="B136" s="480" t="str">
        <f>VLOOKUP(A136,'Feature Raw Data'!$A$3:$B$3934,2,FALSE)</f>
        <v>MSMU Capability</v>
      </c>
      <c r="C136" s="317"/>
      <c r="D136" s="315" t="s">
        <v>455</v>
      </c>
      <c r="E136" s="361" t="s">
        <v>455</v>
      </c>
      <c r="F136" s="353" t="s">
        <v>459</v>
      </c>
      <c r="G136" s="385" t="str">
        <f>VLOOKUP(A136,'Feature Summary'!$A$7:$C$4005,3,FALSE)</f>
        <v>P2</v>
      </c>
      <c r="H136" s="361" t="s">
        <v>460</v>
      </c>
      <c r="I136" s="504" t="s">
        <v>458</v>
      </c>
      <c r="J136" s="463"/>
      <c r="K136" s="245">
        <v>1</v>
      </c>
      <c r="L136" s="315">
        <v>1</v>
      </c>
      <c r="M136" s="498" t="s">
        <v>38</v>
      </c>
      <c r="N136" s="506">
        <v>1</v>
      </c>
      <c r="O136" s="315">
        <v>0</v>
      </c>
      <c r="P136" s="305">
        <f t="shared" si="244"/>
        <v>0</v>
      </c>
      <c r="Q136" s="315" t="s">
        <v>45</v>
      </c>
      <c r="R136" s="315">
        <v>1</v>
      </c>
      <c r="S136" s="306">
        <f t="shared" si="245"/>
        <v>0</v>
      </c>
      <c r="T136" s="315"/>
      <c r="U136" s="307"/>
      <c r="V136" s="307"/>
      <c r="W136" s="307"/>
      <c r="X136" s="308">
        <f t="shared" si="246"/>
        <v>0</v>
      </c>
      <c r="Y136" s="368"/>
      <c r="Z136" s="309">
        <f t="shared" si="247"/>
        <v>0</v>
      </c>
      <c r="AA136" s="304"/>
      <c r="AB136" s="304"/>
      <c r="AC136" s="304"/>
      <c r="AD136" s="304"/>
      <c r="AE136" s="310">
        <f t="shared" si="248"/>
        <v>0</v>
      </c>
      <c r="AF136" s="244"/>
      <c r="AG136" s="362" t="str">
        <f>VLOOKUP(A136,'Feature Summary'!$A$7:$U$4024,21,FALSE)</f>
        <v>wk-10</v>
      </c>
      <c r="AH136" s="246"/>
    </row>
    <row r="137" spans="1:34" ht="15" thickBot="1" x14ac:dyDescent="0.4">
      <c r="A137" s="480" t="s">
        <v>454</v>
      </c>
      <c r="B137" s="480" t="str">
        <f>VLOOKUP(A137,'Feature Raw Data'!$A$3:$B$3934,2,FALSE)</f>
        <v>MSMU Capability</v>
      </c>
      <c r="C137" s="317"/>
      <c r="D137" s="315" t="s">
        <v>455</v>
      </c>
      <c r="E137" s="361" t="s">
        <v>455</v>
      </c>
      <c r="F137" s="353" t="s">
        <v>461</v>
      </c>
      <c r="G137" s="385" t="str">
        <f>VLOOKUP(A137,'Feature Summary'!$A$7:$C$4005,3,FALSE)</f>
        <v>P2</v>
      </c>
      <c r="H137" s="361" t="s">
        <v>462</v>
      </c>
      <c r="I137" s="504" t="s">
        <v>458</v>
      </c>
      <c r="J137" s="463"/>
      <c r="K137" s="245">
        <v>1</v>
      </c>
      <c r="L137" s="315">
        <v>1</v>
      </c>
      <c r="M137" s="498" t="s">
        <v>38</v>
      </c>
      <c r="N137" s="506">
        <v>1</v>
      </c>
      <c r="O137" s="315">
        <v>0</v>
      </c>
      <c r="P137" s="305">
        <f t="shared" ref="P137:P139" si="254">IF((O137=0),0,(O137/L137))</f>
        <v>0</v>
      </c>
      <c r="Q137" s="315" t="s">
        <v>45</v>
      </c>
      <c r="R137" s="315">
        <v>1</v>
      </c>
      <c r="S137" s="306">
        <f t="shared" ref="S137:S139" si="255">SUM(T137:W137)</f>
        <v>0</v>
      </c>
      <c r="T137" s="315"/>
      <c r="U137" s="307"/>
      <c r="V137" s="307"/>
      <c r="W137" s="307"/>
      <c r="X137" s="308">
        <f t="shared" ref="X137:X139" si="256">IF((S137=0),0,((T137+U137)/S137*100%))</f>
        <v>0</v>
      </c>
      <c r="Y137" s="368"/>
      <c r="Z137" s="309">
        <f t="shared" ref="Z137:Z139" si="257">SUM(AA137:AD137)</f>
        <v>0</v>
      </c>
      <c r="AA137" s="304"/>
      <c r="AB137" s="304"/>
      <c r="AC137" s="304"/>
      <c r="AD137" s="304"/>
      <c r="AE137" s="310">
        <f t="shared" ref="AE137:AE139" si="258">IF((Z137=0),0,((AA137+AB137)/Z137*100%))</f>
        <v>0</v>
      </c>
      <c r="AF137" s="244"/>
      <c r="AG137" s="362" t="str">
        <f>VLOOKUP(A137,'Feature Summary'!$A$7:$U$4024,21,FALSE)</f>
        <v>wk-10</v>
      </c>
      <c r="AH137" s="246"/>
    </row>
    <row r="138" spans="1:34" ht="15" thickBot="1" x14ac:dyDescent="0.4">
      <c r="A138" s="480" t="s">
        <v>454</v>
      </c>
      <c r="B138" s="480" t="str">
        <f>VLOOKUP(A138,'Feature Raw Data'!$A$3:$B$3934,2,FALSE)</f>
        <v>MSMU Capability</v>
      </c>
      <c r="C138" s="317"/>
      <c r="D138" s="315" t="s">
        <v>455</v>
      </c>
      <c r="E138" s="361" t="s">
        <v>455</v>
      </c>
      <c r="F138" s="353" t="s">
        <v>463</v>
      </c>
      <c r="G138" s="385" t="str">
        <f>VLOOKUP(A138,'Feature Summary'!$A$7:$C$4005,3,FALSE)</f>
        <v>P2</v>
      </c>
      <c r="H138" s="361" t="s">
        <v>464</v>
      </c>
      <c r="I138" s="504" t="s">
        <v>458</v>
      </c>
      <c r="J138" s="463"/>
      <c r="K138" s="245">
        <v>1</v>
      </c>
      <c r="L138" s="315">
        <v>1</v>
      </c>
      <c r="M138" s="498" t="s">
        <v>38</v>
      </c>
      <c r="N138" s="506">
        <v>1</v>
      </c>
      <c r="O138" s="315">
        <v>0</v>
      </c>
      <c r="P138" s="305">
        <f t="shared" ref="P138" si="259">IF((O138=0),0,(O138/L138))</f>
        <v>0</v>
      </c>
      <c r="Q138" s="315" t="s">
        <v>45</v>
      </c>
      <c r="R138" s="315">
        <v>1</v>
      </c>
      <c r="S138" s="306">
        <f t="shared" ref="S138" si="260">SUM(T138:W138)</f>
        <v>0</v>
      </c>
      <c r="T138" s="315"/>
      <c r="U138" s="307"/>
      <c r="V138" s="307"/>
      <c r="W138" s="307"/>
      <c r="X138" s="308">
        <f t="shared" ref="X138" si="261">IF((S138=0),0,((T138+U138)/S138*100%))</f>
        <v>0</v>
      </c>
      <c r="Y138" s="368"/>
      <c r="Z138" s="309">
        <f t="shared" ref="Z138" si="262">SUM(AA138:AD138)</f>
        <v>0</v>
      </c>
      <c r="AA138" s="304"/>
      <c r="AB138" s="304"/>
      <c r="AC138" s="304"/>
      <c r="AD138" s="304"/>
      <c r="AE138" s="310">
        <f t="shared" ref="AE138" si="263">IF((Z138=0),0,((AA138+AB138)/Z138*100%))</f>
        <v>0</v>
      </c>
      <c r="AF138" s="244"/>
      <c r="AG138" s="362" t="str">
        <f>VLOOKUP(A138,'Feature Summary'!$A$7:$U$4024,21,FALSE)</f>
        <v>wk-10</v>
      </c>
      <c r="AH138" s="246"/>
    </row>
    <row r="139" spans="1:34" ht="15" thickBot="1" x14ac:dyDescent="0.4">
      <c r="A139" s="480" t="s">
        <v>454</v>
      </c>
      <c r="B139" s="480" t="str">
        <f>VLOOKUP(A139,'Feature Raw Data'!$A$3:$B$3934,2,FALSE)</f>
        <v>MSMU Capability</v>
      </c>
      <c r="C139" s="317"/>
      <c r="D139" s="315" t="s">
        <v>455</v>
      </c>
      <c r="E139" s="361" t="s">
        <v>455</v>
      </c>
      <c r="F139" s="353" t="s">
        <v>465</v>
      </c>
      <c r="G139" s="385" t="str">
        <f>VLOOKUP(A139,'Feature Summary'!$A$7:$C$4005,3,FALSE)</f>
        <v>P2</v>
      </c>
      <c r="H139" s="361" t="s">
        <v>466</v>
      </c>
      <c r="I139" s="504" t="s">
        <v>458</v>
      </c>
      <c r="J139" s="463"/>
      <c r="K139" s="245">
        <v>1</v>
      </c>
      <c r="L139" s="315">
        <v>1</v>
      </c>
      <c r="M139" s="498" t="s">
        <v>38</v>
      </c>
      <c r="N139" s="506">
        <v>1</v>
      </c>
      <c r="O139" s="315">
        <v>0</v>
      </c>
      <c r="P139" s="305">
        <f t="shared" si="254"/>
        <v>0</v>
      </c>
      <c r="Q139" s="315" t="s">
        <v>45</v>
      </c>
      <c r="R139" s="315">
        <v>1</v>
      </c>
      <c r="S139" s="306">
        <f t="shared" si="255"/>
        <v>0</v>
      </c>
      <c r="T139" s="315"/>
      <c r="U139" s="307"/>
      <c r="V139" s="307"/>
      <c r="W139" s="307"/>
      <c r="X139" s="308">
        <f t="shared" si="256"/>
        <v>0</v>
      </c>
      <c r="Y139" s="368"/>
      <c r="Z139" s="309">
        <f t="shared" si="257"/>
        <v>0</v>
      </c>
      <c r="AA139" s="304"/>
      <c r="AB139" s="304"/>
      <c r="AC139" s="304"/>
      <c r="AD139" s="304"/>
      <c r="AE139" s="310">
        <f t="shared" si="258"/>
        <v>0</v>
      </c>
      <c r="AF139" s="244"/>
      <c r="AG139" s="362" t="str">
        <f>VLOOKUP(A139,'Feature Summary'!$A$7:$U$4024,21,FALSE)</f>
        <v>wk-10</v>
      </c>
      <c r="AH139" s="246"/>
    </row>
    <row r="140" spans="1:34" ht="15" thickBot="1" x14ac:dyDescent="0.4">
      <c r="A140" s="480" t="s">
        <v>454</v>
      </c>
      <c r="B140" s="480" t="str">
        <f>VLOOKUP(A140,'Feature Raw Data'!$A$3:$B$3934,2,FALSE)</f>
        <v>MSMU Capability</v>
      </c>
      <c r="C140" s="317"/>
      <c r="D140" s="315" t="s">
        <v>455</v>
      </c>
      <c r="E140" s="361" t="s">
        <v>455</v>
      </c>
      <c r="F140" s="353" t="s">
        <v>467</v>
      </c>
      <c r="G140" s="385" t="str">
        <f>VLOOKUP(A140,'Feature Summary'!$A$7:$C$4005,3,FALSE)</f>
        <v>P2</v>
      </c>
      <c r="H140" s="361" t="s">
        <v>468</v>
      </c>
      <c r="I140" s="504" t="s">
        <v>458</v>
      </c>
      <c r="J140" s="463"/>
      <c r="K140" s="245">
        <v>1</v>
      </c>
      <c r="L140" s="315">
        <v>1</v>
      </c>
      <c r="M140" s="498" t="s">
        <v>38</v>
      </c>
      <c r="N140" s="506">
        <v>1</v>
      </c>
      <c r="O140" s="315">
        <v>0</v>
      </c>
      <c r="P140" s="305">
        <f t="shared" ref="P140:P142" si="264">IF((O140=0),0,(O140/L140))</f>
        <v>0</v>
      </c>
      <c r="Q140" s="315" t="s">
        <v>45</v>
      </c>
      <c r="R140" s="315">
        <v>1</v>
      </c>
      <c r="S140" s="306">
        <f t="shared" ref="S140:S142" si="265">SUM(T140:W140)</f>
        <v>0</v>
      </c>
      <c r="T140" s="315"/>
      <c r="U140" s="307"/>
      <c r="V140" s="307"/>
      <c r="W140" s="307"/>
      <c r="X140" s="308">
        <f t="shared" ref="X140:X142" si="266">IF((S140=0),0,((T140+U140)/S140*100%))</f>
        <v>0</v>
      </c>
      <c r="Y140" s="368"/>
      <c r="Z140" s="309">
        <f t="shared" ref="Z140:Z142" si="267">SUM(AA140:AD140)</f>
        <v>0</v>
      </c>
      <c r="AA140" s="304"/>
      <c r="AB140" s="304"/>
      <c r="AC140" s="304"/>
      <c r="AD140" s="304"/>
      <c r="AE140" s="310">
        <f t="shared" ref="AE140:AE142" si="268">IF((Z140=0),0,((AA140+AB140)/Z140*100%))</f>
        <v>0</v>
      </c>
      <c r="AF140" s="244"/>
      <c r="AG140" s="362" t="str">
        <f>VLOOKUP(A140,'Feature Summary'!$A$7:$U$4024,21,FALSE)</f>
        <v>wk-10</v>
      </c>
      <c r="AH140" s="246"/>
    </row>
    <row r="141" spans="1:34" ht="15" thickBot="1" x14ac:dyDescent="0.4">
      <c r="A141" s="480" t="s">
        <v>469</v>
      </c>
      <c r="B141" s="480" t="str">
        <f>VLOOKUP(A141,'Feature Raw Data'!$A$3:$B$3934,2,FALSE)</f>
        <v>DFS-ClockGating per Slice</v>
      </c>
      <c r="C141" s="317"/>
      <c r="D141" s="315" t="s">
        <v>257</v>
      </c>
      <c r="E141" s="361" t="s">
        <v>447</v>
      </c>
      <c r="F141" s="353" t="s">
        <v>375</v>
      </c>
      <c r="G141" s="385" t="str">
        <f>VLOOKUP(A141,'Feature Summary'!$A$7:$C$4005,3,FALSE)</f>
        <v>P2</v>
      </c>
      <c r="H141" s="361" t="s">
        <v>470</v>
      </c>
      <c r="I141" s="361" t="s">
        <v>261</v>
      </c>
      <c r="J141" s="463"/>
      <c r="K141" s="245">
        <v>1</v>
      </c>
      <c r="L141" s="315">
        <v>1</v>
      </c>
      <c r="M141" s="498" t="s">
        <v>38</v>
      </c>
      <c r="N141" s="506">
        <v>1</v>
      </c>
      <c r="O141" s="315">
        <v>0</v>
      </c>
      <c r="P141" s="305">
        <f t="shared" si="264"/>
        <v>0</v>
      </c>
      <c r="Q141" s="315" t="s">
        <v>45</v>
      </c>
      <c r="R141" s="315">
        <v>1</v>
      </c>
      <c r="S141" s="306">
        <f t="shared" si="265"/>
        <v>0</v>
      </c>
      <c r="T141" s="315"/>
      <c r="U141" s="307"/>
      <c r="V141" s="307"/>
      <c r="W141" s="307"/>
      <c r="X141" s="308">
        <f t="shared" si="266"/>
        <v>0</v>
      </c>
      <c r="Y141" s="368"/>
      <c r="Z141" s="309">
        <f t="shared" si="267"/>
        <v>0</v>
      </c>
      <c r="AA141" s="304"/>
      <c r="AB141" s="304"/>
      <c r="AC141" s="304"/>
      <c r="AD141" s="304"/>
      <c r="AE141" s="310">
        <f t="shared" si="268"/>
        <v>0</v>
      </c>
      <c r="AF141" s="244"/>
      <c r="AG141" s="362">
        <f>VLOOKUP(A141,'Feature Summary'!$A$7:$U$4024,21,FALSE)</f>
        <v>0</v>
      </c>
      <c r="AH141" s="246"/>
    </row>
    <row r="142" spans="1:34" ht="15" thickBot="1" x14ac:dyDescent="0.4">
      <c r="A142" s="480" t="s">
        <v>471</v>
      </c>
      <c r="B142" s="480" t="str">
        <f>VLOOKUP(A142,'Feature Raw Data'!$A$3:$B$3934,2,FALSE)</f>
        <v>DFS-Global clock gating</v>
      </c>
      <c r="C142" s="317"/>
      <c r="D142" s="315" t="s">
        <v>257</v>
      </c>
      <c r="E142" s="361" t="s">
        <v>447</v>
      </c>
      <c r="F142" s="480" t="s">
        <v>472</v>
      </c>
      <c r="G142" s="385" t="str">
        <f>VLOOKUP(A142,'Feature Summary'!$A$7:$C$4005,3,FALSE)</f>
        <v>P2</v>
      </c>
      <c r="H142" s="361" t="s">
        <v>473</v>
      </c>
      <c r="I142" s="361" t="s">
        <v>261</v>
      </c>
      <c r="J142" s="463"/>
      <c r="K142" s="245">
        <v>1</v>
      </c>
      <c r="L142" s="315">
        <v>1</v>
      </c>
      <c r="M142" s="498" t="s">
        <v>38</v>
      </c>
      <c r="N142" s="506">
        <v>1</v>
      </c>
      <c r="O142" s="315">
        <v>0</v>
      </c>
      <c r="P142" s="305">
        <f t="shared" si="264"/>
        <v>0</v>
      </c>
      <c r="Q142" s="315" t="s">
        <v>45</v>
      </c>
      <c r="R142" s="315">
        <v>1</v>
      </c>
      <c r="S142" s="306">
        <f t="shared" si="265"/>
        <v>0</v>
      </c>
      <c r="T142" s="315"/>
      <c r="U142" s="307"/>
      <c r="V142" s="307"/>
      <c r="W142" s="307"/>
      <c r="X142" s="308">
        <f t="shared" si="266"/>
        <v>0</v>
      </c>
      <c r="Y142" s="368"/>
      <c r="Z142" s="309">
        <f t="shared" si="267"/>
        <v>0</v>
      </c>
      <c r="AA142" s="304"/>
      <c r="AB142" s="304"/>
      <c r="AC142" s="304"/>
      <c r="AD142" s="304"/>
      <c r="AE142" s="310">
        <f t="shared" si="268"/>
        <v>0</v>
      </c>
      <c r="AF142" s="244"/>
      <c r="AG142" s="362">
        <f>VLOOKUP(A142,'Feature Summary'!$A$7:$U$4024,21,FALSE)</f>
        <v>0</v>
      </c>
      <c r="AH142" s="246"/>
    </row>
    <row r="143" spans="1:34" ht="15" thickBot="1" x14ac:dyDescent="0.4">
      <c r="A143" s="480" t="s">
        <v>474</v>
      </c>
      <c r="B143" s="480" t="str">
        <f>VLOOKUP(A143,'Feature Raw Data'!$A$3:$B$3934,2,FALSE)</f>
        <v>AXI-based auto polling temp requests triggered by FW</v>
      </c>
      <c r="C143" s="317"/>
      <c r="D143" s="315" t="s">
        <v>379</v>
      </c>
      <c r="E143" s="361" t="s">
        <v>379</v>
      </c>
      <c r="F143" s="480" t="s">
        <v>475</v>
      </c>
      <c r="G143" s="385" t="str">
        <f>VLOOKUP(A143,'Feature Summary'!$A$7:$C$4005,3,FALSE)</f>
        <v>P2</v>
      </c>
      <c r="H143" s="361" t="s">
        <v>476</v>
      </c>
      <c r="I143" s="361" t="s">
        <v>261</v>
      </c>
      <c r="J143" s="463"/>
      <c r="K143" s="245">
        <v>1</v>
      </c>
      <c r="L143" s="315">
        <v>1</v>
      </c>
      <c r="M143" s="498" t="s">
        <v>38</v>
      </c>
      <c r="N143" s="506">
        <v>1</v>
      </c>
      <c r="O143" s="315">
        <v>0</v>
      </c>
      <c r="P143" s="305">
        <f t="shared" ref="P143:P150" si="269">IF((O143=0),0,(O143/L143))</f>
        <v>0</v>
      </c>
      <c r="Q143" s="315" t="s">
        <v>45</v>
      </c>
      <c r="R143" s="315">
        <v>1</v>
      </c>
      <c r="S143" s="306">
        <f t="shared" ref="S143:S150" si="270">SUM(T143:W143)</f>
        <v>0</v>
      </c>
      <c r="T143" s="315"/>
      <c r="U143" s="307"/>
      <c r="V143" s="307"/>
      <c r="W143" s="307"/>
      <c r="X143" s="308">
        <f t="shared" ref="X143:X150" si="271">IF((S143=0),0,((T143+U143)/S143*100%))</f>
        <v>0</v>
      </c>
      <c r="Y143" s="368"/>
      <c r="Z143" s="309">
        <f t="shared" ref="Z143:Z150" si="272">SUM(AA143:AD143)</f>
        <v>0</v>
      </c>
      <c r="AA143" s="304"/>
      <c r="AB143" s="304"/>
      <c r="AC143" s="304"/>
      <c r="AD143" s="304"/>
      <c r="AE143" s="310">
        <f t="shared" ref="AE143:AE150" si="273">IF((Z143=0),0,((AA143+AB143)/Z143*100%))</f>
        <v>0</v>
      </c>
      <c r="AF143" s="244"/>
      <c r="AG143" s="362" t="str">
        <f>VLOOKUP(A143,'Feature Summary'!$A$7:$U$4024,21,FALSE)</f>
        <v>wk-3</v>
      </c>
      <c r="AH143" s="246"/>
    </row>
    <row r="144" spans="1:34" ht="15" thickBot="1" x14ac:dyDescent="0.4">
      <c r="A144" s="480" t="s">
        <v>477</v>
      </c>
      <c r="B144" s="480" t="str">
        <f>VLOOKUP(A144,'Feature Raw Data'!$A$3:$B$3934,2,FALSE)</f>
        <v>CTSEN/ RTSEN Disable</v>
      </c>
      <c r="C144" s="317"/>
      <c r="D144" s="315" t="s">
        <v>379</v>
      </c>
      <c r="E144" s="361" t="s">
        <v>379</v>
      </c>
      <c r="F144" s="480" t="s">
        <v>478</v>
      </c>
      <c r="G144" s="385" t="str">
        <f>VLOOKUP(A144,'Feature Summary'!$A$7:$C$4005,3,FALSE)</f>
        <v>P2</v>
      </c>
      <c r="H144" s="361" t="s">
        <v>479</v>
      </c>
      <c r="I144" s="361" t="s">
        <v>261</v>
      </c>
      <c r="J144" s="463"/>
      <c r="K144" s="245">
        <v>1</v>
      </c>
      <c r="L144" s="315">
        <v>1</v>
      </c>
      <c r="M144" s="498" t="s">
        <v>38</v>
      </c>
      <c r="N144" s="506">
        <v>1</v>
      </c>
      <c r="O144" s="315">
        <v>0</v>
      </c>
      <c r="P144" s="305">
        <f t="shared" si="269"/>
        <v>0</v>
      </c>
      <c r="Q144" s="315" t="s">
        <v>45</v>
      </c>
      <c r="R144" s="315">
        <v>1</v>
      </c>
      <c r="S144" s="306">
        <f t="shared" si="270"/>
        <v>0</v>
      </c>
      <c r="T144" s="315"/>
      <c r="U144" s="307"/>
      <c r="V144" s="307"/>
      <c r="W144" s="307"/>
      <c r="X144" s="308">
        <f t="shared" si="271"/>
        <v>0</v>
      </c>
      <c r="Y144" s="368"/>
      <c r="Z144" s="309">
        <f t="shared" si="272"/>
        <v>0</v>
      </c>
      <c r="AA144" s="304"/>
      <c r="AB144" s="304"/>
      <c r="AC144" s="304"/>
      <c r="AD144" s="304"/>
      <c r="AE144" s="310">
        <f t="shared" si="273"/>
        <v>0</v>
      </c>
      <c r="AF144" s="244"/>
      <c r="AG144" s="362" t="str">
        <f>VLOOKUP(A144,'Feature Summary'!$A$7:$U$4024,21,FALSE)</f>
        <v>wk-2</v>
      </c>
      <c r="AH144" s="246"/>
    </row>
    <row r="145" spans="1:34" ht="15" thickBot="1" x14ac:dyDescent="0.4">
      <c r="A145" s="480" t="s">
        <v>480</v>
      </c>
      <c r="B145" s="480" t="str">
        <f>VLOOKUP(A145,'Feature Raw Data'!$A$3:$B$3934,2,FALSE)</f>
        <v>HW Auto Polling</v>
      </c>
      <c r="C145" s="317"/>
      <c r="D145" s="315" t="s">
        <v>379</v>
      </c>
      <c r="E145" s="361" t="s">
        <v>379</v>
      </c>
      <c r="F145" s="480" t="s">
        <v>481</v>
      </c>
      <c r="G145" s="385" t="str">
        <f>VLOOKUP(A145,'Feature Summary'!$A$7:$C$4005,3,FALSE)</f>
        <v>P2</v>
      </c>
      <c r="H145" s="361" t="s">
        <v>482</v>
      </c>
      <c r="I145" s="361" t="s">
        <v>261</v>
      </c>
      <c r="J145" s="463"/>
      <c r="K145" s="245">
        <v>1</v>
      </c>
      <c r="L145" s="315">
        <v>1</v>
      </c>
      <c r="M145" s="498" t="s">
        <v>38</v>
      </c>
      <c r="N145" s="506">
        <v>1</v>
      </c>
      <c r="O145" s="315">
        <v>0</v>
      </c>
      <c r="P145" s="305">
        <f t="shared" si="269"/>
        <v>0</v>
      </c>
      <c r="Q145" s="315" t="s">
        <v>45</v>
      </c>
      <c r="R145" s="315">
        <v>1</v>
      </c>
      <c r="S145" s="306">
        <f t="shared" si="270"/>
        <v>0</v>
      </c>
      <c r="T145" s="315"/>
      <c r="U145" s="307"/>
      <c r="V145" s="307"/>
      <c r="W145" s="307"/>
      <c r="X145" s="308">
        <f t="shared" si="271"/>
        <v>0</v>
      </c>
      <c r="Y145" s="368"/>
      <c r="Z145" s="309">
        <f t="shared" si="272"/>
        <v>0</v>
      </c>
      <c r="AA145" s="304"/>
      <c r="AB145" s="304"/>
      <c r="AC145" s="304"/>
      <c r="AD145" s="304"/>
      <c r="AE145" s="310">
        <f t="shared" si="273"/>
        <v>0</v>
      </c>
      <c r="AF145" s="244"/>
      <c r="AG145" s="362" t="str">
        <f>VLOOKUP(A145,'Feature Summary'!$A$7:$U$4024,21,FALSE)</f>
        <v>wk-2</v>
      </c>
      <c r="AH145" s="246"/>
    </row>
    <row r="146" spans="1:34" ht="15" thickBot="1" x14ac:dyDescent="0.4">
      <c r="A146" s="480" t="s">
        <v>483</v>
      </c>
      <c r="B146" s="480" t="str">
        <f>VLOOKUP(A146,'Feature Raw Data'!$A$3:$B$3934,2,FALSE)</f>
        <v>Raw data to temperature data calculation for TSEN</v>
      </c>
      <c r="C146" s="317"/>
      <c r="D146" s="315" t="s">
        <v>379</v>
      </c>
      <c r="E146" s="361" t="s">
        <v>379</v>
      </c>
      <c r="F146" s="480" t="s">
        <v>484</v>
      </c>
      <c r="G146" s="385" t="str">
        <f>VLOOKUP(A146,'Feature Summary'!$A$7:$C$4005,3,FALSE)</f>
        <v>P2</v>
      </c>
      <c r="H146" s="361" t="s">
        <v>485</v>
      </c>
      <c r="I146" s="361" t="s">
        <v>261</v>
      </c>
      <c r="J146" s="463"/>
      <c r="K146" s="245">
        <v>1</v>
      </c>
      <c r="L146" s="315">
        <v>1</v>
      </c>
      <c r="M146" s="498" t="s">
        <v>38</v>
      </c>
      <c r="N146" s="506">
        <v>1</v>
      </c>
      <c r="O146" s="315">
        <v>0</v>
      </c>
      <c r="P146" s="305">
        <f t="shared" si="269"/>
        <v>0</v>
      </c>
      <c r="Q146" s="315" t="s">
        <v>45</v>
      </c>
      <c r="R146" s="315">
        <v>1</v>
      </c>
      <c r="S146" s="306">
        <f t="shared" si="270"/>
        <v>0</v>
      </c>
      <c r="T146" s="315"/>
      <c r="U146" s="307"/>
      <c r="V146" s="307"/>
      <c r="W146" s="307"/>
      <c r="X146" s="308">
        <f t="shared" si="271"/>
        <v>0</v>
      </c>
      <c r="Y146" s="368"/>
      <c r="Z146" s="309">
        <f t="shared" si="272"/>
        <v>0</v>
      </c>
      <c r="AA146" s="304"/>
      <c r="AB146" s="304"/>
      <c r="AC146" s="304"/>
      <c r="AD146" s="304"/>
      <c r="AE146" s="310">
        <f t="shared" si="273"/>
        <v>0</v>
      </c>
      <c r="AF146" s="244"/>
      <c r="AG146" s="362" t="str">
        <f>VLOOKUP(A146,'Feature Summary'!$A$7:$U$4024,21,FALSE)</f>
        <v>wk-3</v>
      </c>
      <c r="AH146" s="246"/>
    </row>
    <row r="147" spans="1:34" ht="15" thickBot="1" x14ac:dyDescent="0.4">
      <c r="A147" s="481" t="s">
        <v>486</v>
      </c>
      <c r="B147" s="480" t="str">
        <f>VLOOKUP(A147,'Feature Raw Data'!$A$3:$B$3934,2,FALSE)</f>
        <v>rsmu interrupt over smn network</v>
      </c>
      <c r="C147" s="317"/>
      <c r="D147" s="315" t="s">
        <v>352</v>
      </c>
      <c r="E147" s="361" t="s">
        <v>487</v>
      </c>
      <c r="F147" s="361" t="s">
        <v>488</v>
      </c>
      <c r="G147" s="385" t="str">
        <f>VLOOKUP(A147,'Feature Summary'!$A$7:$C$4005,3,FALSE)</f>
        <v>P2</v>
      </c>
      <c r="H147" s="361" t="s">
        <v>489</v>
      </c>
      <c r="I147" s="361" t="s">
        <v>261</v>
      </c>
      <c r="J147" s="463"/>
      <c r="K147" s="245">
        <v>1</v>
      </c>
      <c r="L147" s="315">
        <v>1</v>
      </c>
      <c r="M147" s="498" t="s">
        <v>38</v>
      </c>
      <c r="N147" s="506">
        <v>1</v>
      </c>
      <c r="O147" s="315">
        <v>0</v>
      </c>
      <c r="P147" s="305">
        <f t="shared" ref="P147" si="274">IF((O147=0),0,(O147/L147))</f>
        <v>0</v>
      </c>
      <c r="Q147" s="315" t="s">
        <v>45</v>
      </c>
      <c r="R147" s="315">
        <v>1</v>
      </c>
      <c r="S147" s="306">
        <f t="shared" ref="S147" si="275">SUM(T147:W147)</f>
        <v>0</v>
      </c>
      <c r="T147" s="315"/>
      <c r="U147" s="307"/>
      <c r="V147" s="307"/>
      <c r="W147" s="307"/>
      <c r="X147" s="308">
        <f t="shared" ref="X147" si="276">IF((S147=0),0,((T147+U147)/S147*100%))</f>
        <v>0</v>
      </c>
      <c r="Y147" s="368"/>
      <c r="Z147" s="309">
        <f t="shared" ref="Z147" si="277">SUM(AA147:AD147)</f>
        <v>0</v>
      </c>
      <c r="AA147" s="304"/>
      <c r="AB147" s="304"/>
      <c r="AC147" s="304"/>
      <c r="AD147" s="304"/>
      <c r="AE147" s="310">
        <f t="shared" ref="AE147" si="278">IF((Z147=0),0,((AA147+AB147)/Z147*100%))</f>
        <v>0</v>
      </c>
      <c r="AF147" s="244"/>
      <c r="AG147" s="362" t="str">
        <f>VLOOKUP(A147,'Feature Summary'!$A$7:$U$4024,21,FALSE)</f>
        <v>N/A</v>
      </c>
      <c r="AH147" s="246"/>
    </row>
    <row r="148" spans="1:34" ht="15" thickBot="1" x14ac:dyDescent="0.4">
      <c r="A148" s="481" t="s">
        <v>490</v>
      </c>
      <c r="B148" s="480" t="str">
        <f>VLOOKUP(A148,'Feature Raw Data'!$A$3:$B$3934,2,FALSE)</f>
        <v xml:space="preserve">RSMU register access </v>
      </c>
      <c r="C148" s="317"/>
      <c r="D148" s="315" t="s">
        <v>352</v>
      </c>
      <c r="E148" s="361" t="s">
        <v>487</v>
      </c>
      <c r="F148" s="361" t="s">
        <v>488</v>
      </c>
      <c r="G148" s="385" t="str">
        <f>VLOOKUP(A148,'Feature Summary'!$A$7:$C$4005,3,FALSE)</f>
        <v>P2</v>
      </c>
      <c r="H148" s="361" t="s">
        <v>489</v>
      </c>
      <c r="I148" s="361" t="s">
        <v>261</v>
      </c>
      <c r="J148" s="463"/>
      <c r="K148" s="245">
        <v>1</v>
      </c>
      <c r="L148" s="315">
        <v>1</v>
      </c>
      <c r="M148" s="498" t="s">
        <v>38</v>
      </c>
      <c r="N148" s="506">
        <v>1</v>
      </c>
      <c r="O148" s="315">
        <v>0</v>
      </c>
      <c r="P148" s="305">
        <f t="shared" si="269"/>
        <v>0</v>
      </c>
      <c r="Q148" s="315" t="s">
        <v>45</v>
      </c>
      <c r="R148" s="315">
        <v>1</v>
      </c>
      <c r="S148" s="306">
        <f t="shared" si="270"/>
        <v>0</v>
      </c>
      <c r="T148" s="315"/>
      <c r="U148" s="307"/>
      <c r="V148" s="307"/>
      <c r="W148" s="307"/>
      <c r="X148" s="308">
        <f t="shared" si="271"/>
        <v>0</v>
      </c>
      <c r="Y148" s="368"/>
      <c r="Z148" s="309">
        <f t="shared" si="272"/>
        <v>0</v>
      </c>
      <c r="AA148" s="304"/>
      <c r="AB148" s="304"/>
      <c r="AC148" s="304"/>
      <c r="AD148" s="304"/>
      <c r="AE148" s="310">
        <f t="shared" si="273"/>
        <v>0</v>
      </c>
      <c r="AF148" s="244"/>
      <c r="AG148" s="362">
        <f>VLOOKUP(A148,'Feature Summary'!$A$7:$U$4024,21,FALSE)</f>
        <v>0</v>
      </c>
      <c r="AH148" s="246"/>
    </row>
    <row r="149" spans="1:34" ht="15" thickBot="1" x14ac:dyDescent="0.4">
      <c r="A149" s="481" t="s">
        <v>491</v>
      </c>
      <c r="B149" s="480" t="str">
        <f>VLOOKUP(A149,'Feature Raw Data'!$A$3:$B$3934,2,FALSE)</f>
        <v>RSMU/SMN Dynamic CG</v>
      </c>
      <c r="C149" s="317"/>
      <c r="D149" s="315" t="s">
        <v>352</v>
      </c>
      <c r="E149" s="501" t="s">
        <v>352</v>
      </c>
      <c r="F149" s="480" t="s">
        <v>492</v>
      </c>
      <c r="G149" s="385" t="str">
        <f>VLOOKUP(A149,'Feature Summary'!$A$7:$C$4005,3,FALSE)</f>
        <v>P2</v>
      </c>
      <c r="H149" s="361" t="s">
        <v>493</v>
      </c>
      <c r="I149" s="361" t="s">
        <v>261</v>
      </c>
      <c r="J149" s="463"/>
      <c r="K149" s="245">
        <v>1</v>
      </c>
      <c r="L149" s="315">
        <v>1</v>
      </c>
      <c r="M149" s="498" t="s">
        <v>38</v>
      </c>
      <c r="N149" s="506">
        <v>1</v>
      </c>
      <c r="O149" s="315">
        <v>0.3</v>
      </c>
      <c r="P149" s="305">
        <f t="shared" ref="P149" si="279">IF((O149=0),0,(O149/L149))</f>
        <v>0.3</v>
      </c>
      <c r="Q149" s="315" t="s">
        <v>45</v>
      </c>
      <c r="R149" s="315">
        <v>1</v>
      </c>
      <c r="S149" s="306">
        <f t="shared" ref="S149" si="280">SUM(T149:W149)</f>
        <v>0</v>
      </c>
      <c r="T149" s="315"/>
      <c r="U149" s="307"/>
      <c r="V149" s="307"/>
      <c r="W149" s="307"/>
      <c r="X149" s="308">
        <f t="shared" ref="X149" si="281">IF((S149=0),0,((T149+U149)/S149*100%))</f>
        <v>0</v>
      </c>
      <c r="Y149" s="368"/>
      <c r="Z149" s="309">
        <f t="shared" ref="Z149" si="282">SUM(AA149:AD149)</f>
        <v>0</v>
      </c>
      <c r="AA149" s="304"/>
      <c r="AB149" s="304"/>
      <c r="AC149" s="304"/>
      <c r="AD149" s="304"/>
      <c r="AE149" s="310">
        <f t="shared" ref="AE149" si="283">IF((Z149=0),0,((AA149+AB149)/Z149*100%))</f>
        <v>0</v>
      </c>
      <c r="AF149" s="244"/>
      <c r="AG149" s="362" t="str">
        <f>VLOOKUP(A149,'Feature Summary'!$A$7:$U$4024,21,FALSE)</f>
        <v>N/A</v>
      </c>
      <c r="AH149" s="246"/>
    </row>
    <row r="150" spans="1:34" ht="15" thickBot="1" x14ac:dyDescent="0.4">
      <c r="A150" s="481" t="s">
        <v>490</v>
      </c>
      <c r="B150" s="480" t="str">
        <f>VLOOKUP(A150,'Feature Raw Data'!$A$3:$B$3934,2,FALSE)</f>
        <v xml:space="preserve">RSMU register access </v>
      </c>
      <c r="C150" s="317"/>
      <c r="D150" s="315" t="s">
        <v>352</v>
      </c>
      <c r="E150" s="501" t="s">
        <v>352</v>
      </c>
      <c r="F150" s="480" t="s">
        <v>492</v>
      </c>
      <c r="G150" s="385" t="str">
        <f>VLOOKUP(A150,'Feature Summary'!$A$7:$C$4005,3,FALSE)</f>
        <v>P2</v>
      </c>
      <c r="H150" s="361" t="s">
        <v>493</v>
      </c>
      <c r="I150" s="361" t="s">
        <v>261</v>
      </c>
      <c r="J150" s="463"/>
      <c r="K150" s="245">
        <v>1</v>
      </c>
      <c r="L150" s="315">
        <v>1</v>
      </c>
      <c r="M150" s="498" t="s">
        <v>38</v>
      </c>
      <c r="N150" s="506">
        <v>1</v>
      </c>
      <c r="O150" s="315">
        <v>0.3</v>
      </c>
      <c r="P150" s="305">
        <f t="shared" si="269"/>
        <v>0.3</v>
      </c>
      <c r="Q150" s="315" t="s">
        <v>45</v>
      </c>
      <c r="R150" s="315">
        <v>1</v>
      </c>
      <c r="S150" s="306">
        <f t="shared" si="270"/>
        <v>0</v>
      </c>
      <c r="T150" s="315"/>
      <c r="U150" s="307"/>
      <c r="V150" s="307"/>
      <c r="W150" s="307"/>
      <c r="X150" s="308">
        <f t="shared" si="271"/>
        <v>0</v>
      </c>
      <c r="Y150" s="368"/>
      <c r="Z150" s="309">
        <f t="shared" si="272"/>
        <v>0</v>
      </c>
      <c r="AA150" s="304"/>
      <c r="AB150" s="304"/>
      <c r="AC150" s="304"/>
      <c r="AD150" s="304"/>
      <c r="AE150" s="310">
        <f t="shared" si="273"/>
        <v>0</v>
      </c>
      <c r="AF150" s="244"/>
      <c r="AG150" s="362">
        <f>VLOOKUP(A150,'Feature Summary'!$A$7:$U$4024,21,FALSE)</f>
        <v>0</v>
      </c>
      <c r="AH150" s="246"/>
    </row>
    <row r="151" spans="1:34" ht="15" thickBot="1" x14ac:dyDescent="0.4">
      <c r="A151" s="480" t="s">
        <v>494</v>
      </c>
      <c r="B151" s="480" t="str">
        <f>VLOOKUP(A151,'Feature Raw Data'!$A$3:$B$3934,2,FALSE)</f>
        <v>TSEN-read -RDI</v>
      </c>
      <c r="C151" s="317"/>
      <c r="D151" s="315" t="s">
        <v>379</v>
      </c>
      <c r="E151" s="361" t="s">
        <v>379</v>
      </c>
      <c r="F151" s="480" t="s">
        <v>495</v>
      </c>
      <c r="G151" s="385" t="str">
        <f>VLOOKUP(A151,'Feature Summary'!$A$7:$C$4005,3,FALSE)</f>
        <v>P2</v>
      </c>
      <c r="H151" s="361" t="s">
        <v>496</v>
      </c>
      <c r="I151" s="361" t="s">
        <v>261</v>
      </c>
      <c r="J151" s="463"/>
      <c r="K151" s="245">
        <v>1</v>
      </c>
      <c r="L151" s="315">
        <v>1</v>
      </c>
      <c r="M151" s="498" t="s">
        <v>38</v>
      </c>
      <c r="N151" s="506">
        <v>1</v>
      </c>
      <c r="O151" s="315">
        <v>0.3</v>
      </c>
      <c r="P151" s="305">
        <f t="shared" ref="P151:P153" si="284">IF((O151=0),0,(O151/L151))</f>
        <v>0.3</v>
      </c>
      <c r="Q151" s="315" t="s">
        <v>45</v>
      </c>
      <c r="R151" s="315">
        <v>1</v>
      </c>
      <c r="S151" s="306">
        <f t="shared" ref="S151:S153" si="285">SUM(T151:W151)</f>
        <v>0</v>
      </c>
      <c r="T151" s="315"/>
      <c r="U151" s="307"/>
      <c r="V151" s="307"/>
      <c r="W151" s="307"/>
      <c r="X151" s="308">
        <f t="shared" ref="X151:X153" si="286">IF((S151=0),0,((T151+U151)/S151*100%))</f>
        <v>0</v>
      </c>
      <c r="Y151" s="368"/>
      <c r="Z151" s="309">
        <f t="shared" ref="Z151:Z153" si="287">SUM(AA151:AD151)</f>
        <v>0</v>
      </c>
      <c r="AA151" s="304"/>
      <c r="AB151" s="304"/>
      <c r="AC151" s="304"/>
      <c r="AD151" s="304"/>
      <c r="AE151" s="310">
        <f t="shared" ref="AE151:AE153" si="288">IF((Z151=0),0,((AA151+AB151)/Z151*100%))</f>
        <v>0</v>
      </c>
      <c r="AF151" s="244"/>
      <c r="AG151" s="362" t="str">
        <f>VLOOKUP(A151,'Feature Summary'!$A$7:$U$4024,21,FALSE)</f>
        <v>wk-3</v>
      </c>
      <c r="AH151" s="246"/>
    </row>
    <row r="152" spans="1:34" ht="15" thickBot="1" x14ac:dyDescent="0.4">
      <c r="A152" s="481" t="s">
        <v>271</v>
      </c>
      <c r="B152" s="480" t="str">
        <f>VLOOKUP(A152,'Feature Raw Data'!$A$3:$B$3934,2,FALSE)</f>
        <v>RLC MSG box</v>
      </c>
      <c r="C152" s="317"/>
      <c r="D152" s="315" t="s">
        <v>443</v>
      </c>
      <c r="E152" s="501" t="s">
        <v>443</v>
      </c>
      <c r="F152" s="480" t="s">
        <v>497</v>
      </c>
      <c r="G152" s="385" t="str">
        <f>VLOOKUP(A152,'Feature Summary'!$A$7:$C$4005,3,FALSE)</f>
        <v>P1</v>
      </c>
      <c r="H152" s="361" t="s">
        <v>498</v>
      </c>
      <c r="I152" s="361" t="s">
        <v>261</v>
      </c>
      <c r="J152" s="463"/>
      <c r="K152" s="245">
        <v>1</v>
      </c>
      <c r="L152" s="315">
        <v>1</v>
      </c>
      <c r="M152" s="498" t="s">
        <v>38</v>
      </c>
      <c r="N152" s="506">
        <v>1</v>
      </c>
      <c r="O152" s="315">
        <v>0.3</v>
      </c>
      <c r="P152" s="305">
        <f t="shared" ref="P152" si="289">IF((O152=0),0,(O152/L152))</f>
        <v>0.3</v>
      </c>
      <c r="Q152" s="315" t="s">
        <v>45</v>
      </c>
      <c r="R152" s="315">
        <v>1</v>
      </c>
      <c r="S152" s="306">
        <f t="shared" ref="S152" si="290">SUM(T152:W152)</f>
        <v>0</v>
      </c>
      <c r="T152" s="315"/>
      <c r="U152" s="307"/>
      <c r="V152" s="307"/>
      <c r="W152" s="307"/>
      <c r="X152" s="308">
        <f t="shared" ref="X152" si="291">IF((S152=0),0,((T152+U152)/S152*100%))</f>
        <v>0</v>
      </c>
      <c r="Y152" s="368"/>
      <c r="Z152" s="309">
        <f t="shared" ref="Z152" si="292">SUM(AA152:AD152)</f>
        <v>0</v>
      </c>
      <c r="AA152" s="304"/>
      <c r="AB152" s="304"/>
      <c r="AC152" s="304"/>
      <c r="AD152" s="304"/>
      <c r="AE152" s="310">
        <f t="shared" ref="AE152" si="293">IF((Z152=0),0,((AA152+AB152)/Z152*100%))</f>
        <v>0</v>
      </c>
      <c r="AF152" s="244"/>
      <c r="AG152" s="362" t="str">
        <f>VLOOKUP(A152,'Feature Summary'!$A$7:$U$4024,21,FALSE)</f>
        <v>wk-4</v>
      </c>
      <c r="AH152" s="246"/>
    </row>
    <row r="153" spans="1:34" ht="15" thickBot="1" x14ac:dyDescent="0.4">
      <c r="A153" s="481" t="s">
        <v>499</v>
      </c>
      <c r="B153" s="480" t="str">
        <f>VLOOKUP(A153,'Feature Raw Data'!$A$3:$B$3934,2,FALSE)</f>
        <v>DFLL deep sleep</v>
      </c>
      <c r="C153" s="317"/>
      <c r="D153" s="315" t="s">
        <v>443</v>
      </c>
      <c r="E153" s="501" t="s">
        <v>443</v>
      </c>
      <c r="F153" s="480" t="s">
        <v>497</v>
      </c>
      <c r="G153" s="385" t="str">
        <f>VLOOKUP(A153,'Feature Summary'!$A$7:$C$4005,3,FALSE)</f>
        <v>P2</v>
      </c>
      <c r="H153" s="361" t="s">
        <v>498</v>
      </c>
      <c r="I153" s="361" t="s">
        <v>261</v>
      </c>
      <c r="J153" s="463"/>
      <c r="K153" s="245">
        <v>1</v>
      </c>
      <c r="L153" s="315">
        <v>1</v>
      </c>
      <c r="M153" s="498" t="s">
        <v>38</v>
      </c>
      <c r="N153" s="506">
        <v>1</v>
      </c>
      <c r="O153" s="315">
        <v>0.3</v>
      </c>
      <c r="P153" s="305">
        <f t="shared" si="284"/>
        <v>0.3</v>
      </c>
      <c r="Q153" s="315" t="s">
        <v>45</v>
      </c>
      <c r="R153" s="315">
        <v>1</v>
      </c>
      <c r="S153" s="306">
        <f t="shared" si="285"/>
        <v>0</v>
      </c>
      <c r="T153" s="315"/>
      <c r="U153" s="307"/>
      <c r="V153" s="307"/>
      <c r="W153" s="307"/>
      <c r="X153" s="308">
        <f t="shared" si="286"/>
        <v>0</v>
      </c>
      <c r="Y153" s="368"/>
      <c r="Z153" s="309">
        <f t="shared" si="287"/>
        <v>0</v>
      </c>
      <c r="AA153" s="304"/>
      <c r="AB153" s="304"/>
      <c r="AC153" s="304"/>
      <c r="AD153" s="304"/>
      <c r="AE153" s="310">
        <f t="shared" si="288"/>
        <v>0</v>
      </c>
      <c r="AF153" s="244"/>
      <c r="AG153" s="362" t="str">
        <f>VLOOKUP(A153,'Feature Summary'!$A$7:$U$4024,21,FALSE)</f>
        <v>wk-8</v>
      </c>
      <c r="AH153" s="246"/>
    </row>
    <row r="154" spans="1:34" x14ac:dyDescent="0.35">
      <c r="A154" s="460"/>
      <c r="B154" s="461"/>
      <c r="C154" s="463"/>
      <c r="D154" s="462"/>
      <c r="E154" s="463"/>
      <c r="F154" s="463"/>
      <c r="G154" s="385"/>
      <c r="H154" s="474"/>
      <c r="I154" s="361"/>
      <c r="J154" s="463"/>
      <c r="K154" s="462"/>
      <c r="L154" s="462"/>
      <c r="M154" s="485"/>
      <c r="N154" s="316"/>
      <c r="O154" s="449"/>
      <c r="P154" s="305"/>
      <c r="Q154" s="465"/>
      <c r="R154" s="462"/>
      <c r="S154" s="466"/>
      <c r="T154" s="315"/>
      <c r="U154" s="307"/>
      <c r="V154" s="307"/>
      <c r="W154" s="307"/>
      <c r="X154" s="467"/>
      <c r="Y154" s="468"/>
      <c r="Z154" s="309"/>
      <c r="AA154" s="470"/>
      <c r="AB154" s="470"/>
      <c r="AC154" s="470"/>
      <c r="AD154" s="470"/>
      <c r="AE154" s="471"/>
      <c r="AF154" s="463"/>
      <c r="AG154" s="472"/>
      <c r="AH154" s="473"/>
    </row>
    <row r="155" spans="1:34" ht="59.15" customHeight="1" thickBot="1" x14ac:dyDescent="0.4">
      <c r="A155" s="159"/>
      <c r="D155" s="159"/>
      <c r="H155" s="159"/>
      <c r="I155" s="159"/>
      <c r="R155" s="159"/>
      <c r="S155" s="159"/>
      <c r="T155" s="159"/>
      <c r="U155" s="159"/>
      <c r="V155" s="159"/>
      <c r="W155" s="159"/>
      <c r="X155" s="159"/>
      <c r="Y155" s="159"/>
      <c r="Z155" s="159"/>
      <c r="AA155" s="159"/>
      <c r="AB155" s="159"/>
      <c r="AC155" s="159"/>
      <c r="AD155" s="159"/>
      <c r="AE155" s="159"/>
    </row>
    <row r="156" spans="1:34" x14ac:dyDescent="0.35">
      <c r="A156" s="559" t="s">
        <v>500</v>
      </c>
      <c r="B156" s="560"/>
      <c r="C156" s="560"/>
      <c r="D156" s="560"/>
      <c r="E156" s="560"/>
      <c r="F156" s="560"/>
      <c r="G156" s="560"/>
      <c r="H156" s="560"/>
      <c r="I156" s="560"/>
      <c r="J156" s="560"/>
      <c r="K156" s="560"/>
      <c r="L156" s="560"/>
      <c r="M156" s="560"/>
      <c r="N156" s="560"/>
      <c r="O156" s="560"/>
      <c r="P156" s="560"/>
      <c r="Q156" s="560"/>
      <c r="R156" s="560"/>
      <c r="S156" s="560"/>
      <c r="T156" s="560"/>
      <c r="U156" s="560"/>
      <c r="V156" s="560"/>
      <c r="W156" s="560"/>
      <c r="X156" s="560"/>
      <c r="Y156" s="560"/>
      <c r="Z156" s="560"/>
      <c r="AA156" s="560"/>
      <c r="AB156" s="560"/>
      <c r="AC156" s="560"/>
      <c r="AD156" s="560"/>
      <c r="AE156" s="560"/>
      <c r="AF156" s="560"/>
      <c r="AG156" s="560"/>
      <c r="AH156" s="561"/>
    </row>
    <row r="157" spans="1:34" ht="15" thickBot="1" x14ac:dyDescent="0.4">
      <c r="A157" s="562"/>
      <c r="B157" s="563"/>
      <c r="C157" s="563"/>
      <c r="D157" s="563"/>
      <c r="E157" s="563"/>
      <c r="F157" s="563"/>
      <c r="G157" s="563"/>
      <c r="H157" s="563"/>
      <c r="I157" s="563"/>
      <c r="J157" s="563"/>
      <c r="K157" s="563"/>
      <c r="L157" s="563"/>
      <c r="M157" s="563"/>
      <c r="N157" s="563"/>
      <c r="O157" s="563"/>
      <c r="P157" s="563"/>
      <c r="Q157" s="563"/>
      <c r="R157" s="563"/>
      <c r="S157" s="563"/>
      <c r="T157" s="563"/>
      <c r="U157" s="563"/>
      <c r="V157" s="563"/>
      <c r="W157" s="563"/>
      <c r="X157" s="563"/>
      <c r="Y157" s="563"/>
      <c r="Z157" s="563"/>
      <c r="AA157" s="563"/>
      <c r="AB157" s="563"/>
      <c r="AC157" s="563"/>
      <c r="AD157" s="563"/>
      <c r="AE157" s="563"/>
      <c r="AF157" s="563"/>
      <c r="AG157" s="563"/>
      <c r="AH157" s="564"/>
    </row>
    <row r="158" spans="1:34" ht="19" thickBot="1" x14ac:dyDescent="0.4">
      <c r="A158" s="565" t="s">
        <v>250</v>
      </c>
      <c r="B158" s="566"/>
      <c r="C158" s="566"/>
      <c r="D158" s="566"/>
      <c r="E158" s="566"/>
      <c r="F158" s="566"/>
      <c r="G158" s="566"/>
      <c r="H158" s="566"/>
      <c r="I158" s="566"/>
      <c r="J158" s="567"/>
      <c r="K158" s="266">
        <f>SUM(K6:K154)</f>
        <v>148</v>
      </c>
      <c r="L158" s="266">
        <f>SUM(L67:L154)</f>
        <v>87</v>
      </c>
      <c r="M158" s="267"/>
      <c r="N158" s="298">
        <f>SUMPRODUCT(K6:K154,N6:N154)/K158</f>
        <v>1</v>
      </c>
      <c r="O158" s="486">
        <f>SUM(O6:O154)</f>
        <v>66.899999999999906</v>
      </c>
      <c r="P158" s="299">
        <f>SUMPRODUCT(K6:K154,P6:P154)/K158</f>
        <v>0.45202702702702641</v>
      </c>
      <c r="Q158" s="268"/>
      <c r="R158" s="269">
        <f>SUM(R6:R154)</f>
        <v>148</v>
      </c>
      <c r="S158" s="300">
        <f>SUM(S6:S154)</f>
        <v>55</v>
      </c>
      <c r="T158" s="269">
        <f>SUM(T6:T154)</f>
        <v>55</v>
      </c>
      <c r="U158" s="300">
        <f>SUM(U6:U154)</f>
        <v>0</v>
      </c>
      <c r="V158" s="300">
        <f>SUM(V6:V154)</f>
        <v>0</v>
      </c>
      <c r="W158" s="487">
        <f>SUM(V6:V154)</f>
        <v>0</v>
      </c>
      <c r="X158" s="301">
        <f>IF((S158=0),0,((T158+U158)/S158*100%))</f>
        <v>1</v>
      </c>
      <c r="Y158" s="270"/>
      <c r="Z158" s="302">
        <f>SUM(Z6:Z154)</f>
        <v>0</v>
      </c>
      <c r="AA158" s="302">
        <f>SUM(AA6:AA154)</f>
        <v>0</v>
      </c>
      <c r="AB158" s="302">
        <f>SUM(AB6:AB154)</f>
        <v>0</v>
      </c>
      <c r="AC158" s="302">
        <f>SUM(AC6:AC154)</f>
        <v>0</v>
      </c>
      <c r="AD158" s="302">
        <f>SUM(AD6:AD154)</f>
        <v>0</v>
      </c>
      <c r="AE158" s="303">
        <f>IF((Z158=0),0,((AA158+AB158)/Z158*100%))</f>
        <v>0</v>
      </c>
      <c r="AF158" s="271"/>
      <c r="AG158" s="271"/>
      <c r="AH158" s="272"/>
    </row>
    <row r="161" ht="30.75" customHeight="1" x14ac:dyDescent="0.35"/>
    <row r="170" ht="30" customHeight="1" x14ac:dyDescent="0.35"/>
    <row r="171" ht="48.75" customHeight="1" x14ac:dyDescent="0.35"/>
    <row r="172" ht="48.75" customHeight="1" x14ac:dyDescent="0.35"/>
    <row r="173" ht="48.75" customHeight="1" x14ac:dyDescent="0.35"/>
    <row r="174" ht="48.75" customHeight="1" x14ac:dyDescent="0.35"/>
    <row r="175" ht="48.75" customHeight="1" x14ac:dyDescent="0.35"/>
  </sheetData>
  <sheetProtection insertColumns="0" insertRows="0" deleteRows="0" sort="0"/>
  <autoFilter ref="A5:AH167" xr:uid="{00000000-0009-0000-0000-000002000000}"/>
  <mergeCells count="9">
    <mergeCell ref="A156:AH157"/>
    <mergeCell ref="A158:J158"/>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Q159:Q180 Q6:Q69 Q129:Q131 Q74:Q75 Q133:Q153 Q78:Q127</xm:sqref>
        </x14:dataValidation>
        <x14:dataValidation type="list" allowBlank="1" showInputMessage="1" showErrorMessage="1" xr:uid="{5513F172-4253-4807-A8CE-34D720193895}">
          <x14:formula1>
            <xm:f>'List Options'!$G$1:$G$3</xm:f>
          </x14:formula1>
          <xm:sqref>M159:M180 M6:M69 M133:M153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7"/>
  <sheetViews>
    <sheetView zoomScaleNormal="100" workbookViewId="0">
      <pane xSplit="1" ySplit="3" topLeftCell="C12" activePane="bottomRight" state="frozen"/>
      <selection pane="topRight" activeCell="B1" sqref="B1"/>
      <selection pane="bottomLeft" activeCell="A4" sqref="A4"/>
      <selection pane="bottomRight" activeCell="A30" sqref="A30:A37"/>
    </sheetView>
  </sheetViews>
  <sheetFormatPr defaultRowHeight="14.5" x14ac:dyDescent="0.35"/>
  <cols>
    <col min="1" max="1" width="27.81640625" customWidth="1"/>
    <col min="2" max="2" width="15.81640625" bestFit="1" customWidth="1"/>
    <col min="3" max="3" width="27.81640625" bestFit="1" customWidth="1"/>
    <col min="4" max="4" width="6" bestFit="1" customWidth="1"/>
    <col min="5" max="5" width="14.54296875" bestFit="1" customWidth="1"/>
    <col min="6" max="6" width="15.1796875" bestFit="1" customWidth="1"/>
    <col min="7" max="8" width="9.1796875" customWidth="1"/>
    <col min="9" max="9" width="9.1796875" hidden="1" customWidth="1"/>
    <col min="10" max="10" width="9.1796875" customWidth="1"/>
    <col min="11" max="11" width="9.1796875" hidden="1" customWidth="1"/>
    <col min="12" max="13" width="11.1796875" customWidth="1"/>
    <col min="14" max="14" width="11.54296875" customWidth="1"/>
    <col min="15" max="15" width="9.1796875" customWidth="1"/>
    <col min="20" max="21" width="11.1796875" bestFit="1" customWidth="1"/>
    <col min="22" max="22" width="11.54296875" bestFit="1" customWidth="1"/>
  </cols>
  <sheetData>
    <row r="1" spans="1:22" ht="39" customHeight="1" thickBot="1" x14ac:dyDescent="0.4">
      <c r="A1" s="583" t="s">
        <v>501</v>
      </c>
      <c r="B1" s="584"/>
      <c r="C1" s="584"/>
      <c r="D1" s="584"/>
      <c r="E1" s="584"/>
      <c r="F1" s="584"/>
      <c r="G1" s="584"/>
      <c r="H1" s="584"/>
      <c r="I1" s="584"/>
      <c r="J1" s="584"/>
      <c r="K1" s="584"/>
      <c r="L1" s="584"/>
      <c r="M1" s="584"/>
      <c r="N1" s="584"/>
      <c r="O1" s="584"/>
      <c r="P1" s="584"/>
      <c r="Q1" s="584"/>
      <c r="R1" s="584"/>
      <c r="S1" s="584"/>
      <c r="T1" s="584"/>
      <c r="U1" s="584"/>
      <c r="V1" s="585"/>
    </row>
    <row r="2" spans="1:22" ht="15" thickBot="1" x14ac:dyDescent="0.4">
      <c r="A2" s="186" t="s">
        <v>502</v>
      </c>
      <c r="B2" s="586" t="s">
        <v>161</v>
      </c>
      <c r="C2" s="586"/>
      <c r="D2" s="586"/>
      <c r="E2" s="586"/>
      <c r="F2" s="586"/>
      <c r="G2" s="587" t="s">
        <v>172</v>
      </c>
      <c r="H2" s="588"/>
      <c r="I2" s="588"/>
      <c r="J2" s="588"/>
      <c r="K2" s="588"/>
      <c r="L2" s="588"/>
      <c r="M2" s="588"/>
      <c r="N2" s="589"/>
      <c r="O2" s="590" t="s">
        <v>139</v>
      </c>
      <c r="P2" s="591"/>
      <c r="Q2" s="591"/>
      <c r="R2" s="591"/>
      <c r="S2" s="591"/>
      <c r="T2" s="591"/>
      <c r="U2" s="591"/>
      <c r="V2" s="592"/>
    </row>
    <row r="3" spans="1:22" s="189" customFormat="1" ht="15" thickBot="1" x14ac:dyDescent="0.4">
      <c r="A3" s="369" t="s">
        <v>83</v>
      </c>
      <c r="B3" s="239" t="s">
        <v>162</v>
      </c>
      <c r="C3" s="240" t="s">
        <v>123</v>
      </c>
      <c r="D3" s="241" t="s">
        <v>100</v>
      </c>
      <c r="E3" s="241" t="s">
        <v>168</v>
      </c>
      <c r="F3" s="242" t="s">
        <v>170</v>
      </c>
      <c r="G3" s="370" t="s">
        <v>127</v>
      </c>
      <c r="H3" s="371" t="s">
        <v>30</v>
      </c>
      <c r="I3" s="371" t="s">
        <v>130</v>
      </c>
      <c r="J3" s="371" t="s">
        <v>35</v>
      </c>
      <c r="K3" s="371" t="s">
        <v>133</v>
      </c>
      <c r="L3" s="371" t="s">
        <v>179</v>
      </c>
      <c r="M3" s="371" t="s">
        <v>135</v>
      </c>
      <c r="N3" s="372" t="s">
        <v>182</v>
      </c>
      <c r="O3" s="373" t="s">
        <v>127</v>
      </c>
      <c r="P3" s="374" t="s">
        <v>30</v>
      </c>
      <c r="Q3" s="374" t="s">
        <v>130</v>
      </c>
      <c r="R3" s="374" t="s">
        <v>35</v>
      </c>
      <c r="S3" s="374" t="s">
        <v>133</v>
      </c>
      <c r="T3" s="374" t="s">
        <v>179</v>
      </c>
      <c r="U3" s="374" t="s">
        <v>135</v>
      </c>
      <c r="V3" s="375" t="s">
        <v>182</v>
      </c>
    </row>
    <row r="4" spans="1:22" x14ac:dyDescent="0.35">
      <c r="A4" s="408" t="s">
        <v>257</v>
      </c>
      <c r="B4" s="406">
        <f>SUMIFS('Diags Raw Data'!$L$16:$L$4719,'Diags Raw Data'!$D$16:$D$4719,$A4)</f>
        <v>58</v>
      </c>
      <c r="C4" s="395">
        <f>SUMIFS('Diags Raw Data'!$R$16:$R$4719,'Diags Raw Data'!$D$16:$D$4719,$A4)</f>
        <v>58</v>
      </c>
      <c r="D4" s="395">
        <f>SUMIFS('Diags Raw Data'!$K$16:$K$4719,'Diags Raw Data'!$D$16:$D$4719,$A4)</f>
        <v>58</v>
      </c>
      <c r="E4" s="395">
        <f>SUMIFS('Diags Raw Data'!$O$16:$O$4719,'Diags Raw Data'!$D$16:$D$4719,$A4)</f>
        <v>21.599999999999994</v>
      </c>
      <c r="F4" s="427">
        <f t="shared" ref="F4:F12" si="0">IF(NOT($B4=0), E4/$B4, "---")</f>
        <v>0.37241379310344819</v>
      </c>
      <c r="G4" s="433">
        <f>SUMIFS('Diags Raw Data'!$S$16:$S$4719,'Diags Raw Data'!$D$16:$D$4719,$A4)</f>
        <v>43</v>
      </c>
      <c r="H4" s="396">
        <f>SUMIFS('Diags Raw Data'!$T$16:$T$4719,'Diags Raw Data'!$D$16:$D$4719,$A4)</f>
        <v>43</v>
      </c>
      <c r="I4" s="397">
        <f>SUMIFS('Diags Raw Data'!$U$16:$U$4719,'Diags Raw Data'!$D$16:$D$4719,$A4)</f>
        <v>0</v>
      </c>
      <c r="J4" s="396">
        <f>SUMIFS('Diags Raw Data'!$V$16:$V$4719,'Diags Raw Data'!$D$16:$D$4719,$A4)</f>
        <v>0</v>
      </c>
      <c r="K4" s="397">
        <f>SUMIFS('Diags Raw Data'!$W$16:$W$4719,'Diags Raw Data'!$D$16:$D$4719,$A4)</f>
        <v>0</v>
      </c>
      <c r="L4" s="398">
        <f t="shared" ref="L4" si="1">IF(NOT($C4=0), G4/$C4, "---")</f>
        <v>0.74137931034482762</v>
      </c>
      <c r="M4" s="399">
        <f t="shared" ref="M4" si="2">IF(NOT($G4=0), (H4+I4)/$G4, "---")</f>
        <v>1</v>
      </c>
      <c r="N4" s="434">
        <f t="shared" ref="N4:N13" si="3">IF(NOT($C4=0), (H4+I4)/$C4, "---")</f>
        <v>0.74137931034482762</v>
      </c>
      <c r="O4" s="430">
        <f>SUMIFS('Diags Raw Data'!$Z$16:$Z$4719,'Diags Raw Data'!$D$16:$D$4719,$A4)</f>
        <v>0</v>
      </c>
      <c r="P4" s="400">
        <f>SUMIFS('Diags Raw Data'!$AA$16:$AA$4719,'Diags Raw Data'!$D$16:$D$4719,$A4)</f>
        <v>0</v>
      </c>
      <c r="Q4" s="401">
        <f>SUMIFS('Diags Raw Data'!$AB$16:$AB$4719,'Diags Raw Data'!$D$16:$D$4719,$A4)</f>
        <v>0</v>
      </c>
      <c r="R4" s="400">
        <f>SUMIFS('Diags Raw Data'!$AC$16:$AC$4719,'Diags Raw Data'!$D$16:$D$4719,$A4)</f>
        <v>0</v>
      </c>
      <c r="S4" s="401">
        <f>SUMIFS('Diags Raw Data'!$AD$16:$AD$4719,'Diags Raw Data'!$D$16:$D$4719,$A4)</f>
        <v>0</v>
      </c>
      <c r="T4" s="402">
        <f t="shared" ref="T4" si="4">IF(NOT($B4=0), O4/$B4, "---")</f>
        <v>0</v>
      </c>
      <c r="U4" s="403" t="str">
        <f t="shared" ref="U4" si="5">IF(NOT($O4=0), (P4+Q4)/$O4, "---")</f>
        <v>---</v>
      </c>
      <c r="V4" s="404">
        <f t="shared" ref="V4" si="6">IF(NOT($B4=0), (P4+Q4)/$B4, "---")</f>
        <v>0</v>
      </c>
    </row>
    <row r="5" spans="1:22" ht="15" thickBot="1" x14ac:dyDescent="0.4">
      <c r="A5" s="409" t="s">
        <v>503</v>
      </c>
      <c r="B5" s="407">
        <f>SUMIFS('Diags Raw Data'!$L$16:$L$4719,'Diags Raw Data'!$D$16:$D$4719,$A5)</f>
        <v>2</v>
      </c>
      <c r="C5" s="385">
        <f>SUMIFS('Diags Raw Data'!$R$16:$R$4719,'Diags Raw Data'!$D$16:$D$4719,$A5)</f>
        <v>2</v>
      </c>
      <c r="D5" s="385">
        <f>SUMIFS('Diags Raw Data'!$K$16:$K$4719,'Diags Raw Data'!$D$16:$D$4719,$A5)</f>
        <v>2</v>
      </c>
      <c r="E5" s="385">
        <f>SUMIFS('Diags Raw Data'!$O$16:$O$4719,'Diags Raw Data'!$D$16:$D$4719,$A5)</f>
        <v>0.8</v>
      </c>
      <c r="F5" s="428">
        <f t="shared" si="0"/>
        <v>0.4</v>
      </c>
      <c r="G5" s="435">
        <f>SUMIFS('Diags Raw Data'!$S$16:$S$4719,'Diags Raw Data'!$D$16:$D$4719,$A5)</f>
        <v>0</v>
      </c>
      <c r="H5" s="387">
        <f>SUMIFS('Diags Raw Data'!$T$16:$T$4719,'Diags Raw Data'!$D$16:$D$4719,$A5)</f>
        <v>0</v>
      </c>
      <c r="I5" s="388">
        <f>SUMIFS('Diags Raw Data'!$U$16:$U$4719,'Diags Raw Data'!$D$16:$D$4719,$A5)</f>
        <v>0</v>
      </c>
      <c r="J5" s="387">
        <f>SUMIFS('Diags Raw Data'!$V$16:$V$4719,'Diags Raw Data'!$D$16:$D$4719,$A5)</f>
        <v>0</v>
      </c>
      <c r="K5" s="388">
        <f>SUMIFS('Diags Raw Data'!$W$16:$W$4719,'Diags Raw Data'!$D$16:$D$4719,$A5)</f>
        <v>0</v>
      </c>
      <c r="L5" s="389">
        <f t="shared" ref="L5:L11" si="7">IF(NOT($C5=0), G5/$C5, "---")</f>
        <v>0</v>
      </c>
      <c r="M5" s="390" t="str">
        <f t="shared" ref="M5:M11" si="8">IF(NOT($G5=0), (H5+I5)/$G5, "---")</f>
        <v>---</v>
      </c>
      <c r="N5" s="436">
        <f t="shared" si="3"/>
        <v>0</v>
      </c>
      <c r="O5" s="431">
        <f>SUMIFS('Diags Raw Data'!$Z$16:$Z$4719,'Diags Raw Data'!$D$16:$D$4719,$A5)</f>
        <v>0</v>
      </c>
      <c r="P5" s="391">
        <f>SUMIFS('Diags Raw Data'!$AA$16:$AA$4719,'Diags Raw Data'!$D$16:$D$4719,$A5)</f>
        <v>0</v>
      </c>
      <c r="Q5" s="392">
        <f>SUMIFS('Diags Raw Data'!$AB$16:$AB$4719,'Diags Raw Data'!$D$16:$D$4719,$A5)</f>
        <v>0</v>
      </c>
      <c r="R5" s="391">
        <f>SUMIFS('Diags Raw Data'!$AC$16:$AC$4719,'Diags Raw Data'!$D$16:$D$4719,$A5)</f>
        <v>0</v>
      </c>
      <c r="S5" s="392">
        <f>SUMIFS('Diags Raw Data'!$AD$16:$AD$4719,'Diags Raw Data'!$D$16:$D$4719,$A5)</f>
        <v>0</v>
      </c>
      <c r="T5" s="393">
        <f t="shared" ref="T5:T11" si="9">IF(NOT($B5=0), O5/$B5, "---")</f>
        <v>0</v>
      </c>
      <c r="U5" s="394" t="str">
        <f t="shared" ref="U5:U11" si="10">IF(NOT($O5=0), (P5+Q5)/$O5, "---")</f>
        <v>---</v>
      </c>
      <c r="V5" s="405">
        <f t="shared" ref="V5:V11" si="11">IF(NOT($B5=0), (P5+Q5)/$B5, "---")</f>
        <v>0</v>
      </c>
    </row>
    <row r="6" spans="1:22" ht="15" thickBot="1" x14ac:dyDescent="0.4">
      <c r="A6" s="408" t="s">
        <v>379</v>
      </c>
      <c r="B6" s="406">
        <f>SUMIFS('Diags Raw Data'!$L$16:$L$4719,'Diags Raw Data'!$D$16:$D$4719,$A6)</f>
        <v>23</v>
      </c>
      <c r="C6" s="395">
        <f>SUMIFS('Diags Raw Data'!$R$16:$R$4719,'Diags Raw Data'!$D$16:$D$4719,$A6)</f>
        <v>23</v>
      </c>
      <c r="D6" s="395">
        <f>SUMIFS('Diags Raw Data'!$K$16:$K$4719,'Diags Raw Data'!$D$16:$D$4719,$A6)</f>
        <v>23</v>
      </c>
      <c r="E6" s="395">
        <f>SUMIFS('Diags Raw Data'!$O$16:$O$4719,'Diags Raw Data'!$D$16:$D$4719,$A6)</f>
        <v>11.500000000000002</v>
      </c>
      <c r="F6" s="427">
        <f t="shared" si="0"/>
        <v>0.50000000000000011</v>
      </c>
      <c r="G6" s="433">
        <f>SUMIFS('Diags Raw Data'!$S$16:$S$4719,'Diags Raw Data'!$D$16:$D$4719,$A6)</f>
        <v>0</v>
      </c>
      <c r="H6" s="396">
        <f>SUMIFS('Diags Raw Data'!$T$16:$T$4719,'Diags Raw Data'!$D$16:$D$4719,$A6)</f>
        <v>0</v>
      </c>
      <c r="I6" s="397">
        <f>SUMIFS('Diags Raw Data'!$U$16:$U$4719,'Diags Raw Data'!$D$16:$D$4719,$A6)</f>
        <v>0</v>
      </c>
      <c r="J6" s="396">
        <f>SUMIFS('Diags Raw Data'!$V$16:$V$4719,'Diags Raw Data'!$D$16:$D$4719,$A6)</f>
        <v>0</v>
      </c>
      <c r="K6" s="397">
        <f>SUMIFS('Diags Raw Data'!$W$16:$W$4719,'Diags Raw Data'!$D$16:$D$4719,$A6)</f>
        <v>0</v>
      </c>
      <c r="L6" s="398">
        <f t="shared" ref="L6" si="12">IF(NOT($C6=0), G6/$C6, "---")</f>
        <v>0</v>
      </c>
      <c r="M6" s="399" t="str">
        <f t="shared" ref="M6" si="13">IF(NOT($G6=0), (H6+I6)/$G6, "---")</f>
        <v>---</v>
      </c>
      <c r="N6" s="434">
        <f t="shared" si="3"/>
        <v>0</v>
      </c>
      <c r="O6" s="430">
        <f>SUMIFS('Diags Raw Data'!$Z$16:$Z$4719,'Diags Raw Data'!$D$16:$D$4719,$A6)</f>
        <v>0</v>
      </c>
      <c r="P6" s="400">
        <f>SUMIFS('Diags Raw Data'!$AA$16:$AA$4719,'Diags Raw Data'!$D$16:$D$4719,$A6)</f>
        <v>0</v>
      </c>
      <c r="Q6" s="401">
        <f>SUMIFS('Diags Raw Data'!$AB$16:$AB$4719,'Diags Raw Data'!$D$16:$D$4719,$A6)</f>
        <v>0</v>
      </c>
      <c r="R6" s="400">
        <f>SUMIFS('Diags Raw Data'!$AC$16:$AC$4719,'Diags Raw Data'!$D$16:$D$4719,$A6)</f>
        <v>0</v>
      </c>
      <c r="S6" s="401">
        <f>SUMIFS('Diags Raw Data'!$AD$16:$AD$4719,'Diags Raw Data'!$D$16:$D$4719,$A6)</f>
        <v>0</v>
      </c>
      <c r="T6" s="402">
        <f t="shared" ref="T6" si="14">IF(NOT($B6=0), O6/$B6, "---")</f>
        <v>0</v>
      </c>
      <c r="U6" s="403" t="str">
        <f t="shared" ref="U6" si="15">IF(NOT($O6=0), (P6+Q6)/$O6, "---")</f>
        <v>---</v>
      </c>
      <c r="V6" s="404">
        <f t="shared" ref="V6" si="16">IF(NOT($B6=0), (P6+Q6)/$B6, "---")</f>
        <v>0</v>
      </c>
    </row>
    <row r="7" spans="1:22" ht="15" thickBot="1" x14ac:dyDescent="0.4">
      <c r="A7" s="408" t="s">
        <v>358</v>
      </c>
      <c r="B7" s="406">
        <f>SUMIFS('Diags Raw Data'!$L$16:$L$4719,'Diags Raw Data'!$D$16:$D$4719,$A7)</f>
        <v>17</v>
      </c>
      <c r="C7" s="395">
        <f>SUMIFS('Diags Raw Data'!$R$16:$R$4719,'Diags Raw Data'!$D$16:$D$4719,$A7)</f>
        <v>17</v>
      </c>
      <c r="D7" s="395">
        <f>SUMIFS('Diags Raw Data'!$K$16:$K$4719,'Diags Raw Data'!$D$16:$D$4719,$A7)</f>
        <v>17</v>
      </c>
      <c r="E7" s="395">
        <f>SUMIFS('Diags Raw Data'!$O$16:$O$4719,'Diags Raw Data'!$D$16:$D$4719,$A7)</f>
        <v>7</v>
      </c>
      <c r="F7" s="427">
        <f t="shared" si="0"/>
        <v>0.41176470588235292</v>
      </c>
      <c r="G7" s="433">
        <f>SUMIFS('Diags Raw Data'!$S$16:$S$4719,'Diags Raw Data'!$D$16:$D$4719,$A7)</f>
        <v>0</v>
      </c>
      <c r="H7" s="396">
        <f>SUMIFS('Diags Raw Data'!$T$16:$T$4719,'Diags Raw Data'!$D$16:$D$4719,$A7)</f>
        <v>0</v>
      </c>
      <c r="I7" s="397">
        <f>SUMIFS('Diags Raw Data'!$U$16:$U$4719,'Diags Raw Data'!$D$16:$D$4719,$A7)</f>
        <v>0</v>
      </c>
      <c r="J7" s="396">
        <f>SUMIFS('Diags Raw Data'!$V$16:$V$4719,'Diags Raw Data'!$D$16:$D$4719,$A7)</f>
        <v>0</v>
      </c>
      <c r="K7" s="397">
        <f>SUMIFS('Diags Raw Data'!$W$16:$W$4719,'Diags Raw Data'!$D$16:$D$4719,$A7)</f>
        <v>0</v>
      </c>
      <c r="L7" s="398">
        <f t="shared" si="7"/>
        <v>0</v>
      </c>
      <c r="M7" s="399" t="str">
        <f t="shared" si="8"/>
        <v>---</v>
      </c>
      <c r="N7" s="434">
        <f t="shared" si="3"/>
        <v>0</v>
      </c>
      <c r="O7" s="430">
        <f>SUMIFS('Diags Raw Data'!$Z$16:$Z$4719,'Diags Raw Data'!$D$16:$D$4719,$A7)</f>
        <v>0</v>
      </c>
      <c r="P7" s="400">
        <f>SUMIFS('Diags Raw Data'!$AA$16:$AA$4719,'Diags Raw Data'!$D$16:$D$4719,$A7)</f>
        <v>0</v>
      </c>
      <c r="Q7" s="401">
        <f>SUMIFS('Diags Raw Data'!$AB$16:$AB$4719,'Diags Raw Data'!$D$16:$D$4719,$A7)</f>
        <v>0</v>
      </c>
      <c r="R7" s="400">
        <f>SUMIFS('Diags Raw Data'!$AC$16:$AC$4719,'Diags Raw Data'!$D$16:$D$4719,$A7)</f>
        <v>0</v>
      </c>
      <c r="S7" s="401">
        <f>SUMIFS('Diags Raw Data'!$AD$16:$AD$4719,'Diags Raw Data'!$D$16:$D$4719,$A7)</f>
        <v>0</v>
      </c>
      <c r="T7" s="402">
        <f t="shared" si="9"/>
        <v>0</v>
      </c>
      <c r="U7" s="403" t="str">
        <f t="shared" si="10"/>
        <v>---</v>
      </c>
      <c r="V7" s="404">
        <f t="shared" si="11"/>
        <v>0</v>
      </c>
    </row>
    <row r="8" spans="1:22" ht="15" thickBot="1" x14ac:dyDescent="0.4">
      <c r="A8" s="408" t="s">
        <v>336</v>
      </c>
      <c r="B8" s="406">
        <f>SUMIFS('Diags Raw Data'!$L$16:$L$4719,'Diags Raw Data'!$D$16:$D$4719,$A8)</f>
        <v>23</v>
      </c>
      <c r="C8" s="395">
        <f>SUMIFS('Diags Raw Data'!$R$16:$R$4719,'Diags Raw Data'!$D$16:$D$4719,$A8)</f>
        <v>23</v>
      </c>
      <c r="D8" s="395">
        <f>SUMIFS('Diags Raw Data'!$K$16:$K$4719,'Diags Raw Data'!$D$16:$D$4719,$A8)</f>
        <v>23</v>
      </c>
      <c r="E8" s="395">
        <f>SUMIFS('Diags Raw Data'!$O$16:$O$4719,'Diags Raw Data'!$D$16:$D$4719,$A8)</f>
        <v>18.500000000000007</v>
      </c>
      <c r="F8" s="427">
        <f t="shared" si="0"/>
        <v>0.80434782608695687</v>
      </c>
      <c r="G8" s="433">
        <f>SUMIFS('Diags Raw Data'!$S$16:$S$4719,'Diags Raw Data'!$D$16:$D$4719,$A8)</f>
        <v>9</v>
      </c>
      <c r="H8" s="396">
        <f>SUMIFS('Diags Raw Data'!$T$16:$T$4719,'Diags Raw Data'!$D$16:$D$4719,$A8)</f>
        <v>9</v>
      </c>
      <c r="I8" s="397">
        <f>SUMIFS('Diags Raw Data'!$U$16:$U$4719,'Diags Raw Data'!$D$16:$D$4719,$A8)</f>
        <v>0</v>
      </c>
      <c r="J8" s="396">
        <f>SUMIFS('Diags Raw Data'!$V$16:$V$4719,'Diags Raw Data'!$D$16:$D$4719,$A8)</f>
        <v>0</v>
      </c>
      <c r="K8" s="397">
        <f>SUMIFS('Diags Raw Data'!$W$16:$W$4719,'Diags Raw Data'!$D$16:$D$4719,$A8)</f>
        <v>0</v>
      </c>
      <c r="L8" s="398">
        <f t="shared" ref="L8" si="17">IF(NOT($C8=0), G8/$C8, "---")</f>
        <v>0.39130434782608697</v>
      </c>
      <c r="M8" s="399">
        <f t="shared" ref="M8" si="18">IF(NOT($G8=0), (H8+I8)/$G8, "---")</f>
        <v>1</v>
      </c>
      <c r="N8" s="434">
        <f t="shared" si="3"/>
        <v>0.39130434782608697</v>
      </c>
      <c r="O8" s="430">
        <f>SUMIFS('Diags Raw Data'!$Z$16:$Z$4719,'Diags Raw Data'!$D$16:$D$4719,$A8)</f>
        <v>0</v>
      </c>
      <c r="P8" s="400">
        <f>SUMIFS('Diags Raw Data'!$AA$16:$AA$4719,'Diags Raw Data'!$D$16:$D$4719,$A8)</f>
        <v>0</v>
      </c>
      <c r="Q8" s="401">
        <f>SUMIFS('Diags Raw Data'!$AB$16:$AB$4719,'Diags Raw Data'!$D$16:$D$4719,$A8)</f>
        <v>0</v>
      </c>
      <c r="R8" s="400">
        <f>SUMIFS('Diags Raw Data'!$AC$16:$AC$4719,'Diags Raw Data'!$D$16:$D$4719,$A8)</f>
        <v>0</v>
      </c>
      <c r="S8" s="401">
        <f>SUMIFS('Diags Raw Data'!$AD$16:$AD$4719,'Diags Raw Data'!$D$16:$D$4719,$A8)</f>
        <v>0</v>
      </c>
      <c r="T8" s="402">
        <f t="shared" ref="T8" si="19">IF(NOT($B8=0), O8/$B8, "---")</f>
        <v>0</v>
      </c>
      <c r="U8" s="403" t="str">
        <f t="shared" ref="U8" si="20">IF(NOT($O8=0), (P8+Q8)/$O8, "---")</f>
        <v>---</v>
      </c>
      <c r="V8" s="404">
        <f t="shared" ref="V8" si="21">IF(NOT($B8=0), (P8+Q8)/$B8, "---")</f>
        <v>0</v>
      </c>
    </row>
    <row r="9" spans="1:22" ht="15" thickBot="1" x14ac:dyDescent="0.4">
      <c r="A9" s="408" t="s">
        <v>443</v>
      </c>
      <c r="B9" s="406">
        <f>SUMIFS('Diags Raw Data'!$L$16:$L$4719,'Diags Raw Data'!$D$16:$D$4719,$A9)</f>
        <v>3</v>
      </c>
      <c r="C9" s="395">
        <f>SUMIFS('Diags Raw Data'!$R$16:$R$4719,'Diags Raw Data'!$D$16:$D$4719,$A9)</f>
        <v>3</v>
      </c>
      <c r="D9" s="395">
        <f>SUMIFS('Diags Raw Data'!$K$16:$K$4719,'Diags Raw Data'!$D$16:$D$4719,$A9)</f>
        <v>3</v>
      </c>
      <c r="E9" s="395">
        <f>SUMIFS('Diags Raw Data'!$O$16:$O$4719,'Diags Raw Data'!$D$16:$D$4719,$A9)</f>
        <v>1.5</v>
      </c>
      <c r="F9" s="427">
        <f t="shared" si="0"/>
        <v>0.5</v>
      </c>
      <c r="G9" s="433">
        <f>SUMIFS('Diags Raw Data'!$S$16:$S$4719,'Diags Raw Data'!$D$16:$D$4719,$A9)</f>
        <v>1</v>
      </c>
      <c r="H9" s="396">
        <f>SUMIFS('Diags Raw Data'!$T$16:$T$4719,'Diags Raw Data'!$D$16:$D$4719,$A9)</f>
        <v>1</v>
      </c>
      <c r="I9" s="397">
        <f>SUMIFS('Diags Raw Data'!$U$16:$U$4719,'Diags Raw Data'!$D$16:$D$4719,$A9)</f>
        <v>0</v>
      </c>
      <c r="J9" s="396">
        <f>SUMIFS('Diags Raw Data'!$V$16:$V$4719,'Diags Raw Data'!$D$16:$D$4719,$A9)</f>
        <v>0</v>
      </c>
      <c r="K9" s="397">
        <f>SUMIFS('Diags Raw Data'!$W$16:$W$4719,'Diags Raw Data'!$D$16:$D$4719,$A9)</f>
        <v>0</v>
      </c>
      <c r="L9" s="398">
        <f t="shared" si="7"/>
        <v>0.33333333333333331</v>
      </c>
      <c r="M9" s="399">
        <f t="shared" si="8"/>
        <v>1</v>
      </c>
      <c r="N9" s="434">
        <f t="shared" si="3"/>
        <v>0.33333333333333331</v>
      </c>
      <c r="O9" s="430">
        <f>SUMIFS('Diags Raw Data'!$Z$16:$Z$4719,'Diags Raw Data'!$D$16:$D$4719,$A9)</f>
        <v>0</v>
      </c>
      <c r="P9" s="400">
        <f>SUMIFS('Diags Raw Data'!$AA$16:$AA$4719,'Diags Raw Data'!$D$16:$D$4719,$A9)</f>
        <v>0</v>
      </c>
      <c r="Q9" s="401">
        <f>SUMIFS('Diags Raw Data'!$AB$16:$AB$4719,'Diags Raw Data'!$D$16:$D$4719,$A9)</f>
        <v>0</v>
      </c>
      <c r="R9" s="400">
        <f>SUMIFS('Diags Raw Data'!$AC$16:$AC$4719,'Diags Raw Data'!$D$16:$D$4719,$A9)</f>
        <v>0</v>
      </c>
      <c r="S9" s="401">
        <f>SUMIFS('Diags Raw Data'!$AD$16:$AD$4719,'Diags Raw Data'!$D$16:$D$4719,$A9)</f>
        <v>0</v>
      </c>
      <c r="T9" s="402">
        <f t="shared" si="9"/>
        <v>0</v>
      </c>
      <c r="U9" s="403" t="str">
        <f t="shared" si="10"/>
        <v>---</v>
      </c>
      <c r="V9" s="404">
        <f t="shared" si="11"/>
        <v>0</v>
      </c>
    </row>
    <row r="10" spans="1:22" ht="15" thickBot="1" x14ac:dyDescent="0.4">
      <c r="A10" s="408" t="s">
        <v>352</v>
      </c>
      <c r="B10" s="406">
        <f>SUMIFS('Diags Raw Data'!$L$16:$L$4719,'Diags Raw Data'!$D$16:$D$4719,$A10)</f>
        <v>6</v>
      </c>
      <c r="C10" s="395">
        <f>SUMIFS('Diags Raw Data'!$R$16:$R$4719,'Diags Raw Data'!$D$16:$D$4719,$A10)</f>
        <v>6</v>
      </c>
      <c r="D10" s="395">
        <f>SUMIFS('Diags Raw Data'!$K$16:$K$4719,'Diags Raw Data'!$D$16:$D$4719,$A10)</f>
        <v>6</v>
      </c>
      <c r="E10" s="395">
        <f>SUMIFS('Diags Raw Data'!$O$16:$O$4719,'Diags Raw Data'!$D$16:$D$4719,$A10)</f>
        <v>1.2</v>
      </c>
      <c r="F10" s="427">
        <f t="shared" si="0"/>
        <v>0.19999999999999998</v>
      </c>
      <c r="G10" s="433">
        <f>SUMIFS('Diags Raw Data'!$S$16:$S$4719,'Diags Raw Data'!$D$16:$D$4719,$A10)</f>
        <v>0</v>
      </c>
      <c r="H10" s="396">
        <f>SUMIFS('Diags Raw Data'!$T$16:$T$4719,'Diags Raw Data'!$D$16:$D$4719,$A10)</f>
        <v>0</v>
      </c>
      <c r="I10" s="397">
        <f>SUMIFS('Diags Raw Data'!$U$16:$U$4719,'Diags Raw Data'!$D$16:$D$4719,$A10)</f>
        <v>0</v>
      </c>
      <c r="J10" s="396">
        <f>SUMIFS('Diags Raw Data'!$V$16:$V$4719,'Diags Raw Data'!$D$16:$D$4719,$A10)</f>
        <v>0</v>
      </c>
      <c r="K10" s="397">
        <f>SUMIFS('Diags Raw Data'!$W$16:$W$4719,'Diags Raw Data'!$D$16:$D$4719,$A10)</f>
        <v>0</v>
      </c>
      <c r="L10" s="398">
        <f t="shared" ref="L10" si="22">IF(NOT($C10=0), G10/$C10, "---")</f>
        <v>0</v>
      </c>
      <c r="M10" s="399" t="str">
        <f t="shared" ref="M10" si="23">IF(NOT($G10=0), (H10+I10)/$G10, "---")</f>
        <v>---</v>
      </c>
      <c r="N10" s="434">
        <f t="shared" si="3"/>
        <v>0</v>
      </c>
      <c r="O10" s="430">
        <f>SUMIFS('Diags Raw Data'!$Z$16:$Z$4719,'Diags Raw Data'!$D$16:$D$4719,$A10)</f>
        <v>0</v>
      </c>
      <c r="P10" s="400">
        <f>SUMIFS('Diags Raw Data'!$AA$16:$AA$4719,'Diags Raw Data'!$D$16:$D$4719,$A10)</f>
        <v>0</v>
      </c>
      <c r="Q10" s="401">
        <f>SUMIFS('Diags Raw Data'!$AB$16:$AB$4719,'Diags Raw Data'!$D$16:$D$4719,$A10)</f>
        <v>0</v>
      </c>
      <c r="R10" s="400">
        <f>SUMIFS('Diags Raw Data'!$AC$16:$AC$4719,'Diags Raw Data'!$D$16:$D$4719,$A10)</f>
        <v>0</v>
      </c>
      <c r="S10" s="401">
        <f>SUMIFS('Diags Raw Data'!$AD$16:$AD$4719,'Diags Raw Data'!$D$16:$D$4719,$A10)</f>
        <v>0</v>
      </c>
      <c r="T10" s="402">
        <f t="shared" ref="T10" si="24">IF(NOT($B10=0), O10/$B10, "---")</f>
        <v>0</v>
      </c>
      <c r="U10" s="403" t="str">
        <f t="shared" ref="U10" si="25">IF(NOT($O10=0), (P10+Q10)/$O10, "---")</f>
        <v>---</v>
      </c>
      <c r="V10" s="404">
        <f t="shared" ref="V10" si="26">IF(NOT($B10=0), (P10+Q10)/$B10, "---")</f>
        <v>0</v>
      </c>
    </row>
    <row r="11" spans="1:22" x14ac:dyDescent="0.35">
      <c r="A11" s="408" t="s">
        <v>455</v>
      </c>
      <c r="B11" s="406">
        <f>SUMIFS('Diags Raw Data'!$L$16:$L$4719,'Diags Raw Data'!$D$16:$D$4719,$A11)</f>
        <v>6</v>
      </c>
      <c r="C11" s="395">
        <f>SUMIFS('Diags Raw Data'!$R$16:$R$4719,'Diags Raw Data'!$D$16:$D$4719,$A11)</f>
        <v>6</v>
      </c>
      <c r="D11" s="395">
        <f>SUMIFS('Diags Raw Data'!$K$16:$K$4719,'Diags Raw Data'!$D$16:$D$4719,$A11)</f>
        <v>6</v>
      </c>
      <c r="E11" s="395">
        <f>SUMIFS('Diags Raw Data'!$O$16:$O$4719,'Diags Raw Data'!$D$16:$D$4719,$A11)</f>
        <v>0</v>
      </c>
      <c r="F11" s="427">
        <f t="shared" si="0"/>
        <v>0</v>
      </c>
      <c r="G11" s="433">
        <f>SUMIFS('Diags Raw Data'!$S$16:$S$4719,'Diags Raw Data'!$D$16:$D$4719,$A11)</f>
        <v>0</v>
      </c>
      <c r="H11" s="396">
        <f>SUMIFS('Diags Raw Data'!$T$16:$T$4719,'Diags Raw Data'!$D$16:$D$4719,$A11)</f>
        <v>0</v>
      </c>
      <c r="I11" s="397">
        <f>SUMIFS('Diags Raw Data'!$U$16:$U$4719,'Diags Raw Data'!$D$16:$D$4719,$A11)</f>
        <v>0</v>
      </c>
      <c r="J11" s="396">
        <f>SUMIFS('Diags Raw Data'!$V$16:$V$4719,'Diags Raw Data'!$D$16:$D$4719,$A11)</f>
        <v>0</v>
      </c>
      <c r="K11" s="397">
        <f>SUMIFS('Diags Raw Data'!$W$16:$W$4719,'Diags Raw Data'!$D$16:$D$4719,$A11)</f>
        <v>0</v>
      </c>
      <c r="L11" s="398">
        <f t="shared" si="7"/>
        <v>0</v>
      </c>
      <c r="M11" s="399" t="str">
        <f t="shared" si="8"/>
        <v>---</v>
      </c>
      <c r="N11" s="434">
        <f t="shared" si="3"/>
        <v>0</v>
      </c>
      <c r="O11" s="430">
        <f>SUMIFS('Diags Raw Data'!$Z$16:$Z$4719,'Diags Raw Data'!$D$16:$D$4719,$A11)</f>
        <v>0</v>
      </c>
      <c r="P11" s="400">
        <f>SUMIFS('Diags Raw Data'!$AA$16:$AA$4719,'Diags Raw Data'!$D$16:$D$4719,$A11)</f>
        <v>0</v>
      </c>
      <c r="Q11" s="401">
        <f>SUMIFS('Diags Raw Data'!$AB$16:$AB$4719,'Diags Raw Data'!$D$16:$D$4719,$A11)</f>
        <v>0</v>
      </c>
      <c r="R11" s="400">
        <f>SUMIFS('Diags Raw Data'!$AC$16:$AC$4719,'Diags Raw Data'!$D$16:$D$4719,$A11)</f>
        <v>0</v>
      </c>
      <c r="S11" s="401">
        <f>SUMIFS('Diags Raw Data'!$AD$16:$AD$4719,'Diags Raw Data'!$D$16:$D$4719,$A11)</f>
        <v>0</v>
      </c>
      <c r="T11" s="402">
        <f t="shared" si="9"/>
        <v>0</v>
      </c>
      <c r="U11" s="403" t="str">
        <f t="shared" si="10"/>
        <v>---</v>
      </c>
      <c r="V11" s="404">
        <f t="shared" si="11"/>
        <v>0</v>
      </c>
    </row>
    <row r="12" spans="1:22" ht="15" thickBot="1" x14ac:dyDescent="0.4">
      <c r="A12" s="413"/>
      <c r="B12" s="414">
        <f>SUMIFS('Diags Raw Data'!$L$16:$L$4719,'Diags Raw Data'!$D$16:$D$4719,$A12)</f>
        <v>0</v>
      </c>
      <c r="C12" s="415">
        <f>SUMIFS('Diags Raw Data'!$R$16:$R$4719,'Diags Raw Data'!$D$16:$D$4719,$A12)</f>
        <v>0</v>
      </c>
      <c r="D12" s="415">
        <f>SUMIFS('Diags Raw Data'!$K$16:$K$4719,'Diags Raw Data'!$D$16:$D$4719,$A12)</f>
        <v>0</v>
      </c>
      <c r="E12" s="415">
        <f>SUMIFS('Diags Raw Data'!$O$16:$O$4719,'Diags Raw Data'!$D$16:$D$4719,$A12)</f>
        <v>0</v>
      </c>
      <c r="F12" s="429" t="str">
        <f t="shared" si="0"/>
        <v>---</v>
      </c>
      <c r="G12" s="437">
        <f>SUMIFS('Diags Raw Data'!$S$16:$S$4719,'Diags Raw Data'!$D$16:$D$4719,$A12)</f>
        <v>0</v>
      </c>
      <c r="H12" s="416">
        <f>SUMIFS('Diags Raw Data'!$T$16:$T$4719,'Diags Raw Data'!$D$16:$D$4719,$A12)</f>
        <v>0</v>
      </c>
      <c r="I12" s="417">
        <f>SUMIFS('Diags Raw Data'!$U$16:$U$4719,'Diags Raw Data'!$D$16:$D$4719,$A12)</f>
        <v>0</v>
      </c>
      <c r="J12" s="416">
        <f>SUMIFS('Diags Raw Data'!$V$16:$V$4719,'Diags Raw Data'!$D$16:$D$4719,$A12)</f>
        <v>0</v>
      </c>
      <c r="K12" s="417">
        <f>SUMIFS('Diags Raw Data'!$W$16:$W$4719,'Diags Raw Data'!$D$16:$D$4719,$A12)</f>
        <v>0</v>
      </c>
      <c r="L12" s="418" t="str">
        <f t="shared" ref="L12" si="27">IF(NOT($C12=0), G12/$C12, "---")</f>
        <v>---</v>
      </c>
      <c r="M12" s="419" t="str">
        <f t="shared" ref="M12" si="28">IF(NOT($G12=0), (H12+I12)/$G12, "---")</f>
        <v>---</v>
      </c>
      <c r="N12" s="438" t="str">
        <f t="shared" si="3"/>
        <v>---</v>
      </c>
      <c r="O12" s="432">
        <f>SUMIFS('Diags Raw Data'!$Z$16:$Z$4719,'Diags Raw Data'!$D$16:$D$4719,$A12)</f>
        <v>0</v>
      </c>
      <c r="P12" s="420">
        <f>SUMIFS('Diags Raw Data'!$AA$16:$AA$4719,'Diags Raw Data'!$D$16:$D$4719,$A12)</f>
        <v>0</v>
      </c>
      <c r="Q12" s="421">
        <f>SUMIFS('Diags Raw Data'!$AB$16:$AB$4719,'Diags Raw Data'!$D$16:$D$4719,$A12)</f>
        <v>0</v>
      </c>
      <c r="R12" s="420">
        <f>SUMIFS('Diags Raw Data'!$AC$16:$AC$4719,'Diags Raw Data'!$D$16:$D$4719,$A12)</f>
        <v>0</v>
      </c>
      <c r="S12" s="421">
        <f>SUMIFS('Diags Raw Data'!$AD$16:$AD$4719,'Diags Raw Data'!$D$16:$D$4719,$A12)</f>
        <v>0</v>
      </c>
      <c r="T12" s="422" t="str">
        <f t="shared" ref="T12" si="29">IF(NOT($B12=0), O12/$B12, "---")</f>
        <v>---</v>
      </c>
      <c r="U12" s="423" t="str">
        <f t="shared" ref="U12" si="30">IF(NOT($O12=0), (P12+Q12)/$O12, "---")</f>
        <v>---</v>
      </c>
      <c r="V12" s="424" t="str">
        <f t="shared" ref="V12" si="31">IF(NOT($B12=0), (P12+Q12)/$B12, "---")</f>
        <v>---</v>
      </c>
    </row>
    <row r="13" spans="1:22" ht="16" thickBot="1" x14ac:dyDescent="0.4">
      <c r="A13" s="426" t="s">
        <v>504</v>
      </c>
      <c r="B13" s="411">
        <f>SUM(B4:B12)</f>
        <v>138</v>
      </c>
      <c r="C13" s="412">
        <f t="shared" ref="C13:E13" si="32">SUM(C4:C12)</f>
        <v>138</v>
      </c>
      <c r="D13" s="412">
        <f t="shared" si="32"/>
        <v>138</v>
      </c>
      <c r="E13" s="412">
        <f t="shared" si="32"/>
        <v>62.100000000000009</v>
      </c>
      <c r="F13" s="190" cm="1">
        <f t="array" ref="F13">SUMPRODUCT(--(ISNUMBER(SEARCH("New",'Diags Raw Data'!$M$16:$M$4719))),'Diags Raw Data'!$K$16:$K$4719,'Diags Raw Data'!$P$16:$P$4719)/D13+SUMPRODUCT(--(ISNUMBER(SEARCH("Delta",'Diags Raw Data'!$M$16:$M$4719))),'Diags Raw Data'!$K$16:$K$4719,'Diags Raw Data'!$P$16:$P$4719)/D13+SUMPRODUCT(--(ISNUMBER(SEARCH("Legacy",'Diags Raw Data'!$M$16:$M$4719))),'Diags Raw Data'!$K$16:$K$4719,'Diags Raw Data'!$P$16:$P$4719)/D13</f>
        <v>0.45000000000000007</v>
      </c>
      <c r="G13" s="191">
        <f>SUM(G4:G12)</f>
        <v>53</v>
      </c>
      <c r="H13" s="192">
        <f t="shared" ref="H13:K13" si="33">SUM(H4:H12)</f>
        <v>53</v>
      </c>
      <c r="I13" s="192">
        <f t="shared" si="33"/>
        <v>0</v>
      </c>
      <c r="J13" s="192">
        <f t="shared" si="33"/>
        <v>0</v>
      </c>
      <c r="K13" s="192">
        <f t="shared" si="33"/>
        <v>0</v>
      </c>
      <c r="L13" s="193">
        <f>IF(NOT($C13=0), G13/$C13, "---")</f>
        <v>0.38405797101449274</v>
      </c>
      <c r="M13" s="194">
        <f>IF(NOT($G13=0), (H13+I13)/$G13, "---")</f>
        <v>1</v>
      </c>
      <c r="N13" s="195">
        <f t="shared" si="3"/>
        <v>0.38405797101449274</v>
      </c>
      <c r="O13" s="196">
        <f>SUM(O4:O12)</f>
        <v>0</v>
      </c>
      <c r="P13" s="197">
        <f t="shared" ref="P13:S13" si="34">SUM(P4:P12)</f>
        <v>0</v>
      </c>
      <c r="Q13" s="197">
        <f t="shared" si="34"/>
        <v>0</v>
      </c>
      <c r="R13" s="197">
        <f t="shared" si="34"/>
        <v>0</v>
      </c>
      <c r="S13" s="197">
        <f t="shared" si="34"/>
        <v>0</v>
      </c>
      <c r="T13" s="198">
        <f>IF(NOT($B13=0), O13/$B13, "---")</f>
        <v>0</v>
      </c>
      <c r="U13" s="199" t="str">
        <f>IF(NOT($O13=0), (P13+Q13)/$O13, "---")</f>
        <v>---</v>
      </c>
      <c r="V13" s="200">
        <f>IF(NOT($B13=0), (P13+Q13)/$B13, "---")</f>
        <v>0</v>
      </c>
    </row>
    <row r="14" spans="1:22" ht="15" thickBot="1" x14ac:dyDescent="0.4"/>
    <row r="15" spans="1:22" ht="15" thickBot="1" x14ac:dyDescent="0.4">
      <c r="A15" s="184" t="s">
        <v>505</v>
      </c>
      <c r="B15" s="586" t="s">
        <v>161</v>
      </c>
      <c r="C15" s="586"/>
      <c r="D15" s="586"/>
      <c r="E15" s="586"/>
      <c r="F15" s="586"/>
      <c r="G15" s="587" t="s">
        <v>172</v>
      </c>
      <c r="H15" s="588"/>
      <c r="I15" s="588"/>
      <c r="J15" s="588"/>
      <c r="K15" s="588"/>
      <c r="L15" s="588"/>
      <c r="M15" s="588"/>
      <c r="N15" s="589"/>
      <c r="O15" s="590" t="s">
        <v>139</v>
      </c>
      <c r="P15" s="591"/>
      <c r="Q15" s="591"/>
      <c r="R15" s="591"/>
      <c r="S15" s="591"/>
      <c r="T15" s="591"/>
      <c r="U15" s="591"/>
      <c r="V15" s="592"/>
    </row>
    <row r="16" spans="1:22" s="189" customFormat="1" ht="15" thickBot="1" x14ac:dyDescent="0.4">
      <c r="A16" s="369" t="s">
        <v>83</v>
      </c>
      <c r="B16" s="239" t="s">
        <v>162</v>
      </c>
      <c r="C16" s="240" t="s">
        <v>123</v>
      </c>
      <c r="D16" s="241" t="s">
        <v>100</v>
      </c>
      <c r="E16" s="241" t="s">
        <v>168</v>
      </c>
      <c r="F16" s="242" t="s">
        <v>170</v>
      </c>
      <c r="G16" s="370" t="s">
        <v>127</v>
      </c>
      <c r="H16" s="371" t="s">
        <v>30</v>
      </c>
      <c r="I16" s="371" t="s">
        <v>130</v>
      </c>
      <c r="J16" s="371" t="s">
        <v>35</v>
      </c>
      <c r="K16" s="371" t="s">
        <v>133</v>
      </c>
      <c r="L16" s="371" t="s">
        <v>179</v>
      </c>
      <c r="M16" s="371" t="s">
        <v>135</v>
      </c>
      <c r="N16" s="372" t="s">
        <v>182</v>
      </c>
      <c r="O16" s="373" t="s">
        <v>127</v>
      </c>
      <c r="P16" s="374" t="s">
        <v>30</v>
      </c>
      <c r="Q16" s="374" t="s">
        <v>130</v>
      </c>
      <c r="R16" s="374" t="s">
        <v>35</v>
      </c>
      <c r="S16" s="374" t="s">
        <v>133</v>
      </c>
      <c r="T16" s="374" t="s">
        <v>179</v>
      </c>
      <c r="U16" s="374" t="s">
        <v>135</v>
      </c>
      <c r="V16" s="375" t="s">
        <v>182</v>
      </c>
    </row>
    <row r="17" spans="1:22" x14ac:dyDescent="0.35">
      <c r="A17" s="408" t="s">
        <v>257</v>
      </c>
      <c r="B17" s="406">
        <f>SUMIFS('Diags Raw Data'!$L$16:$L$4719,'Diags Raw Data'!$D$16:$D$4719,$A17,'Diags Raw Data'!$M$16:$M$4719,"New")+SUMIFS('Diags Raw Data'!$L$16:$L$4719,'Diags Raw Data'!$D$16:$D$4719,$A17,'Diags Raw Data'!$M$16:$M$4719,"Delta")</f>
        <v>56</v>
      </c>
      <c r="C17" s="395">
        <f>SUMIFS('Diags Raw Data'!$R$16:$R$4719,'Diags Raw Data'!$D$16:$D$4719,$A17,'Diags Raw Data'!$M$16:$M$4719,"New")+SUMIFS('Diags Raw Data'!$R$16:$R$4719,'Diags Raw Data'!$D$16:$D$4719,$A17,'Diags Raw Data'!$M$16:$M$4719,"Delta")</f>
        <v>56</v>
      </c>
      <c r="D17" s="395">
        <f>SUMIFS('Diags Raw Data'!$K$16:$K$4719,'Diags Raw Data'!$D$16:$D$4719,$A17,'Diags Raw Data'!$M$16:$M$4719,"New")+SUMIFS('Diags Raw Data'!$K$16:$K$4719,'Diags Raw Data'!$D$16:$D$4719,$A17,'Diags Raw Data'!$M$16:$M$4719,"Delta")</f>
        <v>56</v>
      </c>
      <c r="E17" s="395">
        <f>SUMIFS('Diags Raw Data'!$O$16:$O$4719,'Diags Raw Data'!$D$16:$D$4719,$A17,'Diags Raw Data'!$M$16:$M$4719,"New")+SUMIFS('Diags Raw Data'!$O$16:$O$4719,'Diags Raw Data'!$D$16:$D$4719,$A17,'Diags Raw Data'!$M$16:$M$4719,"Delta")</f>
        <v>20.999999999999993</v>
      </c>
      <c r="F17" s="427">
        <f t="shared" ref="F17" si="35">IF(NOT($B17=0), E17/$B17, "---")</f>
        <v>0.37499999999999989</v>
      </c>
      <c r="G17" s="433">
        <f>SUMIFS('Diags Raw Data'!$S$16:$S$4719,'Diags Raw Data'!$D$16:$D$4719,$A17,'Diags Raw Data'!$M$16:$M$4719,"New")+SUMIFS('Diags Raw Data'!$S$16:$S$4719,'Diags Raw Data'!$D$16:$D$4719,$A17,'Diags Raw Data'!$M$16:$M$4719,"Delta")</f>
        <v>43</v>
      </c>
      <c r="H17" s="396">
        <f>SUMIFS('Diags Raw Data'!$T$16:$T$4719,'Diags Raw Data'!$D$16:$D$4719,$A17,'Diags Raw Data'!$M$16:$M$4719,"New")+SUMIFS('Diags Raw Data'!$T$16:$T$4719,'Diags Raw Data'!$D$16:$D$4719,$A17,'Diags Raw Data'!$M$16:$M$4719,"Delta")</f>
        <v>43</v>
      </c>
      <c r="I17" s="396">
        <f>SUMIFS('Diags Raw Data'!$U$16:$U$4719,'Diags Raw Data'!$D$16:$D$4719,$A17,'Diags Raw Data'!$M$16:$M$4719,"New")+SUMIFS('Diags Raw Data'!$U$16:$U$4719,'Diags Raw Data'!$D$16:$D$4719,$A17,'Diags Raw Data'!$M$16:$M$4719,"Delta")</f>
        <v>0</v>
      </c>
      <c r="J17" s="396">
        <f>SUMIFS('Diags Raw Data'!$V$16:$V$4719,'Diags Raw Data'!$D$16:$D$4719,$A17,'Diags Raw Data'!$M$16:$M$4719,"New")+SUMIFS('Diags Raw Data'!$V$16:$V$4719,'Diags Raw Data'!$D$16:$D$4719,$A17,'Diags Raw Data'!$M$16:$M$4719,"Delta")</f>
        <v>0</v>
      </c>
      <c r="K17" s="396">
        <f>SUMIFS('Diags Raw Data'!$W$16:$W$4719,'Diags Raw Data'!$D$16:$D$4719,$A17,'Diags Raw Data'!$M$16:$M$4719,"New")+SUMIFS('Diags Raw Data'!$W$16:$W$4719,'Diags Raw Data'!$D$16:$D$4719,$A17,'Diags Raw Data'!$M$16:$M$4719,"Delta")</f>
        <v>0</v>
      </c>
      <c r="L17" s="398">
        <f t="shared" ref="L17" si="36">IF(NOT($C17=0), G17/$C17, "---")</f>
        <v>0.7678571428571429</v>
      </c>
      <c r="M17" s="399">
        <f t="shared" ref="M17" si="37">IF(NOT($G17=0), (H17+I17)/$G17, "---")</f>
        <v>1</v>
      </c>
      <c r="N17" s="434">
        <f t="shared" ref="N17" si="38">IF(NOT($C17=0), (H17+I17)/$C17, "---")</f>
        <v>0.7678571428571429</v>
      </c>
      <c r="O17" s="430">
        <f>SUMIFS('Diags Raw Data'!$Z$16:$Z$4719,'Diags Raw Data'!$D$16:$D$4719,$A17,'Diags Raw Data'!$M$16:$M$4719,"New")+SUMIFS('Diags Raw Data'!$Z$16:$Z$4719,'Diags Raw Data'!$D$16:$D$4719,$A17,'Diags Raw Data'!$M$16:$M$4719,"Delta")</f>
        <v>0</v>
      </c>
      <c r="P17" s="400">
        <f>SUMIFS('Diags Raw Data'!$AA$16:$AA$4719,'Diags Raw Data'!$D$16:$D$4719,$A17,'Diags Raw Data'!$M$16:$M$4719,"New")+SUMIFS('Diags Raw Data'!$AA$16:$AA$4719,'Diags Raw Data'!$D$16:$D$4719,$A17,'Diags Raw Data'!$M$16:$M$4719,"Delta")</f>
        <v>0</v>
      </c>
      <c r="Q17" s="400">
        <f>SUMIFS('Diags Raw Data'!$AB$16:$AB$4719,'Diags Raw Data'!$D$16:$D$4719,$A17,'Diags Raw Data'!$M$16:$M$4719,"New")+SUMIFS('Diags Raw Data'!$AB$16:$AB$4719,'Diags Raw Data'!$D$16:$D$4719,$A17,'Diags Raw Data'!$M$16:$M$4719,"Delta")</f>
        <v>0</v>
      </c>
      <c r="R17" s="400">
        <f>SUMIFS('Diags Raw Data'!$AC$16:$AC$4719,'Diags Raw Data'!$D$16:$D$4719,$A17,'Diags Raw Data'!$M$16:$M$4719,"New")+SUMIFS('Diags Raw Data'!$AC$16:$AC$4719,'Diags Raw Data'!$D$16:$D$4719,$A17,'Diags Raw Data'!$M$16:$M$4719,"Delta")</f>
        <v>0</v>
      </c>
      <c r="S17" s="400">
        <f>SUMIFS('Diags Raw Data'!$AD$16:$AD$4719,'Diags Raw Data'!$D$16:$D$4719,$A17,'Diags Raw Data'!$M$16:$M$4719,"New")+SUMIFS('Diags Raw Data'!$AD$16:$AD$4719,'Diags Raw Data'!$D$16:$D$4719,$A17,'Diags Raw Data'!$M$16:$M$4719,"Delta")</f>
        <v>0</v>
      </c>
      <c r="T17" s="402">
        <f t="shared" ref="T17" si="39">IF(NOT($B17=0), O17/$B17, "---")</f>
        <v>0</v>
      </c>
      <c r="U17" s="403" t="str">
        <f t="shared" ref="U17" si="40">IF(NOT($O17=0), (P17+Q17)/$O17, "---")</f>
        <v>---</v>
      </c>
      <c r="V17" s="404">
        <f t="shared" ref="V17" si="41">IF(NOT($B17=0), (P17+Q17)/$B17, "---")</f>
        <v>0</v>
      </c>
    </row>
    <row r="18" spans="1:22" ht="15" thickBot="1" x14ac:dyDescent="0.4">
      <c r="A18" s="409" t="s">
        <v>503</v>
      </c>
      <c r="B18" s="407">
        <f>SUMIFS('Diags Raw Data'!$L$16:$L$4719,'Diags Raw Data'!$D$16:$D$4719,$A18,'Diags Raw Data'!$M$16:$M$4719,"New")+SUMIFS('Diags Raw Data'!$L$16:$L$4719,'Diags Raw Data'!$D$16:$D$4719,$A18,'Diags Raw Data'!$M$16:$M$4719,"Delta")</f>
        <v>2</v>
      </c>
      <c r="C18" s="385">
        <f>SUMIFS('Diags Raw Data'!$R$16:$R$4719,'Diags Raw Data'!$D$16:$D$4719,$A18,'Diags Raw Data'!$M$16:$M$4719,"New")+SUMIFS('Diags Raw Data'!$R$16:$R$4719,'Diags Raw Data'!$D$16:$D$4719,$A18,'Diags Raw Data'!$M$16:$M$4719,"Delta")</f>
        <v>2</v>
      </c>
      <c r="D18" s="385">
        <f>SUMIFS('Diags Raw Data'!$K$16:$K$4719,'Diags Raw Data'!$D$16:$D$4719,$A18,'Diags Raw Data'!$M$16:$M$4719,"New")+SUMIFS('Diags Raw Data'!$K$16:$K$4719,'Diags Raw Data'!$D$16:$D$4719,$A18,'Diags Raw Data'!$M$16:$M$4719,"Delta")</f>
        <v>2</v>
      </c>
      <c r="E18" s="385">
        <f>SUMIFS('Diags Raw Data'!$O$16:$O$4719,'Diags Raw Data'!$D$16:$D$4719,$A18,'Diags Raw Data'!$M$16:$M$4719,"New")+SUMIFS('Diags Raw Data'!$O$16:$O$4719,'Diags Raw Data'!$D$16:$D$4719,$A18,'Diags Raw Data'!$M$16:$M$4719,"Delta")</f>
        <v>0.8</v>
      </c>
      <c r="F18" s="428">
        <f t="shared" ref="F18:F23" si="42">IF(NOT($B18=0), E18/$B18, "---")</f>
        <v>0.4</v>
      </c>
      <c r="G18" s="435">
        <f>SUMIFS('Diags Raw Data'!$S$16:$S$4719,'Diags Raw Data'!$D$16:$D$4719,$A18,'Diags Raw Data'!$M$16:$M$4719,"New")+SUMIFS('Diags Raw Data'!$S$16:$S$4719,'Diags Raw Data'!$D$16:$D$4719,$A18,'Diags Raw Data'!$M$16:$M$4719,"Delta")</f>
        <v>0</v>
      </c>
      <c r="H18" s="387">
        <f>SUMIFS('Diags Raw Data'!$T$16:$T$4719,'Diags Raw Data'!$D$16:$D$4719,$A18,'Diags Raw Data'!$M$16:$M$4719,"New")+SUMIFS('Diags Raw Data'!$T$16:$T$4719,'Diags Raw Data'!$D$16:$D$4719,$A18,'Diags Raw Data'!$M$16:$M$4719,"Delta")</f>
        <v>0</v>
      </c>
      <c r="I18" s="387">
        <f>SUMIFS('Diags Raw Data'!$U$16:$U$4719,'Diags Raw Data'!$D$16:$D$4719,$A18,'Diags Raw Data'!$M$16:$M$4719,"New")+SUMIFS('Diags Raw Data'!$U$16:$U$4719,'Diags Raw Data'!$D$16:$D$4719,$A18,'Diags Raw Data'!$M$16:$M$4719,"Delta")</f>
        <v>0</v>
      </c>
      <c r="J18" s="387">
        <f>SUMIFS('Diags Raw Data'!$V$16:$V$4719,'Diags Raw Data'!$D$16:$D$4719,$A18,'Diags Raw Data'!$M$16:$M$4719,"New")+SUMIFS('Diags Raw Data'!$V$16:$V$4719,'Diags Raw Data'!$D$16:$D$4719,$A18,'Diags Raw Data'!$M$16:$M$4719,"Delta")</f>
        <v>0</v>
      </c>
      <c r="K18" s="387">
        <f>SUMIFS('Diags Raw Data'!$W$16:$W$4719,'Diags Raw Data'!$D$16:$D$4719,$A18,'Diags Raw Data'!$M$16:$M$4719,"New")+SUMIFS('Diags Raw Data'!$W$16:$W$4719,'Diags Raw Data'!$D$16:$D$4719,$A18,'Diags Raw Data'!$M$16:$M$4719,"Delta")</f>
        <v>0</v>
      </c>
      <c r="L18" s="389">
        <f t="shared" ref="L18:L23" si="43">IF(NOT($C18=0), G18/$C18, "---")</f>
        <v>0</v>
      </c>
      <c r="M18" s="390" t="str">
        <f t="shared" ref="M18:M23" si="44">IF(NOT($G18=0), (H18+I18)/$G18, "---")</f>
        <v>---</v>
      </c>
      <c r="N18" s="436">
        <f t="shared" ref="N18:N23" si="45">IF(NOT($C18=0), (H18+I18)/$C18, "---")</f>
        <v>0</v>
      </c>
      <c r="O18" s="431">
        <f>SUMIFS('Diags Raw Data'!$Z$16:$Z$4719,'Diags Raw Data'!$D$16:$D$4719,$A18,'Diags Raw Data'!$M$16:$M$4719,"New")+SUMIFS('Diags Raw Data'!$Z$16:$Z$4719,'Diags Raw Data'!$D$16:$D$4719,$A18,'Diags Raw Data'!$M$16:$M$4719,"Delta")</f>
        <v>0</v>
      </c>
      <c r="P18" s="391">
        <f>SUMIFS('Diags Raw Data'!$AA$16:$AA$4719,'Diags Raw Data'!$D$16:$D$4719,$A18,'Diags Raw Data'!$M$16:$M$4719,"New")+SUMIFS('Diags Raw Data'!$AA$16:$AA$4719,'Diags Raw Data'!$D$16:$D$4719,$A18,'Diags Raw Data'!$M$16:$M$4719,"Delta")</f>
        <v>0</v>
      </c>
      <c r="Q18" s="391">
        <f>SUMIFS('Diags Raw Data'!$AB$16:$AB$4719,'Diags Raw Data'!$D$16:$D$4719,$A18,'Diags Raw Data'!$M$16:$M$4719,"New")+SUMIFS('Diags Raw Data'!$AB$16:$AB$4719,'Diags Raw Data'!$D$16:$D$4719,$A18,'Diags Raw Data'!$M$16:$M$4719,"Delta")</f>
        <v>0</v>
      </c>
      <c r="R18" s="391">
        <f>SUMIFS('Diags Raw Data'!$AC$16:$AC$4719,'Diags Raw Data'!$D$16:$D$4719,$A18,'Diags Raw Data'!$M$16:$M$4719,"New")+SUMIFS('Diags Raw Data'!$AC$16:$AC$4719,'Diags Raw Data'!$D$16:$D$4719,$A18,'Diags Raw Data'!$M$16:$M$4719,"Delta")</f>
        <v>0</v>
      </c>
      <c r="S18" s="391">
        <f>SUMIFS('Diags Raw Data'!$AD$16:$AD$4719,'Diags Raw Data'!$D$16:$D$4719,$A18,'Diags Raw Data'!$M$16:$M$4719,"New")+SUMIFS('Diags Raw Data'!$AD$16:$AD$4719,'Diags Raw Data'!$D$16:$D$4719,$A18,'Diags Raw Data'!$M$16:$M$4719,"Delta")</f>
        <v>0</v>
      </c>
      <c r="T18" s="393">
        <f t="shared" ref="T18:T23" si="46">IF(NOT($B18=0), O18/$B18, "---")</f>
        <v>0</v>
      </c>
      <c r="U18" s="394" t="str">
        <f t="shared" ref="U18:U23" si="47">IF(NOT($O18=0), (P18+Q18)/$O18, "---")</f>
        <v>---</v>
      </c>
      <c r="V18" s="405">
        <f t="shared" ref="V18:V23" si="48">IF(NOT($B18=0), (P18+Q18)/$B18, "---")</f>
        <v>0</v>
      </c>
    </row>
    <row r="19" spans="1:22" ht="15" thickBot="1" x14ac:dyDescent="0.4">
      <c r="A19" s="408" t="s">
        <v>379</v>
      </c>
      <c r="B19" s="407">
        <f>SUMIFS('Diags Raw Data'!$L$16:$L$4719,'Diags Raw Data'!$D$16:$D$4719,$A19,'Diags Raw Data'!$M$16:$M$4719,"New")+SUMIFS('Diags Raw Data'!$L$16:$L$4719,'Diags Raw Data'!$D$16:$D$4719,$A19,'Diags Raw Data'!$M$16:$M$4719,"Delta")</f>
        <v>5</v>
      </c>
      <c r="C19" s="385">
        <f>SUMIFS('Diags Raw Data'!$R$16:$R$4719,'Diags Raw Data'!$D$16:$D$4719,$A19,'Diags Raw Data'!$M$16:$M$4719,"New")+SUMIFS('Diags Raw Data'!$R$16:$R$4719,'Diags Raw Data'!$D$16:$D$4719,$A19,'Diags Raw Data'!$M$16:$M$4719,"Delta")</f>
        <v>5</v>
      </c>
      <c r="D19" s="385">
        <f>SUMIFS('Diags Raw Data'!$K$16:$K$4719,'Diags Raw Data'!$D$16:$D$4719,$A19,'Diags Raw Data'!$M$16:$M$4719,"New")+SUMIFS('Diags Raw Data'!$K$16:$K$4719,'Diags Raw Data'!$D$16:$D$4719,$A19,'Diags Raw Data'!$M$16:$M$4719,"Delta")</f>
        <v>5</v>
      </c>
      <c r="E19" s="385">
        <f>SUMIFS('Diags Raw Data'!$O$16:$O$4719,'Diags Raw Data'!$D$16:$D$4719,$A19,'Diags Raw Data'!$M$16:$M$4719,"New")+SUMIFS('Diags Raw Data'!$O$16:$O$4719,'Diags Raw Data'!$D$16:$D$4719,$A19,'Diags Raw Data'!$M$16:$M$4719,"Delta")</f>
        <v>0.3</v>
      </c>
      <c r="F19" s="428">
        <f t="shared" si="42"/>
        <v>0.06</v>
      </c>
      <c r="G19" s="435">
        <f>SUMIFS('Diags Raw Data'!$S$16:$S$4719,'Diags Raw Data'!$D$16:$D$4719,$A19,'Diags Raw Data'!$M$16:$M$4719,"New")+SUMIFS('Diags Raw Data'!$S$16:$S$4719,'Diags Raw Data'!$D$16:$D$4719,$A19,'Diags Raw Data'!$M$16:$M$4719,"Delta")</f>
        <v>0</v>
      </c>
      <c r="H19" s="387">
        <f>SUMIFS('Diags Raw Data'!$T$16:$T$4719,'Diags Raw Data'!$D$16:$D$4719,$A19,'Diags Raw Data'!$M$16:$M$4719,"New")+SUMIFS('Diags Raw Data'!$T$16:$T$4719,'Diags Raw Data'!$D$16:$D$4719,$A19,'Diags Raw Data'!$M$16:$M$4719,"Delta")</f>
        <v>0</v>
      </c>
      <c r="I19" s="387">
        <f>SUMIFS('Diags Raw Data'!$U$16:$U$4719,'Diags Raw Data'!$D$16:$D$4719,$A19,'Diags Raw Data'!$M$16:$M$4719,"New")+SUMIFS('Diags Raw Data'!$U$16:$U$4719,'Diags Raw Data'!$D$16:$D$4719,$A19,'Diags Raw Data'!$M$16:$M$4719,"Delta")</f>
        <v>0</v>
      </c>
      <c r="J19" s="387">
        <f>SUMIFS('Diags Raw Data'!$V$16:$V$4719,'Diags Raw Data'!$D$16:$D$4719,$A19,'Diags Raw Data'!$M$16:$M$4719,"New")+SUMIFS('Diags Raw Data'!$V$16:$V$4719,'Diags Raw Data'!$D$16:$D$4719,$A19,'Diags Raw Data'!$M$16:$M$4719,"Delta")</f>
        <v>0</v>
      </c>
      <c r="K19" s="387">
        <f>SUMIFS('Diags Raw Data'!$W$16:$W$4719,'Diags Raw Data'!$D$16:$D$4719,$A19,'Diags Raw Data'!$M$16:$M$4719,"New")+SUMIFS('Diags Raw Data'!$W$16:$W$4719,'Diags Raw Data'!$D$16:$D$4719,$A19,'Diags Raw Data'!$M$16:$M$4719,"Delta")</f>
        <v>0</v>
      </c>
      <c r="L19" s="389">
        <f t="shared" si="43"/>
        <v>0</v>
      </c>
      <c r="M19" s="390" t="str">
        <f t="shared" si="44"/>
        <v>---</v>
      </c>
      <c r="N19" s="436">
        <f t="shared" si="45"/>
        <v>0</v>
      </c>
      <c r="O19" s="431">
        <f>SUMIFS('Diags Raw Data'!$Z$16:$Z$4719,'Diags Raw Data'!$D$16:$D$4719,$A19,'Diags Raw Data'!$M$16:$M$4719,"New")+SUMIFS('Diags Raw Data'!$Z$16:$Z$4719,'Diags Raw Data'!$D$16:$D$4719,$A19,'Diags Raw Data'!$M$16:$M$4719,"Delta")</f>
        <v>0</v>
      </c>
      <c r="P19" s="391">
        <f>SUMIFS('Diags Raw Data'!$AA$16:$AA$4719,'Diags Raw Data'!$D$16:$D$4719,$A19,'Diags Raw Data'!$M$16:$M$4719,"New")+SUMIFS('Diags Raw Data'!$AA$16:$AA$4719,'Diags Raw Data'!$D$16:$D$4719,$A19,'Diags Raw Data'!$M$16:$M$4719,"Delta")</f>
        <v>0</v>
      </c>
      <c r="Q19" s="391">
        <f>SUMIFS('Diags Raw Data'!$AB$16:$AB$4719,'Diags Raw Data'!$D$16:$D$4719,$A19,'Diags Raw Data'!$M$16:$M$4719,"New")+SUMIFS('Diags Raw Data'!$AB$16:$AB$4719,'Diags Raw Data'!$D$16:$D$4719,$A19,'Diags Raw Data'!$M$16:$M$4719,"Delta")</f>
        <v>0</v>
      </c>
      <c r="R19" s="391">
        <f>SUMIFS('Diags Raw Data'!$AC$16:$AC$4719,'Diags Raw Data'!$D$16:$D$4719,$A19,'Diags Raw Data'!$M$16:$M$4719,"New")+SUMIFS('Diags Raw Data'!$AC$16:$AC$4719,'Diags Raw Data'!$D$16:$D$4719,$A19,'Diags Raw Data'!$M$16:$M$4719,"Delta")</f>
        <v>0</v>
      </c>
      <c r="S19" s="391">
        <f>SUMIFS('Diags Raw Data'!$AD$16:$AD$4719,'Diags Raw Data'!$D$16:$D$4719,$A19,'Diags Raw Data'!$M$16:$M$4719,"New")+SUMIFS('Diags Raw Data'!$AD$16:$AD$4719,'Diags Raw Data'!$D$16:$D$4719,$A19,'Diags Raw Data'!$M$16:$M$4719,"Delta")</f>
        <v>0</v>
      </c>
      <c r="T19" s="393">
        <f t="shared" si="46"/>
        <v>0</v>
      </c>
      <c r="U19" s="394" t="str">
        <f t="shared" si="47"/>
        <v>---</v>
      </c>
      <c r="V19" s="405">
        <f t="shared" si="48"/>
        <v>0</v>
      </c>
    </row>
    <row r="20" spans="1:22" ht="15" thickBot="1" x14ac:dyDescent="0.4">
      <c r="A20" s="408" t="s">
        <v>358</v>
      </c>
      <c r="B20" s="407">
        <f>SUMIFS('Diags Raw Data'!$L$16:$L$4719,'Diags Raw Data'!$D$16:$D$4719,$A20,'Diags Raw Data'!$M$16:$M$4719,"New")+SUMIFS('Diags Raw Data'!$L$16:$L$4719,'Diags Raw Data'!$D$16:$D$4719,$A20,'Diags Raw Data'!$M$16:$M$4719,"Delta")</f>
        <v>0</v>
      </c>
      <c r="C20" s="385">
        <f>SUMIFS('Diags Raw Data'!$R$16:$R$4719,'Diags Raw Data'!$D$16:$D$4719,$A20,'Diags Raw Data'!$M$16:$M$4719,"New")+SUMIFS('Diags Raw Data'!$R$16:$R$4719,'Diags Raw Data'!$D$16:$D$4719,$A20,'Diags Raw Data'!$M$16:$M$4719,"Delta")</f>
        <v>0</v>
      </c>
      <c r="D20" s="385">
        <f>SUMIFS('Diags Raw Data'!$K$16:$K$4719,'Diags Raw Data'!$D$16:$D$4719,$A20,'Diags Raw Data'!$M$16:$M$4719,"New")+SUMIFS('Diags Raw Data'!$K$16:$K$4719,'Diags Raw Data'!$D$16:$D$4719,$A20,'Diags Raw Data'!$M$16:$M$4719,"Delta")</f>
        <v>0</v>
      </c>
      <c r="E20" s="385">
        <f>SUMIFS('Diags Raw Data'!$O$16:$O$4719,'Diags Raw Data'!$D$16:$D$4719,$A20,'Diags Raw Data'!$M$16:$M$4719,"New")+SUMIFS('Diags Raw Data'!$O$16:$O$4719,'Diags Raw Data'!$D$16:$D$4719,$A20,'Diags Raw Data'!$M$16:$M$4719,"Delta")</f>
        <v>0</v>
      </c>
      <c r="F20" s="428" t="str">
        <f t="shared" ref="F20" si="49">IF(NOT($B20=0), E20/$B20, "---")</f>
        <v>---</v>
      </c>
      <c r="G20" s="435">
        <f>SUMIFS('Diags Raw Data'!$S$16:$S$4719,'Diags Raw Data'!$D$16:$D$4719,$A20,'Diags Raw Data'!$M$16:$M$4719,"New")+SUMIFS('Diags Raw Data'!$S$16:$S$4719,'Diags Raw Data'!$D$16:$D$4719,$A20,'Diags Raw Data'!$M$16:$M$4719,"Delta")</f>
        <v>0</v>
      </c>
      <c r="H20" s="387">
        <f>SUMIFS('Diags Raw Data'!$T$16:$T$4719,'Diags Raw Data'!$D$16:$D$4719,$A20,'Diags Raw Data'!$M$16:$M$4719,"New")+SUMIFS('Diags Raw Data'!$T$16:$T$4719,'Diags Raw Data'!$D$16:$D$4719,$A20,'Diags Raw Data'!$M$16:$M$4719,"Delta")</f>
        <v>0</v>
      </c>
      <c r="I20" s="387">
        <f>SUMIFS('Diags Raw Data'!$U$16:$U$4719,'Diags Raw Data'!$D$16:$D$4719,$A20,'Diags Raw Data'!$M$16:$M$4719,"New")+SUMIFS('Diags Raw Data'!$U$16:$U$4719,'Diags Raw Data'!$D$16:$D$4719,$A20,'Diags Raw Data'!$M$16:$M$4719,"Delta")</f>
        <v>0</v>
      </c>
      <c r="J20" s="387">
        <f>SUMIFS('Diags Raw Data'!$V$16:$V$4719,'Diags Raw Data'!$D$16:$D$4719,$A20,'Diags Raw Data'!$M$16:$M$4719,"New")+SUMIFS('Diags Raw Data'!$V$16:$V$4719,'Diags Raw Data'!$D$16:$D$4719,$A20,'Diags Raw Data'!$M$16:$M$4719,"Delta")</f>
        <v>0</v>
      </c>
      <c r="K20" s="387">
        <f>SUMIFS('Diags Raw Data'!$W$16:$W$4719,'Diags Raw Data'!$D$16:$D$4719,$A20,'Diags Raw Data'!$M$16:$M$4719,"New")+SUMIFS('Diags Raw Data'!$W$16:$W$4719,'Diags Raw Data'!$D$16:$D$4719,$A20,'Diags Raw Data'!$M$16:$M$4719,"Delta")</f>
        <v>0</v>
      </c>
      <c r="L20" s="389" t="str">
        <f t="shared" ref="L20" si="50">IF(NOT($C20=0), G20/$C20, "---")</f>
        <v>---</v>
      </c>
      <c r="M20" s="390" t="str">
        <f t="shared" ref="M20" si="51">IF(NOT($G20=0), (H20+I20)/$G20, "---")</f>
        <v>---</v>
      </c>
      <c r="N20" s="436" t="str">
        <f t="shared" ref="N20" si="52">IF(NOT($C20=0), (H20+I20)/$C20, "---")</f>
        <v>---</v>
      </c>
      <c r="O20" s="431">
        <f>SUMIFS('Diags Raw Data'!$Z$16:$Z$4719,'Diags Raw Data'!$D$16:$D$4719,$A20,'Diags Raw Data'!$M$16:$M$4719,"New")+SUMIFS('Diags Raw Data'!$Z$16:$Z$4719,'Diags Raw Data'!$D$16:$D$4719,$A20,'Diags Raw Data'!$M$16:$M$4719,"Delta")</f>
        <v>0</v>
      </c>
      <c r="P20" s="391">
        <f>SUMIFS('Diags Raw Data'!$AA$16:$AA$4719,'Diags Raw Data'!$D$16:$D$4719,$A20,'Diags Raw Data'!$M$16:$M$4719,"New")+SUMIFS('Diags Raw Data'!$AA$16:$AA$4719,'Diags Raw Data'!$D$16:$D$4719,$A20,'Diags Raw Data'!$M$16:$M$4719,"Delta")</f>
        <v>0</v>
      </c>
      <c r="Q20" s="391">
        <f>SUMIFS('Diags Raw Data'!$AB$16:$AB$4719,'Diags Raw Data'!$D$16:$D$4719,$A20,'Diags Raw Data'!$M$16:$M$4719,"New")+SUMIFS('Diags Raw Data'!$AB$16:$AB$4719,'Diags Raw Data'!$D$16:$D$4719,$A20,'Diags Raw Data'!$M$16:$M$4719,"Delta")</f>
        <v>0</v>
      </c>
      <c r="R20" s="391">
        <f>SUMIFS('Diags Raw Data'!$AC$16:$AC$4719,'Diags Raw Data'!$D$16:$D$4719,$A20,'Diags Raw Data'!$M$16:$M$4719,"New")+SUMIFS('Diags Raw Data'!$AC$16:$AC$4719,'Diags Raw Data'!$D$16:$D$4719,$A20,'Diags Raw Data'!$M$16:$M$4719,"Delta")</f>
        <v>0</v>
      </c>
      <c r="S20" s="391">
        <f>SUMIFS('Diags Raw Data'!$AD$16:$AD$4719,'Diags Raw Data'!$D$16:$D$4719,$A20,'Diags Raw Data'!$M$16:$M$4719,"New")+SUMIFS('Diags Raw Data'!$AD$16:$AD$4719,'Diags Raw Data'!$D$16:$D$4719,$A20,'Diags Raw Data'!$M$16:$M$4719,"Delta")</f>
        <v>0</v>
      </c>
      <c r="T20" s="393" t="str">
        <f t="shared" ref="T20" si="53">IF(NOT($B20=0), O20/$B20, "---")</f>
        <v>---</v>
      </c>
      <c r="U20" s="394" t="str">
        <f t="shared" ref="U20" si="54">IF(NOT($O20=0), (P20+Q20)/$O20, "---")</f>
        <v>---</v>
      </c>
      <c r="V20" s="405" t="str">
        <f t="shared" ref="V20" si="55">IF(NOT($B20=0), (P20+Q20)/$B20, "---")</f>
        <v>---</v>
      </c>
    </row>
    <row r="21" spans="1:22" ht="15" thickBot="1" x14ac:dyDescent="0.4">
      <c r="A21" s="408" t="s">
        <v>336</v>
      </c>
      <c r="B21" s="407">
        <f>SUMIFS('Diags Raw Data'!$L$16:$L$4719,'Diags Raw Data'!$D$16:$D$4719,$A21,'Diags Raw Data'!$M$16:$M$4719,"New")+SUMIFS('Diags Raw Data'!$L$16:$L$4719,'Diags Raw Data'!$D$16:$D$4719,$A21,'Diags Raw Data'!$M$16:$M$4719,"Delta")</f>
        <v>9</v>
      </c>
      <c r="C21" s="385">
        <f>SUMIFS('Diags Raw Data'!$R$16:$R$4719,'Diags Raw Data'!$D$16:$D$4719,$A21,'Diags Raw Data'!$M$16:$M$4719,"New")+SUMIFS('Diags Raw Data'!$R$16:$R$4719,'Diags Raw Data'!$D$16:$D$4719,$A21,'Diags Raw Data'!$M$16:$M$4719,"Delta")</f>
        <v>9</v>
      </c>
      <c r="D21" s="385">
        <f>SUMIFS('Diags Raw Data'!$K$16:$K$4719,'Diags Raw Data'!$D$16:$D$4719,$A21,'Diags Raw Data'!$M$16:$M$4719,"New")+SUMIFS('Diags Raw Data'!$K$16:$K$4719,'Diags Raw Data'!$D$16:$D$4719,$A21,'Diags Raw Data'!$M$16:$M$4719,"Delta")</f>
        <v>9</v>
      </c>
      <c r="E21" s="385">
        <f>SUMIFS('Diags Raw Data'!$O$16:$O$4719,'Diags Raw Data'!$D$16:$D$4719,$A21,'Diags Raw Data'!$M$16:$M$4719,"New")+SUMIFS('Diags Raw Data'!$O$16:$O$4719,'Diags Raw Data'!$D$16:$D$4719,$A21,'Diags Raw Data'!$M$16:$M$4719,"Delta")</f>
        <v>5.5</v>
      </c>
      <c r="F21" s="428">
        <f t="shared" si="42"/>
        <v>0.61111111111111116</v>
      </c>
      <c r="G21" s="435">
        <f>SUMIFS('Diags Raw Data'!$S$16:$S$4719,'Diags Raw Data'!$D$16:$D$4719,$A21,'Diags Raw Data'!$M$16:$M$4719,"New")+SUMIFS('Diags Raw Data'!$S$16:$S$4719,'Diags Raw Data'!$D$16:$D$4719,$A21,'Diags Raw Data'!$M$16:$M$4719,"Delta")</f>
        <v>0</v>
      </c>
      <c r="H21" s="387">
        <f>SUMIFS('Diags Raw Data'!$T$16:$T$4719,'Diags Raw Data'!$D$16:$D$4719,$A21,'Diags Raw Data'!$M$16:$M$4719,"New")+SUMIFS('Diags Raw Data'!$T$16:$T$4719,'Diags Raw Data'!$D$16:$D$4719,$A21,'Diags Raw Data'!$M$16:$M$4719,"Delta")</f>
        <v>0</v>
      </c>
      <c r="I21" s="387">
        <f>SUMIFS('Diags Raw Data'!$U$16:$U$4719,'Diags Raw Data'!$D$16:$D$4719,$A21,'Diags Raw Data'!$M$16:$M$4719,"New")+SUMIFS('Diags Raw Data'!$U$16:$U$4719,'Diags Raw Data'!$D$16:$D$4719,$A21,'Diags Raw Data'!$M$16:$M$4719,"Delta")</f>
        <v>0</v>
      </c>
      <c r="J21" s="387">
        <f>SUMIFS('Diags Raw Data'!$V$16:$V$4719,'Diags Raw Data'!$D$16:$D$4719,$A21,'Diags Raw Data'!$M$16:$M$4719,"New")+SUMIFS('Diags Raw Data'!$V$16:$V$4719,'Diags Raw Data'!$D$16:$D$4719,$A21,'Diags Raw Data'!$M$16:$M$4719,"Delta")</f>
        <v>0</v>
      </c>
      <c r="K21" s="387">
        <f>SUMIFS('Diags Raw Data'!$W$16:$W$4719,'Diags Raw Data'!$D$16:$D$4719,$A21,'Diags Raw Data'!$M$16:$M$4719,"New")+SUMIFS('Diags Raw Data'!$W$16:$W$4719,'Diags Raw Data'!$D$16:$D$4719,$A21,'Diags Raw Data'!$M$16:$M$4719,"Delta")</f>
        <v>0</v>
      </c>
      <c r="L21" s="389">
        <f t="shared" si="43"/>
        <v>0</v>
      </c>
      <c r="M21" s="390" t="str">
        <f t="shared" si="44"/>
        <v>---</v>
      </c>
      <c r="N21" s="436">
        <f t="shared" si="45"/>
        <v>0</v>
      </c>
      <c r="O21" s="431">
        <f>SUMIFS('Diags Raw Data'!$Z$16:$Z$4719,'Diags Raw Data'!$D$16:$D$4719,$A21,'Diags Raw Data'!$M$16:$M$4719,"New")+SUMIFS('Diags Raw Data'!$Z$16:$Z$4719,'Diags Raw Data'!$D$16:$D$4719,$A21,'Diags Raw Data'!$M$16:$M$4719,"Delta")</f>
        <v>0</v>
      </c>
      <c r="P21" s="391">
        <f>SUMIFS('Diags Raw Data'!$AA$16:$AA$4719,'Diags Raw Data'!$D$16:$D$4719,$A21,'Diags Raw Data'!$M$16:$M$4719,"New")+SUMIFS('Diags Raw Data'!$AA$16:$AA$4719,'Diags Raw Data'!$D$16:$D$4719,$A21,'Diags Raw Data'!$M$16:$M$4719,"Delta")</f>
        <v>0</v>
      </c>
      <c r="Q21" s="391">
        <f>SUMIFS('Diags Raw Data'!$AB$16:$AB$4719,'Diags Raw Data'!$D$16:$D$4719,$A21,'Diags Raw Data'!$M$16:$M$4719,"New")+SUMIFS('Diags Raw Data'!$AB$16:$AB$4719,'Diags Raw Data'!$D$16:$D$4719,$A21,'Diags Raw Data'!$M$16:$M$4719,"Delta")</f>
        <v>0</v>
      </c>
      <c r="R21" s="391">
        <f>SUMIFS('Diags Raw Data'!$AC$16:$AC$4719,'Diags Raw Data'!$D$16:$D$4719,$A21,'Diags Raw Data'!$M$16:$M$4719,"New")+SUMIFS('Diags Raw Data'!$AC$16:$AC$4719,'Diags Raw Data'!$D$16:$D$4719,$A21,'Diags Raw Data'!$M$16:$M$4719,"Delta")</f>
        <v>0</v>
      </c>
      <c r="S21" s="391">
        <f>SUMIFS('Diags Raw Data'!$AD$16:$AD$4719,'Diags Raw Data'!$D$16:$D$4719,$A21,'Diags Raw Data'!$M$16:$M$4719,"New")+SUMIFS('Diags Raw Data'!$AD$16:$AD$4719,'Diags Raw Data'!$D$16:$D$4719,$A21,'Diags Raw Data'!$M$16:$M$4719,"Delta")</f>
        <v>0</v>
      </c>
      <c r="T21" s="393">
        <f t="shared" si="46"/>
        <v>0</v>
      </c>
      <c r="U21" s="394" t="str">
        <f t="shared" si="47"/>
        <v>---</v>
      </c>
      <c r="V21" s="405">
        <f t="shared" si="48"/>
        <v>0</v>
      </c>
    </row>
    <row r="22" spans="1:22" ht="15" thickBot="1" x14ac:dyDescent="0.4">
      <c r="A22" s="408" t="s">
        <v>443</v>
      </c>
      <c r="B22" s="407">
        <f>SUMIFS('Diags Raw Data'!$L$16:$L$4719,'Diags Raw Data'!$D$16:$D$4719,$A22,'Diags Raw Data'!$M$16:$M$4719,"New")+SUMIFS('Diags Raw Data'!$L$16:$L$4719,'Diags Raw Data'!$D$16:$D$4719,$A22,'Diags Raw Data'!$M$16:$M$4719,"Delta")</f>
        <v>3</v>
      </c>
      <c r="C22" s="385">
        <f>SUMIFS('Diags Raw Data'!$R$16:$R$4719,'Diags Raw Data'!$D$16:$D$4719,$A22,'Diags Raw Data'!$M$16:$M$4719,"New")+SUMIFS('Diags Raw Data'!$R$16:$R$4719,'Diags Raw Data'!$D$16:$D$4719,$A22,'Diags Raw Data'!$M$16:$M$4719,"Delta")</f>
        <v>3</v>
      </c>
      <c r="D22" s="385">
        <f>SUMIFS('Diags Raw Data'!$K$16:$K$4719,'Diags Raw Data'!$D$16:$D$4719,$A22,'Diags Raw Data'!$M$16:$M$4719,"New")+SUMIFS('Diags Raw Data'!$K$16:$K$4719,'Diags Raw Data'!$D$16:$D$4719,$A22,'Diags Raw Data'!$M$16:$M$4719,"Delta")</f>
        <v>3</v>
      </c>
      <c r="E22" s="385">
        <f>SUMIFS('Diags Raw Data'!$O$16:$O$4719,'Diags Raw Data'!$D$16:$D$4719,$A22,'Diags Raw Data'!$M$16:$M$4719,"New")+SUMIFS('Diags Raw Data'!$O$16:$O$4719,'Diags Raw Data'!$D$16:$D$4719,$A22,'Diags Raw Data'!$M$16:$M$4719,"Delta")</f>
        <v>1.5</v>
      </c>
      <c r="F22" s="428">
        <f t="shared" ref="F22" si="56">IF(NOT($B22=0), E22/$B22, "---")</f>
        <v>0.5</v>
      </c>
      <c r="G22" s="435">
        <f>SUMIFS('Diags Raw Data'!$S$16:$S$4719,'Diags Raw Data'!$D$16:$D$4719,$A22,'Diags Raw Data'!$M$16:$M$4719,"New")+SUMIFS('Diags Raw Data'!$S$16:$S$4719,'Diags Raw Data'!$D$16:$D$4719,$A22,'Diags Raw Data'!$M$16:$M$4719,"Delta")</f>
        <v>1</v>
      </c>
      <c r="H22" s="387">
        <f>SUMIFS('Diags Raw Data'!$T$16:$T$4719,'Diags Raw Data'!$D$16:$D$4719,$A22,'Diags Raw Data'!$M$16:$M$4719,"New")+SUMIFS('Diags Raw Data'!$T$16:$T$4719,'Diags Raw Data'!$D$16:$D$4719,$A22,'Diags Raw Data'!$M$16:$M$4719,"Delta")</f>
        <v>1</v>
      </c>
      <c r="I22" s="387">
        <f>SUMIFS('Diags Raw Data'!$U$16:$U$4719,'Diags Raw Data'!$D$16:$D$4719,$A22,'Diags Raw Data'!$M$16:$M$4719,"New")+SUMIFS('Diags Raw Data'!$U$16:$U$4719,'Diags Raw Data'!$D$16:$D$4719,$A22,'Diags Raw Data'!$M$16:$M$4719,"Delta")</f>
        <v>0</v>
      </c>
      <c r="J22" s="387">
        <f>SUMIFS('Diags Raw Data'!$V$16:$V$4719,'Diags Raw Data'!$D$16:$D$4719,$A22,'Diags Raw Data'!$M$16:$M$4719,"New")+SUMIFS('Diags Raw Data'!$V$16:$V$4719,'Diags Raw Data'!$D$16:$D$4719,$A22,'Diags Raw Data'!$M$16:$M$4719,"Delta")</f>
        <v>0</v>
      </c>
      <c r="K22" s="387">
        <f>SUMIFS('Diags Raw Data'!$W$16:$W$4719,'Diags Raw Data'!$D$16:$D$4719,$A22,'Diags Raw Data'!$M$16:$M$4719,"New")+SUMIFS('Diags Raw Data'!$W$16:$W$4719,'Diags Raw Data'!$D$16:$D$4719,$A22,'Diags Raw Data'!$M$16:$M$4719,"Delta")</f>
        <v>0</v>
      </c>
      <c r="L22" s="389">
        <f t="shared" ref="L22" si="57">IF(NOT($C22=0), G22/$C22, "---")</f>
        <v>0.33333333333333331</v>
      </c>
      <c r="M22" s="390">
        <f t="shared" ref="M22" si="58">IF(NOT($G22=0), (H22+I22)/$G22, "---")</f>
        <v>1</v>
      </c>
      <c r="N22" s="436">
        <f t="shared" ref="N22" si="59">IF(NOT($C22=0), (H22+I22)/$C22, "---")</f>
        <v>0.33333333333333331</v>
      </c>
      <c r="O22" s="431">
        <f>SUMIFS('Diags Raw Data'!$Z$16:$Z$4719,'Diags Raw Data'!$D$16:$D$4719,$A22,'Diags Raw Data'!$M$16:$M$4719,"New")+SUMIFS('Diags Raw Data'!$Z$16:$Z$4719,'Diags Raw Data'!$D$16:$D$4719,$A22,'Diags Raw Data'!$M$16:$M$4719,"Delta")</f>
        <v>0</v>
      </c>
      <c r="P22" s="391">
        <f>SUMIFS('Diags Raw Data'!$AA$16:$AA$4719,'Diags Raw Data'!$D$16:$D$4719,$A22,'Diags Raw Data'!$M$16:$M$4719,"New")+SUMIFS('Diags Raw Data'!$AA$16:$AA$4719,'Diags Raw Data'!$D$16:$D$4719,$A22,'Diags Raw Data'!$M$16:$M$4719,"Delta")</f>
        <v>0</v>
      </c>
      <c r="Q22" s="391">
        <f>SUMIFS('Diags Raw Data'!$AB$16:$AB$4719,'Diags Raw Data'!$D$16:$D$4719,$A22,'Diags Raw Data'!$M$16:$M$4719,"New")+SUMIFS('Diags Raw Data'!$AB$16:$AB$4719,'Diags Raw Data'!$D$16:$D$4719,$A22,'Diags Raw Data'!$M$16:$M$4719,"Delta")</f>
        <v>0</v>
      </c>
      <c r="R22" s="391">
        <f>SUMIFS('Diags Raw Data'!$AC$16:$AC$4719,'Diags Raw Data'!$D$16:$D$4719,$A22,'Diags Raw Data'!$M$16:$M$4719,"New")+SUMIFS('Diags Raw Data'!$AC$16:$AC$4719,'Diags Raw Data'!$D$16:$D$4719,$A22,'Diags Raw Data'!$M$16:$M$4719,"Delta")</f>
        <v>0</v>
      </c>
      <c r="S22" s="391">
        <f>SUMIFS('Diags Raw Data'!$AD$16:$AD$4719,'Diags Raw Data'!$D$16:$D$4719,$A22,'Diags Raw Data'!$M$16:$M$4719,"New")+SUMIFS('Diags Raw Data'!$AD$16:$AD$4719,'Diags Raw Data'!$D$16:$D$4719,$A22,'Diags Raw Data'!$M$16:$M$4719,"Delta")</f>
        <v>0</v>
      </c>
      <c r="T22" s="393">
        <f t="shared" ref="T22" si="60">IF(NOT($B22=0), O22/$B22, "---")</f>
        <v>0</v>
      </c>
      <c r="U22" s="394" t="str">
        <f t="shared" ref="U22" si="61">IF(NOT($O22=0), (P22+Q22)/$O22, "---")</f>
        <v>---</v>
      </c>
      <c r="V22" s="405">
        <f t="shared" ref="V22" si="62">IF(NOT($B22=0), (P22+Q22)/$B22, "---")</f>
        <v>0</v>
      </c>
    </row>
    <row r="23" spans="1:22" ht="15" thickBot="1" x14ac:dyDescent="0.4">
      <c r="A23" s="408" t="s">
        <v>352</v>
      </c>
      <c r="B23" s="407">
        <f>SUMIFS('Diags Raw Data'!$L$16:$L$4719,'Diags Raw Data'!$D$16:$D$4719,$A23,'Diags Raw Data'!$M$16:$M$4719,"New")+SUMIFS('Diags Raw Data'!$L$16:$L$4719,'Diags Raw Data'!$D$16:$D$4719,$A23,'Diags Raw Data'!$M$16:$M$4719,"Delta")</f>
        <v>4</v>
      </c>
      <c r="C23" s="385">
        <f>SUMIFS('Diags Raw Data'!$R$16:$R$4719,'Diags Raw Data'!$D$16:$D$4719,$A23,'Diags Raw Data'!$M$16:$M$4719,"New")+SUMIFS('Diags Raw Data'!$R$16:$R$4719,'Diags Raw Data'!$D$16:$D$4719,$A23,'Diags Raw Data'!$M$16:$M$4719,"Delta")</f>
        <v>4</v>
      </c>
      <c r="D23" s="385">
        <f>SUMIFS('Diags Raw Data'!$K$16:$K$4719,'Diags Raw Data'!$D$16:$D$4719,$A23,'Diags Raw Data'!$M$16:$M$4719,"New")+SUMIFS('Diags Raw Data'!$K$16:$K$4719,'Diags Raw Data'!$D$16:$D$4719,$A23,'Diags Raw Data'!$M$16:$M$4719,"Delta")</f>
        <v>4</v>
      </c>
      <c r="E23" s="385">
        <f>SUMIFS('Diags Raw Data'!$O$16:$O$4719,'Diags Raw Data'!$D$16:$D$4719,$A23,'Diags Raw Data'!$M$16:$M$4719,"New")+SUMIFS('Diags Raw Data'!$O$16:$O$4719,'Diags Raw Data'!$D$16:$D$4719,$A23,'Diags Raw Data'!$M$16:$M$4719,"Delta")</f>
        <v>0.6</v>
      </c>
      <c r="F23" s="428">
        <f t="shared" si="42"/>
        <v>0.15</v>
      </c>
      <c r="G23" s="435">
        <f>SUMIFS('Diags Raw Data'!$S$16:$S$4719,'Diags Raw Data'!$D$16:$D$4719,$A23,'Diags Raw Data'!$M$16:$M$4719,"New")+SUMIFS('Diags Raw Data'!$S$16:$S$4719,'Diags Raw Data'!$D$16:$D$4719,$A23,'Diags Raw Data'!$M$16:$M$4719,"Delta")</f>
        <v>0</v>
      </c>
      <c r="H23" s="387">
        <f>SUMIFS('Diags Raw Data'!$T$16:$T$4719,'Diags Raw Data'!$D$16:$D$4719,$A23,'Diags Raw Data'!$M$16:$M$4719,"New")+SUMIFS('Diags Raw Data'!$T$16:$T$4719,'Diags Raw Data'!$D$16:$D$4719,$A23,'Diags Raw Data'!$M$16:$M$4719,"Delta")</f>
        <v>0</v>
      </c>
      <c r="I23" s="387">
        <f>SUMIFS('Diags Raw Data'!$U$16:$U$4719,'Diags Raw Data'!$D$16:$D$4719,$A23,'Diags Raw Data'!$M$16:$M$4719,"New")+SUMIFS('Diags Raw Data'!$U$16:$U$4719,'Diags Raw Data'!$D$16:$D$4719,$A23,'Diags Raw Data'!$M$16:$M$4719,"Delta")</f>
        <v>0</v>
      </c>
      <c r="J23" s="387">
        <f>SUMIFS('Diags Raw Data'!$V$16:$V$4719,'Diags Raw Data'!$D$16:$D$4719,$A23,'Diags Raw Data'!$M$16:$M$4719,"New")+SUMIFS('Diags Raw Data'!$V$16:$V$4719,'Diags Raw Data'!$D$16:$D$4719,$A23,'Diags Raw Data'!$M$16:$M$4719,"Delta")</f>
        <v>0</v>
      </c>
      <c r="K23" s="387">
        <f>SUMIFS('Diags Raw Data'!$W$16:$W$4719,'Diags Raw Data'!$D$16:$D$4719,$A23,'Diags Raw Data'!$M$16:$M$4719,"New")+SUMIFS('Diags Raw Data'!$W$16:$W$4719,'Diags Raw Data'!$D$16:$D$4719,$A23,'Diags Raw Data'!$M$16:$M$4719,"Delta")</f>
        <v>0</v>
      </c>
      <c r="L23" s="389">
        <f t="shared" si="43"/>
        <v>0</v>
      </c>
      <c r="M23" s="390" t="str">
        <f t="shared" si="44"/>
        <v>---</v>
      </c>
      <c r="N23" s="436">
        <f t="shared" si="45"/>
        <v>0</v>
      </c>
      <c r="O23" s="431">
        <f>SUMIFS('Diags Raw Data'!$Z$16:$Z$4719,'Diags Raw Data'!$D$16:$D$4719,$A23,'Diags Raw Data'!$M$16:$M$4719,"New")+SUMIFS('Diags Raw Data'!$Z$16:$Z$4719,'Diags Raw Data'!$D$16:$D$4719,$A23,'Diags Raw Data'!$M$16:$M$4719,"Delta")</f>
        <v>0</v>
      </c>
      <c r="P23" s="391">
        <f>SUMIFS('Diags Raw Data'!$AA$16:$AA$4719,'Diags Raw Data'!$D$16:$D$4719,$A23,'Diags Raw Data'!$M$16:$M$4719,"New")+SUMIFS('Diags Raw Data'!$AA$16:$AA$4719,'Diags Raw Data'!$D$16:$D$4719,$A23,'Diags Raw Data'!$M$16:$M$4719,"Delta")</f>
        <v>0</v>
      </c>
      <c r="Q23" s="391">
        <f>SUMIFS('Diags Raw Data'!$AB$16:$AB$4719,'Diags Raw Data'!$D$16:$D$4719,$A23,'Diags Raw Data'!$M$16:$M$4719,"New")+SUMIFS('Diags Raw Data'!$AB$16:$AB$4719,'Diags Raw Data'!$D$16:$D$4719,$A23,'Diags Raw Data'!$M$16:$M$4719,"Delta")</f>
        <v>0</v>
      </c>
      <c r="R23" s="391">
        <f>SUMIFS('Diags Raw Data'!$AC$16:$AC$4719,'Diags Raw Data'!$D$16:$D$4719,$A23,'Diags Raw Data'!$M$16:$M$4719,"New")+SUMIFS('Diags Raw Data'!$AC$16:$AC$4719,'Diags Raw Data'!$D$16:$D$4719,$A23,'Diags Raw Data'!$M$16:$M$4719,"Delta")</f>
        <v>0</v>
      </c>
      <c r="S23" s="391">
        <f>SUMIFS('Diags Raw Data'!$AD$16:$AD$4719,'Diags Raw Data'!$D$16:$D$4719,$A23,'Diags Raw Data'!$M$16:$M$4719,"New")+SUMIFS('Diags Raw Data'!$AD$16:$AD$4719,'Diags Raw Data'!$D$16:$D$4719,$A23,'Diags Raw Data'!$M$16:$M$4719,"Delta")</f>
        <v>0</v>
      </c>
      <c r="T23" s="393">
        <f t="shared" si="46"/>
        <v>0</v>
      </c>
      <c r="U23" s="394" t="str">
        <f t="shared" si="47"/>
        <v>---</v>
      </c>
      <c r="V23" s="405">
        <f t="shared" si="48"/>
        <v>0</v>
      </c>
    </row>
    <row r="24" spans="1:22" x14ac:dyDescent="0.35">
      <c r="A24" s="408" t="s">
        <v>455</v>
      </c>
      <c r="B24" s="407">
        <f>SUMIFS('Diags Raw Data'!$L$16:$L$4719,'Diags Raw Data'!$D$16:$D$4719,$A24,'Diags Raw Data'!$M$16:$M$4719,"New")+SUMIFS('Diags Raw Data'!$L$16:$L$4719,'Diags Raw Data'!$D$16:$D$4719,$A24,'Diags Raw Data'!$M$16:$M$4719,"Delta")</f>
        <v>6</v>
      </c>
      <c r="C24" s="385">
        <f>SUMIFS('Diags Raw Data'!$R$16:$R$4719,'Diags Raw Data'!$D$16:$D$4719,$A24,'Diags Raw Data'!$M$16:$M$4719,"New")+SUMIFS('Diags Raw Data'!$R$16:$R$4719,'Diags Raw Data'!$D$16:$D$4719,$A24,'Diags Raw Data'!$M$16:$M$4719,"Delta")</f>
        <v>6</v>
      </c>
      <c r="D24" s="385">
        <f>SUMIFS('Diags Raw Data'!$K$16:$K$4719,'Diags Raw Data'!$D$16:$D$4719,$A24,'Diags Raw Data'!$M$16:$M$4719,"New")+SUMIFS('Diags Raw Data'!$K$16:$K$4719,'Diags Raw Data'!$D$16:$D$4719,$A24,'Diags Raw Data'!$M$16:$M$4719,"Delta")</f>
        <v>6</v>
      </c>
      <c r="E24" s="385">
        <f>SUMIFS('Diags Raw Data'!$O$16:$O$4719,'Diags Raw Data'!$D$16:$D$4719,$A24,'Diags Raw Data'!$M$16:$M$4719,"New")+SUMIFS('Diags Raw Data'!$O$16:$O$4719,'Diags Raw Data'!$D$16:$D$4719,$A24,'Diags Raw Data'!$M$16:$M$4719,"Delta")</f>
        <v>0</v>
      </c>
      <c r="F24" s="428">
        <f t="shared" ref="F24" si="63">IF(NOT($B24=0), E24/$B24, "---")</f>
        <v>0</v>
      </c>
      <c r="G24" s="435">
        <f>SUMIFS('Diags Raw Data'!$S$16:$S$4719,'Diags Raw Data'!$D$16:$D$4719,$A24,'Diags Raw Data'!$M$16:$M$4719,"New")+SUMIFS('Diags Raw Data'!$S$16:$S$4719,'Diags Raw Data'!$D$16:$D$4719,$A24,'Diags Raw Data'!$M$16:$M$4719,"Delta")</f>
        <v>0</v>
      </c>
      <c r="H24" s="387">
        <f>SUMIFS('Diags Raw Data'!$T$16:$T$4719,'Diags Raw Data'!$D$16:$D$4719,$A24,'Diags Raw Data'!$M$16:$M$4719,"New")+SUMIFS('Diags Raw Data'!$T$16:$T$4719,'Diags Raw Data'!$D$16:$D$4719,$A24,'Diags Raw Data'!$M$16:$M$4719,"Delta")</f>
        <v>0</v>
      </c>
      <c r="I24" s="387">
        <f>SUMIFS('Diags Raw Data'!$U$16:$U$4719,'Diags Raw Data'!$D$16:$D$4719,$A24,'Diags Raw Data'!$M$16:$M$4719,"New")+SUMIFS('Diags Raw Data'!$U$16:$U$4719,'Diags Raw Data'!$D$16:$D$4719,$A24,'Diags Raw Data'!$M$16:$M$4719,"Delta")</f>
        <v>0</v>
      </c>
      <c r="J24" s="387">
        <f>SUMIFS('Diags Raw Data'!$V$16:$V$4719,'Diags Raw Data'!$D$16:$D$4719,$A24,'Diags Raw Data'!$M$16:$M$4719,"New")+SUMIFS('Diags Raw Data'!$V$16:$V$4719,'Diags Raw Data'!$D$16:$D$4719,$A24,'Diags Raw Data'!$M$16:$M$4719,"Delta")</f>
        <v>0</v>
      </c>
      <c r="K24" s="387">
        <f>SUMIFS('Diags Raw Data'!$W$16:$W$4719,'Diags Raw Data'!$D$16:$D$4719,$A24,'Diags Raw Data'!$M$16:$M$4719,"New")+SUMIFS('Diags Raw Data'!$W$16:$W$4719,'Diags Raw Data'!$D$16:$D$4719,$A24,'Diags Raw Data'!$M$16:$M$4719,"Delta")</f>
        <v>0</v>
      </c>
      <c r="L24" s="389">
        <f t="shared" ref="L24" si="64">IF(NOT($C24=0), G24/$C24, "---")</f>
        <v>0</v>
      </c>
      <c r="M24" s="390" t="str">
        <f t="shared" ref="M24" si="65">IF(NOT($G24=0), (H24+I24)/$G24, "---")</f>
        <v>---</v>
      </c>
      <c r="N24" s="436">
        <f t="shared" ref="N24" si="66">IF(NOT($C24=0), (H24+I24)/$C24, "---")</f>
        <v>0</v>
      </c>
      <c r="O24" s="431">
        <f>SUMIFS('Diags Raw Data'!$Z$16:$Z$4719,'Diags Raw Data'!$D$16:$D$4719,$A24,'Diags Raw Data'!$M$16:$M$4719,"New")+SUMIFS('Diags Raw Data'!$Z$16:$Z$4719,'Diags Raw Data'!$D$16:$D$4719,$A24,'Diags Raw Data'!$M$16:$M$4719,"Delta")</f>
        <v>0</v>
      </c>
      <c r="P24" s="391">
        <f>SUMIFS('Diags Raw Data'!$AA$16:$AA$4719,'Diags Raw Data'!$D$16:$D$4719,$A24,'Diags Raw Data'!$M$16:$M$4719,"New")+SUMIFS('Diags Raw Data'!$AA$16:$AA$4719,'Diags Raw Data'!$D$16:$D$4719,$A24,'Diags Raw Data'!$M$16:$M$4719,"Delta")</f>
        <v>0</v>
      </c>
      <c r="Q24" s="391">
        <f>SUMIFS('Diags Raw Data'!$AB$16:$AB$4719,'Diags Raw Data'!$D$16:$D$4719,$A24,'Diags Raw Data'!$M$16:$M$4719,"New")+SUMIFS('Diags Raw Data'!$AB$16:$AB$4719,'Diags Raw Data'!$D$16:$D$4719,$A24,'Diags Raw Data'!$M$16:$M$4719,"Delta")</f>
        <v>0</v>
      </c>
      <c r="R24" s="391">
        <f>SUMIFS('Diags Raw Data'!$AC$16:$AC$4719,'Diags Raw Data'!$D$16:$D$4719,$A24,'Diags Raw Data'!$M$16:$M$4719,"New")+SUMIFS('Diags Raw Data'!$AC$16:$AC$4719,'Diags Raw Data'!$D$16:$D$4719,$A24,'Diags Raw Data'!$M$16:$M$4719,"Delta")</f>
        <v>0</v>
      </c>
      <c r="S24" s="391">
        <f>SUMIFS('Diags Raw Data'!$AD$16:$AD$4719,'Diags Raw Data'!$D$16:$D$4719,$A24,'Diags Raw Data'!$M$16:$M$4719,"New")+SUMIFS('Diags Raw Data'!$AD$16:$AD$4719,'Diags Raw Data'!$D$16:$D$4719,$A24,'Diags Raw Data'!$M$16:$M$4719,"Delta")</f>
        <v>0</v>
      </c>
      <c r="T24" s="393">
        <f t="shared" ref="T24" si="67">IF(NOT($B24=0), O24/$B24, "---")</f>
        <v>0</v>
      </c>
      <c r="U24" s="394" t="str">
        <f t="shared" ref="U24" si="68">IF(NOT($O24=0), (P24+Q24)/$O24, "---")</f>
        <v>---</v>
      </c>
      <c r="V24" s="405">
        <f t="shared" ref="V24" si="69">IF(NOT($B24=0), (P24+Q24)/$B24, "---")</f>
        <v>0</v>
      </c>
    </row>
    <row r="25" spans="1:22" ht="15" thickBot="1" x14ac:dyDescent="0.4">
      <c r="A25" s="413"/>
      <c r="B25" s="414">
        <f>SUMIFS('Diags Raw Data'!$L$16:$L$4719,'Diags Raw Data'!$D$16:$D$4719,$A25,'Diags Raw Data'!$M$16:$M$4719,"New")+SUMIFS('Diags Raw Data'!$L$16:$L$4719,'Diags Raw Data'!$D$16:$D$4719,$A25,'Diags Raw Data'!$M$16:$M$4719,"Delta")</f>
        <v>0</v>
      </c>
      <c r="C25" s="415">
        <f>SUMIFS('Diags Raw Data'!$R$16:$R$4719,'Diags Raw Data'!$D$16:$D$4719,$A25,'Diags Raw Data'!$M$16:$M$4719,"New")+SUMIFS('Diags Raw Data'!$R$16:$R$4719,'Diags Raw Data'!$D$16:$D$4719,$A25,'Diags Raw Data'!$M$16:$M$4719,"Delta")</f>
        <v>0</v>
      </c>
      <c r="D25" s="415">
        <f>SUMIFS('Diags Raw Data'!$K$16:$K$4719,'Diags Raw Data'!$D$16:$D$4719,$A25,'Diags Raw Data'!$M$16:$M$4719,"New")+SUMIFS('Diags Raw Data'!$K$16:$K$4719,'Diags Raw Data'!$D$16:$D$4719,$A25,'Diags Raw Data'!$M$16:$M$4719,"Delta")</f>
        <v>0</v>
      </c>
      <c r="E25" s="415">
        <f>SUMIFS('Diags Raw Data'!$O$16:$O$4719,'Diags Raw Data'!$D$16:$D$4719,$A25,'Diags Raw Data'!$M$16:$M$4719,"New")+SUMIFS('Diags Raw Data'!$O$16:$O$4719,'Diags Raw Data'!$D$16:$D$4719,$A25,'Diags Raw Data'!$M$16:$M$4719,"Delta")</f>
        <v>0</v>
      </c>
      <c r="F25" s="429" t="str">
        <f t="shared" ref="F25" si="70">IF(NOT($B25=0), E25/$B25, "---")</f>
        <v>---</v>
      </c>
      <c r="G25" s="437">
        <f>SUMIFS('Diags Raw Data'!$S$16:$S$4719,'Diags Raw Data'!$D$16:$D$4719,$A25,'Diags Raw Data'!$M$16:$M$4719,"New")+SUMIFS('Diags Raw Data'!$S$16:$S$4719,'Diags Raw Data'!$D$16:$D$4719,$A25,'Diags Raw Data'!$M$16:$M$4719,"Delta")</f>
        <v>0</v>
      </c>
      <c r="H25" s="416">
        <f>SUMIFS('Diags Raw Data'!$T$16:$T$4719,'Diags Raw Data'!$D$16:$D$4719,$A25,'Diags Raw Data'!$M$16:$M$4719,"New")+SUMIFS('Diags Raw Data'!$T$16:$T$4719,'Diags Raw Data'!$D$16:$D$4719,$A25,'Diags Raw Data'!$M$16:$M$4719,"Delta")</f>
        <v>0</v>
      </c>
      <c r="I25" s="416">
        <f>SUMIFS('Diags Raw Data'!$U$16:$U$4719,'Diags Raw Data'!$D$16:$D$4719,$A25,'Diags Raw Data'!$M$16:$M$4719,"New")+SUMIFS('Diags Raw Data'!$U$16:$U$4719,'Diags Raw Data'!$D$16:$D$4719,$A25,'Diags Raw Data'!$M$16:$M$4719,"Delta")</f>
        <v>0</v>
      </c>
      <c r="J25" s="416">
        <f>SUMIFS('Diags Raw Data'!$V$16:$V$4719,'Diags Raw Data'!$D$16:$D$4719,$A25,'Diags Raw Data'!$M$16:$M$4719,"New")+SUMIFS('Diags Raw Data'!$V$16:$V$4719,'Diags Raw Data'!$D$16:$D$4719,$A25,'Diags Raw Data'!$M$16:$M$4719,"Delta")</f>
        <v>0</v>
      </c>
      <c r="K25" s="416">
        <f>SUMIFS('Diags Raw Data'!$W$16:$W$4719,'Diags Raw Data'!$D$16:$D$4719,$A25,'Diags Raw Data'!$M$16:$M$4719,"New")+SUMIFS('Diags Raw Data'!$W$16:$W$4719,'Diags Raw Data'!$D$16:$D$4719,$A25,'Diags Raw Data'!$M$16:$M$4719,"Delta")</f>
        <v>0</v>
      </c>
      <c r="L25" s="418" t="str">
        <f t="shared" ref="L25" si="71">IF(NOT($C25=0), G25/$C25, "---")</f>
        <v>---</v>
      </c>
      <c r="M25" s="419" t="str">
        <f t="shared" ref="M25:M26" si="72">IF(NOT($G25=0), (H25+I25)/$G25, "---")</f>
        <v>---</v>
      </c>
      <c r="N25" s="438" t="str">
        <f t="shared" ref="N25" si="73">IF(NOT($C25=0), (H25+I25)/$C25, "---")</f>
        <v>---</v>
      </c>
      <c r="O25" s="432">
        <f>SUMIFS('Diags Raw Data'!$Z$16:$Z$4719,'Diags Raw Data'!$D$16:$D$4719,$A25,'Diags Raw Data'!$M$16:$M$4719,"New")+SUMIFS('Diags Raw Data'!$Z$16:$Z$4719,'Diags Raw Data'!$D$16:$D$4719,$A25,'Diags Raw Data'!$M$16:$M$4719,"Delta")</f>
        <v>0</v>
      </c>
      <c r="P25" s="420">
        <f>SUMIFS('Diags Raw Data'!$AA$16:$AA$4719,'Diags Raw Data'!$D$16:$D$4719,$A25,'Diags Raw Data'!$M$16:$M$4719,"New")+SUMIFS('Diags Raw Data'!$AA$16:$AA$4719,'Diags Raw Data'!$D$16:$D$4719,$A25,'Diags Raw Data'!$M$16:$M$4719,"Delta")</f>
        <v>0</v>
      </c>
      <c r="Q25" s="420">
        <f>SUMIFS('Diags Raw Data'!$AB$16:$AB$4719,'Diags Raw Data'!$D$16:$D$4719,$A25,'Diags Raw Data'!$M$16:$M$4719,"New")+SUMIFS('Diags Raw Data'!$AB$16:$AB$4719,'Diags Raw Data'!$D$16:$D$4719,$A25,'Diags Raw Data'!$M$16:$M$4719,"Delta")</f>
        <v>0</v>
      </c>
      <c r="R25" s="420">
        <f>SUMIFS('Diags Raw Data'!$AC$16:$AC$4719,'Diags Raw Data'!$D$16:$D$4719,$A25,'Diags Raw Data'!$M$16:$M$4719,"New")+SUMIFS('Diags Raw Data'!$AC$16:$AC$4719,'Diags Raw Data'!$D$16:$D$4719,$A25,'Diags Raw Data'!$M$16:$M$4719,"Delta")</f>
        <v>0</v>
      </c>
      <c r="S25" s="420">
        <f>SUMIFS('Diags Raw Data'!$AD$16:$AD$4719,'Diags Raw Data'!$D$16:$D$4719,$A25,'Diags Raw Data'!$M$16:$M$4719,"New")+SUMIFS('Diags Raw Data'!$AD$16:$AD$4719,'Diags Raw Data'!$D$16:$D$4719,$A25,'Diags Raw Data'!$M$16:$M$4719,"Delta")</f>
        <v>0</v>
      </c>
      <c r="T25" s="422" t="str">
        <f t="shared" ref="T25" si="74">IF(NOT($B25=0), O25/$B25, "---")</f>
        <v>---</v>
      </c>
      <c r="U25" s="423" t="str">
        <f t="shared" ref="U25:U26" si="75">IF(NOT($O25=0), (P25+Q25)/$O25, "---")</f>
        <v>---</v>
      </c>
      <c r="V25" s="424" t="str">
        <f t="shared" ref="V25:V26" si="76">IF(NOT($B25=0), (P25+Q25)/$B25, "---")</f>
        <v>---</v>
      </c>
    </row>
    <row r="26" spans="1:22" ht="16" thickBot="1" x14ac:dyDescent="0.4">
      <c r="A26" s="425" t="s">
        <v>506</v>
      </c>
      <c r="B26" s="411">
        <f>SUM(B17:B25)</f>
        <v>85</v>
      </c>
      <c r="C26" s="412">
        <f t="shared" ref="C26:E26" si="77">SUM(C17:C25)</f>
        <v>85</v>
      </c>
      <c r="D26" s="412">
        <f t="shared" si="77"/>
        <v>85</v>
      </c>
      <c r="E26" s="412">
        <f t="shared" si="77"/>
        <v>29.699999999999996</v>
      </c>
      <c r="F26" s="190" cm="1">
        <f t="array" ref="F26">SUMPRODUCT(--(ISNUMBER(SEARCH("New",'Diags Raw Data'!$M$16:$M$4719))),'Diags Raw Data'!$K$16:$K$4719,'Diags Raw Data'!$P$16:$P$4719)/D26+SUMPRODUCT(--(ISNUMBER(SEARCH("Delta",'Diags Raw Data'!$M$16:$M$4719))),'Diags Raw Data'!$K$16:$K$4719,'Diags Raw Data'!$P$16:$P$4719)/D26</f>
        <v>0.34941176470588226</v>
      </c>
      <c r="G26" s="191">
        <f>SUM(G17:G25)</f>
        <v>44</v>
      </c>
      <c r="H26" s="192">
        <f t="shared" ref="H26:K26" si="78">SUM(H17:H25)</f>
        <v>44</v>
      </c>
      <c r="I26" s="192">
        <f t="shared" si="78"/>
        <v>0</v>
      </c>
      <c r="J26" s="192">
        <f t="shared" si="78"/>
        <v>0</v>
      </c>
      <c r="K26" s="192">
        <f t="shared" si="78"/>
        <v>0</v>
      </c>
      <c r="L26" s="193">
        <f>IF(NOT($C26=0), G26/$C26, "---")</f>
        <v>0.51764705882352946</v>
      </c>
      <c r="M26" s="194">
        <f t="shared" si="72"/>
        <v>1</v>
      </c>
      <c r="N26" s="195">
        <f>IF(NOT($C26=0), (H26+I26)/$C26, "---")</f>
        <v>0.51764705882352946</v>
      </c>
      <c r="O26" s="196">
        <f>SUM(O17:O25)</f>
        <v>0</v>
      </c>
      <c r="P26" s="197">
        <f t="shared" ref="P26:S26" si="79">SUM(P17:P25)</f>
        <v>0</v>
      </c>
      <c r="Q26" s="197">
        <f t="shared" si="79"/>
        <v>0</v>
      </c>
      <c r="R26" s="197">
        <f t="shared" si="79"/>
        <v>0</v>
      </c>
      <c r="S26" s="197">
        <f t="shared" si="79"/>
        <v>0</v>
      </c>
      <c r="T26" s="198">
        <f>IF(NOT($B26=0), O26/$B26, "---")</f>
        <v>0</v>
      </c>
      <c r="U26" s="199" t="str">
        <f t="shared" si="75"/>
        <v>---</v>
      </c>
      <c r="V26" s="200">
        <f t="shared" si="76"/>
        <v>0</v>
      </c>
    </row>
    <row r="27" spans="1:22" ht="15" thickBot="1" x14ac:dyDescent="0.4">
      <c r="A27" s="188"/>
      <c r="B27" s="188"/>
      <c r="C27" s="188"/>
      <c r="D27" s="188"/>
      <c r="E27" s="188"/>
      <c r="F27" s="188"/>
      <c r="G27" s="188"/>
      <c r="H27" s="188"/>
      <c r="I27" s="188"/>
      <c r="J27" s="188"/>
      <c r="K27" s="188"/>
      <c r="L27" s="188"/>
      <c r="M27" s="188"/>
      <c r="N27" s="188"/>
      <c r="O27" s="188"/>
      <c r="P27" s="188"/>
      <c r="Q27" s="188"/>
      <c r="R27" s="188"/>
      <c r="S27" s="188"/>
      <c r="T27" s="188"/>
      <c r="U27" s="188"/>
      <c r="V27" s="188"/>
    </row>
    <row r="28" spans="1:22" ht="15" thickBot="1" x14ac:dyDescent="0.4">
      <c r="A28" s="185" t="s">
        <v>33</v>
      </c>
      <c r="B28" s="586" t="s">
        <v>161</v>
      </c>
      <c r="C28" s="586"/>
      <c r="D28" s="586"/>
      <c r="E28" s="586"/>
      <c r="F28" s="586"/>
      <c r="G28" s="587" t="s">
        <v>172</v>
      </c>
      <c r="H28" s="588"/>
      <c r="I28" s="588"/>
      <c r="J28" s="588"/>
      <c r="K28" s="588"/>
      <c r="L28" s="588"/>
      <c r="M28" s="588"/>
      <c r="N28" s="589"/>
      <c r="O28" s="590" t="s">
        <v>139</v>
      </c>
      <c r="P28" s="591"/>
      <c r="Q28" s="591"/>
      <c r="R28" s="591"/>
      <c r="S28" s="591"/>
      <c r="T28" s="591"/>
      <c r="U28" s="591"/>
      <c r="V28" s="592"/>
    </row>
    <row r="29" spans="1:22" s="189" customFormat="1" ht="15" thickBot="1" x14ac:dyDescent="0.4">
      <c r="A29" s="369" t="s">
        <v>83</v>
      </c>
      <c r="B29" s="239" t="s">
        <v>162</v>
      </c>
      <c r="C29" s="240" t="s">
        <v>123</v>
      </c>
      <c r="D29" s="241" t="s">
        <v>100</v>
      </c>
      <c r="E29" s="241" t="s">
        <v>168</v>
      </c>
      <c r="F29" s="242" t="s">
        <v>170</v>
      </c>
      <c r="G29" s="370" t="s">
        <v>127</v>
      </c>
      <c r="H29" s="371" t="s">
        <v>30</v>
      </c>
      <c r="I29" s="371" t="s">
        <v>130</v>
      </c>
      <c r="J29" s="371" t="s">
        <v>35</v>
      </c>
      <c r="K29" s="371" t="s">
        <v>133</v>
      </c>
      <c r="L29" s="371" t="s">
        <v>179</v>
      </c>
      <c r="M29" s="371" t="s">
        <v>135</v>
      </c>
      <c r="N29" s="372" t="s">
        <v>182</v>
      </c>
      <c r="O29" s="373" t="s">
        <v>127</v>
      </c>
      <c r="P29" s="374" t="s">
        <v>30</v>
      </c>
      <c r="Q29" s="374" t="s">
        <v>130</v>
      </c>
      <c r="R29" s="374" t="s">
        <v>35</v>
      </c>
      <c r="S29" s="374" t="s">
        <v>133</v>
      </c>
      <c r="T29" s="374" t="s">
        <v>179</v>
      </c>
      <c r="U29" s="374" t="s">
        <v>135</v>
      </c>
      <c r="V29" s="375" t="s">
        <v>182</v>
      </c>
    </row>
    <row r="30" spans="1:22" x14ac:dyDescent="0.35">
      <c r="A30" s="408" t="s">
        <v>257</v>
      </c>
      <c r="B30" s="406">
        <f>SUMIFS('Diags Raw Data'!$L$16:$L$4719,'Diags Raw Data'!$D$16:$D$4719,$A30,'Diags Raw Data'!$M$16:$M$4719,"Legacy")</f>
        <v>2</v>
      </c>
      <c r="C30" s="395">
        <f>SUMIFS('Diags Raw Data'!$R$16:$R$4719,'Diags Raw Data'!$D$16:$D$4719,$A30,'Diags Raw Data'!$M$16:$M$4719,"Legacy")</f>
        <v>2</v>
      </c>
      <c r="D30" s="395">
        <f>SUMIFS('Diags Raw Data'!$K$16:$K$4719,'Diags Raw Data'!$D$16:$D$4719,$A30,'Diags Raw Data'!$M$16:$M$4719,"Legacy")</f>
        <v>2</v>
      </c>
      <c r="E30" s="395">
        <f>SUMIFS('Diags Raw Data'!$O$16:$O$4719,'Diags Raw Data'!$D$16:$D$4719,$A30,'Diags Raw Data'!$M$16:$M$4719,"Legacy")</f>
        <v>0.6</v>
      </c>
      <c r="F30" s="427">
        <f t="shared" ref="F30:F36" si="80">IF(NOT($B30=0), E30/$B30, "---")</f>
        <v>0.3</v>
      </c>
      <c r="G30" s="433">
        <f>SUMIFS('Diags Raw Data'!$S$16:$S$4719,'Diags Raw Data'!$D$16:$D$4719,$A30,'Diags Raw Data'!$M$16:$M$4719,"Legacy")</f>
        <v>0</v>
      </c>
      <c r="H30" s="396">
        <f>SUMIFS('Diags Raw Data'!$T$16:$T$4719,'Diags Raw Data'!$D$16:$D$4719,$A30,'Diags Raw Data'!$M$16:$M$4719,"Legacy")</f>
        <v>0</v>
      </c>
      <c r="I30" s="397">
        <f>SUMIFS('Diags Raw Data'!$U$16:$U$4719,'Diags Raw Data'!$D$16:$D$4719,$A30,'Diags Raw Data'!$M$16:$M$4719,"Legacy")</f>
        <v>0</v>
      </c>
      <c r="J30" s="396">
        <f>SUMIFS('Diags Raw Data'!$V$16:$V$4719,'Diags Raw Data'!$D$16:$D$4719,$A30,'Diags Raw Data'!$M$16:$M$4719,"Legacy")</f>
        <v>0</v>
      </c>
      <c r="K30" s="397">
        <f>SUMIFS('Diags Raw Data'!$W$16:$W$4719,'Diags Raw Data'!$D$16:$D$4719,$A30,'Diags Raw Data'!$M$16:$M$4719,"Legacy")</f>
        <v>0</v>
      </c>
      <c r="L30" s="398">
        <f t="shared" ref="L30:L36" si="81">IF(NOT($C30=0), G30/$C30, "---")</f>
        <v>0</v>
      </c>
      <c r="M30" s="399" t="str">
        <f t="shared" ref="M30:M36" si="82">IF(NOT($G30=0), (H30+I30)/$G30, "---")</f>
        <v>---</v>
      </c>
      <c r="N30" s="434">
        <f t="shared" ref="N30:N36" si="83">IF(NOT($C30=0), (H30+I30)/$C30, "---")</f>
        <v>0</v>
      </c>
      <c r="O30" s="430">
        <f>SUMIFS('Diags Raw Data'!$Z$16:$Z$4719,'Diags Raw Data'!$D$16:$D$4719,$A30,'Diags Raw Data'!$M$16:$M$4719,"Legacy")</f>
        <v>0</v>
      </c>
      <c r="P30" s="400">
        <f>SUMIFS('Diags Raw Data'!$AA$16:$AA$4719,'Diags Raw Data'!$D$16:$D$4719,$A30,'Diags Raw Data'!$M$16:$M$4719,"Legacy")</f>
        <v>0</v>
      </c>
      <c r="Q30" s="401">
        <f>SUMIFS('Diags Raw Data'!$AB$16:$AB$4719,'Diags Raw Data'!$D$16:$D$4719,$A30,'Diags Raw Data'!$M$16:$M$4719,"Legacy")</f>
        <v>0</v>
      </c>
      <c r="R30" s="400">
        <f>SUMIFS('Diags Raw Data'!$AC$16:$AC$4719,'Diags Raw Data'!$D$16:$D$4719,$A30,'Diags Raw Data'!$M$16:$M$4719,"Legacy")</f>
        <v>0</v>
      </c>
      <c r="S30" s="401">
        <f>SUMIFS('Diags Raw Data'!$AD$16:$AD$4719,'Diags Raw Data'!$D$16:$D$4719,$A30,'Diags Raw Data'!$M$16:$M$4719,"Legacy")</f>
        <v>0</v>
      </c>
      <c r="T30" s="402">
        <f t="shared" ref="T30:T36" si="84">IF(NOT($B30=0), O30/$B30, "---")</f>
        <v>0</v>
      </c>
      <c r="U30" s="403" t="str">
        <f t="shared" ref="U30:U36" si="85">IF(NOT($O30=0), (P30+Q30)/$O30, "---")</f>
        <v>---</v>
      </c>
      <c r="V30" s="404">
        <f t="shared" ref="V30:V36" si="86">IF(NOT($B30=0), (P30+Q30)/$B30, "---")</f>
        <v>0</v>
      </c>
    </row>
    <row r="31" spans="1:22" ht="15" thickBot="1" x14ac:dyDescent="0.4">
      <c r="A31" s="409" t="s">
        <v>503</v>
      </c>
      <c r="B31" s="407">
        <f>SUMIFS('Diags Raw Data'!$L$16:$L$4719,'Diags Raw Data'!$D$16:$D$4719,$A31,'Diags Raw Data'!$M$16:$M$4719,"Legacy")</f>
        <v>0</v>
      </c>
      <c r="C31" s="385">
        <f>SUMIFS('Diags Raw Data'!$R$16:$R$4719,'Diags Raw Data'!$D$16:$D$4719,$A31,'Diags Raw Data'!$M$16:$M$4719,"Legacy")</f>
        <v>0</v>
      </c>
      <c r="D31" s="385">
        <f>SUMIFS('Diags Raw Data'!$K$16:$K$4719,'Diags Raw Data'!$D$16:$D$4719,$A31,'Diags Raw Data'!$M$16:$M$4719,"Legacy")</f>
        <v>0</v>
      </c>
      <c r="E31" s="385">
        <f>SUMIFS('Diags Raw Data'!$O$16:$O$4719,'Diags Raw Data'!$D$16:$D$4719,$A31,'Diags Raw Data'!$M$16:$M$4719,"Legacy")</f>
        <v>0</v>
      </c>
      <c r="F31" s="428" t="str">
        <f t="shared" ref="F31" si="87">IF(NOT($B31=0), E31/$B31, "---")</f>
        <v>---</v>
      </c>
      <c r="G31" s="435">
        <f>SUMIFS('Diags Raw Data'!$S$16:$S$4719,'Diags Raw Data'!$D$16:$D$4719,$A31,'Diags Raw Data'!$M$16:$M$4719,"Legacy")</f>
        <v>0</v>
      </c>
      <c r="H31" s="387">
        <f>SUMIFS('Diags Raw Data'!$T$16:$T$4719,'Diags Raw Data'!$D$16:$D$4719,$A31,'Diags Raw Data'!$M$16:$M$4719,"Legacy")</f>
        <v>0</v>
      </c>
      <c r="I31" s="388">
        <f>SUMIFS('Diags Raw Data'!$U$16:$U$4719,'Diags Raw Data'!$D$16:$D$4719,$A31,'Diags Raw Data'!$M$16:$M$4719,"Legacy")</f>
        <v>0</v>
      </c>
      <c r="J31" s="387">
        <f>SUMIFS('Diags Raw Data'!$V$16:$V$4719,'Diags Raw Data'!$D$16:$D$4719,$A31,'Diags Raw Data'!$M$16:$M$4719,"Legacy")</f>
        <v>0</v>
      </c>
      <c r="K31" s="388">
        <f>SUMIFS('Diags Raw Data'!$W$16:$W$4719,'Diags Raw Data'!$D$16:$D$4719,$A31,'Diags Raw Data'!$M$16:$M$4719,"Legacy")</f>
        <v>0</v>
      </c>
      <c r="L31" s="389" t="str">
        <f t="shared" ref="L31" si="88">IF(NOT($C31=0), G31/$C31, "---")</f>
        <v>---</v>
      </c>
      <c r="M31" s="390" t="str">
        <f t="shared" ref="M31" si="89">IF(NOT($G31=0), (H31+I31)/$G31, "---")</f>
        <v>---</v>
      </c>
      <c r="N31" s="436" t="str">
        <f t="shared" ref="N31" si="90">IF(NOT($C31=0), (H31+I31)/$C31, "---")</f>
        <v>---</v>
      </c>
      <c r="O31" s="431">
        <f>SUMIFS('Diags Raw Data'!$Z$16:$Z$4719,'Diags Raw Data'!$D$16:$D$4719,$A31,'Diags Raw Data'!$M$16:$M$4719,"Legacy")</f>
        <v>0</v>
      </c>
      <c r="P31" s="391">
        <f>SUMIFS('Diags Raw Data'!$AA$16:$AA$4719,'Diags Raw Data'!$D$16:$D$4719,$A31,'Diags Raw Data'!$M$16:$M$4719,"Legacy")</f>
        <v>0</v>
      </c>
      <c r="Q31" s="392">
        <f>SUMIFS('Diags Raw Data'!$AB$16:$AB$4719,'Diags Raw Data'!$D$16:$D$4719,$A31,'Diags Raw Data'!$M$16:$M$4719,"Legacy")</f>
        <v>0</v>
      </c>
      <c r="R31" s="391">
        <f>SUMIFS('Diags Raw Data'!$AC$16:$AC$4719,'Diags Raw Data'!$D$16:$D$4719,$A31,'Diags Raw Data'!$M$16:$M$4719,"Legacy")</f>
        <v>0</v>
      </c>
      <c r="S31" s="392">
        <f>SUMIFS('Diags Raw Data'!$AD$16:$AD$4719,'Diags Raw Data'!$D$16:$D$4719,$A31,'Diags Raw Data'!$M$16:$M$4719,"Legacy")</f>
        <v>0</v>
      </c>
      <c r="T31" s="393" t="str">
        <f t="shared" ref="T31" si="91">IF(NOT($B31=0), O31/$B31, "---")</f>
        <v>---</v>
      </c>
      <c r="U31" s="394" t="str">
        <f t="shared" ref="U31" si="92">IF(NOT($O31=0), (P31+Q31)/$O31, "---")</f>
        <v>---</v>
      </c>
      <c r="V31" s="405" t="str">
        <f t="shared" ref="V31" si="93">IF(NOT($B31=0), (P31+Q31)/$B31, "---")</f>
        <v>---</v>
      </c>
    </row>
    <row r="32" spans="1:22" ht="15" thickBot="1" x14ac:dyDescent="0.4">
      <c r="A32" s="408" t="s">
        <v>379</v>
      </c>
      <c r="B32" s="407">
        <f>SUMIFS('Diags Raw Data'!$L$16:$L$4719,'Diags Raw Data'!$D$16:$D$4719,$A32,'Diags Raw Data'!$M$16:$M$4719,"Legacy")</f>
        <v>18</v>
      </c>
      <c r="C32" s="385">
        <f>SUMIFS('Diags Raw Data'!$R$16:$R$4719,'Diags Raw Data'!$D$16:$D$4719,$A32,'Diags Raw Data'!$M$16:$M$4719,"Legacy")</f>
        <v>18</v>
      </c>
      <c r="D32" s="385">
        <f>SUMIFS('Diags Raw Data'!$K$16:$K$4719,'Diags Raw Data'!$D$16:$D$4719,$A32,'Diags Raw Data'!$M$16:$M$4719,"Legacy")</f>
        <v>18</v>
      </c>
      <c r="E32" s="385">
        <f>SUMIFS('Diags Raw Data'!$O$16:$O$4719,'Diags Raw Data'!$D$16:$D$4719,$A32,'Diags Raw Data'!$M$16:$M$4719,"Legacy")</f>
        <v>11.200000000000001</v>
      </c>
      <c r="F32" s="428">
        <f t="shared" si="80"/>
        <v>0.62222222222222223</v>
      </c>
      <c r="G32" s="435">
        <f>SUMIFS('Diags Raw Data'!$S$16:$S$4719,'Diags Raw Data'!$D$16:$D$4719,$A32,'Diags Raw Data'!$M$16:$M$4719,"Legacy")</f>
        <v>0</v>
      </c>
      <c r="H32" s="387">
        <f>SUMIFS('Diags Raw Data'!$T$16:$T$4719,'Diags Raw Data'!$D$16:$D$4719,$A32,'Diags Raw Data'!$M$16:$M$4719,"Legacy")</f>
        <v>0</v>
      </c>
      <c r="I32" s="388">
        <f>SUMIFS('Diags Raw Data'!$U$16:$U$4719,'Diags Raw Data'!$D$16:$D$4719,$A32,'Diags Raw Data'!$M$16:$M$4719,"Legacy")</f>
        <v>0</v>
      </c>
      <c r="J32" s="387">
        <f>SUMIFS('Diags Raw Data'!$V$16:$V$4719,'Diags Raw Data'!$D$16:$D$4719,$A32,'Diags Raw Data'!$M$16:$M$4719,"Legacy")</f>
        <v>0</v>
      </c>
      <c r="K32" s="388">
        <f>SUMIFS('Diags Raw Data'!$W$16:$W$4719,'Diags Raw Data'!$D$16:$D$4719,$A32,'Diags Raw Data'!$M$16:$M$4719,"Legacy")</f>
        <v>0</v>
      </c>
      <c r="L32" s="389">
        <f t="shared" si="81"/>
        <v>0</v>
      </c>
      <c r="M32" s="390" t="str">
        <f t="shared" si="82"/>
        <v>---</v>
      </c>
      <c r="N32" s="436">
        <f t="shared" si="83"/>
        <v>0</v>
      </c>
      <c r="O32" s="431">
        <f>SUMIFS('Diags Raw Data'!$Z$16:$Z$4719,'Diags Raw Data'!$D$16:$D$4719,$A32,'Diags Raw Data'!$M$16:$M$4719,"Legacy")</f>
        <v>0</v>
      </c>
      <c r="P32" s="391">
        <f>SUMIFS('Diags Raw Data'!$AA$16:$AA$4719,'Diags Raw Data'!$D$16:$D$4719,$A32,'Diags Raw Data'!$M$16:$M$4719,"Legacy")</f>
        <v>0</v>
      </c>
      <c r="Q32" s="392">
        <f>SUMIFS('Diags Raw Data'!$AB$16:$AB$4719,'Diags Raw Data'!$D$16:$D$4719,$A32,'Diags Raw Data'!$M$16:$M$4719,"Legacy")</f>
        <v>0</v>
      </c>
      <c r="R32" s="391">
        <f>SUMIFS('Diags Raw Data'!$AC$16:$AC$4719,'Diags Raw Data'!$D$16:$D$4719,$A32,'Diags Raw Data'!$M$16:$M$4719,"Legacy")</f>
        <v>0</v>
      </c>
      <c r="S32" s="392">
        <f>SUMIFS('Diags Raw Data'!$AD$16:$AD$4719,'Diags Raw Data'!$D$16:$D$4719,$A32,'Diags Raw Data'!$M$16:$M$4719,"Legacy")</f>
        <v>0</v>
      </c>
      <c r="T32" s="393">
        <f t="shared" si="84"/>
        <v>0</v>
      </c>
      <c r="U32" s="394" t="str">
        <f t="shared" si="85"/>
        <v>---</v>
      </c>
      <c r="V32" s="405">
        <f t="shared" si="86"/>
        <v>0</v>
      </c>
    </row>
    <row r="33" spans="1:22" ht="15" thickBot="1" x14ac:dyDescent="0.4">
      <c r="A33" s="408" t="s">
        <v>358</v>
      </c>
      <c r="B33" s="407">
        <f>SUMIFS('Diags Raw Data'!$L$16:$L$4719,'Diags Raw Data'!$D$16:$D$4719,$A33,'Diags Raw Data'!$M$16:$M$4719,"Legacy")</f>
        <v>17</v>
      </c>
      <c r="C33" s="385">
        <f>SUMIFS('Diags Raw Data'!$R$16:$R$4719,'Diags Raw Data'!$D$16:$D$4719,$A33,'Diags Raw Data'!$M$16:$M$4719,"Legacy")</f>
        <v>17</v>
      </c>
      <c r="D33" s="385">
        <f>SUMIFS('Diags Raw Data'!$K$16:$K$4719,'Diags Raw Data'!$D$16:$D$4719,$A33,'Diags Raw Data'!$M$16:$M$4719,"Legacy")</f>
        <v>17</v>
      </c>
      <c r="E33" s="385">
        <f>SUMIFS('Diags Raw Data'!$O$16:$O$4719,'Diags Raw Data'!$D$16:$D$4719,$A33,'Diags Raw Data'!$M$16:$M$4719,"Legacy")</f>
        <v>7</v>
      </c>
      <c r="F33" s="428">
        <f t="shared" ref="F33" si="94">IF(NOT($B33=0), E33/$B33, "---")</f>
        <v>0.41176470588235292</v>
      </c>
      <c r="G33" s="435">
        <f>SUMIFS('Diags Raw Data'!$S$16:$S$4719,'Diags Raw Data'!$D$16:$D$4719,$A33,'Diags Raw Data'!$M$16:$M$4719,"Legacy")</f>
        <v>0</v>
      </c>
      <c r="H33" s="387">
        <f>SUMIFS('Diags Raw Data'!$T$16:$T$4719,'Diags Raw Data'!$D$16:$D$4719,$A33,'Diags Raw Data'!$M$16:$M$4719,"Legacy")</f>
        <v>0</v>
      </c>
      <c r="I33" s="388">
        <f>SUMIFS('Diags Raw Data'!$U$16:$U$4719,'Diags Raw Data'!$D$16:$D$4719,$A33,'Diags Raw Data'!$M$16:$M$4719,"Legacy")</f>
        <v>0</v>
      </c>
      <c r="J33" s="387">
        <f>SUMIFS('Diags Raw Data'!$V$16:$V$4719,'Diags Raw Data'!$D$16:$D$4719,$A33,'Diags Raw Data'!$M$16:$M$4719,"Legacy")</f>
        <v>0</v>
      </c>
      <c r="K33" s="388">
        <f>SUMIFS('Diags Raw Data'!$W$16:$W$4719,'Diags Raw Data'!$D$16:$D$4719,$A33,'Diags Raw Data'!$M$16:$M$4719,"Legacy")</f>
        <v>0</v>
      </c>
      <c r="L33" s="389">
        <f t="shared" ref="L33" si="95">IF(NOT($C33=0), G33/$C33, "---")</f>
        <v>0</v>
      </c>
      <c r="M33" s="390" t="str">
        <f t="shared" ref="M33" si="96">IF(NOT($G33=0), (H33+I33)/$G33, "---")</f>
        <v>---</v>
      </c>
      <c r="N33" s="436">
        <f t="shared" ref="N33" si="97">IF(NOT($C33=0), (H33+I33)/$C33, "---")</f>
        <v>0</v>
      </c>
      <c r="O33" s="431">
        <f>SUMIFS('Diags Raw Data'!$Z$16:$Z$4719,'Diags Raw Data'!$D$16:$D$4719,$A33,'Diags Raw Data'!$M$16:$M$4719,"Legacy")</f>
        <v>0</v>
      </c>
      <c r="P33" s="391">
        <f>SUMIFS('Diags Raw Data'!$AA$16:$AA$4719,'Diags Raw Data'!$D$16:$D$4719,$A33,'Diags Raw Data'!$M$16:$M$4719,"Legacy")</f>
        <v>0</v>
      </c>
      <c r="Q33" s="392">
        <f>SUMIFS('Diags Raw Data'!$AB$16:$AB$4719,'Diags Raw Data'!$D$16:$D$4719,$A33,'Diags Raw Data'!$M$16:$M$4719,"Legacy")</f>
        <v>0</v>
      </c>
      <c r="R33" s="391">
        <f>SUMIFS('Diags Raw Data'!$AC$16:$AC$4719,'Diags Raw Data'!$D$16:$D$4719,$A33,'Diags Raw Data'!$M$16:$M$4719,"Legacy")</f>
        <v>0</v>
      </c>
      <c r="S33" s="392">
        <f>SUMIFS('Diags Raw Data'!$AD$16:$AD$4719,'Diags Raw Data'!$D$16:$D$4719,$A33,'Diags Raw Data'!$M$16:$M$4719,"Legacy")</f>
        <v>0</v>
      </c>
      <c r="T33" s="393">
        <f t="shared" ref="T33" si="98">IF(NOT($B33=0), O33/$B33, "---")</f>
        <v>0</v>
      </c>
      <c r="U33" s="394" t="str">
        <f t="shared" ref="U33" si="99">IF(NOT($O33=0), (P33+Q33)/$O33, "---")</f>
        <v>---</v>
      </c>
      <c r="V33" s="405">
        <f t="shared" ref="V33" si="100">IF(NOT($B33=0), (P33+Q33)/$B33, "---")</f>
        <v>0</v>
      </c>
    </row>
    <row r="34" spans="1:22" ht="15" thickBot="1" x14ac:dyDescent="0.4">
      <c r="A34" s="408" t="s">
        <v>336</v>
      </c>
      <c r="B34" s="407">
        <f>SUMIFS('Diags Raw Data'!$L$16:$L$4719,'Diags Raw Data'!$D$16:$D$4719,$A34,'Diags Raw Data'!$M$16:$M$4719,"Legacy")</f>
        <v>14</v>
      </c>
      <c r="C34" s="385">
        <f>SUMIFS('Diags Raw Data'!$R$16:$R$4719,'Diags Raw Data'!$D$16:$D$4719,$A34,'Diags Raw Data'!$M$16:$M$4719,"Legacy")</f>
        <v>14</v>
      </c>
      <c r="D34" s="385">
        <f>SUMIFS('Diags Raw Data'!$K$16:$K$4719,'Diags Raw Data'!$D$16:$D$4719,$A34,'Diags Raw Data'!$M$16:$M$4719,"Legacy")</f>
        <v>14</v>
      </c>
      <c r="E34" s="385">
        <f>SUMIFS('Diags Raw Data'!$O$16:$O$4719,'Diags Raw Data'!$D$16:$D$4719,$A34,'Diags Raw Data'!$M$16:$M$4719,"Legacy")</f>
        <v>13.000000000000004</v>
      </c>
      <c r="F34" s="428">
        <f t="shared" si="80"/>
        <v>0.92857142857142883</v>
      </c>
      <c r="G34" s="435">
        <f>SUMIFS('Diags Raw Data'!$S$16:$S$4719,'Diags Raw Data'!$D$16:$D$4719,$A34,'Diags Raw Data'!$M$16:$M$4719,"Legacy")</f>
        <v>9</v>
      </c>
      <c r="H34" s="387">
        <f>SUMIFS('Diags Raw Data'!$T$16:$T$4719,'Diags Raw Data'!$D$16:$D$4719,$A34,'Diags Raw Data'!$M$16:$M$4719,"Legacy")</f>
        <v>9</v>
      </c>
      <c r="I34" s="388">
        <f>SUMIFS('Diags Raw Data'!$U$16:$U$4719,'Diags Raw Data'!$D$16:$D$4719,$A34,'Diags Raw Data'!$M$16:$M$4719,"Legacy")</f>
        <v>0</v>
      </c>
      <c r="J34" s="387">
        <f>SUMIFS('Diags Raw Data'!$V$16:$V$4719,'Diags Raw Data'!$D$16:$D$4719,$A34,'Diags Raw Data'!$M$16:$M$4719,"Legacy")</f>
        <v>0</v>
      </c>
      <c r="K34" s="388">
        <f>SUMIFS('Diags Raw Data'!$W$16:$W$4719,'Diags Raw Data'!$D$16:$D$4719,$A34,'Diags Raw Data'!$M$16:$M$4719,"Legacy")</f>
        <v>0</v>
      </c>
      <c r="L34" s="389">
        <f t="shared" si="81"/>
        <v>0.6428571428571429</v>
      </c>
      <c r="M34" s="390">
        <f t="shared" si="82"/>
        <v>1</v>
      </c>
      <c r="N34" s="436">
        <f t="shared" si="83"/>
        <v>0.6428571428571429</v>
      </c>
      <c r="O34" s="431">
        <f>SUMIFS('Diags Raw Data'!$Z$16:$Z$4719,'Diags Raw Data'!$D$16:$D$4719,$A34,'Diags Raw Data'!$M$16:$M$4719,"Legacy")</f>
        <v>0</v>
      </c>
      <c r="P34" s="391">
        <f>SUMIFS('Diags Raw Data'!$AA$16:$AA$4719,'Diags Raw Data'!$D$16:$D$4719,$A34,'Diags Raw Data'!$M$16:$M$4719,"Legacy")</f>
        <v>0</v>
      </c>
      <c r="Q34" s="392">
        <f>SUMIFS('Diags Raw Data'!$AB$16:$AB$4719,'Diags Raw Data'!$D$16:$D$4719,$A34,'Diags Raw Data'!$M$16:$M$4719,"Legacy")</f>
        <v>0</v>
      </c>
      <c r="R34" s="391">
        <f>SUMIFS('Diags Raw Data'!$AC$16:$AC$4719,'Diags Raw Data'!$D$16:$D$4719,$A34,'Diags Raw Data'!$M$16:$M$4719,"Legacy")</f>
        <v>0</v>
      </c>
      <c r="S34" s="392">
        <f>SUMIFS('Diags Raw Data'!$AD$16:$AD$4719,'Diags Raw Data'!$D$16:$D$4719,$A34,'Diags Raw Data'!$M$16:$M$4719,"Legacy")</f>
        <v>0</v>
      </c>
      <c r="T34" s="393">
        <f t="shared" si="84"/>
        <v>0</v>
      </c>
      <c r="U34" s="394" t="str">
        <f t="shared" si="85"/>
        <v>---</v>
      </c>
      <c r="V34" s="405">
        <f t="shared" si="86"/>
        <v>0</v>
      </c>
    </row>
    <row r="35" spans="1:22" ht="15" thickBot="1" x14ac:dyDescent="0.4">
      <c r="A35" s="408" t="s">
        <v>443</v>
      </c>
      <c r="B35" s="407">
        <f>SUMIFS('Diags Raw Data'!$L$16:$L$4719,'Diags Raw Data'!$D$16:$D$4719,$A35,'Diags Raw Data'!$M$16:$M$4719,"Legacy")</f>
        <v>0</v>
      </c>
      <c r="C35" s="385">
        <f>SUMIFS('Diags Raw Data'!$R$16:$R$4719,'Diags Raw Data'!$D$16:$D$4719,$A35,'Diags Raw Data'!$M$16:$M$4719,"Legacy")</f>
        <v>0</v>
      </c>
      <c r="D35" s="385">
        <f>SUMIFS('Diags Raw Data'!$K$16:$K$4719,'Diags Raw Data'!$D$16:$D$4719,$A35,'Diags Raw Data'!$M$16:$M$4719,"Legacy")</f>
        <v>0</v>
      </c>
      <c r="E35" s="385">
        <f>SUMIFS('Diags Raw Data'!$O$16:$O$4719,'Diags Raw Data'!$D$16:$D$4719,$A35,'Diags Raw Data'!$M$16:$M$4719,"Legacy")</f>
        <v>0</v>
      </c>
      <c r="F35" s="428" t="str">
        <f t="shared" ref="F35" si="101">IF(NOT($B35=0), E35/$B35, "---")</f>
        <v>---</v>
      </c>
      <c r="G35" s="435">
        <f>SUMIFS('Diags Raw Data'!$S$16:$S$4719,'Diags Raw Data'!$D$16:$D$4719,$A35,'Diags Raw Data'!$M$16:$M$4719,"Legacy")</f>
        <v>0</v>
      </c>
      <c r="H35" s="387">
        <f>SUMIFS('Diags Raw Data'!$T$16:$T$4719,'Diags Raw Data'!$D$16:$D$4719,$A35,'Diags Raw Data'!$M$16:$M$4719,"Legacy")</f>
        <v>0</v>
      </c>
      <c r="I35" s="388">
        <f>SUMIFS('Diags Raw Data'!$U$16:$U$4719,'Diags Raw Data'!$D$16:$D$4719,$A35,'Diags Raw Data'!$M$16:$M$4719,"Legacy")</f>
        <v>0</v>
      </c>
      <c r="J35" s="387">
        <f>SUMIFS('Diags Raw Data'!$V$16:$V$4719,'Diags Raw Data'!$D$16:$D$4719,$A35,'Diags Raw Data'!$M$16:$M$4719,"Legacy")</f>
        <v>0</v>
      </c>
      <c r="K35" s="388">
        <f>SUMIFS('Diags Raw Data'!$W$16:$W$4719,'Diags Raw Data'!$D$16:$D$4719,$A35,'Diags Raw Data'!$M$16:$M$4719,"Legacy")</f>
        <v>0</v>
      </c>
      <c r="L35" s="389" t="str">
        <f t="shared" ref="L35" si="102">IF(NOT($C35=0), G35/$C35, "---")</f>
        <v>---</v>
      </c>
      <c r="M35" s="390" t="str">
        <f t="shared" ref="M35" si="103">IF(NOT($G35=0), (H35+I35)/$G35, "---")</f>
        <v>---</v>
      </c>
      <c r="N35" s="436" t="str">
        <f t="shared" ref="N35" si="104">IF(NOT($C35=0), (H35+I35)/$C35, "---")</f>
        <v>---</v>
      </c>
      <c r="O35" s="431">
        <f>SUMIFS('Diags Raw Data'!$Z$16:$Z$4719,'Diags Raw Data'!$D$16:$D$4719,$A35,'Diags Raw Data'!$M$16:$M$4719,"Legacy")</f>
        <v>0</v>
      </c>
      <c r="P35" s="391">
        <f>SUMIFS('Diags Raw Data'!$AA$16:$AA$4719,'Diags Raw Data'!$D$16:$D$4719,$A35,'Diags Raw Data'!$M$16:$M$4719,"Legacy")</f>
        <v>0</v>
      </c>
      <c r="Q35" s="392">
        <f>SUMIFS('Diags Raw Data'!$AB$16:$AB$4719,'Diags Raw Data'!$D$16:$D$4719,$A35,'Diags Raw Data'!$M$16:$M$4719,"Legacy")</f>
        <v>0</v>
      </c>
      <c r="R35" s="391">
        <f>SUMIFS('Diags Raw Data'!$AC$16:$AC$4719,'Diags Raw Data'!$D$16:$D$4719,$A35,'Diags Raw Data'!$M$16:$M$4719,"Legacy")</f>
        <v>0</v>
      </c>
      <c r="S35" s="392">
        <f>SUMIFS('Diags Raw Data'!$AD$16:$AD$4719,'Diags Raw Data'!$D$16:$D$4719,$A35,'Diags Raw Data'!$M$16:$M$4719,"Legacy")</f>
        <v>0</v>
      </c>
      <c r="T35" s="393" t="str">
        <f t="shared" ref="T35" si="105">IF(NOT($B35=0), O35/$B35, "---")</f>
        <v>---</v>
      </c>
      <c r="U35" s="394" t="str">
        <f t="shared" ref="U35" si="106">IF(NOT($O35=0), (P35+Q35)/$O35, "---")</f>
        <v>---</v>
      </c>
      <c r="V35" s="405" t="str">
        <f t="shared" ref="V35" si="107">IF(NOT($B35=0), (P35+Q35)/$B35, "---")</f>
        <v>---</v>
      </c>
    </row>
    <row r="36" spans="1:22" ht="15" thickBot="1" x14ac:dyDescent="0.4">
      <c r="A36" s="408" t="s">
        <v>352</v>
      </c>
      <c r="B36" s="407">
        <f>SUMIFS('Diags Raw Data'!$L$16:$L$4719,'Diags Raw Data'!$D$16:$D$4719,$A36,'Diags Raw Data'!$M$16:$M$4719,"Legacy")</f>
        <v>2</v>
      </c>
      <c r="C36" s="385">
        <f>SUMIFS('Diags Raw Data'!$R$16:$R$4719,'Diags Raw Data'!$D$16:$D$4719,$A36,'Diags Raw Data'!$M$16:$M$4719,"Legacy")</f>
        <v>2</v>
      </c>
      <c r="D36" s="385">
        <f>SUMIFS('Diags Raw Data'!$K$16:$K$4719,'Diags Raw Data'!$D$16:$D$4719,$A36,'Diags Raw Data'!$M$16:$M$4719,"Legacy")</f>
        <v>2</v>
      </c>
      <c r="E36" s="385">
        <f>SUMIFS('Diags Raw Data'!$O$16:$O$4719,'Diags Raw Data'!$D$16:$D$4719,$A36,'Diags Raw Data'!$M$16:$M$4719,"Legacy")</f>
        <v>0.6</v>
      </c>
      <c r="F36" s="428">
        <f t="shared" si="80"/>
        <v>0.3</v>
      </c>
      <c r="G36" s="435">
        <f>SUMIFS('Diags Raw Data'!$S$16:$S$4719,'Diags Raw Data'!$D$16:$D$4719,$A36,'Diags Raw Data'!$M$16:$M$4719,"Legacy")</f>
        <v>0</v>
      </c>
      <c r="H36" s="387">
        <f>SUMIFS('Diags Raw Data'!$T$16:$T$4719,'Diags Raw Data'!$D$16:$D$4719,$A36,'Diags Raw Data'!$M$16:$M$4719,"Legacy")</f>
        <v>0</v>
      </c>
      <c r="I36" s="388">
        <f>SUMIFS('Diags Raw Data'!$U$16:$U$4719,'Diags Raw Data'!$D$16:$D$4719,$A36,'Diags Raw Data'!$M$16:$M$4719,"Legacy")</f>
        <v>0</v>
      </c>
      <c r="J36" s="387">
        <f>SUMIFS('Diags Raw Data'!$V$16:$V$4719,'Diags Raw Data'!$D$16:$D$4719,$A36,'Diags Raw Data'!$M$16:$M$4719,"Legacy")</f>
        <v>0</v>
      </c>
      <c r="K36" s="388">
        <f>SUMIFS('Diags Raw Data'!$W$16:$W$4719,'Diags Raw Data'!$D$16:$D$4719,$A36,'Diags Raw Data'!$M$16:$M$4719,"Legacy")</f>
        <v>0</v>
      </c>
      <c r="L36" s="389">
        <f t="shared" si="81"/>
        <v>0</v>
      </c>
      <c r="M36" s="390" t="str">
        <f t="shared" si="82"/>
        <v>---</v>
      </c>
      <c r="N36" s="436">
        <f t="shared" si="83"/>
        <v>0</v>
      </c>
      <c r="O36" s="431">
        <f>SUMIFS('Diags Raw Data'!$Z$16:$Z$4719,'Diags Raw Data'!$D$16:$D$4719,$A36,'Diags Raw Data'!$M$16:$M$4719,"Legacy")</f>
        <v>0</v>
      </c>
      <c r="P36" s="391">
        <f>SUMIFS('Diags Raw Data'!$AA$16:$AA$4719,'Diags Raw Data'!$D$16:$D$4719,$A36,'Diags Raw Data'!$M$16:$M$4719,"Legacy")</f>
        <v>0</v>
      </c>
      <c r="Q36" s="392">
        <f>SUMIFS('Diags Raw Data'!$AB$16:$AB$4719,'Diags Raw Data'!$D$16:$D$4719,$A36,'Diags Raw Data'!$M$16:$M$4719,"Legacy")</f>
        <v>0</v>
      </c>
      <c r="R36" s="391">
        <f>SUMIFS('Diags Raw Data'!$AC$16:$AC$4719,'Diags Raw Data'!$D$16:$D$4719,$A36,'Diags Raw Data'!$M$16:$M$4719,"Legacy")</f>
        <v>0</v>
      </c>
      <c r="S36" s="392">
        <f>SUMIFS('Diags Raw Data'!$AD$16:$AD$4719,'Diags Raw Data'!$D$16:$D$4719,$A36,'Diags Raw Data'!$M$16:$M$4719,"Legacy")</f>
        <v>0</v>
      </c>
      <c r="T36" s="393">
        <f t="shared" si="84"/>
        <v>0</v>
      </c>
      <c r="U36" s="394" t="str">
        <f t="shared" si="85"/>
        <v>---</v>
      </c>
      <c r="V36" s="405">
        <f t="shared" si="86"/>
        <v>0</v>
      </c>
    </row>
    <row r="37" spans="1:22" x14ac:dyDescent="0.35">
      <c r="A37" s="408" t="s">
        <v>455</v>
      </c>
      <c r="B37" s="407">
        <f>SUMIFS('Diags Raw Data'!$L$16:$L$4719,'Diags Raw Data'!$D$16:$D$4719,$A37,'Diags Raw Data'!$M$16:$M$4719,"Legacy")</f>
        <v>0</v>
      </c>
      <c r="C37" s="385">
        <f>SUMIFS('Diags Raw Data'!$R$16:$R$4719,'Diags Raw Data'!$D$16:$D$4719,$A37,'Diags Raw Data'!$M$16:$M$4719,"Legacy")</f>
        <v>0</v>
      </c>
      <c r="D37" s="385">
        <f>SUMIFS('Diags Raw Data'!$K$16:$K$4719,'Diags Raw Data'!$D$16:$D$4719,$A37,'Diags Raw Data'!$M$16:$M$4719,"Legacy")</f>
        <v>0</v>
      </c>
      <c r="E37" s="385">
        <f>SUMIFS('Diags Raw Data'!$O$16:$O$4719,'Diags Raw Data'!$D$16:$D$4719,$A37,'Diags Raw Data'!$M$16:$M$4719,"Legacy")</f>
        <v>0</v>
      </c>
      <c r="F37" s="428" t="str">
        <f t="shared" ref="F37" si="108">IF(NOT($B37=0), E37/$B37, "---")</f>
        <v>---</v>
      </c>
      <c r="G37" s="435">
        <f>SUMIFS('Diags Raw Data'!$S$16:$S$4719,'Diags Raw Data'!$D$16:$D$4719,$A37,'Diags Raw Data'!$M$16:$M$4719,"Legacy")</f>
        <v>0</v>
      </c>
      <c r="H37" s="387">
        <f>SUMIFS('Diags Raw Data'!$T$16:$T$4719,'Diags Raw Data'!$D$16:$D$4719,$A37,'Diags Raw Data'!$M$16:$M$4719,"Legacy")</f>
        <v>0</v>
      </c>
      <c r="I37" s="388">
        <f>SUMIFS('Diags Raw Data'!$U$16:$U$4719,'Diags Raw Data'!$D$16:$D$4719,$A37,'Diags Raw Data'!$M$16:$M$4719,"Legacy")</f>
        <v>0</v>
      </c>
      <c r="J37" s="387">
        <f>SUMIFS('Diags Raw Data'!$V$16:$V$4719,'Diags Raw Data'!$D$16:$D$4719,$A37,'Diags Raw Data'!$M$16:$M$4719,"Legacy")</f>
        <v>0</v>
      </c>
      <c r="K37" s="388">
        <f>SUMIFS('Diags Raw Data'!$W$16:$W$4719,'Diags Raw Data'!$D$16:$D$4719,$A37,'Diags Raw Data'!$M$16:$M$4719,"Legacy")</f>
        <v>0</v>
      </c>
      <c r="L37" s="389" t="str">
        <f t="shared" ref="L37" si="109">IF(NOT($C37=0), G37/$C37, "---")</f>
        <v>---</v>
      </c>
      <c r="M37" s="390" t="str">
        <f t="shared" ref="M37" si="110">IF(NOT($G37=0), (H37+I37)/$G37, "---")</f>
        <v>---</v>
      </c>
      <c r="N37" s="436" t="str">
        <f t="shared" ref="N37" si="111">IF(NOT($C37=0), (H37+I37)/$C37, "---")</f>
        <v>---</v>
      </c>
      <c r="O37" s="431">
        <f>SUMIFS('Diags Raw Data'!$Z$16:$Z$4719,'Diags Raw Data'!$D$16:$D$4719,$A37,'Diags Raw Data'!$M$16:$M$4719,"Legacy")</f>
        <v>0</v>
      </c>
      <c r="P37" s="391">
        <f>SUMIFS('Diags Raw Data'!$AA$16:$AA$4719,'Diags Raw Data'!$D$16:$D$4719,$A37,'Diags Raw Data'!$M$16:$M$4719,"Legacy")</f>
        <v>0</v>
      </c>
      <c r="Q37" s="392">
        <f>SUMIFS('Diags Raw Data'!$AB$16:$AB$4719,'Diags Raw Data'!$D$16:$D$4719,$A37,'Diags Raw Data'!$M$16:$M$4719,"Legacy")</f>
        <v>0</v>
      </c>
      <c r="R37" s="391">
        <f>SUMIFS('Diags Raw Data'!$AC$16:$AC$4719,'Diags Raw Data'!$D$16:$D$4719,$A37,'Diags Raw Data'!$M$16:$M$4719,"Legacy")</f>
        <v>0</v>
      </c>
      <c r="S37" s="392">
        <f>SUMIFS('Diags Raw Data'!$AD$16:$AD$4719,'Diags Raw Data'!$D$16:$D$4719,$A37,'Diags Raw Data'!$M$16:$M$4719,"Legacy")</f>
        <v>0</v>
      </c>
      <c r="T37" s="393" t="str">
        <f t="shared" ref="T37" si="112">IF(NOT($B37=0), O37/$B37, "---")</f>
        <v>---</v>
      </c>
      <c r="U37" s="394" t="str">
        <f t="shared" ref="U37" si="113">IF(NOT($O37=0), (P37+Q37)/$O37, "---")</f>
        <v>---</v>
      </c>
      <c r="V37" s="405" t="str">
        <f t="shared" ref="V37" si="114">IF(NOT($B37=0), (P37+Q37)/$B37, "---")</f>
        <v>---</v>
      </c>
    </row>
    <row r="38" spans="1:22" ht="15" thickBot="1" x14ac:dyDescent="0.4">
      <c r="A38" s="413"/>
      <c r="B38" s="414">
        <f>SUMIFS('Diags Raw Data'!$L$16:$L$4719,'Diags Raw Data'!$D$16:$D$4719,$A38,'Diags Raw Data'!$M$16:$M$4719,"Legacy")</f>
        <v>0</v>
      </c>
      <c r="C38" s="415">
        <f>SUMIFS('Diags Raw Data'!$R$16:$R$4719,'Diags Raw Data'!$D$16:$D$4719,$A38,'Diags Raw Data'!$M$16:$M$4719,"Legacy")</f>
        <v>0</v>
      </c>
      <c r="D38" s="415">
        <f>SUMIFS('Diags Raw Data'!$K$16:$K$4719,'Diags Raw Data'!$D$16:$D$4719,$A38,'Diags Raw Data'!$M$16:$M$4719,"Legacy")</f>
        <v>0</v>
      </c>
      <c r="E38" s="415">
        <f>SUMIFS('Diags Raw Data'!$O$16:$O$4719,'Diags Raw Data'!$D$16:$D$4719,$A38,'Diags Raw Data'!$M$16:$M$4719,"Legacy")</f>
        <v>0</v>
      </c>
      <c r="F38" s="429" t="str">
        <f t="shared" ref="F38" si="115">IF(NOT($B38=0), E38/$B38, "---")</f>
        <v>---</v>
      </c>
      <c r="G38" s="437">
        <f>SUMIFS('Diags Raw Data'!$S$16:$S$4719,'Diags Raw Data'!$D$16:$D$4719,$A38,'Diags Raw Data'!$M$16:$M$4719,"Legacy")</f>
        <v>0</v>
      </c>
      <c r="H38" s="416">
        <f>SUMIFS('Diags Raw Data'!$T$16:$T$4719,'Diags Raw Data'!$D$16:$D$4719,$A38,'Diags Raw Data'!$M$16:$M$4719,"Legacy")</f>
        <v>0</v>
      </c>
      <c r="I38" s="417">
        <f>SUMIFS('Diags Raw Data'!$U$16:$U$4719,'Diags Raw Data'!$D$16:$D$4719,$A38,'Diags Raw Data'!$M$16:$M$4719,"Legacy")</f>
        <v>0</v>
      </c>
      <c r="J38" s="416">
        <f>SUMIFS('Diags Raw Data'!$V$16:$V$4719,'Diags Raw Data'!$D$16:$D$4719,$A38,'Diags Raw Data'!$M$16:$M$4719,"Legacy")</f>
        <v>0</v>
      </c>
      <c r="K38" s="417">
        <f>SUMIFS('Diags Raw Data'!$W$16:$W$4719,'Diags Raw Data'!$D$16:$D$4719,$A38,'Diags Raw Data'!$M$16:$M$4719,"Legacy")</f>
        <v>0</v>
      </c>
      <c r="L38" s="418" t="str">
        <f t="shared" ref="L38" si="116">IF(NOT($C38=0), G38/$C38, "---")</f>
        <v>---</v>
      </c>
      <c r="M38" s="419" t="str">
        <f t="shared" ref="M38:M39" si="117">IF(NOT($G38=0), (H38+I38)/$G38, "---")</f>
        <v>---</v>
      </c>
      <c r="N38" s="438" t="str">
        <f t="shared" ref="N38:N39" si="118">IF(NOT($C38=0), (H38+I38)/$C38, "---")</f>
        <v>---</v>
      </c>
      <c r="O38" s="432">
        <f>SUMIFS('Diags Raw Data'!$Z$16:$Z$4719,'Diags Raw Data'!$D$16:$D$4719,$A38,'Diags Raw Data'!$M$16:$M$4719,"Legacy")</f>
        <v>0</v>
      </c>
      <c r="P38" s="420">
        <f>SUMIFS('Diags Raw Data'!$AA$16:$AA$4719,'Diags Raw Data'!$D$16:$D$4719,$A38,'Diags Raw Data'!$M$16:$M$4719,"Legacy")</f>
        <v>0</v>
      </c>
      <c r="Q38" s="421">
        <f>SUMIFS('Diags Raw Data'!$AB$16:$AB$4719,'Diags Raw Data'!$D$16:$D$4719,$A38,'Diags Raw Data'!$M$16:$M$4719,"Legacy")</f>
        <v>0</v>
      </c>
      <c r="R38" s="420">
        <f>SUMIFS('Diags Raw Data'!$AC$16:$AC$4719,'Diags Raw Data'!$D$16:$D$4719,$A38,'Diags Raw Data'!$M$16:$M$4719,"Legacy")</f>
        <v>0</v>
      </c>
      <c r="S38" s="421">
        <f>SUMIFS('Diags Raw Data'!$AD$16:$AD$4719,'Diags Raw Data'!$D$16:$D$4719,$A38,'Diags Raw Data'!$M$16:$M$4719,"Legacy")</f>
        <v>0</v>
      </c>
      <c r="T38" s="422" t="str">
        <f t="shared" ref="T38" si="119">IF(NOT($B38=0), O38/$B38, "---")</f>
        <v>---</v>
      </c>
      <c r="U38" s="423" t="str">
        <f t="shared" ref="U38:U39" si="120">IF(NOT($O38=0), (P38+Q38)/$O38, "---")</f>
        <v>---</v>
      </c>
      <c r="V38" s="424" t="str">
        <f t="shared" ref="V38" si="121">IF(NOT($B38=0), (P38+Q38)/$B38, "---")</f>
        <v>---</v>
      </c>
    </row>
    <row r="39" spans="1:22" ht="16" thickBot="1" x14ac:dyDescent="0.4">
      <c r="A39" s="410" t="s">
        <v>507</v>
      </c>
      <c r="B39" s="411">
        <f>SUM(B30:B38)</f>
        <v>53</v>
      </c>
      <c r="C39" s="412">
        <f t="shared" ref="C39:E39" si="122">SUM(C30:C38)</f>
        <v>53</v>
      </c>
      <c r="D39" s="412">
        <f t="shared" si="122"/>
        <v>53</v>
      </c>
      <c r="E39" s="412">
        <f t="shared" si="122"/>
        <v>32.400000000000006</v>
      </c>
      <c r="F39" s="190" cm="1">
        <f t="array" ref="F39">SUMPRODUCT(--(ISNUMBER(SEARCH("Legacy",'Diags Raw Data'!$M$16:$M$4719))),'Diags Raw Data'!$K$16:$K$4719,'Diags Raw Data'!$P$16:$P$4719)/D39</f>
        <v>0.61132075471698155</v>
      </c>
      <c r="G39" s="191">
        <f>SUM(G30:G38)</f>
        <v>9</v>
      </c>
      <c r="H39" s="192">
        <f t="shared" ref="H39:K39" si="123">SUM(H30:H38)</f>
        <v>9</v>
      </c>
      <c r="I39" s="192">
        <f t="shared" si="123"/>
        <v>0</v>
      </c>
      <c r="J39" s="192">
        <f t="shared" si="123"/>
        <v>0</v>
      </c>
      <c r="K39" s="192">
        <f t="shared" si="123"/>
        <v>0</v>
      </c>
      <c r="L39" s="193">
        <f>IF(NOT($C39=0), G39/$C39, "---")</f>
        <v>0.16981132075471697</v>
      </c>
      <c r="M39" s="194">
        <f t="shared" si="117"/>
        <v>1</v>
      </c>
      <c r="N39" s="195">
        <f t="shared" si="118"/>
        <v>0.16981132075471697</v>
      </c>
      <c r="O39" s="196">
        <f>SUM(O30:O38)</f>
        <v>0</v>
      </c>
      <c r="P39" s="197">
        <f t="shared" ref="P39:S39" si="124">SUM(P30:P38)</f>
        <v>0</v>
      </c>
      <c r="Q39" s="197">
        <f t="shared" si="124"/>
        <v>0</v>
      </c>
      <c r="R39" s="197">
        <f t="shared" si="124"/>
        <v>0</v>
      </c>
      <c r="S39" s="197">
        <f t="shared" si="124"/>
        <v>0</v>
      </c>
      <c r="T39" s="198">
        <f>IF(NOT($B39=0), O39/$B39, "---")</f>
        <v>0</v>
      </c>
      <c r="U39" s="199" t="str">
        <f t="shared" si="120"/>
        <v>---</v>
      </c>
      <c r="V39" s="200">
        <f>IF(NOT($B39=0), (P39+Q39)/$B39, "---")</f>
        <v>0</v>
      </c>
    </row>
    <row r="40" spans="1:22" x14ac:dyDescent="0.35">
      <c r="A40" s="188"/>
      <c r="B40" s="188"/>
      <c r="C40" s="188"/>
      <c r="D40" s="188"/>
      <c r="E40" s="188"/>
      <c r="F40" s="188"/>
      <c r="G40" s="188"/>
      <c r="H40" s="188"/>
      <c r="I40" s="188"/>
      <c r="J40" s="188"/>
      <c r="K40" s="188"/>
      <c r="L40" s="188"/>
      <c r="M40" s="188"/>
      <c r="N40" s="188"/>
      <c r="O40" s="188"/>
      <c r="P40" s="188"/>
      <c r="Q40" s="188"/>
      <c r="R40" s="188"/>
      <c r="S40" s="188"/>
      <c r="T40" s="188"/>
      <c r="U40" s="188"/>
      <c r="V40" s="188"/>
    </row>
    <row r="42" spans="1:22" x14ac:dyDescent="0.35">
      <c r="F42" s="130"/>
    </row>
    <row r="45" spans="1:22" x14ac:dyDescent="0.35">
      <c r="F45" s="277"/>
    </row>
    <row r="46" spans="1:22" x14ac:dyDescent="0.35">
      <c r="F46" s="276"/>
    </row>
    <row r="47" spans="1:22" x14ac:dyDescent="0.35">
      <c r="F47" s="276"/>
    </row>
  </sheetData>
  <mergeCells count="10">
    <mergeCell ref="A1:V1"/>
    <mergeCell ref="B15:F15"/>
    <mergeCell ref="B28:F28"/>
    <mergeCell ref="G28:N28"/>
    <mergeCell ref="O28:V28"/>
    <mergeCell ref="G15:N15"/>
    <mergeCell ref="O15:V15"/>
    <mergeCell ref="B2:F2"/>
    <mergeCell ref="G2:N2"/>
    <mergeCell ref="O2:V2"/>
  </mergeCells>
  <phoneticPr fontId="30" type="noConversion"/>
  <conditionalFormatting sqref="F4">
    <cfRule type="colorScale" priority="110">
      <colorScale>
        <cfvo type="percent" val="0"/>
        <cfvo type="percent" val="50"/>
        <cfvo type="percent" val="100"/>
        <color rgb="FFF8696B"/>
        <color rgb="FFFFEB84"/>
        <color rgb="FF63BE7B"/>
      </colorScale>
    </cfRule>
    <cfRule type="colorScale" priority="111">
      <colorScale>
        <cfvo type="percent" val="0"/>
        <cfvo type="percent" val="50"/>
        <cfvo type="percent" val="100"/>
        <color rgb="FFF8696B"/>
        <color rgb="FFFFEB84"/>
        <color rgb="FF63BE7B"/>
      </colorScale>
    </cfRule>
    <cfRule type="colorScale" priority="113">
      <colorScale>
        <cfvo type="percent" val="0"/>
        <cfvo type="percent" val="50"/>
        <cfvo type="percent" val="100"/>
        <color rgb="FFF8696B"/>
        <color rgb="FFFFEB84"/>
        <color rgb="FF63BE7B"/>
      </colorScale>
    </cfRule>
    <cfRule type="colorScale" priority="112">
      <colorScale>
        <cfvo type="percentile" val="10"/>
        <cfvo type="percentile" val="50"/>
        <cfvo type="percentile" val="90"/>
        <color rgb="FFF8696B"/>
        <color rgb="FFFFEB84"/>
        <color rgb="FF63BE7B"/>
      </colorScale>
    </cfRule>
    <cfRule type="colorScale" priority="114">
      <colorScale>
        <cfvo type="percentile" val="10"/>
        <cfvo type="percentile" val="50"/>
        <cfvo type="percentile" val="90"/>
        <color rgb="FFF8696B"/>
        <color rgb="FFFFEB84"/>
        <color rgb="FF63BE7B"/>
      </colorScale>
    </cfRule>
    <cfRule type="colorScale" priority="115">
      <colorScale>
        <cfvo type="percent" val="20"/>
        <cfvo type="percent" val="50"/>
        <cfvo type="percent" val="100"/>
        <color rgb="FFF8696B"/>
        <color rgb="FFFFEB84"/>
        <color rgb="FF63BE7B"/>
      </colorScale>
    </cfRule>
    <cfRule type="colorScale" priority="116">
      <colorScale>
        <cfvo type="min"/>
        <cfvo type="percentile" val="50"/>
        <cfvo type="max"/>
        <color rgb="FFF8696B"/>
        <color rgb="FFFFEB84"/>
        <color rgb="FF63BE7B"/>
      </colorScale>
    </cfRule>
  </conditionalFormatting>
  <conditionalFormatting sqref="F5">
    <cfRule type="colorScale" priority="131">
      <colorScale>
        <cfvo type="percentile" val="10"/>
        <cfvo type="percentile" val="50"/>
        <cfvo type="percentile" val="90"/>
        <color rgb="FFF8696B"/>
        <color rgb="FFFFEB84"/>
        <color rgb="FF63BE7B"/>
      </colorScale>
    </cfRule>
    <cfRule type="colorScale" priority="132">
      <colorScale>
        <cfvo type="percent" val="20"/>
        <cfvo type="percent" val="50"/>
        <cfvo type="percent" val="100"/>
        <color rgb="FFF8696B"/>
        <color rgb="FFFFEB84"/>
        <color rgb="FF63BE7B"/>
      </colorScale>
    </cfRule>
    <cfRule type="colorScale" priority="133">
      <colorScale>
        <cfvo type="min"/>
        <cfvo type="percentile" val="50"/>
        <cfvo type="max"/>
        <color rgb="FFF8696B"/>
        <color rgb="FFFFEB84"/>
        <color rgb="FF63BE7B"/>
      </colorScale>
    </cfRule>
    <cfRule type="colorScale" priority="130">
      <colorScale>
        <cfvo type="percent" val="0"/>
        <cfvo type="percent" val="50"/>
        <cfvo type="percent" val="100"/>
        <color rgb="FFF8696B"/>
        <color rgb="FFFFEB84"/>
        <color rgb="FF63BE7B"/>
      </colorScale>
    </cfRule>
    <cfRule type="colorScale" priority="129">
      <colorScale>
        <cfvo type="percentile" val="10"/>
        <cfvo type="percentile" val="50"/>
        <cfvo type="percentile" val="90"/>
        <color rgb="FFF8696B"/>
        <color rgb="FFFFEB84"/>
        <color rgb="FF63BE7B"/>
      </colorScale>
    </cfRule>
    <cfRule type="colorScale" priority="128">
      <colorScale>
        <cfvo type="percent" val="0"/>
        <cfvo type="percent" val="50"/>
        <cfvo type="percent" val="100"/>
        <color rgb="FFF8696B"/>
        <color rgb="FFFFEB84"/>
        <color rgb="FF63BE7B"/>
      </colorScale>
    </cfRule>
    <cfRule type="colorScale" priority="127">
      <colorScale>
        <cfvo type="percent" val="0"/>
        <cfvo type="percent" val="50"/>
        <cfvo type="percent" val="100"/>
        <color rgb="FFF8696B"/>
        <color rgb="FFFFEB84"/>
        <color rgb="FF63BE7B"/>
      </colorScale>
    </cfRule>
  </conditionalFormatting>
  <conditionalFormatting sqref="F6:F11">
    <cfRule type="colorScale" priority="24">
      <colorScale>
        <cfvo type="percent" val="0"/>
        <cfvo type="percent" val="50"/>
        <cfvo type="percent" val="100"/>
        <color rgb="FFF8696B"/>
        <color rgb="FFFFEB84"/>
        <color rgb="FF63BE7B"/>
      </colorScale>
    </cfRule>
    <cfRule type="colorScale" priority="29">
      <colorScale>
        <cfvo type="min"/>
        <cfvo type="percentile" val="50"/>
        <cfvo type="max"/>
        <color rgb="FFF8696B"/>
        <color rgb="FFFFEB84"/>
        <color rgb="FF63BE7B"/>
      </colorScale>
    </cfRule>
    <cfRule type="colorScale" priority="28">
      <colorScale>
        <cfvo type="percent" val="20"/>
        <cfvo type="percent" val="50"/>
        <cfvo type="percent" val="100"/>
        <color rgb="FFF8696B"/>
        <color rgb="FFFFEB84"/>
        <color rgb="FF63BE7B"/>
      </colorScale>
    </cfRule>
    <cfRule type="colorScale" priority="25">
      <colorScale>
        <cfvo type="percentile" val="10"/>
        <cfvo type="percentile" val="50"/>
        <cfvo type="percentile" val="90"/>
        <color rgb="FFF8696B"/>
        <color rgb="FFFFEB84"/>
        <color rgb="FF63BE7B"/>
      </colorScale>
    </cfRule>
    <cfRule type="colorScale" priority="27">
      <colorScale>
        <cfvo type="percentile" val="10"/>
        <cfvo type="percentile" val="50"/>
        <cfvo type="percentile" val="90"/>
        <color rgb="FFF8696B"/>
        <color rgb="FFFFEB84"/>
        <color rgb="FF63BE7B"/>
      </colorScale>
    </cfRule>
    <cfRule type="colorScale" priority="26">
      <colorScale>
        <cfvo type="percent" val="0"/>
        <cfvo type="percent" val="50"/>
        <cfvo type="percent" val="100"/>
        <color rgb="FFF8696B"/>
        <color rgb="FFFFEB84"/>
        <color rgb="FF63BE7B"/>
      </colorScale>
    </cfRule>
    <cfRule type="colorScale" priority="23">
      <colorScale>
        <cfvo type="percent" val="0"/>
        <cfvo type="percent" val="50"/>
        <cfvo type="percent" val="100"/>
        <color rgb="FFF8696B"/>
        <color rgb="FFFFEB84"/>
        <color rgb="FF63BE7B"/>
      </colorScale>
    </cfRule>
  </conditionalFormatting>
  <conditionalFormatting sqref="F12">
    <cfRule type="colorScale" priority="584">
      <colorScale>
        <cfvo type="percentile" val="10"/>
        <cfvo type="percentile" val="50"/>
        <cfvo type="percentile" val="90"/>
        <color rgb="FFF8696B"/>
        <color rgb="FFFFEB84"/>
        <color rgb="FF63BE7B"/>
      </colorScale>
    </cfRule>
    <cfRule type="colorScale" priority="583">
      <colorScale>
        <cfvo type="percent" val="0"/>
        <cfvo type="percent" val="50"/>
        <cfvo type="percent" val="100"/>
        <color rgb="FFF8696B"/>
        <color rgb="FFFFEB84"/>
        <color rgb="FF63BE7B"/>
      </colorScale>
    </cfRule>
    <cfRule type="colorScale" priority="582">
      <colorScale>
        <cfvo type="percentile" val="10"/>
        <cfvo type="percentile" val="50"/>
        <cfvo type="percentile" val="90"/>
        <color rgb="FFF8696B"/>
        <color rgb="FFFFEB84"/>
        <color rgb="FF63BE7B"/>
      </colorScale>
    </cfRule>
    <cfRule type="colorScale" priority="586">
      <colorScale>
        <cfvo type="min"/>
        <cfvo type="percentile" val="50"/>
        <cfvo type="max"/>
        <color rgb="FFF8696B"/>
        <color rgb="FFFFEB84"/>
        <color rgb="FF63BE7B"/>
      </colorScale>
    </cfRule>
    <cfRule type="colorScale" priority="581">
      <colorScale>
        <cfvo type="percent" val="0"/>
        <cfvo type="percent" val="50"/>
        <cfvo type="percent" val="100"/>
        <color rgb="FFF8696B"/>
        <color rgb="FFFFEB84"/>
        <color rgb="FF63BE7B"/>
      </colorScale>
    </cfRule>
    <cfRule type="colorScale" priority="580">
      <colorScale>
        <cfvo type="percent" val="0"/>
        <cfvo type="percent" val="50"/>
        <cfvo type="percent" val="100"/>
        <color rgb="FFF8696B"/>
        <color rgb="FFFFEB84"/>
        <color rgb="FF63BE7B"/>
      </colorScale>
    </cfRule>
    <cfRule type="colorScale" priority="585">
      <colorScale>
        <cfvo type="percent" val="20"/>
        <cfvo type="percent" val="50"/>
        <cfvo type="percent" val="100"/>
        <color rgb="FFF8696B"/>
        <color rgb="FFFFEB84"/>
        <color rgb="FF63BE7B"/>
      </colorScale>
    </cfRule>
  </conditionalFormatting>
  <conditionalFormatting sqref="F17">
    <cfRule type="colorScale" priority="86">
      <colorScale>
        <cfvo type="min"/>
        <cfvo type="percentile" val="50"/>
        <cfvo type="max"/>
        <color rgb="FFF8696B"/>
        <color rgb="FFFFEB84"/>
        <color rgb="FF63BE7B"/>
      </colorScale>
    </cfRule>
    <cfRule type="colorScale" priority="85">
      <colorScale>
        <cfvo type="percent" val="2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fRule type="colorScale" priority="82">
      <colorScale>
        <cfvo type="percentile" val="10"/>
        <cfvo type="percentile" val="50"/>
        <cfvo type="percentile" val="90"/>
        <color rgb="FFF8696B"/>
        <color rgb="FFFFEB84"/>
        <color rgb="FF63BE7B"/>
      </colorScale>
    </cfRule>
    <cfRule type="colorScale" priority="81">
      <colorScale>
        <cfvo type="percent" val="0"/>
        <cfvo type="percent" val="50"/>
        <cfvo type="percent" val="100"/>
        <color rgb="FFF8696B"/>
        <color rgb="FFFFEB84"/>
        <color rgb="FF63BE7B"/>
      </colorScale>
    </cfRule>
    <cfRule type="colorScale" priority="84">
      <colorScale>
        <cfvo type="percentile" val="10"/>
        <cfvo type="percentile" val="50"/>
        <cfvo type="percentile" val="90"/>
        <color rgb="FFF8696B"/>
        <color rgb="FFFFEB84"/>
        <color rgb="FF63BE7B"/>
      </colorScale>
    </cfRule>
  </conditionalFormatting>
  <conditionalFormatting sqref="F18:F24">
    <cfRule type="colorScale" priority="101">
      <colorScale>
        <cfvo type="min"/>
        <cfvo type="percentile" val="50"/>
        <cfvo type="max"/>
        <color rgb="FFF8696B"/>
        <color rgb="FFFFEB84"/>
        <color rgb="FF63BE7B"/>
      </colorScale>
    </cfRule>
    <cfRule type="colorScale" priority="98">
      <colorScale>
        <cfvo type="percent" val="0"/>
        <cfvo type="percent" val="50"/>
        <cfvo type="percent" val="100"/>
        <color rgb="FFF8696B"/>
        <color rgb="FFFFEB84"/>
        <color rgb="FF63BE7B"/>
      </colorScale>
    </cfRule>
    <cfRule type="colorScale" priority="95">
      <colorScale>
        <cfvo type="percent" val="0"/>
        <cfvo type="percent" val="50"/>
        <cfvo type="percent" val="100"/>
        <color rgb="FFF8696B"/>
        <color rgb="FFFFEB84"/>
        <color rgb="FF63BE7B"/>
      </colorScale>
    </cfRule>
    <cfRule type="colorScale" priority="100">
      <colorScale>
        <cfvo type="percent" val="20"/>
        <cfvo type="percent" val="50"/>
        <cfvo type="percent" val="100"/>
        <color rgb="FFF8696B"/>
        <color rgb="FFFFEB84"/>
        <color rgb="FF63BE7B"/>
      </colorScale>
    </cfRule>
    <cfRule type="colorScale" priority="96">
      <colorScale>
        <cfvo type="percent" val="0"/>
        <cfvo type="percent" val="50"/>
        <cfvo type="percent" val="100"/>
        <color rgb="FFF8696B"/>
        <color rgb="FFFFEB84"/>
        <color rgb="FF63BE7B"/>
      </colorScale>
    </cfRule>
    <cfRule type="colorScale" priority="97">
      <colorScale>
        <cfvo type="percentile" val="10"/>
        <cfvo type="percentile" val="50"/>
        <cfvo type="percentile" val="90"/>
        <color rgb="FFF8696B"/>
        <color rgb="FFFFEB84"/>
        <color rgb="FF63BE7B"/>
      </colorScale>
    </cfRule>
    <cfRule type="colorScale" priority="99">
      <colorScale>
        <cfvo type="percentile" val="10"/>
        <cfvo type="percentile" val="50"/>
        <cfvo type="percentile" val="90"/>
        <color rgb="FFF8696B"/>
        <color rgb="FFFFEB84"/>
        <color rgb="FF63BE7B"/>
      </colorScale>
    </cfRule>
  </conditionalFormatting>
  <conditionalFormatting sqref="F25">
    <cfRule type="colorScale" priority="602">
      <colorScale>
        <cfvo type="percent" val="20"/>
        <cfvo type="percent" val="50"/>
        <cfvo type="percent" val="100"/>
        <color rgb="FFF8696B"/>
        <color rgb="FFFFEB84"/>
        <color rgb="FF63BE7B"/>
      </colorScale>
    </cfRule>
    <cfRule type="colorScale" priority="597">
      <colorScale>
        <cfvo type="percent" val="0"/>
        <cfvo type="percent" val="50"/>
        <cfvo type="percent" val="100"/>
        <color rgb="FFF8696B"/>
        <color rgb="FFFFEB84"/>
        <color rgb="FF63BE7B"/>
      </colorScale>
    </cfRule>
    <cfRule type="colorScale" priority="598">
      <colorScale>
        <cfvo type="percent" val="0"/>
        <cfvo type="percent" val="50"/>
        <cfvo type="percent" val="100"/>
        <color rgb="FFF8696B"/>
        <color rgb="FFFFEB84"/>
        <color rgb="FF63BE7B"/>
      </colorScale>
    </cfRule>
    <cfRule type="colorScale" priority="599">
      <colorScale>
        <cfvo type="percentile" val="10"/>
        <cfvo type="percentile" val="50"/>
        <cfvo type="percentile" val="90"/>
        <color rgb="FFF8696B"/>
        <color rgb="FFFFEB84"/>
        <color rgb="FF63BE7B"/>
      </colorScale>
    </cfRule>
    <cfRule type="colorScale" priority="600">
      <colorScale>
        <cfvo type="percent" val="0"/>
        <cfvo type="percent" val="50"/>
        <cfvo type="percent" val="100"/>
        <color rgb="FFF8696B"/>
        <color rgb="FFFFEB84"/>
        <color rgb="FF63BE7B"/>
      </colorScale>
    </cfRule>
    <cfRule type="colorScale" priority="601">
      <colorScale>
        <cfvo type="percentile" val="10"/>
        <cfvo type="percentile" val="50"/>
        <cfvo type="percentile" val="90"/>
        <color rgb="FFF8696B"/>
        <color rgb="FFFFEB84"/>
        <color rgb="FF63BE7B"/>
      </colorScale>
    </cfRule>
    <cfRule type="colorScale" priority="603">
      <colorScale>
        <cfvo type="min"/>
        <cfvo type="percentile" val="50"/>
        <cfvo type="max"/>
        <color rgb="FFF8696B"/>
        <color rgb="FFFFEB84"/>
        <color rgb="FF63BE7B"/>
      </colorScale>
    </cfRule>
  </conditionalFormatting>
  <conditionalFormatting sqref="F30">
    <cfRule type="colorScale" priority="40">
      <colorScale>
        <cfvo type="percent" val="0"/>
        <cfvo type="percent" val="50"/>
        <cfvo type="percent" val="100"/>
        <color rgb="FFF8696B"/>
        <color rgb="FFFFEB84"/>
        <color rgb="FF63BE7B"/>
      </colorScale>
    </cfRule>
    <cfRule type="colorScale" priority="41">
      <colorScale>
        <cfvo type="percent" val="20"/>
        <cfvo type="percent" val="60"/>
        <cfvo type="percent" val="9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0"/>
        <cfvo type="percent" val="50"/>
        <cfvo type="percent" val="100"/>
        <color rgb="FFF8696B"/>
        <color rgb="FFFFEB84"/>
        <color rgb="FF63BE7B"/>
      </colorScale>
    </cfRule>
    <cfRule type="colorScale" priority="47">
      <colorScale>
        <cfvo type="percentile" val="10"/>
        <cfvo type="percentile" val="50"/>
        <cfvo type="percentile" val="90"/>
        <color rgb="FFF8696B"/>
        <color rgb="FFFFEB84"/>
        <color rgb="FF63BE7B"/>
      </colorScale>
    </cfRule>
    <cfRule type="colorScale" priority="48">
      <colorScale>
        <cfvo type="percent" val="20"/>
        <cfvo type="percent" val="50"/>
        <cfvo type="percent" val="100"/>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F31:F37">
    <cfRule type="colorScale" priority="60">
      <colorScale>
        <cfvo type="percent" val="0"/>
        <cfvo type="percent" val="50"/>
        <cfvo type="percent" val="100"/>
        <color rgb="FFF8696B"/>
        <color rgb="FFFFEB84"/>
        <color rgb="FF63BE7B"/>
      </colorScale>
    </cfRule>
    <cfRule type="colorScale" priority="61">
      <colorScale>
        <cfvo type="percent" val="20"/>
        <cfvo type="percent" val="60"/>
        <cfvo type="percent" val="90"/>
        <color rgb="FFF8696B"/>
        <color rgb="FFFFEB84"/>
        <color rgb="FF63BE7B"/>
      </colorScale>
    </cfRule>
    <cfRule type="colorScale" priority="62">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0"/>
        <cfvo type="percent" val="50"/>
        <cfvo type="percent" val="100"/>
        <color rgb="FFF8696B"/>
        <color rgb="FFFFEB84"/>
        <color rgb="FF63BE7B"/>
      </colorScale>
    </cfRule>
    <cfRule type="colorScale" priority="69">
      <colorScale>
        <cfvo type="min"/>
        <cfvo type="percentile" val="50"/>
        <cfvo type="max"/>
        <color rgb="FFF8696B"/>
        <color rgb="FFFFEB84"/>
        <color rgb="FF63BE7B"/>
      </colorScale>
    </cfRule>
    <cfRule type="colorScale" priority="68">
      <colorScale>
        <cfvo type="percent" val="20"/>
        <cfvo type="percent" val="50"/>
        <cfvo type="percent" val="100"/>
        <color rgb="FFF8696B"/>
        <color rgb="FFFFEB84"/>
        <color rgb="FF63BE7B"/>
      </colorScale>
    </cfRule>
    <cfRule type="colorScale" priority="67">
      <colorScale>
        <cfvo type="percentile" val="10"/>
        <cfvo type="percentile" val="50"/>
        <cfvo type="percentile" val="90"/>
        <color rgb="FFF8696B"/>
        <color rgb="FFFFEB84"/>
        <color rgb="FF63BE7B"/>
      </colorScale>
    </cfRule>
  </conditionalFormatting>
  <conditionalFormatting sqref="F38">
    <cfRule type="colorScale" priority="616">
      <colorScale>
        <cfvo type="percent" val="20"/>
        <cfvo type="percent" val="60"/>
        <cfvo type="percent" val="90"/>
        <color rgb="FFF8696B"/>
        <color rgb="FFFFEB84"/>
        <color rgb="FF63BE7B"/>
      </colorScale>
    </cfRule>
    <cfRule type="colorScale" priority="615">
      <colorScale>
        <cfvo type="percent" val="0"/>
        <cfvo type="percent" val="50"/>
        <cfvo type="percent" val="100"/>
        <color rgb="FFF8696B"/>
        <color rgb="FFFFEB84"/>
        <color rgb="FF63BE7B"/>
      </colorScale>
    </cfRule>
    <cfRule type="colorScale" priority="617">
      <colorScale>
        <cfvo type="percent" val="0"/>
        <cfvo type="percent" val="50"/>
        <cfvo type="percent" val="100"/>
        <color rgb="FFF8696B"/>
        <color rgb="FFFFEB84"/>
        <color rgb="FF63BE7B"/>
      </colorScale>
    </cfRule>
    <cfRule type="colorScale" priority="618">
      <colorScale>
        <cfvo type="percent" val="0"/>
        <cfvo type="percent" val="50"/>
        <cfvo type="percent" val="100"/>
        <color rgb="FFF8696B"/>
        <color rgb="FFFFEB84"/>
        <color rgb="FF63BE7B"/>
      </colorScale>
    </cfRule>
    <cfRule type="colorScale" priority="619">
      <colorScale>
        <cfvo type="percent" val="0"/>
        <cfvo type="percent" val="50"/>
        <cfvo type="percent" val="100"/>
        <color rgb="FFF8696B"/>
        <color rgb="FFFFEB84"/>
        <color rgb="FF63BE7B"/>
      </colorScale>
    </cfRule>
    <cfRule type="colorScale" priority="620">
      <colorScale>
        <cfvo type="percentile" val="10"/>
        <cfvo type="percentile" val="50"/>
        <cfvo type="percentile" val="90"/>
        <color rgb="FFF8696B"/>
        <color rgb="FFFFEB84"/>
        <color rgb="FF63BE7B"/>
      </colorScale>
    </cfRule>
    <cfRule type="colorScale" priority="621">
      <colorScale>
        <cfvo type="percent" val="0"/>
        <cfvo type="percent" val="50"/>
        <cfvo type="percent" val="100"/>
        <color rgb="FFF8696B"/>
        <color rgb="FFFFEB84"/>
        <color rgb="FF63BE7B"/>
      </colorScale>
    </cfRule>
    <cfRule type="colorScale" priority="622">
      <colorScale>
        <cfvo type="percentile" val="10"/>
        <cfvo type="percentile" val="50"/>
        <cfvo type="percentile" val="90"/>
        <color rgb="FFF8696B"/>
        <color rgb="FFFFEB84"/>
        <color rgb="FF63BE7B"/>
      </colorScale>
    </cfRule>
    <cfRule type="colorScale" priority="623">
      <colorScale>
        <cfvo type="percent" val="20"/>
        <cfvo type="percent" val="50"/>
        <cfvo type="percent" val="100"/>
        <color rgb="FFF8696B"/>
        <color rgb="FFFFEB84"/>
        <color rgb="FF63BE7B"/>
      </colorScale>
    </cfRule>
    <cfRule type="colorScale" priority="624">
      <colorScale>
        <cfvo type="min"/>
        <cfvo type="percentile" val="50"/>
        <cfvo type="max"/>
        <color rgb="FFF8696B"/>
        <color rgb="FFFFEB84"/>
        <color rgb="FF63BE7B"/>
      </colorScale>
    </cfRule>
  </conditionalFormatting>
  <conditionalFormatting sqref="L4">
    <cfRule type="colorScale" priority="117">
      <colorScale>
        <cfvo type="percent" val="0"/>
        <cfvo type="percent" val="50"/>
        <cfvo type="percent" val="100"/>
        <color rgb="FFF8696B"/>
        <color rgb="FFFFEB84"/>
        <color rgb="FF63BE7B"/>
      </colorScale>
    </cfRule>
  </conditionalFormatting>
  <conditionalFormatting sqref="L5">
    <cfRule type="colorScale" priority="134">
      <colorScale>
        <cfvo type="percent" val="0"/>
        <cfvo type="percent" val="50"/>
        <cfvo type="percent" val="100"/>
        <color rgb="FFF8696B"/>
        <color rgb="FFFFEB84"/>
        <color rgb="FF63BE7B"/>
      </colorScale>
    </cfRule>
  </conditionalFormatting>
  <conditionalFormatting sqref="L6:L11">
    <cfRule type="colorScale" priority="30">
      <colorScale>
        <cfvo type="percent" val="0"/>
        <cfvo type="percent" val="50"/>
        <cfvo type="percent" val="100"/>
        <color rgb="FFF8696B"/>
        <color rgb="FFFFEB84"/>
        <color rgb="FF63BE7B"/>
      </colorScale>
    </cfRule>
  </conditionalFormatting>
  <conditionalFormatting sqref="L12">
    <cfRule type="colorScale" priority="587">
      <colorScale>
        <cfvo type="percent" val="0"/>
        <cfvo type="percent" val="50"/>
        <cfvo type="percent" val="100"/>
        <color rgb="FFF8696B"/>
        <color rgb="FFFFEB84"/>
        <color rgb="FF63BE7B"/>
      </colorScale>
    </cfRule>
  </conditionalFormatting>
  <conditionalFormatting sqref="L30">
    <cfRule type="colorScale" priority="50">
      <colorScale>
        <cfvo type="percent" val="0"/>
        <cfvo type="percent" val="50"/>
        <cfvo type="percent" val="100"/>
        <color rgb="FFF8696B"/>
        <color rgb="FFFFEB84"/>
        <color rgb="FF63BE7B"/>
      </colorScale>
    </cfRule>
  </conditionalFormatting>
  <conditionalFormatting sqref="L31:L37">
    <cfRule type="colorScale" priority="70">
      <colorScale>
        <cfvo type="percent" val="0"/>
        <cfvo type="percent" val="50"/>
        <cfvo type="percent" val="100"/>
        <color rgb="FFF8696B"/>
        <color rgb="FFFFEB84"/>
        <color rgb="FF63BE7B"/>
      </colorScale>
    </cfRule>
  </conditionalFormatting>
  <conditionalFormatting sqref="L38">
    <cfRule type="colorScale" priority="625">
      <colorScale>
        <cfvo type="percent" val="0"/>
        <cfvo type="percent" val="50"/>
        <cfvo type="percent" val="100"/>
        <color rgb="FFF8696B"/>
        <color rgb="FFFFEB84"/>
        <color rgb="FF63BE7B"/>
      </colorScale>
    </cfRule>
  </conditionalFormatting>
  <conditionalFormatting sqref="L4:N4">
    <cfRule type="colorScale" priority="125">
      <colorScale>
        <cfvo type="percent" val="0"/>
        <cfvo type="percent" val="50"/>
        <cfvo type="percent" val="100"/>
        <color rgb="FFF8696B"/>
        <color rgb="FFFFEB84"/>
        <color rgb="FF63BE7B"/>
      </colorScale>
    </cfRule>
  </conditionalFormatting>
  <conditionalFormatting sqref="L5:N5">
    <cfRule type="colorScale" priority="142">
      <colorScale>
        <cfvo type="percent" val="0"/>
        <cfvo type="percent" val="50"/>
        <cfvo type="percent" val="100"/>
        <color rgb="FFF8696B"/>
        <color rgb="FFFFEB84"/>
        <color rgb="FF63BE7B"/>
      </colorScale>
    </cfRule>
  </conditionalFormatting>
  <conditionalFormatting sqref="L6:N6">
    <cfRule type="colorScale" priority="13">
      <colorScale>
        <cfvo type="percent" val="0"/>
        <cfvo type="percent" val="50"/>
        <cfvo type="percent" val="100"/>
        <color rgb="FFF8696B"/>
        <color rgb="FFFFEB84"/>
        <color rgb="FF63BE7B"/>
      </colorScale>
    </cfRule>
  </conditionalFormatting>
  <conditionalFormatting sqref="L7:N7">
    <cfRule type="colorScale" priority="15">
      <colorScale>
        <cfvo type="percent" val="0"/>
        <cfvo type="percent" val="50"/>
        <cfvo type="percent" val="100"/>
        <color rgb="FFF8696B"/>
        <color rgb="FFFFEB84"/>
        <color rgb="FF63BE7B"/>
      </colorScale>
    </cfRule>
  </conditionalFormatting>
  <conditionalFormatting sqref="L8:N8">
    <cfRule type="colorScale" priority="17">
      <colorScale>
        <cfvo type="percent" val="0"/>
        <cfvo type="percent" val="50"/>
        <cfvo type="percent" val="100"/>
        <color rgb="FFF8696B"/>
        <color rgb="FFFFEB84"/>
        <color rgb="FF63BE7B"/>
      </colorScale>
    </cfRule>
  </conditionalFormatting>
  <conditionalFormatting sqref="L9:N9">
    <cfRule type="colorScale" priority="19">
      <colorScale>
        <cfvo type="percent" val="0"/>
        <cfvo type="percent" val="50"/>
        <cfvo type="percent" val="100"/>
        <color rgb="FFF8696B"/>
        <color rgb="FFFFEB84"/>
        <color rgb="FF63BE7B"/>
      </colorScale>
    </cfRule>
  </conditionalFormatting>
  <conditionalFormatting sqref="L10:N10">
    <cfRule type="colorScale" priority="21">
      <colorScale>
        <cfvo type="percent" val="0"/>
        <cfvo type="percent" val="50"/>
        <cfvo type="percent" val="100"/>
        <color rgb="FFF8696B"/>
        <color rgb="FFFFEB84"/>
        <color rgb="FF63BE7B"/>
      </colorScale>
    </cfRule>
  </conditionalFormatting>
  <conditionalFormatting sqref="L11:N11">
    <cfRule type="colorScale" priority="38">
      <colorScale>
        <cfvo type="percent" val="0"/>
        <cfvo type="percent" val="50"/>
        <cfvo type="percent" val="100"/>
        <color rgb="FFF8696B"/>
        <color rgb="FFFFEB84"/>
        <color rgb="FF63BE7B"/>
      </colorScale>
    </cfRule>
  </conditionalFormatting>
  <conditionalFormatting sqref="L12:N12">
    <cfRule type="colorScale" priority="595">
      <colorScale>
        <cfvo type="percent" val="0"/>
        <cfvo type="percent" val="50"/>
        <cfvo type="percent" val="100"/>
        <color rgb="FFF8696B"/>
        <color rgb="FFFFEB84"/>
        <color rgb="FF63BE7B"/>
      </colorScale>
    </cfRule>
  </conditionalFormatting>
  <conditionalFormatting sqref="L17:N17">
    <cfRule type="colorScale" priority="93">
      <colorScale>
        <cfvo type="percent" val="0"/>
        <cfvo type="percentile" val="50"/>
        <cfvo type="percent" val="100"/>
        <color rgb="FFF8696B"/>
        <color rgb="FFFFEB84"/>
        <color rgb="FF63BE7B"/>
      </colorScale>
    </cfRule>
  </conditionalFormatting>
  <conditionalFormatting sqref="L18:N24">
    <cfRule type="colorScale" priority="108">
      <colorScale>
        <cfvo type="percent" val="0"/>
        <cfvo type="percentile" val="50"/>
        <cfvo type="percent" val="100"/>
        <color rgb="FFF8696B"/>
        <color rgb="FFFFEB84"/>
        <color rgb="FF63BE7B"/>
      </colorScale>
    </cfRule>
  </conditionalFormatting>
  <conditionalFormatting sqref="L25:N25">
    <cfRule type="colorScale" priority="613">
      <colorScale>
        <cfvo type="percent" val="0"/>
        <cfvo type="percentile" val="50"/>
        <cfvo type="percent" val="100"/>
        <color rgb="FFF8696B"/>
        <color rgb="FFFFEB84"/>
        <color rgb="FF63BE7B"/>
      </colorScale>
    </cfRule>
  </conditionalFormatting>
  <conditionalFormatting sqref="L30:N30">
    <cfRule type="colorScale" priority="58">
      <colorScale>
        <cfvo type="percent" val="0"/>
        <cfvo type="percent" val="50"/>
        <cfvo type="percent" val="100"/>
        <color rgb="FFF8696B"/>
        <color rgb="FFFFEB84"/>
        <color rgb="FF63BE7B"/>
      </colorScale>
    </cfRule>
  </conditionalFormatting>
  <conditionalFormatting sqref="L31:N31">
    <cfRule type="colorScale" priority="1">
      <colorScale>
        <cfvo type="percent" val="0"/>
        <cfvo type="percent" val="50"/>
        <cfvo type="percent" val="100"/>
        <color rgb="FFF8696B"/>
        <color rgb="FFFFEB84"/>
        <color rgb="FF63BE7B"/>
      </colorScale>
    </cfRule>
  </conditionalFormatting>
  <conditionalFormatting sqref="L32:N32">
    <cfRule type="colorScale" priority="3">
      <colorScale>
        <cfvo type="percent" val="0"/>
        <cfvo type="percent" val="50"/>
        <cfvo type="percent" val="100"/>
        <color rgb="FFF8696B"/>
        <color rgb="FFFFEB84"/>
        <color rgb="FF63BE7B"/>
      </colorScale>
    </cfRule>
  </conditionalFormatting>
  <conditionalFormatting sqref="L33:N33">
    <cfRule type="colorScale" priority="5">
      <colorScale>
        <cfvo type="percent" val="0"/>
        <cfvo type="percent" val="50"/>
        <cfvo type="percent" val="100"/>
        <color rgb="FFF8696B"/>
        <color rgb="FFFFEB84"/>
        <color rgb="FF63BE7B"/>
      </colorScale>
    </cfRule>
  </conditionalFormatting>
  <conditionalFormatting sqref="L34:N34">
    <cfRule type="colorScale" priority="7">
      <colorScale>
        <cfvo type="percent" val="0"/>
        <cfvo type="percent" val="50"/>
        <cfvo type="percent" val="100"/>
        <color rgb="FFF8696B"/>
        <color rgb="FFFFEB84"/>
        <color rgb="FF63BE7B"/>
      </colorScale>
    </cfRule>
  </conditionalFormatting>
  <conditionalFormatting sqref="L35:N35">
    <cfRule type="colorScale" priority="9">
      <colorScale>
        <cfvo type="percent" val="0"/>
        <cfvo type="percent" val="50"/>
        <cfvo type="percent" val="100"/>
        <color rgb="FFF8696B"/>
        <color rgb="FFFFEB84"/>
        <color rgb="FF63BE7B"/>
      </colorScale>
    </cfRule>
  </conditionalFormatting>
  <conditionalFormatting sqref="L36:N36">
    <cfRule type="colorScale" priority="11">
      <colorScale>
        <cfvo type="percent" val="0"/>
        <cfvo type="percent" val="50"/>
        <cfvo type="percent" val="100"/>
        <color rgb="FFF8696B"/>
        <color rgb="FFFFEB84"/>
        <color rgb="FF63BE7B"/>
      </colorScale>
    </cfRule>
  </conditionalFormatting>
  <conditionalFormatting sqref="L37:N37">
    <cfRule type="colorScale" priority="78">
      <colorScale>
        <cfvo type="percent" val="0"/>
        <cfvo type="percent" val="50"/>
        <cfvo type="percent" val="100"/>
        <color rgb="FFF8696B"/>
        <color rgb="FFFFEB84"/>
        <color rgb="FF63BE7B"/>
      </colorScale>
    </cfRule>
  </conditionalFormatting>
  <conditionalFormatting sqref="L38:N38">
    <cfRule type="colorScale" priority="633">
      <colorScale>
        <cfvo type="percent" val="0"/>
        <cfvo type="percent" val="50"/>
        <cfvo type="percent" val="100"/>
        <color rgb="FFF8696B"/>
        <color rgb="FFFFEB84"/>
        <color rgb="FF63BE7B"/>
      </colorScale>
    </cfRule>
  </conditionalFormatting>
  <conditionalFormatting sqref="M4">
    <cfRule type="colorScale" priority="119">
      <colorScale>
        <cfvo type="percent" val="0"/>
        <cfvo type="percent" val="50"/>
        <cfvo type="percent" val="100"/>
        <color rgb="FFF8696B"/>
        <color rgb="FFFFEB84"/>
        <color rgb="FF63BE7B"/>
      </colorScale>
    </cfRule>
    <cfRule type="colorScale" priority="120">
      <colorScale>
        <cfvo type="percent" val="0"/>
        <cfvo type="percent" val="50"/>
        <cfvo type="percent" val="100"/>
        <color rgb="FFF8696B"/>
        <color rgb="FFFFEB84"/>
        <color rgb="FF63BE7B"/>
      </colorScale>
    </cfRule>
  </conditionalFormatting>
  <conditionalFormatting sqref="M5">
    <cfRule type="colorScale" priority="136">
      <colorScale>
        <cfvo type="percent" val="0"/>
        <cfvo type="percent" val="50"/>
        <cfvo type="percent" val="100"/>
        <color rgb="FFF8696B"/>
        <color rgb="FFFFEB84"/>
        <color rgb="FF63BE7B"/>
      </colorScale>
    </cfRule>
    <cfRule type="colorScale" priority="137">
      <colorScale>
        <cfvo type="percent" val="0"/>
        <cfvo type="percent" val="50"/>
        <cfvo type="percent" val="100"/>
        <color rgb="FFF8696B"/>
        <color rgb="FFFFEB84"/>
        <color rgb="FF63BE7B"/>
      </colorScale>
    </cfRule>
  </conditionalFormatting>
  <conditionalFormatting sqref="M6:M11">
    <cfRule type="colorScale" priority="33">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onditionalFormatting>
  <conditionalFormatting sqref="M12">
    <cfRule type="colorScale" priority="589">
      <colorScale>
        <cfvo type="percent" val="0"/>
        <cfvo type="percent" val="50"/>
        <cfvo type="percent" val="100"/>
        <color rgb="FFF8696B"/>
        <color rgb="FFFFEB84"/>
        <color rgb="FF63BE7B"/>
      </colorScale>
    </cfRule>
    <cfRule type="colorScale" priority="590">
      <colorScale>
        <cfvo type="percent" val="0"/>
        <cfvo type="percent" val="50"/>
        <cfvo type="percent" val="100"/>
        <color rgb="FFF8696B"/>
        <color rgb="FFFFEB84"/>
        <color rgb="FF63BE7B"/>
      </colorScale>
    </cfRule>
  </conditionalFormatting>
  <conditionalFormatting sqref="M17">
    <cfRule type="colorScale" priority="91">
      <colorScale>
        <cfvo type="percent" val="0"/>
        <cfvo type="percent" val="50"/>
        <cfvo type="percent" val="100"/>
        <color rgb="FFF8696B"/>
        <color rgb="FFFFEB84"/>
        <color rgb="FF63BE7B"/>
      </colorScale>
    </cfRule>
    <cfRule type="colorScale" priority="92">
      <colorScale>
        <cfvo type="percent" val="0"/>
        <cfvo type="percent" val="50"/>
        <cfvo type="percent" val="100"/>
        <color rgb="FFF8696B"/>
        <color rgb="FFFFEB84"/>
        <color rgb="FF63BE7B"/>
      </colorScale>
    </cfRule>
  </conditionalFormatting>
  <conditionalFormatting sqref="M18:M24">
    <cfRule type="colorScale" priority="107">
      <colorScale>
        <cfvo type="percent" val="0"/>
        <cfvo type="percent" val="50"/>
        <cfvo type="percent" val="100"/>
        <color rgb="FFF8696B"/>
        <color rgb="FFFFEB84"/>
        <color rgb="FF63BE7B"/>
      </colorScale>
    </cfRule>
    <cfRule type="colorScale" priority="106">
      <colorScale>
        <cfvo type="percent" val="0"/>
        <cfvo type="percent" val="50"/>
        <cfvo type="percent" val="100"/>
        <color rgb="FFF8696B"/>
        <color rgb="FFFFEB84"/>
        <color rgb="FF63BE7B"/>
      </colorScale>
    </cfRule>
  </conditionalFormatting>
  <conditionalFormatting sqref="M25">
    <cfRule type="colorScale" priority="611">
      <colorScale>
        <cfvo type="percent" val="0"/>
        <cfvo type="percent" val="50"/>
        <cfvo type="percent" val="100"/>
        <color rgb="FFF8696B"/>
        <color rgb="FFFFEB84"/>
        <color rgb="FF63BE7B"/>
      </colorScale>
    </cfRule>
    <cfRule type="colorScale" priority="612">
      <colorScale>
        <cfvo type="percent" val="0"/>
        <cfvo type="percent" val="50"/>
        <cfvo type="percent" val="100"/>
        <color rgb="FFF8696B"/>
        <color rgb="FFFFEB84"/>
        <color rgb="FF63BE7B"/>
      </colorScale>
    </cfRule>
  </conditionalFormatting>
  <conditionalFormatting sqref="M30">
    <cfRule type="colorScale" priority="53">
      <colorScale>
        <cfvo type="percent" val="0"/>
        <cfvo type="percent" val="50"/>
        <cfvo type="percent" val="100"/>
        <color rgb="FFF8696B"/>
        <color rgb="FFFFEB84"/>
        <color rgb="FF63BE7B"/>
      </colorScale>
    </cfRule>
    <cfRule type="colorScale" priority="52">
      <colorScale>
        <cfvo type="percent" val="0"/>
        <cfvo type="percent" val="50"/>
        <cfvo type="percent" val="100"/>
        <color rgb="FFF8696B"/>
        <color rgb="FFFFEB84"/>
        <color rgb="FF63BE7B"/>
      </colorScale>
    </cfRule>
  </conditionalFormatting>
  <conditionalFormatting sqref="M31:M37">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38">
    <cfRule type="colorScale" priority="627">
      <colorScale>
        <cfvo type="percent" val="0"/>
        <cfvo type="percent" val="50"/>
        <cfvo type="percent" val="100"/>
        <color rgb="FFF8696B"/>
        <color rgb="FFFFEB84"/>
        <color rgb="FF63BE7B"/>
      </colorScale>
    </cfRule>
    <cfRule type="colorScale" priority="628">
      <colorScale>
        <cfvo type="percent" val="0"/>
        <cfvo type="percent" val="50"/>
        <cfvo type="percent" val="100"/>
        <color rgb="FFF8696B"/>
        <color rgb="FFFFEB84"/>
        <color rgb="FF63BE7B"/>
      </colorScale>
    </cfRule>
  </conditionalFormatting>
  <conditionalFormatting sqref="N4">
    <cfRule type="colorScale" priority="122">
      <colorScale>
        <cfvo type="percent" val="0"/>
        <cfvo type="percent" val="50"/>
        <cfvo type="percent" val="100"/>
        <color rgb="FFF8696B"/>
        <color rgb="FFFFEB84"/>
        <color rgb="FF63BE7B"/>
      </colorScale>
    </cfRule>
    <cfRule type="colorScale" priority="123">
      <colorScale>
        <cfvo type="percent" val="0"/>
        <cfvo type="percent" val="50"/>
        <cfvo type="percent" val="100"/>
        <color rgb="FFF8696B"/>
        <color rgb="FFFFEB84"/>
        <color rgb="FF63BE7B"/>
      </colorScale>
    </cfRule>
  </conditionalFormatting>
  <conditionalFormatting sqref="N5">
    <cfRule type="colorScale" priority="139">
      <colorScale>
        <cfvo type="percent" val="0"/>
        <cfvo type="percent" val="50"/>
        <cfvo type="percent" val="100"/>
        <color rgb="FFF8696B"/>
        <color rgb="FFFFEB84"/>
        <color rgb="FF63BE7B"/>
      </colorScale>
    </cfRule>
    <cfRule type="colorScale" priority="140">
      <colorScale>
        <cfvo type="percent" val="0"/>
        <cfvo type="percent" val="50"/>
        <cfvo type="percent" val="100"/>
        <color rgb="FFF8696B"/>
        <color rgb="FFFFEB84"/>
        <color rgb="FF63BE7B"/>
      </colorScale>
    </cfRule>
  </conditionalFormatting>
  <conditionalFormatting sqref="N6:N11">
    <cfRule type="colorScale" priority="36">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12">
    <cfRule type="colorScale" priority="592">
      <colorScale>
        <cfvo type="percent" val="0"/>
        <cfvo type="percent" val="50"/>
        <cfvo type="percent" val="100"/>
        <color rgb="FFF8696B"/>
        <color rgb="FFFFEB84"/>
        <color rgb="FF63BE7B"/>
      </colorScale>
    </cfRule>
    <cfRule type="colorScale" priority="593">
      <colorScale>
        <cfvo type="percent" val="0"/>
        <cfvo type="percent" val="50"/>
        <cfvo type="percent" val="100"/>
        <color rgb="FFF8696B"/>
        <color rgb="FFFFEB84"/>
        <color rgb="FF63BE7B"/>
      </colorScale>
    </cfRule>
  </conditionalFormatting>
  <conditionalFormatting sqref="N17 L17">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N18:N24 L18:L24">
    <cfRule type="colorScale" priority="103">
      <colorScale>
        <cfvo type="percent" val="0"/>
        <cfvo type="percent" val="50"/>
        <cfvo type="percent" val="100"/>
        <color rgb="FFF8696B"/>
        <color rgb="FFFFEB84"/>
        <color rgb="FF63BE7B"/>
      </colorScale>
    </cfRule>
    <cfRule type="colorScale" priority="102">
      <colorScale>
        <cfvo type="percent" val="0"/>
        <cfvo type="percent" val="50"/>
        <cfvo type="percent" val="100"/>
        <color rgb="FFF8696B"/>
        <color rgb="FFFFEB84"/>
        <color rgb="FF63BE7B"/>
      </colorScale>
    </cfRule>
  </conditionalFormatting>
  <conditionalFormatting sqref="N25 L25">
    <cfRule type="colorScale" priority="605">
      <colorScale>
        <cfvo type="percent" val="0"/>
        <cfvo type="percent" val="50"/>
        <cfvo type="percent" val="100"/>
        <color rgb="FFF8696B"/>
        <color rgb="FFFFEB84"/>
        <color rgb="FF63BE7B"/>
      </colorScale>
    </cfRule>
    <cfRule type="colorScale" priority="604">
      <colorScale>
        <cfvo type="percent" val="0"/>
        <cfvo type="percent" val="50"/>
        <cfvo type="percent" val="100"/>
        <color rgb="FFF8696B"/>
        <color rgb="FFFFEB84"/>
        <color rgb="FF63BE7B"/>
      </colorScale>
    </cfRule>
  </conditionalFormatting>
  <conditionalFormatting sqref="N30">
    <cfRule type="colorScale" priority="55">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onditionalFormatting>
  <conditionalFormatting sqref="N31:N37">
    <cfRule type="colorScale" priority="75">
      <colorScale>
        <cfvo type="percent" val="0"/>
        <cfvo type="percent" val="50"/>
        <cfvo type="percent" val="100"/>
        <color rgb="FFF8696B"/>
        <color rgb="FFFFEB84"/>
        <color rgb="FF63BE7B"/>
      </colorScale>
    </cfRule>
    <cfRule type="colorScale" priority="76">
      <colorScale>
        <cfvo type="percent" val="0"/>
        <cfvo type="percent" val="50"/>
        <cfvo type="percent" val="100"/>
        <color rgb="FFF8696B"/>
        <color rgb="FFFFEB84"/>
        <color rgb="FF63BE7B"/>
      </colorScale>
    </cfRule>
  </conditionalFormatting>
  <conditionalFormatting sqref="N38">
    <cfRule type="colorScale" priority="630">
      <colorScale>
        <cfvo type="percent" val="0"/>
        <cfvo type="percent" val="50"/>
        <cfvo type="percent" val="100"/>
        <color rgb="FFF8696B"/>
        <color rgb="FFFFEB84"/>
        <color rgb="FF63BE7B"/>
      </colorScale>
    </cfRule>
    <cfRule type="colorScale" priority="631">
      <colorScale>
        <cfvo type="percent" val="0"/>
        <cfvo type="percent" val="50"/>
        <cfvo type="percent" val="100"/>
        <color rgb="FFF8696B"/>
        <color rgb="FFFFEB84"/>
        <color rgb="FF63BE7B"/>
      </colorScale>
    </cfRule>
  </conditionalFormatting>
  <conditionalFormatting sqref="T4">
    <cfRule type="colorScale" priority="118">
      <colorScale>
        <cfvo type="percent" val="0"/>
        <cfvo type="percent" val="50"/>
        <cfvo type="percent" val="100"/>
        <color rgb="FFF8696B"/>
        <color rgb="FFFFEB84"/>
        <color rgb="FF63BE7B"/>
      </colorScale>
    </cfRule>
  </conditionalFormatting>
  <conditionalFormatting sqref="T5">
    <cfRule type="colorScale" priority="135">
      <colorScale>
        <cfvo type="percent" val="0"/>
        <cfvo type="percent" val="50"/>
        <cfvo type="percent" val="100"/>
        <color rgb="FFF8696B"/>
        <color rgb="FFFFEB84"/>
        <color rgb="FF63BE7B"/>
      </colorScale>
    </cfRule>
  </conditionalFormatting>
  <conditionalFormatting sqref="T6:T11">
    <cfRule type="colorScale" priority="31">
      <colorScale>
        <cfvo type="percent" val="0"/>
        <cfvo type="percent" val="50"/>
        <cfvo type="percent" val="100"/>
        <color rgb="FFF8696B"/>
        <color rgb="FFFFEB84"/>
        <color rgb="FF63BE7B"/>
      </colorScale>
    </cfRule>
  </conditionalFormatting>
  <conditionalFormatting sqref="T12">
    <cfRule type="colorScale" priority="588">
      <colorScale>
        <cfvo type="percent" val="0"/>
        <cfvo type="percent" val="50"/>
        <cfvo type="percent" val="100"/>
        <color rgb="FFF8696B"/>
        <color rgb="FFFFEB84"/>
        <color rgb="FF63BE7B"/>
      </colorScale>
    </cfRule>
  </conditionalFormatting>
  <conditionalFormatting sqref="T18:T24 V18:V24">
    <cfRule type="colorScale" priority="104">
      <colorScale>
        <cfvo type="percent" val="0"/>
        <cfvo type="percent" val="50"/>
        <cfvo type="percent" val="100"/>
        <color rgb="FFF8696B"/>
        <color rgb="FFFFEB84"/>
        <color rgb="FF63BE7B"/>
      </colorScale>
    </cfRule>
  </conditionalFormatting>
  <conditionalFormatting sqref="T30">
    <cfRule type="colorScale" priority="51">
      <colorScale>
        <cfvo type="percent" val="0"/>
        <cfvo type="percent" val="50"/>
        <cfvo type="percent" val="100"/>
        <color rgb="FFF8696B"/>
        <color rgb="FFFFEB84"/>
        <color rgb="FF63BE7B"/>
      </colorScale>
    </cfRule>
  </conditionalFormatting>
  <conditionalFormatting sqref="T31:T37">
    <cfRule type="colorScale" priority="71">
      <colorScale>
        <cfvo type="percent" val="0"/>
        <cfvo type="percent" val="50"/>
        <cfvo type="percent" val="100"/>
        <color rgb="FFF8696B"/>
        <color rgb="FFFFEB84"/>
        <color rgb="FF63BE7B"/>
      </colorScale>
    </cfRule>
  </conditionalFormatting>
  <conditionalFormatting sqref="T38">
    <cfRule type="colorScale" priority="626">
      <colorScale>
        <cfvo type="percent" val="0"/>
        <cfvo type="percent" val="50"/>
        <cfvo type="percent" val="100"/>
        <color rgb="FFF8696B"/>
        <color rgb="FFFFEB84"/>
        <color rgb="FF63BE7B"/>
      </colorScale>
    </cfRule>
  </conditionalFormatting>
  <conditionalFormatting sqref="T4:V4">
    <cfRule type="colorScale" priority="126">
      <colorScale>
        <cfvo type="percent" val="0"/>
        <cfvo type="percent" val="50"/>
        <cfvo type="percent" val="100"/>
        <color rgb="FFF8696B"/>
        <color rgb="FFFFEB84"/>
        <color rgb="FF63BE7B"/>
      </colorScale>
    </cfRule>
  </conditionalFormatting>
  <conditionalFormatting sqref="T5:V5">
    <cfRule type="colorScale" priority="143">
      <colorScale>
        <cfvo type="percent" val="0"/>
        <cfvo type="percent" val="50"/>
        <cfvo type="percent" val="100"/>
        <color rgb="FFF8696B"/>
        <color rgb="FFFFEB84"/>
        <color rgb="FF63BE7B"/>
      </colorScale>
    </cfRule>
  </conditionalFormatting>
  <conditionalFormatting sqref="T6:V6">
    <cfRule type="colorScale" priority="14">
      <colorScale>
        <cfvo type="percent" val="0"/>
        <cfvo type="percent" val="50"/>
        <cfvo type="percent" val="100"/>
        <color rgb="FFF8696B"/>
        <color rgb="FFFFEB84"/>
        <color rgb="FF63BE7B"/>
      </colorScale>
    </cfRule>
  </conditionalFormatting>
  <conditionalFormatting sqref="T7:V7">
    <cfRule type="colorScale" priority="16">
      <colorScale>
        <cfvo type="percent" val="0"/>
        <cfvo type="percent" val="50"/>
        <cfvo type="percent" val="100"/>
        <color rgb="FFF8696B"/>
        <color rgb="FFFFEB84"/>
        <color rgb="FF63BE7B"/>
      </colorScale>
    </cfRule>
  </conditionalFormatting>
  <conditionalFormatting sqref="T8:V8">
    <cfRule type="colorScale" priority="18">
      <colorScale>
        <cfvo type="percent" val="0"/>
        <cfvo type="percent" val="50"/>
        <cfvo type="percent" val="100"/>
        <color rgb="FFF8696B"/>
        <color rgb="FFFFEB84"/>
        <color rgb="FF63BE7B"/>
      </colorScale>
    </cfRule>
  </conditionalFormatting>
  <conditionalFormatting sqref="T9:V9">
    <cfRule type="colorScale" priority="20">
      <colorScale>
        <cfvo type="percent" val="0"/>
        <cfvo type="percent" val="50"/>
        <cfvo type="percent" val="100"/>
        <color rgb="FFF8696B"/>
        <color rgb="FFFFEB84"/>
        <color rgb="FF63BE7B"/>
      </colorScale>
    </cfRule>
  </conditionalFormatting>
  <conditionalFormatting sqref="T10:V10">
    <cfRule type="colorScale" priority="22">
      <colorScale>
        <cfvo type="percent" val="0"/>
        <cfvo type="percent" val="50"/>
        <cfvo type="percent" val="100"/>
        <color rgb="FFF8696B"/>
        <color rgb="FFFFEB84"/>
        <color rgb="FF63BE7B"/>
      </colorScale>
    </cfRule>
  </conditionalFormatting>
  <conditionalFormatting sqref="T11:V11">
    <cfRule type="colorScale" priority="39">
      <colorScale>
        <cfvo type="percent" val="0"/>
        <cfvo type="percent" val="50"/>
        <cfvo type="percent" val="100"/>
        <color rgb="FFF8696B"/>
        <color rgb="FFFFEB84"/>
        <color rgb="FF63BE7B"/>
      </colorScale>
    </cfRule>
  </conditionalFormatting>
  <conditionalFormatting sqref="T12:V12">
    <cfRule type="colorScale" priority="596">
      <colorScale>
        <cfvo type="percent" val="0"/>
        <cfvo type="percent" val="50"/>
        <cfvo type="percent" val="100"/>
        <color rgb="FFF8696B"/>
        <color rgb="FFFFEB84"/>
        <color rgb="FF63BE7B"/>
      </colorScale>
    </cfRule>
  </conditionalFormatting>
  <conditionalFormatting sqref="T17:V17">
    <cfRule type="colorScale" priority="94">
      <colorScale>
        <cfvo type="percent" val="0"/>
        <cfvo type="percent" val="50"/>
        <cfvo type="percent" val="100"/>
        <color rgb="FFF8696B"/>
        <color rgb="FFFFEB84"/>
        <color rgb="FF63BE7B"/>
      </colorScale>
    </cfRule>
  </conditionalFormatting>
  <conditionalFormatting sqref="T18:V24">
    <cfRule type="colorScale" priority="109">
      <colorScale>
        <cfvo type="percent" val="0"/>
        <cfvo type="percent" val="50"/>
        <cfvo type="percent" val="100"/>
        <color rgb="FFF8696B"/>
        <color rgb="FFFFEB84"/>
        <color rgb="FF63BE7B"/>
      </colorScale>
    </cfRule>
  </conditionalFormatting>
  <conditionalFormatting sqref="T25:V25">
    <cfRule type="colorScale" priority="614">
      <colorScale>
        <cfvo type="percent" val="0"/>
        <cfvo type="percent" val="50"/>
        <cfvo type="percent" val="100"/>
        <color rgb="FFF8696B"/>
        <color rgb="FFFFEB84"/>
        <color rgb="FF63BE7B"/>
      </colorScale>
    </cfRule>
  </conditionalFormatting>
  <conditionalFormatting sqref="T30:V30">
    <cfRule type="colorScale" priority="59">
      <colorScale>
        <cfvo type="percent" val="0"/>
        <cfvo type="percent" val="50"/>
        <cfvo type="percent" val="100"/>
        <color rgb="FFF8696B"/>
        <color rgb="FFFFEB84"/>
        <color rgb="FF63BE7B"/>
      </colorScale>
    </cfRule>
  </conditionalFormatting>
  <conditionalFormatting sqref="T31:V31">
    <cfRule type="colorScale" priority="2">
      <colorScale>
        <cfvo type="percent" val="0"/>
        <cfvo type="percent" val="50"/>
        <cfvo type="percent" val="100"/>
        <color rgb="FFF8696B"/>
        <color rgb="FFFFEB84"/>
        <color rgb="FF63BE7B"/>
      </colorScale>
    </cfRule>
  </conditionalFormatting>
  <conditionalFormatting sqref="T32:V32">
    <cfRule type="colorScale" priority="4">
      <colorScale>
        <cfvo type="percent" val="0"/>
        <cfvo type="percent" val="50"/>
        <cfvo type="percent" val="100"/>
        <color rgb="FFF8696B"/>
        <color rgb="FFFFEB84"/>
        <color rgb="FF63BE7B"/>
      </colorScale>
    </cfRule>
  </conditionalFormatting>
  <conditionalFormatting sqref="T33:V33">
    <cfRule type="colorScale" priority="6">
      <colorScale>
        <cfvo type="percent" val="0"/>
        <cfvo type="percent" val="50"/>
        <cfvo type="percent" val="100"/>
        <color rgb="FFF8696B"/>
        <color rgb="FFFFEB84"/>
        <color rgb="FF63BE7B"/>
      </colorScale>
    </cfRule>
  </conditionalFormatting>
  <conditionalFormatting sqref="T34:V34">
    <cfRule type="colorScale" priority="8">
      <colorScale>
        <cfvo type="percent" val="0"/>
        <cfvo type="percent" val="50"/>
        <cfvo type="percent" val="100"/>
        <color rgb="FFF8696B"/>
        <color rgb="FFFFEB84"/>
        <color rgb="FF63BE7B"/>
      </colorScale>
    </cfRule>
  </conditionalFormatting>
  <conditionalFormatting sqref="T35:V35">
    <cfRule type="colorScale" priority="10">
      <colorScale>
        <cfvo type="percent" val="0"/>
        <cfvo type="percent" val="50"/>
        <cfvo type="percent" val="100"/>
        <color rgb="FFF8696B"/>
        <color rgb="FFFFEB84"/>
        <color rgb="FF63BE7B"/>
      </colorScale>
    </cfRule>
  </conditionalFormatting>
  <conditionalFormatting sqref="T36:V36">
    <cfRule type="colorScale" priority="12">
      <colorScale>
        <cfvo type="percent" val="0"/>
        <cfvo type="percent" val="50"/>
        <cfvo type="percent" val="100"/>
        <color rgb="FFF8696B"/>
        <color rgb="FFFFEB84"/>
        <color rgb="FF63BE7B"/>
      </colorScale>
    </cfRule>
  </conditionalFormatting>
  <conditionalFormatting sqref="T37:V37">
    <cfRule type="colorScale" priority="79">
      <colorScale>
        <cfvo type="percent" val="0"/>
        <cfvo type="percent" val="50"/>
        <cfvo type="percent" val="100"/>
        <color rgb="FFF8696B"/>
        <color rgb="FFFFEB84"/>
        <color rgb="FF63BE7B"/>
      </colorScale>
    </cfRule>
  </conditionalFormatting>
  <conditionalFormatting sqref="T38:V38">
    <cfRule type="colorScale" priority="634">
      <colorScale>
        <cfvo type="percent" val="0"/>
        <cfvo type="percent" val="50"/>
        <cfvo type="percent" val="100"/>
        <color rgb="FFF8696B"/>
        <color rgb="FFFFEB84"/>
        <color rgb="FF63BE7B"/>
      </colorScale>
    </cfRule>
  </conditionalFormatting>
  <conditionalFormatting sqref="U4">
    <cfRule type="colorScale" priority="121">
      <colorScale>
        <cfvo type="percent" val="0"/>
        <cfvo type="percent" val="50"/>
        <cfvo type="percent" val="100"/>
        <color rgb="FFF8696B"/>
        <color rgb="FFFFEB84"/>
        <color rgb="FF63BE7B"/>
      </colorScale>
    </cfRule>
  </conditionalFormatting>
  <conditionalFormatting sqref="U5">
    <cfRule type="colorScale" priority="138">
      <colorScale>
        <cfvo type="percent" val="0"/>
        <cfvo type="percent" val="50"/>
        <cfvo type="percent" val="100"/>
        <color rgb="FFF8696B"/>
        <color rgb="FFFFEB84"/>
        <color rgb="FF63BE7B"/>
      </colorScale>
    </cfRule>
  </conditionalFormatting>
  <conditionalFormatting sqref="U6:U11">
    <cfRule type="colorScale" priority="34">
      <colorScale>
        <cfvo type="percent" val="0"/>
        <cfvo type="percent" val="50"/>
        <cfvo type="percent" val="100"/>
        <color rgb="FFF8696B"/>
        <color rgb="FFFFEB84"/>
        <color rgb="FF63BE7B"/>
      </colorScale>
    </cfRule>
  </conditionalFormatting>
  <conditionalFormatting sqref="U12">
    <cfRule type="colorScale" priority="591">
      <colorScale>
        <cfvo type="percent" val="0"/>
        <cfvo type="percent" val="50"/>
        <cfvo type="percent" val="100"/>
        <color rgb="FFF8696B"/>
        <color rgb="FFFFEB84"/>
        <color rgb="FF63BE7B"/>
      </colorScale>
    </cfRule>
  </conditionalFormatting>
  <conditionalFormatting sqref="U17">
    <cfRule type="colorScale" priority="90">
      <colorScale>
        <cfvo type="percent" val="0"/>
        <cfvo type="percent" val="50"/>
        <cfvo type="percent" val="100"/>
        <color rgb="FFF8696B"/>
        <color rgb="FFFFEB84"/>
        <color rgb="FF63BE7B"/>
      </colorScale>
    </cfRule>
  </conditionalFormatting>
  <conditionalFormatting sqref="U18:U24">
    <cfRule type="colorScale" priority="105">
      <colorScale>
        <cfvo type="percent" val="0"/>
        <cfvo type="percent" val="50"/>
        <cfvo type="percent" val="100"/>
        <color rgb="FFF8696B"/>
        <color rgb="FFFFEB84"/>
        <color rgb="FF63BE7B"/>
      </colorScale>
    </cfRule>
  </conditionalFormatting>
  <conditionalFormatting sqref="U25">
    <cfRule type="colorScale" priority="610">
      <colorScale>
        <cfvo type="percent" val="0"/>
        <cfvo type="percent" val="50"/>
        <cfvo type="percent" val="100"/>
        <color rgb="FFF8696B"/>
        <color rgb="FFFFEB84"/>
        <color rgb="FF63BE7B"/>
      </colorScale>
    </cfRule>
  </conditionalFormatting>
  <conditionalFormatting sqref="U30">
    <cfRule type="colorScale" priority="54">
      <colorScale>
        <cfvo type="percent" val="0"/>
        <cfvo type="percent" val="50"/>
        <cfvo type="percent" val="100"/>
        <color rgb="FFF8696B"/>
        <color rgb="FFFFEB84"/>
        <color rgb="FF63BE7B"/>
      </colorScale>
    </cfRule>
  </conditionalFormatting>
  <conditionalFormatting sqref="U31:U37">
    <cfRule type="colorScale" priority="74">
      <colorScale>
        <cfvo type="percent" val="0"/>
        <cfvo type="percent" val="50"/>
        <cfvo type="percent" val="100"/>
        <color rgb="FFF8696B"/>
        <color rgb="FFFFEB84"/>
        <color rgb="FF63BE7B"/>
      </colorScale>
    </cfRule>
  </conditionalFormatting>
  <conditionalFormatting sqref="U38">
    <cfRule type="colorScale" priority="629">
      <colorScale>
        <cfvo type="percent" val="0"/>
        <cfvo type="percent" val="50"/>
        <cfvo type="percent" val="100"/>
        <color rgb="FFF8696B"/>
        <color rgb="FFFFEB84"/>
        <color rgb="FF63BE7B"/>
      </colorScale>
    </cfRule>
  </conditionalFormatting>
  <conditionalFormatting sqref="V4">
    <cfRule type="colorScale" priority="124">
      <colorScale>
        <cfvo type="percent" val="0"/>
        <cfvo type="percent" val="50"/>
        <cfvo type="percent" val="100"/>
        <color rgb="FFF8696B"/>
        <color rgb="FFFFEB84"/>
        <color rgb="FF63BE7B"/>
      </colorScale>
    </cfRule>
  </conditionalFormatting>
  <conditionalFormatting sqref="V5">
    <cfRule type="colorScale" priority="141">
      <colorScale>
        <cfvo type="percent" val="0"/>
        <cfvo type="percent" val="50"/>
        <cfvo type="percent" val="100"/>
        <color rgb="FFF8696B"/>
        <color rgb="FFFFEB84"/>
        <color rgb="FF63BE7B"/>
      </colorScale>
    </cfRule>
  </conditionalFormatting>
  <conditionalFormatting sqref="V6:V11">
    <cfRule type="colorScale" priority="37">
      <colorScale>
        <cfvo type="percent" val="0"/>
        <cfvo type="percent" val="50"/>
        <cfvo type="percent" val="100"/>
        <color rgb="FFF8696B"/>
        <color rgb="FFFFEB84"/>
        <color rgb="FF63BE7B"/>
      </colorScale>
    </cfRule>
  </conditionalFormatting>
  <conditionalFormatting sqref="V12">
    <cfRule type="colorScale" priority="594">
      <colorScale>
        <cfvo type="percent" val="0"/>
        <cfvo type="percent" val="50"/>
        <cfvo type="percent" val="100"/>
        <color rgb="FFF8696B"/>
        <color rgb="FFFFEB84"/>
        <color rgb="FF63BE7B"/>
      </colorScale>
    </cfRule>
  </conditionalFormatting>
  <conditionalFormatting sqref="V17 T17">
    <cfRule type="colorScale" priority="89">
      <colorScale>
        <cfvo type="percent" val="0"/>
        <cfvo type="percent" val="50"/>
        <cfvo type="percent" val="100"/>
        <color rgb="FFF8696B"/>
        <color rgb="FFFFEB84"/>
        <color rgb="FF63BE7B"/>
      </colorScale>
    </cfRule>
  </conditionalFormatting>
  <conditionalFormatting sqref="V25 T25">
    <cfRule type="colorScale" priority="608">
      <colorScale>
        <cfvo type="percent" val="0"/>
        <cfvo type="percent" val="50"/>
        <cfvo type="percent" val="100"/>
        <color rgb="FFF8696B"/>
        <color rgb="FFFFEB84"/>
        <color rgb="FF63BE7B"/>
      </colorScale>
    </cfRule>
  </conditionalFormatting>
  <conditionalFormatting sqref="V30">
    <cfRule type="colorScale" priority="57">
      <colorScale>
        <cfvo type="percent" val="0"/>
        <cfvo type="percent" val="50"/>
        <cfvo type="percent" val="100"/>
        <color rgb="FFF8696B"/>
        <color rgb="FFFFEB84"/>
        <color rgb="FF63BE7B"/>
      </colorScale>
    </cfRule>
  </conditionalFormatting>
  <conditionalFormatting sqref="V31:V37">
    <cfRule type="colorScale" priority="77">
      <colorScale>
        <cfvo type="percent" val="0"/>
        <cfvo type="percent" val="50"/>
        <cfvo type="percent" val="100"/>
        <color rgb="FFF8696B"/>
        <color rgb="FFFFEB84"/>
        <color rgb="FF63BE7B"/>
      </colorScale>
    </cfRule>
  </conditionalFormatting>
  <conditionalFormatting sqref="V38">
    <cfRule type="colorScale" priority="63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119"/>
  <sheetViews>
    <sheetView workbookViewId="0">
      <pane ySplit="2" topLeftCell="A47" activePane="bottomLeft" state="frozen"/>
      <selection pane="bottomLeft" activeCell="B82" sqref="B82"/>
    </sheetView>
  </sheetViews>
  <sheetFormatPr defaultRowHeight="14.5" x14ac:dyDescent="0.35"/>
  <cols>
    <col min="1" max="1" width="16.1796875" bestFit="1" customWidth="1"/>
    <col min="2" max="2" width="92.453125" bestFit="1" customWidth="1"/>
    <col min="3" max="4" width="15.54296875" bestFit="1" customWidth="1"/>
    <col min="5" max="5" width="11.1796875" bestFit="1" customWidth="1"/>
    <col min="6" max="6" width="11.1796875" customWidth="1"/>
    <col min="7" max="7" width="15.81640625" customWidth="1"/>
    <col min="8" max="8" width="20.54296875" customWidth="1"/>
  </cols>
  <sheetData>
    <row r="1" spans="1:11" ht="39" customHeight="1" thickBot="1" x14ac:dyDescent="0.5">
      <c r="A1" s="601" t="s">
        <v>508</v>
      </c>
      <c r="B1" s="602"/>
      <c r="C1" s="602"/>
      <c r="D1" s="602"/>
      <c r="E1" s="602"/>
      <c r="F1" s="602"/>
      <c r="G1" s="602"/>
      <c r="H1" s="602"/>
      <c r="I1" s="603"/>
    </row>
    <row r="2" spans="1:11" s="79" customFormat="1" ht="15" thickBot="1" x14ac:dyDescent="0.4">
      <c r="A2" s="445" t="s">
        <v>72</v>
      </c>
      <c r="B2" s="445" t="s">
        <v>76</v>
      </c>
      <c r="C2" s="445" t="s">
        <v>91</v>
      </c>
      <c r="D2" s="445" t="s">
        <v>197</v>
      </c>
      <c r="E2" s="446" t="s">
        <v>1</v>
      </c>
      <c r="F2" s="493"/>
    </row>
    <row r="3" spans="1:11" ht="15" thickBot="1" x14ac:dyDescent="0.4">
      <c r="A3" s="447" t="s">
        <v>256</v>
      </c>
      <c r="B3" s="447" t="s">
        <v>509</v>
      </c>
      <c r="C3" s="447" t="s">
        <v>510</v>
      </c>
      <c r="D3" s="447" t="s">
        <v>34</v>
      </c>
      <c r="E3" s="448" t="s">
        <v>38</v>
      </c>
      <c r="F3" s="494"/>
      <c r="G3" s="217" t="s">
        <v>72</v>
      </c>
      <c r="H3" s="218" t="s">
        <v>511</v>
      </c>
      <c r="I3" s="318">
        <f>COUNTA(A3:A3783)</f>
        <v>109</v>
      </c>
      <c r="K3" t="s">
        <v>512</v>
      </c>
    </row>
    <row r="4" spans="1:11" x14ac:dyDescent="0.35">
      <c r="A4" s="447" t="s">
        <v>513</v>
      </c>
      <c r="B4" s="447" t="s">
        <v>514</v>
      </c>
      <c r="C4" s="447" t="s">
        <v>515</v>
      </c>
      <c r="D4" s="447" t="s">
        <v>34</v>
      </c>
      <c r="E4" s="448" t="s">
        <v>33</v>
      </c>
      <c r="F4" s="495"/>
      <c r="G4" s="593" t="s">
        <v>91</v>
      </c>
      <c r="H4" s="219" t="s">
        <v>516</v>
      </c>
      <c r="I4" s="319">
        <f>COUNTIFS($C3:$C3783,"P1")</f>
        <v>33</v>
      </c>
    </row>
    <row r="5" spans="1:11" x14ac:dyDescent="0.35">
      <c r="A5" s="447" t="s">
        <v>267</v>
      </c>
      <c r="B5" s="447" t="s">
        <v>517</v>
      </c>
      <c r="C5" s="447" t="s">
        <v>518</v>
      </c>
      <c r="D5" s="447" t="s">
        <v>34</v>
      </c>
      <c r="E5" s="448" t="s">
        <v>38</v>
      </c>
      <c r="F5" s="496"/>
      <c r="G5" s="594"/>
      <c r="H5" s="220" t="s">
        <v>519</v>
      </c>
      <c r="I5" s="320">
        <f>COUNTIFS($C3:$C3783,"P2")</f>
        <v>33</v>
      </c>
    </row>
    <row r="6" spans="1:11" ht="15" thickBot="1" x14ac:dyDescent="0.4">
      <c r="A6" s="447" t="s">
        <v>520</v>
      </c>
      <c r="B6" s="447" t="s">
        <v>521</v>
      </c>
      <c r="C6" s="447" t="s">
        <v>515</v>
      </c>
      <c r="D6" s="447" t="s">
        <v>34</v>
      </c>
      <c r="E6" s="448" t="s">
        <v>33</v>
      </c>
      <c r="F6" s="497"/>
      <c r="G6" s="595"/>
      <c r="H6" s="221" t="s">
        <v>522</v>
      </c>
      <c r="I6" s="321">
        <f>COUNTIFS($C3:$C3783,"P3")</f>
        <v>43</v>
      </c>
    </row>
    <row r="7" spans="1:11" x14ac:dyDescent="0.35">
      <c r="A7" s="447" t="s">
        <v>523</v>
      </c>
      <c r="B7" s="447" t="s">
        <v>524</v>
      </c>
      <c r="C7" s="447" t="s">
        <v>515</v>
      </c>
      <c r="D7" s="447" t="s">
        <v>34</v>
      </c>
      <c r="E7" s="448" t="s">
        <v>33</v>
      </c>
      <c r="F7" s="495"/>
      <c r="G7" s="596" t="s">
        <v>197</v>
      </c>
      <c r="H7" s="219" t="s">
        <v>525</v>
      </c>
      <c r="I7" s="319">
        <f>COUNTIFS($D3:$D3783,"Diagnostics")</f>
        <v>109</v>
      </c>
    </row>
    <row r="8" spans="1:11" x14ac:dyDescent="0.35">
      <c r="A8" s="447" t="s">
        <v>451</v>
      </c>
      <c r="B8" s="447" t="s">
        <v>452</v>
      </c>
      <c r="C8" s="447" t="s">
        <v>510</v>
      </c>
      <c r="D8" s="447" t="s">
        <v>34</v>
      </c>
      <c r="E8" s="448" t="s">
        <v>38</v>
      </c>
      <c r="F8" s="496"/>
      <c r="G8" s="597"/>
      <c r="H8" s="220" t="s">
        <v>526</v>
      </c>
      <c r="I8" s="320">
        <f>COUNTIFS($D3:$D3783,"Driver")</f>
        <v>0</v>
      </c>
    </row>
    <row r="9" spans="1:11" x14ac:dyDescent="0.35">
      <c r="A9" s="447" t="s">
        <v>527</v>
      </c>
      <c r="B9" s="447" t="s">
        <v>528</v>
      </c>
      <c r="C9" s="447" t="s">
        <v>515</v>
      </c>
      <c r="D9" s="447" t="s">
        <v>34</v>
      </c>
      <c r="E9" s="448" t="s">
        <v>33</v>
      </c>
      <c r="F9" s="496"/>
      <c r="G9" s="597"/>
      <c r="H9" s="220" t="s">
        <v>529</v>
      </c>
      <c r="I9" s="320">
        <f>COUNTIFS($D3:$D3783,"IPSE")</f>
        <v>0</v>
      </c>
    </row>
    <row r="10" spans="1:11" ht="15" thickBot="1" x14ac:dyDescent="0.4">
      <c r="A10" s="447" t="s">
        <v>262</v>
      </c>
      <c r="B10" s="447" t="s">
        <v>530</v>
      </c>
      <c r="C10" s="447" t="s">
        <v>518</v>
      </c>
      <c r="D10" s="447" t="s">
        <v>34</v>
      </c>
      <c r="E10" s="448" t="s">
        <v>38</v>
      </c>
      <c r="F10" s="497"/>
      <c r="G10" s="598"/>
      <c r="H10" s="221" t="s">
        <v>531</v>
      </c>
      <c r="I10" s="321">
        <f>COUNTIFS($D3:$D3783,"N/A")</f>
        <v>0</v>
      </c>
    </row>
    <row r="11" spans="1:11" x14ac:dyDescent="0.35">
      <c r="A11" s="447" t="s">
        <v>454</v>
      </c>
      <c r="B11" s="482" t="s">
        <v>532</v>
      </c>
      <c r="C11" s="447" t="s">
        <v>510</v>
      </c>
      <c r="D11" s="447" t="s">
        <v>34</v>
      </c>
      <c r="E11" s="448" t="s">
        <v>38</v>
      </c>
      <c r="F11" s="495"/>
      <c r="G11" s="596" t="s">
        <v>1</v>
      </c>
      <c r="H11" s="219" t="s">
        <v>533</v>
      </c>
      <c r="I11" s="319">
        <f>COUNTIFS($E3:$E3783,"Legacy")</f>
        <v>63</v>
      </c>
    </row>
    <row r="12" spans="1:11" x14ac:dyDescent="0.35">
      <c r="A12" s="447" t="s">
        <v>534</v>
      </c>
      <c r="B12" s="447" t="s">
        <v>535</v>
      </c>
      <c r="C12" s="447" t="s">
        <v>515</v>
      </c>
      <c r="D12" s="447" t="s">
        <v>34</v>
      </c>
      <c r="E12" s="448" t="s">
        <v>33</v>
      </c>
      <c r="F12" s="496"/>
      <c r="G12" s="597"/>
      <c r="H12" s="220" t="s">
        <v>536</v>
      </c>
      <c r="I12" s="320">
        <f>COUNTIFS($E3:$E3783,"Delta")</f>
        <v>45</v>
      </c>
    </row>
    <row r="13" spans="1:11" ht="15" thickBot="1" x14ac:dyDescent="0.4">
      <c r="A13" s="447" t="s">
        <v>329</v>
      </c>
      <c r="B13" s="447" t="s">
        <v>537</v>
      </c>
      <c r="C13" s="447" t="s">
        <v>510</v>
      </c>
      <c r="D13" s="447" t="s">
        <v>34</v>
      </c>
      <c r="E13" s="448" t="s">
        <v>38</v>
      </c>
      <c r="F13" s="497"/>
      <c r="G13" s="598"/>
      <c r="H13" s="221" t="s">
        <v>538</v>
      </c>
      <c r="I13" s="321">
        <f>COUNTIFS($E3:$E3783,"New")</f>
        <v>1</v>
      </c>
    </row>
    <row r="14" spans="1:11" ht="15" thickBot="1" x14ac:dyDescent="0.4">
      <c r="A14" s="447" t="s">
        <v>334</v>
      </c>
      <c r="B14" s="447" t="s">
        <v>539</v>
      </c>
      <c r="C14" s="447" t="s">
        <v>510</v>
      </c>
      <c r="D14" s="447" t="s">
        <v>34</v>
      </c>
      <c r="E14" s="448" t="s">
        <v>38</v>
      </c>
      <c r="F14" s="494"/>
      <c r="G14" s="275" t="s">
        <v>202</v>
      </c>
      <c r="H14" s="599"/>
      <c r="I14" s="600"/>
    </row>
    <row r="15" spans="1:11" x14ac:dyDescent="0.35">
      <c r="A15" s="447" t="s">
        <v>324</v>
      </c>
      <c r="B15" s="447" t="s">
        <v>540</v>
      </c>
      <c r="C15" s="447" t="s">
        <v>510</v>
      </c>
      <c r="D15" s="447" t="s">
        <v>34</v>
      </c>
      <c r="E15" s="448" t="s">
        <v>38</v>
      </c>
      <c r="F15" s="494"/>
    </row>
    <row r="16" spans="1:11" x14ac:dyDescent="0.35">
      <c r="A16" s="447" t="s">
        <v>541</v>
      </c>
      <c r="B16" s="447" t="s">
        <v>542</v>
      </c>
      <c r="C16" s="447" t="s">
        <v>510</v>
      </c>
      <c r="D16" s="447" t="s">
        <v>34</v>
      </c>
      <c r="E16" s="448" t="s">
        <v>38</v>
      </c>
      <c r="F16" s="494"/>
    </row>
    <row r="17" spans="1:7" x14ac:dyDescent="0.35">
      <c r="A17" s="447" t="s">
        <v>405</v>
      </c>
      <c r="B17" s="447" t="s">
        <v>543</v>
      </c>
      <c r="C17" s="447" t="s">
        <v>510</v>
      </c>
      <c r="D17" s="447" t="s">
        <v>34</v>
      </c>
      <c r="E17" s="448" t="s">
        <v>38</v>
      </c>
      <c r="F17" s="494"/>
      <c r="G17" t="s">
        <v>544</v>
      </c>
    </row>
    <row r="18" spans="1:7" x14ac:dyDescent="0.35">
      <c r="A18" s="447" t="s">
        <v>414</v>
      </c>
      <c r="B18" s="447" t="s">
        <v>545</v>
      </c>
      <c r="C18" s="447" t="s">
        <v>518</v>
      </c>
      <c r="D18" s="447" t="s">
        <v>34</v>
      </c>
      <c r="E18" s="448" t="s">
        <v>33</v>
      </c>
      <c r="F18" s="494"/>
      <c r="G18" t="s">
        <v>546</v>
      </c>
    </row>
    <row r="19" spans="1:7" x14ac:dyDescent="0.35">
      <c r="A19" s="447" t="s">
        <v>446</v>
      </c>
      <c r="B19" s="447" t="s">
        <v>547</v>
      </c>
      <c r="C19" s="447" t="s">
        <v>510</v>
      </c>
      <c r="D19" s="447" t="s">
        <v>34</v>
      </c>
      <c r="E19" s="448" t="s">
        <v>38</v>
      </c>
      <c r="F19" s="494"/>
      <c r="G19" t="s">
        <v>548</v>
      </c>
    </row>
    <row r="20" spans="1:7" x14ac:dyDescent="0.35">
      <c r="A20" s="447" t="s">
        <v>269</v>
      </c>
      <c r="B20" s="447" t="s">
        <v>549</v>
      </c>
      <c r="C20" s="447" t="s">
        <v>518</v>
      </c>
      <c r="D20" s="447" t="s">
        <v>34</v>
      </c>
      <c r="E20" s="448" t="s">
        <v>33</v>
      </c>
      <c r="F20" s="494"/>
      <c r="G20" t="s">
        <v>550</v>
      </c>
    </row>
    <row r="21" spans="1:7" x14ac:dyDescent="0.35">
      <c r="A21" s="447" t="s">
        <v>551</v>
      </c>
      <c r="B21" s="447" t="s">
        <v>552</v>
      </c>
      <c r="C21" s="447" t="s">
        <v>515</v>
      </c>
      <c r="D21" s="447" t="s">
        <v>34</v>
      </c>
      <c r="E21" s="448" t="s">
        <v>33</v>
      </c>
      <c r="F21" s="494"/>
    </row>
    <row r="22" spans="1:7" x14ac:dyDescent="0.35">
      <c r="A22" s="447" t="s">
        <v>469</v>
      </c>
      <c r="B22" s="447" t="s">
        <v>553</v>
      </c>
      <c r="C22" s="447" t="s">
        <v>510</v>
      </c>
      <c r="D22" s="447" t="s">
        <v>34</v>
      </c>
      <c r="E22" s="448" t="s">
        <v>38</v>
      </c>
      <c r="F22" s="494"/>
    </row>
    <row r="23" spans="1:7" x14ac:dyDescent="0.35">
      <c r="A23" s="447" t="s">
        <v>471</v>
      </c>
      <c r="B23" s="447" t="s">
        <v>472</v>
      </c>
      <c r="C23" s="447" t="s">
        <v>510</v>
      </c>
      <c r="D23" s="447" t="s">
        <v>34</v>
      </c>
      <c r="E23" s="448" t="s">
        <v>38</v>
      </c>
      <c r="F23" s="494"/>
    </row>
    <row r="24" spans="1:7" x14ac:dyDescent="0.35">
      <c r="A24" s="447" t="s">
        <v>554</v>
      </c>
      <c r="B24" s="447" t="s">
        <v>555</v>
      </c>
      <c r="C24" s="447" t="s">
        <v>510</v>
      </c>
      <c r="D24" s="447" t="s">
        <v>34</v>
      </c>
      <c r="E24" s="448" t="s">
        <v>38</v>
      </c>
      <c r="F24" s="494"/>
    </row>
    <row r="25" spans="1:7" x14ac:dyDescent="0.35">
      <c r="A25" s="447" t="s">
        <v>556</v>
      </c>
      <c r="B25" s="447" t="s">
        <v>557</v>
      </c>
      <c r="C25" s="447" t="s">
        <v>515</v>
      </c>
      <c r="D25" s="447" t="s">
        <v>34</v>
      </c>
      <c r="E25" s="448" t="s">
        <v>33</v>
      </c>
      <c r="F25" s="494"/>
    </row>
    <row r="26" spans="1:7" x14ac:dyDescent="0.35">
      <c r="A26" s="447" t="s">
        <v>397</v>
      </c>
      <c r="B26" s="447" t="s">
        <v>558</v>
      </c>
      <c r="C26" s="447" t="s">
        <v>518</v>
      </c>
      <c r="D26" s="447" t="s">
        <v>34</v>
      </c>
      <c r="E26" s="448" t="s">
        <v>33</v>
      </c>
      <c r="F26" s="494"/>
    </row>
    <row r="27" spans="1:7" x14ac:dyDescent="0.35">
      <c r="A27" s="447" t="s">
        <v>559</v>
      </c>
      <c r="B27" s="447" t="s">
        <v>560</v>
      </c>
      <c r="C27" s="447" t="s">
        <v>515</v>
      </c>
      <c r="D27" s="447" t="s">
        <v>34</v>
      </c>
      <c r="E27" s="448" t="s">
        <v>33</v>
      </c>
      <c r="F27" s="494"/>
    </row>
    <row r="28" spans="1:7" x14ac:dyDescent="0.35">
      <c r="A28" s="447" t="s">
        <v>335</v>
      </c>
      <c r="B28" s="447" t="s">
        <v>561</v>
      </c>
      <c r="C28" s="447" t="s">
        <v>518</v>
      </c>
      <c r="D28" s="447" t="s">
        <v>34</v>
      </c>
      <c r="E28" s="448" t="s">
        <v>33</v>
      </c>
      <c r="F28" s="494"/>
    </row>
    <row r="29" spans="1:7" x14ac:dyDescent="0.35">
      <c r="A29" s="447" t="s">
        <v>343</v>
      </c>
      <c r="B29" s="447" t="s">
        <v>562</v>
      </c>
      <c r="C29" s="447" t="s">
        <v>518</v>
      </c>
      <c r="D29" s="447" t="s">
        <v>34</v>
      </c>
      <c r="E29" s="448" t="s">
        <v>33</v>
      </c>
      <c r="F29" s="494"/>
    </row>
    <row r="30" spans="1:7" x14ac:dyDescent="0.35">
      <c r="A30" s="447" t="s">
        <v>563</v>
      </c>
      <c r="B30" s="492" t="s">
        <v>564</v>
      </c>
      <c r="C30" s="447" t="s">
        <v>510</v>
      </c>
      <c r="D30" s="447" t="s">
        <v>34</v>
      </c>
      <c r="E30" s="448" t="s">
        <v>38</v>
      </c>
      <c r="F30" s="494"/>
    </row>
    <row r="31" spans="1:7" x14ac:dyDescent="0.35">
      <c r="A31" s="447" t="s">
        <v>565</v>
      </c>
      <c r="B31" s="492" t="s">
        <v>566</v>
      </c>
      <c r="C31" s="447" t="s">
        <v>510</v>
      </c>
      <c r="D31" s="447" t="s">
        <v>34</v>
      </c>
      <c r="E31" s="448" t="s">
        <v>38</v>
      </c>
      <c r="F31" s="494"/>
      <c r="G31" s="502"/>
    </row>
    <row r="32" spans="1:7" x14ac:dyDescent="0.35">
      <c r="A32" s="447" t="s">
        <v>356</v>
      </c>
      <c r="B32" s="492" t="s">
        <v>567</v>
      </c>
      <c r="C32" s="447" t="s">
        <v>510</v>
      </c>
      <c r="D32" s="447" t="s">
        <v>34</v>
      </c>
      <c r="E32" s="448" t="s">
        <v>38</v>
      </c>
      <c r="F32" s="494"/>
    </row>
    <row r="33" spans="1:6" x14ac:dyDescent="0.35">
      <c r="A33" s="447" t="s">
        <v>342</v>
      </c>
      <c r="B33" s="447" t="s">
        <v>568</v>
      </c>
      <c r="C33" s="447" t="s">
        <v>518</v>
      </c>
      <c r="D33" s="447" t="s">
        <v>34</v>
      </c>
      <c r="E33" s="448" t="s">
        <v>33</v>
      </c>
      <c r="F33" s="494"/>
    </row>
    <row r="34" spans="1:6" x14ac:dyDescent="0.35">
      <c r="A34" s="447" t="s">
        <v>569</v>
      </c>
      <c r="B34" s="447" t="s">
        <v>570</v>
      </c>
      <c r="C34" s="447" t="s">
        <v>515</v>
      </c>
      <c r="D34" s="447" t="s">
        <v>34</v>
      </c>
      <c r="E34" s="448" t="s">
        <v>33</v>
      </c>
      <c r="F34" s="494"/>
    </row>
    <row r="35" spans="1:6" x14ac:dyDescent="0.35">
      <c r="A35" s="447" t="s">
        <v>350</v>
      </c>
      <c r="B35" s="447" t="s">
        <v>571</v>
      </c>
      <c r="C35" s="447" t="s">
        <v>515</v>
      </c>
      <c r="D35" s="447" t="s">
        <v>34</v>
      </c>
      <c r="E35" s="448" t="s">
        <v>33</v>
      </c>
      <c r="F35" s="494"/>
    </row>
    <row r="36" spans="1:6" x14ac:dyDescent="0.35">
      <c r="A36" s="447" t="s">
        <v>274</v>
      </c>
      <c r="B36" s="482" t="s">
        <v>572</v>
      </c>
      <c r="C36" s="447" t="s">
        <v>518</v>
      </c>
      <c r="D36" s="447" t="s">
        <v>34</v>
      </c>
      <c r="E36" s="448" t="s">
        <v>42</v>
      </c>
      <c r="F36" s="494"/>
    </row>
    <row r="37" spans="1:6" x14ac:dyDescent="0.35">
      <c r="A37" s="447" t="s">
        <v>573</v>
      </c>
      <c r="B37" s="447" t="s">
        <v>574</v>
      </c>
      <c r="C37" s="447" t="s">
        <v>515</v>
      </c>
      <c r="D37" s="447" t="s">
        <v>34</v>
      </c>
      <c r="E37" s="448" t="s">
        <v>33</v>
      </c>
      <c r="F37" s="494"/>
    </row>
    <row r="38" spans="1:6" x14ac:dyDescent="0.35">
      <c r="A38" s="447" t="s">
        <v>400</v>
      </c>
      <c r="B38" s="447" t="s">
        <v>575</v>
      </c>
      <c r="C38" s="447" t="s">
        <v>518</v>
      </c>
      <c r="D38" s="447" t="s">
        <v>34</v>
      </c>
      <c r="E38" s="448" t="s">
        <v>33</v>
      </c>
      <c r="F38" s="494"/>
    </row>
    <row r="39" spans="1:6" x14ac:dyDescent="0.35">
      <c r="A39" s="447" t="s">
        <v>576</v>
      </c>
      <c r="B39" s="492" t="s">
        <v>577</v>
      </c>
      <c r="C39" s="447" t="s">
        <v>515</v>
      </c>
      <c r="D39" s="447" t="s">
        <v>34</v>
      </c>
      <c r="E39" s="448" t="s">
        <v>33</v>
      </c>
      <c r="F39" s="494"/>
    </row>
    <row r="40" spans="1:6" x14ac:dyDescent="0.35">
      <c r="A40" s="447" t="s">
        <v>341</v>
      </c>
      <c r="B40" s="447" t="s">
        <v>578</v>
      </c>
      <c r="C40" s="447" t="s">
        <v>518</v>
      </c>
      <c r="D40" s="447" t="s">
        <v>34</v>
      </c>
      <c r="E40" s="448" t="s">
        <v>33</v>
      </c>
      <c r="F40" s="494"/>
    </row>
    <row r="41" spans="1:6" x14ac:dyDescent="0.35">
      <c r="A41" s="447" t="s">
        <v>432</v>
      </c>
      <c r="B41" s="447" t="s">
        <v>579</v>
      </c>
      <c r="C41" s="447" t="s">
        <v>518</v>
      </c>
      <c r="D41" s="447" t="s">
        <v>34</v>
      </c>
      <c r="E41" s="448" t="s">
        <v>33</v>
      </c>
      <c r="F41" s="494"/>
    </row>
    <row r="42" spans="1:6" x14ac:dyDescent="0.35">
      <c r="A42" s="447" t="s">
        <v>580</v>
      </c>
      <c r="B42" s="492" t="s">
        <v>581</v>
      </c>
      <c r="C42" s="447" t="s">
        <v>515</v>
      </c>
      <c r="D42" s="447" t="s">
        <v>34</v>
      </c>
      <c r="E42" s="448" t="s">
        <v>33</v>
      </c>
      <c r="F42" s="494"/>
    </row>
    <row r="43" spans="1:6" x14ac:dyDescent="0.35">
      <c r="A43" s="447" t="s">
        <v>268</v>
      </c>
      <c r="B43" s="447" t="s">
        <v>582</v>
      </c>
      <c r="C43" s="447" t="s">
        <v>518</v>
      </c>
      <c r="D43" s="447" t="s">
        <v>34</v>
      </c>
      <c r="E43" s="448" t="s">
        <v>38</v>
      </c>
      <c r="F43" s="494"/>
    </row>
    <row r="44" spans="1:6" x14ac:dyDescent="0.35">
      <c r="A44" s="447" t="s">
        <v>583</v>
      </c>
      <c r="B44" s="447" t="s">
        <v>584</v>
      </c>
      <c r="C44" s="447" t="s">
        <v>515</v>
      </c>
      <c r="D44" s="447" t="s">
        <v>34</v>
      </c>
      <c r="E44" s="448" t="s">
        <v>33</v>
      </c>
      <c r="F44" s="494"/>
    </row>
    <row r="45" spans="1:6" x14ac:dyDescent="0.35">
      <c r="A45" s="447" t="s">
        <v>351</v>
      </c>
      <c r="B45" s="447" t="s">
        <v>585</v>
      </c>
      <c r="C45" s="447" t="s">
        <v>510</v>
      </c>
      <c r="D45" s="447" t="s">
        <v>34</v>
      </c>
      <c r="E45" s="448" t="s">
        <v>38</v>
      </c>
      <c r="F45" s="494"/>
    </row>
    <row r="46" spans="1:6" x14ac:dyDescent="0.35">
      <c r="A46" s="447" t="s">
        <v>586</v>
      </c>
      <c r="B46" s="447" t="s">
        <v>587</v>
      </c>
      <c r="C46" s="447" t="s">
        <v>515</v>
      </c>
      <c r="D46" s="447" t="s">
        <v>34</v>
      </c>
      <c r="E46" s="448" t="s">
        <v>33</v>
      </c>
      <c r="F46" s="494"/>
    </row>
    <row r="47" spans="1:6" x14ac:dyDescent="0.35">
      <c r="A47" s="447" t="s">
        <v>588</v>
      </c>
      <c r="B47" s="447" t="s">
        <v>589</v>
      </c>
      <c r="C47" s="447" t="s">
        <v>515</v>
      </c>
      <c r="D47" s="447" t="s">
        <v>34</v>
      </c>
      <c r="E47" s="448" t="s">
        <v>33</v>
      </c>
      <c r="F47" s="494"/>
    </row>
    <row r="48" spans="1:6" x14ac:dyDescent="0.35">
      <c r="A48" s="447" t="s">
        <v>590</v>
      </c>
      <c r="B48" s="447" t="s">
        <v>591</v>
      </c>
      <c r="C48" s="447" t="s">
        <v>515</v>
      </c>
      <c r="D48" s="447" t="s">
        <v>34</v>
      </c>
      <c r="E48" s="448" t="s">
        <v>33</v>
      </c>
      <c r="F48" s="494"/>
    </row>
    <row r="49" spans="1:6" x14ac:dyDescent="0.35">
      <c r="A49" s="447" t="s">
        <v>392</v>
      </c>
      <c r="B49" s="447" t="s">
        <v>592</v>
      </c>
      <c r="C49" s="447" t="s">
        <v>518</v>
      </c>
      <c r="D49" s="447" t="s">
        <v>34</v>
      </c>
      <c r="E49" s="448" t="s">
        <v>33</v>
      </c>
      <c r="F49" s="494"/>
    </row>
    <row r="50" spans="1:6" x14ac:dyDescent="0.35">
      <c r="A50" s="447" t="s">
        <v>593</v>
      </c>
      <c r="B50" s="447" t="s">
        <v>594</v>
      </c>
      <c r="C50" s="447" t="s">
        <v>510</v>
      </c>
      <c r="D50" s="447" t="s">
        <v>34</v>
      </c>
      <c r="E50" s="448" t="s">
        <v>38</v>
      </c>
      <c r="F50" s="494"/>
    </row>
    <row r="51" spans="1:6" x14ac:dyDescent="0.35">
      <c r="A51" s="447" t="s">
        <v>357</v>
      </c>
      <c r="B51" s="447" t="s">
        <v>595</v>
      </c>
      <c r="C51" s="447" t="s">
        <v>510</v>
      </c>
      <c r="D51" s="447" t="s">
        <v>34</v>
      </c>
      <c r="E51" s="448" t="s">
        <v>38</v>
      </c>
      <c r="F51" s="494"/>
    </row>
    <row r="52" spans="1:6" x14ac:dyDescent="0.35">
      <c r="A52" s="447" t="s">
        <v>596</v>
      </c>
      <c r="B52" s="447" t="s">
        <v>597</v>
      </c>
      <c r="C52" s="447" t="s">
        <v>515</v>
      </c>
      <c r="D52" s="447" t="s">
        <v>34</v>
      </c>
      <c r="E52" s="448" t="s">
        <v>33</v>
      </c>
      <c r="F52" s="494"/>
    </row>
    <row r="53" spans="1:6" x14ac:dyDescent="0.35">
      <c r="A53" s="447" t="s">
        <v>598</v>
      </c>
      <c r="B53" s="447" t="s">
        <v>599</v>
      </c>
      <c r="C53" s="447" t="s">
        <v>515</v>
      </c>
      <c r="D53" s="447" t="s">
        <v>34</v>
      </c>
      <c r="E53" s="448" t="s">
        <v>33</v>
      </c>
      <c r="F53" s="494"/>
    </row>
    <row r="54" spans="1:6" x14ac:dyDescent="0.35">
      <c r="A54" s="447" t="s">
        <v>600</v>
      </c>
      <c r="B54" s="447" t="s">
        <v>601</v>
      </c>
      <c r="C54" s="447" t="s">
        <v>515</v>
      </c>
      <c r="D54" s="447" t="s">
        <v>34</v>
      </c>
      <c r="E54" s="448" t="s">
        <v>33</v>
      </c>
      <c r="F54" s="494"/>
    </row>
    <row r="55" spans="1:6" x14ac:dyDescent="0.35">
      <c r="A55" s="447" t="s">
        <v>602</v>
      </c>
      <c r="B55" s="447" t="s">
        <v>603</v>
      </c>
      <c r="C55" s="447" t="s">
        <v>515</v>
      </c>
      <c r="D55" s="447" t="s">
        <v>34</v>
      </c>
      <c r="E55" s="448" t="s">
        <v>33</v>
      </c>
      <c r="F55" s="494"/>
    </row>
    <row r="56" spans="1:6" x14ac:dyDescent="0.35">
      <c r="A56" s="447" t="s">
        <v>436</v>
      </c>
      <c r="B56" s="447" t="s">
        <v>604</v>
      </c>
      <c r="C56" s="447" t="s">
        <v>518</v>
      </c>
      <c r="D56" s="447" t="s">
        <v>34</v>
      </c>
      <c r="E56" s="448" t="s">
        <v>38</v>
      </c>
      <c r="F56" s="494"/>
    </row>
    <row r="57" spans="1:6" x14ac:dyDescent="0.35">
      <c r="A57" s="447" t="s">
        <v>440</v>
      </c>
      <c r="B57" s="447" t="s">
        <v>605</v>
      </c>
      <c r="C57" s="447" t="s">
        <v>518</v>
      </c>
      <c r="D57" s="447" t="s">
        <v>34</v>
      </c>
      <c r="E57" s="448" t="s">
        <v>38</v>
      </c>
      <c r="F57" s="494"/>
    </row>
    <row r="58" spans="1:6" x14ac:dyDescent="0.35">
      <c r="A58" s="447" t="s">
        <v>441</v>
      </c>
      <c r="B58" s="447" t="s">
        <v>606</v>
      </c>
      <c r="C58" s="447" t="s">
        <v>510</v>
      </c>
      <c r="D58" s="447" t="s">
        <v>34</v>
      </c>
      <c r="E58" s="448" t="s">
        <v>38</v>
      </c>
      <c r="F58" s="494"/>
    </row>
    <row r="59" spans="1:6" x14ac:dyDescent="0.35">
      <c r="A59" s="447" t="s">
        <v>607</v>
      </c>
      <c r="B59" s="447" t="s">
        <v>608</v>
      </c>
      <c r="C59" s="447" t="s">
        <v>515</v>
      </c>
      <c r="D59" s="447" t="s">
        <v>34</v>
      </c>
      <c r="E59" s="448" t="s">
        <v>33</v>
      </c>
      <c r="F59" s="494"/>
    </row>
    <row r="60" spans="1:6" x14ac:dyDescent="0.35">
      <c r="A60" s="447" t="s">
        <v>609</v>
      </c>
      <c r="B60" s="447" t="s">
        <v>610</v>
      </c>
      <c r="C60" s="447" t="s">
        <v>515</v>
      </c>
      <c r="D60" s="447" t="s">
        <v>34</v>
      </c>
      <c r="E60" s="448" t="s">
        <v>33</v>
      </c>
      <c r="F60" s="494"/>
    </row>
    <row r="61" spans="1:6" x14ac:dyDescent="0.35">
      <c r="A61" s="447" t="s">
        <v>611</v>
      </c>
      <c r="B61" s="447" t="s">
        <v>612</v>
      </c>
      <c r="C61" s="447" t="s">
        <v>515</v>
      </c>
      <c r="D61" s="447" t="s">
        <v>34</v>
      </c>
      <c r="E61" s="448" t="s">
        <v>33</v>
      </c>
      <c r="F61" s="494"/>
    </row>
    <row r="62" spans="1:6" x14ac:dyDescent="0.35">
      <c r="A62" s="447" t="s">
        <v>613</v>
      </c>
      <c r="B62" s="447" t="s">
        <v>614</v>
      </c>
      <c r="C62" s="447" t="s">
        <v>515</v>
      </c>
      <c r="D62" s="447" t="s">
        <v>34</v>
      </c>
      <c r="E62" s="448" t="s">
        <v>33</v>
      </c>
      <c r="F62" s="494"/>
    </row>
    <row r="63" spans="1:6" x14ac:dyDescent="0.35">
      <c r="A63" s="447" t="s">
        <v>615</v>
      </c>
      <c r="B63" s="447" t="s">
        <v>616</v>
      </c>
      <c r="C63" s="447" t="s">
        <v>515</v>
      </c>
      <c r="D63" s="447" t="s">
        <v>34</v>
      </c>
      <c r="E63" s="448" t="s">
        <v>33</v>
      </c>
      <c r="F63" s="494"/>
    </row>
    <row r="64" spans="1:6" x14ac:dyDescent="0.35">
      <c r="A64" s="447" t="s">
        <v>617</v>
      </c>
      <c r="B64" s="447" t="s">
        <v>618</v>
      </c>
      <c r="C64" s="447" t="s">
        <v>515</v>
      </c>
      <c r="D64" s="447" t="s">
        <v>34</v>
      </c>
      <c r="E64" s="448" t="s">
        <v>33</v>
      </c>
      <c r="F64" s="494"/>
    </row>
    <row r="65" spans="1:6" x14ac:dyDescent="0.35">
      <c r="A65" s="447" t="s">
        <v>363</v>
      </c>
      <c r="B65" s="447" t="s">
        <v>619</v>
      </c>
      <c r="C65" s="447" t="s">
        <v>510</v>
      </c>
      <c r="D65" s="447" t="s">
        <v>34</v>
      </c>
      <c r="E65" s="448" t="s">
        <v>38</v>
      </c>
      <c r="F65" s="494"/>
    </row>
    <row r="66" spans="1:6" x14ac:dyDescent="0.35">
      <c r="A66" s="447" t="s">
        <v>273</v>
      </c>
      <c r="B66" s="447" t="s">
        <v>620</v>
      </c>
      <c r="C66" s="447" t="s">
        <v>510</v>
      </c>
      <c r="D66" s="447" t="s">
        <v>34</v>
      </c>
      <c r="E66" s="448" t="s">
        <v>38</v>
      </c>
      <c r="F66" s="494"/>
    </row>
    <row r="67" spans="1:6" x14ac:dyDescent="0.35">
      <c r="A67" s="447" t="s">
        <v>272</v>
      </c>
      <c r="B67" s="447" t="s">
        <v>621</v>
      </c>
      <c r="C67" s="447" t="s">
        <v>518</v>
      </c>
      <c r="D67" s="447" t="s">
        <v>34</v>
      </c>
      <c r="E67" s="448" t="s">
        <v>33</v>
      </c>
      <c r="F67" s="494"/>
    </row>
    <row r="68" spans="1:6" x14ac:dyDescent="0.35">
      <c r="A68" s="447" t="s">
        <v>401</v>
      </c>
      <c r="B68" s="447" t="s">
        <v>622</v>
      </c>
      <c r="C68" s="447" t="s">
        <v>518</v>
      </c>
      <c r="D68" s="447" t="s">
        <v>34</v>
      </c>
      <c r="E68" s="448" t="s">
        <v>33</v>
      </c>
      <c r="F68" s="494"/>
    </row>
    <row r="69" spans="1:6" x14ac:dyDescent="0.35">
      <c r="A69" s="447" t="s">
        <v>404</v>
      </c>
      <c r="B69" s="447" t="s">
        <v>623</v>
      </c>
      <c r="C69" s="447" t="s">
        <v>518</v>
      </c>
      <c r="D69" s="447" t="s">
        <v>34</v>
      </c>
      <c r="E69" s="448" t="s">
        <v>33</v>
      </c>
      <c r="F69" s="494"/>
    </row>
    <row r="70" spans="1:6" x14ac:dyDescent="0.35">
      <c r="A70" s="447" t="s">
        <v>624</v>
      </c>
      <c r="B70" s="447" t="s">
        <v>375</v>
      </c>
      <c r="C70" s="447" t="s">
        <v>515</v>
      </c>
      <c r="D70" s="447" t="s">
        <v>34</v>
      </c>
      <c r="E70" s="448" t="s">
        <v>33</v>
      </c>
      <c r="F70" s="494"/>
    </row>
    <row r="71" spans="1:6" x14ac:dyDescent="0.35">
      <c r="A71" s="447" t="s">
        <v>625</v>
      </c>
      <c r="B71" s="447" t="s">
        <v>626</v>
      </c>
      <c r="C71" s="447" t="s">
        <v>515</v>
      </c>
      <c r="D71" s="447" t="s">
        <v>34</v>
      </c>
      <c r="E71" s="448" t="s">
        <v>33</v>
      </c>
      <c r="F71" s="494"/>
    </row>
    <row r="72" spans="1:6" x14ac:dyDescent="0.35">
      <c r="A72" s="447" t="s">
        <v>474</v>
      </c>
      <c r="B72" s="447" t="s">
        <v>627</v>
      </c>
      <c r="C72" s="447" t="s">
        <v>510</v>
      </c>
      <c r="D72" s="447" t="s">
        <v>34</v>
      </c>
      <c r="E72" s="448" t="s">
        <v>38</v>
      </c>
      <c r="F72" s="494"/>
    </row>
    <row r="73" spans="1:6" x14ac:dyDescent="0.35">
      <c r="A73" s="447" t="s">
        <v>384</v>
      </c>
      <c r="B73" s="447" t="s">
        <v>628</v>
      </c>
      <c r="C73" s="447" t="s">
        <v>510</v>
      </c>
      <c r="D73" s="447" t="s">
        <v>34</v>
      </c>
      <c r="E73" s="448" t="s">
        <v>38</v>
      </c>
      <c r="F73" s="494"/>
    </row>
    <row r="74" spans="1:6" x14ac:dyDescent="0.35">
      <c r="A74" s="447" t="s">
        <v>430</v>
      </c>
      <c r="B74" s="447" t="s">
        <v>629</v>
      </c>
      <c r="C74" s="447" t="s">
        <v>510</v>
      </c>
      <c r="D74" s="447" t="s">
        <v>34</v>
      </c>
      <c r="E74" s="448" t="s">
        <v>38</v>
      </c>
      <c r="F74" s="494"/>
    </row>
    <row r="75" spans="1:6" x14ac:dyDescent="0.35">
      <c r="A75" s="447" t="s">
        <v>630</v>
      </c>
      <c r="B75" s="447" t="s">
        <v>631</v>
      </c>
      <c r="C75" s="447" t="s">
        <v>515</v>
      </c>
      <c r="D75" s="447" t="s">
        <v>34</v>
      </c>
      <c r="E75" s="448" t="s">
        <v>33</v>
      </c>
      <c r="F75" s="494"/>
    </row>
    <row r="76" spans="1:6" x14ac:dyDescent="0.35">
      <c r="A76" s="447" t="s">
        <v>632</v>
      </c>
      <c r="B76" s="447" t="s">
        <v>633</v>
      </c>
      <c r="C76" s="447" t="s">
        <v>515</v>
      </c>
      <c r="D76" s="447" t="s">
        <v>34</v>
      </c>
      <c r="E76" s="448" t="s">
        <v>33</v>
      </c>
      <c r="F76" s="494"/>
    </row>
    <row r="77" spans="1:6" x14ac:dyDescent="0.35">
      <c r="A77" s="447" t="s">
        <v>391</v>
      </c>
      <c r="B77" s="447" t="s">
        <v>634</v>
      </c>
      <c r="C77" s="447" t="s">
        <v>510</v>
      </c>
      <c r="D77" s="447" t="s">
        <v>34</v>
      </c>
      <c r="E77" s="448" t="s">
        <v>38</v>
      </c>
      <c r="F77" s="494"/>
    </row>
    <row r="78" spans="1:6" x14ac:dyDescent="0.35">
      <c r="A78" s="447" t="s">
        <v>429</v>
      </c>
      <c r="B78" s="447" t="s">
        <v>635</v>
      </c>
      <c r="C78" s="447" t="s">
        <v>518</v>
      </c>
      <c r="D78" s="447" t="s">
        <v>34</v>
      </c>
      <c r="E78" s="448" t="s">
        <v>33</v>
      </c>
      <c r="F78" s="494"/>
    </row>
    <row r="79" spans="1:6" x14ac:dyDescent="0.35">
      <c r="A79" s="447" t="s">
        <v>477</v>
      </c>
      <c r="B79" s="447" t="s">
        <v>636</v>
      </c>
      <c r="C79" s="447" t="s">
        <v>510</v>
      </c>
      <c r="D79" s="447" t="s">
        <v>34</v>
      </c>
      <c r="E79" s="448" t="s">
        <v>38</v>
      </c>
      <c r="F79" s="494"/>
    </row>
    <row r="80" spans="1:6" x14ac:dyDescent="0.35">
      <c r="A80" s="447" t="s">
        <v>480</v>
      </c>
      <c r="B80" s="447" t="s">
        <v>637</v>
      </c>
      <c r="C80" s="447" t="s">
        <v>510</v>
      </c>
      <c r="D80" s="447" t="s">
        <v>34</v>
      </c>
      <c r="E80" s="448" t="s">
        <v>38</v>
      </c>
      <c r="F80" s="494"/>
    </row>
    <row r="81" spans="1:6" x14ac:dyDescent="0.35">
      <c r="A81" s="447" t="s">
        <v>483</v>
      </c>
      <c r="B81" s="447" t="s">
        <v>638</v>
      </c>
      <c r="C81" s="447" t="s">
        <v>510</v>
      </c>
      <c r="D81" s="447" t="s">
        <v>34</v>
      </c>
      <c r="E81" s="448" t="s">
        <v>38</v>
      </c>
      <c r="F81" s="494"/>
    </row>
    <row r="82" spans="1:6" x14ac:dyDescent="0.35">
      <c r="A82" s="447" t="s">
        <v>378</v>
      </c>
      <c r="B82" s="447" t="s">
        <v>639</v>
      </c>
      <c r="C82" s="447" t="s">
        <v>518</v>
      </c>
      <c r="D82" s="447" t="s">
        <v>34</v>
      </c>
      <c r="E82" s="448" t="s">
        <v>38</v>
      </c>
      <c r="F82" s="494"/>
    </row>
    <row r="83" spans="1:6" x14ac:dyDescent="0.35">
      <c r="A83" s="447" t="s">
        <v>383</v>
      </c>
      <c r="B83" s="447" t="s">
        <v>640</v>
      </c>
      <c r="C83" s="447" t="s">
        <v>518</v>
      </c>
      <c r="D83" s="447" t="s">
        <v>34</v>
      </c>
      <c r="E83" s="448" t="s">
        <v>38</v>
      </c>
      <c r="F83" s="494"/>
    </row>
    <row r="84" spans="1:6" x14ac:dyDescent="0.35">
      <c r="A84" s="447" t="s">
        <v>641</v>
      </c>
      <c r="B84" s="447" t="s">
        <v>642</v>
      </c>
      <c r="C84" s="447" t="s">
        <v>515</v>
      </c>
      <c r="D84" s="447" t="s">
        <v>34</v>
      </c>
      <c r="E84" s="448" t="s">
        <v>33</v>
      </c>
      <c r="F84" s="494"/>
    </row>
    <row r="85" spans="1:6" x14ac:dyDescent="0.35">
      <c r="A85" s="447" t="s">
        <v>386</v>
      </c>
      <c r="B85" s="447" t="s">
        <v>643</v>
      </c>
      <c r="C85" s="447" t="s">
        <v>518</v>
      </c>
      <c r="D85" s="447" t="s">
        <v>34</v>
      </c>
      <c r="E85" s="448" t="s">
        <v>38</v>
      </c>
      <c r="F85" s="494"/>
    </row>
    <row r="86" spans="1:6" x14ac:dyDescent="0.35">
      <c r="A86" s="447" t="s">
        <v>390</v>
      </c>
      <c r="B86" s="447" t="s">
        <v>644</v>
      </c>
      <c r="C86" s="447" t="s">
        <v>518</v>
      </c>
      <c r="D86" s="447" t="s">
        <v>34</v>
      </c>
      <c r="E86" s="448" t="s">
        <v>38</v>
      </c>
      <c r="F86" s="494"/>
    </row>
    <row r="87" spans="1:6" x14ac:dyDescent="0.35">
      <c r="A87" s="447" t="s">
        <v>389</v>
      </c>
      <c r="B87" s="447" t="s">
        <v>645</v>
      </c>
      <c r="C87" s="447" t="s">
        <v>518</v>
      </c>
      <c r="D87" s="447" t="s">
        <v>34</v>
      </c>
      <c r="E87" s="448" t="s">
        <v>38</v>
      </c>
      <c r="F87" s="494"/>
    </row>
    <row r="88" spans="1:6" x14ac:dyDescent="0.35">
      <c r="A88" s="447" t="s">
        <v>646</v>
      </c>
      <c r="B88" s="447" t="s">
        <v>647</v>
      </c>
      <c r="C88" s="447" t="s">
        <v>515</v>
      </c>
      <c r="D88" s="447" t="s">
        <v>34</v>
      </c>
      <c r="E88" s="448" t="s">
        <v>33</v>
      </c>
      <c r="F88" s="494"/>
    </row>
    <row r="89" spans="1:6" x14ac:dyDescent="0.35">
      <c r="A89" s="447" t="s">
        <v>486</v>
      </c>
      <c r="B89" s="447" t="s">
        <v>648</v>
      </c>
      <c r="C89" s="447" t="s">
        <v>510</v>
      </c>
      <c r="D89" s="447" t="s">
        <v>34</v>
      </c>
      <c r="E89" s="448" t="s">
        <v>38</v>
      </c>
      <c r="F89" s="494"/>
    </row>
    <row r="90" spans="1:6" x14ac:dyDescent="0.35">
      <c r="A90" s="447" t="s">
        <v>491</v>
      </c>
      <c r="B90" s="447" t="s">
        <v>492</v>
      </c>
      <c r="C90" s="447" t="s">
        <v>510</v>
      </c>
      <c r="D90" s="447" t="s">
        <v>34</v>
      </c>
      <c r="E90" s="448" t="s">
        <v>38</v>
      </c>
      <c r="F90" s="494"/>
    </row>
    <row r="91" spans="1:6" x14ac:dyDescent="0.35">
      <c r="A91" s="447" t="s">
        <v>490</v>
      </c>
      <c r="B91" s="447" t="s">
        <v>649</v>
      </c>
      <c r="C91" s="447" t="s">
        <v>510</v>
      </c>
      <c r="D91" s="447" t="s">
        <v>34</v>
      </c>
      <c r="E91" s="448" t="s">
        <v>38</v>
      </c>
      <c r="F91" s="494"/>
    </row>
    <row r="92" spans="1:6" x14ac:dyDescent="0.35">
      <c r="A92" s="447" t="s">
        <v>494</v>
      </c>
      <c r="B92" s="447" t="s">
        <v>495</v>
      </c>
      <c r="C92" s="447" t="s">
        <v>510</v>
      </c>
      <c r="D92" s="447" t="s">
        <v>34</v>
      </c>
      <c r="E92" s="448" t="s">
        <v>38</v>
      </c>
      <c r="F92" s="494"/>
    </row>
    <row r="93" spans="1:6" x14ac:dyDescent="0.35">
      <c r="A93" s="447" t="s">
        <v>385</v>
      </c>
      <c r="B93" s="447" t="s">
        <v>650</v>
      </c>
      <c r="C93" s="447" t="s">
        <v>518</v>
      </c>
      <c r="D93" s="447" t="s">
        <v>34</v>
      </c>
      <c r="E93" s="448" t="s">
        <v>38</v>
      </c>
      <c r="F93" s="494"/>
    </row>
    <row r="94" spans="1:6" x14ac:dyDescent="0.35">
      <c r="A94" s="447" t="s">
        <v>421</v>
      </c>
      <c r="B94" s="447" t="s">
        <v>651</v>
      </c>
      <c r="C94" s="447" t="s">
        <v>518</v>
      </c>
      <c r="D94" s="447" t="s">
        <v>34</v>
      </c>
      <c r="E94" s="448" t="s">
        <v>33</v>
      </c>
      <c r="F94" s="494"/>
    </row>
    <row r="95" spans="1:6" x14ac:dyDescent="0.35">
      <c r="A95" s="447" t="s">
        <v>652</v>
      </c>
      <c r="B95" s="447" t="s">
        <v>653</v>
      </c>
      <c r="C95" s="447" t="s">
        <v>515</v>
      </c>
      <c r="D95" s="447" t="s">
        <v>34</v>
      </c>
      <c r="E95" s="448" t="s">
        <v>33</v>
      </c>
      <c r="F95" s="494"/>
    </row>
    <row r="96" spans="1:6" x14ac:dyDescent="0.35">
      <c r="A96" s="447" t="s">
        <v>654</v>
      </c>
      <c r="B96" s="447" t="s">
        <v>655</v>
      </c>
      <c r="C96" s="447" t="s">
        <v>515</v>
      </c>
      <c r="D96" s="447" t="s">
        <v>34</v>
      </c>
      <c r="E96" s="448" t="s">
        <v>33</v>
      </c>
      <c r="F96" s="494"/>
    </row>
    <row r="97" spans="1:6" x14ac:dyDescent="0.35">
      <c r="A97" s="447" t="s">
        <v>422</v>
      </c>
      <c r="B97" s="447" t="s">
        <v>656</v>
      </c>
      <c r="C97" s="447" t="s">
        <v>518</v>
      </c>
      <c r="D97" s="447" t="s">
        <v>34</v>
      </c>
      <c r="E97" s="448" t="s">
        <v>33</v>
      </c>
      <c r="F97" s="494"/>
    </row>
    <row r="98" spans="1:6" x14ac:dyDescent="0.35">
      <c r="A98" s="447" t="s">
        <v>423</v>
      </c>
      <c r="B98" s="447" t="s">
        <v>657</v>
      </c>
      <c r="C98" s="447" t="s">
        <v>518</v>
      </c>
      <c r="D98" s="447" t="s">
        <v>34</v>
      </c>
      <c r="E98" s="448" t="s">
        <v>33</v>
      </c>
      <c r="F98" s="494"/>
    </row>
    <row r="99" spans="1:6" x14ac:dyDescent="0.35">
      <c r="A99" s="447" t="s">
        <v>417</v>
      </c>
      <c r="B99" s="447" t="s">
        <v>658</v>
      </c>
      <c r="C99" s="447" t="s">
        <v>518</v>
      </c>
      <c r="D99" s="447" t="s">
        <v>34</v>
      </c>
      <c r="E99" s="448" t="s">
        <v>33</v>
      </c>
      <c r="F99" s="494"/>
    </row>
    <row r="100" spans="1:6" x14ac:dyDescent="0.35">
      <c r="A100" s="447" t="s">
        <v>659</v>
      </c>
      <c r="B100" s="245" t="s">
        <v>660</v>
      </c>
      <c r="C100" s="447" t="s">
        <v>515</v>
      </c>
      <c r="D100" s="447" t="s">
        <v>34</v>
      </c>
      <c r="E100" s="448" t="s">
        <v>33</v>
      </c>
      <c r="F100" s="494"/>
    </row>
    <row r="101" spans="1:6" x14ac:dyDescent="0.35">
      <c r="A101" s="447" t="s">
        <v>661</v>
      </c>
      <c r="B101" s="447" t="s">
        <v>662</v>
      </c>
      <c r="C101" s="447" t="s">
        <v>515</v>
      </c>
      <c r="D101" s="447" t="s">
        <v>34</v>
      </c>
      <c r="E101" s="448" t="s">
        <v>33</v>
      </c>
      <c r="F101" s="494"/>
    </row>
    <row r="102" spans="1:6" x14ac:dyDescent="0.35">
      <c r="A102" s="447" t="s">
        <v>270</v>
      </c>
      <c r="B102" s="447" t="s">
        <v>663</v>
      </c>
      <c r="C102" s="447" t="s">
        <v>518</v>
      </c>
      <c r="D102" s="447" t="s">
        <v>34</v>
      </c>
      <c r="E102" s="448" t="s">
        <v>33</v>
      </c>
      <c r="F102" s="494"/>
    </row>
    <row r="103" spans="1:6" x14ac:dyDescent="0.35">
      <c r="A103" s="447" t="s">
        <v>664</v>
      </c>
      <c r="B103" s="447" t="s">
        <v>665</v>
      </c>
      <c r="C103" s="447" t="s">
        <v>515</v>
      </c>
      <c r="D103" s="447" t="s">
        <v>34</v>
      </c>
      <c r="E103" s="448" t="s">
        <v>33</v>
      </c>
      <c r="F103" s="494"/>
    </row>
    <row r="104" spans="1:6" x14ac:dyDescent="0.35">
      <c r="A104" s="447" t="s">
        <v>271</v>
      </c>
      <c r="B104" s="447" t="s">
        <v>666</v>
      </c>
      <c r="C104" s="447" t="s">
        <v>518</v>
      </c>
      <c r="D104" s="447" t="s">
        <v>34</v>
      </c>
      <c r="E104" s="448" t="s">
        <v>33</v>
      </c>
      <c r="F104" s="494"/>
    </row>
    <row r="105" spans="1:6" x14ac:dyDescent="0.35">
      <c r="A105" s="447" t="s">
        <v>667</v>
      </c>
      <c r="B105" s="447" t="s">
        <v>668</v>
      </c>
      <c r="C105" s="447" t="s">
        <v>515</v>
      </c>
      <c r="D105" s="447" t="s">
        <v>34</v>
      </c>
      <c r="E105" s="448" t="s">
        <v>33</v>
      </c>
      <c r="F105" s="494"/>
    </row>
    <row r="106" spans="1:6" x14ac:dyDescent="0.35">
      <c r="A106" s="447" t="s">
        <v>669</v>
      </c>
      <c r="B106" s="447" t="s">
        <v>670</v>
      </c>
      <c r="C106" s="447" t="s">
        <v>515</v>
      </c>
      <c r="D106" s="447" t="s">
        <v>34</v>
      </c>
      <c r="E106" s="448" t="s">
        <v>33</v>
      </c>
      <c r="F106" s="494"/>
    </row>
    <row r="107" spans="1:6" x14ac:dyDescent="0.35">
      <c r="A107" s="447" t="s">
        <v>671</v>
      </c>
      <c r="B107" s="447" t="s">
        <v>672</v>
      </c>
      <c r="C107" s="447" t="s">
        <v>515</v>
      </c>
      <c r="D107" s="447" t="s">
        <v>34</v>
      </c>
      <c r="E107" s="448" t="s">
        <v>33</v>
      </c>
      <c r="F107" s="494"/>
    </row>
    <row r="108" spans="1:6" x14ac:dyDescent="0.35">
      <c r="A108" s="447" t="s">
        <v>499</v>
      </c>
      <c r="B108" s="447" t="s">
        <v>497</v>
      </c>
      <c r="C108" s="447" t="s">
        <v>510</v>
      </c>
      <c r="D108" s="447" t="s">
        <v>34</v>
      </c>
      <c r="E108" s="448" t="s">
        <v>38</v>
      </c>
      <c r="F108" s="494"/>
    </row>
    <row r="109" spans="1:6" x14ac:dyDescent="0.35">
      <c r="A109" s="447" t="s">
        <v>673</v>
      </c>
      <c r="B109" s="482" t="s">
        <v>674</v>
      </c>
      <c r="C109" s="447" t="s">
        <v>515</v>
      </c>
      <c r="D109" s="447" t="s">
        <v>34</v>
      </c>
      <c r="E109" s="448" t="s">
        <v>33</v>
      </c>
      <c r="F109" s="494"/>
    </row>
    <row r="110" spans="1:6" x14ac:dyDescent="0.35">
      <c r="A110" s="447" t="s">
        <v>675</v>
      </c>
      <c r="B110" s="447" t="s">
        <v>676</v>
      </c>
      <c r="C110" s="447" t="s">
        <v>515</v>
      </c>
      <c r="D110" s="447" t="s">
        <v>34</v>
      </c>
      <c r="E110" s="448" t="s">
        <v>33</v>
      </c>
      <c r="F110" s="494"/>
    </row>
    <row r="111" spans="1:6" x14ac:dyDescent="0.35">
      <c r="A111" s="447" t="s">
        <v>442</v>
      </c>
      <c r="B111" s="447" t="s">
        <v>444</v>
      </c>
      <c r="C111" s="447" t="s">
        <v>518</v>
      </c>
      <c r="D111" s="447" t="s">
        <v>34</v>
      </c>
      <c r="E111" s="448" t="s">
        <v>38</v>
      </c>
      <c r="F111" s="494"/>
    </row>
    <row r="112" spans="1:6" x14ac:dyDescent="0.35">
      <c r="F112" s="494"/>
    </row>
    <row r="113" spans="1:6" x14ac:dyDescent="0.35">
      <c r="F113" s="494"/>
    </row>
    <row r="114" spans="1:6" x14ac:dyDescent="0.35">
      <c r="F114" s="494"/>
    </row>
    <row r="115" spans="1:6" x14ac:dyDescent="0.35">
      <c r="F115" s="494"/>
    </row>
    <row r="116" spans="1:6" x14ac:dyDescent="0.35">
      <c r="A116" s="503"/>
      <c r="B116" s="161"/>
    </row>
    <row r="117" spans="1:6" x14ac:dyDescent="0.35">
      <c r="A117" s="503"/>
      <c r="B117" s="161"/>
    </row>
    <row r="118" spans="1:6" x14ac:dyDescent="0.35">
      <c r="A118" s="503"/>
      <c r="B118" s="161"/>
    </row>
    <row r="119" spans="1:6" x14ac:dyDescent="0.35">
      <c r="A119" s="503"/>
      <c r="B119" s="161"/>
    </row>
  </sheetData>
  <autoFilter ref="A2:E111" xr:uid="{2E753270-8E41-4CC5-97C2-EE4540C41FD1}"/>
  <mergeCells count="5">
    <mergeCell ref="G4:G6"/>
    <mergeCell ref="G7:G10"/>
    <mergeCell ref="G11:G13"/>
    <mergeCell ref="H14:I14"/>
    <mergeCell ref="A1:I1"/>
  </mergeCells>
  <phoneticPr fontId="30" type="noConversion"/>
  <hyperlinks>
    <hyperlink ref="B89" r:id="rId1" display="http://confluence.amd.com/display/RTGSOC/rsmu+interrupt+over+smn+network" xr:uid="{AE971BA6-24A7-47B6-85D9-4250A16D5F63}"/>
  </hyperlinks>
  <pageMargins left="0.7" right="0.7" top="0.75" bottom="0.75" header="0.3" footer="0.3"/>
  <pageSetup orientation="portrait" r:id="rId2"/>
  <headerFooter>
    <oddHeader>&amp;L&amp;"Arial"&amp;10&amp;K0000FF[AMD Official Use Only]&amp;1#</oddHeader>
  </headerFooter>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Y134"/>
  <sheetViews>
    <sheetView tabSelected="1" zoomScale="87" zoomScaleNormal="87" workbookViewId="0">
      <pane xSplit="4" ySplit="6" topLeftCell="H82" activePane="bottomRight" state="frozen"/>
      <selection pane="topRight" activeCell="D1" sqref="D1"/>
      <selection pane="bottomLeft" activeCell="A3" sqref="A3"/>
      <selection pane="bottomRight" activeCell="H112" sqref="H112"/>
    </sheetView>
  </sheetViews>
  <sheetFormatPr defaultColWidth="8.54296875" defaultRowHeight="14.5" x14ac:dyDescent="0.35"/>
  <cols>
    <col min="1" max="1" width="15.1796875" style="167" customWidth="1"/>
    <col min="2" max="2" width="53.08984375" style="166" customWidth="1"/>
    <col min="3" max="3" width="9.81640625" style="172" bestFit="1" customWidth="1"/>
    <col min="4" max="4" width="34" style="167" bestFit="1" customWidth="1"/>
    <col min="5" max="5" width="14.1796875" style="172" bestFit="1" customWidth="1"/>
    <col min="6" max="7" width="11.1796875" style="172" bestFit="1" customWidth="1"/>
    <col min="8" max="8" width="13.453125" style="172" bestFit="1" customWidth="1"/>
    <col min="9" max="9" width="8" style="174" customWidth="1"/>
    <col min="10" max="10" width="19.453125" style="174" customWidth="1"/>
    <col min="11" max="11" width="12.1796875" style="177" customWidth="1"/>
    <col min="12" max="12" width="14.453125" style="177" customWidth="1"/>
    <col min="13" max="13" width="11.54296875" style="178" customWidth="1"/>
    <col min="14" max="14" width="10.54296875" style="178" customWidth="1"/>
    <col min="15" max="15" width="13.1796875" style="177" customWidth="1"/>
    <col min="16" max="16" width="12.54296875" style="80" hidden="1" customWidth="1"/>
    <col min="17" max="17" width="10.54296875" style="80" hidden="1" customWidth="1"/>
    <col min="18" max="19" width="13.1796875" style="181" hidden="1" customWidth="1"/>
    <col min="20" max="20" width="13.1796875" style="182" hidden="1" customWidth="1"/>
    <col min="21" max="21" width="22.81640625" style="167" hidden="1" customWidth="1"/>
    <col min="22" max="22" width="29.1796875" style="167" customWidth="1"/>
    <col min="23" max="16384" width="8.54296875" style="167"/>
  </cols>
  <sheetData>
    <row r="1" spans="1:25" s="165" customFormat="1" ht="19" thickBot="1" x14ac:dyDescent="0.4">
      <c r="A1" s="559" t="s">
        <v>677</v>
      </c>
      <c r="B1" s="560"/>
      <c r="C1" s="560"/>
      <c r="D1" s="560"/>
      <c r="E1" s="560"/>
      <c r="F1" s="560"/>
      <c r="G1" s="560"/>
      <c r="H1" s="560"/>
      <c r="I1" s="560"/>
      <c r="J1" s="560"/>
      <c r="K1" s="560"/>
      <c r="L1" s="560"/>
      <c r="M1" s="560"/>
      <c r="N1" s="560"/>
      <c r="O1" s="560"/>
      <c r="P1" s="560"/>
      <c r="Q1" s="560"/>
      <c r="R1" s="560"/>
      <c r="S1" s="560"/>
      <c r="T1" s="560"/>
      <c r="U1" s="561"/>
    </row>
    <row r="2" spans="1:25" s="169" customFormat="1" ht="18.5" x14ac:dyDescent="0.35">
      <c r="A2" s="637" t="s">
        <v>250</v>
      </c>
      <c r="B2" s="638"/>
      <c r="C2" s="638"/>
      <c r="D2" s="638"/>
      <c r="E2" s="638"/>
      <c r="F2" s="455">
        <f>COUNTA(A7:A116)</f>
        <v>109</v>
      </c>
      <c r="G2" s="273">
        <f>COUNTIF(G7:G116,"Yes")</f>
        <v>109</v>
      </c>
      <c r="H2" s="273">
        <f>COUNTIF(H7:H116,"Yes")</f>
        <v>39</v>
      </c>
      <c r="I2" s="619">
        <f>'Diags Raw Data'!K158</f>
        <v>148</v>
      </c>
      <c r="J2" s="627">
        <f>'Diags Raw Data'!L158</f>
        <v>87</v>
      </c>
      <c r="K2" s="629">
        <f>'Diags Raw Data'!N158</f>
        <v>1</v>
      </c>
      <c r="L2" s="631">
        <f>'Diags Raw Data'!P158</f>
        <v>0.45202702702702641</v>
      </c>
      <c r="M2" s="633">
        <f>'Diags Raw Data'!R158</f>
        <v>148</v>
      </c>
      <c r="N2" s="635">
        <f>SUM('Diags Raw Data'!T158+'Diags Raw Data'!U158)</f>
        <v>55</v>
      </c>
      <c r="O2" s="621">
        <f>IF((M119=0),0,N119/M119)</f>
        <v>0.3716216216216216</v>
      </c>
      <c r="P2" s="623">
        <f>'Diags Raw Data'!Z158</f>
        <v>0</v>
      </c>
      <c r="Q2" s="625">
        <f>SUM('Diags Raw Data'!AA158+'Diags Raw Data'!AB158)</f>
        <v>0</v>
      </c>
      <c r="R2" s="615">
        <f>IF((J119=0),0,P119/J119)</f>
        <v>0</v>
      </c>
      <c r="S2" s="615">
        <f>IF((P119=0),0,Q119/P119)</f>
        <v>0</v>
      </c>
      <c r="T2" s="615">
        <f>R119*S119</f>
        <v>0</v>
      </c>
      <c r="U2" s="617"/>
    </row>
    <row r="3" spans="1:25" ht="19" thickBot="1" x14ac:dyDescent="0.4">
      <c r="A3" s="639"/>
      <c r="B3" s="640"/>
      <c r="C3" s="640"/>
      <c r="D3" s="640"/>
      <c r="E3" s="640"/>
      <c r="F3" s="456"/>
      <c r="G3" s="274">
        <f>COUNTIF(G7:G116,"Yes")/COUNTA(A7:A116)</f>
        <v>1</v>
      </c>
      <c r="H3" s="274">
        <f>(COUNTIF(H7:H116,"Yes")/G119)</f>
        <v>0.3577981651376147</v>
      </c>
      <c r="I3" s="620"/>
      <c r="J3" s="628"/>
      <c r="K3" s="630"/>
      <c r="L3" s="632"/>
      <c r="M3" s="634"/>
      <c r="N3" s="636"/>
      <c r="O3" s="622"/>
      <c r="P3" s="624"/>
      <c r="Q3" s="626"/>
      <c r="R3" s="616"/>
      <c r="S3" s="616"/>
      <c r="T3" s="616"/>
      <c r="U3" s="618"/>
    </row>
    <row r="4" spans="1:25" ht="19" thickBot="1" x14ac:dyDescent="0.4">
      <c r="A4" s="562" t="s">
        <v>678</v>
      </c>
      <c r="B4" s="563"/>
      <c r="C4" s="563"/>
      <c r="D4" s="563"/>
      <c r="E4" s="563"/>
      <c r="F4" s="563"/>
      <c r="G4" s="563"/>
      <c r="H4" s="563"/>
      <c r="I4" s="563"/>
      <c r="J4" s="563"/>
      <c r="K4" s="563"/>
      <c r="L4" s="563"/>
      <c r="M4" s="563"/>
      <c r="N4" s="563"/>
      <c r="O4" s="563"/>
      <c r="P4" s="563"/>
      <c r="Q4" s="563"/>
      <c r="R4" s="563"/>
      <c r="S4" s="563"/>
      <c r="T4" s="563"/>
      <c r="U4" s="564"/>
    </row>
    <row r="5" spans="1:25" s="165" customFormat="1" ht="31.5" customHeight="1" thickBot="1" x14ac:dyDescent="0.4">
      <c r="A5" s="606" t="s">
        <v>71</v>
      </c>
      <c r="B5" s="607"/>
      <c r="C5" s="607"/>
      <c r="D5" s="607"/>
      <c r="E5" s="607"/>
      <c r="F5" s="607"/>
      <c r="G5" s="607"/>
      <c r="H5" s="607"/>
      <c r="I5" s="607"/>
      <c r="J5" s="608"/>
      <c r="K5" s="604" t="s">
        <v>108</v>
      </c>
      <c r="L5" s="605"/>
      <c r="M5" s="609" t="s">
        <v>119</v>
      </c>
      <c r="N5" s="610"/>
      <c r="O5" s="611"/>
      <c r="P5" s="612" t="s">
        <v>139</v>
      </c>
      <c r="Q5" s="613"/>
      <c r="R5" s="613"/>
      <c r="S5" s="613"/>
      <c r="T5" s="613"/>
      <c r="U5" s="614"/>
    </row>
    <row r="6" spans="1:25" s="166" customFormat="1" ht="58.5" thickBot="1" x14ac:dyDescent="0.4">
      <c r="A6" s="381" t="s">
        <v>72</v>
      </c>
      <c r="B6" s="382" t="s">
        <v>76</v>
      </c>
      <c r="C6" s="382" t="s">
        <v>91</v>
      </c>
      <c r="D6" s="382" t="s">
        <v>207</v>
      </c>
      <c r="E6" s="382" t="s">
        <v>83</v>
      </c>
      <c r="F6" s="382" t="s">
        <v>1</v>
      </c>
      <c r="G6" s="383" t="s">
        <v>210</v>
      </c>
      <c r="H6" s="383" t="s">
        <v>213</v>
      </c>
      <c r="I6" s="384" t="s">
        <v>100</v>
      </c>
      <c r="J6" s="384" t="s">
        <v>216</v>
      </c>
      <c r="K6" s="263" t="s">
        <v>109</v>
      </c>
      <c r="L6" s="264" t="s">
        <v>116</v>
      </c>
      <c r="M6" s="257" t="s">
        <v>222</v>
      </c>
      <c r="N6" s="258" t="s">
        <v>224</v>
      </c>
      <c r="O6" s="256" t="s">
        <v>182</v>
      </c>
      <c r="P6" s="376" t="s">
        <v>227</v>
      </c>
      <c r="Q6" s="377" t="s">
        <v>224</v>
      </c>
      <c r="R6" s="378" t="s">
        <v>179</v>
      </c>
      <c r="S6" s="378" t="s">
        <v>135</v>
      </c>
      <c r="T6" s="379" t="s">
        <v>182</v>
      </c>
      <c r="U6" s="380" t="s">
        <v>152</v>
      </c>
      <c r="V6" s="453"/>
      <c r="W6" s="166" t="s">
        <v>811</v>
      </c>
      <c r="X6" s="166" t="s">
        <v>812</v>
      </c>
    </row>
    <row r="7" spans="1:25" ht="189" thickBot="1" x14ac:dyDescent="0.4">
      <c r="A7" s="447" t="s">
        <v>256</v>
      </c>
      <c r="B7" s="480" t="str">
        <f>VLOOKUP(A7,'Feature Raw Data'!$A$3:$B$3934,2,FALSE)</f>
        <v>DFS-DID Switch for All Slices</v>
      </c>
      <c r="C7" s="447" t="str">
        <f>VLOOKUP(A7,'Feature Raw Data'!$A$3:$C$4163,3,FALSE)</f>
        <v>P2</v>
      </c>
      <c r="D7" s="451" t="str" cm="1">
        <f t="array" ref="D7">_xlfn.TEXTJOIN("",TRUE,IF(ISNUMBER(SEARCH($A7,'Diags Raw Data'!$A$7:$A$4094)),CONCATENATE('Diags Raw Data'!$H$7:$H$4094,", "),""))</f>
        <v xml:space="preserve">PM002.xxx.1, PM002.xxx.2, PM002.xxx.3, PM002.xxx.4, PM002.xxx.5, PM002.xxx.6, PM002.xxx.7, PM002.xxx.8, PM002.xxx.9, PM002.xxx.10, PM002.xxx.11, PM002.xxx.12, PM002.xxx.13, PM002.xxx.14, PM002.xxx.15, PM002.xxx.16, PM002.xxx.17, PM002.xxx.18, PM002.xxx.19, PM002.xxx.20, PM002.xxx.21, PM002.xxx.22, PM002.xxx.23, PM002.xxx.24, PM002.xxx.25, </v>
      </c>
      <c r="E7" s="261" t="str">
        <f>VLOOKUP(A7,'Diags Raw Data'!$A$7:$D$3715,4,FALSE)</f>
        <v>CLK</v>
      </c>
      <c r="F7" s="261" t="str">
        <f>VLOOKUP(A7,'Feature Raw Data'!$A$3:$E$3783,5,FALSE)</f>
        <v>Delta</v>
      </c>
      <c r="G7" s="261" t="s">
        <v>31</v>
      </c>
      <c r="H7" s="670" t="s">
        <v>814</v>
      </c>
      <c r="I7" s="260">
        <v>10</v>
      </c>
      <c r="J7" s="262">
        <v>10</v>
      </c>
      <c r="K7" s="322" cm="1">
        <f t="array" ref="K7">IF(D7="",0, SUMPRODUCT(--(ISNUMBER(SEARCH($A7,'Diags Raw Data'!$A$7:$A$3715))),'Diags Raw Data'!$L$7:$L$3715,'Diags Raw Data'!$N$7:$N$3715)/J7)</f>
        <v>2.5</v>
      </c>
      <c r="L7" s="323" cm="1">
        <f t="array" ref="L7">IF(D7="",0, SUMPRODUCT(--(ISNUMBER(SEARCH($A7,'Diags Raw Data'!$A$7:$A$3715))),'Diags Raw Data'!$L$7:$L$3715,'Diags Raw Data'!$P$7:$P$3715)/J7)</f>
        <v>1.0000000000000004</v>
      </c>
      <c r="M7" s="324" cm="1">
        <f t="array" ref="M7">SUMPRODUCT(--(ISNUMBER(SEARCH($A7,'Diags Raw Data'!$A$7:$A$3715))),--('Diags Raw Data'!$Q$7:$Q$3715&lt;&gt;"N/A"),'Diags Raw Data'!$R$7:$R$3715)</f>
        <v>25</v>
      </c>
      <c r="N7" s="325" cm="1">
        <f t="array" ref="N7">SUMPRODUCT(--(ISNUMBER(SEARCH($A7,'Diags Raw Data'!$A$7:$A$3715))),--('Diags Raw Data'!$Q$7:$Q$3715&lt;&gt;"N/A"),'Diags Raw Data'!$T$7:$T$3715)+SUMPRODUCT(--(ISNUMBER(SEARCH($A7,'Diags Raw Data'!$A$7:$A$3715))),--('Diags Raw Data'!$Q$7:$Q$3715&lt;&gt;"N/A"),'Diags Raw Data'!$U$7:$U$3715)</f>
        <v>22</v>
      </c>
      <c r="O7" s="363">
        <f>IF((M7=0),0,N7/M7)</f>
        <v>0.88</v>
      </c>
      <c r="P7" s="326">
        <f>SUMIF('Diags Raw Data'!$A$7:$A$3715,"*"&amp;$A7&amp;"*",'Diags Raw Data'!$Z$7:$Z$3715)</f>
        <v>0</v>
      </c>
      <c r="Q7" s="327">
        <f>SUM(SUMIF('Diags Raw Data'!$A$7:$A$3715,"*"&amp;$A7&amp;"*",'Diags Raw Data'!$AA$7:$AA$3715),SUMIF('Diags Raw Data'!$A$7:$A$3715,"*"&amp;$A7&amp;"*",'Diags Raw Data'!$AB$7:$AB$3715))</f>
        <v>0</v>
      </c>
      <c r="R7" s="328">
        <f>IF((J7=0),0,P7/J7)</f>
        <v>0</v>
      </c>
      <c r="S7" s="328">
        <f>IF((P7=0),0,Q7/P7)</f>
        <v>0</v>
      </c>
      <c r="T7" s="329">
        <f>R7*S7</f>
        <v>0</v>
      </c>
      <c r="U7" s="452" t="s">
        <v>679</v>
      </c>
      <c r="W7" s="167">
        <v>1</v>
      </c>
      <c r="Y7" s="167">
        <v>1</v>
      </c>
    </row>
    <row r="8" spans="1:25" ht="15" thickBot="1" x14ac:dyDescent="0.4">
      <c r="A8" s="447" t="s">
        <v>513</v>
      </c>
      <c r="B8" s="480" t="str">
        <f>VLOOKUP(A8,'Feature Raw Data'!$A$3:$B$3934,2,FALSE)</f>
        <v>PLL Power UP/Down</v>
      </c>
      <c r="C8" s="447" t="str">
        <f>VLOOKUP(A8,'Feature Raw Data'!$A$3:$C$4163,3,FALSE)</f>
        <v>P3</v>
      </c>
      <c r="D8" s="451" t="str" cm="1">
        <f t="array" ref="D8">_xlfn.TEXTJOIN("",TRUE,IF(ISNUMBER(SEARCH($A8,'Diags Raw Data'!$A$7:$A$4094)),CONCATENATE('Diags Raw Data'!$H$7:$H$4094,", "),""))</f>
        <v/>
      </c>
      <c r="E8" s="261" t="e">
        <f>VLOOKUP(A8,'Diags Raw Data'!$A$7:$D$3715,4,FALSE)</f>
        <v>#N/A</v>
      </c>
      <c r="F8" s="261" t="str">
        <f>VLOOKUP(A8,'Feature Raw Data'!$A$3:$E$3783,5,FALSE)</f>
        <v>Legacy</v>
      </c>
      <c r="G8" s="261" t="s">
        <v>31</v>
      </c>
      <c r="H8" s="261" t="s">
        <v>36</v>
      </c>
      <c r="I8" s="260">
        <f>SUMIF('Diags Raw Data'!$A$7:$A$3715,"*"&amp;$A8&amp;"*",'Diags Raw Data'!$K$7:$K$3715)</f>
        <v>0</v>
      </c>
      <c r="J8" s="262">
        <f>SUMIF('Diags Raw Data'!$A$7:$A$3715,"*"&amp;$A8&amp;"*",'Diags Raw Data'!$L$7:$L$3715)</f>
        <v>0</v>
      </c>
      <c r="K8" s="322" cm="1">
        <f t="array" ref="K8">IF(D8="",0, SUMPRODUCT(--(ISNUMBER(SEARCH($A8,'Diags Raw Data'!$A$7:$A$3715))),'Diags Raw Data'!$L$7:$L$3715,'Diags Raw Data'!$N$7:$N$3715)/J8)</f>
        <v>0</v>
      </c>
      <c r="L8" s="323" cm="1">
        <f t="array" ref="L8">IF(D8="",0, SUMPRODUCT(--(ISNUMBER(SEARCH($A8,'Diags Raw Data'!$A$7:$A$3715))),'Diags Raw Data'!$L$7:$L$3715,'Diags Raw Data'!$P$7:$P$3715)/J8)</f>
        <v>0</v>
      </c>
      <c r="M8" s="324" cm="1">
        <f t="array" ref="M8">SUMPRODUCT(--(ISNUMBER(SEARCH($A8,'Diags Raw Data'!$A$7:$A$3715))),--('Diags Raw Data'!$Q$7:$Q$3715&lt;&gt;"N/A"),'Diags Raw Data'!$R$7:$R$3715)</f>
        <v>0</v>
      </c>
      <c r="N8" s="325" cm="1">
        <f t="array" ref="N8">SUMPRODUCT(--(ISNUMBER(SEARCH($A8,'Diags Raw Data'!$A$7:$A$3715))),--('Diags Raw Data'!$Q$7:$Q$3715&lt;&gt;"N/A"),'Diags Raw Data'!$T$7:$T$3715)+SUMPRODUCT(--(ISNUMBER(SEARCH($A8,'Diags Raw Data'!$A$7:$A$3715))),--('Diags Raw Data'!$Q$7:$Q$3715&lt;&gt;"N/A"),'Diags Raw Data'!$U$7:$U$3715)</f>
        <v>0</v>
      </c>
      <c r="O8" s="363">
        <f t="shared" ref="O8" si="0">IF((M8=0),0,N8/M8)</f>
        <v>0</v>
      </c>
      <c r="P8" s="326">
        <f>SUMIF('Diags Raw Data'!$A$7:$A$3715,"*"&amp;$A8&amp;"*",'Diags Raw Data'!$Z$7:$Z$3715)</f>
        <v>0</v>
      </c>
      <c r="Q8" s="327">
        <f>SUM(SUMIF('Diags Raw Data'!$A$7:$A$3715,"*"&amp;$A8&amp;"*",'Diags Raw Data'!$AA$7:$AA$3715),SUMIF('Diags Raw Data'!$A$7:$A$3715,"*"&amp;$A8&amp;"*",'Diags Raw Data'!$AB$7:$AB$3715))</f>
        <v>0</v>
      </c>
      <c r="R8" s="328">
        <f t="shared" ref="R8" si="1">IF((J8=0),0,P8/J8)</f>
        <v>0</v>
      </c>
      <c r="S8" s="328">
        <f t="shared" ref="S8" si="2">IF((P8=0),0,Q8/P8)</f>
        <v>0</v>
      </c>
      <c r="T8" s="329">
        <f t="shared" ref="T8" si="3">R8*S8</f>
        <v>0</v>
      </c>
      <c r="U8" s="452" t="s">
        <v>44</v>
      </c>
    </row>
    <row r="9" spans="1:25" ht="15" thickBot="1" x14ac:dyDescent="0.4">
      <c r="A9" s="447" t="s">
        <v>267</v>
      </c>
      <c r="B9" s="480" t="str">
        <f>VLOOKUP(A9,'Feature Raw Data'!$A$3:$B$3934,2,FALSE)</f>
        <v>VCO Change/Fractional Divider/Multiplier</v>
      </c>
      <c r="C9" s="447" t="str">
        <f>VLOOKUP(A9,'Feature Raw Data'!$A$3:$C$4163,3,FALSE)</f>
        <v>P1</v>
      </c>
      <c r="D9" s="451" t="str" cm="1">
        <f t="array" ref="D9">_xlfn.TEXTJOIN("",TRUE,IF(ISNUMBER(SEARCH($A9,'Diags Raw Data'!$A$7:$A$4094)),CONCATENATE('Diags Raw Data'!$H$7:$H$4094,", "),""))</f>
        <v xml:space="preserve">PM80.12.1, PM20.1, PM25.2-4, </v>
      </c>
      <c r="E9" s="261" t="str">
        <f>VLOOKUP(A9,'Diags Raw Data'!$A$7:$D$3715,4,FALSE)</f>
        <v>CLK</v>
      </c>
      <c r="F9" s="261" t="str">
        <f>VLOOKUP(A9,'Feature Raw Data'!$A$3:$E$3783,5,FALSE)</f>
        <v>Delta</v>
      </c>
      <c r="G9" s="261" t="s">
        <v>31</v>
      </c>
      <c r="H9" s="261" t="s">
        <v>31</v>
      </c>
      <c r="I9" s="260">
        <f>SUMIF('Diags Raw Data'!$A$7:$A$3715,"*"&amp;$A9&amp;"*",'Diags Raw Data'!$K$7:$K$3715)</f>
        <v>3</v>
      </c>
      <c r="J9" s="262">
        <f>SUMIF('Diags Raw Data'!$A$7:$A$3715,"*"&amp;$A9&amp;"*",'Diags Raw Data'!$L$7:$L$3715)</f>
        <v>3</v>
      </c>
      <c r="K9" s="322" cm="1">
        <f t="array" ref="K9">IF(D9="",0, SUMPRODUCT(--(ISNUMBER(SEARCH($A9,'Diags Raw Data'!$A$7:$A$3715))),'Diags Raw Data'!$L$7:$L$3715,'Diags Raw Data'!$N$7:$N$3715)/J9)</f>
        <v>1</v>
      </c>
      <c r="L9" s="323" cm="1">
        <f t="array" ref="L9">IF(D9="",0, SUMPRODUCT(--(ISNUMBER(SEARCH($A9,'Diags Raw Data'!$A$7:$A$3715))),'Diags Raw Data'!$L$7:$L$3715,'Diags Raw Data'!$P$7:$P$3715)/J9)</f>
        <v>0.6</v>
      </c>
      <c r="M9" s="324" cm="1">
        <f t="array" ref="M9">SUMPRODUCT(--(ISNUMBER(SEARCH($A9,'Diags Raw Data'!$A$7:$A$3715))),--('Diags Raw Data'!$Q$7:$Q$3715&lt;&gt;"N/A"),'Diags Raw Data'!$R$7:$R$3715)</f>
        <v>3</v>
      </c>
      <c r="N9" s="325" cm="1">
        <f t="array" ref="N9">SUMPRODUCT(--(ISNUMBER(SEARCH($A9,'Diags Raw Data'!$A$7:$A$3715))),--('Diags Raw Data'!$Q$7:$Q$3715&lt;&gt;"N/A"),'Diags Raw Data'!$T$7:$T$3715)+SUMPRODUCT(--(ISNUMBER(SEARCH($A9,'Diags Raw Data'!$A$7:$A$3715))),--('Diags Raw Data'!$Q$7:$Q$3715&lt;&gt;"N/A"),'Diags Raw Data'!$U$7:$U$3715)</f>
        <v>0</v>
      </c>
      <c r="O9" s="363">
        <f t="shared" ref="O9:O64" si="4">IF((M9=0),0,N9/M9)</f>
        <v>0</v>
      </c>
      <c r="P9" s="326">
        <f>SUMIF('Diags Raw Data'!$A$7:$A$3715,"*"&amp;$A9&amp;"*",'Diags Raw Data'!$Z$7:$Z$3715)</f>
        <v>0</v>
      </c>
      <c r="Q9" s="327">
        <f>SUM(SUMIF('Diags Raw Data'!$A$7:$A$3715,"*"&amp;$A9&amp;"*",'Diags Raw Data'!$AA$7:$AA$3715),SUMIF('Diags Raw Data'!$A$7:$A$3715,"*"&amp;$A9&amp;"*",'Diags Raw Data'!$AB$7:$AB$3715))</f>
        <v>0</v>
      </c>
      <c r="R9" s="328">
        <f t="shared" ref="R9:R64" si="5">IF((J9=0),0,P9/J9)</f>
        <v>0</v>
      </c>
      <c r="S9" s="328">
        <f t="shared" ref="S9:S64" si="6">IF((P9=0),0,Q9/P9)</f>
        <v>0</v>
      </c>
      <c r="T9" s="329">
        <f t="shared" ref="T9:T64" si="7">R9*S9</f>
        <v>0</v>
      </c>
      <c r="U9" s="366" t="s">
        <v>680</v>
      </c>
      <c r="W9" s="167">
        <v>2</v>
      </c>
    </row>
    <row r="10" spans="1:25" ht="15" thickBot="1" x14ac:dyDescent="0.4">
      <c r="A10" s="447" t="s">
        <v>520</v>
      </c>
      <c r="B10" s="480" t="str">
        <f>VLOOKUP(A10,'Feature Raw Data'!$A$3:$B$3934,2,FALSE)</f>
        <v>Ref bypass/divider</v>
      </c>
      <c r="C10" s="447" t="str">
        <f>VLOOKUP(A10,'Feature Raw Data'!$A$3:$C$4163,3,FALSE)</f>
        <v>P3</v>
      </c>
      <c r="D10" s="451" t="str" cm="1">
        <f t="array" ref="D10">_xlfn.TEXTJOIN("",TRUE,IF(ISNUMBER(SEARCH($A10,'Diags Raw Data'!$A$7:$A$4094)),CONCATENATE('Diags Raw Data'!$H$7:$H$4094,", "),""))</f>
        <v/>
      </c>
      <c r="E10" s="261" t="e">
        <f>VLOOKUP(A10,'Diags Raw Data'!$A$7:$D$3715,4,FALSE)</f>
        <v>#N/A</v>
      </c>
      <c r="F10" s="261" t="str">
        <f>VLOOKUP(A10,'Feature Raw Data'!$A$3:$E$3783,5,FALSE)</f>
        <v>Legacy</v>
      </c>
      <c r="G10" s="261" t="s">
        <v>31</v>
      </c>
      <c r="H10" s="261" t="s">
        <v>36</v>
      </c>
      <c r="I10" s="260">
        <v>1</v>
      </c>
      <c r="J10" s="262">
        <v>1</v>
      </c>
      <c r="K10" s="322" cm="1">
        <f t="array" ref="K10">IF(D10="",0, SUMPRODUCT(--(ISNUMBER(SEARCH($A10,'Diags Raw Data'!$A$7:$A$3715))),'Diags Raw Data'!$L$7:$L$3715,'Diags Raw Data'!$N$7:$N$3715)/J10)</f>
        <v>0</v>
      </c>
      <c r="L10" s="323" cm="1">
        <f t="array" ref="L10">IF(D10="",0, SUMPRODUCT(--(ISNUMBER(SEARCH($A10,'Diags Raw Data'!$A$7:$A$3715))),'Diags Raw Data'!$L$7:$L$3715,'Diags Raw Data'!$P$7:$P$3715)/J10)</f>
        <v>0</v>
      </c>
      <c r="M10" s="324" cm="1">
        <f t="array" ref="M10">SUMPRODUCT(--(ISNUMBER(SEARCH($A10,'Diags Raw Data'!$A$7:$A$3715))),--('Diags Raw Data'!$Q$7:$Q$3715&lt;&gt;"N/A"),'Diags Raw Data'!$R$7:$R$3715)</f>
        <v>0</v>
      </c>
      <c r="N10" s="325" cm="1">
        <f t="array" ref="N10">SUMPRODUCT(--(ISNUMBER(SEARCH($A10,'Diags Raw Data'!$A$7:$A$3715))),--('Diags Raw Data'!$Q$7:$Q$3715&lt;&gt;"N/A"),'Diags Raw Data'!$T$7:$T$3715)+SUMPRODUCT(--(ISNUMBER(SEARCH($A10,'Diags Raw Data'!$A$7:$A$3715))),--('Diags Raw Data'!$Q$7:$Q$3715&lt;&gt;"N/A"),'Diags Raw Data'!$U$7:$U$3715)</f>
        <v>0</v>
      </c>
      <c r="O10" s="363">
        <f t="shared" si="4"/>
        <v>0</v>
      </c>
      <c r="P10" s="326">
        <f>SUMIF('Diags Raw Data'!$A$7:$A$3715,"*"&amp;$A10&amp;"*",'Diags Raw Data'!$Z$7:$Z$3715)</f>
        <v>0</v>
      </c>
      <c r="Q10" s="327">
        <f>SUM(SUMIF('Diags Raw Data'!$A$7:$A$3715,"*"&amp;$A10&amp;"*",'Diags Raw Data'!$AA$7:$AA$3715),SUMIF('Diags Raw Data'!$A$7:$A$3715,"*"&amp;$A10&amp;"*",'Diags Raw Data'!$AB$7:$AB$3715))</f>
        <v>0</v>
      </c>
      <c r="R10" s="328">
        <f t="shared" si="5"/>
        <v>0</v>
      </c>
      <c r="S10" s="328">
        <f t="shared" si="6"/>
        <v>0</v>
      </c>
      <c r="T10" s="329">
        <f t="shared" si="7"/>
        <v>0</v>
      </c>
      <c r="U10" s="452" t="s">
        <v>44</v>
      </c>
    </row>
    <row r="11" spans="1:25" ht="15" thickBot="1" x14ac:dyDescent="0.4">
      <c r="A11" s="447" t="s">
        <v>523</v>
      </c>
      <c r="B11" s="480" t="str">
        <f>VLOOKUP(A11,'Feature Raw Data'!$A$3:$B$3934,2,FALSE)</f>
        <v>Thermal Trip - PLL are turned off</v>
      </c>
      <c r="C11" s="447" t="str">
        <f>VLOOKUP(A11,'Feature Raw Data'!$A$3:$C$4163,3,FALSE)</f>
        <v>P3</v>
      </c>
      <c r="D11" s="451" t="str" cm="1">
        <f t="array" ref="D11">_xlfn.TEXTJOIN("",TRUE,IF(ISNUMBER(SEARCH($A11,'Diags Raw Data'!$A$7:$A$4094)),CONCATENATE('Diags Raw Data'!$H$7:$H$4094,", "),""))</f>
        <v/>
      </c>
      <c r="E11" s="261" t="e">
        <f>VLOOKUP(A11,'Diags Raw Data'!$A$7:$D$3715,4,FALSE)</f>
        <v>#N/A</v>
      </c>
      <c r="F11" s="261" t="str">
        <f>VLOOKUP(A11,'Feature Raw Data'!$A$3:$E$3783,5,FALSE)</f>
        <v>Legacy</v>
      </c>
      <c r="G11" s="261" t="s">
        <v>31</v>
      </c>
      <c r="H11" s="261" t="s">
        <v>36</v>
      </c>
      <c r="I11" s="260">
        <f>SUMIF('Diags Raw Data'!$A$7:$A$3715,"*"&amp;$A11&amp;"*",'Diags Raw Data'!$K$7:$K$3715)</f>
        <v>0</v>
      </c>
      <c r="J11" s="262">
        <f>SUMIF('Diags Raw Data'!$A$7:$A$3715,"*"&amp;$A11&amp;"*",'Diags Raw Data'!$L$7:$L$3715)</f>
        <v>0</v>
      </c>
      <c r="K11" s="322" cm="1">
        <f t="array" ref="K11">IF(D11="",0, SUMPRODUCT(--(ISNUMBER(SEARCH($A11,'Diags Raw Data'!$A$7:$A$3715))),'Diags Raw Data'!$L$7:$L$3715,'Diags Raw Data'!$N$7:$N$3715)/J11)</f>
        <v>0</v>
      </c>
      <c r="L11" s="323" cm="1">
        <f t="array" ref="L11">IF(D11="",0, SUMPRODUCT(--(ISNUMBER(SEARCH($A11,'Diags Raw Data'!$A$7:$A$3715))),'Diags Raw Data'!$L$7:$L$3715,'Diags Raw Data'!$P$7:$P$3715)/J11)</f>
        <v>0</v>
      </c>
      <c r="M11" s="324" cm="1">
        <f t="array" ref="M11">SUMPRODUCT(--(ISNUMBER(SEARCH($A11,'Diags Raw Data'!$A$7:$A$3715))),--('Diags Raw Data'!$Q$7:$Q$3715&lt;&gt;"N/A"),'Diags Raw Data'!$R$7:$R$3715)</f>
        <v>0</v>
      </c>
      <c r="N11" s="325" cm="1">
        <f t="array" ref="N11">SUMPRODUCT(--(ISNUMBER(SEARCH($A11,'Diags Raw Data'!$A$7:$A$3715))),--('Diags Raw Data'!$Q$7:$Q$3715&lt;&gt;"N/A"),'Diags Raw Data'!$T$7:$T$3715)+SUMPRODUCT(--(ISNUMBER(SEARCH($A11,'Diags Raw Data'!$A$7:$A$3715))),--('Diags Raw Data'!$Q$7:$Q$3715&lt;&gt;"N/A"),'Diags Raw Data'!$U$7:$U$3715)</f>
        <v>0</v>
      </c>
      <c r="O11" s="363">
        <f t="shared" ref="O11" si="8">IF((M11=0),0,N11/M11)</f>
        <v>0</v>
      </c>
      <c r="P11" s="326">
        <f>SUMIF('Diags Raw Data'!$A$7:$A$3715,"*"&amp;$A11&amp;"*",'Diags Raw Data'!$Z$7:$Z$3715)</f>
        <v>0</v>
      </c>
      <c r="Q11" s="327">
        <f>SUM(SUMIF('Diags Raw Data'!$A$7:$A$3715,"*"&amp;$A11&amp;"*",'Diags Raw Data'!$AA$7:$AA$3715),SUMIF('Diags Raw Data'!$A$7:$A$3715,"*"&amp;$A11&amp;"*",'Diags Raw Data'!$AB$7:$AB$3715))</f>
        <v>0</v>
      </c>
      <c r="R11" s="328">
        <f t="shared" ref="R11" si="9">IF((J11=0),0,P11/J11)</f>
        <v>0</v>
      </c>
      <c r="S11" s="328">
        <f t="shared" ref="S11" si="10">IF((P11=0),0,Q11/P11)</f>
        <v>0</v>
      </c>
      <c r="T11" s="329">
        <f t="shared" ref="T11" si="11">R11*S11</f>
        <v>0</v>
      </c>
      <c r="U11" s="452" t="s">
        <v>44</v>
      </c>
    </row>
    <row r="12" spans="1:25" ht="15" thickBot="1" x14ac:dyDescent="0.4">
      <c r="A12" s="447" t="s">
        <v>451</v>
      </c>
      <c r="B12" s="480" t="str">
        <f>VLOOKUP(A12,'Feature Raw Data'!$A$3:$B$3934,2,FALSE)</f>
        <v>DFS Global bypass</v>
      </c>
      <c r="C12" s="447" t="str">
        <f>VLOOKUP(A12,'Feature Raw Data'!$A$3:$C$4163,3,FALSE)</f>
        <v>P2</v>
      </c>
      <c r="D12" s="451" t="str" cm="1">
        <f t="array" ref="D12">_xlfn.TEXTJOIN("",TRUE,IF(ISNUMBER(SEARCH($A12,'Diags Raw Data'!$A$7:$A$4094)),CONCATENATE('Diags Raw Data'!$H$7:$H$4094,", "),""))</f>
        <v xml:space="preserve">PMxx.xx.1, </v>
      </c>
      <c r="E12" s="261" t="str">
        <f>VLOOKUP(A12,'Diags Raw Data'!$A$7:$D$3715,4,FALSE)</f>
        <v>CLK</v>
      </c>
      <c r="F12" s="261" t="str">
        <f>VLOOKUP(A12,'Feature Raw Data'!$A$3:$E$3783,5,FALSE)</f>
        <v>Delta</v>
      </c>
      <c r="G12" s="261" t="s">
        <v>31</v>
      </c>
      <c r="H12" s="670" t="s">
        <v>814</v>
      </c>
      <c r="I12" s="260">
        <v>1</v>
      </c>
      <c r="J12" s="262">
        <v>1</v>
      </c>
      <c r="K12" s="322" cm="1">
        <f t="array" ref="K12">IF(D12="",0, SUMPRODUCT(--(ISNUMBER(SEARCH($A12,'Diags Raw Data'!$A$7:$A$3715))),'Diags Raw Data'!$L$7:$L$3715,'Diags Raw Data'!$N$7:$N$3715)/J12)</f>
        <v>1</v>
      </c>
      <c r="L12" s="323" cm="1">
        <f t="array" ref="L12">IF(D12="",0, SUMPRODUCT(--(ISNUMBER(SEARCH($A12,'Diags Raw Data'!$A$7:$A$3715))),'Diags Raw Data'!$L$7:$L$3715,'Diags Raw Data'!$P$7:$P$3715)/J12)</f>
        <v>0</v>
      </c>
      <c r="M12" s="324" cm="1">
        <f t="array" ref="M12">SUMPRODUCT(--(ISNUMBER(SEARCH($A12,'Diags Raw Data'!$A$7:$A$3715))),--('Diags Raw Data'!$Q$7:$Q$3715&lt;&gt;"N/A"),'Diags Raw Data'!$R$7:$R$3715)</f>
        <v>1</v>
      </c>
      <c r="N12" s="325" cm="1">
        <f t="array" ref="N12">SUMPRODUCT(--(ISNUMBER(SEARCH($A12,'Diags Raw Data'!$A$7:$A$3715))),--('Diags Raw Data'!$Q$7:$Q$3715&lt;&gt;"N/A"),'Diags Raw Data'!$T$7:$T$3715)+SUMPRODUCT(--(ISNUMBER(SEARCH($A12,'Diags Raw Data'!$A$7:$A$3715))),--('Diags Raw Data'!$Q$7:$Q$3715&lt;&gt;"N/A"),'Diags Raw Data'!$U$7:$U$3715)</f>
        <v>0</v>
      </c>
      <c r="O12" s="363">
        <f t="shared" si="4"/>
        <v>0</v>
      </c>
      <c r="P12" s="326">
        <f>SUMIF('Diags Raw Data'!$A$7:$A$3715,"*"&amp;$A12&amp;"*",'Diags Raw Data'!$Z$7:$Z$3715)</f>
        <v>0</v>
      </c>
      <c r="Q12" s="327">
        <f>SUM(SUMIF('Diags Raw Data'!$A$7:$A$3715,"*"&amp;$A12&amp;"*",'Diags Raw Data'!$AA$7:$AA$3715),SUMIF('Diags Raw Data'!$A$7:$A$3715,"*"&amp;$A12&amp;"*",'Diags Raw Data'!$AB$7:$AB$3715))</f>
        <v>0</v>
      </c>
      <c r="R12" s="328">
        <f t="shared" si="5"/>
        <v>0</v>
      </c>
      <c r="S12" s="328">
        <f t="shared" si="6"/>
        <v>0</v>
      </c>
      <c r="T12" s="329">
        <f t="shared" si="7"/>
        <v>0</v>
      </c>
      <c r="U12" s="452" t="s">
        <v>44</v>
      </c>
      <c r="W12" s="167">
        <v>2</v>
      </c>
      <c r="X12" s="167">
        <v>2</v>
      </c>
      <c r="Y12" s="167">
        <v>4</v>
      </c>
    </row>
    <row r="13" spans="1:25" ht="15" thickBot="1" x14ac:dyDescent="0.4">
      <c r="A13" s="447" t="s">
        <v>527</v>
      </c>
      <c r="B13" s="480" t="str">
        <f>VLOOKUP(A13,'Feature Raw Data'!$A$3:$B$3934,2,FALSE)</f>
        <v>PLL babyStep</v>
      </c>
      <c r="C13" s="447" t="str">
        <f>VLOOKUP(A13,'Feature Raw Data'!$A$3:$C$4163,3,FALSE)</f>
        <v>P3</v>
      </c>
      <c r="D13" s="451" t="str" cm="1">
        <f t="array" ref="D13">_xlfn.TEXTJOIN("",TRUE,IF(ISNUMBER(SEARCH($A13,'Diags Raw Data'!$A$7:$A$4094)),CONCATENATE('Diags Raw Data'!$H$7:$H$4094,", "),""))</f>
        <v/>
      </c>
      <c r="E13" s="261" t="e">
        <f>VLOOKUP(A13,'Diags Raw Data'!$A$7:$D$3715,4,FALSE)</f>
        <v>#N/A</v>
      </c>
      <c r="F13" s="261" t="str">
        <f>VLOOKUP(A13,'Feature Raw Data'!$A$3:$E$3783,5,FALSE)</f>
        <v>Legacy</v>
      </c>
      <c r="G13" s="261" t="s">
        <v>31</v>
      </c>
      <c r="H13" s="261" t="s">
        <v>36</v>
      </c>
      <c r="I13" s="260">
        <v>1</v>
      </c>
      <c r="J13" s="262">
        <v>1</v>
      </c>
      <c r="K13" s="322" cm="1">
        <f t="array" ref="K13">IF(D13="",0, SUMPRODUCT(--(ISNUMBER(SEARCH($A13,'Diags Raw Data'!$A$7:$A$3715))),'Diags Raw Data'!$L$7:$L$3715,'Diags Raw Data'!$N$7:$N$3715)/J13)</f>
        <v>0</v>
      </c>
      <c r="L13" s="323" cm="1">
        <f t="array" ref="L13">IF(D13="",0, SUMPRODUCT(--(ISNUMBER(SEARCH($A13,'Diags Raw Data'!$A$7:$A$3715))),'Diags Raw Data'!$L$7:$L$3715,'Diags Raw Data'!$P$7:$P$3715)/J13)</f>
        <v>0</v>
      </c>
      <c r="M13" s="324" cm="1">
        <f t="array" ref="M13">SUMPRODUCT(--(ISNUMBER(SEARCH($A13,'Diags Raw Data'!$A$7:$A$3715))),--('Diags Raw Data'!$Q$7:$Q$3715&lt;&gt;"N/A"),'Diags Raw Data'!$R$7:$R$3715)</f>
        <v>0</v>
      </c>
      <c r="N13" s="325" cm="1">
        <f t="array" ref="N13">SUMPRODUCT(--(ISNUMBER(SEARCH($A13,'Diags Raw Data'!$A$7:$A$3715))),--('Diags Raw Data'!$Q$7:$Q$3715&lt;&gt;"N/A"),'Diags Raw Data'!$T$7:$T$3715)+SUMPRODUCT(--(ISNUMBER(SEARCH($A13,'Diags Raw Data'!$A$7:$A$3715))),--('Diags Raw Data'!$Q$7:$Q$3715&lt;&gt;"N/A"),'Diags Raw Data'!$U$7:$U$3715)</f>
        <v>0</v>
      </c>
      <c r="O13" s="363">
        <f t="shared" si="4"/>
        <v>0</v>
      </c>
      <c r="P13" s="326">
        <f>SUMIF('Diags Raw Data'!$A$7:$A$3715,"*"&amp;$A13&amp;"*",'Diags Raw Data'!$Z$7:$Z$3715)</f>
        <v>0</v>
      </c>
      <c r="Q13" s="327">
        <f>SUM(SUMIF('Diags Raw Data'!$A$7:$A$3715,"*"&amp;$A13&amp;"*",'Diags Raw Data'!$AA$7:$AA$3715),SUMIF('Diags Raw Data'!$A$7:$A$3715,"*"&amp;$A13&amp;"*",'Diags Raw Data'!$AB$7:$AB$3715))</f>
        <v>0</v>
      </c>
      <c r="R13" s="328">
        <f t="shared" si="5"/>
        <v>0</v>
      </c>
      <c r="S13" s="328">
        <f t="shared" si="6"/>
        <v>0</v>
      </c>
      <c r="T13" s="329">
        <f t="shared" si="7"/>
        <v>0</v>
      </c>
      <c r="U13" s="366" t="s">
        <v>680</v>
      </c>
    </row>
    <row r="14" spans="1:25" ht="203.5" thickBot="1" x14ac:dyDescent="0.4">
      <c r="A14" s="447" t="s">
        <v>262</v>
      </c>
      <c r="B14" s="480" t="str">
        <f>VLOOKUP(A14,'Feature Raw Data'!$A$3:$B$3934,2,FALSE)</f>
        <v>Tick-Counter</v>
      </c>
      <c r="C14" s="447" t="str">
        <f>VLOOKUP(A14,'Feature Raw Data'!$A$3:$C$4163,3,FALSE)</f>
        <v>P1</v>
      </c>
      <c r="D14" s="451" t="str" cm="1">
        <f t="array" ref="D14">_xlfn.TEXTJOIN("",TRUE,IF(ISNUMBER(SEARCH($A14,'Diags Raw Data'!$A$7:$A$4094)),CONCATENATE('Diags Raw Data'!$H$7:$H$4094,", "),""))</f>
        <v xml:space="preserve">PM002.900, PM80.12.1, PM002.xxx.1, PM002.xxx.2, PM002.xxx.3, PM002.xxx.4, PM002.xxx.5, PM002.xxx.6, PM002.xxx.7, PM002.xxx.8, PM002.xxx.9, PM002.xxx.10, PM002.xxx.11, PM002.xxx.12, PM002.xxx.13, PM002.xxx.14, PM002.xxx.15, PM002.xxx.16, PM002.xxx.17, PM002.xxx.18, PM002.xxx.19, PM002.xxx.20, PM002.xxx.21, PM002.xxx.22, PM002.xxx.23, PM002.xxx.24, PM002.xxx.25, PM20.1, PM25.2-4, </v>
      </c>
      <c r="E14" s="261" t="str">
        <f>VLOOKUP(A14,'Diags Raw Data'!$A$7:$D$3715,4,FALSE)</f>
        <v>CLK</v>
      </c>
      <c r="F14" s="261" t="str">
        <f>VLOOKUP(A14,'Feature Raw Data'!$A$3:$E$3783,5,FALSE)</f>
        <v>Delta</v>
      </c>
      <c r="G14" s="261" t="s">
        <v>31</v>
      </c>
      <c r="H14" s="261" t="s">
        <v>31</v>
      </c>
      <c r="I14" s="260">
        <f>SUMIF('Diags Raw Data'!$A$7:$A$3715,"*"&amp;$A14&amp;"*",'Diags Raw Data'!$K$7:$K$3715)</f>
        <v>29</v>
      </c>
      <c r="J14" s="262">
        <f>SUMIF('Diags Raw Data'!$A$7:$A$3715,"*"&amp;$A14&amp;"*",'Diags Raw Data'!$L$7:$L$3715)</f>
        <v>29</v>
      </c>
      <c r="K14" s="322" cm="1">
        <f t="array" ref="K14">IF(D14="",0, SUMPRODUCT(--(ISNUMBER(SEARCH($A14,'Diags Raw Data'!$A$7:$A$3715))),'Diags Raw Data'!$L$7:$L$3715,'Diags Raw Data'!$N$7:$N$3715)/J14)</f>
        <v>1</v>
      </c>
      <c r="L14" s="323" cm="1">
        <f t="array" ref="L14">IF(D14="",0, SUMPRODUCT(--(ISNUMBER(SEARCH($A14,'Diags Raw Data'!$A$7:$A$3715))),'Diags Raw Data'!$L$7:$L$3715,'Diags Raw Data'!$P$7:$P$3715)/J14)</f>
        <v>0.40689655172413808</v>
      </c>
      <c r="M14" s="324" cm="1">
        <f t="array" ref="M14">SUMPRODUCT(--(ISNUMBER(SEARCH($A14,'Diags Raw Data'!$A$7:$A$3715))),--('Diags Raw Data'!$Q$7:$Q$3715&lt;&gt;"N/A"),'Diags Raw Data'!$R$7:$R$3715)</f>
        <v>29</v>
      </c>
      <c r="N14" s="325" cm="1">
        <f t="array" ref="N14">SUMPRODUCT(--(ISNUMBER(SEARCH($A14,'Diags Raw Data'!$A$7:$A$3715))),--('Diags Raw Data'!$Q$7:$Q$3715&lt;&gt;"N/A"),'Diags Raw Data'!$T$7:$T$3715)+SUMPRODUCT(--(ISNUMBER(SEARCH($A14,'Diags Raw Data'!$A$7:$A$3715))),--('Diags Raw Data'!$Q$7:$Q$3715&lt;&gt;"N/A"),'Diags Raw Data'!$U$7:$U$3715)</f>
        <v>22</v>
      </c>
      <c r="O14" s="363">
        <f t="shared" ref="O14" si="12">IF((M14=0),0,N14/M14)</f>
        <v>0.75862068965517238</v>
      </c>
      <c r="P14" s="326">
        <f>SUMIF('Diags Raw Data'!$A$7:$A$3715,"*"&amp;$A14&amp;"*",'Diags Raw Data'!$Z$7:$Z$3715)</f>
        <v>0</v>
      </c>
      <c r="Q14" s="327">
        <f>SUM(SUMIF('Diags Raw Data'!$A$7:$A$3715,"*"&amp;$A14&amp;"*",'Diags Raw Data'!$AA$7:$AA$3715),SUMIF('Diags Raw Data'!$A$7:$A$3715,"*"&amp;$A14&amp;"*",'Diags Raw Data'!$AB$7:$AB$3715))</f>
        <v>0</v>
      </c>
      <c r="R14" s="328">
        <f t="shared" ref="R14" si="13">IF((J14=0),0,P14/J14)</f>
        <v>0</v>
      </c>
      <c r="S14" s="328">
        <f t="shared" ref="S14" si="14">IF((P14=0),0,Q14/P14)</f>
        <v>0</v>
      </c>
      <c r="T14" s="329">
        <f t="shared" ref="T14" si="15">R14*S14</f>
        <v>0</v>
      </c>
      <c r="U14" s="366" t="s">
        <v>680</v>
      </c>
    </row>
    <row r="15" spans="1:25" ht="29.5" thickBot="1" x14ac:dyDescent="0.4">
      <c r="A15" s="447" t="s">
        <v>454</v>
      </c>
      <c r="B15" s="480" t="str">
        <f>VLOOKUP(A15,'Feature Raw Data'!$A$3:$B$3934,2,FALSE)</f>
        <v>MSMU Capability</v>
      </c>
      <c r="C15" s="447" t="str">
        <f>VLOOKUP(A15,'Feature Raw Data'!$A$3:$C$4163,3,FALSE)</f>
        <v>P2</v>
      </c>
      <c r="D15" s="451" t="str" cm="1">
        <f t="array" ref="D15">_xlfn.TEXTJOIN("",TRUE,IF(ISNUMBER(SEARCH($A15,'Diags Raw Data'!$A$7:$A$4094)),CONCATENATE('Diags Raw Data'!$H$7:$H$4094,", "),""))</f>
        <v xml:space="preserve">PM100.001, PM100.002, PM100.003, PM100.004, PM100.005, PM100.006, </v>
      </c>
      <c r="E15" s="261" t="str">
        <f>VLOOKUP(A15,'Diags Raw Data'!$A$7:$D$3715,4,FALSE)</f>
        <v>MSMU</v>
      </c>
      <c r="F15" s="261" t="str">
        <f>VLOOKUP(A15,'Feature Raw Data'!$A$3:$E$3783,5,FALSE)</f>
        <v>Delta</v>
      </c>
      <c r="G15" s="261" t="s">
        <v>31</v>
      </c>
      <c r="H15" s="670" t="s">
        <v>814</v>
      </c>
      <c r="I15" s="260">
        <v>3</v>
      </c>
      <c r="J15" s="262">
        <v>3</v>
      </c>
      <c r="K15" s="322" cm="1">
        <f t="array" ref="K15">IF(D15="",0, SUMPRODUCT(--(ISNUMBER(SEARCH($A15,'Diags Raw Data'!$A$7:$A$3715))),'Diags Raw Data'!$L$7:$L$3715,'Diags Raw Data'!$N$7:$N$3715)/J15)</f>
        <v>2</v>
      </c>
      <c r="L15" s="323" cm="1">
        <f t="array" ref="L15">IF(D15="",0, SUMPRODUCT(--(ISNUMBER(SEARCH($A15,'Diags Raw Data'!$A$7:$A$3715))),'Diags Raw Data'!$L$7:$L$3715,'Diags Raw Data'!$P$7:$P$3715)/J15)</f>
        <v>0</v>
      </c>
      <c r="M15" s="324" cm="1">
        <f t="array" ref="M15">SUMPRODUCT(--(ISNUMBER(SEARCH($A15,'Diags Raw Data'!$A$7:$A$3715))),--('Diags Raw Data'!$Q$7:$Q$3715&lt;&gt;"N/A"),'Diags Raw Data'!$R$7:$R$3715)</f>
        <v>6</v>
      </c>
      <c r="N15" s="325" cm="1">
        <f t="array" ref="N15">SUMPRODUCT(--(ISNUMBER(SEARCH($A15,'Diags Raw Data'!$A$7:$A$3715))),--('Diags Raw Data'!$Q$7:$Q$3715&lt;&gt;"N/A"),'Diags Raw Data'!$T$7:$T$3715)+SUMPRODUCT(--(ISNUMBER(SEARCH($A15,'Diags Raw Data'!$A$7:$A$3715))),--('Diags Raw Data'!$Q$7:$Q$3715&lt;&gt;"N/A"),'Diags Raw Data'!$U$7:$U$3715)</f>
        <v>0</v>
      </c>
      <c r="O15" s="363">
        <f t="shared" si="4"/>
        <v>0</v>
      </c>
      <c r="P15" s="326">
        <f>SUMIF('Diags Raw Data'!$A$7:$A$3715,"*"&amp;$A15&amp;"*",'Diags Raw Data'!$Z$7:$Z$3715)</f>
        <v>0</v>
      </c>
      <c r="Q15" s="327">
        <f>SUM(SUMIF('Diags Raw Data'!$A$7:$A$3715,"*"&amp;$A15&amp;"*",'Diags Raw Data'!$AA$7:$AA$3715),SUMIF('Diags Raw Data'!$A$7:$A$3715,"*"&amp;$A15&amp;"*",'Diags Raw Data'!$AB$7:$AB$3715))</f>
        <v>0</v>
      </c>
      <c r="R15" s="328">
        <f t="shared" si="5"/>
        <v>0</v>
      </c>
      <c r="S15" s="328">
        <f t="shared" si="6"/>
        <v>0</v>
      </c>
      <c r="T15" s="329">
        <f t="shared" si="7"/>
        <v>0</v>
      </c>
      <c r="U15" s="366" t="s">
        <v>680</v>
      </c>
      <c r="W15" s="167">
        <v>2</v>
      </c>
      <c r="X15" s="167">
        <v>4</v>
      </c>
      <c r="Y15" s="167">
        <v>6</v>
      </c>
    </row>
    <row r="16" spans="1:25" ht="15" thickBot="1" x14ac:dyDescent="0.4">
      <c r="A16" s="447" t="s">
        <v>534</v>
      </c>
      <c r="B16" s="480" t="str">
        <f>VLOOKUP(A16,'Feature Raw Data'!$A$3:$B$3934,2,FALSE)</f>
        <v>PCC-DFSDivider Increase by Programable Amount</v>
      </c>
      <c r="C16" s="447" t="str">
        <f>VLOOKUP(A16,'Feature Raw Data'!$A$3:$C$4163,3,FALSE)</f>
        <v>P3</v>
      </c>
      <c r="D16" s="451" t="str" cm="1">
        <f t="array" ref="D16">_xlfn.TEXTJOIN("",TRUE,IF(ISNUMBER(SEARCH($A16,'Diags Raw Data'!$A$7:$A$4094)),CONCATENATE('Diags Raw Data'!$H$7:$H$4094,", "),""))</f>
        <v/>
      </c>
      <c r="E16" s="261" t="e">
        <f>VLOOKUP(A16,'Diags Raw Data'!$A$7:$D$3715,4,FALSE)</f>
        <v>#N/A</v>
      </c>
      <c r="F16" s="261" t="str">
        <f>VLOOKUP(A16,'Feature Raw Data'!$A$3:$E$3783,5,FALSE)</f>
        <v>Legacy</v>
      </c>
      <c r="G16" s="261" t="s">
        <v>31</v>
      </c>
      <c r="H16" s="457" t="s">
        <v>36</v>
      </c>
      <c r="I16" s="260">
        <f>SUMIF('Diags Raw Data'!$A$7:$A$3715,"*"&amp;$A16&amp;"*",'Diags Raw Data'!$K$7:$K$3715)</f>
        <v>0</v>
      </c>
      <c r="J16" s="262">
        <f>SUMIF('Diags Raw Data'!$A$7:$A$3715,"*"&amp;$A16&amp;"*",'Diags Raw Data'!$L$7:$L$3715)</f>
        <v>0</v>
      </c>
      <c r="K16" s="322" cm="1">
        <f t="array" ref="K16">IF(D16="",0, SUMPRODUCT(--(ISNUMBER(SEARCH($A16,'Diags Raw Data'!$A$7:$A$3715))),'Diags Raw Data'!$L$7:$L$3715,'Diags Raw Data'!$N$7:$N$3715)/J16)</f>
        <v>0</v>
      </c>
      <c r="L16" s="323" cm="1">
        <f t="array" ref="L16">IF(D16="",0, SUMPRODUCT(--(ISNUMBER(SEARCH($A16,'Diags Raw Data'!$A$7:$A$3715))),'Diags Raw Data'!$L$7:$L$3715,'Diags Raw Data'!$P$7:$P$3715)/J16)</f>
        <v>0</v>
      </c>
      <c r="M16" s="324" cm="1">
        <f t="array" ref="M16">SUMPRODUCT(--(ISNUMBER(SEARCH($A16,'Diags Raw Data'!$A$7:$A$3715))),--('Diags Raw Data'!$Q$7:$Q$3715&lt;&gt;"N/A"),'Diags Raw Data'!$R$7:$R$3715)</f>
        <v>0</v>
      </c>
      <c r="N16" s="325" cm="1">
        <f t="array" ref="N16">SUMPRODUCT(--(ISNUMBER(SEARCH($A16,'Diags Raw Data'!$A$7:$A$3715))),--('Diags Raw Data'!$Q$7:$Q$3715&lt;&gt;"N/A"),'Diags Raw Data'!$T$7:$T$3715)+SUMPRODUCT(--(ISNUMBER(SEARCH($A16,'Diags Raw Data'!$A$7:$A$3715))),--('Diags Raw Data'!$Q$7:$Q$3715&lt;&gt;"N/A"),'Diags Raw Data'!$U$7:$U$3715)</f>
        <v>0</v>
      </c>
      <c r="O16" s="363">
        <f t="shared" ref="O16" si="16">IF((M16=0),0,N16/M16)</f>
        <v>0</v>
      </c>
      <c r="P16" s="326">
        <f>SUMIF('Diags Raw Data'!$A$7:$A$3715,"*"&amp;$A16&amp;"*",'Diags Raw Data'!$Z$7:$Z$3715)</f>
        <v>0</v>
      </c>
      <c r="Q16" s="327">
        <f>SUM(SUMIF('Diags Raw Data'!$A$7:$A$3715,"*"&amp;$A16&amp;"*",'Diags Raw Data'!$AA$7:$AA$3715),SUMIF('Diags Raw Data'!$A$7:$A$3715,"*"&amp;$A16&amp;"*",'Diags Raw Data'!$AB$7:$AB$3715))</f>
        <v>0</v>
      </c>
      <c r="R16" s="328">
        <f t="shared" ref="R16" si="17">IF((J16=0),0,P16/J16)</f>
        <v>0</v>
      </c>
      <c r="S16" s="328">
        <f t="shared" ref="S16" si="18">IF((P16=0),0,Q16/P16)</f>
        <v>0</v>
      </c>
      <c r="T16" s="329">
        <f t="shared" ref="T16" si="19">R16*S16</f>
        <v>0</v>
      </c>
      <c r="U16" s="452" t="s">
        <v>681</v>
      </c>
    </row>
    <row r="17" spans="1:25" ht="15" thickBot="1" x14ac:dyDescent="0.4">
      <c r="A17" s="447" t="s">
        <v>329</v>
      </c>
      <c r="B17" s="480" t="str">
        <f>VLOOKUP(A17,'Feature Raw Data'!$A$3:$B$3934,2,FALSE)</f>
        <v>Fuses-Bootrom Fuses</v>
      </c>
      <c r="C17" s="447" t="str">
        <f>VLOOKUP(A17,'Feature Raw Data'!$A$3:$C$4163,3,FALSE)</f>
        <v>P2</v>
      </c>
      <c r="D17" s="451" t="str" cm="1">
        <f t="array" ref="D17">_xlfn.TEXTJOIN("",TRUE,IF(ISNUMBER(SEARCH($A17,'Diags Raw Data'!$A$7:$A$4094)),CONCATENATE('Diags Raw Data'!$H$7:$H$4094,", "),""))</f>
        <v xml:space="preserve">PM001.200, </v>
      </c>
      <c r="E17" s="261" t="str">
        <f>VLOOKUP(A17,'Diags Raw Data'!$A$7:$D$3715,4,FALSE)</f>
        <v>Fuse</v>
      </c>
      <c r="F17" s="261" t="str">
        <f>VLOOKUP(A17,'Feature Raw Data'!$A$3:$E$3783,5,FALSE)</f>
        <v>Delta</v>
      </c>
      <c r="G17" s="261" t="s">
        <v>31</v>
      </c>
      <c r="H17" s="670" t="s">
        <v>814</v>
      </c>
      <c r="I17" s="260">
        <f>SUMIF('Diags Raw Data'!$A$7:$A$3715,"*"&amp;$A17&amp;"*",'Diags Raw Data'!$K$7:$K$3715)</f>
        <v>1</v>
      </c>
      <c r="J17" s="260">
        <f>SUMIF('Diags Raw Data'!$A$7:$A$3715,"*"&amp;$A17&amp;"*",'Diags Raw Data'!$K$7:$K$3715)</f>
        <v>1</v>
      </c>
      <c r="K17" s="322" cm="1">
        <f t="array" ref="K17">IF(D17="",0, SUMPRODUCT(--(ISNUMBER(SEARCH($A17,'Diags Raw Data'!$A$7:$A$3715))),'Diags Raw Data'!$L$7:$L$3715,'Diags Raw Data'!$N$7:$N$3715)/J17)</f>
        <v>1</v>
      </c>
      <c r="L17" s="323" cm="1">
        <f t="array" ref="L17">IF(D17="",0, SUMPRODUCT(--(ISNUMBER(SEARCH($A17,'Diags Raw Data'!$A$7:$A$3715))),'Diags Raw Data'!$L$7:$L$3715,'Diags Raw Data'!$P$7:$P$3715)/J17)</f>
        <v>0.4</v>
      </c>
      <c r="M17" s="324" cm="1">
        <f t="array" ref="M17">SUMPRODUCT(--(ISNUMBER(SEARCH($A17,'Diags Raw Data'!$A$7:$A$3715))),--('Diags Raw Data'!$Q$7:$Q$3715&lt;&gt;"N/A"),'Diags Raw Data'!$R$7:$R$3715)</f>
        <v>1</v>
      </c>
      <c r="N17" s="325" cm="1">
        <f t="array" ref="N17">SUMPRODUCT(--(ISNUMBER(SEARCH($A17,'Diags Raw Data'!$A$7:$A$3715))),--('Diags Raw Data'!$Q$7:$Q$3715&lt;&gt;"N/A"),'Diags Raw Data'!$T$7:$T$3715)+SUMPRODUCT(--(ISNUMBER(SEARCH($A17,'Diags Raw Data'!$A$7:$A$3715))),--('Diags Raw Data'!$Q$7:$Q$3715&lt;&gt;"N/A"),'Diags Raw Data'!$U$7:$U$3715)</f>
        <v>0</v>
      </c>
      <c r="O17" s="363">
        <f t="shared" si="4"/>
        <v>0</v>
      </c>
      <c r="P17" s="326">
        <f>SUMIF('Diags Raw Data'!$A$7:$A$3715,"*"&amp;$A17&amp;"*",'Diags Raw Data'!$Z$7:$Z$3715)</f>
        <v>0</v>
      </c>
      <c r="Q17" s="327">
        <f>SUM(SUMIF('Diags Raw Data'!$A$7:$A$3715,"*"&amp;$A17&amp;"*",'Diags Raw Data'!$AA$7:$AA$3715),SUMIF('Diags Raw Data'!$A$7:$A$3715,"*"&amp;$A17&amp;"*",'Diags Raw Data'!$AB$7:$AB$3715))</f>
        <v>0</v>
      </c>
      <c r="R17" s="328">
        <f t="shared" si="5"/>
        <v>0</v>
      </c>
      <c r="S17" s="328">
        <f t="shared" si="6"/>
        <v>0</v>
      </c>
      <c r="T17" s="329">
        <f t="shared" si="7"/>
        <v>0</v>
      </c>
      <c r="U17" s="366" t="s">
        <v>682</v>
      </c>
      <c r="W17" s="167">
        <v>1</v>
      </c>
      <c r="Y17" s="167">
        <v>1</v>
      </c>
    </row>
    <row r="18" spans="1:25" ht="15" thickBot="1" x14ac:dyDescent="0.4">
      <c r="A18" s="447" t="s">
        <v>334</v>
      </c>
      <c r="B18" s="480" t="str">
        <f>VLOOKUP(A18,'Feature Raw Data'!$A$3:$B$3934,2,FALSE)</f>
        <v>Fuses-Startup Fuses</v>
      </c>
      <c r="C18" s="447" t="str">
        <f>VLOOKUP(A18,'Feature Raw Data'!$A$3:$C$4163,3,FALSE)</f>
        <v>P2</v>
      </c>
      <c r="D18" s="451" t="str" cm="1">
        <f t="array" ref="D18">_xlfn.TEXTJOIN("",TRUE,IF(ISNUMBER(SEARCH($A18,'Diags Raw Data'!$A$7:$A$4094)),CONCATENATE('Diags Raw Data'!$H$7:$H$4094,", "),""))</f>
        <v xml:space="preserve">PM001.200, </v>
      </c>
      <c r="E18" s="261" t="str">
        <f>VLOOKUP(A18,'Diags Raw Data'!$A$7:$D$3715,4,FALSE)</f>
        <v>Fuse</v>
      </c>
      <c r="F18" s="261" t="str">
        <f>VLOOKUP(A18,'Feature Raw Data'!$A$3:$E$3783,5,FALSE)</f>
        <v>Delta</v>
      </c>
      <c r="G18" s="261" t="s">
        <v>31</v>
      </c>
      <c r="H18" s="670" t="s">
        <v>814</v>
      </c>
      <c r="I18" s="260">
        <f>SUMIF('Diags Raw Data'!$A$7:$A$3715,"*"&amp;$A18&amp;"*",'Diags Raw Data'!$K$7:$K$3715)</f>
        <v>1</v>
      </c>
      <c r="J18" s="260">
        <f>SUMIF('Diags Raw Data'!$A$7:$A$3715,"*"&amp;$A18&amp;"*",'Diags Raw Data'!$K$7:$K$3715)</f>
        <v>1</v>
      </c>
      <c r="K18" s="322" cm="1">
        <f t="array" ref="K18">IF(D18="",0, SUMPRODUCT(--(ISNUMBER(SEARCH($A18,'Diags Raw Data'!$A$7:$A$3715))),'Diags Raw Data'!$L$7:$L$3715,'Diags Raw Data'!$N$7:$N$3715)/J18)</f>
        <v>1</v>
      </c>
      <c r="L18" s="323" cm="1">
        <f t="array" ref="L18">IF(D18="",0, SUMPRODUCT(--(ISNUMBER(SEARCH($A18,'Diags Raw Data'!$A$7:$A$3715))),'Diags Raw Data'!$L$7:$L$3715,'Diags Raw Data'!$P$7:$P$3715)/J18)</f>
        <v>0.4</v>
      </c>
      <c r="M18" s="324" cm="1">
        <f t="array" ref="M18">SUMPRODUCT(--(ISNUMBER(SEARCH($A18,'Diags Raw Data'!$A$7:$A$3715))),--('Diags Raw Data'!$Q$7:$Q$3715&lt;&gt;"N/A"),'Diags Raw Data'!$R$7:$R$3715)</f>
        <v>1</v>
      </c>
      <c r="N18" s="325" cm="1">
        <f t="array" ref="N18">SUMPRODUCT(--(ISNUMBER(SEARCH($A18,'Diags Raw Data'!$A$7:$A$3715))),--('Diags Raw Data'!$Q$7:$Q$3715&lt;&gt;"N/A"),'Diags Raw Data'!$T$7:$T$3715)+SUMPRODUCT(--(ISNUMBER(SEARCH($A18,'Diags Raw Data'!$A$7:$A$3715))),--('Diags Raw Data'!$Q$7:$Q$3715&lt;&gt;"N/A"),'Diags Raw Data'!$U$7:$U$3715)</f>
        <v>0</v>
      </c>
      <c r="O18" s="363">
        <f t="shared" si="4"/>
        <v>0</v>
      </c>
      <c r="P18" s="326">
        <f>SUMIF('Diags Raw Data'!$A$7:$A$3715,"*"&amp;$A18&amp;"*",'Diags Raw Data'!$Z$7:$Z$3715)</f>
        <v>0</v>
      </c>
      <c r="Q18" s="327">
        <f>SUM(SUMIF('Diags Raw Data'!$A$7:$A$3715,"*"&amp;$A18&amp;"*",'Diags Raw Data'!$AA$7:$AA$3715),SUMIF('Diags Raw Data'!$A$7:$A$3715,"*"&amp;$A18&amp;"*",'Diags Raw Data'!$AB$7:$AB$3715))</f>
        <v>0</v>
      </c>
      <c r="R18" s="328">
        <f t="shared" si="5"/>
        <v>0</v>
      </c>
      <c r="S18" s="328">
        <f t="shared" si="6"/>
        <v>0</v>
      </c>
      <c r="T18" s="329">
        <f t="shared" si="7"/>
        <v>0</v>
      </c>
      <c r="U18" s="366" t="s">
        <v>682</v>
      </c>
    </row>
    <row r="19" spans="1:25" ht="15" thickBot="1" x14ac:dyDescent="0.4">
      <c r="A19" s="447" t="s">
        <v>324</v>
      </c>
      <c r="B19" s="480" t="str">
        <f>VLOOKUP(A19,'Feature Raw Data'!$A$3:$B$3934,2,FALSE)</f>
        <v>PLL-SpreadSpectrum</v>
      </c>
      <c r="C19" s="447" t="str">
        <f>VLOOKUP(A19,'Feature Raw Data'!$A$3:$C$4163,3,FALSE)</f>
        <v>P2</v>
      </c>
      <c r="D19" s="451" t="str" cm="1">
        <f t="array" ref="D19">_xlfn.TEXTJOIN("",TRUE,IF(ISNUMBER(SEARCH($A19,'Diags Raw Data'!$A$7:$A$4094)),CONCATENATE('Diags Raw Data'!$H$7:$H$4094,", "),""))</f>
        <v xml:space="preserve">PM060.xx.3, </v>
      </c>
      <c r="E19" s="261" t="str">
        <f>VLOOKUP(A19,'Diags Raw Data'!$A$7:$D$3715,4,FALSE)</f>
        <v>CLK</v>
      </c>
      <c r="F19" s="261" t="str">
        <f>VLOOKUP(A19,'Feature Raw Data'!$A$3:$E$3783,5,FALSE)</f>
        <v>Delta</v>
      </c>
      <c r="G19" s="261" t="s">
        <v>31</v>
      </c>
      <c r="H19" s="670" t="s">
        <v>814</v>
      </c>
      <c r="I19" s="260">
        <f>SUMIF('Diags Raw Data'!$A$7:$A$3715,"*"&amp;$A19&amp;"*",'Diags Raw Data'!$K$7:$K$3715)</f>
        <v>1</v>
      </c>
      <c r="J19" s="260">
        <f>SUMIF('Diags Raw Data'!$A$7:$A$3715,"*"&amp;$A19&amp;"*",'Diags Raw Data'!$K$7:$K$3715)</f>
        <v>1</v>
      </c>
      <c r="K19" s="322" cm="1">
        <f t="array" ref="K19">IF(D19="",0, SUMPRODUCT(--(ISNUMBER(SEARCH($A19,'Diags Raw Data'!$A$7:$A$3715))),'Diags Raw Data'!$L$7:$L$3715,'Diags Raw Data'!$N$7:$N$3715)/J19)</f>
        <v>1</v>
      </c>
      <c r="L19" s="323" cm="1">
        <f t="array" ref="L19">IF(D19="",0, SUMPRODUCT(--(ISNUMBER(SEARCH($A19,'Diags Raw Data'!$A$7:$A$3715))),'Diags Raw Data'!$L$7:$L$3715,'Diags Raw Data'!$P$7:$P$3715)/J19)</f>
        <v>0.4</v>
      </c>
      <c r="M19" s="324" cm="1">
        <f t="array" ref="M19">SUMPRODUCT(--(ISNUMBER(SEARCH($A19,'Diags Raw Data'!$A$7:$A$3715))),--('Diags Raw Data'!$Q$7:$Q$3715&lt;&gt;"N/A"),'Diags Raw Data'!$R$7:$R$3715)</f>
        <v>1</v>
      </c>
      <c r="N19" s="325" cm="1">
        <f t="array" ref="N19">SUMPRODUCT(--(ISNUMBER(SEARCH($A19,'Diags Raw Data'!$A$7:$A$3715))),--('Diags Raw Data'!$Q$7:$Q$3715&lt;&gt;"N/A"),'Diags Raw Data'!$T$7:$T$3715)+SUMPRODUCT(--(ISNUMBER(SEARCH($A19,'Diags Raw Data'!$A$7:$A$3715))),--('Diags Raw Data'!$Q$7:$Q$3715&lt;&gt;"N/A"),'Diags Raw Data'!$U$7:$U$3715)</f>
        <v>0</v>
      </c>
      <c r="O19" s="363">
        <f t="shared" si="4"/>
        <v>0</v>
      </c>
      <c r="P19" s="326">
        <f>SUMIF('Diags Raw Data'!$A$7:$A$3715,"*"&amp;$A19&amp;"*",'Diags Raw Data'!$Z$7:$Z$3715)</f>
        <v>0</v>
      </c>
      <c r="Q19" s="327">
        <f>SUM(SUMIF('Diags Raw Data'!$A$7:$A$3715,"*"&amp;$A19&amp;"*",'Diags Raw Data'!$AA$7:$AA$3715),SUMIF('Diags Raw Data'!$A$7:$A$3715,"*"&amp;$A19&amp;"*",'Diags Raw Data'!$AB$7:$AB$3715))</f>
        <v>0</v>
      </c>
      <c r="R19" s="328">
        <f t="shared" si="5"/>
        <v>0</v>
      </c>
      <c r="S19" s="328">
        <f t="shared" si="6"/>
        <v>0</v>
      </c>
      <c r="T19" s="329">
        <f t="shared" si="7"/>
        <v>0</v>
      </c>
      <c r="U19" s="366" t="s">
        <v>681</v>
      </c>
      <c r="W19" s="167">
        <v>1.5</v>
      </c>
      <c r="X19" s="167">
        <v>2</v>
      </c>
      <c r="Y19" s="167">
        <v>3.5</v>
      </c>
    </row>
    <row r="20" spans="1:25" ht="15" thickBot="1" x14ac:dyDescent="0.4">
      <c r="A20" s="447" t="s">
        <v>541</v>
      </c>
      <c r="B20" s="480" t="str">
        <f>VLOOKUP(A20,'Feature Raw Data'!$A$3:$B$3934,2,FALSE)</f>
        <v>Deep Sleep</v>
      </c>
      <c r="C20" s="447" t="str">
        <f>VLOOKUP(A20,'Feature Raw Data'!$A$3:$C$4163,3,FALSE)</f>
        <v>P2</v>
      </c>
      <c r="D20" s="451" t="str" cm="1">
        <f t="array" ref="D20">_xlfn.TEXTJOIN("",TRUE,IF(ISNUMBER(SEARCH($A20,'Diags Raw Data'!$A$7:$A$4094)),CONCATENATE('Diags Raw Data'!$H$7:$H$4094,", "),""))</f>
        <v/>
      </c>
      <c r="E20" s="261" t="e">
        <f>VLOOKUP(A20,'Diags Raw Data'!$A$7:$D$3715,4,FALSE)</f>
        <v>#N/A</v>
      </c>
      <c r="F20" s="261" t="str">
        <f>VLOOKUP(A20,'Feature Raw Data'!$A$3:$E$3783,5,FALSE)</f>
        <v>Delta</v>
      </c>
      <c r="G20" s="261" t="s">
        <v>31</v>
      </c>
      <c r="H20" s="261" t="s">
        <v>36</v>
      </c>
      <c r="I20" s="260">
        <f>SUMIF('Diags Raw Data'!$A$7:$A$3715,"*"&amp;$A20&amp;"*",'Diags Raw Data'!$K$7:$K$3715)</f>
        <v>0</v>
      </c>
      <c r="J20" s="260">
        <f>SUMIF('Diags Raw Data'!$A$7:$A$3715,"*"&amp;$A20&amp;"*",'Diags Raw Data'!$K$7:$K$3715)</f>
        <v>0</v>
      </c>
      <c r="K20" s="322" cm="1">
        <f t="array" ref="K20">IF(D20="",0, SUMPRODUCT(--(ISNUMBER(SEARCH($A20,'Diags Raw Data'!$A$7:$A$3715))),'Diags Raw Data'!$L$7:$L$3715,'Diags Raw Data'!$N$7:$N$3715)/J20)</f>
        <v>0</v>
      </c>
      <c r="L20" s="323" cm="1">
        <f t="array" ref="L20">IF(D20="",0, SUMPRODUCT(--(ISNUMBER(SEARCH($A20,'Diags Raw Data'!$A$7:$A$3715))),'Diags Raw Data'!$L$7:$L$3715,'Diags Raw Data'!$P$7:$P$3715)/J20)</f>
        <v>0</v>
      </c>
      <c r="M20" s="324" cm="1">
        <f t="array" ref="M20">SUMPRODUCT(--(ISNUMBER(SEARCH($A20,'Diags Raw Data'!$A$7:$A$3715))),--('Diags Raw Data'!$Q$7:$Q$3715&lt;&gt;"N/A"),'Diags Raw Data'!$R$7:$R$3715)</f>
        <v>0</v>
      </c>
      <c r="N20" s="325" cm="1">
        <f t="array" ref="N20">SUMPRODUCT(--(ISNUMBER(SEARCH($A20,'Diags Raw Data'!$A$7:$A$3715))),--('Diags Raw Data'!$Q$7:$Q$3715&lt;&gt;"N/A"),'Diags Raw Data'!$T$7:$T$3715)+SUMPRODUCT(--(ISNUMBER(SEARCH($A20,'Diags Raw Data'!$A$7:$A$3715))),--('Diags Raw Data'!$Q$7:$Q$3715&lt;&gt;"N/A"),'Diags Raw Data'!$U$7:$U$3715)</f>
        <v>0</v>
      </c>
      <c r="O20" s="363">
        <f t="shared" si="4"/>
        <v>0</v>
      </c>
      <c r="P20" s="326">
        <f>SUMIF('Diags Raw Data'!$A$7:$A$3715,"*"&amp;$A20&amp;"*",'Diags Raw Data'!$Z$7:$Z$3715)</f>
        <v>0</v>
      </c>
      <c r="Q20" s="327">
        <f>SUM(SUMIF('Diags Raw Data'!$A$7:$A$3715,"*"&amp;$A20&amp;"*",'Diags Raw Data'!$AA$7:$AA$3715),SUMIF('Diags Raw Data'!$A$7:$A$3715,"*"&amp;$A20&amp;"*",'Diags Raw Data'!$AB$7:$AB$3715))</f>
        <v>0</v>
      </c>
      <c r="R20" s="328">
        <f t="shared" si="5"/>
        <v>0</v>
      </c>
      <c r="S20" s="328">
        <f t="shared" si="6"/>
        <v>0</v>
      </c>
      <c r="T20" s="329">
        <f t="shared" si="7"/>
        <v>0</v>
      </c>
      <c r="U20" s="366" t="s">
        <v>683</v>
      </c>
    </row>
    <row r="21" spans="1:25" ht="15" thickBot="1" x14ac:dyDescent="0.4">
      <c r="A21" s="447" t="s">
        <v>405</v>
      </c>
      <c r="B21" s="480" t="str">
        <f>VLOOKUP(A21,'Feature Raw Data'!$A$3:$B$3934,2,FALSE)</f>
        <v>Fcstate - Test check Functionality</v>
      </c>
      <c r="C21" s="447" t="str">
        <f>VLOOKUP(A21,'Feature Raw Data'!$A$3:$C$4163,3,FALSE)</f>
        <v>P2</v>
      </c>
      <c r="D21" s="451" t="str" cm="1">
        <f t="array" ref="D21">_xlfn.TEXTJOIN("",TRUE,IF(ISNUMBER(SEARCH($A21,'Diags Raw Data'!$A$7:$A$4094)),CONCATENATE('Diags Raw Data'!$H$7:$H$4094,", "),""))</f>
        <v xml:space="preserve">PM80.808, PM80.12.6, </v>
      </c>
      <c r="E21" s="261" t="str">
        <f>VLOOKUP(A21,'Diags Raw Data'!$A$7:$D$3715,4,FALSE)</f>
        <v>MP1</v>
      </c>
      <c r="F21" s="261" t="str">
        <f>VLOOKUP(A21,'Feature Raw Data'!$A$3:$E$3783,5,FALSE)</f>
        <v>Delta</v>
      </c>
      <c r="G21" s="261" t="s">
        <v>31</v>
      </c>
      <c r="H21" s="499" t="s">
        <v>31</v>
      </c>
      <c r="I21" s="260">
        <v>1</v>
      </c>
      <c r="J21" s="262">
        <v>1</v>
      </c>
      <c r="K21" s="322" cm="1">
        <f t="array" ref="K21">IF(D21="",0, SUMPRODUCT(--(ISNUMBER(SEARCH($A21,'Diags Raw Data'!$A$7:$A$3715))),'Diags Raw Data'!$L$7:$L$3715,'Diags Raw Data'!$N$7:$N$3715)/J21)</f>
        <v>2</v>
      </c>
      <c r="L21" s="323" cm="1">
        <f t="array" ref="L21">IF(D21="",0, SUMPRODUCT(--(ISNUMBER(SEARCH($A21,'Diags Raw Data'!$A$7:$A$3715))),'Diags Raw Data'!$L$7:$L$3715,'Diags Raw Data'!$P$7:$P$3715)/J21)</f>
        <v>1.1000000000000001</v>
      </c>
      <c r="M21" s="324" cm="1">
        <f t="array" ref="M21">SUMPRODUCT(--(ISNUMBER(SEARCH($A21,'Diags Raw Data'!$A$7:$A$3715))),--('Diags Raw Data'!$Q$7:$Q$3715&lt;&gt;"N/A"),'Diags Raw Data'!$R$7:$R$3715)</f>
        <v>2</v>
      </c>
      <c r="N21" s="325" cm="1">
        <f t="array" ref="N21">SUMPRODUCT(--(ISNUMBER(SEARCH($A21,'Diags Raw Data'!$A$7:$A$3715))),--('Diags Raw Data'!$Q$7:$Q$3715&lt;&gt;"N/A"),'Diags Raw Data'!$T$7:$T$3715)+SUMPRODUCT(--(ISNUMBER(SEARCH($A21,'Diags Raw Data'!$A$7:$A$3715))),--('Diags Raw Data'!$Q$7:$Q$3715&lt;&gt;"N/A"),'Diags Raw Data'!$U$7:$U$3715)</f>
        <v>0</v>
      </c>
      <c r="O21" s="363">
        <f t="shared" si="4"/>
        <v>0</v>
      </c>
      <c r="P21" s="326">
        <f>SUMIF('Diags Raw Data'!$A$7:$A$3715,"*"&amp;$A21&amp;"*",'Diags Raw Data'!$Z$7:$Z$3715)</f>
        <v>0</v>
      </c>
      <c r="Q21" s="327">
        <f>SUM(SUMIF('Diags Raw Data'!$A$7:$A$3715,"*"&amp;$A21&amp;"*",'Diags Raw Data'!$AA$7:$AA$3715),SUMIF('Diags Raw Data'!$A$7:$A$3715,"*"&amp;$A21&amp;"*",'Diags Raw Data'!$AB$7:$AB$3715))</f>
        <v>0</v>
      </c>
      <c r="R21" s="328">
        <f t="shared" si="5"/>
        <v>0</v>
      </c>
      <c r="S21" s="328">
        <f t="shared" si="6"/>
        <v>0</v>
      </c>
      <c r="T21" s="329">
        <f t="shared" si="7"/>
        <v>0</v>
      </c>
      <c r="U21" s="366" t="s">
        <v>684</v>
      </c>
    </row>
    <row r="22" spans="1:25" ht="15" thickBot="1" x14ac:dyDescent="0.4">
      <c r="A22" s="447" t="s">
        <v>414</v>
      </c>
      <c r="B22" s="480" t="str">
        <f>VLOOKUP(A22,'Feature Raw Data'!$A$3:$B$3934,2,FALSE)</f>
        <v>VCN IP sideband to control VCN clock via VCN IP</v>
      </c>
      <c r="C22" s="447" t="str">
        <f>VLOOKUP(A22,'Feature Raw Data'!$A$3:$C$4163,3,FALSE)</f>
        <v>P1</v>
      </c>
      <c r="D22" s="451" t="str" cm="1">
        <f t="array" ref="D22">_xlfn.TEXTJOIN("",TRUE,IF(ISNUMBER(SEARCH($A22,'Diags Raw Data'!$A$7:$A$4094)),CONCATENATE('Diags Raw Data'!$H$7:$H$4094,", "),""))</f>
        <v xml:space="preserve">PM25.2-4, </v>
      </c>
      <c r="E22" s="261" t="str">
        <f>VLOOKUP(A22,'Diags Raw Data'!$A$7:$D$3715,4,FALSE)</f>
        <v>MP1</v>
      </c>
      <c r="F22" s="261" t="str">
        <f>VLOOKUP(A22,'Feature Raw Data'!$A$3:$E$3783,5,FALSE)</f>
        <v>Legacy</v>
      </c>
      <c r="G22" s="261" t="s">
        <v>31</v>
      </c>
      <c r="H22" s="261" t="s">
        <v>31</v>
      </c>
      <c r="I22" s="260">
        <f>SUMIF('Diags Raw Data'!$A$7:$A$3715,"*"&amp;$A22&amp;"*",'Diags Raw Data'!$K$7:$K$3715)</f>
        <v>1</v>
      </c>
      <c r="J22" s="262">
        <f>SUMIF('Diags Raw Data'!$A$7:$A$3715,"*"&amp;$A22&amp;"*",'Diags Raw Data'!$L$7:$L$3715)</f>
        <v>1</v>
      </c>
      <c r="K22" s="322" cm="1">
        <f t="array" ref="K22">IF(D22="",0, SUMPRODUCT(--(ISNUMBER(SEARCH($A22,'Diags Raw Data'!$A$7:$A$3715))),'Diags Raw Data'!$L$7:$L$3715,'Diags Raw Data'!$N$7:$N$3715)/J22)</f>
        <v>1</v>
      </c>
      <c r="L22" s="323" cm="1">
        <f t="array" ref="L22">IF(D22="",0, SUMPRODUCT(--(ISNUMBER(SEARCH($A22,'Diags Raw Data'!$A$7:$A$3715))),'Diags Raw Data'!$L$7:$L$3715,'Diags Raw Data'!$P$7:$P$3715)/J22)</f>
        <v>0.6</v>
      </c>
      <c r="M22" s="324" cm="1">
        <f t="array" ref="M22">SUMPRODUCT(--(ISNUMBER(SEARCH($A22,'Diags Raw Data'!$A$7:$A$3715))),--('Diags Raw Data'!$Q$7:$Q$3715&lt;&gt;"N/A"),'Diags Raw Data'!$R$7:$R$3715)</f>
        <v>1</v>
      </c>
      <c r="N22" s="325" cm="1">
        <f t="array" ref="N22">SUMPRODUCT(--(ISNUMBER(SEARCH($A22,'Diags Raw Data'!$A$7:$A$3715))),--('Diags Raw Data'!$Q$7:$Q$3715&lt;&gt;"N/A"),'Diags Raw Data'!$T$7:$T$3715)+SUMPRODUCT(--(ISNUMBER(SEARCH($A22,'Diags Raw Data'!$A$7:$A$3715))),--('Diags Raw Data'!$Q$7:$Q$3715&lt;&gt;"N/A"),'Diags Raw Data'!$U$7:$U$3715)</f>
        <v>0</v>
      </c>
      <c r="O22" s="363">
        <f t="shared" si="4"/>
        <v>0</v>
      </c>
      <c r="P22" s="326">
        <f>SUMIF('Diags Raw Data'!$A$7:$A$3715,"*"&amp;$A22&amp;"*",'Diags Raw Data'!$Z$7:$Z$3715)</f>
        <v>0</v>
      </c>
      <c r="Q22" s="327">
        <f>SUM(SUMIF('Diags Raw Data'!$A$7:$A$3715,"*"&amp;$A22&amp;"*",'Diags Raw Data'!$AA$7:$AA$3715),SUMIF('Diags Raw Data'!$A$7:$A$3715,"*"&amp;$A22&amp;"*",'Diags Raw Data'!$AB$7:$AB$3715))</f>
        <v>0</v>
      </c>
      <c r="R22" s="328">
        <f t="shared" si="5"/>
        <v>0</v>
      </c>
      <c r="S22" s="328">
        <f t="shared" si="6"/>
        <v>0</v>
      </c>
      <c r="T22" s="329">
        <f t="shared" si="7"/>
        <v>0</v>
      </c>
      <c r="U22" s="366" t="s">
        <v>680</v>
      </c>
    </row>
    <row r="23" spans="1:25" ht="15" thickBot="1" x14ac:dyDescent="0.4">
      <c r="A23" s="447" t="s">
        <v>446</v>
      </c>
      <c r="B23" s="480" t="str">
        <f>VLOOKUP(A23,'Feature Raw Data'!$A$3:$B$3934,2,FALSE)</f>
        <v>Dynamic Ref Clk-gating - functional check</v>
      </c>
      <c r="C23" s="447" t="str">
        <f>VLOOKUP(A23,'Feature Raw Data'!$A$3:$C$4163,3,FALSE)</f>
        <v>P2</v>
      </c>
      <c r="D23" s="451" t="str" cm="1">
        <f t="array" ref="D23">_xlfn.TEXTJOIN("",TRUE,IF(ISNUMBER(SEARCH($A23,'Diags Raw Data'!$A$7:$A$4094)),CONCATENATE('Diags Raw Data'!$H$7:$H$4094,", "),""))</f>
        <v xml:space="preserve">PM2.300, </v>
      </c>
      <c r="E23" s="261" t="str">
        <f>VLOOKUP(A23,'Diags Raw Data'!$A$7:$D$3715,4,FALSE)</f>
        <v>CLK</v>
      </c>
      <c r="F23" s="261" t="str">
        <f>VLOOKUP(A23,'Feature Raw Data'!$A$3:$E$3783,5,FALSE)</f>
        <v>Delta</v>
      </c>
      <c r="G23" s="261" t="s">
        <v>31</v>
      </c>
      <c r="H23" s="670" t="s">
        <v>814</v>
      </c>
      <c r="I23" s="260">
        <f>SUMIF('Diags Raw Data'!$A$7:$A$3715,"*"&amp;$A23&amp;"*",'Diags Raw Data'!$K$7:$K$3715)</f>
        <v>1</v>
      </c>
      <c r="J23" s="262">
        <f>SUMIF('Diags Raw Data'!$A$7:$A$3715,"*"&amp;$A23&amp;"*",'Diags Raw Data'!$L$7:$L$3715)</f>
        <v>1</v>
      </c>
      <c r="K23" s="322" cm="1">
        <f t="array" ref="K23">IF(D23="",0, SUMPRODUCT(--(ISNUMBER(SEARCH($A23,'Diags Raw Data'!$A$7:$A$3715))),'Diags Raw Data'!$L$7:$L$3715,'Diags Raw Data'!$N$7:$N$3715)/J23)</f>
        <v>1</v>
      </c>
      <c r="L23" s="323" cm="1">
        <f t="array" ref="L23">IF(D23="",0, SUMPRODUCT(--(ISNUMBER(SEARCH($A23,'Diags Raw Data'!$A$7:$A$3715))),'Diags Raw Data'!$L$7:$L$3715,'Diags Raw Data'!$P$7:$P$3715)/J23)</f>
        <v>0</v>
      </c>
      <c r="M23" s="324" cm="1">
        <f t="array" ref="M23">SUMPRODUCT(--(ISNUMBER(SEARCH($A23,'Diags Raw Data'!$A$7:$A$3715))),--('Diags Raw Data'!$Q$7:$Q$3715&lt;&gt;"N/A"),'Diags Raw Data'!$R$7:$R$3715)</f>
        <v>1</v>
      </c>
      <c r="N23" s="325" cm="1">
        <f t="array" ref="N23">SUMPRODUCT(--(ISNUMBER(SEARCH($A23,'Diags Raw Data'!$A$7:$A$3715))),--('Diags Raw Data'!$Q$7:$Q$3715&lt;&gt;"N/A"),'Diags Raw Data'!$T$7:$T$3715)+SUMPRODUCT(--(ISNUMBER(SEARCH($A23,'Diags Raw Data'!$A$7:$A$3715))),--('Diags Raw Data'!$Q$7:$Q$3715&lt;&gt;"N/A"),'Diags Raw Data'!$U$7:$U$3715)</f>
        <v>0</v>
      </c>
      <c r="O23" s="363">
        <f t="shared" si="4"/>
        <v>0</v>
      </c>
      <c r="P23" s="326">
        <f>SUMIF('Diags Raw Data'!$A$7:$A$3715,"*"&amp;$A23&amp;"*",'Diags Raw Data'!$Z$7:$Z$3715)</f>
        <v>0</v>
      </c>
      <c r="Q23" s="327">
        <f>SUM(SUMIF('Diags Raw Data'!$A$7:$A$3715,"*"&amp;$A23&amp;"*",'Diags Raw Data'!$AA$7:$AA$3715),SUMIF('Diags Raw Data'!$A$7:$A$3715,"*"&amp;$A23&amp;"*",'Diags Raw Data'!$AB$7:$AB$3715))</f>
        <v>0</v>
      </c>
      <c r="R23" s="328">
        <f t="shared" si="5"/>
        <v>0</v>
      </c>
      <c r="S23" s="328">
        <f t="shared" si="6"/>
        <v>0</v>
      </c>
      <c r="T23" s="329">
        <f t="shared" si="7"/>
        <v>0</v>
      </c>
      <c r="U23" s="366" t="s">
        <v>685</v>
      </c>
    </row>
    <row r="24" spans="1:25" ht="15" thickBot="1" x14ac:dyDescent="0.4">
      <c r="A24" s="447" t="s">
        <v>269</v>
      </c>
      <c r="B24" s="480" t="str">
        <f>VLOOKUP(A24,'Feature Raw Data'!$A$3:$B$3934,2,FALSE)</f>
        <v>Fcstate-Pstate change</v>
      </c>
      <c r="C24" s="447" t="str">
        <f>VLOOKUP(A24,'Feature Raw Data'!$A$3:$C$4163,3,FALSE)</f>
        <v>P1</v>
      </c>
      <c r="D24" s="451" t="str" cm="1">
        <f t="array" ref="D24">_xlfn.TEXTJOIN("",TRUE,IF(ISNUMBER(SEARCH($A24,'Diags Raw Data'!$A$7:$A$4094)),CONCATENATE('Diags Raw Data'!$H$7:$H$4094,", "),""))</f>
        <v xml:space="preserve">PM80.12.1, PM80.12.6, </v>
      </c>
      <c r="E24" s="261" t="str">
        <f>VLOOKUP(A24,'Diags Raw Data'!$A$7:$D$3715,4,FALSE)</f>
        <v>CLK</v>
      </c>
      <c r="F24" s="261" t="str">
        <f>VLOOKUP(A24,'Feature Raw Data'!$A$3:$E$3783,5,FALSE)</f>
        <v>Legacy</v>
      </c>
      <c r="G24" s="261" t="s">
        <v>31</v>
      </c>
      <c r="H24" s="261" t="s">
        <v>31</v>
      </c>
      <c r="I24" s="260">
        <f>SUMIF('Diags Raw Data'!$A$7:$A$3715,"*"&amp;$A24&amp;"*",'Diags Raw Data'!$K$7:$K$3715)</f>
        <v>2</v>
      </c>
      <c r="J24" s="262">
        <f>SUMIF('Diags Raw Data'!$A$7:$A$3715,"*"&amp;$A24&amp;"*",'Diags Raw Data'!$L$7:$L$3715)</f>
        <v>2</v>
      </c>
      <c r="K24" s="322" cm="1">
        <f t="array" ref="K24">IF(D24="",0, SUMPRODUCT(--(ISNUMBER(SEARCH($A24,'Diags Raw Data'!$A$7:$A$3715))),'Diags Raw Data'!$L$7:$L$3715,'Diags Raw Data'!$N$7:$N$3715)/J24)</f>
        <v>1</v>
      </c>
      <c r="L24" s="323" cm="1">
        <f t="array" ref="L24">IF(D24="",0, SUMPRODUCT(--(ISNUMBER(SEARCH($A24,'Diags Raw Data'!$A$7:$A$3715))),'Diags Raw Data'!$L$7:$L$3715,'Diags Raw Data'!$P$7:$P$3715)/J24)</f>
        <v>0.44999999999999996</v>
      </c>
      <c r="M24" s="324" cm="1">
        <f t="array" ref="M24">SUMPRODUCT(--(ISNUMBER(SEARCH($A24,'Diags Raw Data'!$A$7:$A$3715))),--('Diags Raw Data'!$Q$7:$Q$3715&lt;&gt;"N/A"),'Diags Raw Data'!$R$7:$R$3715)</f>
        <v>2</v>
      </c>
      <c r="N24" s="325" cm="1">
        <f t="array" ref="N24">SUMPRODUCT(--(ISNUMBER(SEARCH($A24,'Diags Raw Data'!$A$7:$A$3715))),--('Diags Raw Data'!$Q$7:$Q$3715&lt;&gt;"N/A"),'Diags Raw Data'!$T$7:$T$3715)+SUMPRODUCT(--(ISNUMBER(SEARCH($A24,'Diags Raw Data'!$A$7:$A$3715))),--('Diags Raw Data'!$Q$7:$Q$3715&lt;&gt;"N/A"),'Diags Raw Data'!$U$7:$U$3715)</f>
        <v>0</v>
      </c>
      <c r="O24" s="363">
        <f t="shared" si="4"/>
        <v>0</v>
      </c>
      <c r="P24" s="326">
        <f>SUMIF('Diags Raw Data'!$A$7:$A$3715,"*"&amp;$A24&amp;"*",'Diags Raw Data'!$Z$7:$Z$3715)</f>
        <v>0</v>
      </c>
      <c r="Q24" s="327">
        <f>SUM(SUMIF('Diags Raw Data'!$A$7:$A$3715,"*"&amp;$A24&amp;"*",'Diags Raw Data'!$AA$7:$AA$3715),SUMIF('Diags Raw Data'!$A$7:$A$3715,"*"&amp;$A24&amp;"*",'Diags Raw Data'!$AB$7:$AB$3715))</f>
        <v>0</v>
      </c>
      <c r="R24" s="328">
        <f t="shared" si="5"/>
        <v>0</v>
      </c>
      <c r="S24" s="328">
        <f t="shared" si="6"/>
        <v>0</v>
      </c>
      <c r="T24" s="329">
        <f t="shared" si="7"/>
        <v>0</v>
      </c>
      <c r="U24" s="366" t="s">
        <v>680</v>
      </c>
    </row>
    <row r="25" spans="1:25" ht="15" thickBot="1" x14ac:dyDescent="0.4">
      <c r="A25" s="447" t="s">
        <v>551</v>
      </c>
      <c r="B25" s="480" t="str">
        <f>VLOOKUP(A25,'Feature Raw Data'!$A$3:$B$3934,2,FALSE)</f>
        <v>PCC-stress Test</v>
      </c>
      <c r="C25" s="447" t="str">
        <f>VLOOKUP(A25,'Feature Raw Data'!$A$3:$C$4163,3,FALSE)</f>
        <v>P3</v>
      </c>
      <c r="D25" s="451" t="str" cm="1">
        <f t="array" ref="D25">_xlfn.TEXTJOIN("",TRUE,IF(ISNUMBER(SEARCH($A25,'Diags Raw Data'!$A$7:$A$4094)),CONCATENATE('Diags Raw Data'!$H$7:$H$4094,", "),""))</f>
        <v/>
      </c>
      <c r="E25" s="261" t="e">
        <f>VLOOKUP(A25,'Diags Raw Data'!$A$7:$D$3715,4,FALSE)</f>
        <v>#N/A</v>
      </c>
      <c r="F25" s="261" t="str">
        <f>VLOOKUP(A25,'Feature Raw Data'!$A$3:$E$3783,5,FALSE)</f>
        <v>Legacy</v>
      </c>
      <c r="G25" s="261" t="s">
        <v>31</v>
      </c>
      <c r="H25" s="457" t="s">
        <v>36</v>
      </c>
      <c r="I25" s="260">
        <f>SUMIF('Diags Raw Data'!$A$7:$A$3715,"*"&amp;$A25&amp;"*",'Diags Raw Data'!$K$7:$K$3715)</f>
        <v>0</v>
      </c>
      <c r="J25" s="262">
        <f>SUMIF('Diags Raw Data'!$A$7:$A$3715,"*"&amp;$A25&amp;"*",'Diags Raw Data'!$L$7:$L$3715)</f>
        <v>0</v>
      </c>
      <c r="K25" s="322" cm="1">
        <f t="array" ref="K25">IF(D25="",0, SUMPRODUCT(--(ISNUMBER(SEARCH($A25,'Diags Raw Data'!$A$7:$A$3715))),'Diags Raw Data'!$L$7:$L$3715,'Diags Raw Data'!$N$7:$N$3715)/J25)</f>
        <v>0</v>
      </c>
      <c r="L25" s="323" cm="1">
        <f t="array" ref="L25">IF(D25="",0, SUMPRODUCT(--(ISNUMBER(SEARCH($A25,'Diags Raw Data'!$A$7:$A$3715))),'Diags Raw Data'!$L$7:$L$3715,'Diags Raw Data'!$P$7:$P$3715)/J25)</f>
        <v>0</v>
      </c>
      <c r="M25" s="324" cm="1">
        <f t="array" ref="M25">SUMPRODUCT(--(ISNUMBER(SEARCH($A25,'Diags Raw Data'!$A$7:$A$3715))),--('Diags Raw Data'!$Q$7:$Q$3715&lt;&gt;"N/A"),'Diags Raw Data'!$R$7:$R$3715)</f>
        <v>0</v>
      </c>
      <c r="N25" s="325" cm="1">
        <f t="array" ref="N25">SUMPRODUCT(--(ISNUMBER(SEARCH($A25,'Diags Raw Data'!$A$7:$A$3715))),--('Diags Raw Data'!$Q$7:$Q$3715&lt;&gt;"N/A"),'Diags Raw Data'!$T$7:$T$3715)+SUMPRODUCT(--(ISNUMBER(SEARCH($A25,'Diags Raw Data'!$A$7:$A$3715))),--('Diags Raw Data'!$Q$7:$Q$3715&lt;&gt;"N/A"),'Diags Raw Data'!$U$7:$U$3715)</f>
        <v>0</v>
      </c>
      <c r="O25" s="363">
        <f t="shared" si="4"/>
        <v>0</v>
      </c>
      <c r="P25" s="326">
        <f>SUMIF('Diags Raw Data'!$A$7:$A$3715,"*"&amp;$A25&amp;"*",'Diags Raw Data'!$Z$7:$Z$3715)</f>
        <v>0</v>
      </c>
      <c r="Q25" s="327">
        <f>SUM(SUMIF('Diags Raw Data'!$A$7:$A$3715,"*"&amp;$A25&amp;"*",'Diags Raw Data'!$AA$7:$AA$3715),SUMIF('Diags Raw Data'!$A$7:$A$3715,"*"&amp;$A25&amp;"*",'Diags Raw Data'!$AB$7:$AB$3715))</f>
        <v>0</v>
      </c>
      <c r="R25" s="328">
        <f t="shared" si="5"/>
        <v>0</v>
      </c>
      <c r="S25" s="328">
        <f t="shared" si="6"/>
        <v>0</v>
      </c>
      <c r="T25" s="329">
        <f t="shared" si="7"/>
        <v>0</v>
      </c>
      <c r="U25" s="366" t="s">
        <v>686</v>
      </c>
    </row>
    <row r="26" spans="1:25" ht="15" thickBot="1" x14ac:dyDescent="0.4">
      <c r="A26" s="447" t="s">
        <v>469</v>
      </c>
      <c r="B26" s="480" t="str">
        <f>VLOOKUP(A26,'Feature Raw Data'!$A$3:$B$3934,2,FALSE)</f>
        <v>DFS-ClockGating per Slice</v>
      </c>
      <c r="C26" s="447" t="str">
        <f>VLOOKUP(A26,'Feature Raw Data'!$A$3:$C$4163,3,FALSE)</f>
        <v>P2</v>
      </c>
      <c r="D26" s="451" t="str" cm="1">
        <f t="array" ref="D26">_xlfn.TEXTJOIN("",TRUE,IF(ISNUMBER(SEARCH($A26,'Diags Raw Data'!$A$7:$A$4094)),CONCATENATE('Diags Raw Data'!$H$7:$H$4094,", "),""))</f>
        <v xml:space="preserve">PMxx.xx.2, </v>
      </c>
      <c r="E26" s="261" t="str">
        <f>VLOOKUP(A26,'Diags Raw Data'!$A$7:$D$3715,4,FALSE)</f>
        <v>CLK</v>
      </c>
      <c r="F26" s="261" t="str">
        <f>VLOOKUP(A26,'Feature Raw Data'!$A$3:$E$3783,5,FALSE)</f>
        <v>Delta</v>
      </c>
      <c r="G26" s="261" t="s">
        <v>31</v>
      </c>
      <c r="H26" s="670" t="s">
        <v>814</v>
      </c>
      <c r="I26" s="260">
        <v>3</v>
      </c>
      <c r="J26" s="262">
        <v>3</v>
      </c>
      <c r="K26" s="322" cm="1">
        <f t="array" ref="K26">IF(D26="",0, SUMPRODUCT(--(ISNUMBER(SEARCH($A26,'Diags Raw Data'!$A$7:$A$3715))),'Diags Raw Data'!$L$7:$L$3715,'Diags Raw Data'!$N$7:$N$3715)/J26)</f>
        <v>0.33333333333333331</v>
      </c>
      <c r="L26" s="323" cm="1">
        <f t="array" ref="L26">IF(D26="",0, SUMPRODUCT(--(ISNUMBER(SEARCH($A26,'Diags Raw Data'!$A$7:$A$3715))),'Diags Raw Data'!$L$7:$L$3715,'Diags Raw Data'!$P$7:$P$3715)/J26)</f>
        <v>0</v>
      </c>
      <c r="M26" s="324" cm="1">
        <f t="array" ref="M26">SUMPRODUCT(--(ISNUMBER(SEARCH($A26,'Diags Raw Data'!$A$7:$A$3715))),--('Diags Raw Data'!$Q$7:$Q$3715&lt;&gt;"N/A"),'Diags Raw Data'!$R$7:$R$3715)</f>
        <v>1</v>
      </c>
      <c r="N26" s="325" cm="1">
        <f t="array" ref="N26">SUMPRODUCT(--(ISNUMBER(SEARCH($A26,'Diags Raw Data'!$A$7:$A$3715))),--('Diags Raw Data'!$Q$7:$Q$3715&lt;&gt;"N/A"),'Diags Raw Data'!$T$7:$T$3715)+SUMPRODUCT(--(ISNUMBER(SEARCH($A26,'Diags Raw Data'!$A$7:$A$3715))),--('Diags Raw Data'!$Q$7:$Q$3715&lt;&gt;"N/A"),'Diags Raw Data'!$U$7:$U$3715)</f>
        <v>0</v>
      </c>
      <c r="O26" s="363">
        <f t="shared" si="4"/>
        <v>0</v>
      </c>
      <c r="P26" s="326">
        <f>SUMIF('Diags Raw Data'!$A$7:$A$3715,"*"&amp;$A26&amp;"*",'Diags Raw Data'!$Z$7:$Z$3715)</f>
        <v>0</v>
      </c>
      <c r="Q26" s="327">
        <f>SUM(SUMIF('Diags Raw Data'!$A$7:$A$3715,"*"&amp;$A26&amp;"*",'Diags Raw Data'!$AA$7:$AA$3715),SUMIF('Diags Raw Data'!$A$7:$A$3715,"*"&amp;$A26&amp;"*",'Diags Raw Data'!$AB$7:$AB$3715))</f>
        <v>0</v>
      </c>
      <c r="R26" s="328">
        <f t="shared" si="5"/>
        <v>0</v>
      </c>
      <c r="S26" s="328">
        <f t="shared" si="6"/>
        <v>0</v>
      </c>
      <c r="T26" s="329">
        <f t="shared" si="7"/>
        <v>0</v>
      </c>
      <c r="U26" s="366"/>
      <c r="W26" s="167">
        <v>2</v>
      </c>
      <c r="X26" s="167">
        <v>2</v>
      </c>
      <c r="Y26" s="167">
        <v>4</v>
      </c>
    </row>
    <row r="27" spans="1:25" ht="15" thickBot="1" x14ac:dyDescent="0.4">
      <c r="A27" s="447" t="s">
        <v>471</v>
      </c>
      <c r="B27" s="480" t="str">
        <f>VLOOKUP(A27,'Feature Raw Data'!$A$3:$B$3934,2,FALSE)</f>
        <v>DFS-Global clock gating</v>
      </c>
      <c r="C27" s="447" t="str">
        <f>VLOOKUP(A27,'Feature Raw Data'!$A$3:$C$4163,3,FALSE)</f>
        <v>P2</v>
      </c>
      <c r="D27" s="451" t="str" cm="1">
        <f t="array" ref="D27">_xlfn.TEXTJOIN("",TRUE,IF(ISNUMBER(SEARCH($A27,'Diags Raw Data'!$A$7:$A$4094)),CONCATENATE('Diags Raw Data'!$H$7:$H$4094,", "),""))</f>
        <v xml:space="preserve">PMxx.xx.3, </v>
      </c>
      <c r="E27" s="261" t="str">
        <f>VLOOKUP(A27,'Diags Raw Data'!$A$7:$D$3715,4,FALSE)</f>
        <v>CLK</v>
      </c>
      <c r="F27" s="261" t="str">
        <f>VLOOKUP(A27,'Feature Raw Data'!$A$3:$E$3783,5,FALSE)</f>
        <v>Delta</v>
      </c>
      <c r="G27" s="261" t="s">
        <v>31</v>
      </c>
      <c r="H27" s="670" t="s">
        <v>814</v>
      </c>
      <c r="I27" s="260">
        <v>1</v>
      </c>
      <c r="J27" s="262">
        <v>1</v>
      </c>
      <c r="K27" s="322" cm="1">
        <f t="array" ref="K27">IF(D27="",0, SUMPRODUCT(--(ISNUMBER(SEARCH($A27,'Diags Raw Data'!$A$7:$A$3715))),'Diags Raw Data'!$L$7:$L$3715,'Diags Raw Data'!$N$7:$N$3715)/J27)</f>
        <v>1</v>
      </c>
      <c r="L27" s="323" cm="1">
        <f t="array" ref="L27">IF(D27="",0, SUMPRODUCT(--(ISNUMBER(SEARCH($A27,'Diags Raw Data'!$A$7:$A$3715))),'Diags Raw Data'!$L$7:$L$3715,'Diags Raw Data'!$P$7:$P$3715)/J27)</f>
        <v>0</v>
      </c>
      <c r="M27" s="324" cm="1">
        <f t="array" ref="M27">SUMPRODUCT(--(ISNUMBER(SEARCH($A27,'Diags Raw Data'!$A$7:$A$3715))),--('Diags Raw Data'!$Q$7:$Q$3715&lt;&gt;"N/A"),'Diags Raw Data'!$R$7:$R$3715)</f>
        <v>1</v>
      </c>
      <c r="N27" s="325" cm="1">
        <f t="array" ref="N27">SUMPRODUCT(--(ISNUMBER(SEARCH($A27,'Diags Raw Data'!$A$7:$A$3715))),--('Diags Raw Data'!$Q$7:$Q$3715&lt;&gt;"N/A"),'Diags Raw Data'!$T$7:$T$3715)+SUMPRODUCT(--(ISNUMBER(SEARCH($A27,'Diags Raw Data'!$A$7:$A$3715))),--('Diags Raw Data'!$Q$7:$Q$3715&lt;&gt;"N/A"),'Diags Raw Data'!$U$7:$U$3715)</f>
        <v>0</v>
      </c>
      <c r="O27" s="363">
        <f t="shared" si="4"/>
        <v>0</v>
      </c>
      <c r="P27" s="326">
        <f>SUMIF('Diags Raw Data'!$A$7:$A$3715,"*"&amp;$A27&amp;"*",'Diags Raw Data'!$Z$7:$Z$3715)</f>
        <v>0</v>
      </c>
      <c r="Q27" s="327">
        <f>SUM(SUMIF('Diags Raw Data'!$A$7:$A$3715,"*"&amp;$A27&amp;"*",'Diags Raw Data'!$AA$7:$AA$3715),SUMIF('Diags Raw Data'!$A$7:$A$3715,"*"&amp;$A27&amp;"*",'Diags Raw Data'!$AB$7:$AB$3715))</f>
        <v>0</v>
      </c>
      <c r="R27" s="328">
        <f t="shared" si="5"/>
        <v>0</v>
      </c>
      <c r="S27" s="328">
        <f t="shared" si="6"/>
        <v>0</v>
      </c>
      <c r="T27" s="329">
        <f t="shared" si="7"/>
        <v>0</v>
      </c>
      <c r="U27" s="366"/>
      <c r="W27" s="167">
        <v>2</v>
      </c>
      <c r="X27" s="167">
        <v>2</v>
      </c>
      <c r="Y27" s="167">
        <v>4</v>
      </c>
    </row>
    <row r="28" spans="1:25" ht="15" thickBot="1" x14ac:dyDescent="0.4">
      <c r="A28" s="447" t="s">
        <v>554</v>
      </c>
      <c r="B28" s="480" t="str">
        <f>VLOOKUP(A28,'Feature Raw Data'!$A$3:$B$3934,2,FALSE)</f>
        <v>MP0 DS</v>
      </c>
      <c r="C28" s="447" t="str">
        <f>VLOOKUP(A28,'Feature Raw Data'!$A$3:$C$4163,3,FALSE)</f>
        <v>P2</v>
      </c>
      <c r="D28" s="451" t="str" cm="1">
        <f t="array" ref="D28">_xlfn.TEXTJOIN("",TRUE,IF(ISNUMBER(SEARCH($A28,'Diags Raw Data'!$A$7:$A$4094)),CONCATENATE('Diags Raw Data'!$H$7:$H$4094,", "),""))</f>
        <v/>
      </c>
      <c r="E28" s="261" t="e">
        <f>VLOOKUP(A28,'Diags Raw Data'!$A$7:$D$3715,4,FALSE)</f>
        <v>#N/A</v>
      </c>
      <c r="F28" s="261" t="s">
        <v>33</v>
      </c>
      <c r="G28" s="261" t="s">
        <v>31</v>
      </c>
      <c r="H28" s="261" t="s">
        <v>36</v>
      </c>
      <c r="I28" s="260">
        <v>0</v>
      </c>
      <c r="J28" s="262">
        <v>0</v>
      </c>
      <c r="K28" s="322" cm="1">
        <f t="array" ref="K28">IF(D28="",0, SUMPRODUCT(--(ISNUMBER(SEARCH($A28,'Diags Raw Data'!$A$7:$A$3715))),'Diags Raw Data'!$L$7:$L$3715,'Diags Raw Data'!$N$7:$N$3715)/J28)</f>
        <v>0</v>
      </c>
      <c r="L28" s="323" cm="1">
        <f t="array" ref="L28">IF(D28="",0, SUMPRODUCT(--(ISNUMBER(SEARCH($A28,'Diags Raw Data'!$A$7:$A$3715))),'Diags Raw Data'!$L$7:$L$3715,'Diags Raw Data'!$P$7:$P$3715)/J28)</f>
        <v>0</v>
      </c>
      <c r="M28" s="324" cm="1">
        <f t="array" ref="M28">SUMPRODUCT(--(ISNUMBER(SEARCH($A28,'Diags Raw Data'!$A$7:$A$3715))),--('Diags Raw Data'!$Q$7:$Q$3715&lt;&gt;"N/A"),'Diags Raw Data'!$R$7:$R$3715)</f>
        <v>0</v>
      </c>
      <c r="N28" s="325" cm="1">
        <f t="array" ref="N28">SUMPRODUCT(--(ISNUMBER(SEARCH($A28,'Diags Raw Data'!$A$7:$A$3715))),--('Diags Raw Data'!$Q$7:$Q$3715&lt;&gt;"N/A"),'Diags Raw Data'!$T$7:$T$3715)+SUMPRODUCT(--(ISNUMBER(SEARCH($A28,'Diags Raw Data'!$A$7:$A$3715))),--('Diags Raw Data'!$Q$7:$Q$3715&lt;&gt;"N/A"),'Diags Raw Data'!$U$7:$U$3715)</f>
        <v>0</v>
      </c>
      <c r="O28" s="363">
        <f t="shared" si="4"/>
        <v>0</v>
      </c>
      <c r="P28" s="326">
        <f>SUMIF('Diags Raw Data'!$A$7:$A$3715,"*"&amp;$A28&amp;"*",'Diags Raw Data'!$Z$7:$Z$3715)</f>
        <v>0</v>
      </c>
      <c r="Q28" s="327">
        <f>SUM(SUMIF('Diags Raw Data'!$A$7:$A$3715,"*"&amp;$A28&amp;"*",'Diags Raw Data'!$AA$7:$AA$3715),SUMIF('Diags Raw Data'!$A$7:$A$3715,"*"&amp;$A28&amp;"*",'Diags Raw Data'!$AB$7:$AB$3715))</f>
        <v>0</v>
      </c>
      <c r="R28" s="328">
        <f t="shared" si="5"/>
        <v>0</v>
      </c>
      <c r="S28" s="328">
        <f t="shared" si="6"/>
        <v>0</v>
      </c>
      <c r="T28" s="329">
        <f t="shared" si="7"/>
        <v>0</v>
      </c>
      <c r="U28" s="366" t="s">
        <v>44</v>
      </c>
    </row>
    <row r="29" spans="1:25" ht="15" thickBot="1" x14ac:dyDescent="0.4">
      <c r="A29" s="447" t="s">
        <v>556</v>
      </c>
      <c r="B29" s="480" t="str">
        <f>VLOOKUP(A29,'Feature Raw Data'!$A$3:$B$3934,2,FALSE)</f>
        <v>Postcode Trace Buffer in MP1</v>
      </c>
      <c r="C29" s="447" t="str">
        <f>VLOOKUP(A29,'Feature Raw Data'!$A$3:$C$4163,3,FALSE)</f>
        <v>P3</v>
      </c>
      <c r="D29" s="451" t="str" cm="1">
        <f t="array" ref="D29">_xlfn.TEXTJOIN("",TRUE,IF(ISNUMBER(SEARCH($A29,'Diags Raw Data'!$A$7:$A$4094)),CONCATENATE('Diags Raw Data'!$H$7:$H$4094,", "),""))</f>
        <v/>
      </c>
      <c r="E29" s="261" t="e">
        <f>VLOOKUP(A29,'Diags Raw Data'!$A$7:$D$3715,4,FALSE)</f>
        <v>#N/A</v>
      </c>
      <c r="F29" s="261" t="str">
        <f>VLOOKUP(A29,'Feature Raw Data'!$A$3:$E$3783,5,FALSE)</f>
        <v>Legacy</v>
      </c>
      <c r="G29" s="261" t="s">
        <v>31</v>
      </c>
      <c r="H29" s="261" t="s">
        <v>36</v>
      </c>
      <c r="I29" s="260">
        <f>SUMIF('Diags Raw Data'!$A$7:$A$3715,"*"&amp;$A29&amp;"*",'Diags Raw Data'!$K$7:$K$3715)</f>
        <v>0</v>
      </c>
      <c r="J29" s="262">
        <f>SUMIF('Diags Raw Data'!$A$7:$A$3715,"*"&amp;$A29&amp;"*",'Diags Raw Data'!$L$7:$L$3715)</f>
        <v>0</v>
      </c>
      <c r="K29" s="322" cm="1">
        <f t="array" ref="K29">IF(D29="",0, SUMPRODUCT(--(ISNUMBER(SEARCH($A29,'Diags Raw Data'!$A$7:$A$3715))),'Diags Raw Data'!$L$7:$L$3715,'Diags Raw Data'!$N$7:$N$3715)/J29)</f>
        <v>0</v>
      </c>
      <c r="L29" s="323" cm="1">
        <f t="array" ref="L29">IF(D29="",0, SUMPRODUCT(--(ISNUMBER(SEARCH($A29,'Diags Raw Data'!$A$7:$A$3715))),'Diags Raw Data'!$L$7:$L$3715,'Diags Raw Data'!$P$7:$P$3715)/J29)</f>
        <v>0</v>
      </c>
      <c r="M29" s="324" cm="1">
        <f t="array" ref="M29">SUMPRODUCT(--(ISNUMBER(SEARCH($A29,'Diags Raw Data'!$A$7:$A$3715))),--('Diags Raw Data'!$Q$7:$Q$3715&lt;&gt;"N/A"),'Diags Raw Data'!$R$7:$R$3715)</f>
        <v>0</v>
      </c>
      <c r="N29" s="325" cm="1">
        <f t="array" ref="N29">SUMPRODUCT(--(ISNUMBER(SEARCH($A29,'Diags Raw Data'!$A$7:$A$3715))),--('Diags Raw Data'!$Q$7:$Q$3715&lt;&gt;"N/A"),'Diags Raw Data'!$T$7:$T$3715)+SUMPRODUCT(--(ISNUMBER(SEARCH($A29,'Diags Raw Data'!$A$7:$A$3715))),--('Diags Raw Data'!$Q$7:$Q$3715&lt;&gt;"N/A"),'Diags Raw Data'!$U$7:$U$3715)</f>
        <v>0</v>
      </c>
      <c r="O29" s="363">
        <f t="shared" si="4"/>
        <v>0</v>
      </c>
      <c r="P29" s="326">
        <f>SUMIF('Diags Raw Data'!$A$7:$A$3715,"*"&amp;$A29&amp;"*",'Diags Raw Data'!$Z$7:$Z$3715)</f>
        <v>0</v>
      </c>
      <c r="Q29" s="327">
        <f>SUM(SUMIF('Diags Raw Data'!$A$7:$A$3715,"*"&amp;$A29&amp;"*",'Diags Raw Data'!$AA$7:$AA$3715),SUMIF('Diags Raw Data'!$A$7:$A$3715,"*"&amp;$A29&amp;"*",'Diags Raw Data'!$AB$7:$AB$3715))</f>
        <v>0</v>
      </c>
      <c r="R29" s="328">
        <f t="shared" si="5"/>
        <v>0</v>
      </c>
      <c r="S29" s="328">
        <f t="shared" si="6"/>
        <v>0</v>
      </c>
      <c r="T29" s="329">
        <f t="shared" si="7"/>
        <v>0</v>
      </c>
      <c r="U29" s="366"/>
    </row>
    <row r="30" spans="1:25" ht="15" thickBot="1" x14ac:dyDescent="0.4">
      <c r="A30" s="447" t="s">
        <v>397</v>
      </c>
      <c r="B30" s="480" t="str">
        <f>VLOOKUP(A30,'Feature Raw Data'!$A$3:$B$3934,2,FALSE)</f>
        <v>DMA</v>
      </c>
      <c r="C30" s="447" t="str">
        <f>VLOOKUP(A30,'Feature Raw Data'!$A$3:$C$4163,3,FALSE)</f>
        <v>P1</v>
      </c>
      <c r="D30" s="451" t="str" cm="1">
        <f t="array" ref="D30">_xlfn.TEXTJOIN("",TRUE,IF(ISNUMBER(SEARCH($A30,'Diags Raw Data'!$A$7:$A$4094)),CONCATENATE('Diags Raw Data'!$H$7:$H$4094,", "),""))</f>
        <v xml:space="preserve">PM80.12.4, </v>
      </c>
      <c r="E30" s="261" t="str">
        <f>VLOOKUP(A30,'Diags Raw Data'!$A$7:$D$3715,4,FALSE)</f>
        <v>MP1</v>
      </c>
      <c r="F30" s="261" t="str">
        <f>VLOOKUP(A30,'Feature Raw Data'!$A$3:$E$3783,5,FALSE)</f>
        <v>Legacy</v>
      </c>
      <c r="G30" s="261" t="s">
        <v>31</v>
      </c>
      <c r="H30" s="261" t="s">
        <v>31</v>
      </c>
      <c r="I30" s="260">
        <f>SUMIF('Diags Raw Data'!$A$7:$A$3715,"*"&amp;$A30&amp;"*",'Diags Raw Data'!$K$7:$K$3715)</f>
        <v>1</v>
      </c>
      <c r="J30" s="262">
        <f>SUMIF('Diags Raw Data'!$A$7:$A$3715,"*"&amp;$A30&amp;"*",'Diags Raw Data'!$L$7:$L$3715)</f>
        <v>1</v>
      </c>
      <c r="K30" s="322" cm="1">
        <f t="array" ref="K30">IF(D30="",0, SUMPRODUCT(--(ISNUMBER(SEARCH($A30,'Diags Raw Data'!$A$7:$A$3715))),'Diags Raw Data'!$L$7:$L$3715,'Diags Raw Data'!$N$7:$N$3715)/J30)</f>
        <v>1</v>
      </c>
      <c r="L30" s="323" cm="1">
        <f t="array" ref="L30">IF(D30="",0, SUMPRODUCT(--(ISNUMBER(SEARCH($A30,'Diags Raw Data'!$A$7:$A$3715))),'Diags Raw Data'!$L$7:$L$3715,'Diags Raw Data'!$P$7:$P$3715)/J30)</f>
        <v>0.8</v>
      </c>
      <c r="M30" s="324" cm="1">
        <f t="array" ref="M30">SUMPRODUCT(--(ISNUMBER(SEARCH($A30,'Diags Raw Data'!$A$7:$A$3715))),--('Diags Raw Data'!$Q$7:$Q$3715&lt;&gt;"N/A"),'Diags Raw Data'!$R$7:$R$3715)</f>
        <v>1</v>
      </c>
      <c r="N30" s="325" cm="1">
        <f t="array" ref="N30">SUMPRODUCT(--(ISNUMBER(SEARCH($A30,'Diags Raw Data'!$A$7:$A$3715))),--('Diags Raw Data'!$Q$7:$Q$3715&lt;&gt;"N/A"),'Diags Raw Data'!$T$7:$T$3715)+SUMPRODUCT(--(ISNUMBER(SEARCH($A30,'Diags Raw Data'!$A$7:$A$3715))),--('Diags Raw Data'!$Q$7:$Q$3715&lt;&gt;"N/A"),'Diags Raw Data'!$U$7:$U$3715)</f>
        <v>0</v>
      </c>
      <c r="O30" s="363">
        <f t="shared" si="4"/>
        <v>0</v>
      </c>
      <c r="P30" s="326">
        <f>SUMIF('Diags Raw Data'!$A$7:$A$3715,"*"&amp;$A30&amp;"*",'Diags Raw Data'!$Z$7:$Z$3715)</f>
        <v>0</v>
      </c>
      <c r="Q30" s="327">
        <f>SUM(SUMIF('Diags Raw Data'!$A$7:$A$3715,"*"&amp;$A30&amp;"*",'Diags Raw Data'!$AA$7:$AA$3715),SUMIF('Diags Raw Data'!$A$7:$A$3715,"*"&amp;$A30&amp;"*",'Diags Raw Data'!$AB$7:$AB$3715))</f>
        <v>0</v>
      </c>
      <c r="R30" s="328">
        <f t="shared" si="5"/>
        <v>0</v>
      </c>
      <c r="S30" s="328">
        <f t="shared" si="6"/>
        <v>0</v>
      </c>
      <c r="T30" s="329">
        <f t="shared" si="7"/>
        <v>0</v>
      </c>
      <c r="U30" s="366" t="s">
        <v>349</v>
      </c>
    </row>
    <row r="31" spans="1:25" ht="15" thickBot="1" x14ac:dyDescent="0.4">
      <c r="A31" s="447" t="s">
        <v>559</v>
      </c>
      <c r="B31" s="480" t="str">
        <f>VLOOKUP(A31,'Feature Raw Data'!$A$3:$B$3934,2,FALSE)</f>
        <v>Legacy SRBM MMIO Space</v>
      </c>
      <c r="C31" s="447" t="str">
        <f>VLOOKUP(A31,'Feature Raw Data'!$A$3:$C$4163,3,FALSE)</f>
        <v>P3</v>
      </c>
      <c r="D31" s="451" t="str" cm="1">
        <f t="array" ref="D31">_xlfn.TEXTJOIN("",TRUE,IF(ISNUMBER(SEARCH($A31,'Diags Raw Data'!$A$7:$A$4094)),CONCATENATE('Diags Raw Data'!$H$7:$H$4094,", "),""))</f>
        <v/>
      </c>
      <c r="E31" s="261" t="e">
        <f>VLOOKUP(A31,'Diags Raw Data'!$A$7:$D$3715,4,FALSE)</f>
        <v>#N/A</v>
      </c>
      <c r="F31" s="261" t="str">
        <f>VLOOKUP(A31,'Feature Raw Data'!$A$3:$E$3783,5,FALSE)</f>
        <v>Legacy</v>
      </c>
      <c r="G31" s="261" t="s">
        <v>31</v>
      </c>
      <c r="H31" s="261" t="s">
        <v>36</v>
      </c>
      <c r="I31" s="260">
        <f>SUMIF('Diags Raw Data'!$A$7:$A$3715,"*"&amp;$A31&amp;"*",'Diags Raw Data'!$K$7:$K$3715)</f>
        <v>0</v>
      </c>
      <c r="J31" s="262">
        <f>SUMIF('Diags Raw Data'!$A$7:$A$3715,"*"&amp;$A31&amp;"*",'Diags Raw Data'!$L$7:$L$3715)</f>
        <v>0</v>
      </c>
      <c r="K31" s="322" cm="1">
        <f t="array" ref="K31">IF(D31="",0, SUMPRODUCT(--(ISNUMBER(SEARCH($A31,'Diags Raw Data'!$A$7:$A$3715))),'Diags Raw Data'!$L$7:$L$3715,'Diags Raw Data'!$N$7:$N$3715)/J31)</f>
        <v>0</v>
      </c>
      <c r="L31" s="323" cm="1">
        <f t="array" ref="L31">IF(D31="",0, SUMPRODUCT(--(ISNUMBER(SEARCH($A31,'Diags Raw Data'!$A$7:$A$3715))),'Diags Raw Data'!$L$7:$L$3715,'Diags Raw Data'!$P$7:$P$3715)/J31)</f>
        <v>0</v>
      </c>
      <c r="M31" s="324" cm="1">
        <f t="array" ref="M31">SUMPRODUCT(--(ISNUMBER(SEARCH($A31,'Diags Raw Data'!$A$7:$A$3715))),--('Diags Raw Data'!$Q$7:$Q$3715&lt;&gt;"N/A"),'Diags Raw Data'!$R$7:$R$3715)</f>
        <v>0</v>
      </c>
      <c r="N31" s="325" cm="1">
        <f t="array" ref="N31">SUMPRODUCT(--(ISNUMBER(SEARCH($A31,'Diags Raw Data'!$A$7:$A$3715))),--('Diags Raw Data'!$Q$7:$Q$3715&lt;&gt;"N/A"),'Diags Raw Data'!$T$7:$T$3715)+SUMPRODUCT(--(ISNUMBER(SEARCH($A31,'Diags Raw Data'!$A$7:$A$3715))),--('Diags Raw Data'!$Q$7:$Q$3715&lt;&gt;"N/A"),'Diags Raw Data'!$U$7:$U$3715)</f>
        <v>0</v>
      </c>
      <c r="O31" s="363">
        <f t="shared" si="4"/>
        <v>0</v>
      </c>
      <c r="P31" s="326">
        <f>SUMIF('Diags Raw Data'!$A$7:$A$3715,"*"&amp;$A31&amp;"*",'Diags Raw Data'!$Z$7:$Z$3715)</f>
        <v>0</v>
      </c>
      <c r="Q31" s="327">
        <f>SUM(SUMIF('Diags Raw Data'!$A$7:$A$3715,"*"&amp;$A31&amp;"*",'Diags Raw Data'!$AA$7:$AA$3715),SUMIF('Diags Raw Data'!$A$7:$A$3715,"*"&amp;$A31&amp;"*",'Diags Raw Data'!$AB$7:$AB$3715))</f>
        <v>0</v>
      </c>
      <c r="R31" s="328">
        <f t="shared" si="5"/>
        <v>0</v>
      </c>
      <c r="S31" s="328">
        <f t="shared" si="6"/>
        <v>0</v>
      </c>
      <c r="T31" s="329">
        <f t="shared" si="7"/>
        <v>0</v>
      </c>
      <c r="U31" s="366"/>
    </row>
    <row r="32" spans="1:25" s="168" customFormat="1" ht="15" thickBot="1" x14ac:dyDescent="0.4">
      <c r="A32" s="447" t="s">
        <v>335</v>
      </c>
      <c r="B32" s="480" t="str">
        <f>VLOOKUP(A32,'Feature Raw Data'!$A$3:$B$3934,2,FALSE)</f>
        <v>Lx6</v>
      </c>
      <c r="C32" s="447" t="str">
        <f>VLOOKUP(A32,'Feature Raw Data'!$A$3:$C$4163,3,FALSE)</f>
        <v>P1</v>
      </c>
      <c r="D32" s="451" t="str" cm="1">
        <f t="array" ref="D32">_xlfn.TEXTJOIN("",TRUE,IF(ISNUMBER(SEARCH($A32,'Diags Raw Data'!$A$7:$A$4094)),CONCATENATE('Diags Raw Data'!$H$7:$H$4094,", "),""))</f>
        <v xml:space="preserve">PM080.5, PM080.1, </v>
      </c>
      <c r="E32" s="261" t="str">
        <f>VLOOKUP(A32,'Diags Raw Data'!$A$7:$D$3715,4,FALSE)</f>
        <v>MP1</v>
      </c>
      <c r="F32" s="261" t="str">
        <f>VLOOKUP(A32,'Feature Raw Data'!$A$3:$E$3783,5,FALSE)</f>
        <v>Legacy</v>
      </c>
      <c r="G32" s="261" t="s">
        <v>31</v>
      </c>
      <c r="H32" s="261" t="s">
        <v>31</v>
      </c>
      <c r="I32" s="260">
        <f>SUMIF('Diags Raw Data'!$A$7:$A$3715,"*"&amp;$A32&amp;"*",'Diags Raw Data'!$K$7:$K$3715)</f>
        <v>2</v>
      </c>
      <c r="J32" s="262">
        <f>SUMIF('Diags Raw Data'!$A$7:$A$3715,"*"&amp;$A32&amp;"*",'Diags Raw Data'!$L$7:$L$3715)</f>
        <v>2</v>
      </c>
      <c r="K32" s="322" cm="1">
        <f t="array" ref="K32">IF(D32="",0, SUMPRODUCT(--(ISNUMBER(SEARCH($A32,'Diags Raw Data'!$A$7:$A$3715))),'Diags Raw Data'!$L$7:$L$3715,'Diags Raw Data'!$N$7:$N$3715)/J32)</f>
        <v>1</v>
      </c>
      <c r="L32" s="323" cm="1">
        <f t="array" ref="L32">IF(D32="",0, SUMPRODUCT(--(ISNUMBER(SEARCH($A32,'Diags Raw Data'!$A$7:$A$3715))),'Diags Raw Data'!$L$7:$L$3715,'Diags Raw Data'!$P$7:$P$3715)/J32)</f>
        <v>1</v>
      </c>
      <c r="M32" s="324" cm="1">
        <f t="array" ref="M32">SUMPRODUCT(--(ISNUMBER(SEARCH($A32,'Diags Raw Data'!$A$7:$A$3715))),--('Diags Raw Data'!$Q$7:$Q$3715&lt;&gt;"N/A"),'Diags Raw Data'!$R$7:$R$3715)</f>
        <v>2</v>
      </c>
      <c r="N32" s="325" cm="1">
        <f t="array" ref="N32">SUMPRODUCT(--(ISNUMBER(SEARCH($A32,'Diags Raw Data'!$A$7:$A$3715))),--('Diags Raw Data'!$Q$7:$Q$3715&lt;&gt;"N/A"),'Diags Raw Data'!$T$7:$T$3715)+SUMPRODUCT(--(ISNUMBER(SEARCH($A32,'Diags Raw Data'!$A$7:$A$3715))),--('Diags Raw Data'!$Q$7:$Q$3715&lt;&gt;"N/A"),'Diags Raw Data'!$U$7:$U$3715)</f>
        <v>2</v>
      </c>
      <c r="O32" s="363">
        <f t="shared" si="4"/>
        <v>1</v>
      </c>
      <c r="P32" s="326">
        <f>SUMIF('Diags Raw Data'!$A$7:$A$3715,"*"&amp;$A32&amp;"*",'Diags Raw Data'!$Z$7:$Z$3715)</f>
        <v>0</v>
      </c>
      <c r="Q32" s="327">
        <f>SUM(SUMIF('Diags Raw Data'!$A$7:$A$3715,"*"&amp;$A32&amp;"*",'Diags Raw Data'!$AA$7:$AA$3715),SUMIF('Diags Raw Data'!$A$7:$A$3715,"*"&amp;$A32&amp;"*",'Diags Raw Data'!$AB$7:$AB$3715))</f>
        <v>0</v>
      </c>
      <c r="R32" s="328">
        <f t="shared" si="5"/>
        <v>0</v>
      </c>
      <c r="S32" s="328">
        <f t="shared" si="6"/>
        <v>0</v>
      </c>
      <c r="T32" s="329">
        <f t="shared" si="7"/>
        <v>0</v>
      </c>
      <c r="U32" s="366" t="s">
        <v>685</v>
      </c>
    </row>
    <row r="33" spans="1:25" ht="15" thickBot="1" x14ac:dyDescent="0.4">
      <c r="A33" s="447" t="s">
        <v>343</v>
      </c>
      <c r="B33" s="480" t="str">
        <f>VLOOKUP(A33,'Feature Raw Data'!$A$3:$B$3934,2,FALSE)</f>
        <v>MP1_FIRMWARE_FLAGS register</v>
      </c>
      <c r="C33" s="447" t="str">
        <f>VLOOKUP(A33,'Feature Raw Data'!$A$3:$C$4163,3,FALSE)</f>
        <v>P1</v>
      </c>
      <c r="D33" s="451" t="str" cm="1">
        <f t="array" ref="D33">_xlfn.TEXTJOIN("",TRUE,IF(ISNUMBER(SEARCH($A33,'Diags Raw Data'!$A$7:$A$4094)),CONCATENATE('Diags Raw Data'!$H$7:$H$4094,", "),""))</f>
        <v xml:space="preserve">PM080.5, </v>
      </c>
      <c r="E33" s="261" t="str">
        <f>VLOOKUP(A33,'Diags Raw Data'!$A$7:$D$3715,4,FALSE)</f>
        <v>MP1</v>
      </c>
      <c r="F33" s="261" t="str">
        <f>VLOOKUP(A33,'Feature Raw Data'!$A$3:$E$3783,5,FALSE)</f>
        <v>Legacy</v>
      </c>
      <c r="G33" s="261" t="s">
        <v>31</v>
      </c>
      <c r="H33" s="261" t="s">
        <v>31</v>
      </c>
      <c r="I33" s="260">
        <f>SUMIF('Diags Raw Data'!$A$7:$A$3715,"*"&amp;$A33&amp;"*",'Diags Raw Data'!$K$7:$K$3715)</f>
        <v>1</v>
      </c>
      <c r="J33" s="262">
        <f>SUMIF('Diags Raw Data'!$A$7:$A$3715,"*"&amp;$A33&amp;"*",'Diags Raw Data'!$L$7:$L$3715)</f>
        <v>1</v>
      </c>
      <c r="K33" s="322" cm="1">
        <f t="array" ref="K33">IF(D33="",0, SUMPRODUCT(--(ISNUMBER(SEARCH($A33,'Diags Raw Data'!$A$7:$A$3715))),'Diags Raw Data'!$L$7:$L$3715,'Diags Raw Data'!$N$7:$N$3715)/J33)</f>
        <v>1</v>
      </c>
      <c r="L33" s="323" cm="1">
        <f t="array" ref="L33">IF(D33="",0, SUMPRODUCT(--(ISNUMBER(SEARCH($A33,'Diags Raw Data'!$A$7:$A$3715))),'Diags Raw Data'!$L$7:$L$3715,'Diags Raw Data'!$P$7:$P$3715)/J33)</f>
        <v>1</v>
      </c>
      <c r="M33" s="324" cm="1">
        <f t="array" ref="M33">SUMPRODUCT(--(ISNUMBER(SEARCH($A33,'Diags Raw Data'!$A$7:$A$3715))),--('Diags Raw Data'!$Q$7:$Q$3715&lt;&gt;"N/A"),'Diags Raw Data'!$R$7:$R$3715)</f>
        <v>1</v>
      </c>
      <c r="N33" s="325" cm="1">
        <f t="array" ref="N33">SUMPRODUCT(--(ISNUMBER(SEARCH($A33,'Diags Raw Data'!$A$7:$A$3715))),--('Diags Raw Data'!$Q$7:$Q$3715&lt;&gt;"N/A"),'Diags Raw Data'!$T$7:$T$3715)+SUMPRODUCT(--(ISNUMBER(SEARCH($A33,'Diags Raw Data'!$A$7:$A$3715))),--('Diags Raw Data'!$Q$7:$Q$3715&lt;&gt;"N/A"),'Diags Raw Data'!$U$7:$U$3715)</f>
        <v>1</v>
      </c>
      <c r="O33" s="363">
        <f t="shared" ref="O33" si="20">IF((M33=0),0,N33/M33)</f>
        <v>1</v>
      </c>
      <c r="P33" s="326">
        <f>SUMIF('Diags Raw Data'!$A$7:$A$3715,"*"&amp;$A33&amp;"*",'Diags Raw Data'!$Z$7:$Z$3715)</f>
        <v>0</v>
      </c>
      <c r="Q33" s="327">
        <f>SUM(SUMIF('Diags Raw Data'!$A$7:$A$3715,"*"&amp;$A33&amp;"*",'Diags Raw Data'!$AA$7:$AA$3715),SUMIF('Diags Raw Data'!$A$7:$A$3715,"*"&amp;$A33&amp;"*",'Diags Raw Data'!$AB$7:$AB$3715))</f>
        <v>0</v>
      </c>
      <c r="R33" s="328">
        <f t="shared" ref="R33" si="21">IF((J33=0),0,P33/J33)</f>
        <v>0</v>
      </c>
      <c r="S33" s="328">
        <f t="shared" ref="S33" si="22">IF((P33=0),0,Q33/P33)</f>
        <v>0</v>
      </c>
      <c r="T33" s="329">
        <f t="shared" ref="T33" si="23">R33*S33</f>
        <v>0</v>
      </c>
      <c r="U33" s="366" t="s">
        <v>349</v>
      </c>
    </row>
    <row r="34" spans="1:25" ht="15" thickBot="1" x14ac:dyDescent="0.4">
      <c r="A34" s="490" t="s">
        <v>563</v>
      </c>
      <c r="B34" s="480" t="str">
        <f>VLOOKUP(A34,'Feature Raw Data'!$A$3:$B$3934,2,FALSE)</f>
        <v>MPIO Functional test</v>
      </c>
      <c r="C34" s="447" t="str">
        <f>VLOOKUP(A34,'Feature Raw Data'!$A$3:$C$4163,3,FALSE)</f>
        <v>P2</v>
      </c>
      <c r="D34" s="451" t="str" cm="1">
        <f t="array" ref="D34">_xlfn.TEXTJOIN("",TRUE,IF(ISNUMBER(SEARCH($A34,'Diags Raw Data'!$A$7:$A$4094)),CONCATENATE('Diags Raw Data'!$H$7:$H$4094,", "),""))</f>
        <v/>
      </c>
      <c r="E34" s="261" t="e">
        <f>VLOOKUP(A34,'Diags Raw Data'!$A$7:$D$3715,4,FALSE)</f>
        <v>#N/A</v>
      </c>
      <c r="F34" s="261" t="str">
        <f>VLOOKUP(A34,'Feature Raw Data'!$A$3:$E$3783,5,FALSE)</f>
        <v>Delta</v>
      </c>
      <c r="G34" s="261" t="s">
        <v>31</v>
      </c>
      <c r="H34" s="261" t="s">
        <v>36</v>
      </c>
      <c r="I34" s="260">
        <f>SUMIF('Diags Raw Data'!$A$7:$A$3715,"*"&amp;$A34&amp;"*",'Diags Raw Data'!$K$7:$K$3715)</f>
        <v>0</v>
      </c>
      <c r="J34" s="262">
        <f>SUMIF('Diags Raw Data'!$A$7:$A$3715,"*"&amp;$A34&amp;"*",'Diags Raw Data'!$L$7:$L$3715)</f>
        <v>0</v>
      </c>
      <c r="K34" s="322" cm="1">
        <f t="array" ref="K34">IF(D34="",0, SUMPRODUCT(--(ISNUMBER(SEARCH($A34,'Diags Raw Data'!$A$7:$A$3715))),'Diags Raw Data'!$L$7:$L$3715,'Diags Raw Data'!$N$7:$N$3715)/J34)</f>
        <v>0</v>
      </c>
      <c r="L34" s="323" cm="1">
        <f t="array" ref="L34">IF(D34="",0, SUMPRODUCT(--(ISNUMBER(SEARCH($A34,'Diags Raw Data'!$A$7:$A$3715))),'Diags Raw Data'!$L$7:$L$3715,'Diags Raw Data'!$P$7:$P$3715)/J34)</f>
        <v>0</v>
      </c>
      <c r="M34" s="324" cm="1">
        <f t="array" ref="M34">SUMPRODUCT(--(ISNUMBER(SEARCH($A34,'Diags Raw Data'!$A$7:$A$3715))),--('Diags Raw Data'!$Q$7:$Q$3715&lt;&gt;"N/A"),'Diags Raw Data'!$R$7:$R$3715)</f>
        <v>0</v>
      </c>
      <c r="N34" s="325" cm="1">
        <f t="array" ref="N34">SUMPRODUCT(--(ISNUMBER(SEARCH($A34,'Diags Raw Data'!$A$7:$A$3715))),--('Diags Raw Data'!$Q$7:$Q$3715&lt;&gt;"N/A"),'Diags Raw Data'!$T$7:$T$3715)+SUMPRODUCT(--(ISNUMBER(SEARCH($A34,'Diags Raw Data'!$A$7:$A$3715))),--('Diags Raw Data'!$Q$7:$Q$3715&lt;&gt;"N/A"),'Diags Raw Data'!$U$7:$U$3715)</f>
        <v>0</v>
      </c>
      <c r="O34" s="363">
        <f t="shared" ref="O34:O35" si="24">IF((M34=0),0,N34/M34)</f>
        <v>0</v>
      </c>
      <c r="P34" s="326">
        <f>SUMIF('Diags Raw Data'!$A$7:$A$3715,"*"&amp;$A34&amp;"*",'Diags Raw Data'!$Z$7:$Z$3715)</f>
        <v>0</v>
      </c>
      <c r="Q34" s="327">
        <f>SUM(SUMIF('Diags Raw Data'!$A$7:$A$3715,"*"&amp;$A34&amp;"*",'Diags Raw Data'!$AA$7:$AA$3715),SUMIF('Diags Raw Data'!$A$7:$A$3715,"*"&amp;$A34&amp;"*",'Diags Raw Data'!$AB$7:$AB$3715))</f>
        <v>0</v>
      </c>
      <c r="R34" s="328">
        <f t="shared" ref="R34:R35" si="25">IF((J34=0),0,P34/J34)</f>
        <v>0</v>
      </c>
      <c r="S34" s="328">
        <f t="shared" ref="S34:S35" si="26">IF((P34=0),0,Q34/P34)</f>
        <v>0</v>
      </c>
      <c r="T34" s="329">
        <f t="shared" ref="T34:T35" si="27">R34*S34</f>
        <v>0</v>
      </c>
      <c r="U34" s="366"/>
    </row>
    <row r="35" spans="1:25" ht="15" thickBot="1" x14ac:dyDescent="0.4">
      <c r="A35" s="447" t="s">
        <v>565</v>
      </c>
      <c r="B35" s="480" t="str">
        <f>VLOOKUP(A35,'Feature Raw Data'!$A$3:$B$3934,2,FALSE)</f>
        <v>RSMU Security HW</v>
      </c>
      <c r="C35" s="447" t="str">
        <f>VLOOKUP(A35,'Feature Raw Data'!$A$3:$C$4163,3,FALSE)</f>
        <v>P2</v>
      </c>
      <c r="D35" s="451" t="str" cm="1">
        <f t="array" ref="D35">_xlfn.TEXTJOIN("",TRUE,IF(ISNUMBER(SEARCH($A35,'Diags Raw Data'!$A$7:$A$4094)),CONCATENATE('Diags Raw Data'!$H$7:$H$4094,", "),""))</f>
        <v/>
      </c>
      <c r="E35" s="261" t="e">
        <f>VLOOKUP(A35,'Diags Raw Data'!$A$7:$D$3715,4,FALSE)</f>
        <v>#N/A</v>
      </c>
      <c r="F35" s="261" t="str">
        <f>VLOOKUP(A35,'Feature Raw Data'!$A$3:$E$3783,5,FALSE)</f>
        <v>Delta</v>
      </c>
      <c r="G35" s="261" t="s">
        <v>31</v>
      </c>
      <c r="H35" s="261" t="s">
        <v>36</v>
      </c>
      <c r="I35" s="260">
        <f>SUMIF('Diags Raw Data'!$A$7:$A$3715,"*"&amp;$A35&amp;"*",'Diags Raw Data'!$K$7:$K$3715)</f>
        <v>0</v>
      </c>
      <c r="J35" s="262">
        <f>SUMIF('Diags Raw Data'!$A$7:$A$3715,"*"&amp;$A35&amp;"*",'Diags Raw Data'!$L$7:$L$3715)</f>
        <v>0</v>
      </c>
      <c r="K35" s="322" cm="1">
        <f t="array" ref="K35">IF(D35="",0, SUMPRODUCT(--(ISNUMBER(SEARCH($A35,'Diags Raw Data'!$A$7:$A$3715))),'Diags Raw Data'!$L$7:$L$3715,'Diags Raw Data'!$N$7:$N$3715)/J35)</f>
        <v>0</v>
      </c>
      <c r="L35" s="323" cm="1">
        <f t="array" ref="L35">IF(D35="",0, SUMPRODUCT(--(ISNUMBER(SEARCH($A35,'Diags Raw Data'!$A$7:$A$3715))),'Diags Raw Data'!$L$7:$L$3715,'Diags Raw Data'!$P$7:$P$3715)/J35)</f>
        <v>0</v>
      </c>
      <c r="M35" s="324" cm="1">
        <f t="array" ref="M35">SUMPRODUCT(--(ISNUMBER(SEARCH($A35,'Diags Raw Data'!$A$7:$A$3715))),--('Diags Raw Data'!$Q$7:$Q$3715&lt;&gt;"N/A"),'Diags Raw Data'!$R$7:$R$3715)</f>
        <v>0</v>
      </c>
      <c r="N35" s="325" cm="1">
        <f t="array" ref="N35">SUMPRODUCT(--(ISNUMBER(SEARCH($A35,'Diags Raw Data'!$A$7:$A$3715))),--('Diags Raw Data'!$Q$7:$Q$3715&lt;&gt;"N/A"),'Diags Raw Data'!$T$7:$T$3715)+SUMPRODUCT(--(ISNUMBER(SEARCH($A35,'Diags Raw Data'!$A$7:$A$3715))),--('Diags Raw Data'!$Q$7:$Q$3715&lt;&gt;"N/A"),'Diags Raw Data'!$U$7:$U$3715)</f>
        <v>0</v>
      </c>
      <c r="O35" s="363">
        <f t="shared" si="24"/>
        <v>0</v>
      </c>
      <c r="P35" s="326">
        <f>SUMIF('Diags Raw Data'!$A$7:$A$3715,"*"&amp;$A35&amp;"*",'Diags Raw Data'!$Z$7:$Z$3715)</f>
        <v>0</v>
      </c>
      <c r="Q35" s="327">
        <f>SUM(SUMIF('Diags Raw Data'!$A$7:$A$3715,"*"&amp;$A35&amp;"*",'Diags Raw Data'!$AA$7:$AA$3715),SUMIF('Diags Raw Data'!$A$7:$A$3715,"*"&amp;$A35&amp;"*",'Diags Raw Data'!$AB$7:$AB$3715))</f>
        <v>0</v>
      </c>
      <c r="R35" s="328">
        <f t="shared" si="25"/>
        <v>0</v>
      </c>
      <c r="S35" s="328">
        <f t="shared" si="26"/>
        <v>0</v>
      </c>
      <c r="T35" s="329">
        <f t="shared" si="27"/>
        <v>0</v>
      </c>
      <c r="U35" s="366"/>
    </row>
    <row r="36" spans="1:25" ht="15" thickBot="1" x14ac:dyDescent="0.4">
      <c r="A36" s="490" t="s">
        <v>356</v>
      </c>
      <c r="B36" s="480" t="str">
        <f>VLOOKUP(A36,'Feature Raw Data'!$A$3:$B$3934,2,FALSE)</f>
        <v>CRU: MP1 Time Stamp Counter</v>
      </c>
      <c r="C36" s="447" t="str">
        <f>VLOOKUP(A36,'Feature Raw Data'!$A$3:$C$4163,3,FALSE)</f>
        <v>P2</v>
      </c>
      <c r="D36" s="451" t="str" cm="1">
        <f t="array" ref="D36">_xlfn.TEXTJOIN("",TRUE,IF(ISNUMBER(SEARCH($A36,'Diags Raw Data'!$A$7:$A$4094)),CONCATENATE('Diags Raw Data'!$H$7:$H$4094,", "),""))</f>
        <v xml:space="preserve">PM051.004, </v>
      </c>
      <c r="E36" s="261" t="str">
        <f>VLOOKUP(A36,'Diags Raw Data'!$A$7:$D$3715,4,FALSE)</f>
        <v>RSMU</v>
      </c>
      <c r="F36" s="261" t="str">
        <f>VLOOKUP(A36,'Feature Raw Data'!$A$3:$E$3783,5,FALSE)</f>
        <v>Delta</v>
      </c>
      <c r="G36" s="261" t="s">
        <v>31</v>
      </c>
      <c r="H36" s="670" t="s">
        <v>814</v>
      </c>
      <c r="I36" s="260">
        <v>1</v>
      </c>
      <c r="J36" s="262">
        <v>1</v>
      </c>
      <c r="K36" s="322" cm="1">
        <f t="array" ref="K36">IF(D36="",0, SUMPRODUCT(--(ISNUMBER(SEARCH($A36,'Diags Raw Data'!$A$7:$A$3715))),'Diags Raw Data'!$L$7:$L$3715,'Diags Raw Data'!$N$7:$N$3715)/J36)</f>
        <v>1</v>
      </c>
      <c r="L36" s="323" cm="1">
        <f t="array" ref="L36">IF(D36="",0, SUMPRODUCT(--(ISNUMBER(SEARCH($A36,'Diags Raw Data'!$A$7:$A$3715))),'Diags Raw Data'!$L$7:$L$3715,'Diags Raw Data'!$P$7:$P$3715)/J36)</f>
        <v>0.3</v>
      </c>
      <c r="M36" s="324" cm="1">
        <f t="array" ref="M36">SUMPRODUCT(--(ISNUMBER(SEARCH($A36,'Diags Raw Data'!$A$7:$A$3715))),--('Diags Raw Data'!$Q$7:$Q$3715&lt;&gt;"N/A"),'Diags Raw Data'!$R$7:$R$3715)</f>
        <v>1</v>
      </c>
      <c r="N36" s="325" cm="1">
        <f t="array" ref="N36">SUMPRODUCT(--(ISNUMBER(SEARCH($A36,'Diags Raw Data'!$A$7:$A$3715))),--('Diags Raw Data'!$Q$7:$Q$3715&lt;&gt;"N/A"),'Diags Raw Data'!$T$7:$T$3715)+SUMPRODUCT(--(ISNUMBER(SEARCH($A36,'Diags Raw Data'!$A$7:$A$3715))),--('Diags Raw Data'!$Q$7:$Q$3715&lt;&gt;"N/A"),'Diags Raw Data'!$U$7:$U$3715)</f>
        <v>0</v>
      </c>
      <c r="O36" s="363">
        <f t="shared" ref="O36" si="28">IF((M36=0),0,N36/M36)</f>
        <v>0</v>
      </c>
      <c r="P36" s="326">
        <f>SUMIF('Diags Raw Data'!$A$7:$A$3715,"*"&amp;$A36&amp;"*",'Diags Raw Data'!$Z$7:$Z$3715)</f>
        <v>0</v>
      </c>
      <c r="Q36" s="327">
        <f>SUM(SUMIF('Diags Raw Data'!$A$7:$A$3715,"*"&amp;$A36&amp;"*",'Diags Raw Data'!$AA$7:$AA$3715),SUMIF('Diags Raw Data'!$A$7:$A$3715,"*"&amp;$A36&amp;"*",'Diags Raw Data'!$AB$7:$AB$3715))</f>
        <v>0</v>
      </c>
      <c r="R36" s="328">
        <f t="shared" ref="R36" si="29">IF((J36=0),0,P36/J36)</f>
        <v>0</v>
      </c>
      <c r="S36" s="328">
        <f t="shared" ref="S36" si="30">IF((P36=0),0,Q36/P36)</f>
        <v>0</v>
      </c>
      <c r="T36" s="329">
        <f t="shared" ref="T36" si="31">R36*S36</f>
        <v>0</v>
      </c>
      <c r="U36" s="366"/>
      <c r="W36" s="167">
        <v>2</v>
      </c>
      <c r="X36" s="167">
        <v>1</v>
      </c>
      <c r="Y36" s="167">
        <v>3</v>
      </c>
    </row>
    <row r="37" spans="1:25" ht="15" thickBot="1" x14ac:dyDescent="0.4">
      <c r="A37" s="447" t="s">
        <v>342</v>
      </c>
      <c r="B37" s="480" t="str">
        <f>VLOOKUP(A37,'Feature Raw Data'!$A$3:$B$3934,2,FALSE)</f>
        <v>AXI Interconnect</v>
      </c>
      <c r="C37" s="447" t="str">
        <f>VLOOKUP(A37,'Feature Raw Data'!$A$3:$C$4163,3,FALSE)</f>
        <v>P1</v>
      </c>
      <c r="D37" s="451" t="str" cm="1">
        <f t="array" ref="D37">_xlfn.TEXTJOIN("",TRUE,IF(ISNUMBER(SEARCH($A37,'Diags Raw Data'!$A$7:$A$4094)),CONCATENATE('Diags Raw Data'!$H$7:$H$4094,", "),""))</f>
        <v xml:space="preserve">PM080.5, PM080.05, PM80.12.4, </v>
      </c>
      <c r="E37" s="261" t="str">
        <f>VLOOKUP(A37,'Diags Raw Data'!$A$7:$D$3715,4,FALSE)</f>
        <v>MP1</v>
      </c>
      <c r="F37" s="261" t="str">
        <f>VLOOKUP(A37,'Feature Raw Data'!$A$3:$E$3783,5,FALSE)</f>
        <v>Legacy</v>
      </c>
      <c r="G37" s="261" t="s">
        <v>31</v>
      </c>
      <c r="H37" s="261" t="s">
        <v>31</v>
      </c>
      <c r="I37" s="260">
        <f>SUMIF('Diags Raw Data'!$A$7:$A$3715,"*"&amp;$A37&amp;"*",'Diags Raw Data'!$K$7:$K$3715)</f>
        <v>3</v>
      </c>
      <c r="J37" s="262">
        <f>SUMIF('Diags Raw Data'!$A$7:$A$3715,"*"&amp;$A37&amp;"*",'Diags Raw Data'!$L$7:$L$3715)</f>
        <v>3</v>
      </c>
      <c r="K37" s="322" cm="1">
        <f t="array" ref="K37">IF(D37="",0, SUMPRODUCT(--(ISNUMBER(SEARCH($A37,'Diags Raw Data'!$A$7:$A$3715))),'Diags Raw Data'!$L$7:$L$3715,'Diags Raw Data'!$N$7:$N$3715)/J37)</f>
        <v>1</v>
      </c>
      <c r="L37" s="323" cm="1">
        <f t="array" ref="L37">IF(D37="",0, SUMPRODUCT(--(ISNUMBER(SEARCH($A37,'Diags Raw Data'!$A$7:$A$3715))),'Diags Raw Data'!$L$7:$L$3715,'Diags Raw Data'!$P$7:$P$3715)/J37)</f>
        <v>0.93333333333333324</v>
      </c>
      <c r="M37" s="324" cm="1">
        <f t="array" ref="M37">SUMPRODUCT(--(ISNUMBER(SEARCH($A37,'Diags Raw Data'!$A$7:$A$3715))),--('Diags Raw Data'!$Q$7:$Q$3715&lt;&gt;"N/A"),'Diags Raw Data'!$R$7:$R$3715)</f>
        <v>3</v>
      </c>
      <c r="N37" s="325" cm="1">
        <f t="array" ref="N37">SUMPRODUCT(--(ISNUMBER(SEARCH($A37,'Diags Raw Data'!$A$7:$A$3715))),--('Diags Raw Data'!$Q$7:$Q$3715&lt;&gt;"N/A"),'Diags Raw Data'!$T$7:$T$3715)+SUMPRODUCT(--(ISNUMBER(SEARCH($A37,'Diags Raw Data'!$A$7:$A$3715))),--('Diags Raw Data'!$Q$7:$Q$3715&lt;&gt;"N/A"),'Diags Raw Data'!$U$7:$U$3715)</f>
        <v>2</v>
      </c>
      <c r="O37" s="363">
        <f t="shared" si="4"/>
        <v>0.66666666666666663</v>
      </c>
      <c r="P37" s="326">
        <f>SUMIF('Diags Raw Data'!$A$7:$A$3715,"*"&amp;$A37&amp;"*",'Diags Raw Data'!$Z$7:$Z$3715)</f>
        <v>0</v>
      </c>
      <c r="Q37" s="327">
        <f>SUM(SUMIF('Diags Raw Data'!$A$7:$A$3715,"*"&amp;$A37&amp;"*",'Diags Raw Data'!$AA$7:$AA$3715),SUMIF('Diags Raw Data'!$A$7:$A$3715,"*"&amp;$A37&amp;"*",'Diags Raw Data'!$AB$7:$AB$3715))</f>
        <v>0</v>
      </c>
      <c r="R37" s="328">
        <f t="shared" si="5"/>
        <v>0</v>
      </c>
      <c r="S37" s="328">
        <f t="shared" si="6"/>
        <v>0</v>
      </c>
      <c r="T37" s="329">
        <f t="shared" si="7"/>
        <v>0</v>
      </c>
      <c r="U37" s="366" t="s">
        <v>349</v>
      </c>
    </row>
    <row r="38" spans="1:25" ht="15" thickBot="1" x14ac:dyDescent="0.4">
      <c r="A38" s="447" t="s">
        <v>569</v>
      </c>
      <c r="B38" s="480" t="str">
        <f>VLOOKUP(A38,'Feature Raw Data'!$A$3:$B$3934,2,FALSE)</f>
        <v>CRU:Timer Control Registers and Interrupt</v>
      </c>
      <c r="C38" s="447" t="str">
        <f>VLOOKUP(A38,'Feature Raw Data'!$A$3:$C$4163,3,FALSE)</f>
        <v>P3</v>
      </c>
      <c r="D38" s="451" t="str" cm="1">
        <f t="array" ref="D38">_xlfn.TEXTJOIN("",TRUE,IF(ISNUMBER(SEARCH($A38,'Diags Raw Data'!$A$7:$A$4094)),CONCATENATE('Diags Raw Data'!$H$7:$H$4094,", "),""))</f>
        <v/>
      </c>
      <c r="E38" s="261" t="e">
        <f>VLOOKUP(A38,'Diags Raw Data'!$A$7:$D$3715,4,FALSE)</f>
        <v>#N/A</v>
      </c>
      <c r="F38" s="261" t="str">
        <f>VLOOKUP(A38,'Feature Raw Data'!$A$3:$E$3783,5,FALSE)</f>
        <v>Legacy</v>
      </c>
      <c r="G38" s="261" t="s">
        <v>31</v>
      </c>
      <c r="H38" s="261" t="s">
        <v>36</v>
      </c>
      <c r="I38" s="260">
        <f>SUMIF('Diags Raw Data'!$A$7:$A$3715,"*"&amp;$A38&amp;"*",'Diags Raw Data'!$K$7:$K$3715)</f>
        <v>0</v>
      </c>
      <c r="J38" s="260">
        <f>SUMIF('Diags Raw Data'!$A$7:$A$3715,"*"&amp;$A38&amp;"*",'Diags Raw Data'!$K$7:$K$3715)</f>
        <v>0</v>
      </c>
      <c r="K38" s="322" cm="1">
        <f t="array" ref="K38">IF(D38="",0, SUMPRODUCT(--(ISNUMBER(SEARCH($A38,'Diags Raw Data'!$A$7:$A$3715))),'Diags Raw Data'!$L$7:$L$3715,'Diags Raw Data'!$N$7:$N$3715)/J38)</f>
        <v>0</v>
      </c>
      <c r="L38" s="323" cm="1">
        <f t="array" ref="L38">IF(D38="",0, SUMPRODUCT(--(ISNUMBER(SEARCH($A38,'Diags Raw Data'!$A$7:$A$3715))),'Diags Raw Data'!$L$7:$L$3715,'Diags Raw Data'!$P$7:$P$3715)/J38)</f>
        <v>0</v>
      </c>
      <c r="M38" s="324" cm="1">
        <f t="array" ref="M38">SUMPRODUCT(--(ISNUMBER(SEARCH($A38,'Diags Raw Data'!$A$7:$A$3715))),--('Diags Raw Data'!$Q$7:$Q$3715&lt;&gt;"N/A"),'Diags Raw Data'!$R$7:$R$3715)</f>
        <v>0</v>
      </c>
      <c r="N38" s="325" cm="1">
        <f t="array" ref="N38">SUMPRODUCT(--(ISNUMBER(SEARCH($A38,'Diags Raw Data'!$A$7:$A$3715))),--('Diags Raw Data'!$Q$7:$Q$3715&lt;&gt;"N/A"),'Diags Raw Data'!$T$7:$T$3715)+SUMPRODUCT(--(ISNUMBER(SEARCH($A38,'Diags Raw Data'!$A$7:$A$3715))),--('Diags Raw Data'!$Q$7:$Q$3715&lt;&gt;"N/A"),'Diags Raw Data'!$U$7:$U$3715)</f>
        <v>0</v>
      </c>
      <c r="O38" s="363">
        <f t="shared" si="4"/>
        <v>0</v>
      </c>
      <c r="P38" s="326">
        <f>SUMIF('Diags Raw Data'!$A$7:$A$3715,"*"&amp;$A38&amp;"*",'Diags Raw Data'!$Z$7:$Z$3715)</f>
        <v>0</v>
      </c>
      <c r="Q38" s="327">
        <f>SUM(SUMIF('Diags Raw Data'!$A$7:$A$3715,"*"&amp;$A38&amp;"*",'Diags Raw Data'!$AA$7:$AA$3715),SUMIF('Diags Raw Data'!$A$7:$A$3715,"*"&amp;$A38&amp;"*",'Diags Raw Data'!$AB$7:$AB$3715))</f>
        <v>0</v>
      </c>
      <c r="R38" s="328">
        <f t="shared" si="5"/>
        <v>0</v>
      </c>
      <c r="S38" s="328">
        <f t="shared" si="6"/>
        <v>0</v>
      </c>
      <c r="T38" s="329">
        <f t="shared" si="7"/>
        <v>0</v>
      </c>
      <c r="U38" s="366" t="s">
        <v>349</v>
      </c>
    </row>
    <row r="39" spans="1:25" ht="15" thickBot="1" x14ac:dyDescent="0.4">
      <c r="A39" s="447" t="s">
        <v>350</v>
      </c>
      <c r="B39" s="480" t="str">
        <f>VLOOKUP(A39,'Feature Raw Data'!$A$3:$B$3934,2,FALSE)</f>
        <v>Register Access SMN Apertures</v>
      </c>
      <c r="C39" s="447" t="str">
        <f>VLOOKUP(A39,'Feature Raw Data'!$A$3:$C$4163,3,FALSE)</f>
        <v>P3</v>
      </c>
      <c r="D39" s="451" t="str" cm="1">
        <f t="array" ref="D39">_xlfn.TEXTJOIN("",TRUE,IF(ISNUMBER(SEARCH($A39,'Diags Raw Data'!$A$7:$A$4094)),CONCATENATE('Diags Raw Data'!$H$7:$H$4094,", "),""))</f>
        <v xml:space="preserve">PM080.05, </v>
      </c>
      <c r="E39" s="261" t="str">
        <f>VLOOKUP(A39,'Diags Raw Data'!$A$7:$D$3715,4,FALSE)</f>
        <v>MP1</v>
      </c>
      <c r="F39" s="261" t="str">
        <f>VLOOKUP(A39,'Feature Raw Data'!$A$3:$E$3783,5,FALSE)</f>
        <v>Legacy</v>
      </c>
      <c r="G39" s="261" t="s">
        <v>31</v>
      </c>
      <c r="H39" s="261" t="s">
        <v>31</v>
      </c>
      <c r="I39" s="260">
        <f>SUMIF('Diags Raw Data'!$A$7:$A$3715,"*"&amp;$A39&amp;"*",'Diags Raw Data'!$K$7:$K$3715)</f>
        <v>1</v>
      </c>
      <c r="J39" s="262">
        <f>SUMIF('Diags Raw Data'!$A$7:$A$3715,"*"&amp;$A39&amp;"*",'Diags Raw Data'!$L$7:$L$3715)</f>
        <v>1</v>
      </c>
      <c r="K39" s="322" cm="1">
        <f t="array" ref="K39">IF(D39="",0, SUMPRODUCT(--(ISNUMBER(SEARCH($A39,'Diags Raw Data'!$A$7:$A$3715))),'Diags Raw Data'!$L$7:$L$3715,'Diags Raw Data'!$N$7:$N$3715)/J39)</f>
        <v>1</v>
      </c>
      <c r="L39" s="323" cm="1">
        <f t="array" ref="L39">IF(D39="",0, SUMPRODUCT(--(ISNUMBER(SEARCH($A39,'Diags Raw Data'!$A$7:$A$3715))),'Diags Raw Data'!$L$7:$L$3715,'Diags Raw Data'!$P$7:$P$3715)/J39)</f>
        <v>1</v>
      </c>
      <c r="M39" s="324" cm="1">
        <f t="array" ref="M39">SUMPRODUCT(--(ISNUMBER(SEARCH($A39,'Diags Raw Data'!$A$7:$A$3715))),--('Diags Raw Data'!$Q$7:$Q$3715&lt;&gt;"N/A"),'Diags Raw Data'!$R$7:$R$3715)</f>
        <v>1</v>
      </c>
      <c r="N39" s="325" cm="1">
        <f t="array" ref="N39">SUMPRODUCT(--(ISNUMBER(SEARCH($A39,'Diags Raw Data'!$A$7:$A$3715))),--('Diags Raw Data'!$Q$7:$Q$3715&lt;&gt;"N/A"),'Diags Raw Data'!$T$7:$T$3715)+SUMPRODUCT(--(ISNUMBER(SEARCH($A39,'Diags Raw Data'!$A$7:$A$3715))),--('Diags Raw Data'!$Q$7:$Q$3715&lt;&gt;"N/A"),'Diags Raw Data'!$U$7:$U$3715)</f>
        <v>1</v>
      </c>
      <c r="O39" s="363">
        <f t="shared" si="4"/>
        <v>1</v>
      </c>
      <c r="P39" s="326">
        <f>SUMIF('Diags Raw Data'!$A$7:$A$3715,"*"&amp;$A39&amp;"*",'Diags Raw Data'!$Z$7:$Z$3715)</f>
        <v>0</v>
      </c>
      <c r="Q39" s="327">
        <f>SUM(SUMIF('Diags Raw Data'!$A$7:$A$3715,"*"&amp;$A39&amp;"*",'Diags Raw Data'!$AA$7:$AA$3715),SUMIF('Diags Raw Data'!$A$7:$A$3715,"*"&amp;$A39&amp;"*",'Diags Raw Data'!$AB$7:$AB$3715))</f>
        <v>0</v>
      </c>
      <c r="R39" s="328">
        <f t="shared" si="5"/>
        <v>0</v>
      </c>
      <c r="S39" s="328">
        <f t="shared" si="6"/>
        <v>0</v>
      </c>
      <c r="T39" s="329">
        <f t="shared" si="7"/>
        <v>0</v>
      </c>
      <c r="U39" s="366" t="s">
        <v>349</v>
      </c>
    </row>
    <row r="40" spans="1:25" ht="15" thickBot="1" x14ac:dyDescent="0.4">
      <c r="A40" s="447" t="s">
        <v>274</v>
      </c>
      <c r="B40" s="480" t="str">
        <f>VLOOKUP(A40,'Feature Raw Data'!$A$3:$B$3934,2,FALSE)</f>
        <v>SMN address in Monolithic</v>
      </c>
      <c r="C40" s="447" t="str">
        <f>VLOOKUP(A40,'Feature Raw Data'!$A$3:$C$4163,3,FALSE)</f>
        <v>P1</v>
      </c>
      <c r="D40" s="451" t="str" cm="1">
        <f t="array" ref="D40">_xlfn.TEXTJOIN("",TRUE,IF(ISNUMBER(SEARCH($A40,'Diags Raw Data'!$A$7:$A$4094)),CONCATENATE('Diags Raw Data'!$H$7:$H$4094,", "),""))</f>
        <v xml:space="preserve">PM80.12.1, </v>
      </c>
      <c r="E40" s="261" t="str">
        <f>VLOOKUP(A40,'Diags Raw Data'!$A$7:$D$3715,4,FALSE)</f>
        <v>CLK</v>
      </c>
      <c r="F40" s="261" t="str">
        <f>VLOOKUP(A40,'Feature Raw Data'!$A$3:$E$3783,5,FALSE)</f>
        <v>New</v>
      </c>
      <c r="G40" s="261" t="s">
        <v>31</v>
      </c>
      <c r="H40" s="499" t="s">
        <v>31</v>
      </c>
      <c r="I40" s="260">
        <f>SUMIF('Diags Raw Data'!$A$7:$A$3715,"*"&amp;$A40&amp;"*",'Diags Raw Data'!$K$7:$K$3715)</f>
        <v>1</v>
      </c>
      <c r="J40" s="262">
        <f>SUMIF('Diags Raw Data'!$A$7:$A$3715,"*"&amp;$A40&amp;"*",'Diags Raw Data'!$L$7:$L$3715)</f>
        <v>1</v>
      </c>
      <c r="K40" s="322" cm="1">
        <f t="array" ref="K40">IF(D40="",0, SUMPRODUCT(--(ISNUMBER(SEARCH($A40,'Diags Raw Data'!$A$7:$A$3715))),'Diags Raw Data'!$L$7:$L$3715,'Diags Raw Data'!$N$7:$N$3715)/J40)</f>
        <v>1</v>
      </c>
      <c r="L40" s="323" cm="1">
        <f t="array" ref="L40">IF(D40="",0, SUMPRODUCT(--(ISNUMBER(SEARCH($A40,'Diags Raw Data'!$A$7:$A$3715))),'Diags Raw Data'!$L$7:$L$3715,'Diags Raw Data'!$P$7:$P$3715)/J40)</f>
        <v>0.6</v>
      </c>
      <c r="M40" s="324" cm="1">
        <f t="array" ref="M40">SUMPRODUCT(--(ISNUMBER(SEARCH($A40,'Diags Raw Data'!$A$7:$A$3715))),--('Diags Raw Data'!$Q$7:$Q$3715&lt;&gt;"N/A"),'Diags Raw Data'!$R$7:$R$3715)</f>
        <v>1</v>
      </c>
      <c r="N40" s="325" cm="1">
        <f t="array" ref="N40">SUMPRODUCT(--(ISNUMBER(SEARCH($A40,'Diags Raw Data'!$A$7:$A$3715))),--('Diags Raw Data'!$Q$7:$Q$3715&lt;&gt;"N/A"),'Diags Raw Data'!$T$7:$T$3715)+SUMPRODUCT(--(ISNUMBER(SEARCH($A40,'Diags Raw Data'!$A$7:$A$3715))),--('Diags Raw Data'!$Q$7:$Q$3715&lt;&gt;"N/A"),'Diags Raw Data'!$U$7:$U$3715)</f>
        <v>0</v>
      </c>
      <c r="O40" s="363">
        <f t="shared" si="4"/>
        <v>0</v>
      </c>
      <c r="P40" s="326">
        <f>SUMIF('Diags Raw Data'!$A$7:$A$3715,"*"&amp;$A40&amp;"*",'Diags Raw Data'!$Z$7:$Z$3715)</f>
        <v>0</v>
      </c>
      <c r="Q40" s="327">
        <f>SUM(SUMIF('Diags Raw Data'!$A$7:$A$3715,"*"&amp;$A40&amp;"*",'Diags Raw Data'!$AA$7:$AA$3715),SUMIF('Diags Raw Data'!$A$7:$A$3715,"*"&amp;$A40&amp;"*",'Diags Raw Data'!$AB$7:$AB$3715))</f>
        <v>0</v>
      </c>
      <c r="R40" s="328">
        <f t="shared" si="5"/>
        <v>0</v>
      </c>
      <c r="S40" s="328">
        <f t="shared" si="6"/>
        <v>0</v>
      </c>
      <c r="T40" s="329">
        <f t="shared" si="7"/>
        <v>0</v>
      </c>
      <c r="U40" s="366"/>
    </row>
    <row r="41" spans="1:25" ht="15" thickBot="1" x14ac:dyDescent="0.4">
      <c r="A41" s="447" t="s">
        <v>573</v>
      </c>
      <c r="B41" s="480" t="str">
        <f>VLOOKUP(A41,'Feature Raw Data'!$A$3:$B$3934,2,FALSE)</f>
        <v>SRAM: Legacy SRBM MMIO</v>
      </c>
      <c r="C41" s="447" t="str">
        <f>VLOOKUP(A41,'Feature Raw Data'!$A$3:$C$4163,3,FALSE)</f>
        <v>P3</v>
      </c>
      <c r="D41" s="451" t="str" cm="1">
        <f t="array" ref="D41">_xlfn.TEXTJOIN("",TRUE,IF(ISNUMBER(SEARCH($A41,'Diags Raw Data'!$A$7:$A$4094)),CONCATENATE('Diags Raw Data'!$H$7:$H$4094,", "),""))</f>
        <v/>
      </c>
      <c r="E41" s="261" t="e">
        <f>VLOOKUP(A41,'Diags Raw Data'!$A$7:$D$3715,4,FALSE)</f>
        <v>#N/A</v>
      </c>
      <c r="F41" s="261" t="str">
        <f>VLOOKUP(A41,'Feature Raw Data'!$A$3:$E$3783,5,FALSE)</f>
        <v>Legacy</v>
      </c>
      <c r="G41" s="261" t="s">
        <v>31</v>
      </c>
      <c r="H41" s="261" t="s">
        <v>36</v>
      </c>
      <c r="I41" s="260">
        <f>SUMIF('Diags Raw Data'!$A$7:$A$3715,"*"&amp;$A41&amp;"*",'Diags Raw Data'!$K$7:$K$3715)</f>
        <v>0</v>
      </c>
      <c r="J41" s="262">
        <f>SUMIF('Diags Raw Data'!$A$7:$A$3715,"*"&amp;$A41&amp;"*",'Diags Raw Data'!$L$7:$L$3715)</f>
        <v>0</v>
      </c>
      <c r="K41" s="322" cm="1">
        <f t="array" ref="K41">IF(D41="",0, SUMPRODUCT(--(ISNUMBER(SEARCH($A41,'Diags Raw Data'!$A$7:$A$3715))),'Diags Raw Data'!$L$7:$L$3715,'Diags Raw Data'!$N$7:$N$3715)/J41)</f>
        <v>0</v>
      </c>
      <c r="L41" s="323" cm="1">
        <f t="array" ref="L41">IF(D41="",0, SUMPRODUCT(--(ISNUMBER(SEARCH($A41,'Diags Raw Data'!$A$7:$A$3715))),'Diags Raw Data'!$L$7:$L$3715,'Diags Raw Data'!$P$7:$P$3715)/J41)</f>
        <v>0</v>
      </c>
      <c r="M41" s="324" cm="1">
        <f t="array" ref="M41">SUMPRODUCT(--(ISNUMBER(SEARCH($A41,'Diags Raw Data'!$A$7:$A$3715))),--('Diags Raw Data'!$Q$7:$Q$3715&lt;&gt;"N/A"),'Diags Raw Data'!$R$7:$R$3715)</f>
        <v>0</v>
      </c>
      <c r="N41" s="325" cm="1">
        <f t="array" ref="N41">SUMPRODUCT(--(ISNUMBER(SEARCH($A41,'Diags Raw Data'!$A$7:$A$3715))),--('Diags Raw Data'!$Q$7:$Q$3715&lt;&gt;"N/A"),'Diags Raw Data'!$T$7:$T$3715)+SUMPRODUCT(--(ISNUMBER(SEARCH($A41,'Diags Raw Data'!$A$7:$A$3715))),--('Diags Raw Data'!$Q$7:$Q$3715&lt;&gt;"N/A"),'Diags Raw Data'!$U$7:$U$3715)</f>
        <v>0</v>
      </c>
      <c r="O41" s="363">
        <f t="shared" si="4"/>
        <v>0</v>
      </c>
      <c r="P41" s="326">
        <f>SUMIF('Diags Raw Data'!$A$7:$A$3715,"*"&amp;$A41&amp;"*",'Diags Raw Data'!$Z$7:$Z$3715)</f>
        <v>0</v>
      </c>
      <c r="Q41" s="327">
        <f>SUM(SUMIF('Diags Raw Data'!$A$7:$A$3715,"*"&amp;$A41&amp;"*",'Diags Raw Data'!$AA$7:$AA$3715),SUMIF('Diags Raw Data'!$A$7:$A$3715,"*"&amp;$A41&amp;"*",'Diags Raw Data'!$AB$7:$AB$3715))</f>
        <v>0</v>
      </c>
      <c r="R41" s="328">
        <f t="shared" si="5"/>
        <v>0</v>
      </c>
      <c r="S41" s="328">
        <f t="shared" si="6"/>
        <v>0</v>
      </c>
      <c r="T41" s="329">
        <f t="shared" si="7"/>
        <v>0</v>
      </c>
      <c r="U41" s="366" t="s">
        <v>685</v>
      </c>
    </row>
    <row r="42" spans="1:25" ht="15" thickBot="1" x14ac:dyDescent="0.4">
      <c r="A42" s="447" t="s">
        <v>400</v>
      </c>
      <c r="B42" s="480" t="str">
        <f>VLOOKUP(A42,'Feature Raw Data'!$A$3:$B$3934,2,FALSE)</f>
        <v>MMHUB TLB Mapping</v>
      </c>
      <c r="C42" s="447" t="str">
        <f>VLOOKUP(A42,'Feature Raw Data'!$A$3:$C$4163,3,FALSE)</f>
        <v>P1</v>
      </c>
      <c r="D42" s="451" t="str" cm="1">
        <f t="array" ref="D42">_xlfn.TEXTJOIN("",TRUE,IF(ISNUMBER(SEARCH($A42,'Diags Raw Data'!$A$7:$A$4094)),CONCATENATE('Diags Raw Data'!$H$7:$H$4094,", "),""))</f>
        <v xml:space="preserve">PM80.12.4, </v>
      </c>
      <c r="E42" s="261" t="str">
        <f>VLOOKUP(A42,'Diags Raw Data'!$A$7:$D$3715,4,FALSE)</f>
        <v>MP1</v>
      </c>
      <c r="F42" s="261" t="str">
        <f>VLOOKUP(A42,'Feature Raw Data'!$A$3:$E$3783,5,FALSE)</f>
        <v>Legacy</v>
      </c>
      <c r="G42" s="261" t="s">
        <v>31</v>
      </c>
      <c r="H42" s="261" t="s">
        <v>31</v>
      </c>
      <c r="I42" s="260">
        <f>SUMIF('Diags Raw Data'!$A$7:$A$3715,"*"&amp;$A42&amp;"*",'Diags Raw Data'!$K$7:$K$3715)</f>
        <v>1</v>
      </c>
      <c r="J42" s="262">
        <f>SUMIF('Diags Raw Data'!$A$7:$A$3715,"*"&amp;$A42&amp;"*",'Diags Raw Data'!$L$7:$L$3715)</f>
        <v>1</v>
      </c>
      <c r="K42" s="322" cm="1">
        <f t="array" ref="K42">IF(D42="",0, SUMPRODUCT(--(ISNUMBER(SEARCH($A42,'Diags Raw Data'!$A$7:$A$3715))),'Diags Raw Data'!$L$7:$L$3715,'Diags Raw Data'!$N$7:$N$3715)/J42)</f>
        <v>1</v>
      </c>
      <c r="L42" s="323" cm="1">
        <f t="array" ref="L42">IF(D42="",0, SUMPRODUCT(--(ISNUMBER(SEARCH($A42,'Diags Raw Data'!$A$7:$A$3715))),'Diags Raw Data'!$L$7:$L$3715,'Diags Raw Data'!$P$7:$P$3715)/J42)</f>
        <v>0.8</v>
      </c>
      <c r="M42" s="324" cm="1">
        <f t="array" ref="M42">SUMPRODUCT(--(ISNUMBER(SEARCH($A42,'Diags Raw Data'!$A$7:$A$3715))),--('Diags Raw Data'!$Q$7:$Q$3715&lt;&gt;"N/A"),'Diags Raw Data'!$R$7:$R$3715)</f>
        <v>1</v>
      </c>
      <c r="N42" s="325" cm="1">
        <f t="array" ref="N42">SUMPRODUCT(--(ISNUMBER(SEARCH($A42,'Diags Raw Data'!$A$7:$A$3715))),--('Diags Raw Data'!$Q$7:$Q$3715&lt;&gt;"N/A"),'Diags Raw Data'!$T$7:$T$3715)+SUMPRODUCT(--(ISNUMBER(SEARCH($A42,'Diags Raw Data'!$A$7:$A$3715))),--('Diags Raw Data'!$Q$7:$Q$3715&lt;&gt;"N/A"),'Diags Raw Data'!$U$7:$U$3715)</f>
        <v>0</v>
      </c>
      <c r="O42" s="363">
        <f t="shared" si="4"/>
        <v>0</v>
      </c>
      <c r="P42" s="326">
        <f>SUMIF('Diags Raw Data'!$A$7:$A$3715,"*"&amp;$A42&amp;"*",'Diags Raw Data'!$Z$7:$Z$3715)</f>
        <v>0</v>
      </c>
      <c r="Q42" s="327">
        <f>SUM(SUMIF('Diags Raw Data'!$A$7:$A$3715,"*"&amp;$A42&amp;"*",'Diags Raw Data'!$AA$7:$AA$3715),SUMIF('Diags Raw Data'!$A$7:$A$3715,"*"&amp;$A42&amp;"*",'Diags Raw Data'!$AB$7:$AB$3715))</f>
        <v>0</v>
      </c>
      <c r="R42" s="328">
        <f t="shared" si="5"/>
        <v>0</v>
      </c>
      <c r="S42" s="328">
        <f t="shared" si="6"/>
        <v>0</v>
      </c>
      <c r="T42" s="329">
        <f t="shared" si="7"/>
        <v>0</v>
      </c>
      <c r="U42" s="366" t="s">
        <v>349</v>
      </c>
    </row>
    <row r="43" spans="1:25" ht="15" thickBot="1" x14ac:dyDescent="0.4">
      <c r="A43" s="490" t="s">
        <v>576</v>
      </c>
      <c r="B43" s="480" t="str">
        <f>VLOOKUP(A43,'Feature Raw Data'!$A$3:$B$3934,2,FALSE)</f>
        <v>ROM/PIN Strap Distribution</v>
      </c>
      <c r="C43" s="447" t="str">
        <f>VLOOKUP(A43,'Feature Raw Data'!$A$3:$C$4163,3,FALSE)</f>
        <v>P3</v>
      </c>
      <c r="D43" s="451" t="str" cm="1">
        <f t="array" ref="D43">_xlfn.TEXTJOIN("",TRUE,IF(ISNUMBER(SEARCH($A43,'Diags Raw Data'!$A$7:$A$4094)),CONCATENATE('Diags Raw Data'!$H$7:$H$4094,", "),""))</f>
        <v/>
      </c>
      <c r="E43" s="261" t="e">
        <f>VLOOKUP(A43,'Diags Raw Data'!$A$7:$D$3715,4,FALSE)</f>
        <v>#N/A</v>
      </c>
      <c r="F43" s="261" t="str">
        <f>VLOOKUP(A43,'Feature Raw Data'!$A$3:$E$3783,5,FALSE)</f>
        <v>Legacy</v>
      </c>
      <c r="G43" s="261" t="s">
        <v>31</v>
      </c>
      <c r="H43" s="261" t="s">
        <v>36</v>
      </c>
      <c r="I43" s="260">
        <f>SUMIF('Diags Raw Data'!$A$7:$A$3715,"*"&amp;$A43&amp;"*",'Diags Raw Data'!$K$7:$K$3715)</f>
        <v>0</v>
      </c>
      <c r="J43" s="262">
        <f>SUMIF('Diags Raw Data'!$A$7:$A$3715,"*"&amp;$A43&amp;"*",'Diags Raw Data'!$L$7:$L$3715)</f>
        <v>0</v>
      </c>
      <c r="K43" s="322" cm="1">
        <f t="array" ref="K43">IF(D43="",0, SUMPRODUCT(--(ISNUMBER(SEARCH($A43,'Diags Raw Data'!$A$7:$A$3715))),'Diags Raw Data'!$L$7:$L$3715,'Diags Raw Data'!$N$7:$N$3715)/J43)</f>
        <v>0</v>
      </c>
      <c r="L43" s="323" cm="1">
        <f t="array" ref="L43">IF(D43="",0, SUMPRODUCT(--(ISNUMBER(SEARCH($A43,'Diags Raw Data'!$A$7:$A$3715))),'Diags Raw Data'!$L$7:$L$3715,'Diags Raw Data'!$P$7:$P$3715)/J43)</f>
        <v>0</v>
      </c>
      <c r="M43" s="324" cm="1">
        <f t="array" ref="M43">SUMPRODUCT(--(ISNUMBER(SEARCH($A43,'Diags Raw Data'!$A$7:$A$3715))),--('Diags Raw Data'!$Q$7:$Q$3715&lt;&gt;"N/A"),'Diags Raw Data'!$R$7:$R$3715)</f>
        <v>0</v>
      </c>
      <c r="N43" s="325" cm="1">
        <f t="array" ref="N43">SUMPRODUCT(--(ISNUMBER(SEARCH($A43,'Diags Raw Data'!$A$7:$A$3715))),--('Diags Raw Data'!$Q$7:$Q$3715&lt;&gt;"N/A"),'Diags Raw Data'!$T$7:$T$3715)+SUMPRODUCT(--(ISNUMBER(SEARCH($A43,'Diags Raw Data'!$A$7:$A$3715))),--('Diags Raw Data'!$Q$7:$Q$3715&lt;&gt;"N/A"),'Diags Raw Data'!$U$7:$U$3715)</f>
        <v>0</v>
      </c>
      <c r="O43" s="363">
        <f t="shared" si="4"/>
        <v>0</v>
      </c>
      <c r="P43" s="326">
        <f>SUMIF('Diags Raw Data'!$A$7:$A$3715,"*"&amp;$A43&amp;"*",'Diags Raw Data'!$Z$7:$Z$3715)</f>
        <v>0</v>
      </c>
      <c r="Q43" s="327">
        <f>SUM(SUMIF('Diags Raw Data'!$A$7:$A$3715,"*"&amp;$A43&amp;"*",'Diags Raw Data'!$AA$7:$AA$3715),SUMIF('Diags Raw Data'!$A$7:$A$3715,"*"&amp;$A43&amp;"*",'Diags Raw Data'!$AB$7:$AB$3715))</f>
        <v>0</v>
      </c>
      <c r="R43" s="328">
        <f t="shared" si="5"/>
        <v>0</v>
      </c>
      <c r="S43" s="328">
        <f t="shared" si="6"/>
        <v>0</v>
      </c>
      <c r="T43" s="329">
        <f t="shared" si="7"/>
        <v>0</v>
      </c>
      <c r="U43" s="366"/>
    </row>
    <row r="44" spans="1:25" ht="15" thickBot="1" x14ac:dyDescent="0.4">
      <c r="A44" s="447" t="s">
        <v>341</v>
      </c>
      <c r="B44" s="480" t="str">
        <f>VLOOKUP(A44,'Feature Raw Data'!$A$3:$B$3934,2,FALSE)</f>
        <v>AXI and Register Interface</v>
      </c>
      <c r="C44" s="447" t="str">
        <f>VLOOKUP(A44,'Feature Raw Data'!$A$3:$C$4163,3,FALSE)</f>
        <v>P1</v>
      </c>
      <c r="D44" s="451" t="str" cm="1">
        <f t="array" ref="D44">_xlfn.TEXTJOIN("",TRUE,IF(ISNUMBER(SEARCH($A44,'Diags Raw Data'!$A$7:$A$4094)),CONCATENATE('Diags Raw Data'!$H$7:$H$4094,", "),""))</f>
        <v xml:space="preserve">PM080.5, PM080.1, </v>
      </c>
      <c r="E44" s="261" t="str">
        <f>VLOOKUP(A44,'Diags Raw Data'!$A$7:$D$3715,4,FALSE)</f>
        <v>MP1</v>
      </c>
      <c r="F44" s="261" t="str">
        <f>VLOOKUP(A44,'Feature Raw Data'!$A$3:$E$3783,5,FALSE)</f>
        <v>Legacy</v>
      </c>
      <c r="G44" s="261" t="s">
        <v>31</v>
      </c>
      <c r="H44" s="261" t="s">
        <v>31</v>
      </c>
      <c r="I44" s="260">
        <f>SUMIF('Diags Raw Data'!$A$7:$A$3715,"*"&amp;$A44&amp;"*",'Diags Raw Data'!$K$7:$K$3715)</f>
        <v>2</v>
      </c>
      <c r="J44" s="262">
        <f>SUMIF('Diags Raw Data'!$A$7:$A$3715,"*"&amp;$A44&amp;"*",'Diags Raw Data'!$L$7:$L$3715)</f>
        <v>2</v>
      </c>
      <c r="K44" s="322" cm="1">
        <f t="array" ref="K44">IF(D44="",0, SUMPRODUCT(--(ISNUMBER(SEARCH($A44,'Diags Raw Data'!$A$7:$A$3715))),'Diags Raw Data'!$L$7:$L$3715,'Diags Raw Data'!$N$7:$N$3715)/J44)</f>
        <v>1</v>
      </c>
      <c r="L44" s="323" cm="1">
        <f t="array" ref="L44">IF(D44="",0, SUMPRODUCT(--(ISNUMBER(SEARCH($A44,'Diags Raw Data'!$A$7:$A$3715))),'Diags Raw Data'!$L$7:$L$3715,'Diags Raw Data'!$P$7:$P$3715)/J44)</f>
        <v>1</v>
      </c>
      <c r="M44" s="324" cm="1">
        <f t="array" ref="M44">SUMPRODUCT(--(ISNUMBER(SEARCH($A44,'Diags Raw Data'!$A$7:$A$3715))),--('Diags Raw Data'!$Q$7:$Q$3715&lt;&gt;"N/A"),'Diags Raw Data'!$R$7:$R$3715)</f>
        <v>2</v>
      </c>
      <c r="N44" s="325" cm="1">
        <f t="array" ref="N44">SUMPRODUCT(--(ISNUMBER(SEARCH($A44,'Diags Raw Data'!$A$7:$A$3715))),--('Diags Raw Data'!$Q$7:$Q$3715&lt;&gt;"N/A"),'Diags Raw Data'!$T$7:$T$3715)+SUMPRODUCT(--(ISNUMBER(SEARCH($A44,'Diags Raw Data'!$A$7:$A$3715))),--('Diags Raw Data'!$Q$7:$Q$3715&lt;&gt;"N/A"),'Diags Raw Data'!$U$7:$U$3715)</f>
        <v>2</v>
      </c>
      <c r="O44" s="363">
        <f t="shared" si="4"/>
        <v>1</v>
      </c>
      <c r="P44" s="326">
        <f>SUMIF('Diags Raw Data'!$A$7:$A$3715,"*"&amp;$A44&amp;"*",'Diags Raw Data'!$Z$7:$Z$3715)</f>
        <v>0</v>
      </c>
      <c r="Q44" s="327">
        <f>SUM(SUMIF('Diags Raw Data'!$A$7:$A$3715,"*"&amp;$A44&amp;"*",'Diags Raw Data'!$AA$7:$AA$3715),SUMIF('Diags Raw Data'!$A$7:$A$3715,"*"&amp;$A44&amp;"*",'Diags Raw Data'!$AB$7:$AB$3715))</f>
        <v>0</v>
      </c>
      <c r="R44" s="328">
        <f t="shared" si="5"/>
        <v>0</v>
      </c>
      <c r="S44" s="328">
        <f t="shared" si="6"/>
        <v>0</v>
      </c>
      <c r="T44" s="329">
        <f t="shared" si="7"/>
        <v>0</v>
      </c>
      <c r="U44" s="366" t="s">
        <v>685</v>
      </c>
    </row>
    <row r="45" spans="1:25" ht="15" thickBot="1" x14ac:dyDescent="0.4">
      <c r="A45" s="447" t="s">
        <v>432</v>
      </c>
      <c r="B45" s="480" t="str">
        <f>VLOOKUP(A45,'Feature Raw Data'!$A$3:$B$3934,2,FALSE)</f>
        <v>Check inbout/outbound register access</v>
      </c>
      <c r="C45" s="447" t="str">
        <f>VLOOKUP(A45,'Feature Raw Data'!$A$3:$C$4163,3,FALSE)</f>
        <v>P1</v>
      </c>
      <c r="D45" s="451" t="str" cm="1">
        <f t="array" ref="D45">_xlfn.TEXTJOIN("",TRUE,IF(ISNUMBER(SEARCH($A45,'Diags Raw Data'!$A$7:$A$4094)),CONCATENATE('Diags Raw Data'!$H$7:$H$4094,", "),""))</f>
        <v xml:space="preserve">PM80.5, </v>
      </c>
      <c r="E45" s="261" t="str">
        <f>VLOOKUP(A45,'Diags Raw Data'!$A$7:$D$3715,4,FALSE)</f>
        <v>MP1</v>
      </c>
      <c r="F45" s="261" t="str">
        <f>VLOOKUP(A45,'Feature Raw Data'!$A$3:$E$3783,5,FALSE)</f>
        <v>Legacy</v>
      </c>
      <c r="G45" s="261" t="s">
        <v>31</v>
      </c>
      <c r="H45" s="261" t="s">
        <v>31</v>
      </c>
      <c r="I45" s="260">
        <f>SUMIF('Diags Raw Data'!$A$7:$A$3715,"*"&amp;$A45&amp;"*",'Diags Raw Data'!$K$7:$K$3715)</f>
        <v>1</v>
      </c>
      <c r="J45" s="262">
        <f>SUMIF('Diags Raw Data'!$A$7:$A$3715,"*"&amp;$A45&amp;"*",'Diags Raw Data'!$L$7:$L$3715)</f>
        <v>1</v>
      </c>
      <c r="K45" s="322" cm="1">
        <f t="array" ref="K45">IF(D45="",0, SUMPRODUCT(--(ISNUMBER(SEARCH($A45,'Diags Raw Data'!$A$7:$A$3715))),'Diags Raw Data'!$L$7:$L$3715,'Diags Raw Data'!$N$7:$N$3715)/J45)</f>
        <v>1</v>
      </c>
      <c r="L45" s="323" cm="1">
        <f t="array" ref="L45">IF(D45="",0, SUMPRODUCT(--(ISNUMBER(SEARCH($A45,'Diags Raw Data'!$A$7:$A$3715))),'Diags Raw Data'!$L$7:$L$3715,'Diags Raw Data'!$P$7:$P$3715)/J45)</f>
        <v>1</v>
      </c>
      <c r="M45" s="324" cm="1">
        <f t="array" ref="M45">SUMPRODUCT(--(ISNUMBER(SEARCH($A45,'Diags Raw Data'!$A$7:$A$3715))),--('Diags Raw Data'!$Q$7:$Q$3715&lt;&gt;"N/A"),'Diags Raw Data'!$R$7:$R$3715)</f>
        <v>1</v>
      </c>
      <c r="N45" s="325" cm="1">
        <f t="array" ref="N45">SUMPRODUCT(--(ISNUMBER(SEARCH($A45,'Diags Raw Data'!$A$7:$A$3715))),--('Diags Raw Data'!$Q$7:$Q$3715&lt;&gt;"N/A"),'Diags Raw Data'!$T$7:$T$3715)+SUMPRODUCT(--(ISNUMBER(SEARCH($A45,'Diags Raw Data'!$A$7:$A$3715))),--('Diags Raw Data'!$Q$7:$Q$3715&lt;&gt;"N/A"),'Diags Raw Data'!$U$7:$U$3715)</f>
        <v>1</v>
      </c>
      <c r="O45" s="363">
        <f t="shared" si="4"/>
        <v>1</v>
      </c>
      <c r="P45" s="326">
        <f>SUMIF('Diags Raw Data'!$A$7:$A$3715,"*"&amp;$A45&amp;"*",'Diags Raw Data'!$Z$7:$Z$3715)</f>
        <v>0</v>
      </c>
      <c r="Q45" s="327">
        <f>SUM(SUMIF('Diags Raw Data'!$A$7:$A$3715,"*"&amp;$A45&amp;"*",'Diags Raw Data'!$AA$7:$AA$3715),SUMIF('Diags Raw Data'!$A$7:$A$3715,"*"&amp;$A45&amp;"*",'Diags Raw Data'!$AB$7:$AB$3715))</f>
        <v>0</v>
      </c>
      <c r="R45" s="328">
        <f t="shared" si="5"/>
        <v>0</v>
      </c>
      <c r="S45" s="328">
        <f t="shared" si="6"/>
        <v>0</v>
      </c>
      <c r="T45" s="329">
        <f t="shared" si="7"/>
        <v>0</v>
      </c>
      <c r="U45" s="366" t="s">
        <v>685</v>
      </c>
    </row>
    <row r="46" spans="1:25" ht="15" thickBot="1" x14ac:dyDescent="0.4">
      <c r="A46" s="490" t="s">
        <v>580</v>
      </c>
      <c r="B46" s="480" t="str">
        <f>VLOOKUP(A46,'Feature Raw Data'!$A$3:$B$3934,2,FALSE)</f>
        <v>Check registers for Hard/Cold/Soft reset</v>
      </c>
      <c r="C46" s="447" t="str">
        <f>VLOOKUP(A46,'Feature Raw Data'!$A$3:$C$4163,3,FALSE)</f>
        <v>P3</v>
      </c>
      <c r="D46" s="451" t="str" cm="1">
        <f t="array" ref="D46">_xlfn.TEXTJOIN("",TRUE,IF(ISNUMBER(SEARCH($A46,'Diags Raw Data'!$A$7:$A$4094)),CONCATENATE('Diags Raw Data'!$H$7:$H$4094,", "),""))</f>
        <v/>
      </c>
      <c r="E46" s="261" t="e">
        <f>VLOOKUP(A46,'Diags Raw Data'!$A$7:$D$3715,4,FALSE)</f>
        <v>#N/A</v>
      </c>
      <c r="F46" s="261" t="str">
        <f>VLOOKUP(A46,'Feature Raw Data'!$A$3:$E$3783,5,FALSE)</f>
        <v>Legacy</v>
      </c>
      <c r="G46" s="261" t="s">
        <v>31</v>
      </c>
      <c r="H46" s="261" t="s">
        <v>36</v>
      </c>
      <c r="I46" s="260">
        <f>SUMIF('Diags Raw Data'!$A$7:$A$3715,"*"&amp;$A46&amp;"*",'Diags Raw Data'!$K$7:$K$3715)</f>
        <v>0</v>
      </c>
      <c r="J46" s="262">
        <f>SUMIF('Diags Raw Data'!$A$7:$A$3715,"*"&amp;$A46&amp;"*",'Diags Raw Data'!$L$7:$L$3715)</f>
        <v>0</v>
      </c>
      <c r="K46" s="322" cm="1">
        <f t="array" ref="K46">IF(D46="",0, SUMPRODUCT(--(ISNUMBER(SEARCH($A46,'Diags Raw Data'!$A$7:$A$3715))),'Diags Raw Data'!$L$7:$L$3715,'Diags Raw Data'!$N$7:$N$3715)/J46)</f>
        <v>0</v>
      </c>
      <c r="L46" s="323" cm="1">
        <f t="array" ref="L46">IF(D46="",0, SUMPRODUCT(--(ISNUMBER(SEARCH($A46,'Diags Raw Data'!$A$7:$A$3715))),'Diags Raw Data'!$L$7:$L$3715,'Diags Raw Data'!$P$7:$P$3715)/J46)</f>
        <v>0</v>
      </c>
      <c r="M46" s="324" cm="1">
        <f t="array" ref="M46">SUMPRODUCT(--(ISNUMBER(SEARCH($A46,'Diags Raw Data'!$A$7:$A$3715))),--('Diags Raw Data'!$Q$7:$Q$3715&lt;&gt;"N/A"),'Diags Raw Data'!$R$7:$R$3715)</f>
        <v>0</v>
      </c>
      <c r="N46" s="325" cm="1">
        <f t="array" ref="N46">SUMPRODUCT(--(ISNUMBER(SEARCH($A46,'Diags Raw Data'!$A$7:$A$3715))),--('Diags Raw Data'!$Q$7:$Q$3715&lt;&gt;"N/A"),'Diags Raw Data'!$T$7:$T$3715)+SUMPRODUCT(--(ISNUMBER(SEARCH($A46,'Diags Raw Data'!$A$7:$A$3715))),--('Diags Raw Data'!$Q$7:$Q$3715&lt;&gt;"N/A"),'Diags Raw Data'!$U$7:$U$3715)</f>
        <v>0</v>
      </c>
      <c r="O46" s="363">
        <f t="shared" si="4"/>
        <v>0</v>
      </c>
      <c r="P46" s="326">
        <f>SUMIF('Diags Raw Data'!$A$7:$A$3715,"*"&amp;$A46&amp;"*",'Diags Raw Data'!$Z$7:$Z$3715)</f>
        <v>0</v>
      </c>
      <c r="Q46" s="327">
        <f>SUM(SUMIF('Diags Raw Data'!$A$7:$A$3715,"*"&amp;$A46&amp;"*",'Diags Raw Data'!$AA$7:$AA$3715),SUMIF('Diags Raw Data'!$A$7:$A$3715,"*"&amp;$A46&amp;"*",'Diags Raw Data'!$AB$7:$AB$3715))</f>
        <v>0</v>
      </c>
      <c r="R46" s="328">
        <f t="shared" si="5"/>
        <v>0</v>
      </c>
      <c r="S46" s="328">
        <f t="shared" si="6"/>
        <v>0</v>
      </c>
      <c r="T46" s="329">
        <f t="shared" si="7"/>
        <v>0</v>
      </c>
      <c r="U46" s="366"/>
    </row>
    <row r="47" spans="1:25" ht="15" thickBot="1" x14ac:dyDescent="0.4">
      <c r="A47" s="447" t="s">
        <v>268</v>
      </c>
      <c r="B47" s="480" t="str">
        <f>VLOOKUP(A47,'Feature Raw Data'!$A$3:$B$3934,2,FALSE)</f>
        <v>DPM Signal</v>
      </c>
      <c r="C47" s="447" t="str">
        <f>VLOOKUP(A47,'Feature Raw Data'!$A$3:$C$4163,3,FALSE)</f>
        <v>P1</v>
      </c>
      <c r="D47" s="451" t="str" cm="1">
        <f t="array" ref="D47">_xlfn.TEXTJOIN("",TRUE,IF(ISNUMBER(SEARCH($A47,'Diags Raw Data'!$A$7:$A$4094)),CONCATENATE('Diags Raw Data'!$H$7:$H$4094,", "),""))</f>
        <v xml:space="preserve">PM80.12.1, PM20.1, PM25.2-4, </v>
      </c>
      <c r="E47" s="261" t="str">
        <f>VLOOKUP(A47,'Diags Raw Data'!$A$7:$D$3715,4,FALSE)</f>
        <v>CLK</v>
      </c>
      <c r="F47" s="261" t="str">
        <f>VLOOKUP(A47,'Feature Raw Data'!$A$3:$E$3783,5,FALSE)</f>
        <v>Delta</v>
      </c>
      <c r="G47" s="261" t="s">
        <v>31</v>
      </c>
      <c r="H47" s="261" t="s">
        <v>31</v>
      </c>
      <c r="I47" s="260">
        <v>5</v>
      </c>
      <c r="J47" s="262">
        <v>5</v>
      </c>
      <c r="K47" s="322" cm="1">
        <f t="array" ref="K47">IF(D47="",0, SUMPRODUCT(--(ISNUMBER(SEARCH($A47,'Diags Raw Data'!$A$7:$A$3715))),'Diags Raw Data'!$L$7:$L$3715,'Diags Raw Data'!$N$7:$N$3715)/J47)</f>
        <v>0.6</v>
      </c>
      <c r="L47" s="323" cm="1">
        <f t="array" ref="L47">IF(D47="",0, SUMPRODUCT(--(ISNUMBER(SEARCH($A47,'Diags Raw Data'!$A$7:$A$3715))),'Diags Raw Data'!$L$7:$L$3715,'Diags Raw Data'!$P$7:$P$3715)/J47)</f>
        <v>0.36</v>
      </c>
      <c r="M47" s="324" cm="1">
        <f t="array" ref="M47">SUMPRODUCT(--(ISNUMBER(SEARCH($A47,'Diags Raw Data'!$A$7:$A$3715))),--('Diags Raw Data'!$Q$7:$Q$3715&lt;&gt;"N/A"),'Diags Raw Data'!$R$7:$R$3715)</f>
        <v>3</v>
      </c>
      <c r="N47" s="325" cm="1">
        <f t="array" ref="N47">SUMPRODUCT(--(ISNUMBER(SEARCH($A47,'Diags Raw Data'!$A$7:$A$3715))),--('Diags Raw Data'!$Q$7:$Q$3715&lt;&gt;"N/A"),'Diags Raw Data'!$T$7:$T$3715)+SUMPRODUCT(--(ISNUMBER(SEARCH($A47,'Diags Raw Data'!$A$7:$A$3715))),--('Diags Raw Data'!$Q$7:$Q$3715&lt;&gt;"N/A"),'Diags Raw Data'!$U$7:$U$3715)</f>
        <v>0</v>
      </c>
      <c r="O47" s="363">
        <f t="shared" si="4"/>
        <v>0</v>
      </c>
      <c r="P47" s="326">
        <f>SUMIF('Diags Raw Data'!$A$7:$A$3715,"*"&amp;$A47&amp;"*",'Diags Raw Data'!$Z$7:$Z$3715)</f>
        <v>0</v>
      </c>
      <c r="Q47" s="327">
        <f>SUM(SUMIF('Diags Raw Data'!$A$7:$A$3715,"*"&amp;$A47&amp;"*",'Diags Raw Data'!$AA$7:$AA$3715),SUMIF('Diags Raw Data'!$A$7:$A$3715,"*"&amp;$A47&amp;"*",'Diags Raw Data'!$AB$7:$AB$3715))</f>
        <v>0</v>
      </c>
      <c r="R47" s="328">
        <f t="shared" si="5"/>
        <v>0</v>
      </c>
      <c r="S47" s="328">
        <f t="shared" si="6"/>
        <v>0</v>
      </c>
      <c r="T47" s="329">
        <f t="shared" si="7"/>
        <v>0</v>
      </c>
      <c r="U47" s="366" t="s">
        <v>682</v>
      </c>
    </row>
    <row r="48" spans="1:25" ht="15" thickBot="1" x14ac:dyDescent="0.4">
      <c r="A48" s="447" t="s">
        <v>583</v>
      </c>
      <c r="B48" s="480" t="str">
        <f>VLOOKUP(A48,'Feature Raw Data'!$A$3:$B$3934,2,FALSE)</f>
        <v>Residency Counter</v>
      </c>
      <c r="C48" s="447" t="str">
        <f>VLOOKUP(A48,'Feature Raw Data'!$A$3:$C$4163,3,FALSE)</f>
        <v>P3</v>
      </c>
      <c r="D48" s="451" t="str" cm="1">
        <f t="array" ref="D48">_xlfn.TEXTJOIN("",TRUE,IF(ISNUMBER(SEARCH($A48,'Diags Raw Data'!$A$7:$A$4094)),CONCATENATE('Diags Raw Data'!$H$7:$H$4094,", "),""))</f>
        <v/>
      </c>
      <c r="E48" s="261" t="e">
        <f>VLOOKUP(A48,'Diags Raw Data'!$A$7:$D$3715,4,FALSE)</f>
        <v>#N/A</v>
      </c>
      <c r="F48" s="261" t="str">
        <f>VLOOKUP(A48,'Feature Raw Data'!$A$3:$E$3783,5,FALSE)</f>
        <v>Legacy</v>
      </c>
      <c r="G48" s="261" t="s">
        <v>31</v>
      </c>
      <c r="H48" s="457" t="s">
        <v>36</v>
      </c>
      <c r="I48" s="260">
        <f>SUMIF('Diags Raw Data'!$A$7:$A$3715,"*"&amp;$A48&amp;"*",'Diags Raw Data'!$K$7:$K$3715)</f>
        <v>0</v>
      </c>
      <c r="J48" s="262">
        <f>SUMIF('Diags Raw Data'!$A$7:$A$3715,"*"&amp;$A48&amp;"*",'Diags Raw Data'!$L$7:$L$3715)</f>
        <v>0</v>
      </c>
      <c r="K48" s="322" cm="1">
        <f t="array" ref="K48">IF(D48="",0, SUMPRODUCT(--(ISNUMBER(SEARCH($A48,'Diags Raw Data'!$A$7:$A$3715))),'Diags Raw Data'!$L$7:$L$3715,'Diags Raw Data'!$N$7:$N$3715)/J48)</f>
        <v>0</v>
      </c>
      <c r="L48" s="323" cm="1">
        <f t="array" ref="L48">IF(D48="",0, SUMPRODUCT(--(ISNUMBER(SEARCH($A48,'Diags Raw Data'!$A$7:$A$3715))),'Diags Raw Data'!$L$7:$L$3715,'Diags Raw Data'!$P$7:$P$3715)/J48)</f>
        <v>0</v>
      </c>
      <c r="M48" s="324" cm="1">
        <f t="array" ref="M48">SUMPRODUCT(--(ISNUMBER(SEARCH($A48,'Diags Raw Data'!$A$7:$A$3715))),--('Diags Raw Data'!$Q$7:$Q$3715&lt;&gt;"N/A"),'Diags Raw Data'!$R$7:$R$3715)</f>
        <v>0</v>
      </c>
      <c r="N48" s="325" cm="1">
        <f t="array" ref="N48">SUMPRODUCT(--(ISNUMBER(SEARCH($A48,'Diags Raw Data'!$A$7:$A$3715))),--('Diags Raw Data'!$Q$7:$Q$3715&lt;&gt;"N/A"),'Diags Raw Data'!$T$7:$T$3715)+SUMPRODUCT(--(ISNUMBER(SEARCH($A48,'Diags Raw Data'!$A$7:$A$3715))),--('Diags Raw Data'!$Q$7:$Q$3715&lt;&gt;"N/A"),'Diags Raw Data'!$U$7:$U$3715)</f>
        <v>0</v>
      </c>
      <c r="O48" s="363">
        <f t="shared" si="4"/>
        <v>0</v>
      </c>
      <c r="P48" s="326">
        <f>SUMIF('Diags Raw Data'!$A$7:$A$3715,"*"&amp;$A48&amp;"*",'Diags Raw Data'!$Z$7:$Z$3715)</f>
        <v>0</v>
      </c>
      <c r="Q48" s="327">
        <f>SUM(SUMIF('Diags Raw Data'!$A$7:$A$3715,"*"&amp;$A48&amp;"*",'Diags Raw Data'!$AA$7:$AA$3715),SUMIF('Diags Raw Data'!$A$7:$A$3715,"*"&amp;$A48&amp;"*",'Diags Raw Data'!$AB$7:$AB$3715))</f>
        <v>0</v>
      </c>
      <c r="R48" s="328">
        <f t="shared" si="5"/>
        <v>0</v>
      </c>
      <c r="S48" s="328">
        <f t="shared" si="6"/>
        <v>0</v>
      </c>
      <c r="T48" s="329">
        <f t="shared" si="7"/>
        <v>0</v>
      </c>
      <c r="U48" s="366" t="s">
        <v>682</v>
      </c>
    </row>
    <row r="49" spans="1:25" ht="15" thickBot="1" x14ac:dyDescent="0.4">
      <c r="A49" s="447" t="s">
        <v>351</v>
      </c>
      <c r="B49" s="480" t="str">
        <f>VLOOKUP(A49,'Feature Raw Data'!$A$3:$B$3934,2,FALSE)</f>
        <v>RSMU TimeStamp Counter</v>
      </c>
      <c r="C49" s="447" t="str">
        <f>VLOOKUP(A49,'Feature Raw Data'!$A$3:$C$4163,3,FALSE)</f>
        <v>P2</v>
      </c>
      <c r="D49" s="451" t="str" cm="1">
        <f t="array" ref="D49">_xlfn.TEXTJOIN("",TRUE,IF(ISNUMBER(SEARCH($A49,'Diags Raw Data'!$A$7:$A$4094)),CONCATENATE('Diags Raw Data'!$H$7:$H$4094,", "),""))</f>
        <v xml:space="preserve">PM051.004, </v>
      </c>
      <c r="E49" s="261" t="str">
        <f>VLOOKUP(A49,'Diags Raw Data'!$A$7:$D$3715,4,FALSE)</f>
        <v>RSMU</v>
      </c>
      <c r="F49" s="261" t="str">
        <f>VLOOKUP(A49,'Feature Raw Data'!$A$3:$E$3783,5,FALSE)</f>
        <v>Delta</v>
      </c>
      <c r="G49" s="261" t="s">
        <v>31</v>
      </c>
      <c r="H49" s="670" t="s">
        <v>814</v>
      </c>
      <c r="I49" s="260">
        <f>SUMIF('Diags Raw Data'!$A$7:$A$3715,"*"&amp;$A49&amp;"*",'Diags Raw Data'!$K$7:$K$3715)</f>
        <v>1</v>
      </c>
      <c r="J49" s="262">
        <f>SUMIF('Diags Raw Data'!$A$7:$A$3715,"*"&amp;$A49&amp;"*",'Diags Raw Data'!$L$7:$L$3715)</f>
        <v>1</v>
      </c>
      <c r="K49" s="322" cm="1">
        <f t="array" ref="K49">IF(D49="",0, SUMPRODUCT(--(ISNUMBER(SEARCH($A49,'Diags Raw Data'!$A$7:$A$3715))),'Diags Raw Data'!$L$7:$L$3715,'Diags Raw Data'!$N$7:$N$3715)/J49)</f>
        <v>1</v>
      </c>
      <c r="L49" s="323" cm="1">
        <f t="array" ref="L49">IF(D49="",0, SUMPRODUCT(--(ISNUMBER(SEARCH($A49,'Diags Raw Data'!$A$7:$A$3715))),'Diags Raw Data'!$L$7:$L$3715,'Diags Raw Data'!$P$7:$P$3715)/J49)</f>
        <v>0.3</v>
      </c>
      <c r="M49" s="324" cm="1">
        <f t="array" ref="M49">SUMPRODUCT(--(ISNUMBER(SEARCH($A49,'Diags Raw Data'!$A$7:$A$3715))),--('Diags Raw Data'!$Q$7:$Q$3715&lt;&gt;"N/A"),'Diags Raw Data'!$R$7:$R$3715)</f>
        <v>1</v>
      </c>
      <c r="N49" s="325" cm="1">
        <f t="array" ref="N49">SUMPRODUCT(--(ISNUMBER(SEARCH($A49,'Diags Raw Data'!$A$7:$A$3715))),--('Diags Raw Data'!$Q$7:$Q$3715&lt;&gt;"N/A"),'Diags Raw Data'!$T$7:$T$3715)+SUMPRODUCT(--(ISNUMBER(SEARCH($A49,'Diags Raw Data'!$A$7:$A$3715))),--('Diags Raw Data'!$Q$7:$Q$3715&lt;&gt;"N/A"),'Diags Raw Data'!$U$7:$U$3715)</f>
        <v>0</v>
      </c>
      <c r="O49" s="363">
        <f t="shared" si="4"/>
        <v>0</v>
      </c>
      <c r="P49" s="326">
        <f>SUMIF('Diags Raw Data'!$A$7:$A$3715,"*"&amp;$A49&amp;"*",'Diags Raw Data'!$Z$7:$Z$3715)</f>
        <v>0</v>
      </c>
      <c r="Q49" s="327">
        <f>SUM(SUMIF('Diags Raw Data'!$A$7:$A$3715,"*"&amp;$A49&amp;"*",'Diags Raw Data'!$AA$7:$AA$3715),SUMIF('Diags Raw Data'!$A$7:$A$3715,"*"&amp;$A49&amp;"*",'Diags Raw Data'!$AB$7:$AB$3715))</f>
        <v>0</v>
      </c>
      <c r="R49" s="328">
        <f t="shared" si="5"/>
        <v>0</v>
      </c>
      <c r="S49" s="328">
        <f t="shared" si="6"/>
        <v>0</v>
      </c>
      <c r="T49" s="329">
        <f t="shared" si="7"/>
        <v>0</v>
      </c>
      <c r="U49" s="366"/>
      <c r="X49" s="167">
        <v>1</v>
      </c>
      <c r="Y49" s="167">
        <v>1</v>
      </c>
    </row>
    <row r="50" spans="1:25" ht="15" thickBot="1" x14ac:dyDescent="0.4">
      <c r="A50" s="447" t="s">
        <v>586</v>
      </c>
      <c r="B50" s="480" t="str">
        <f>VLOOKUP(A50,'Feature Raw Data'!$A$3:$B$3934,2,FALSE)</f>
        <v>Enable edge/level interrupt</v>
      </c>
      <c r="C50" s="447" t="str">
        <f>VLOOKUP(A50,'Feature Raw Data'!$A$3:$C$4163,3,FALSE)</f>
        <v>P3</v>
      </c>
      <c r="D50" s="451" t="str" cm="1">
        <f t="array" ref="D50">_xlfn.TEXTJOIN("",TRUE,IF(ISNUMBER(SEARCH($A50,'Diags Raw Data'!$A$7:$A$4094)),CONCATENATE('Diags Raw Data'!$H$7:$H$4094,", "),""))</f>
        <v/>
      </c>
      <c r="E50" s="261" t="e">
        <f>VLOOKUP(A50,'Diags Raw Data'!$A$7:$D$3715,4,FALSE)</f>
        <v>#N/A</v>
      </c>
      <c r="F50" s="261" t="str">
        <f>VLOOKUP(A50,'Feature Raw Data'!$A$3:$E$3783,5,FALSE)</f>
        <v>Legacy</v>
      </c>
      <c r="G50" s="261" t="s">
        <v>31</v>
      </c>
      <c r="H50" s="457" t="s">
        <v>36</v>
      </c>
      <c r="I50" s="260">
        <f>SUMIF('Diags Raw Data'!$A$7:$A$3715,"*"&amp;$A50&amp;"*",'Diags Raw Data'!$K$7:$K$3715)</f>
        <v>0</v>
      </c>
      <c r="J50" s="262">
        <f>SUMIF('Diags Raw Data'!$A$7:$A$3715,"*"&amp;$A50&amp;"*",'Diags Raw Data'!$L$7:$L$3715)</f>
        <v>0</v>
      </c>
      <c r="K50" s="322" cm="1">
        <f t="array" ref="K50">IF(D50="",0, SUMPRODUCT(--(ISNUMBER(SEARCH($A50,'Diags Raw Data'!$A$7:$A$3715))),'Diags Raw Data'!$L$7:$L$3715,'Diags Raw Data'!$N$7:$N$3715)/J50)</f>
        <v>0</v>
      </c>
      <c r="L50" s="323" cm="1">
        <f t="array" ref="L50">IF(D50="",0, SUMPRODUCT(--(ISNUMBER(SEARCH($A50,'Diags Raw Data'!$A$7:$A$3715))),'Diags Raw Data'!$L$7:$L$3715,'Diags Raw Data'!$P$7:$P$3715)/J50)</f>
        <v>0</v>
      </c>
      <c r="M50" s="324" cm="1">
        <f t="array" ref="M50">SUMPRODUCT(--(ISNUMBER(SEARCH($A50,'Diags Raw Data'!$A$7:$A$3715))),--('Diags Raw Data'!$Q$7:$Q$3715&lt;&gt;"N/A"),'Diags Raw Data'!$R$7:$R$3715)</f>
        <v>0</v>
      </c>
      <c r="N50" s="325" cm="1">
        <f t="array" ref="N50">SUMPRODUCT(--(ISNUMBER(SEARCH($A50,'Diags Raw Data'!$A$7:$A$3715))),--('Diags Raw Data'!$Q$7:$Q$3715&lt;&gt;"N/A"),'Diags Raw Data'!$T$7:$T$3715)+SUMPRODUCT(--(ISNUMBER(SEARCH($A50,'Diags Raw Data'!$A$7:$A$3715))),--('Diags Raw Data'!$Q$7:$Q$3715&lt;&gt;"N/A"),'Diags Raw Data'!$U$7:$U$3715)</f>
        <v>0</v>
      </c>
      <c r="O50" s="363">
        <f t="shared" si="4"/>
        <v>0</v>
      </c>
      <c r="P50" s="326">
        <f>SUMIF('Diags Raw Data'!$A$7:$A$3715,"*"&amp;$A50&amp;"*",'Diags Raw Data'!$Z$7:$Z$3715)</f>
        <v>0</v>
      </c>
      <c r="Q50" s="327">
        <f>SUM(SUMIF('Diags Raw Data'!$A$7:$A$3715,"*"&amp;$A50&amp;"*",'Diags Raw Data'!$AA$7:$AA$3715),SUMIF('Diags Raw Data'!$A$7:$A$3715,"*"&amp;$A50&amp;"*",'Diags Raw Data'!$AB$7:$AB$3715))</f>
        <v>0</v>
      </c>
      <c r="R50" s="328">
        <f t="shared" si="5"/>
        <v>0</v>
      </c>
      <c r="S50" s="328">
        <f t="shared" si="6"/>
        <v>0</v>
      </c>
      <c r="T50" s="329">
        <f t="shared" si="7"/>
        <v>0</v>
      </c>
      <c r="U50" s="366" t="s">
        <v>687</v>
      </c>
    </row>
    <row r="51" spans="1:25" ht="15" thickBot="1" x14ac:dyDescent="0.4">
      <c r="A51" s="447" t="s">
        <v>588</v>
      </c>
      <c r="B51" s="480" t="str">
        <f>VLOOKUP(A51,'Feature Raw Data'!$A$3:$B$3934,2,FALSE)</f>
        <v>interrupts</v>
      </c>
      <c r="C51" s="447" t="str">
        <f>VLOOKUP(A51,'Feature Raw Data'!$A$3:$C$4163,3,FALSE)</f>
        <v>P3</v>
      </c>
      <c r="D51" s="451" t="str" cm="1">
        <f t="array" ref="D51">_xlfn.TEXTJOIN("",TRUE,IF(ISNUMBER(SEARCH($A51,'Diags Raw Data'!$A$7:$A$4094)),CONCATENATE('Diags Raw Data'!$H$7:$H$4094,", "),""))</f>
        <v/>
      </c>
      <c r="E51" s="261" t="e">
        <f>VLOOKUP(A51,'Diags Raw Data'!$A$7:$D$3715,4,FALSE)</f>
        <v>#N/A</v>
      </c>
      <c r="F51" s="261" t="str">
        <f>VLOOKUP(A51,'Feature Raw Data'!$A$3:$E$3783,5,FALSE)</f>
        <v>Legacy</v>
      </c>
      <c r="G51" s="261" t="s">
        <v>31</v>
      </c>
      <c r="H51" s="457" t="s">
        <v>36</v>
      </c>
      <c r="I51" s="260">
        <f>SUMIF('Diags Raw Data'!$A$7:$A$3715,"*"&amp;$A51&amp;"*",'Diags Raw Data'!$K$7:$K$3715)</f>
        <v>0</v>
      </c>
      <c r="J51" s="262">
        <f>SUMIF('Diags Raw Data'!$A$7:$A$3715,"*"&amp;$A51&amp;"*",'Diags Raw Data'!$L$7:$L$3715)</f>
        <v>0</v>
      </c>
      <c r="K51" s="322" cm="1">
        <f t="array" ref="K51">IF(D51="",0, SUMPRODUCT(--(ISNUMBER(SEARCH($A51,'Diags Raw Data'!$A$7:$A$3715))),'Diags Raw Data'!$L$7:$L$3715,'Diags Raw Data'!$N$7:$N$3715)/J51)</f>
        <v>0</v>
      </c>
      <c r="L51" s="323" cm="1">
        <f t="array" ref="L51">IF(D51="",0, SUMPRODUCT(--(ISNUMBER(SEARCH($A51,'Diags Raw Data'!$A$7:$A$3715))),'Diags Raw Data'!$L$7:$L$3715,'Diags Raw Data'!$P$7:$P$3715)/J51)</f>
        <v>0</v>
      </c>
      <c r="M51" s="324" cm="1">
        <f t="array" ref="M51">SUMPRODUCT(--(ISNUMBER(SEARCH($A51,'Diags Raw Data'!$A$7:$A$3715))),--('Diags Raw Data'!$Q$7:$Q$3715&lt;&gt;"N/A"),'Diags Raw Data'!$R$7:$R$3715)</f>
        <v>0</v>
      </c>
      <c r="N51" s="325" cm="1">
        <f t="array" ref="N51">SUMPRODUCT(--(ISNUMBER(SEARCH($A51,'Diags Raw Data'!$A$7:$A$3715))),--('Diags Raw Data'!$Q$7:$Q$3715&lt;&gt;"N/A"),'Diags Raw Data'!$T$7:$T$3715)+SUMPRODUCT(--(ISNUMBER(SEARCH($A51,'Diags Raw Data'!$A$7:$A$3715))),--('Diags Raw Data'!$Q$7:$Q$3715&lt;&gt;"N/A"),'Diags Raw Data'!$U$7:$U$3715)</f>
        <v>0</v>
      </c>
      <c r="O51" s="363">
        <f t="shared" si="4"/>
        <v>0</v>
      </c>
      <c r="P51" s="326">
        <f>SUMIF('Diags Raw Data'!$A$7:$A$3715,"*"&amp;$A51&amp;"*",'Diags Raw Data'!$Z$7:$Z$3715)</f>
        <v>0</v>
      </c>
      <c r="Q51" s="327">
        <f>SUM(SUMIF('Diags Raw Data'!$A$7:$A$3715,"*"&amp;$A51&amp;"*",'Diags Raw Data'!$AA$7:$AA$3715),SUMIF('Diags Raw Data'!$A$7:$A$3715,"*"&amp;$A51&amp;"*",'Diags Raw Data'!$AB$7:$AB$3715))</f>
        <v>0</v>
      </c>
      <c r="R51" s="328">
        <f t="shared" si="5"/>
        <v>0</v>
      </c>
      <c r="S51" s="328">
        <f t="shared" si="6"/>
        <v>0</v>
      </c>
      <c r="T51" s="329">
        <f t="shared" si="7"/>
        <v>0</v>
      </c>
      <c r="U51" s="366" t="s">
        <v>687</v>
      </c>
    </row>
    <row r="52" spans="1:25" ht="15" thickBot="1" x14ac:dyDescent="0.4">
      <c r="A52" s="447" t="s">
        <v>590</v>
      </c>
      <c r="B52" s="480" t="str">
        <f>VLOOKUP(A52,'Feature Raw Data'!$A$3:$B$3934,2,FALSE)</f>
        <v>Power Gating control Registers</v>
      </c>
      <c r="C52" s="447" t="str">
        <f>VLOOKUP(A52,'Feature Raw Data'!$A$3:$C$4163,3,FALSE)</f>
        <v>P3</v>
      </c>
      <c r="D52" s="451" t="str" cm="1">
        <f t="array" ref="D52">_xlfn.TEXTJOIN("",TRUE,IF(ISNUMBER(SEARCH($A52,'Diags Raw Data'!$A$7:$A$4094)),CONCATENATE('Diags Raw Data'!$H$7:$H$4094,", "),""))</f>
        <v/>
      </c>
      <c r="E52" s="261" t="e">
        <f>VLOOKUP(A52,'Diags Raw Data'!$A$7:$D$3715,4,FALSE)</f>
        <v>#N/A</v>
      </c>
      <c r="F52" s="261" t="str">
        <f>VLOOKUP(A52,'Feature Raw Data'!$A$3:$E$3783,5,FALSE)</f>
        <v>Legacy</v>
      </c>
      <c r="G52" s="261" t="s">
        <v>31</v>
      </c>
      <c r="H52" s="457" t="s">
        <v>36</v>
      </c>
      <c r="I52" s="260">
        <f>SUMIF('Diags Raw Data'!$A$7:$A$3715,"*"&amp;$A52&amp;"*",'Diags Raw Data'!$K$7:$K$3715)</f>
        <v>0</v>
      </c>
      <c r="J52" s="262">
        <f>SUMIF('Diags Raw Data'!$A$7:$A$3715,"*"&amp;$A52&amp;"*",'Diags Raw Data'!$L$7:$L$3715)</f>
        <v>0</v>
      </c>
      <c r="K52" s="322" cm="1">
        <f t="array" ref="K52">IF(D52="",0, SUMPRODUCT(--(ISNUMBER(SEARCH($A52,'Diags Raw Data'!$A$7:$A$3715))),'Diags Raw Data'!$L$7:$L$3715,'Diags Raw Data'!$N$7:$N$3715)/J52)</f>
        <v>0</v>
      </c>
      <c r="L52" s="323" cm="1">
        <f t="array" ref="L52">IF(D52="",0, SUMPRODUCT(--(ISNUMBER(SEARCH($A52,'Diags Raw Data'!$A$7:$A$3715))),'Diags Raw Data'!$L$7:$L$3715,'Diags Raw Data'!$P$7:$P$3715)/J52)</f>
        <v>0</v>
      </c>
      <c r="M52" s="324" cm="1">
        <f t="array" ref="M52">SUMPRODUCT(--(ISNUMBER(SEARCH($A52,'Diags Raw Data'!$A$7:$A$3715))),--('Diags Raw Data'!$Q$7:$Q$3715&lt;&gt;"N/A"),'Diags Raw Data'!$R$7:$R$3715)</f>
        <v>0</v>
      </c>
      <c r="N52" s="325" cm="1">
        <f t="array" ref="N52">SUMPRODUCT(--(ISNUMBER(SEARCH($A52,'Diags Raw Data'!$A$7:$A$3715))),--('Diags Raw Data'!$Q$7:$Q$3715&lt;&gt;"N/A"),'Diags Raw Data'!$T$7:$T$3715)+SUMPRODUCT(--(ISNUMBER(SEARCH($A52,'Diags Raw Data'!$A$7:$A$3715))),--('Diags Raw Data'!$Q$7:$Q$3715&lt;&gt;"N/A"),'Diags Raw Data'!$U$7:$U$3715)</f>
        <v>0</v>
      </c>
      <c r="O52" s="363">
        <f t="shared" si="4"/>
        <v>0</v>
      </c>
      <c r="P52" s="326">
        <f>SUMIF('Diags Raw Data'!$A$7:$A$3715,"*"&amp;$A52&amp;"*",'Diags Raw Data'!$Z$7:$Z$3715)</f>
        <v>0</v>
      </c>
      <c r="Q52" s="327">
        <f>SUM(SUMIF('Diags Raw Data'!$A$7:$A$3715,"*"&amp;$A52&amp;"*",'Diags Raw Data'!$AA$7:$AA$3715),SUMIF('Diags Raw Data'!$A$7:$A$3715,"*"&amp;$A52&amp;"*",'Diags Raw Data'!$AB$7:$AB$3715))</f>
        <v>0</v>
      </c>
      <c r="R52" s="328">
        <f t="shared" si="5"/>
        <v>0</v>
      </c>
      <c r="S52" s="328">
        <f t="shared" si="6"/>
        <v>0</v>
      </c>
      <c r="T52" s="329">
        <f t="shared" si="7"/>
        <v>0</v>
      </c>
      <c r="U52" s="366" t="s">
        <v>687</v>
      </c>
    </row>
    <row r="53" spans="1:25" s="168" customFormat="1" ht="15" thickBot="1" x14ac:dyDescent="0.4">
      <c r="A53" s="447" t="s">
        <v>392</v>
      </c>
      <c r="B53" s="480" t="str">
        <f>VLOOKUP(A53,'Feature Raw Data'!$A$3:$B$3934,2,FALSE)</f>
        <v>Telemetry aggregation</v>
      </c>
      <c r="C53" s="447" t="str">
        <f>VLOOKUP(A53,'Feature Raw Data'!$A$3:$C$4163,3,FALSE)</f>
        <v>P1</v>
      </c>
      <c r="D53" s="451" t="str" cm="1">
        <f t="array" ref="D53">_xlfn.TEXTJOIN("",TRUE,IF(ISNUMBER(SEARCH($A53,'Diags Raw Data'!$A$7:$A$4094)),CONCATENATE('Diags Raw Data'!$H$7:$H$4094,", "),""))</f>
        <v xml:space="preserve">PM80.12.3, </v>
      </c>
      <c r="E53" s="261" t="str">
        <f>VLOOKUP(A53,'Diags Raw Data'!$A$7:$D$3715,4,FALSE)</f>
        <v>MP1</v>
      </c>
      <c r="F53" s="261" t="str">
        <f>VLOOKUP(A53,'Feature Raw Data'!$A$3:$E$3783,5,FALSE)</f>
        <v>Legacy</v>
      </c>
      <c r="G53" s="261" t="s">
        <v>31</v>
      </c>
      <c r="H53" s="489" t="s">
        <v>31</v>
      </c>
      <c r="I53" s="260">
        <f>SUMIF('Diags Raw Data'!$A$7:$A$3715,"*"&amp;$A53&amp;"*",'Diags Raw Data'!$K$7:$K$3715)</f>
        <v>1</v>
      </c>
      <c r="J53" s="262">
        <f>SUMIF('Diags Raw Data'!$A$7:$A$3715,"*"&amp;$A53&amp;"*",'Diags Raw Data'!$L$7:$L$3715)</f>
        <v>1</v>
      </c>
      <c r="K53" s="322" cm="1">
        <f t="array" ref="K53">IF(D53="",0, SUMPRODUCT(--(ISNUMBER(SEARCH($A53,'Diags Raw Data'!$A$7:$A$3715))),'Diags Raw Data'!$L$7:$L$3715,'Diags Raw Data'!$N$7:$N$3715)/J53)</f>
        <v>1</v>
      </c>
      <c r="L53" s="323" cm="1">
        <f t="array" ref="L53">IF(D53="",0, SUMPRODUCT(--(ISNUMBER(SEARCH($A53,'Diags Raw Data'!$A$7:$A$3715))),'Diags Raw Data'!$L$7:$L$3715,'Diags Raw Data'!$P$7:$P$3715)/J53)</f>
        <v>0.5</v>
      </c>
      <c r="M53" s="324" cm="1">
        <f t="array" ref="M53">SUMPRODUCT(--(ISNUMBER(SEARCH($A53,'Diags Raw Data'!$A$7:$A$3715))),--('Diags Raw Data'!$Q$7:$Q$3715&lt;&gt;"N/A"),'Diags Raw Data'!$R$7:$R$3715)</f>
        <v>1</v>
      </c>
      <c r="N53" s="325" cm="1">
        <f t="array" ref="N53">SUMPRODUCT(--(ISNUMBER(SEARCH($A53,'Diags Raw Data'!$A$7:$A$3715))),--('Diags Raw Data'!$Q$7:$Q$3715&lt;&gt;"N/A"),'Diags Raw Data'!$T$7:$T$3715)+SUMPRODUCT(--(ISNUMBER(SEARCH($A53,'Diags Raw Data'!$A$7:$A$3715))),--('Diags Raw Data'!$Q$7:$Q$3715&lt;&gt;"N/A"),'Diags Raw Data'!$U$7:$U$3715)</f>
        <v>0</v>
      </c>
      <c r="O53" s="363">
        <f t="shared" ref="O53" si="32">IF((M53=0),0,N53/M53)</f>
        <v>0</v>
      </c>
      <c r="P53" s="326">
        <f>SUMIF('Diags Raw Data'!$A$7:$A$3715,"*"&amp;$A53&amp;"*",'Diags Raw Data'!$Z$7:$Z$3715)</f>
        <v>0</v>
      </c>
      <c r="Q53" s="327">
        <f>SUM(SUMIF('Diags Raw Data'!$A$7:$A$3715,"*"&amp;$A53&amp;"*",'Diags Raw Data'!$AA$7:$AA$3715),SUMIF('Diags Raw Data'!$A$7:$A$3715,"*"&amp;$A53&amp;"*",'Diags Raw Data'!$AB$7:$AB$3715))</f>
        <v>0</v>
      </c>
      <c r="R53" s="328">
        <f t="shared" ref="R53" si="33">IF((J53=0),0,P53/J53)</f>
        <v>0</v>
      </c>
      <c r="S53" s="328">
        <f t="shared" ref="S53" si="34">IF((P53=0),0,Q53/P53)</f>
        <v>0</v>
      </c>
      <c r="T53" s="329">
        <f t="shared" ref="T53" si="35">R53*S53</f>
        <v>0</v>
      </c>
      <c r="U53" s="366" t="s">
        <v>688</v>
      </c>
    </row>
    <row r="54" spans="1:25" s="168" customFormat="1" ht="15" thickBot="1" x14ac:dyDescent="0.4">
      <c r="A54" s="447" t="s">
        <v>593</v>
      </c>
      <c r="B54" s="480" t="str">
        <f>VLOOKUP(A54,'Feature Raw Data'!$A$3:$B$3934,2,FALSE)</f>
        <v>DIE_ID, SOC_ID, PKGTYPE</v>
      </c>
      <c r="C54" s="447" t="str">
        <f>VLOOKUP(A54,'Feature Raw Data'!$A$3:$C$4163,3,FALSE)</f>
        <v>P2</v>
      </c>
      <c r="D54" s="451" t="str" cm="1">
        <f t="array" ref="D54">_xlfn.TEXTJOIN("",TRUE,IF(ISNUMBER(SEARCH($A54,'Diags Raw Data'!$A$7:$A$4094)),CONCATENATE('Diags Raw Data'!$H$7:$H$4094,", "),""))</f>
        <v/>
      </c>
      <c r="E54" s="261" t="e">
        <f>VLOOKUP(A54,'Diags Raw Data'!$A$7:$D$3715,4,FALSE)</f>
        <v>#N/A</v>
      </c>
      <c r="F54" s="261" t="str">
        <f>VLOOKUP(A54,'Feature Raw Data'!$A$3:$E$3783,5,FALSE)</f>
        <v>Delta</v>
      </c>
      <c r="G54" s="261" t="s">
        <v>31</v>
      </c>
      <c r="H54" s="261" t="s">
        <v>36</v>
      </c>
      <c r="I54" s="260">
        <f>SUMIF('Diags Raw Data'!$A$7:$A$3715,"*"&amp;$A54&amp;"*",'Diags Raw Data'!$K$7:$K$3715)</f>
        <v>0</v>
      </c>
      <c r="J54" s="262">
        <f>SUMIF('Diags Raw Data'!$A$7:$A$3715,"*"&amp;$A54&amp;"*",'Diags Raw Data'!$L$7:$L$3715)</f>
        <v>0</v>
      </c>
      <c r="K54" s="322" cm="1">
        <f t="array" ref="K54">IF(D54="",0, SUMPRODUCT(--(ISNUMBER(SEARCH($A54,'Diags Raw Data'!$A$7:$A$3715))),'Diags Raw Data'!$L$7:$L$3715,'Diags Raw Data'!$N$7:$N$3715)/J54)</f>
        <v>0</v>
      </c>
      <c r="L54" s="323" cm="1">
        <f t="array" ref="L54">IF(D54="",0, SUMPRODUCT(--(ISNUMBER(SEARCH($A54,'Diags Raw Data'!$A$7:$A$3715))),'Diags Raw Data'!$L$7:$L$3715,'Diags Raw Data'!$P$7:$P$3715)/J54)</f>
        <v>0</v>
      </c>
      <c r="M54" s="324" cm="1">
        <f t="array" ref="M54">SUMPRODUCT(--(ISNUMBER(SEARCH($A54,'Diags Raw Data'!$A$7:$A$3715))),--('Diags Raw Data'!$Q$7:$Q$3715&lt;&gt;"N/A"),'Diags Raw Data'!$R$7:$R$3715)</f>
        <v>0</v>
      </c>
      <c r="N54" s="325" cm="1">
        <f t="array" ref="N54">SUMPRODUCT(--(ISNUMBER(SEARCH($A54,'Diags Raw Data'!$A$7:$A$3715))),--('Diags Raw Data'!$Q$7:$Q$3715&lt;&gt;"N/A"),'Diags Raw Data'!$T$7:$T$3715)+SUMPRODUCT(--(ISNUMBER(SEARCH($A54,'Diags Raw Data'!$A$7:$A$3715))),--('Diags Raw Data'!$Q$7:$Q$3715&lt;&gt;"N/A"),'Diags Raw Data'!$U$7:$U$3715)</f>
        <v>0</v>
      </c>
      <c r="O54" s="363">
        <f t="shared" si="4"/>
        <v>0</v>
      </c>
      <c r="P54" s="326">
        <f>SUMIF('Diags Raw Data'!$A$7:$A$3715,"*"&amp;$A54&amp;"*",'Diags Raw Data'!$Z$7:$Z$3715)</f>
        <v>0</v>
      </c>
      <c r="Q54" s="327">
        <f>SUM(SUMIF('Diags Raw Data'!$A$7:$A$3715,"*"&amp;$A54&amp;"*",'Diags Raw Data'!$AA$7:$AA$3715),SUMIF('Diags Raw Data'!$A$7:$A$3715,"*"&amp;$A54&amp;"*",'Diags Raw Data'!$AB$7:$AB$3715))</f>
        <v>0</v>
      </c>
      <c r="R54" s="328">
        <f t="shared" si="5"/>
        <v>0</v>
      </c>
      <c r="S54" s="328">
        <f t="shared" si="6"/>
        <v>0</v>
      </c>
      <c r="T54" s="329">
        <f t="shared" si="7"/>
        <v>0</v>
      </c>
      <c r="U54" s="366" t="s">
        <v>688</v>
      </c>
    </row>
    <row r="55" spans="1:25" ht="44" thickBot="1" x14ac:dyDescent="0.4">
      <c r="A55" s="447" t="s">
        <v>357</v>
      </c>
      <c r="B55" s="480" t="str">
        <f>VLOOKUP(A55,'Feature Raw Data'!$A$3:$B$3934,2,FALSE)</f>
        <v>Voltage change</v>
      </c>
      <c r="C55" s="447" t="str">
        <f>VLOOKUP(A55,'Feature Raw Data'!$A$3:$C$4163,3,FALSE)</f>
        <v>P2</v>
      </c>
      <c r="D55" s="451" t="str" cm="1">
        <f t="array" ref="D55">_xlfn.TEXTJOIN("",TRUE,IF(ISNUMBER(SEARCH($A55,'Diags Raw Data'!$A$7:$A$4094)),CONCATENATE('Diags Raw Data'!$H$7:$H$4094,", "),""))</f>
        <v xml:space="preserve">PM033.004, PM033.005, PM033.020, PM033.021, PM033.022, PM033.023, VID Sweep, </v>
      </c>
      <c r="E55" s="261" t="str">
        <f>VLOOKUP(A55,'Diags Raw Data'!$A$7:$D$3715,4,FALSE)</f>
        <v>SMUIO</v>
      </c>
      <c r="F55" s="261" t="str">
        <f>VLOOKUP(A55,'Feature Raw Data'!$A$3:$E$3783,5,FALSE)</f>
        <v>Delta</v>
      </c>
      <c r="G55" s="261" t="s">
        <v>31</v>
      </c>
      <c r="H55" s="670" t="s">
        <v>814</v>
      </c>
      <c r="I55" s="260">
        <v>4</v>
      </c>
      <c r="J55" s="262">
        <v>4</v>
      </c>
      <c r="K55" s="322" cm="1">
        <f t="array" ref="K55">IF(D55="",0, SUMPRODUCT(--(ISNUMBER(SEARCH($A55,'Diags Raw Data'!$A$7:$A$3715))),'Diags Raw Data'!$L$7:$L$3715,'Diags Raw Data'!$N$7:$N$3715)/J55)</f>
        <v>1.75</v>
      </c>
      <c r="L55" s="323" cm="1">
        <f t="array" ref="L55">IF(D55="",0, SUMPRODUCT(--(ISNUMBER(SEARCH($A55,'Diags Raw Data'!$A$7:$A$3715))),'Diags Raw Data'!$L$7:$L$3715,'Diags Raw Data'!$P$7:$P$3715)/J55)</f>
        <v>0.875</v>
      </c>
      <c r="M55" s="324" cm="1">
        <f t="array" ref="M55">SUMPRODUCT(--(ISNUMBER(SEARCH($A55,'Diags Raw Data'!$A$7:$A$3715))),--('Diags Raw Data'!$Q$7:$Q$3715&lt;&gt;"N/A"),'Diags Raw Data'!$R$7:$R$3715)</f>
        <v>7</v>
      </c>
      <c r="N55" s="325" cm="1">
        <f t="array" ref="N55">SUMPRODUCT(--(ISNUMBER(SEARCH($A55,'Diags Raw Data'!$A$7:$A$3715))),--('Diags Raw Data'!$Q$7:$Q$3715&lt;&gt;"N/A"),'Diags Raw Data'!$T$7:$T$3715)+SUMPRODUCT(--(ISNUMBER(SEARCH($A55,'Diags Raw Data'!$A$7:$A$3715))),--('Diags Raw Data'!$Q$7:$Q$3715&lt;&gt;"N/A"),'Diags Raw Data'!$U$7:$U$3715)</f>
        <v>0</v>
      </c>
      <c r="O55" s="363">
        <f t="shared" si="4"/>
        <v>0</v>
      </c>
      <c r="P55" s="326">
        <f>SUMIF('Diags Raw Data'!$A$7:$A$3715,"*"&amp;$A55&amp;"*",'Diags Raw Data'!$Z$7:$Z$3715)</f>
        <v>0</v>
      </c>
      <c r="Q55" s="327">
        <f>SUM(SUMIF('Diags Raw Data'!$A$7:$A$3715,"*"&amp;$A55&amp;"*",'Diags Raw Data'!$AA$7:$AA$3715),SUMIF('Diags Raw Data'!$A$7:$A$3715,"*"&amp;$A55&amp;"*",'Diags Raw Data'!$AB$7:$AB$3715))</f>
        <v>0</v>
      </c>
      <c r="R55" s="328">
        <f t="shared" si="5"/>
        <v>0</v>
      </c>
      <c r="S55" s="328">
        <f t="shared" si="6"/>
        <v>0</v>
      </c>
      <c r="T55" s="329">
        <f t="shared" si="7"/>
        <v>0</v>
      </c>
      <c r="U55" s="366" t="s">
        <v>685</v>
      </c>
      <c r="W55" s="167">
        <v>1</v>
      </c>
      <c r="X55" s="167">
        <v>1</v>
      </c>
      <c r="Y55" s="167">
        <v>2</v>
      </c>
    </row>
    <row r="56" spans="1:25" ht="15" thickBot="1" x14ac:dyDescent="0.4">
      <c r="A56" s="447" t="s">
        <v>596</v>
      </c>
      <c r="B56" s="480" t="str">
        <f>VLOOKUP(A56,'Feature Raw Data'!$A$3:$B$3934,2,FALSE)</f>
        <v>Topology_id, Link_config gpios as per SGM spec</v>
      </c>
      <c r="C56" s="447" t="str">
        <f>VLOOKUP(A56,'Feature Raw Data'!$A$3:$C$4163,3,FALSE)</f>
        <v>P3</v>
      </c>
      <c r="D56" s="451" t="str" cm="1">
        <f t="array" ref="D56">_xlfn.TEXTJOIN("",TRUE,IF(ISNUMBER(SEARCH($A56,'Diags Raw Data'!$A$7:$A$4094)),CONCATENATE('Diags Raw Data'!$H$7:$H$4094,", "),""))</f>
        <v/>
      </c>
      <c r="E56" s="261" t="e">
        <f>VLOOKUP(A56,'Diags Raw Data'!$A$7:$D$3715,4,FALSE)</f>
        <v>#N/A</v>
      </c>
      <c r="F56" s="261" t="str">
        <f>VLOOKUP(A56,'Feature Raw Data'!$A$3:$E$3783,5,FALSE)</f>
        <v>Legacy</v>
      </c>
      <c r="G56" s="261" t="s">
        <v>31</v>
      </c>
      <c r="H56" s="457" t="s">
        <v>36</v>
      </c>
      <c r="I56" s="260">
        <f>SUMIF('Diags Raw Data'!$A$7:$A$3715,"*"&amp;$A56&amp;"*",'Diags Raw Data'!$K$7:$K$3715)</f>
        <v>0</v>
      </c>
      <c r="J56" s="262">
        <f>SUMIF('Diags Raw Data'!$A$7:$A$3715,"*"&amp;$A56&amp;"*",'Diags Raw Data'!$L$7:$L$3715)</f>
        <v>0</v>
      </c>
      <c r="K56" s="322" cm="1">
        <f t="array" ref="K56">IF(D56="",0, SUMPRODUCT(--(ISNUMBER(SEARCH($A56,'Diags Raw Data'!$A$7:$A$3715))),'Diags Raw Data'!$L$7:$L$3715,'Diags Raw Data'!$N$7:$N$3715)/J56)</f>
        <v>0</v>
      </c>
      <c r="L56" s="323" cm="1">
        <f t="array" ref="L56">IF(D56="",0, SUMPRODUCT(--(ISNUMBER(SEARCH($A56,'Diags Raw Data'!$A$7:$A$3715))),'Diags Raw Data'!$L$7:$L$3715,'Diags Raw Data'!$P$7:$P$3715)/J56)</f>
        <v>0</v>
      </c>
      <c r="M56" s="324" cm="1">
        <f t="array" ref="M56">SUMPRODUCT(--(ISNUMBER(SEARCH($A56,'Diags Raw Data'!$A$7:$A$3715))),--('Diags Raw Data'!$Q$7:$Q$3715&lt;&gt;"N/A"),'Diags Raw Data'!$R$7:$R$3715)</f>
        <v>0</v>
      </c>
      <c r="N56" s="325" cm="1">
        <f t="array" ref="N56">SUMPRODUCT(--(ISNUMBER(SEARCH($A56,'Diags Raw Data'!$A$7:$A$3715))),--('Diags Raw Data'!$Q$7:$Q$3715&lt;&gt;"N/A"),'Diags Raw Data'!$T$7:$T$3715)+SUMPRODUCT(--(ISNUMBER(SEARCH($A56,'Diags Raw Data'!$A$7:$A$3715))),--('Diags Raw Data'!$Q$7:$Q$3715&lt;&gt;"N/A"),'Diags Raw Data'!$U$7:$U$3715)</f>
        <v>0</v>
      </c>
      <c r="O56" s="363">
        <f t="shared" si="4"/>
        <v>0</v>
      </c>
      <c r="P56" s="326">
        <f>SUMIF('Diags Raw Data'!$A$7:$A$3715,"*"&amp;$A56&amp;"*",'Diags Raw Data'!$Z$7:$Z$3715)</f>
        <v>0</v>
      </c>
      <c r="Q56" s="327">
        <f>SUM(SUMIF('Diags Raw Data'!$A$7:$A$3715,"*"&amp;$A56&amp;"*",'Diags Raw Data'!$AA$7:$AA$3715),SUMIF('Diags Raw Data'!$A$7:$A$3715,"*"&amp;$A56&amp;"*",'Diags Raw Data'!$AB$7:$AB$3715))</f>
        <v>0</v>
      </c>
      <c r="R56" s="328">
        <f t="shared" si="5"/>
        <v>0</v>
      </c>
      <c r="S56" s="328">
        <f t="shared" si="6"/>
        <v>0</v>
      </c>
      <c r="T56" s="329">
        <f t="shared" si="7"/>
        <v>0</v>
      </c>
      <c r="U56" s="366" t="s">
        <v>685</v>
      </c>
    </row>
    <row r="57" spans="1:25" ht="15" thickBot="1" x14ac:dyDescent="0.4">
      <c r="A57" s="447" t="s">
        <v>598</v>
      </c>
      <c r="B57" s="480" t="str">
        <f>VLOOKUP(A57,'Feature Raw Data'!$A$3:$B$3934,2,FALSE)</f>
        <v>Level-trigger GPIO interrupt</v>
      </c>
      <c r="C57" s="447" t="str">
        <f>VLOOKUP(A57,'Feature Raw Data'!$A$3:$C$4163,3,FALSE)</f>
        <v>P3</v>
      </c>
      <c r="D57" s="451" t="str" cm="1">
        <f t="array" ref="D57">_xlfn.TEXTJOIN("",TRUE,IF(ISNUMBER(SEARCH($A57,'Diags Raw Data'!$A$7:$A$4094)),CONCATENATE('Diags Raw Data'!$H$7:$H$4094,", "),""))</f>
        <v/>
      </c>
      <c r="E57" s="261" t="e">
        <f>VLOOKUP(A57,'Diags Raw Data'!$A$7:$D$3715,4,FALSE)</f>
        <v>#N/A</v>
      </c>
      <c r="F57" s="261" t="str">
        <f>VLOOKUP(A57,'Feature Raw Data'!$A$3:$E$3783,5,FALSE)</f>
        <v>Legacy</v>
      </c>
      <c r="G57" s="261" t="s">
        <v>31</v>
      </c>
      <c r="H57" s="261" t="s">
        <v>36</v>
      </c>
      <c r="I57" s="260">
        <f>SUMIF('Diags Raw Data'!$A$7:$A$3715,"*"&amp;$A57&amp;"*",'Diags Raw Data'!$K$7:$K$3715)</f>
        <v>0</v>
      </c>
      <c r="J57" s="262">
        <f>SUMIF('Diags Raw Data'!$A$7:$A$3715,"*"&amp;$A57&amp;"*",'Diags Raw Data'!$L$7:$L$3715)</f>
        <v>0</v>
      </c>
      <c r="K57" s="322" cm="1">
        <f t="array" ref="K57">IF(D57="",0, SUMPRODUCT(--(ISNUMBER(SEARCH($A57,'Diags Raw Data'!$A$7:$A$3715))),'Diags Raw Data'!$L$7:$L$3715,'Diags Raw Data'!$N$7:$N$3715)/J57)</f>
        <v>0</v>
      </c>
      <c r="L57" s="323" cm="1">
        <f t="array" ref="L57">IF(D57="",0, SUMPRODUCT(--(ISNUMBER(SEARCH($A57,'Diags Raw Data'!$A$7:$A$3715))),'Diags Raw Data'!$L$7:$L$3715,'Diags Raw Data'!$P$7:$P$3715)/J57)</f>
        <v>0</v>
      </c>
      <c r="M57" s="324" cm="1">
        <f t="array" ref="M57">SUMPRODUCT(--(ISNUMBER(SEARCH($A57,'Diags Raw Data'!$A$7:$A$3715))),--('Diags Raw Data'!$Q$7:$Q$3715&lt;&gt;"N/A"),'Diags Raw Data'!$R$7:$R$3715)</f>
        <v>0</v>
      </c>
      <c r="N57" s="325" cm="1">
        <f t="array" ref="N57">SUMPRODUCT(--(ISNUMBER(SEARCH($A57,'Diags Raw Data'!$A$7:$A$3715))),--('Diags Raw Data'!$Q$7:$Q$3715&lt;&gt;"N/A"),'Diags Raw Data'!$T$7:$T$3715)+SUMPRODUCT(--(ISNUMBER(SEARCH($A57,'Diags Raw Data'!$A$7:$A$3715))),--('Diags Raw Data'!$Q$7:$Q$3715&lt;&gt;"N/A"),'Diags Raw Data'!$U$7:$U$3715)</f>
        <v>0</v>
      </c>
      <c r="O57" s="363">
        <f t="shared" si="4"/>
        <v>0</v>
      </c>
      <c r="P57" s="326">
        <f>SUMIF('Diags Raw Data'!$A$7:$A$3715,"*"&amp;$A57&amp;"*",'Diags Raw Data'!$Z$7:$Z$3715)</f>
        <v>0</v>
      </c>
      <c r="Q57" s="327">
        <f>SUM(SUMIF('Diags Raw Data'!$A$7:$A$3715,"*"&amp;$A57&amp;"*",'Diags Raw Data'!$AA$7:$AA$3715),SUMIF('Diags Raw Data'!$A$7:$A$3715,"*"&amp;$A57&amp;"*",'Diags Raw Data'!$AB$7:$AB$3715))</f>
        <v>0</v>
      </c>
      <c r="R57" s="328">
        <f t="shared" si="5"/>
        <v>0</v>
      </c>
      <c r="S57" s="328">
        <f t="shared" si="6"/>
        <v>0</v>
      </c>
      <c r="T57" s="329">
        <f t="shared" si="7"/>
        <v>0</v>
      </c>
      <c r="U57" s="366"/>
    </row>
    <row r="58" spans="1:25" ht="15" thickBot="1" x14ac:dyDescent="0.4">
      <c r="A58" s="447" t="s">
        <v>600</v>
      </c>
      <c r="B58" s="480" t="str">
        <f>VLOOKUP(A58,'Feature Raw Data'!$A$3:$B$3934,2,FALSE)</f>
        <v>PCC/VR_HOT as programmable GPIO</v>
      </c>
      <c r="C58" s="447" t="str">
        <f>VLOOKUP(A58,'Feature Raw Data'!$A$3:$C$4163,3,FALSE)</f>
        <v>P3</v>
      </c>
      <c r="D58" s="451" t="str" cm="1">
        <f t="array" ref="D58">_xlfn.TEXTJOIN("",TRUE,IF(ISNUMBER(SEARCH($A58,'Diags Raw Data'!$A$7:$A$4094)),CONCATENATE('Diags Raw Data'!$H$7:$H$4094,", "),""))</f>
        <v/>
      </c>
      <c r="E58" s="261" t="e">
        <f>VLOOKUP(A58,'Diags Raw Data'!$A$7:$D$3715,4,FALSE)</f>
        <v>#N/A</v>
      </c>
      <c r="F58" s="261" t="str">
        <f>VLOOKUP(A56,'Feature Raw Data'!$A$3:$E$3783,5,FALSE)</f>
        <v>Legacy</v>
      </c>
      <c r="G58" s="261" t="s">
        <v>31</v>
      </c>
      <c r="H58" s="457" t="s">
        <v>36</v>
      </c>
      <c r="I58" s="260">
        <f>SUMIF('Diags Raw Data'!$A$7:$A$3715,"*"&amp;$A58&amp;"*",'Diags Raw Data'!$K$7:$K$3715)</f>
        <v>0</v>
      </c>
      <c r="J58" s="262">
        <f>SUMIF('Diags Raw Data'!$A$7:$A$3715,"*"&amp;$A58&amp;"*",'Diags Raw Data'!$L$7:$L$3715)</f>
        <v>0</v>
      </c>
      <c r="K58" s="322" cm="1">
        <f t="array" ref="K58">IF(D58="",0, SUMPRODUCT(--(ISNUMBER(SEARCH($A58,'Diags Raw Data'!$A$7:$A$3715))),'Diags Raw Data'!$L$7:$L$3715,'Diags Raw Data'!$N$7:$N$3715)/J58)</f>
        <v>0</v>
      </c>
      <c r="L58" s="323" cm="1">
        <f t="array" ref="L58">IF(D58="",0, SUMPRODUCT(--(ISNUMBER(SEARCH($A58,'Diags Raw Data'!$A$7:$A$3715))),'Diags Raw Data'!$L$7:$L$3715,'Diags Raw Data'!$P$7:$P$3715)/J58)</f>
        <v>0</v>
      </c>
      <c r="M58" s="324" cm="1">
        <f t="array" ref="M58">SUMPRODUCT(--(ISNUMBER(SEARCH($A58,'Diags Raw Data'!$A$7:$A$3715))),--('Diags Raw Data'!$Q$7:$Q$3715&lt;&gt;"N/A"),'Diags Raw Data'!$R$7:$R$3715)</f>
        <v>0</v>
      </c>
      <c r="N58" s="325" cm="1">
        <f t="array" ref="N58">SUMPRODUCT(--(ISNUMBER(SEARCH($A58,'Diags Raw Data'!$A$7:$A$3715))),--('Diags Raw Data'!$Q$7:$Q$3715&lt;&gt;"N/A"),'Diags Raw Data'!$T$7:$T$3715)+SUMPRODUCT(--(ISNUMBER(SEARCH($A58,'Diags Raw Data'!$A$7:$A$3715))),--('Diags Raw Data'!$Q$7:$Q$3715&lt;&gt;"N/A"),'Diags Raw Data'!$U$7:$U$3715)</f>
        <v>0</v>
      </c>
      <c r="O58" s="363">
        <f t="shared" si="4"/>
        <v>0</v>
      </c>
      <c r="P58" s="326">
        <f>SUMIF('Diags Raw Data'!$A$7:$A$3715,"*"&amp;$A58&amp;"*",'Diags Raw Data'!$Z$7:$Z$3715)</f>
        <v>0</v>
      </c>
      <c r="Q58" s="327">
        <f>SUM(SUMIF('Diags Raw Data'!$A$7:$A$3715,"*"&amp;$A58&amp;"*",'Diags Raw Data'!$AA$7:$AA$3715),SUMIF('Diags Raw Data'!$A$7:$A$3715,"*"&amp;$A58&amp;"*",'Diags Raw Data'!$AB$7:$AB$3715))</f>
        <v>0</v>
      </c>
      <c r="R58" s="328">
        <f t="shared" si="5"/>
        <v>0</v>
      </c>
      <c r="S58" s="328">
        <f t="shared" si="6"/>
        <v>0</v>
      </c>
      <c r="T58" s="329">
        <f t="shared" si="7"/>
        <v>0</v>
      </c>
      <c r="U58" s="366" t="s">
        <v>685</v>
      </c>
    </row>
    <row r="59" spans="1:25" ht="15" thickBot="1" x14ac:dyDescent="0.4">
      <c r="A59" s="447" t="s">
        <v>602</v>
      </c>
      <c r="B59" s="480" t="str">
        <f>VLOOKUP(A59,'Feature Raw Data'!$A$3:$B$3934,2,FALSE)</f>
        <v>ROM 64DWORD page bugger</v>
      </c>
      <c r="C59" s="447" t="str">
        <f>VLOOKUP(A59,'Feature Raw Data'!$A$3:$C$4163,3,FALSE)</f>
        <v>P3</v>
      </c>
      <c r="D59" s="451" t="str" cm="1">
        <f t="array" ref="D59">_xlfn.TEXTJOIN("",TRUE,IF(ISNUMBER(SEARCH($A59,'Diags Raw Data'!$A$7:$A$4094)),CONCATENATE('Diags Raw Data'!$H$7:$H$4094,", "),""))</f>
        <v/>
      </c>
      <c r="E59" s="261" t="e">
        <f>VLOOKUP(A59,'Diags Raw Data'!$A$7:$D$3715,4,FALSE)</f>
        <v>#N/A</v>
      </c>
      <c r="F59" s="261" t="str">
        <f>VLOOKUP(A59,'Feature Raw Data'!$A$3:$E$3783,5,FALSE)</f>
        <v>Legacy</v>
      </c>
      <c r="G59" s="261" t="s">
        <v>31</v>
      </c>
      <c r="H59" s="457" t="s">
        <v>36</v>
      </c>
      <c r="I59" s="260">
        <f>SUMIF('Diags Raw Data'!$A$7:$A$3715,"*"&amp;$A59&amp;"*",'Diags Raw Data'!$K$7:$K$3715)</f>
        <v>0</v>
      </c>
      <c r="J59" s="262">
        <f>SUMIF('Diags Raw Data'!$A$7:$A$3715,"*"&amp;$A59&amp;"*",'Diags Raw Data'!$L$7:$L$3715)</f>
        <v>0</v>
      </c>
      <c r="K59" s="322" cm="1">
        <f t="array" ref="K59">IF(D59="",0, SUMPRODUCT(--(ISNUMBER(SEARCH($A59,'Diags Raw Data'!$A$7:$A$3715))),'Diags Raw Data'!$L$7:$L$3715,'Diags Raw Data'!$N$7:$N$3715)/J59)</f>
        <v>0</v>
      </c>
      <c r="L59" s="323" cm="1">
        <f t="array" ref="L59">IF(D59="",0, SUMPRODUCT(--(ISNUMBER(SEARCH($A59,'Diags Raw Data'!$A$7:$A$3715))),'Diags Raw Data'!$L$7:$L$3715,'Diags Raw Data'!$P$7:$P$3715)/J59)</f>
        <v>0</v>
      </c>
      <c r="M59" s="324" cm="1">
        <f t="array" ref="M59">SUMPRODUCT(--(ISNUMBER(SEARCH($A59,'Diags Raw Data'!$A$7:$A$3715))),--('Diags Raw Data'!$Q$7:$Q$3715&lt;&gt;"N/A"),'Diags Raw Data'!$R$7:$R$3715)</f>
        <v>0</v>
      </c>
      <c r="N59" s="325" cm="1">
        <f t="array" ref="N59">SUMPRODUCT(--(ISNUMBER(SEARCH($A59,'Diags Raw Data'!$A$7:$A$3715))),--('Diags Raw Data'!$Q$7:$Q$3715&lt;&gt;"N/A"),'Diags Raw Data'!$T$7:$T$3715)+SUMPRODUCT(--(ISNUMBER(SEARCH($A59,'Diags Raw Data'!$A$7:$A$3715))),--('Diags Raw Data'!$Q$7:$Q$3715&lt;&gt;"N/A"),'Diags Raw Data'!$U$7:$U$3715)</f>
        <v>0</v>
      </c>
      <c r="O59" s="363">
        <f t="shared" si="4"/>
        <v>0</v>
      </c>
      <c r="P59" s="326">
        <f>SUMIF('Diags Raw Data'!$A$7:$A$3715,"*"&amp;$A59&amp;"*",'Diags Raw Data'!$Z$7:$Z$3715)</f>
        <v>0</v>
      </c>
      <c r="Q59" s="327">
        <f>SUM(SUMIF('Diags Raw Data'!$A$7:$A$3715,"*"&amp;$A59&amp;"*",'Diags Raw Data'!$AA$7:$AA$3715),SUMIF('Diags Raw Data'!$A$7:$A$3715,"*"&amp;$A59&amp;"*",'Diags Raw Data'!$AB$7:$AB$3715))</f>
        <v>0</v>
      </c>
      <c r="R59" s="328">
        <f t="shared" si="5"/>
        <v>0</v>
      </c>
      <c r="S59" s="328">
        <f t="shared" si="6"/>
        <v>0</v>
      </c>
      <c r="T59" s="329">
        <f t="shared" si="7"/>
        <v>0</v>
      </c>
      <c r="U59" s="366" t="s">
        <v>685</v>
      </c>
    </row>
    <row r="60" spans="1:25" ht="15" thickBot="1" x14ac:dyDescent="0.4">
      <c r="A60" s="447" t="s">
        <v>436</v>
      </c>
      <c r="B60" s="480" t="str">
        <f>VLOOKUP(A60,'Feature Raw Data'!$A$3:$B$3934,2,FALSE)</f>
        <v>High Speed I2c</v>
      </c>
      <c r="C60" s="447" t="str">
        <f>VLOOKUP(A60,'Feature Raw Data'!$A$3:$C$4163,3,FALSE)</f>
        <v>P1</v>
      </c>
      <c r="D60" s="451" t="str" cm="1">
        <f t="array" ref="D60">_xlfn.TEXTJOIN("",TRUE,IF(ISNUMBER(SEARCH($A60,'Diags Raw Data'!$A$7:$A$4094)),CONCATENATE('Diags Raw Data'!$H$7:$H$4094,", "),""))</f>
        <v xml:space="preserve">PM80.993, </v>
      </c>
      <c r="E60" s="261" t="str">
        <f>VLOOKUP(A60,'Diags Raw Data'!$A$7:$D$3715,4,FALSE)</f>
        <v>SMUIO</v>
      </c>
      <c r="F60" s="261" t="str">
        <f>VLOOKUP(A60,'Feature Raw Data'!$A$3:$E$3783,5,FALSE)</f>
        <v>Delta</v>
      </c>
      <c r="G60" s="261" t="s">
        <v>31</v>
      </c>
      <c r="H60" s="261" t="s">
        <v>31</v>
      </c>
      <c r="I60" s="260">
        <v>1</v>
      </c>
      <c r="J60" s="262">
        <v>1</v>
      </c>
      <c r="K60" s="322" cm="1">
        <f t="array" ref="K60">IF(D60="",0, SUMPRODUCT(--(ISNUMBER(SEARCH($A60,'Diags Raw Data'!$A$7:$A$3715))),'Diags Raw Data'!$L$7:$L$3715,'Diags Raw Data'!$N$7:$N$3715)/J60)</f>
        <v>1</v>
      </c>
      <c r="L60" s="323" cm="1">
        <f t="array" ref="L60">IF(D60="",0, SUMPRODUCT(--(ISNUMBER(SEARCH($A60,'Diags Raw Data'!$A$7:$A$3715))),'Diags Raw Data'!$L$7:$L$3715,'Diags Raw Data'!$P$7:$P$3715)/J60)</f>
        <v>0</v>
      </c>
      <c r="M60" s="324" cm="1">
        <f t="array" ref="M60">SUMPRODUCT(--(ISNUMBER(SEARCH($A60,'Diags Raw Data'!$A$7:$A$3715))),--('Diags Raw Data'!$Q$7:$Q$3715&lt;&gt;"N/A"),'Diags Raw Data'!$R$7:$R$3715)</f>
        <v>1</v>
      </c>
      <c r="N60" s="325" cm="1">
        <f t="array" ref="N60">SUMPRODUCT(--(ISNUMBER(SEARCH($A60,'Diags Raw Data'!$A$7:$A$3715))),--('Diags Raw Data'!$Q$7:$Q$3715&lt;&gt;"N/A"),'Diags Raw Data'!$T$7:$T$3715)+SUMPRODUCT(--(ISNUMBER(SEARCH($A60,'Diags Raw Data'!$A$7:$A$3715))),--('Diags Raw Data'!$Q$7:$Q$3715&lt;&gt;"N/A"),'Diags Raw Data'!$U$7:$U$3715)</f>
        <v>0</v>
      </c>
      <c r="O60" s="363">
        <f t="shared" si="4"/>
        <v>0</v>
      </c>
      <c r="P60" s="326">
        <f>SUMIF('Diags Raw Data'!$A$7:$A$3715,"*"&amp;$A60&amp;"*",'Diags Raw Data'!$Z$7:$Z$3715)</f>
        <v>0</v>
      </c>
      <c r="Q60" s="327">
        <f>SUM(SUMIF('Diags Raw Data'!$A$7:$A$3715,"*"&amp;$A60&amp;"*",'Diags Raw Data'!$AA$7:$AA$3715),SUMIF('Diags Raw Data'!$A$7:$A$3715,"*"&amp;$A60&amp;"*",'Diags Raw Data'!$AB$7:$AB$3715))</f>
        <v>0</v>
      </c>
      <c r="R60" s="328">
        <f t="shared" si="5"/>
        <v>0</v>
      </c>
      <c r="S60" s="328">
        <f t="shared" si="6"/>
        <v>0</v>
      </c>
      <c r="T60" s="329">
        <f t="shared" si="7"/>
        <v>0</v>
      </c>
      <c r="U60" s="458" t="s">
        <v>689</v>
      </c>
    </row>
    <row r="61" spans="1:25" ht="15" thickBot="1" x14ac:dyDescent="0.4">
      <c r="A61" s="447" t="s">
        <v>440</v>
      </c>
      <c r="B61" s="480" t="str">
        <f>VLOOKUP(A61,'Feature Raw Data'!$A$3:$B$3934,2,FALSE)</f>
        <v>I2C Done interrupt to MP1</v>
      </c>
      <c r="C61" s="447" t="str">
        <f>VLOOKUP(A61,'Feature Raw Data'!$A$3:$C$4163,3,FALSE)</f>
        <v>P1</v>
      </c>
      <c r="D61" s="451" t="str" cm="1">
        <f t="array" ref="D61">_xlfn.TEXTJOIN("",TRUE,IF(ISNUMBER(SEARCH($A61,'Diags Raw Data'!$A$7:$A$4094)),CONCATENATE('Diags Raw Data'!$H$7:$H$4094,", "),""))</f>
        <v xml:space="preserve">PM80.993, </v>
      </c>
      <c r="E61" s="261" t="str">
        <f>VLOOKUP(A61,'Diags Raw Data'!$A$7:$D$3715,4,FALSE)</f>
        <v>SMUIO</v>
      </c>
      <c r="F61" s="261" t="str">
        <f>VLOOKUP(A61,'Feature Raw Data'!$A$3:$E$3783,5,FALSE)</f>
        <v>Delta</v>
      </c>
      <c r="G61" s="261" t="s">
        <v>31</v>
      </c>
      <c r="H61" s="261" t="s">
        <v>31</v>
      </c>
      <c r="I61" s="260">
        <v>1</v>
      </c>
      <c r="J61" s="262">
        <v>1</v>
      </c>
      <c r="K61" s="322" cm="1">
        <f t="array" ref="K61">IF(D61="",0, SUMPRODUCT(--(ISNUMBER(SEARCH($A61,'Diags Raw Data'!$A$7:$A$3715))),'Diags Raw Data'!$L$7:$L$3715,'Diags Raw Data'!$N$7:$N$3715)/J61)</f>
        <v>1</v>
      </c>
      <c r="L61" s="323" cm="1">
        <f t="array" ref="L61">IF(D61="",0, SUMPRODUCT(--(ISNUMBER(SEARCH($A61,'Diags Raw Data'!$A$7:$A$3715))),'Diags Raw Data'!$L$7:$L$3715,'Diags Raw Data'!$P$7:$P$3715)/J61)</f>
        <v>0</v>
      </c>
      <c r="M61" s="324" cm="1">
        <f t="array" ref="M61">SUMPRODUCT(--(ISNUMBER(SEARCH($A61,'Diags Raw Data'!$A$7:$A$3715))),--('Diags Raw Data'!$Q$7:$Q$3715&lt;&gt;"N/A"),'Diags Raw Data'!$R$7:$R$3715)</f>
        <v>1</v>
      </c>
      <c r="N61" s="325" cm="1">
        <f t="array" ref="N61">SUMPRODUCT(--(ISNUMBER(SEARCH($A61,'Diags Raw Data'!$A$7:$A$3715))),--('Diags Raw Data'!$Q$7:$Q$3715&lt;&gt;"N/A"),'Diags Raw Data'!$T$7:$T$3715)+SUMPRODUCT(--(ISNUMBER(SEARCH($A61,'Diags Raw Data'!$A$7:$A$3715))),--('Diags Raw Data'!$Q$7:$Q$3715&lt;&gt;"N/A"),'Diags Raw Data'!$U$7:$U$3715)</f>
        <v>0</v>
      </c>
      <c r="O61" s="363">
        <f t="shared" si="4"/>
        <v>0</v>
      </c>
      <c r="P61" s="326">
        <f>SUMIF('Diags Raw Data'!$A$7:$A$3715,"*"&amp;$A61&amp;"*",'Diags Raw Data'!$Z$7:$Z$3715)</f>
        <v>0</v>
      </c>
      <c r="Q61" s="327">
        <f>SUM(SUMIF('Diags Raw Data'!$A$7:$A$3715,"*"&amp;$A61&amp;"*",'Diags Raw Data'!$AA$7:$AA$3715),SUMIF('Diags Raw Data'!$A$7:$A$3715,"*"&amp;$A61&amp;"*",'Diags Raw Data'!$AB$7:$AB$3715))</f>
        <v>0</v>
      </c>
      <c r="R61" s="328">
        <f t="shared" si="5"/>
        <v>0</v>
      </c>
      <c r="S61" s="328">
        <f t="shared" si="6"/>
        <v>0</v>
      </c>
      <c r="T61" s="329">
        <f t="shared" si="7"/>
        <v>0</v>
      </c>
      <c r="U61" s="458" t="s">
        <v>690</v>
      </c>
    </row>
    <row r="62" spans="1:25" ht="15" thickBot="1" x14ac:dyDescent="0.4">
      <c r="A62" s="447" t="s">
        <v>441</v>
      </c>
      <c r="B62" s="480" t="str">
        <f>VLOOKUP(A62,'Feature Raw Data'!$A$3:$B$3934,2,FALSE)</f>
        <v>Check I2C Communication for I2C Controller Instance</v>
      </c>
      <c r="C62" s="447" t="str">
        <f>VLOOKUP(A62,'Feature Raw Data'!$A$3:$C$4163,3,FALSE)</f>
        <v>P2</v>
      </c>
      <c r="D62" s="451" t="str" cm="1">
        <f t="array" ref="D62">_xlfn.TEXTJOIN("",TRUE,IF(ISNUMBER(SEARCH($A62,'Diags Raw Data'!$A$7:$A$4094)),CONCATENATE('Diags Raw Data'!$H$7:$H$4094,", "),""))</f>
        <v xml:space="preserve">PM80.993, </v>
      </c>
      <c r="E62" s="261" t="str">
        <f>VLOOKUP(A62,'Diags Raw Data'!$A$7:$D$3715,4,FALSE)</f>
        <v>SMUIO</v>
      </c>
      <c r="F62" s="261" t="str">
        <f>VLOOKUP(A62,'Feature Raw Data'!$A$3:$E$3783,5,FALSE)</f>
        <v>Delta</v>
      </c>
      <c r="G62" s="261" t="s">
        <v>31</v>
      </c>
      <c r="H62" s="499" t="s">
        <v>31</v>
      </c>
      <c r="I62" s="260">
        <v>1</v>
      </c>
      <c r="J62" s="262">
        <v>1</v>
      </c>
      <c r="K62" s="322" cm="1">
        <f t="array" ref="K62">IF(D62="",0, SUMPRODUCT(--(ISNUMBER(SEARCH($A62,'Diags Raw Data'!$A$7:$A$3715))),'Diags Raw Data'!$L$7:$L$3715,'Diags Raw Data'!$N$7:$N$3715)/J62)</f>
        <v>1</v>
      </c>
      <c r="L62" s="323" cm="1">
        <f t="array" ref="L62">IF(D62="",0, SUMPRODUCT(--(ISNUMBER(SEARCH($A62,'Diags Raw Data'!$A$7:$A$3715))),'Diags Raw Data'!$L$7:$L$3715,'Diags Raw Data'!$P$7:$P$3715)/J62)</f>
        <v>0</v>
      </c>
      <c r="M62" s="324" cm="1">
        <f t="array" ref="M62">SUMPRODUCT(--(ISNUMBER(SEARCH($A62,'Diags Raw Data'!$A$7:$A$3715))),--('Diags Raw Data'!$Q$7:$Q$3715&lt;&gt;"N/A"),'Diags Raw Data'!$R$7:$R$3715)</f>
        <v>1</v>
      </c>
      <c r="N62" s="325" cm="1">
        <f t="array" ref="N62">SUMPRODUCT(--(ISNUMBER(SEARCH($A62,'Diags Raw Data'!$A$7:$A$3715))),--('Diags Raw Data'!$Q$7:$Q$3715&lt;&gt;"N/A"),'Diags Raw Data'!$T$7:$T$3715)+SUMPRODUCT(--(ISNUMBER(SEARCH($A62,'Diags Raw Data'!$A$7:$A$3715))),--('Diags Raw Data'!$Q$7:$Q$3715&lt;&gt;"N/A"),'Diags Raw Data'!$U$7:$U$3715)</f>
        <v>0</v>
      </c>
      <c r="O62" s="363">
        <f t="shared" si="4"/>
        <v>0</v>
      </c>
      <c r="P62" s="326">
        <f>SUMIF('Diags Raw Data'!$A$7:$A$3715,"*"&amp;$A62&amp;"*",'Diags Raw Data'!$Z$7:$Z$3715)</f>
        <v>0</v>
      </c>
      <c r="Q62" s="327">
        <f>SUM(SUMIF('Diags Raw Data'!$A$7:$A$3715,"*"&amp;$A62&amp;"*",'Diags Raw Data'!$AA$7:$AA$3715),SUMIF('Diags Raw Data'!$A$7:$A$3715,"*"&amp;$A62&amp;"*",'Diags Raw Data'!$AB$7:$AB$3715))</f>
        <v>0</v>
      </c>
      <c r="R62" s="328">
        <f t="shared" si="5"/>
        <v>0</v>
      </c>
      <c r="S62" s="328">
        <f t="shared" si="6"/>
        <v>0</v>
      </c>
      <c r="T62" s="329">
        <f t="shared" si="7"/>
        <v>0</v>
      </c>
      <c r="U62" s="458" t="s">
        <v>690</v>
      </c>
    </row>
    <row r="63" spans="1:25" ht="15" thickBot="1" x14ac:dyDescent="0.4">
      <c r="A63" s="447" t="s">
        <v>607</v>
      </c>
      <c r="B63" s="480" t="str">
        <f>VLOOKUP(A63,'Feature Raw Data'!$A$3:$B$3934,2,FALSE)</f>
        <v>GPIO input/output</v>
      </c>
      <c r="C63" s="447" t="str">
        <f>VLOOKUP(A63,'Feature Raw Data'!$A$3:$C$4163,3,FALSE)</f>
        <v>P3</v>
      </c>
      <c r="D63" s="451" t="str" cm="1">
        <f t="array" ref="D63">_xlfn.TEXTJOIN("",TRUE,IF(ISNUMBER(SEARCH($A63,'Diags Raw Data'!$A$7:$A$4094)),CONCATENATE('Diags Raw Data'!$H$7:$H$4094,", "),""))</f>
        <v/>
      </c>
      <c r="E63" s="261" t="e">
        <f>VLOOKUP(A63,'Diags Raw Data'!$A$7:$D$3715,4,FALSE)</f>
        <v>#N/A</v>
      </c>
      <c r="F63" s="261" t="str">
        <f>VLOOKUP(A63,'Feature Raw Data'!$A$3:$E$3783,5,FALSE)</f>
        <v>Legacy</v>
      </c>
      <c r="G63" s="261" t="s">
        <v>31</v>
      </c>
      <c r="H63" s="261" t="s">
        <v>36</v>
      </c>
      <c r="I63" s="260">
        <f>SUMIF('Diags Raw Data'!$A$7:$A$3715,"*"&amp;$A63&amp;"*",'Diags Raw Data'!$K$7:$K$3715)</f>
        <v>0</v>
      </c>
      <c r="J63" s="262">
        <f>SUMIF('Diags Raw Data'!$A$7:$A$3715,"*"&amp;$A63&amp;"*",'Diags Raw Data'!$L$7:$L$3715)</f>
        <v>0</v>
      </c>
      <c r="K63" s="322" cm="1">
        <f t="array" ref="K63">IF(D63="",0, SUMPRODUCT(--(ISNUMBER(SEARCH($A63,'Diags Raw Data'!$A$7:$A$3715))),'Diags Raw Data'!$L$7:$L$3715,'Diags Raw Data'!$N$7:$N$3715)/J63)</f>
        <v>0</v>
      </c>
      <c r="L63" s="323" cm="1">
        <f t="array" ref="L63">IF(D63="",0, SUMPRODUCT(--(ISNUMBER(SEARCH($A63,'Diags Raw Data'!$A$7:$A$3715))),'Diags Raw Data'!$L$7:$L$3715,'Diags Raw Data'!$P$7:$P$3715)/J63)</f>
        <v>0</v>
      </c>
      <c r="M63" s="324" cm="1">
        <f t="array" ref="M63">SUMPRODUCT(--(ISNUMBER(SEARCH($A63,'Diags Raw Data'!$A$7:$A$3715))),--('Diags Raw Data'!$Q$7:$Q$3715&lt;&gt;"N/A"),'Diags Raw Data'!$R$7:$R$3715)</f>
        <v>0</v>
      </c>
      <c r="N63" s="325" cm="1">
        <f t="array" ref="N63">SUMPRODUCT(--(ISNUMBER(SEARCH($A63,'Diags Raw Data'!$A$7:$A$3715))),--('Diags Raw Data'!$Q$7:$Q$3715&lt;&gt;"N/A"),'Diags Raw Data'!$T$7:$T$3715)+SUMPRODUCT(--(ISNUMBER(SEARCH($A63,'Diags Raw Data'!$A$7:$A$3715))),--('Diags Raw Data'!$Q$7:$Q$3715&lt;&gt;"N/A"),'Diags Raw Data'!$U$7:$U$3715)</f>
        <v>0</v>
      </c>
      <c r="O63" s="363">
        <f t="shared" si="4"/>
        <v>0</v>
      </c>
      <c r="P63" s="326">
        <f>SUMIF('Diags Raw Data'!$A$7:$A$3715,"*"&amp;$A63&amp;"*",'Diags Raw Data'!$Z$7:$Z$3715)</f>
        <v>0</v>
      </c>
      <c r="Q63" s="327">
        <f>SUM(SUMIF('Diags Raw Data'!$A$7:$A$3715,"*"&amp;$A63&amp;"*",'Diags Raw Data'!$AA$7:$AA$3715),SUMIF('Diags Raw Data'!$A$7:$A$3715,"*"&amp;$A63&amp;"*",'Diags Raw Data'!$AB$7:$AB$3715))</f>
        <v>0</v>
      </c>
      <c r="R63" s="328">
        <f t="shared" si="5"/>
        <v>0</v>
      </c>
      <c r="S63" s="328">
        <f t="shared" si="6"/>
        <v>0</v>
      </c>
      <c r="T63" s="329">
        <f t="shared" si="7"/>
        <v>0</v>
      </c>
      <c r="U63" s="366" t="s">
        <v>682</v>
      </c>
    </row>
    <row r="64" spans="1:25" s="168" customFormat="1" ht="15" thickBot="1" x14ac:dyDescent="0.4">
      <c r="A64" s="447" t="s">
        <v>609</v>
      </c>
      <c r="B64" s="480" t="str">
        <f>VLOOKUP(A64,'Feature Raw Data'!$A$3:$B$3934,2,FALSE)</f>
        <v>GPIO interrupt mask/edge/level</v>
      </c>
      <c r="C64" s="447" t="str">
        <f>VLOOKUP(A64,'Feature Raw Data'!$A$3:$C$4163,3,FALSE)</f>
        <v>P3</v>
      </c>
      <c r="D64" s="451" t="str" cm="1">
        <f t="array" ref="D64">_xlfn.TEXTJOIN("",TRUE,IF(ISNUMBER(SEARCH($A64,'Diags Raw Data'!$A$7:$A$4094)),CONCATENATE('Diags Raw Data'!$H$7:$H$4094,", "),""))</f>
        <v/>
      </c>
      <c r="E64" s="261" t="e">
        <f>VLOOKUP(A64,'Diags Raw Data'!$A$7:$D$3715,4,FALSE)</f>
        <v>#N/A</v>
      </c>
      <c r="F64" s="261" t="str">
        <f>VLOOKUP(A64,'Feature Raw Data'!$A$3:$E$3783,5,FALSE)</f>
        <v>Legacy</v>
      </c>
      <c r="G64" s="261" t="s">
        <v>31</v>
      </c>
      <c r="H64" s="261" t="s">
        <v>36</v>
      </c>
      <c r="I64" s="260">
        <f>SUMIF('Diags Raw Data'!$A$7:$A$3715,"*"&amp;$A64&amp;"*",'Diags Raw Data'!$K$7:$K$3715)</f>
        <v>0</v>
      </c>
      <c r="J64" s="262">
        <f>SUMIF('Diags Raw Data'!$A$7:$A$3715,"*"&amp;$A64&amp;"*",'Diags Raw Data'!$L$7:$L$3715)</f>
        <v>0</v>
      </c>
      <c r="K64" s="322" cm="1">
        <f t="array" ref="K64">IF(D64="",0, SUMPRODUCT(--(ISNUMBER(SEARCH($A64,'Diags Raw Data'!$A$7:$A$3715))),'Diags Raw Data'!$L$7:$L$3715,'Diags Raw Data'!$N$7:$N$3715)/J64)</f>
        <v>0</v>
      </c>
      <c r="L64" s="323" cm="1">
        <f t="array" ref="L64">IF(D64="",0, SUMPRODUCT(--(ISNUMBER(SEARCH($A64,'Diags Raw Data'!$A$7:$A$3715))),'Diags Raw Data'!$L$7:$L$3715,'Diags Raw Data'!$P$7:$P$3715)/J64)</f>
        <v>0</v>
      </c>
      <c r="M64" s="324" cm="1">
        <f t="array" ref="M64">SUMPRODUCT(--(ISNUMBER(SEARCH($A64,'Diags Raw Data'!$A$7:$A$3715))),--('Diags Raw Data'!$Q$7:$Q$3715&lt;&gt;"N/A"),'Diags Raw Data'!$R$7:$R$3715)</f>
        <v>0</v>
      </c>
      <c r="N64" s="325" cm="1">
        <f t="array" ref="N64">SUMPRODUCT(--(ISNUMBER(SEARCH($A64,'Diags Raw Data'!$A$7:$A$3715))),--('Diags Raw Data'!$Q$7:$Q$3715&lt;&gt;"N/A"),'Diags Raw Data'!$T$7:$T$3715)+SUMPRODUCT(--(ISNUMBER(SEARCH($A64,'Diags Raw Data'!$A$7:$A$3715))),--('Diags Raw Data'!$Q$7:$Q$3715&lt;&gt;"N/A"),'Diags Raw Data'!$U$7:$U$3715)</f>
        <v>0</v>
      </c>
      <c r="O64" s="363">
        <f t="shared" si="4"/>
        <v>0</v>
      </c>
      <c r="P64" s="326">
        <f>SUMIF('Diags Raw Data'!$A$7:$A$3715,"*"&amp;$A64&amp;"*",'Diags Raw Data'!$Z$7:$Z$3715)</f>
        <v>0</v>
      </c>
      <c r="Q64" s="327">
        <f>SUM(SUMIF('Diags Raw Data'!$A$7:$A$3715,"*"&amp;$A64&amp;"*",'Diags Raw Data'!$AA$7:$AA$3715),SUMIF('Diags Raw Data'!$A$7:$A$3715,"*"&amp;$A64&amp;"*",'Diags Raw Data'!$AB$7:$AB$3715))</f>
        <v>0</v>
      </c>
      <c r="R64" s="328">
        <f t="shared" si="5"/>
        <v>0</v>
      </c>
      <c r="S64" s="328">
        <f t="shared" si="6"/>
        <v>0</v>
      </c>
      <c r="T64" s="329">
        <f t="shared" si="7"/>
        <v>0</v>
      </c>
      <c r="U64" s="366" t="s">
        <v>682</v>
      </c>
      <c r="V64" s="167"/>
    </row>
    <row r="65" spans="1:25" ht="15" thickBot="1" x14ac:dyDescent="0.4">
      <c r="A65" s="447" t="s">
        <v>611</v>
      </c>
      <c r="B65" s="480" t="str">
        <f>VLOOKUP(A65,'Feature Raw Data'!$A$3:$B$3934,2,FALSE)</f>
        <v>GPIO PULL up/down</v>
      </c>
      <c r="C65" s="447" t="str">
        <f>VLOOKUP(A65,'Feature Raw Data'!$A$3:$C$4163,3,FALSE)</f>
        <v>P3</v>
      </c>
      <c r="D65" s="451" t="str" cm="1">
        <f t="array" ref="D65">_xlfn.TEXTJOIN("",TRUE,IF(ISNUMBER(SEARCH($A65,'Diags Raw Data'!$A$7:$A$4094)),CONCATENATE('Diags Raw Data'!$H$7:$H$4094,", "),""))</f>
        <v/>
      </c>
      <c r="E65" s="261" t="e">
        <f>VLOOKUP(A65,'Diags Raw Data'!$A$7:$D$3715,4,FALSE)</f>
        <v>#N/A</v>
      </c>
      <c r="F65" s="261" t="str">
        <f>VLOOKUP(A65,'Feature Raw Data'!$A$3:$E$3783,5,FALSE)</f>
        <v>Legacy</v>
      </c>
      <c r="G65" s="261" t="s">
        <v>31</v>
      </c>
      <c r="H65" s="261" t="s">
        <v>36</v>
      </c>
      <c r="I65" s="260">
        <f>SUMIF('Diags Raw Data'!$A$7:$A$3715,"*"&amp;$A65&amp;"*",'Diags Raw Data'!$K$7:$K$3715)</f>
        <v>0</v>
      </c>
      <c r="J65" s="262">
        <f>SUMIF('Diags Raw Data'!$A$7:$A$3715,"*"&amp;$A65&amp;"*",'Diags Raw Data'!$L$7:$L$3715)</f>
        <v>0</v>
      </c>
      <c r="K65" s="322" cm="1">
        <f t="array" ref="K65">IF(D65="",0, SUMPRODUCT(--(ISNUMBER(SEARCH($A65,'Diags Raw Data'!$A$7:$A$3715))),'Diags Raw Data'!$L$7:$L$3715,'Diags Raw Data'!$N$7:$N$3715)/J65)</f>
        <v>0</v>
      </c>
      <c r="L65" s="323" cm="1">
        <f t="array" ref="L65">IF(D65="",0, SUMPRODUCT(--(ISNUMBER(SEARCH($A65,'Diags Raw Data'!$A$7:$A$3715))),'Diags Raw Data'!$L$7:$L$3715,'Diags Raw Data'!$P$7:$P$3715)/J65)</f>
        <v>0</v>
      </c>
      <c r="M65" s="324" cm="1">
        <f t="array" ref="M65">SUMPRODUCT(--(ISNUMBER(SEARCH($A65,'Diags Raw Data'!$A$7:$A$3715))),--('Diags Raw Data'!$Q$7:$Q$3715&lt;&gt;"N/A"),'Diags Raw Data'!$R$7:$R$3715)</f>
        <v>0</v>
      </c>
      <c r="N65" s="325" cm="1">
        <f t="array" ref="N65">SUMPRODUCT(--(ISNUMBER(SEARCH($A65,'Diags Raw Data'!$A$7:$A$3715))),--('Diags Raw Data'!$Q$7:$Q$3715&lt;&gt;"N/A"),'Diags Raw Data'!$T$7:$T$3715)+SUMPRODUCT(--(ISNUMBER(SEARCH($A65,'Diags Raw Data'!$A$7:$A$3715))),--('Diags Raw Data'!$Q$7:$Q$3715&lt;&gt;"N/A"),'Diags Raw Data'!$U$7:$U$3715)</f>
        <v>0</v>
      </c>
      <c r="O65" s="363">
        <f t="shared" ref="O65:O103" si="36">IF((M65=0),0,N65/M65)</f>
        <v>0</v>
      </c>
      <c r="P65" s="326">
        <f>SUMIF('Diags Raw Data'!$A$7:$A$3715,"*"&amp;$A65&amp;"*",'Diags Raw Data'!$Z$7:$Z$3715)</f>
        <v>0</v>
      </c>
      <c r="Q65" s="327">
        <f>SUM(SUMIF('Diags Raw Data'!$A$7:$A$3715,"*"&amp;$A65&amp;"*",'Diags Raw Data'!$AA$7:$AA$3715),SUMIF('Diags Raw Data'!$A$7:$A$3715,"*"&amp;$A65&amp;"*",'Diags Raw Data'!$AB$7:$AB$3715))</f>
        <v>0</v>
      </c>
      <c r="R65" s="328">
        <f t="shared" ref="R65:R103" si="37">IF((J65=0),0,P65/J65)</f>
        <v>0</v>
      </c>
      <c r="S65" s="328">
        <f t="shared" ref="S65:S103" si="38">IF((P65=0),0,Q65/P65)</f>
        <v>0</v>
      </c>
      <c r="T65" s="329">
        <f t="shared" ref="T65:T103" si="39">R65*S65</f>
        <v>0</v>
      </c>
      <c r="U65" s="366" t="s">
        <v>682</v>
      </c>
    </row>
    <row r="66" spans="1:25" ht="15" thickBot="1" x14ac:dyDescent="0.4">
      <c r="A66" s="447" t="s">
        <v>613</v>
      </c>
      <c r="B66" s="480" t="str">
        <f>VLOOKUP(A66,'Feature Raw Data'!$A$3:$B$3934,2,FALSE)</f>
        <v>ROM read from both ROM_INDEX and MP1 Regs</v>
      </c>
      <c r="C66" s="447" t="str">
        <f>VLOOKUP(A66,'Feature Raw Data'!$A$3:$C$4163,3,FALSE)</f>
        <v>P3</v>
      </c>
      <c r="D66" s="451" t="str" cm="1">
        <f t="array" ref="D66">_xlfn.TEXTJOIN("",TRUE,IF(ISNUMBER(SEARCH($A66,'Diags Raw Data'!$A$7:$A$4094)),CONCATENATE('Diags Raw Data'!$H$7:$H$4094,", "),""))</f>
        <v/>
      </c>
      <c r="E66" s="261" t="e">
        <f>VLOOKUP(A66,'Diags Raw Data'!$A$7:$D$3715,4,FALSE)</f>
        <v>#N/A</v>
      </c>
      <c r="F66" s="261" t="str">
        <f>VLOOKUP(A66,'Feature Raw Data'!$A$3:$E$3783,5,FALSE)</f>
        <v>Legacy</v>
      </c>
      <c r="G66" s="261" t="s">
        <v>31</v>
      </c>
      <c r="H66" s="261" t="s">
        <v>36</v>
      </c>
      <c r="I66" s="260">
        <v>0</v>
      </c>
      <c r="J66" s="262">
        <v>0</v>
      </c>
      <c r="K66" s="322" cm="1">
        <f t="array" ref="K66">IF(D66="",0, SUMPRODUCT(--(ISNUMBER(SEARCH($A66,'Diags Raw Data'!$A$7:$A$3715))),'Diags Raw Data'!$L$7:$L$3715,'Diags Raw Data'!$N$7:$N$3715)/J66)</f>
        <v>0</v>
      </c>
      <c r="L66" s="323" cm="1">
        <f t="array" ref="L66">IF(D66="",0, SUMPRODUCT(--(ISNUMBER(SEARCH($A66,'Diags Raw Data'!$A$7:$A$3715))),'Diags Raw Data'!$L$7:$L$3715,'Diags Raw Data'!$P$7:$P$3715)/J66)</f>
        <v>0</v>
      </c>
      <c r="M66" s="324" cm="1">
        <f t="array" ref="M66">SUMPRODUCT(--(ISNUMBER(SEARCH($A66,'Diags Raw Data'!$A$7:$A$3715))),--('Diags Raw Data'!$Q$7:$Q$3715&lt;&gt;"N/A"),'Diags Raw Data'!$R$7:$R$3715)</f>
        <v>0</v>
      </c>
      <c r="N66" s="325" cm="1">
        <f t="array" ref="N66">SUMPRODUCT(--(ISNUMBER(SEARCH($A66,'Diags Raw Data'!$A$7:$A$3715))),--('Diags Raw Data'!$Q$7:$Q$3715&lt;&gt;"N/A"),'Diags Raw Data'!$T$7:$T$3715)+SUMPRODUCT(--(ISNUMBER(SEARCH($A66,'Diags Raw Data'!$A$7:$A$3715))),--('Diags Raw Data'!$Q$7:$Q$3715&lt;&gt;"N/A"),'Diags Raw Data'!$U$7:$U$3715)</f>
        <v>0</v>
      </c>
      <c r="O66" s="363">
        <f t="shared" si="36"/>
        <v>0</v>
      </c>
      <c r="P66" s="326">
        <f>SUMIF('Diags Raw Data'!$A$7:$A$3715,"*"&amp;$A66&amp;"*",'Diags Raw Data'!$Z$7:$Z$3715)</f>
        <v>0</v>
      </c>
      <c r="Q66" s="327">
        <f>SUM(SUMIF('Diags Raw Data'!$A$7:$A$3715,"*"&amp;$A66&amp;"*",'Diags Raw Data'!$AA$7:$AA$3715),SUMIF('Diags Raw Data'!$A$7:$A$3715,"*"&amp;$A66&amp;"*",'Diags Raw Data'!$AB$7:$AB$3715))</f>
        <v>0</v>
      </c>
      <c r="R66" s="328">
        <f t="shared" si="37"/>
        <v>0</v>
      </c>
      <c r="S66" s="328">
        <f t="shared" si="38"/>
        <v>0</v>
      </c>
      <c r="T66" s="329">
        <f t="shared" si="39"/>
        <v>0</v>
      </c>
      <c r="U66" s="366" t="s">
        <v>685</v>
      </c>
    </row>
    <row r="67" spans="1:25" ht="15" thickBot="1" x14ac:dyDescent="0.4">
      <c r="A67" s="447" t="s">
        <v>615</v>
      </c>
      <c r="B67" s="480" t="str">
        <f>VLOOKUP(A67,'Feature Raw Data'!$A$3:$B$3934,2,FALSE)</f>
        <v>ROM read/write</v>
      </c>
      <c r="C67" s="447" t="str">
        <f>VLOOKUP(A67,'Feature Raw Data'!$A$3:$C$4163,3,FALSE)</f>
        <v>P3</v>
      </c>
      <c r="D67" s="451" t="str" cm="1">
        <f t="array" ref="D67">_xlfn.TEXTJOIN("",TRUE,IF(ISNUMBER(SEARCH($A67,'Diags Raw Data'!$A$7:$A$4094)),CONCATENATE('Diags Raw Data'!$H$7:$H$4094,", "),""))</f>
        <v/>
      </c>
      <c r="E67" s="261" t="e">
        <f>VLOOKUP(A67,'Diags Raw Data'!$A$7:$D$3715,4,FALSE)</f>
        <v>#N/A</v>
      </c>
      <c r="F67" s="261" t="str">
        <f>VLOOKUP(A67,'Feature Raw Data'!$A$3:$E$3783,5,FALSE)</f>
        <v>Legacy</v>
      </c>
      <c r="G67" s="261" t="s">
        <v>31</v>
      </c>
      <c r="H67" s="261" t="s">
        <v>36</v>
      </c>
      <c r="I67" s="260">
        <v>0</v>
      </c>
      <c r="J67" s="262">
        <v>0</v>
      </c>
      <c r="K67" s="322" cm="1">
        <f t="array" ref="K67">IF(D67="",0, SUMPRODUCT(--(ISNUMBER(SEARCH($A67,'Diags Raw Data'!$A$7:$A$3715))),'Diags Raw Data'!$L$7:$L$3715,'Diags Raw Data'!$N$7:$N$3715)/J67)</f>
        <v>0</v>
      </c>
      <c r="L67" s="323" cm="1">
        <f t="array" ref="L67">IF(D67="",0, SUMPRODUCT(--(ISNUMBER(SEARCH($A67,'Diags Raw Data'!$A$7:$A$3715))),'Diags Raw Data'!$L$7:$L$3715,'Diags Raw Data'!$P$7:$P$3715)/J67)</f>
        <v>0</v>
      </c>
      <c r="M67" s="324" cm="1">
        <f t="array" ref="M67">SUMPRODUCT(--(ISNUMBER(SEARCH($A67,'Diags Raw Data'!$A$7:$A$3715))),--('Diags Raw Data'!$Q$7:$Q$3715&lt;&gt;"N/A"),'Diags Raw Data'!$R$7:$R$3715)</f>
        <v>0</v>
      </c>
      <c r="N67" s="325" cm="1">
        <f t="array" ref="N67">SUMPRODUCT(--(ISNUMBER(SEARCH($A67,'Diags Raw Data'!$A$7:$A$3715))),--('Diags Raw Data'!$Q$7:$Q$3715&lt;&gt;"N/A"),'Diags Raw Data'!$T$7:$T$3715)+SUMPRODUCT(--(ISNUMBER(SEARCH($A67,'Diags Raw Data'!$A$7:$A$3715))),--('Diags Raw Data'!$Q$7:$Q$3715&lt;&gt;"N/A"),'Diags Raw Data'!$U$7:$U$3715)</f>
        <v>0</v>
      </c>
      <c r="O67" s="363">
        <f t="shared" si="36"/>
        <v>0</v>
      </c>
      <c r="P67" s="326">
        <f>SUMIF('Diags Raw Data'!$A$7:$A$3715,"*"&amp;$A67&amp;"*",'Diags Raw Data'!$Z$7:$Z$3715)</f>
        <v>0</v>
      </c>
      <c r="Q67" s="327">
        <f>SUM(SUMIF('Diags Raw Data'!$A$7:$A$3715,"*"&amp;$A67&amp;"*",'Diags Raw Data'!$AA$7:$AA$3715),SUMIF('Diags Raw Data'!$A$7:$A$3715,"*"&amp;$A67&amp;"*",'Diags Raw Data'!$AB$7:$AB$3715))</f>
        <v>0</v>
      </c>
      <c r="R67" s="328">
        <f t="shared" si="37"/>
        <v>0</v>
      </c>
      <c r="S67" s="328">
        <f t="shared" si="38"/>
        <v>0</v>
      </c>
      <c r="T67" s="329">
        <f t="shared" si="39"/>
        <v>0</v>
      </c>
      <c r="U67" s="366" t="s">
        <v>685</v>
      </c>
    </row>
    <row r="68" spans="1:25" ht="15" thickBot="1" x14ac:dyDescent="0.4">
      <c r="A68" s="447" t="s">
        <v>617</v>
      </c>
      <c r="B68" s="480" t="str">
        <f>VLOOKUP(A68,'Feature Raw Data'!$A$3:$B$3934,2,FALSE)</f>
        <v>Config ROM index/data Auto-increment on/off</v>
      </c>
      <c r="C68" s="447" t="str">
        <f>VLOOKUP(A68,'Feature Raw Data'!$A$3:$C$4163,3,FALSE)</f>
        <v>P3</v>
      </c>
      <c r="D68" s="451" t="str" cm="1">
        <f t="array" ref="D68">_xlfn.TEXTJOIN("",TRUE,IF(ISNUMBER(SEARCH($A68,'Diags Raw Data'!$A$7:$A$4094)),CONCATENATE('Diags Raw Data'!$H$7:$H$4094,", "),""))</f>
        <v/>
      </c>
      <c r="E68" s="261" t="e">
        <f>VLOOKUP(A68,'Diags Raw Data'!$A$7:$D$3715,4,FALSE)</f>
        <v>#N/A</v>
      </c>
      <c r="F68" s="261" t="str">
        <f>VLOOKUP(A68,'Feature Raw Data'!$A$3:$E$3783,5,FALSE)</f>
        <v>Legacy</v>
      </c>
      <c r="G68" s="261" t="s">
        <v>31</v>
      </c>
      <c r="H68" s="261" t="s">
        <v>36</v>
      </c>
      <c r="I68" s="260">
        <v>0</v>
      </c>
      <c r="J68" s="262">
        <v>0</v>
      </c>
      <c r="K68" s="322" cm="1">
        <f t="array" ref="K68">IF(D68="",0, SUMPRODUCT(--(ISNUMBER(SEARCH($A68,'Diags Raw Data'!$A$7:$A$3715))),'Diags Raw Data'!$L$7:$L$3715,'Diags Raw Data'!$N$7:$N$3715)/J68)</f>
        <v>0</v>
      </c>
      <c r="L68" s="323" cm="1">
        <f t="array" ref="L68">IF(D68="",0, SUMPRODUCT(--(ISNUMBER(SEARCH($A68,'Diags Raw Data'!$A$7:$A$3715))),'Diags Raw Data'!$L$7:$L$3715,'Diags Raw Data'!$P$7:$P$3715)/J68)</f>
        <v>0</v>
      </c>
      <c r="M68" s="324" cm="1">
        <f t="array" ref="M68">SUMPRODUCT(--(ISNUMBER(SEARCH($A68,'Diags Raw Data'!$A$7:$A$3715))),--('Diags Raw Data'!$Q$7:$Q$3715&lt;&gt;"N/A"),'Diags Raw Data'!$R$7:$R$3715)</f>
        <v>0</v>
      </c>
      <c r="N68" s="325" cm="1">
        <f t="array" ref="N68">SUMPRODUCT(--(ISNUMBER(SEARCH($A68,'Diags Raw Data'!$A$7:$A$3715))),--('Diags Raw Data'!$Q$7:$Q$3715&lt;&gt;"N/A"),'Diags Raw Data'!$T$7:$T$3715)+SUMPRODUCT(--(ISNUMBER(SEARCH($A68,'Diags Raw Data'!$A$7:$A$3715))),--('Diags Raw Data'!$Q$7:$Q$3715&lt;&gt;"N/A"),'Diags Raw Data'!$U$7:$U$3715)</f>
        <v>0</v>
      </c>
      <c r="O68" s="363">
        <f t="shared" si="36"/>
        <v>0</v>
      </c>
      <c r="P68" s="326">
        <f>SUMIF('Diags Raw Data'!$A$7:$A$3715,"*"&amp;$A68&amp;"*",'Diags Raw Data'!$Z$7:$Z$3715)</f>
        <v>0</v>
      </c>
      <c r="Q68" s="327">
        <f>SUM(SUMIF('Diags Raw Data'!$A$7:$A$3715,"*"&amp;$A68&amp;"*",'Diags Raw Data'!$AA$7:$AA$3715),SUMIF('Diags Raw Data'!$A$7:$A$3715,"*"&amp;$A68&amp;"*",'Diags Raw Data'!$AB$7:$AB$3715))</f>
        <v>0</v>
      </c>
      <c r="R68" s="328">
        <f t="shared" si="37"/>
        <v>0</v>
      </c>
      <c r="S68" s="328">
        <f t="shared" si="38"/>
        <v>0</v>
      </c>
      <c r="T68" s="329">
        <f t="shared" si="39"/>
        <v>0</v>
      </c>
      <c r="U68" s="366" t="s">
        <v>685</v>
      </c>
    </row>
    <row r="69" spans="1:25" ht="44" thickBot="1" x14ac:dyDescent="0.4">
      <c r="A69" s="447" t="s">
        <v>363</v>
      </c>
      <c r="B69" s="480" t="str">
        <f>VLOOKUP(A69,'Feature Raw Data'!$A$3:$B$3934,2,FALSE)</f>
        <v>High speed SVI3</v>
      </c>
      <c r="C69" s="447" t="str">
        <f>VLOOKUP(A69,'Feature Raw Data'!$A$3:$C$4163,3,FALSE)</f>
        <v>P2</v>
      </c>
      <c r="D69" s="451" t="str" cm="1">
        <f t="array" ref="D69">_xlfn.TEXTJOIN("",TRUE,IF(ISNUMBER(SEARCH($A69,'Diags Raw Data'!$A$7:$A$4094)),CONCATENATE('Diags Raw Data'!$H$7:$H$4094,", "),""))</f>
        <v xml:space="preserve">PM033.004, PM033.005, PM033.020, PM033.021, PM033.022, PM033.023, VID Sweep, </v>
      </c>
      <c r="E69" s="261" t="str">
        <f>VLOOKUP(A69,'Diags Raw Data'!$A$7:$D$3715,4,FALSE)</f>
        <v>SMUIO</v>
      </c>
      <c r="F69" s="261" t="str">
        <f>VLOOKUP(A69,'Feature Raw Data'!$A$3:$E$3783,5,FALSE)</f>
        <v>Delta</v>
      </c>
      <c r="G69" s="261" t="s">
        <v>31</v>
      </c>
      <c r="H69" s="499" t="s">
        <v>31</v>
      </c>
      <c r="I69" s="260">
        <v>1</v>
      </c>
      <c r="J69" s="262">
        <v>1</v>
      </c>
      <c r="K69" s="322" cm="1">
        <f t="array" ref="K69">IF(D69="",0, SUMPRODUCT(--(ISNUMBER(SEARCH($A69,'Diags Raw Data'!$A$7:$A$3715))),'Diags Raw Data'!$L$7:$L$3715,'Diags Raw Data'!$N$7:$N$3715)/J69)</f>
        <v>7</v>
      </c>
      <c r="L69" s="323" cm="1">
        <f t="array" ref="L69">IF(D69="",0, SUMPRODUCT(--(ISNUMBER(SEARCH($A69,'Diags Raw Data'!$A$7:$A$3715))),'Diags Raw Data'!$L$7:$L$3715,'Diags Raw Data'!$P$7:$P$3715)/J69)</f>
        <v>3.5</v>
      </c>
      <c r="M69" s="324" cm="1">
        <f t="array" ref="M69">SUMPRODUCT(--(ISNUMBER(SEARCH($A69,'Diags Raw Data'!$A$7:$A$3715))),--('Diags Raw Data'!$Q$7:$Q$3715&lt;&gt;"N/A"),'Diags Raw Data'!$R$7:$R$3715)</f>
        <v>7</v>
      </c>
      <c r="N69" s="325" cm="1">
        <f t="array" ref="N69">SUMPRODUCT(--(ISNUMBER(SEARCH($A69,'Diags Raw Data'!$A$7:$A$3715))),--('Diags Raw Data'!$Q$7:$Q$3715&lt;&gt;"N/A"),'Diags Raw Data'!$T$7:$T$3715)+SUMPRODUCT(--(ISNUMBER(SEARCH($A69,'Diags Raw Data'!$A$7:$A$3715))),--('Diags Raw Data'!$Q$7:$Q$3715&lt;&gt;"N/A"),'Diags Raw Data'!$U$7:$U$3715)</f>
        <v>0</v>
      </c>
      <c r="O69" s="363">
        <f t="shared" ref="O69" si="40">IF((M69=0),0,N69/M69)</f>
        <v>0</v>
      </c>
      <c r="P69" s="326">
        <f>SUMIF('Diags Raw Data'!$A$7:$A$3715,"*"&amp;$A69&amp;"*",'Diags Raw Data'!$Z$7:$Z$3715)</f>
        <v>0</v>
      </c>
      <c r="Q69" s="327">
        <f>SUM(SUMIF('Diags Raw Data'!$A$7:$A$3715,"*"&amp;$A69&amp;"*",'Diags Raw Data'!$AA$7:$AA$3715),SUMIF('Diags Raw Data'!$A$7:$A$3715,"*"&amp;$A69&amp;"*",'Diags Raw Data'!$AB$7:$AB$3715))</f>
        <v>0</v>
      </c>
      <c r="R69" s="328">
        <f t="shared" ref="R69" si="41">IF((J69=0),0,P69/J69)</f>
        <v>0</v>
      </c>
      <c r="S69" s="328">
        <f t="shared" ref="S69" si="42">IF((P69=0),0,Q69/P69)</f>
        <v>0</v>
      </c>
      <c r="T69" s="329">
        <f t="shared" ref="T69" si="43">R69*S69</f>
        <v>0</v>
      </c>
      <c r="U69" s="366" t="s">
        <v>685</v>
      </c>
    </row>
    <row r="70" spans="1:25" ht="15" thickBot="1" x14ac:dyDescent="0.4">
      <c r="A70" s="447" t="s">
        <v>273</v>
      </c>
      <c r="B70" s="480" t="str">
        <f>VLOOKUP(A70,'Feature Raw Data'!$A$3:$B$3934,2,FALSE)</f>
        <v>SPI Capability</v>
      </c>
      <c r="C70" s="447" t="str">
        <f>VLOOKUP(A70,'Feature Raw Data'!$A$3:$C$4163,3,FALSE)</f>
        <v>P2</v>
      </c>
      <c r="D70" s="451" t="str" cm="1">
        <f t="array" ref="D70">_xlfn.TEXTJOIN("",TRUE,IF(ISNUMBER(SEARCH($A70,'Diags Raw Data'!$A$7:$A$4094)),CONCATENATE('Diags Raw Data'!$H$7:$H$4094,", "),""))</f>
        <v xml:space="preserve">PM80.12.1, </v>
      </c>
      <c r="E70" s="261" t="str">
        <f>VLOOKUP(A70,'Diags Raw Data'!$A$7:$D$3715,4,FALSE)</f>
        <v>CLK</v>
      </c>
      <c r="F70" s="261" t="str">
        <f>VLOOKUP(A70,'Feature Raw Data'!$A$3:$E$3783,5,FALSE)</f>
        <v>Delta</v>
      </c>
      <c r="G70" s="261" t="s">
        <v>31</v>
      </c>
      <c r="H70" s="499" t="s">
        <v>31</v>
      </c>
      <c r="I70" s="260">
        <f>SUMIF('Diags Raw Data'!$A$7:$A$3715,"*"&amp;$A70&amp;"*",'Diags Raw Data'!$K$7:$K$3715)</f>
        <v>1</v>
      </c>
      <c r="J70" s="262">
        <f>SUMIF('Diags Raw Data'!$A$7:$A$3715,"*"&amp;$A70&amp;"*",'Diags Raw Data'!$L$7:$L$3715)</f>
        <v>1</v>
      </c>
      <c r="K70" s="322" cm="1">
        <f t="array" ref="K70">IF(D70="",0, SUMPRODUCT(--(ISNUMBER(SEARCH($A70,'Diags Raw Data'!$A$7:$A$3715))),'Diags Raw Data'!$L$7:$L$3715,'Diags Raw Data'!$N$7:$N$3715)/J70)</f>
        <v>1</v>
      </c>
      <c r="L70" s="323" cm="1">
        <f t="array" ref="L70">IF(D70="",0, SUMPRODUCT(--(ISNUMBER(SEARCH($A70,'Diags Raw Data'!$A$7:$A$3715))),'Diags Raw Data'!$L$7:$L$3715,'Diags Raw Data'!$P$7:$P$3715)/J70)</f>
        <v>0.6</v>
      </c>
      <c r="M70" s="324" cm="1">
        <f t="array" ref="M70">SUMPRODUCT(--(ISNUMBER(SEARCH($A70,'Diags Raw Data'!$A$7:$A$3715))),--('Diags Raw Data'!$Q$7:$Q$3715&lt;&gt;"N/A"),'Diags Raw Data'!$R$7:$R$3715)</f>
        <v>1</v>
      </c>
      <c r="N70" s="325" cm="1">
        <f t="array" ref="N70">SUMPRODUCT(--(ISNUMBER(SEARCH($A70,'Diags Raw Data'!$A$7:$A$3715))),--('Diags Raw Data'!$Q$7:$Q$3715&lt;&gt;"N/A"),'Diags Raw Data'!$T$7:$T$3715)+SUMPRODUCT(--(ISNUMBER(SEARCH($A70,'Diags Raw Data'!$A$7:$A$3715))),--('Diags Raw Data'!$Q$7:$Q$3715&lt;&gt;"N/A"),'Diags Raw Data'!$U$7:$U$3715)</f>
        <v>0</v>
      </c>
      <c r="O70" s="363">
        <f t="shared" si="36"/>
        <v>0</v>
      </c>
      <c r="P70" s="326">
        <f>SUMIF('Diags Raw Data'!$A$7:$A$3715,"*"&amp;$A70&amp;"*",'Diags Raw Data'!$Z$7:$Z$3715)</f>
        <v>0</v>
      </c>
      <c r="Q70" s="327">
        <f>SUM(SUMIF('Diags Raw Data'!$A$7:$A$3715,"*"&amp;$A70&amp;"*",'Diags Raw Data'!$AA$7:$AA$3715),SUMIF('Diags Raw Data'!$A$7:$A$3715,"*"&amp;$A70&amp;"*",'Diags Raw Data'!$AB$7:$AB$3715))</f>
        <v>0</v>
      </c>
      <c r="R70" s="328">
        <f t="shared" si="37"/>
        <v>0</v>
      </c>
      <c r="S70" s="328">
        <f t="shared" si="38"/>
        <v>0</v>
      </c>
      <c r="T70" s="329">
        <f t="shared" si="39"/>
        <v>0</v>
      </c>
      <c r="U70" s="366"/>
    </row>
    <row r="71" spans="1:25" ht="15" thickBot="1" x14ac:dyDescent="0.4">
      <c r="A71" s="447" t="s">
        <v>272</v>
      </c>
      <c r="B71" s="480" t="str">
        <f>VLOOKUP(A71,'Feature Raw Data'!$A$3:$B$3934,2,FALSE)</f>
        <v>AVFS VDDCR Soc domain</v>
      </c>
      <c r="C71" s="447" t="str">
        <f>VLOOKUP(A71,'Feature Raw Data'!$A$3:$C$4163,3,FALSE)</f>
        <v>P1</v>
      </c>
      <c r="D71" s="451" t="str" cm="1">
        <f t="array" ref="D71">_xlfn.TEXTJOIN("",TRUE,IF(ISNUMBER(SEARCH($A71,'Diags Raw Data'!$A$7:$A$4094)),CONCATENATE('Diags Raw Data'!$H$7:$H$4094,", "),""))</f>
        <v xml:space="preserve">PM80.12.1, </v>
      </c>
      <c r="E71" s="261" t="str">
        <f>VLOOKUP(A71,'Diags Raw Data'!$A$7:$D$3715,4,FALSE)</f>
        <v>CLK</v>
      </c>
      <c r="F71" s="261" t="str">
        <f>VLOOKUP(A71,'Feature Raw Data'!$A$3:$E$3783,5,FALSE)</f>
        <v>Legacy</v>
      </c>
      <c r="G71" s="261" t="s">
        <v>31</v>
      </c>
      <c r="H71" s="457" t="s">
        <v>31</v>
      </c>
      <c r="I71" s="260">
        <v>1</v>
      </c>
      <c r="J71" s="262">
        <v>1</v>
      </c>
      <c r="K71" s="322" cm="1">
        <f t="array" ref="K71">IF(D71="",0, SUMPRODUCT(--(ISNUMBER(SEARCH($A71,'Diags Raw Data'!$A$7:$A$3715))),'Diags Raw Data'!$L$7:$L$3715,'Diags Raw Data'!$N$7:$N$3715)/J71)</f>
        <v>1</v>
      </c>
      <c r="L71" s="323" cm="1">
        <f t="array" ref="L71">IF(D71="",0, SUMPRODUCT(--(ISNUMBER(SEARCH($A71,'Diags Raw Data'!$A$7:$A$3715))),'Diags Raw Data'!$L$7:$L$3715,'Diags Raw Data'!$P$7:$P$3715)/J71)</f>
        <v>0.6</v>
      </c>
      <c r="M71" s="324" cm="1">
        <f t="array" ref="M71">SUMPRODUCT(--(ISNUMBER(SEARCH($A71,'Diags Raw Data'!$A$7:$A$3715))),--('Diags Raw Data'!$Q$7:$Q$3715&lt;&gt;"N/A"),'Diags Raw Data'!$R$7:$R$3715)</f>
        <v>1</v>
      </c>
      <c r="N71" s="325" cm="1">
        <f t="array" ref="N71">SUMPRODUCT(--(ISNUMBER(SEARCH($A71,'Diags Raw Data'!$A$7:$A$3715))),--('Diags Raw Data'!$Q$7:$Q$3715&lt;&gt;"N/A"),'Diags Raw Data'!$T$7:$T$3715)+SUMPRODUCT(--(ISNUMBER(SEARCH($A71,'Diags Raw Data'!$A$7:$A$3715))),--('Diags Raw Data'!$Q$7:$Q$3715&lt;&gt;"N/A"),'Diags Raw Data'!$U$7:$U$3715)</f>
        <v>0</v>
      </c>
      <c r="O71" s="363">
        <f t="shared" si="36"/>
        <v>0</v>
      </c>
      <c r="P71" s="326">
        <f>SUMIF('Diags Raw Data'!$A$7:$A$3715,"*"&amp;$A71&amp;"*",'Diags Raw Data'!$Z$7:$Z$3715)</f>
        <v>0</v>
      </c>
      <c r="Q71" s="327">
        <f>SUM(SUMIF('Diags Raw Data'!$A$7:$A$3715,"*"&amp;$A71&amp;"*",'Diags Raw Data'!$AA$7:$AA$3715),SUMIF('Diags Raw Data'!$A$7:$A$3715,"*"&amp;$A71&amp;"*",'Diags Raw Data'!$AB$7:$AB$3715))</f>
        <v>0</v>
      </c>
      <c r="R71" s="328">
        <f t="shared" si="37"/>
        <v>0</v>
      </c>
      <c r="S71" s="328">
        <f t="shared" si="38"/>
        <v>0</v>
      </c>
      <c r="T71" s="329">
        <f t="shared" si="39"/>
        <v>0</v>
      </c>
      <c r="U71" s="458" t="s">
        <v>691</v>
      </c>
    </row>
    <row r="72" spans="1:25" ht="15" thickBot="1" x14ac:dyDescent="0.4">
      <c r="A72" s="447" t="s">
        <v>401</v>
      </c>
      <c r="B72" s="480" t="str">
        <f>VLOOKUP(A72,'Feature Raw Data'!$A$3:$B$3934,2,FALSE)</f>
        <v>PSM</v>
      </c>
      <c r="C72" s="447" t="str">
        <f>VLOOKUP(A72,'Feature Raw Data'!$A$3:$C$4163,3,FALSE)</f>
        <v>P1</v>
      </c>
      <c r="D72" s="451" t="str" cm="1">
        <f t="array" ref="D72">_xlfn.TEXTJOIN("",TRUE,IF(ISNUMBER(SEARCH($A72,'Diags Raw Data'!$A$7:$A$4094)),CONCATENATE('Diags Raw Data'!$H$7:$H$4094,", "),""))</f>
        <v xml:space="preserve">PM80.12.5, </v>
      </c>
      <c r="E72" s="261" t="str">
        <f>VLOOKUP(A72,'Diags Raw Data'!$A$7:$D$3715,4,FALSE)</f>
        <v>MP1</v>
      </c>
      <c r="F72" s="261" t="str">
        <f>VLOOKUP(A72,'Feature Raw Data'!$A$3:$E$3783,5,FALSE)</f>
        <v>Legacy</v>
      </c>
      <c r="G72" s="261" t="s">
        <v>31</v>
      </c>
      <c r="H72" s="261" t="s">
        <v>31</v>
      </c>
      <c r="I72" s="260">
        <f>SUMIF('Diags Raw Data'!$A$7:$A$3715,"*"&amp;$A72&amp;"*",'Diags Raw Data'!$K$7:$K$3715)</f>
        <v>1</v>
      </c>
      <c r="J72" s="262">
        <f>SUMIF('Diags Raw Data'!$A$7:$A$3715,"*"&amp;$A72&amp;"*",'Diags Raw Data'!$L$7:$L$3715)</f>
        <v>1</v>
      </c>
      <c r="K72" s="322" cm="1">
        <f t="array" ref="K72">IF(D72="",0, SUMPRODUCT(--(ISNUMBER(SEARCH($A72,'Diags Raw Data'!$A$7:$A$3715))),'Diags Raw Data'!$L$7:$L$3715,'Diags Raw Data'!$N$7:$N$3715)/J72)</f>
        <v>1</v>
      </c>
      <c r="L72" s="323" cm="1">
        <f t="array" ref="L72">IF(D72="",0, SUMPRODUCT(--(ISNUMBER(SEARCH($A72,'Diags Raw Data'!$A$7:$A$3715))),'Diags Raw Data'!$L$7:$L$3715,'Diags Raw Data'!$P$7:$P$3715)/J72)</f>
        <v>0.8</v>
      </c>
      <c r="M72" s="324" cm="1">
        <f t="array" ref="M72">SUMPRODUCT(--(ISNUMBER(SEARCH($A72,'Diags Raw Data'!$A$7:$A$3715))),--('Diags Raw Data'!$Q$7:$Q$3715&lt;&gt;"N/A"),'Diags Raw Data'!$R$7:$R$3715)</f>
        <v>1</v>
      </c>
      <c r="N72" s="325" cm="1">
        <f t="array" ref="N72">SUMPRODUCT(--(ISNUMBER(SEARCH($A72,'Diags Raw Data'!$A$7:$A$3715))),--('Diags Raw Data'!$Q$7:$Q$3715&lt;&gt;"N/A"),'Diags Raw Data'!$T$7:$T$3715)+SUMPRODUCT(--(ISNUMBER(SEARCH($A72,'Diags Raw Data'!$A$7:$A$3715))),--('Diags Raw Data'!$Q$7:$Q$3715&lt;&gt;"N/A"),'Diags Raw Data'!$U$7:$U$3715)</f>
        <v>0</v>
      </c>
      <c r="O72" s="363">
        <f t="shared" si="36"/>
        <v>0</v>
      </c>
      <c r="P72" s="326">
        <f>SUMIF('Diags Raw Data'!$A$7:$A$3715,"*"&amp;$A72&amp;"*",'Diags Raw Data'!$Z$7:$Z$3715)</f>
        <v>0</v>
      </c>
      <c r="Q72" s="327">
        <f>SUM(SUMIF('Diags Raw Data'!$A$7:$A$3715,"*"&amp;$A72&amp;"*",'Diags Raw Data'!$AA$7:$AA$3715),SUMIF('Diags Raw Data'!$A$7:$A$3715,"*"&amp;$A72&amp;"*",'Diags Raw Data'!$AB$7:$AB$3715))</f>
        <v>0</v>
      </c>
      <c r="R72" s="328">
        <f t="shared" si="37"/>
        <v>0</v>
      </c>
      <c r="S72" s="328">
        <f t="shared" si="38"/>
        <v>0</v>
      </c>
      <c r="T72" s="329">
        <f t="shared" si="39"/>
        <v>0</v>
      </c>
      <c r="U72" s="458" t="s">
        <v>691</v>
      </c>
    </row>
    <row r="73" spans="1:25" ht="15" thickBot="1" x14ac:dyDescent="0.4">
      <c r="A73" s="447" t="s">
        <v>404</v>
      </c>
      <c r="B73" s="480" t="str">
        <f>VLOOKUP(A73,'Feature Raw Data'!$A$3:$B$3934,2,FALSE)</f>
        <v>PSM on VDDSOC</v>
      </c>
      <c r="C73" s="447" t="str">
        <f>VLOOKUP(A73,'Feature Raw Data'!$A$3:$C$4163,3,FALSE)</f>
        <v>P1</v>
      </c>
      <c r="D73" s="451" t="str" cm="1">
        <f t="array" ref="D73">_xlfn.TEXTJOIN("",TRUE,IF(ISNUMBER(SEARCH($A73,'Diags Raw Data'!$A$7:$A$4094)),CONCATENATE('Diags Raw Data'!$H$7:$H$4094,", "),""))</f>
        <v xml:space="preserve">PM80.12.5, </v>
      </c>
      <c r="E73" s="261" t="str">
        <f>VLOOKUP(A73,'Diags Raw Data'!$A$7:$D$3715,4,FALSE)</f>
        <v>MP1</v>
      </c>
      <c r="F73" s="261" t="str">
        <f>VLOOKUP(A73,'Feature Raw Data'!$A$3:$E$3783,5,FALSE)</f>
        <v>Legacy</v>
      </c>
      <c r="G73" s="261" t="s">
        <v>31</v>
      </c>
      <c r="H73" s="261" t="s">
        <v>31</v>
      </c>
      <c r="I73" s="260">
        <f>SUMIF('Diags Raw Data'!$A$7:$A$3715,"*"&amp;$A73&amp;"*",'Diags Raw Data'!$K$7:$K$3715)</f>
        <v>1</v>
      </c>
      <c r="J73" s="262">
        <f>SUMIF('Diags Raw Data'!$A$7:$A$3715,"*"&amp;$A73&amp;"*",'Diags Raw Data'!$L$7:$L$3715)</f>
        <v>1</v>
      </c>
      <c r="K73" s="322" cm="1">
        <f t="array" ref="K73">IF(D73="",0, SUMPRODUCT(--(ISNUMBER(SEARCH($A73,'Diags Raw Data'!$A$7:$A$3715))),'Diags Raw Data'!$L$7:$L$3715,'Diags Raw Data'!$N$7:$N$3715)/J73)</f>
        <v>1</v>
      </c>
      <c r="L73" s="323" cm="1">
        <f t="array" ref="L73">IF(D73="",0, SUMPRODUCT(--(ISNUMBER(SEARCH($A73,'Diags Raw Data'!$A$7:$A$3715))),'Diags Raw Data'!$L$7:$L$3715,'Diags Raw Data'!$P$7:$P$3715)/J73)</f>
        <v>0.8</v>
      </c>
      <c r="M73" s="324" cm="1">
        <f t="array" ref="M73">SUMPRODUCT(--(ISNUMBER(SEARCH($A73,'Diags Raw Data'!$A$7:$A$3715))),--('Diags Raw Data'!$Q$7:$Q$3715&lt;&gt;"N/A"),'Diags Raw Data'!$R$7:$R$3715)</f>
        <v>1</v>
      </c>
      <c r="N73" s="325" cm="1">
        <f t="array" ref="N73">SUMPRODUCT(--(ISNUMBER(SEARCH($A73,'Diags Raw Data'!$A$7:$A$3715))),--('Diags Raw Data'!$Q$7:$Q$3715&lt;&gt;"N/A"),'Diags Raw Data'!$T$7:$T$3715)+SUMPRODUCT(--(ISNUMBER(SEARCH($A73,'Diags Raw Data'!$A$7:$A$3715))),--('Diags Raw Data'!$Q$7:$Q$3715&lt;&gt;"N/A"),'Diags Raw Data'!$U$7:$U$3715)</f>
        <v>0</v>
      </c>
      <c r="O73" s="363">
        <f t="shared" si="36"/>
        <v>0</v>
      </c>
      <c r="P73" s="326">
        <f>SUMIF('Diags Raw Data'!$A$7:$A$3715,"*"&amp;$A73&amp;"*",'Diags Raw Data'!$Z$7:$Z$3715)</f>
        <v>0</v>
      </c>
      <c r="Q73" s="327">
        <f>SUM(SUMIF('Diags Raw Data'!$A$7:$A$3715,"*"&amp;$A73&amp;"*",'Diags Raw Data'!$AA$7:$AA$3715),SUMIF('Diags Raw Data'!$A$7:$A$3715,"*"&amp;$A73&amp;"*",'Diags Raw Data'!$AB$7:$AB$3715))</f>
        <v>0</v>
      </c>
      <c r="R73" s="328">
        <f t="shared" si="37"/>
        <v>0</v>
      </c>
      <c r="S73" s="328">
        <f t="shared" si="38"/>
        <v>0</v>
      </c>
      <c r="T73" s="329">
        <f t="shared" si="39"/>
        <v>0</v>
      </c>
      <c r="U73" s="458" t="s">
        <v>691</v>
      </c>
    </row>
    <row r="74" spans="1:25" ht="15" thickBot="1" x14ac:dyDescent="0.4">
      <c r="A74" s="491" t="s">
        <v>624</v>
      </c>
      <c r="B74" s="480" t="str">
        <f>VLOOKUP(A74,'Feature Raw Data'!$A$3:$B$3934,2,FALSE)</f>
        <v>Clock Gating</v>
      </c>
      <c r="C74" s="447" t="str">
        <f>VLOOKUP(A74,'Feature Raw Data'!$A$3:$C$4163,3,FALSE)</f>
        <v>P3</v>
      </c>
      <c r="D74" s="451" t="str" cm="1">
        <f t="array" ref="D74">_xlfn.TEXTJOIN("",TRUE,IF(ISNUMBER(SEARCH($A74,'Diags Raw Data'!$A$7:$A$4094)),CONCATENATE('Diags Raw Data'!$H$7:$H$4094,", "),""))</f>
        <v/>
      </c>
      <c r="E74" s="261" t="e">
        <f>VLOOKUP(A74,'Diags Raw Data'!$A$7:$D$3715,4,FALSE)</f>
        <v>#N/A</v>
      </c>
      <c r="F74" s="261" t="str">
        <f>VLOOKUP(A74,'Feature Raw Data'!$A$3:$E$3783,5,FALSE)</f>
        <v>Legacy</v>
      </c>
      <c r="G74" s="261" t="s">
        <v>31</v>
      </c>
      <c r="H74" s="261" t="s">
        <v>36</v>
      </c>
      <c r="I74" s="260">
        <f>SUMIF('Diags Raw Data'!$A$7:$A$3715,"*"&amp;$A74&amp;"*",'Diags Raw Data'!$K$7:$K$3715)</f>
        <v>0</v>
      </c>
      <c r="J74" s="262">
        <f>SUMIF('Diags Raw Data'!$A$7:$A$3715,"*"&amp;$A74&amp;"*",'Diags Raw Data'!$L$7:$L$3715)</f>
        <v>0</v>
      </c>
      <c r="K74" s="322" cm="1">
        <f t="array" ref="K74">IF(D74="",0, SUMPRODUCT(--(ISNUMBER(SEARCH($A74,'Diags Raw Data'!$A$7:$A$3715))),'Diags Raw Data'!$L$7:$L$3715,'Diags Raw Data'!$N$7:$N$3715)/J74)</f>
        <v>0</v>
      </c>
      <c r="L74" s="323" cm="1">
        <f t="array" ref="L74">IF(D74="",0, SUMPRODUCT(--(ISNUMBER(SEARCH($A74,'Diags Raw Data'!$A$7:$A$3715))),'Diags Raw Data'!$L$7:$L$3715,'Diags Raw Data'!$P$7:$P$3715)/J74)</f>
        <v>0</v>
      </c>
      <c r="M74" s="324" cm="1">
        <f t="array" ref="M74">SUMPRODUCT(--(ISNUMBER(SEARCH($A74,'Diags Raw Data'!$A$7:$A$3715))),--('Diags Raw Data'!$Q$7:$Q$3715&lt;&gt;"N/A"),'Diags Raw Data'!$R$7:$R$3715)</f>
        <v>0</v>
      </c>
      <c r="N74" s="325" cm="1">
        <f t="array" ref="N74">SUMPRODUCT(--(ISNUMBER(SEARCH($A74,'Diags Raw Data'!$A$7:$A$3715))),--('Diags Raw Data'!$Q$7:$Q$3715&lt;&gt;"N/A"),'Diags Raw Data'!$T$7:$T$3715)+SUMPRODUCT(--(ISNUMBER(SEARCH($A74,'Diags Raw Data'!$A$7:$A$3715))),--('Diags Raw Data'!$Q$7:$Q$3715&lt;&gt;"N/A"),'Diags Raw Data'!$U$7:$U$3715)</f>
        <v>0</v>
      </c>
      <c r="O74" s="363">
        <f t="shared" si="36"/>
        <v>0</v>
      </c>
      <c r="P74" s="326">
        <f>SUMIF('Diags Raw Data'!$A$7:$A$3715,"*"&amp;$A74&amp;"*",'Diags Raw Data'!$Z$7:$Z$3715)</f>
        <v>0</v>
      </c>
      <c r="Q74" s="327">
        <f>SUM(SUMIF('Diags Raw Data'!$A$7:$A$3715,"*"&amp;$A74&amp;"*",'Diags Raw Data'!$AA$7:$AA$3715),SUMIF('Diags Raw Data'!$A$7:$A$3715,"*"&amp;$A74&amp;"*",'Diags Raw Data'!$AB$7:$AB$3715))</f>
        <v>0</v>
      </c>
      <c r="R74" s="328">
        <f t="shared" si="37"/>
        <v>0</v>
      </c>
      <c r="S74" s="328">
        <f t="shared" si="38"/>
        <v>0</v>
      </c>
      <c r="T74" s="329">
        <f t="shared" si="39"/>
        <v>0</v>
      </c>
      <c r="U74" s="366"/>
    </row>
    <row r="75" spans="1:25" ht="15" thickBot="1" x14ac:dyDescent="0.4">
      <c r="A75" s="447" t="s">
        <v>625</v>
      </c>
      <c r="B75" s="480" t="str">
        <f>VLOOKUP(A75,'Feature Raw Data'!$A$3:$B$3934,2,FALSE)</f>
        <v>ROM Clock config</v>
      </c>
      <c r="C75" s="447" t="str">
        <f>VLOOKUP(A75,'Feature Raw Data'!$A$3:$C$4163,3,FALSE)</f>
        <v>P3</v>
      </c>
      <c r="D75" s="451" t="str" cm="1">
        <f t="array" ref="D75">_xlfn.TEXTJOIN("",TRUE,IF(ISNUMBER(SEARCH($A75,'Diags Raw Data'!$A$7:$A$4094)),CONCATENATE('Diags Raw Data'!$H$7:$H$4094,", "),""))</f>
        <v/>
      </c>
      <c r="E75" s="261" t="e">
        <f>VLOOKUP(A75,'Diags Raw Data'!$A$7:$D$3715,4,FALSE)</f>
        <v>#N/A</v>
      </c>
      <c r="F75" s="261" t="str">
        <f>VLOOKUP(A75,'Feature Raw Data'!$A$3:$E$3783,5,FALSE)</f>
        <v>Legacy</v>
      </c>
      <c r="G75" s="261" t="s">
        <v>31</v>
      </c>
      <c r="H75" s="261" t="s">
        <v>36</v>
      </c>
      <c r="I75" s="260">
        <f>SUMIF('Diags Raw Data'!$A$7:$A$3715,"*"&amp;$A75&amp;"*",'Diags Raw Data'!$K$7:$K$3715)</f>
        <v>0</v>
      </c>
      <c r="J75" s="262">
        <f>SUMIF('Diags Raw Data'!$A$7:$A$3715,"*"&amp;$A75&amp;"*",'Diags Raw Data'!$L$7:$L$3715)</f>
        <v>0</v>
      </c>
      <c r="K75" s="322" cm="1">
        <f t="array" ref="K75">IF(D75="",0, SUMPRODUCT(--(ISNUMBER(SEARCH($A75,'Diags Raw Data'!$A$7:$A$3715))),'Diags Raw Data'!$L$7:$L$3715,'Diags Raw Data'!$N$7:$N$3715)/J75)</f>
        <v>0</v>
      </c>
      <c r="L75" s="323" cm="1">
        <f t="array" ref="L75">IF(D75="",0, SUMPRODUCT(--(ISNUMBER(SEARCH($A75,'Diags Raw Data'!$A$7:$A$3715))),'Diags Raw Data'!$L$7:$L$3715,'Diags Raw Data'!$P$7:$P$3715)/J75)</f>
        <v>0</v>
      </c>
      <c r="M75" s="324" cm="1">
        <f t="array" ref="M75">SUMPRODUCT(--(ISNUMBER(SEARCH($A75,'Diags Raw Data'!$A$7:$A$3715))),--('Diags Raw Data'!$Q$7:$Q$3715&lt;&gt;"N/A"),'Diags Raw Data'!$R$7:$R$3715)</f>
        <v>0</v>
      </c>
      <c r="N75" s="325" cm="1">
        <f t="array" ref="N75">SUMPRODUCT(--(ISNUMBER(SEARCH($A75,'Diags Raw Data'!$A$7:$A$3715))),--('Diags Raw Data'!$Q$7:$Q$3715&lt;&gt;"N/A"),'Diags Raw Data'!$T$7:$T$3715)+SUMPRODUCT(--(ISNUMBER(SEARCH($A75,'Diags Raw Data'!$A$7:$A$3715))),--('Diags Raw Data'!$Q$7:$Q$3715&lt;&gt;"N/A"),'Diags Raw Data'!$U$7:$U$3715)</f>
        <v>0</v>
      </c>
      <c r="O75" s="363">
        <f t="shared" si="36"/>
        <v>0</v>
      </c>
      <c r="P75" s="326">
        <f>SUMIF('Diags Raw Data'!$A$7:$A$3715,"*"&amp;$A75&amp;"*",'Diags Raw Data'!$Z$7:$Z$3715)</f>
        <v>0</v>
      </c>
      <c r="Q75" s="327">
        <f>SUM(SUMIF('Diags Raw Data'!$A$7:$A$3715,"*"&amp;$A75&amp;"*",'Diags Raw Data'!$AA$7:$AA$3715),SUMIF('Diags Raw Data'!$A$7:$A$3715,"*"&amp;$A75&amp;"*",'Diags Raw Data'!$AB$7:$AB$3715))</f>
        <v>0</v>
      </c>
      <c r="R75" s="328">
        <f t="shared" si="37"/>
        <v>0</v>
      </c>
      <c r="S75" s="328">
        <f t="shared" si="38"/>
        <v>0</v>
      </c>
      <c r="T75" s="329">
        <f t="shared" si="39"/>
        <v>0</v>
      </c>
      <c r="U75" s="366"/>
    </row>
    <row r="76" spans="1:25" ht="15" thickBot="1" x14ac:dyDescent="0.4">
      <c r="A76" s="447" t="s">
        <v>474</v>
      </c>
      <c r="B76" s="480" t="str">
        <f>VLOOKUP(A76,'Feature Raw Data'!$A$3:$B$3934,2,FALSE)</f>
        <v>AXI-based auto polling temp requests triggered by FW</v>
      </c>
      <c r="C76" s="447" t="str">
        <f>VLOOKUP(A76,'Feature Raw Data'!$A$3:$C$4163,3,FALSE)</f>
        <v>P2</v>
      </c>
      <c r="D76" s="451" t="str" cm="1">
        <f t="array" ref="D76">_xlfn.TEXTJOIN("",TRUE,IF(ISNUMBER(SEARCH($A76,'Diags Raw Data'!$A$7:$A$4094)),CONCATENATE('Diags Raw Data'!$H$7:$H$4094,", "),""))</f>
        <v xml:space="preserve">PMxx.xx.4, </v>
      </c>
      <c r="E76" s="261" t="str">
        <f>VLOOKUP(A76,'Diags Raw Data'!$A$7:$D$3715,4,FALSE)</f>
        <v>THM</v>
      </c>
      <c r="F76" s="261" t="str">
        <f>VLOOKUP(A76,'Feature Raw Data'!$A$3:$E$3783,5,FALSE)</f>
        <v>Delta</v>
      </c>
      <c r="G76" s="261" t="s">
        <v>31</v>
      </c>
      <c r="H76" s="670" t="s">
        <v>814</v>
      </c>
      <c r="I76" s="260">
        <v>1</v>
      </c>
      <c r="J76" s="262">
        <v>1</v>
      </c>
      <c r="K76" s="322" cm="1">
        <f t="array" ref="K76">IF(D76="",0, SUMPRODUCT(--(ISNUMBER(SEARCH($A76,'Diags Raw Data'!$A$7:$A$3715))),'Diags Raw Data'!$L$7:$L$3715,'Diags Raw Data'!$N$7:$N$3715)/J76)</f>
        <v>1</v>
      </c>
      <c r="L76" s="323" cm="1">
        <f t="array" ref="L76">IF(D76="",0, SUMPRODUCT(--(ISNUMBER(SEARCH($A76,'Diags Raw Data'!$A$7:$A$3715))),'Diags Raw Data'!$L$7:$L$3715,'Diags Raw Data'!$P$7:$P$3715)/J76)</f>
        <v>0</v>
      </c>
      <c r="M76" s="324" cm="1">
        <f t="array" ref="M76">SUMPRODUCT(--(ISNUMBER(SEARCH($A76,'Diags Raw Data'!$A$7:$A$3715))),--('Diags Raw Data'!$Q$7:$Q$3715&lt;&gt;"N/A"),'Diags Raw Data'!$R$7:$R$3715)</f>
        <v>1</v>
      </c>
      <c r="N76" s="325" cm="1">
        <f t="array" ref="N76">SUMPRODUCT(--(ISNUMBER(SEARCH($A76,'Diags Raw Data'!$A$7:$A$3715))),--('Diags Raw Data'!$Q$7:$Q$3715&lt;&gt;"N/A"),'Diags Raw Data'!$T$7:$T$3715)+SUMPRODUCT(--(ISNUMBER(SEARCH($A76,'Diags Raw Data'!$A$7:$A$3715))),--('Diags Raw Data'!$Q$7:$Q$3715&lt;&gt;"N/A"),'Diags Raw Data'!$U$7:$U$3715)</f>
        <v>0</v>
      </c>
      <c r="O76" s="363">
        <f t="shared" si="36"/>
        <v>0</v>
      </c>
      <c r="P76" s="326">
        <f>SUMIF('Diags Raw Data'!$A$7:$A$3715,"*"&amp;$A76&amp;"*",'Diags Raw Data'!$Z$7:$Z$3715)</f>
        <v>0</v>
      </c>
      <c r="Q76" s="327">
        <f>SUM(SUMIF('Diags Raw Data'!$A$7:$A$3715,"*"&amp;$A76&amp;"*",'Diags Raw Data'!$AA$7:$AA$3715),SUMIF('Diags Raw Data'!$A$7:$A$3715,"*"&amp;$A76&amp;"*",'Diags Raw Data'!$AB$7:$AB$3715))</f>
        <v>0</v>
      </c>
      <c r="R76" s="328">
        <f t="shared" si="37"/>
        <v>0</v>
      </c>
      <c r="S76" s="328">
        <f t="shared" si="38"/>
        <v>0</v>
      </c>
      <c r="T76" s="329">
        <f t="shared" si="39"/>
        <v>0</v>
      </c>
      <c r="U76" s="366" t="s">
        <v>328</v>
      </c>
      <c r="W76" s="167">
        <v>2</v>
      </c>
      <c r="X76" s="167">
        <v>2</v>
      </c>
    </row>
    <row r="77" spans="1:25" ht="15" thickBot="1" x14ac:dyDescent="0.4">
      <c r="A77" s="447" t="s">
        <v>430</v>
      </c>
      <c r="B77" s="480" t="str">
        <f>VLOOKUP(A77,'Feature Raw Data'!$A$3:$B$3934,2,FALSE)</f>
        <v>Access 128 DW scratch register from SMBUS</v>
      </c>
      <c r="C77" s="447" t="str">
        <f>VLOOKUP(A77,'Feature Raw Data'!$A$3:$C$4163,3,FALSE)</f>
        <v>P2</v>
      </c>
      <c r="D77" s="451" t="str" cm="1">
        <f t="array" ref="D77">_xlfn.TEXTJOIN("",TRUE,IF(ISNUMBER(SEARCH($A77,'Diags Raw Data'!$A$7:$A$4094)),CONCATENATE('Diags Raw Data'!$H$7:$H$4094,", "),""))</f>
        <v xml:space="preserve">PM13.23, </v>
      </c>
      <c r="E77" s="261" t="str">
        <f>VLOOKUP(A77,'Diags Raw Data'!$A$7:$D$3715,4,FALSE)</f>
        <v>THM</v>
      </c>
      <c r="F77" s="261" t="str">
        <f>VLOOKUP(A77,'Feature Raw Data'!$A$3:$E$3783,5,FALSE)</f>
        <v>Delta</v>
      </c>
      <c r="G77" s="261" t="s">
        <v>31</v>
      </c>
      <c r="H77" s="670" t="s">
        <v>814</v>
      </c>
      <c r="I77" s="260">
        <f>SUMIF('Diags Raw Data'!$A$7:$A$3715,"*"&amp;$A77&amp;"*",'Diags Raw Data'!$K$7:$K$3715)</f>
        <v>1</v>
      </c>
      <c r="J77" s="262">
        <f>SUMIF('Diags Raw Data'!$A$7:$A$3715,"*"&amp;$A77&amp;"*",'Diags Raw Data'!$L$7:$L$3715)</f>
        <v>1</v>
      </c>
      <c r="K77" s="322" cm="1">
        <f t="array" ref="K77">IF(D77="",0, SUMPRODUCT(--(ISNUMBER(SEARCH($A77,'Diags Raw Data'!$A$7:$A$3715))),'Diags Raw Data'!$L$7:$L$3715,'Diags Raw Data'!$N$7:$N$3715)/J77)</f>
        <v>1</v>
      </c>
      <c r="L77" s="323" cm="1">
        <f t="array" ref="L77">IF(D77="",0, SUMPRODUCT(--(ISNUMBER(SEARCH($A77,'Diags Raw Data'!$A$7:$A$3715))),'Diags Raw Data'!$L$7:$L$3715,'Diags Raw Data'!$P$7:$P$3715)/J77)</f>
        <v>0.8</v>
      </c>
      <c r="M77" s="324" cm="1">
        <f t="array" ref="M77">SUMPRODUCT(--(ISNUMBER(SEARCH($A77,'Diags Raw Data'!$A$7:$A$3715))),--('Diags Raw Data'!$Q$7:$Q$3715&lt;&gt;"N/A"),'Diags Raw Data'!$R$7:$R$3715)</f>
        <v>1</v>
      </c>
      <c r="N77" s="325" cm="1">
        <f t="array" ref="N77">SUMPRODUCT(--(ISNUMBER(SEARCH($A77,'Diags Raw Data'!$A$7:$A$3715))),--('Diags Raw Data'!$Q$7:$Q$3715&lt;&gt;"N/A"),'Diags Raw Data'!$T$7:$T$3715)+SUMPRODUCT(--(ISNUMBER(SEARCH($A77,'Diags Raw Data'!$A$7:$A$3715))),--('Diags Raw Data'!$Q$7:$Q$3715&lt;&gt;"N/A"),'Diags Raw Data'!$U$7:$U$3715)</f>
        <v>0</v>
      </c>
      <c r="O77" s="363">
        <f t="shared" si="36"/>
        <v>0</v>
      </c>
      <c r="P77" s="326">
        <f>SUMIF('Diags Raw Data'!$A$7:$A$3715,"*"&amp;$A77&amp;"*",'Diags Raw Data'!$Z$7:$Z$3715)</f>
        <v>0</v>
      </c>
      <c r="Q77" s="327">
        <f>SUM(SUMIF('Diags Raw Data'!$A$7:$A$3715,"*"&amp;$A77&amp;"*",'Diags Raw Data'!$AA$7:$AA$3715),SUMIF('Diags Raw Data'!$A$7:$A$3715,"*"&amp;$A77&amp;"*",'Diags Raw Data'!$AB$7:$AB$3715))</f>
        <v>0</v>
      </c>
      <c r="R77" s="328">
        <f t="shared" si="37"/>
        <v>0</v>
      </c>
      <c r="S77" s="328">
        <f t="shared" si="38"/>
        <v>0</v>
      </c>
      <c r="T77" s="329">
        <f t="shared" si="39"/>
        <v>0</v>
      </c>
      <c r="U77" s="365" t="s">
        <v>681</v>
      </c>
      <c r="W77" s="167">
        <v>2</v>
      </c>
      <c r="X77" s="167">
        <v>1</v>
      </c>
      <c r="Y77" s="167">
        <v>3</v>
      </c>
    </row>
    <row r="78" spans="1:25" ht="15" thickBot="1" x14ac:dyDescent="0.4">
      <c r="A78" s="447" t="s">
        <v>630</v>
      </c>
      <c r="B78" s="480" t="str">
        <f>VLOOKUP(A78,'Feature Raw Data'!$A$3:$B$3934,2,FALSE)</f>
        <v xml:space="preserve">SMBUS burst read mode </v>
      </c>
      <c r="C78" s="447" t="str">
        <f>VLOOKUP(A78,'Feature Raw Data'!$A$3:$C$4163,3,FALSE)</f>
        <v>P3</v>
      </c>
      <c r="D78" s="451" t="str" cm="1">
        <f t="array" ref="D78">_xlfn.TEXTJOIN("",TRUE,IF(ISNUMBER(SEARCH($A78,'Diags Raw Data'!$A$7:$A$4094)),CONCATENATE('Diags Raw Data'!$H$7:$H$4094,", "),""))</f>
        <v/>
      </c>
      <c r="E78" s="261" t="e">
        <f>VLOOKUP(A78,'Diags Raw Data'!$A$7:$D$3715,4,FALSE)</f>
        <v>#N/A</v>
      </c>
      <c r="F78" s="261" t="str">
        <f>VLOOKUP(A78,'Feature Raw Data'!$A$3:$E$3783,5,FALSE)</f>
        <v>Legacy</v>
      </c>
      <c r="G78" s="261" t="s">
        <v>31</v>
      </c>
      <c r="H78" s="261" t="s">
        <v>36</v>
      </c>
      <c r="I78" s="260">
        <f>SUMIF('Diags Raw Data'!$A$7:$A$3715,"*"&amp;$A78&amp;"*",'Diags Raw Data'!$K$7:$K$3715)</f>
        <v>0</v>
      </c>
      <c r="J78" s="262">
        <f>SUMIF('Diags Raw Data'!$A$7:$A$3715,"*"&amp;$A78&amp;"*",'Diags Raw Data'!$L$7:$L$3715)</f>
        <v>0</v>
      </c>
      <c r="K78" s="322" cm="1">
        <f t="array" ref="K78">IF(D78="",0, SUMPRODUCT(--(ISNUMBER(SEARCH($A78,'Diags Raw Data'!$A$7:$A$3715))),'Diags Raw Data'!$L$7:$L$3715,'Diags Raw Data'!$N$7:$N$3715)/J78)</f>
        <v>0</v>
      </c>
      <c r="L78" s="323" cm="1">
        <f t="array" ref="L78">IF(D78="",0, SUMPRODUCT(--(ISNUMBER(SEARCH($A78,'Diags Raw Data'!$A$7:$A$3715))),'Diags Raw Data'!$L$7:$L$3715,'Diags Raw Data'!$P$7:$P$3715)/J78)</f>
        <v>0</v>
      </c>
      <c r="M78" s="324" cm="1">
        <f t="array" ref="M78">SUMPRODUCT(--(ISNUMBER(SEARCH($A78,'Diags Raw Data'!$A$7:$A$3715))),--('Diags Raw Data'!$Q$7:$Q$3715&lt;&gt;"N/A"),'Diags Raw Data'!$R$7:$R$3715)</f>
        <v>0</v>
      </c>
      <c r="N78" s="325" cm="1">
        <f t="array" ref="N78">SUMPRODUCT(--(ISNUMBER(SEARCH($A78,'Diags Raw Data'!$A$7:$A$3715))),--('Diags Raw Data'!$Q$7:$Q$3715&lt;&gt;"N/A"),'Diags Raw Data'!$T$7:$T$3715)+SUMPRODUCT(--(ISNUMBER(SEARCH($A78,'Diags Raw Data'!$A$7:$A$3715))),--('Diags Raw Data'!$Q$7:$Q$3715&lt;&gt;"N/A"),'Diags Raw Data'!$U$7:$U$3715)</f>
        <v>0</v>
      </c>
      <c r="O78" s="363">
        <f t="shared" si="36"/>
        <v>0</v>
      </c>
      <c r="P78" s="326">
        <f>SUMIF('Diags Raw Data'!$A$7:$A$3715,"*"&amp;$A78&amp;"*",'Diags Raw Data'!$Z$7:$Z$3715)</f>
        <v>0</v>
      </c>
      <c r="Q78" s="327">
        <f>SUM(SUMIF('Diags Raw Data'!$A$7:$A$3715,"*"&amp;$A78&amp;"*",'Diags Raw Data'!$AA$7:$AA$3715),SUMIF('Diags Raw Data'!$A$7:$A$3715,"*"&amp;$A78&amp;"*",'Diags Raw Data'!$AB$7:$AB$3715))</f>
        <v>0</v>
      </c>
      <c r="R78" s="328">
        <f t="shared" si="37"/>
        <v>0</v>
      </c>
      <c r="S78" s="328">
        <f t="shared" si="38"/>
        <v>0</v>
      </c>
      <c r="T78" s="329">
        <f t="shared" si="39"/>
        <v>0</v>
      </c>
      <c r="U78" s="366" t="s">
        <v>681</v>
      </c>
    </row>
    <row r="79" spans="1:25" ht="15" thickBot="1" x14ac:dyDescent="0.4">
      <c r="A79" s="490" t="s">
        <v>391</v>
      </c>
      <c r="B79" s="480" t="str">
        <f>VLOOKUP(A79,'Feature Raw Data'!$A$3:$B$3934,2,FALSE)</f>
        <v>External Temp sensing /Skin temp</v>
      </c>
      <c r="C79" s="447" t="str">
        <f>VLOOKUP(A79,'Feature Raw Data'!$A$3:$C$4163,3,FALSE)</f>
        <v>P2</v>
      </c>
      <c r="D79" s="451" t="str" cm="1">
        <f t="array" ref="D79">_xlfn.TEXTJOIN("",TRUE,IF(ISNUMBER(SEARCH($A79,'Diags Raw Data'!$A$7:$A$4094)),CONCATENATE('Diags Raw Data'!$H$7:$H$4094,", "),""))</f>
        <v xml:space="preserve">PM80.12.2, PM13.16, </v>
      </c>
      <c r="E79" s="261" t="str">
        <f>VLOOKUP(A79,'Diags Raw Data'!$A$7:$D$3715,4,FALSE)</f>
        <v>THM</v>
      </c>
      <c r="F79" s="261" t="str">
        <f>VLOOKUP(A79,'Feature Raw Data'!$A$3:$E$3783,5,FALSE)</f>
        <v>Delta</v>
      </c>
      <c r="G79" s="261" t="s">
        <v>31</v>
      </c>
      <c r="H79" s="261" t="s">
        <v>31</v>
      </c>
      <c r="I79" s="260">
        <f>SUMIF('Diags Raw Data'!$A$7:$A$3715,"*"&amp;$A79&amp;"*",'Diags Raw Data'!$K$7:$K$3715)</f>
        <v>2</v>
      </c>
      <c r="J79" s="262">
        <f>SUMIF('Diags Raw Data'!$A$7:$A$3715,"*"&amp;$A79&amp;"*",'Diags Raw Data'!$L$7:$L$3715)</f>
        <v>2</v>
      </c>
      <c r="K79" s="322" cm="1">
        <f t="array" ref="K79">IF(D79="",0, SUMPRODUCT(--(ISNUMBER(SEARCH($A79,'Diags Raw Data'!$A$7:$A$3715))),'Diags Raw Data'!$L$7:$L$3715,'Diags Raw Data'!$N$7:$N$3715)/J79)</f>
        <v>1</v>
      </c>
      <c r="L79" s="323" cm="1">
        <f t="array" ref="L79">IF(D79="",0, SUMPRODUCT(--(ISNUMBER(SEARCH($A79,'Diags Raw Data'!$A$7:$A$3715))),'Diags Raw Data'!$L$7:$L$3715,'Diags Raw Data'!$P$7:$P$3715)/J79)</f>
        <v>0.65</v>
      </c>
      <c r="M79" s="324" cm="1">
        <f t="array" ref="M79">SUMPRODUCT(--(ISNUMBER(SEARCH($A79,'Diags Raw Data'!$A$7:$A$3715))),--('Diags Raw Data'!$Q$7:$Q$3715&lt;&gt;"N/A"),'Diags Raw Data'!$R$7:$R$3715)</f>
        <v>2</v>
      </c>
      <c r="N79" s="325" cm="1">
        <f t="array" ref="N79">SUMPRODUCT(--(ISNUMBER(SEARCH($A79,'Diags Raw Data'!$A$7:$A$3715))),--('Diags Raw Data'!$Q$7:$Q$3715&lt;&gt;"N/A"),'Diags Raw Data'!$T$7:$T$3715)+SUMPRODUCT(--(ISNUMBER(SEARCH($A79,'Diags Raw Data'!$A$7:$A$3715))),--('Diags Raw Data'!$Q$7:$Q$3715&lt;&gt;"N/A"),'Diags Raw Data'!$U$7:$U$3715)</f>
        <v>0</v>
      </c>
      <c r="O79" s="363">
        <f t="shared" ref="O79" si="44">IF((M79=0),0,N79/M79)</f>
        <v>0</v>
      </c>
      <c r="P79" s="326">
        <f>SUMIF('Diags Raw Data'!$A$7:$A$3715,"*"&amp;$A79&amp;"*",'Diags Raw Data'!$Z$7:$Z$3715)</f>
        <v>0</v>
      </c>
      <c r="Q79" s="327">
        <f>SUM(SUMIF('Diags Raw Data'!$A$7:$A$3715,"*"&amp;$A79&amp;"*",'Diags Raw Data'!$AA$7:$AA$3715),SUMIF('Diags Raw Data'!$A$7:$A$3715,"*"&amp;$A79&amp;"*",'Diags Raw Data'!$AB$7:$AB$3715))</f>
        <v>0</v>
      </c>
      <c r="R79" s="328">
        <f t="shared" ref="R79" si="45">IF((J79=0),0,P79/J79)</f>
        <v>0</v>
      </c>
      <c r="S79" s="328">
        <f t="shared" ref="S79" si="46">IF((P79=0),0,Q79/P79)</f>
        <v>0</v>
      </c>
      <c r="T79" s="329">
        <f t="shared" ref="T79" si="47">R79*S79</f>
        <v>0</v>
      </c>
      <c r="U79" s="366" t="s">
        <v>328</v>
      </c>
    </row>
    <row r="80" spans="1:25" ht="15" thickBot="1" x14ac:dyDescent="0.4">
      <c r="A80" s="447" t="s">
        <v>429</v>
      </c>
      <c r="B80" s="480" t="str">
        <f>VLOOKUP(A80,'Feature Raw Data'!$A$3:$B$3934,2,FALSE)</f>
        <v>SB-AXI (SMBUS Reading</v>
      </c>
      <c r="C80" s="447" t="str">
        <f>VLOOKUP(A80,'Feature Raw Data'!$A$3:$C$4163,3,FALSE)</f>
        <v>P1</v>
      </c>
      <c r="D80" s="451" t="str" cm="1">
        <f t="array" ref="D80">_xlfn.TEXTJOIN("",TRUE,IF(ISNUMBER(SEARCH($A80,'Diags Raw Data'!$A$7:$A$4094)),CONCATENATE('Diags Raw Data'!$H$7:$H$4094,", "),""))</f>
        <v xml:space="preserve">PM13.16, </v>
      </c>
      <c r="E80" s="261" t="str">
        <f>VLOOKUP(A80,'Diags Raw Data'!$A$7:$D$3715,4,FALSE)</f>
        <v>THM</v>
      </c>
      <c r="F80" s="261" t="str">
        <f>VLOOKUP(A80,'Feature Raw Data'!$A$3:$E$3783,5,FALSE)</f>
        <v>Legacy</v>
      </c>
      <c r="G80" s="261" t="s">
        <v>31</v>
      </c>
      <c r="H80" s="261" t="s">
        <v>31</v>
      </c>
      <c r="I80" s="260">
        <f>SUMIF('Diags Raw Data'!$A$7:$A$3715,"*"&amp;$A80&amp;"*",'Diags Raw Data'!$K$7:$K$3715)</f>
        <v>1</v>
      </c>
      <c r="J80" s="262">
        <f>SUMIF('Diags Raw Data'!$A$7:$A$3715,"*"&amp;$A80&amp;"*",'Diags Raw Data'!$L$7:$L$3715)</f>
        <v>1</v>
      </c>
      <c r="K80" s="322" cm="1">
        <f t="array" ref="K80">IF(D80="",0, SUMPRODUCT(--(ISNUMBER(SEARCH($A80,'Diags Raw Data'!$A$7:$A$3715))),'Diags Raw Data'!$L$7:$L$3715,'Diags Raw Data'!$N$7:$N$3715)/J80)</f>
        <v>1</v>
      </c>
      <c r="L80" s="323" cm="1">
        <f t="array" ref="L80">IF(D80="",0, SUMPRODUCT(--(ISNUMBER(SEARCH($A80,'Diags Raw Data'!$A$7:$A$3715))),'Diags Raw Data'!$L$7:$L$3715,'Diags Raw Data'!$P$7:$P$3715)/J80)</f>
        <v>0.8</v>
      </c>
      <c r="M80" s="324" cm="1">
        <f t="array" ref="M80">SUMPRODUCT(--(ISNUMBER(SEARCH($A80,'Diags Raw Data'!$A$7:$A$3715))),--('Diags Raw Data'!$Q$7:$Q$3715&lt;&gt;"N/A"),'Diags Raw Data'!$R$7:$R$3715)</f>
        <v>1</v>
      </c>
      <c r="N80" s="325" cm="1">
        <f t="array" ref="N80">SUMPRODUCT(--(ISNUMBER(SEARCH($A80,'Diags Raw Data'!$A$7:$A$3715))),--('Diags Raw Data'!$Q$7:$Q$3715&lt;&gt;"N/A"),'Diags Raw Data'!$T$7:$T$3715)+SUMPRODUCT(--(ISNUMBER(SEARCH($A80,'Diags Raw Data'!$A$7:$A$3715))),--('Diags Raw Data'!$Q$7:$Q$3715&lt;&gt;"N/A"),'Diags Raw Data'!$U$7:$U$3715)</f>
        <v>0</v>
      </c>
      <c r="O80" s="363">
        <f t="shared" si="36"/>
        <v>0</v>
      </c>
      <c r="P80" s="326">
        <f>SUMIF('Diags Raw Data'!$A$7:$A$3715,"*"&amp;$A80&amp;"*",'Diags Raw Data'!$Z$7:$Z$3715)</f>
        <v>0</v>
      </c>
      <c r="Q80" s="327">
        <f>SUM(SUMIF('Diags Raw Data'!$A$7:$A$3715,"*"&amp;$A80&amp;"*",'Diags Raw Data'!$AA$7:$AA$3715),SUMIF('Diags Raw Data'!$A$7:$A$3715,"*"&amp;$A80&amp;"*",'Diags Raw Data'!$AB$7:$AB$3715))</f>
        <v>0</v>
      </c>
      <c r="R80" s="328">
        <f t="shared" si="37"/>
        <v>0</v>
      </c>
      <c r="S80" s="328">
        <f t="shared" si="38"/>
        <v>0</v>
      </c>
      <c r="T80" s="329">
        <f t="shared" si="39"/>
        <v>0</v>
      </c>
      <c r="U80" s="366" t="s">
        <v>328</v>
      </c>
    </row>
    <row r="81" spans="1:25" ht="15" thickBot="1" x14ac:dyDescent="0.4">
      <c r="A81" s="447" t="s">
        <v>477</v>
      </c>
      <c r="B81" s="480" t="str">
        <f>VLOOKUP(A81,'Feature Raw Data'!$A$3:$B$3934,2,FALSE)</f>
        <v>CTSEN/ RTSEN Disable</v>
      </c>
      <c r="C81" s="447" t="str">
        <f>VLOOKUP(A81,'Feature Raw Data'!$A$3:$C$4163,3,FALSE)</f>
        <v>P2</v>
      </c>
      <c r="D81" s="451" t="str" cm="1">
        <f t="array" ref="D81">_xlfn.TEXTJOIN("",TRUE,IF(ISNUMBER(SEARCH($A81,'Diags Raw Data'!$A$7:$A$4094)),CONCATENATE('Diags Raw Data'!$H$7:$H$4094,", "),""))</f>
        <v xml:space="preserve">PMxx.xx.5, </v>
      </c>
      <c r="E81" s="261" t="str">
        <f>VLOOKUP(A81,'Diags Raw Data'!$A$7:$D$3715,4,FALSE)</f>
        <v>THM</v>
      </c>
      <c r="F81" s="261" t="str">
        <f>VLOOKUP(A81,'Feature Raw Data'!$A$3:$E$3783,5,FALSE)</f>
        <v>Delta</v>
      </c>
      <c r="G81" s="261" t="s">
        <v>31</v>
      </c>
      <c r="H81" s="670" t="s">
        <v>814</v>
      </c>
      <c r="I81" s="260">
        <v>1</v>
      </c>
      <c r="J81" s="262">
        <v>1</v>
      </c>
      <c r="K81" s="322" cm="1">
        <f t="array" ref="K81">IF(D81="",0, SUMPRODUCT(--(ISNUMBER(SEARCH($A81,'Diags Raw Data'!$A$7:$A$3715))),'Diags Raw Data'!$L$7:$L$3715,'Diags Raw Data'!$N$7:$N$3715)/J81)</f>
        <v>1</v>
      </c>
      <c r="L81" s="323" cm="1">
        <f t="array" ref="L81">IF(D81="",0, SUMPRODUCT(--(ISNUMBER(SEARCH($A81,'Diags Raw Data'!$A$7:$A$3715))),'Diags Raw Data'!$L$7:$L$3715,'Diags Raw Data'!$P$7:$P$3715)/J81)</f>
        <v>0</v>
      </c>
      <c r="M81" s="324" cm="1">
        <f t="array" ref="M81">SUMPRODUCT(--(ISNUMBER(SEARCH($A81,'Diags Raw Data'!$A$7:$A$3715))),--('Diags Raw Data'!$Q$7:$Q$3715&lt;&gt;"N/A"),'Diags Raw Data'!$R$7:$R$3715)</f>
        <v>1</v>
      </c>
      <c r="N81" s="325" cm="1">
        <f t="array" ref="N81">SUMPRODUCT(--(ISNUMBER(SEARCH($A81,'Diags Raw Data'!$A$7:$A$3715))),--('Diags Raw Data'!$Q$7:$Q$3715&lt;&gt;"N/A"),'Diags Raw Data'!$T$7:$T$3715)+SUMPRODUCT(--(ISNUMBER(SEARCH($A81,'Diags Raw Data'!$A$7:$A$3715))),--('Diags Raw Data'!$Q$7:$Q$3715&lt;&gt;"N/A"),'Diags Raw Data'!$U$7:$U$3715)</f>
        <v>0</v>
      </c>
      <c r="O81" s="363">
        <f t="shared" si="36"/>
        <v>0</v>
      </c>
      <c r="P81" s="326">
        <f>SUMIF('Diags Raw Data'!$A$7:$A$3715,"*"&amp;$A81&amp;"*",'Diags Raw Data'!$Z$7:$Z$3715)</f>
        <v>0</v>
      </c>
      <c r="Q81" s="327">
        <f>SUM(SUMIF('Diags Raw Data'!$A$7:$A$3715,"*"&amp;$A81&amp;"*",'Diags Raw Data'!$AA$7:$AA$3715),SUMIF('Diags Raw Data'!$A$7:$A$3715,"*"&amp;$A81&amp;"*",'Diags Raw Data'!$AB$7:$AB$3715))</f>
        <v>0</v>
      </c>
      <c r="R81" s="328">
        <f t="shared" si="37"/>
        <v>0</v>
      </c>
      <c r="S81" s="328">
        <f t="shared" si="38"/>
        <v>0</v>
      </c>
      <c r="T81" s="329">
        <f t="shared" si="39"/>
        <v>0</v>
      </c>
      <c r="U81" s="366" t="s">
        <v>682</v>
      </c>
      <c r="W81" s="167">
        <v>2</v>
      </c>
      <c r="X81" s="167">
        <v>2</v>
      </c>
      <c r="Y81" s="167">
        <v>4</v>
      </c>
    </row>
    <row r="82" spans="1:25" ht="15" thickBot="1" x14ac:dyDescent="0.4">
      <c r="A82" s="447" t="s">
        <v>480</v>
      </c>
      <c r="B82" s="480" t="str">
        <f>VLOOKUP(A82,'Feature Raw Data'!$A$3:$B$3934,2,FALSE)</f>
        <v>HW Auto Polling</v>
      </c>
      <c r="C82" s="447" t="str">
        <f>VLOOKUP(A82,'Feature Raw Data'!$A$3:$C$4163,3,FALSE)</f>
        <v>P2</v>
      </c>
      <c r="D82" s="451" t="str" cm="1">
        <f t="array" ref="D82">_xlfn.TEXTJOIN("",TRUE,IF(ISNUMBER(SEARCH($A82,'Diags Raw Data'!$A$7:$A$4094)),CONCATENATE('Diags Raw Data'!$H$7:$H$4094,", "),""))</f>
        <v xml:space="preserve">PMxx.xx.6, </v>
      </c>
      <c r="E82" s="261" t="str">
        <f>VLOOKUP(A82,'Diags Raw Data'!$A$7:$D$3715,4,FALSE)</f>
        <v>THM</v>
      </c>
      <c r="F82" s="261" t="str">
        <f>VLOOKUP(A82,'Feature Raw Data'!$A$3:$E$3783,5,FALSE)</f>
        <v>Delta</v>
      </c>
      <c r="G82" s="261" t="s">
        <v>31</v>
      </c>
      <c r="H82" s="670" t="s">
        <v>814</v>
      </c>
      <c r="I82" s="260">
        <v>1</v>
      </c>
      <c r="J82" s="262">
        <v>1</v>
      </c>
      <c r="K82" s="322" cm="1">
        <f t="array" ref="K82">IF(D82="",0, SUMPRODUCT(--(ISNUMBER(SEARCH($A82,'Diags Raw Data'!$A$7:$A$3715))),'Diags Raw Data'!$L$7:$L$3715,'Diags Raw Data'!$N$7:$N$3715)/J82)</f>
        <v>1</v>
      </c>
      <c r="L82" s="323" cm="1">
        <f t="array" ref="L82">IF(D82="",0, SUMPRODUCT(--(ISNUMBER(SEARCH($A82,'Diags Raw Data'!$A$7:$A$3715))),'Diags Raw Data'!$L$7:$L$3715,'Diags Raw Data'!$P$7:$P$3715)/J82)</f>
        <v>0</v>
      </c>
      <c r="M82" s="324" cm="1">
        <f t="array" ref="M82">SUMPRODUCT(--(ISNUMBER(SEARCH($A82,'Diags Raw Data'!$A$7:$A$3715))),--('Diags Raw Data'!$Q$7:$Q$3715&lt;&gt;"N/A"),'Diags Raw Data'!$R$7:$R$3715)</f>
        <v>1</v>
      </c>
      <c r="N82" s="325" cm="1">
        <f t="array" ref="N82">SUMPRODUCT(--(ISNUMBER(SEARCH($A82,'Diags Raw Data'!$A$7:$A$3715))),--('Diags Raw Data'!$Q$7:$Q$3715&lt;&gt;"N/A"),'Diags Raw Data'!$T$7:$T$3715)+SUMPRODUCT(--(ISNUMBER(SEARCH($A82,'Diags Raw Data'!$A$7:$A$3715))),--('Diags Raw Data'!$Q$7:$Q$3715&lt;&gt;"N/A"),'Diags Raw Data'!$U$7:$U$3715)</f>
        <v>0</v>
      </c>
      <c r="O82" s="363">
        <f t="shared" si="36"/>
        <v>0</v>
      </c>
      <c r="P82" s="326">
        <f>SUMIF('Diags Raw Data'!$A$7:$A$3715,"*"&amp;$A82&amp;"*",'Diags Raw Data'!$Z$7:$Z$3715)</f>
        <v>0</v>
      </c>
      <c r="Q82" s="327">
        <f>SUM(SUMIF('Diags Raw Data'!$A$7:$A$3715,"*"&amp;$A82&amp;"*",'Diags Raw Data'!$AA$7:$AA$3715),SUMIF('Diags Raw Data'!$A$7:$A$3715,"*"&amp;$A82&amp;"*",'Diags Raw Data'!$AB$7:$AB$3715))</f>
        <v>0</v>
      </c>
      <c r="R82" s="328">
        <f t="shared" si="37"/>
        <v>0</v>
      </c>
      <c r="S82" s="328">
        <f t="shared" si="38"/>
        <v>0</v>
      </c>
      <c r="T82" s="329">
        <f t="shared" si="39"/>
        <v>0</v>
      </c>
      <c r="U82" s="366" t="s">
        <v>682</v>
      </c>
      <c r="W82" s="167">
        <v>2</v>
      </c>
      <c r="X82" s="167">
        <v>2</v>
      </c>
      <c r="Y82" s="167">
        <v>4</v>
      </c>
    </row>
    <row r="83" spans="1:25" ht="15" thickBot="1" x14ac:dyDescent="0.4">
      <c r="A83" s="447" t="s">
        <v>483</v>
      </c>
      <c r="B83" s="480" t="str">
        <f>VLOOKUP(A83,'Feature Raw Data'!$A$3:$B$3934,2,FALSE)</f>
        <v>Raw data to temperature data calculation for TSEN</v>
      </c>
      <c r="C83" s="447" t="str">
        <f>VLOOKUP(A83,'Feature Raw Data'!$A$3:$C$4163,3,FALSE)</f>
        <v>P2</v>
      </c>
      <c r="D83" s="451" t="str" cm="1">
        <f t="array" ref="D83">_xlfn.TEXTJOIN("",TRUE,IF(ISNUMBER(SEARCH($A83,'Diags Raw Data'!$A$7:$A$4094)),CONCATENATE('Diags Raw Data'!$H$7:$H$4094,", "),""))</f>
        <v xml:space="preserve">PMxx.xx.7, </v>
      </c>
      <c r="E83" s="261" t="str">
        <f>VLOOKUP(A83,'Diags Raw Data'!$A$7:$D$3715,4,FALSE)</f>
        <v>THM</v>
      </c>
      <c r="F83" s="261" t="str">
        <f>VLOOKUP(A83,'Feature Raw Data'!$A$3:$E$3783,5,FALSE)</f>
        <v>Delta</v>
      </c>
      <c r="G83" s="261" t="s">
        <v>31</v>
      </c>
      <c r="H83" s="670" t="s">
        <v>814</v>
      </c>
      <c r="I83" s="260">
        <v>1</v>
      </c>
      <c r="J83" s="262">
        <v>1</v>
      </c>
      <c r="K83" s="322" cm="1">
        <f t="array" ref="K83">IF(D83="",0, SUMPRODUCT(--(ISNUMBER(SEARCH($A83,'Diags Raw Data'!$A$7:$A$3715))),'Diags Raw Data'!$L$7:$L$3715,'Diags Raw Data'!$N$7:$N$3715)/J83)</f>
        <v>1</v>
      </c>
      <c r="L83" s="323" cm="1">
        <f t="array" ref="L83">IF(D83="",0, SUMPRODUCT(--(ISNUMBER(SEARCH($A83,'Diags Raw Data'!$A$7:$A$3715))),'Diags Raw Data'!$L$7:$L$3715,'Diags Raw Data'!$P$7:$P$3715)/J83)</f>
        <v>0</v>
      </c>
      <c r="M83" s="324" cm="1">
        <f t="array" ref="M83">SUMPRODUCT(--(ISNUMBER(SEARCH($A83,'Diags Raw Data'!$A$7:$A$3715))),--('Diags Raw Data'!$Q$7:$Q$3715&lt;&gt;"N/A"),'Diags Raw Data'!$R$7:$R$3715)</f>
        <v>1</v>
      </c>
      <c r="N83" s="325" cm="1">
        <f t="array" ref="N83">SUMPRODUCT(--(ISNUMBER(SEARCH($A83,'Diags Raw Data'!$A$7:$A$3715))),--('Diags Raw Data'!$Q$7:$Q$3715&lt;&gt;"N/A"),'Diags Raw Data'!$T$7:$T$3715)+SUMPRODUCT(--(ISNUMBER(SEARCH($A83,'Diags Raw Data'!$A$7:$A$3715))),--('Diags Raw Data'!$Q$7:$Q$3715&lt;&gt;"N/A"),'Diags Raw Data'!$U$7:$U$3715)</f>
        <v>0</v>
      </c>
      <c r="O83" s="363">
        <f t="shared" si="36"/>
        <v>0</v>
      </c>
      <c r="P83" s="326">
        <f>SUMIF('Diags Raw Data'!$A$7:$A$3715,"*"&amp;$A83&amp;"*",'Diags Raw Data'!$Z$7:$Z$3715)</f>
        <v>0</v>
      </c>
      <c r="Q83" s="327">
        <f>SUM(SUMIF('Diags Raw Data'!$A$7:$A$3715,"*"&amp;$A83&amp;"*",'Diags Raw Data'!$AA$7:$AA$3715),SUMIF('Diags Raw Data'!$A$7:$A$3715,"*"&amp;$A83&amp;"*",'Diags Raw Data'!$AB$7:$AB$3715))</f>
        <v>0</v>
      </c>
      <c r="R83" s="328">
        <f t="shared" si="37"/>
        <v>0</v>
      </c>
      <c r="S83" s="328">
        <f t="shared" si="38"/>
        <v>0</v>
      </c>
      <c r="T83" s="329">
        <f t="shared" si="39"/>
        <v>0</v>
      </c>
      <c r="U83" s="366" t="s">
        <v>328</v>
      </c>
      <c r="W83" s="167">
        <v>2</v>
      </c>
      <c r="X83" s="167">
        <v>2</v>
      </c>
      <c r="Y83" s="167">
        <v>4</v>
      </c>
    </row>
    <row r="84" spans="1:25" ht="15" thickBot="1" x14ac:dyDescent="0.4">
      <c r="A84" s="447" t="s">
        <v>378</v>
      </c>
      <c r="B84" s="480" t="str">
        <f>VLOOKUP(A84,'Feature Raw Data'!$A$3:$B$3934,2,FALSE)</f>
        <v>Temperature HW CTF Temp Sel</v>
      </c>
      <c r="C84" s="447" t="str">
        <f>VLOOKUP(A84,'Feature Raw Data'!$A$3:$C$4163,3,FALSE)</f>
        <v>P1</v>
      </c>
      <c r="D84" s="451" t="str" cm="1">
        <f t="array" ref="D84">_xlfn.TEXTJOIN("",TRUE,IF(ISNUMBER(SEARCH($A84,'Diags Raw Data'!$A$7:$A$4094)),CONCATENATE('Diags Raw Data'!$H$7:$H$4094,", "),""))</f>
        <v xml:space="preserve">PM013.008, </v>
      </c>
      <c r="E84" s="261" t="str">
        <f>VLOOKUP(A84,'Diags Raw Data'!$A$7:$D$3715,4,FALSE)</f>
        <v>THM</v>
      </c>
      <c r="F84" s="261" t="str">
        <f>VLOOKUP(A84,'Feature Raw Data'!$A$3:$E$3783,5,FALSE)</f>
        <v>Delta</v>
      </c>
      <c r="G84" s="261" t="s">
        <v>31</v>
      </c>
      <c r="H84" s="261" t="s">
        <v>31</v>
      </c>
      <c r="I84" s="260">
        <f>SUMIF('Diags Raw Data'!$A$7:$A$3715,"*"&amp;$A84&amp;"*",'Diags Raw Data'!$K$7:$K$3715)</f>
        <v>1</v>
      </c>
      <c r="J84" s="262">
        <f>SUMIF('Diags Raw Data'!$A$7:$A$3715,"*"&amp;$A84&amp;"*",'Diags Raw Data'!$L$7:$L$3715)</f>
        <v>1</v>
      </c>
      <c r="K84" s="322" cm="1">
        <f t="array" ref="K84">IF(D84="",0, SUMPRODUCT(--(ISNUMBER(SEARCH($A84,'Diags Raw Data'!$A$7:$A$3715))),'Diags Raw Data'!$L$7:$L$3715,'Diags Raw Data'!$N$7:$N$3715)/J84)</f>
        <v>1</v>
      </c>
      <c r="L84" s="323" cm="1">
        <f t="array" ref="L84">IF(D84="",0, SUMPRODUCT(--(ISNUMBER(SEARCH($A84,'Diags Raw Data'!$A$7:$A$3715))),'Diags Raw Data'!$L$7:$L$3715,'Diags Raw Data'!$P$7:$P$3715)/J84)</f>
        <v>0.8</v>
      </c>
      <c r="M84" s="324" cm="1">
        <f t="array" ref="M84">SUMPRODUCT(--(ISNUMBER(SEARCH($A84,'Diags Raw Data'!$A$7:$A$3715))),--('Diags Raw Data'!$Q$7:$Q$3715&lt;&gt;"N/A"),'Diags Raw Data'!$R$7:$R$3715)</f>
        <v>1</v>
      </c>
      <c r="N84" s="325" cm="1">
        <f t="array" ref="N84">SUMPRODUCT(--(ISNUMBER(SEARCH($A84,'Diags Raw Data'!$A$7:$A$3715))),--('Diags Raw Data'!$Q$7:$Q$3715&lt;&gt;"N/A"),'Diags Raw Data'!$T$7:$T$3715)+SUMPRODUCT(--(ISNUMBER(SEARCH($A84,'Diags Raw Data'!$A$7:$A$3715))),--('Diags Raw Data'!$Q$7:$Q$3715&lt;&gt;"N/A"),'Diags Raw Data'!$U$7:$U$3715)</f>
        <v>0</v>
      </c>
      <c r="O84" s="363">
        <f t="shared" si="36"/>
        <v>0</v>
      </c>
      <c r="P84" s="326">
        <f>SUMIF('Diags Raw Data'!$A$7:$A$3715,"*"&amp;$A84&amp;"*",'Diags Raw Data'!$Z$7:$Z$3715)</f>
        <v>0</v>
      </c>
      <c r="Q84" s="327">
        <f>SUM(SUMIF('Diags Raw Data'!$A$7:$A$3715,"*"&amp;$A84&amp;"*",'Diags Raw Data'!$AA$7:$AA$3715),SUMIF('Diags Raw Data'!$A$7:$A$3715,"*"&amp;$A84&amp;"*",'Diags Raw Data'!$AB$7:$AB$3715))</f>
        <v>0</v>
      </c>
      <c r="R84" s="328">
        <f t="shared" si="37"/>
        <v>0</v>
      </c>
      <c r="S84" s="328">
        <f t="shared" si="38"/>
        <v>0</v>
      </c>
      <c r="T84" s="329">
        <f t="shared" si="39"/>
        <v>0</v>
      </c>
      <c r="U84" s="366" t="s">
        <v>328</v>
      </c>
    </row>
    <row r="85" spans="1:25" ht="15" thickBot="1" x14ac:dyDescent="0.4">
      <c r="A85" s="447" t="s">
        <v>383</v>
      </c>
      <c r="B85" s="480" t="str">
        <f>VLOOKUP(A85,'Feature Raw Data'!$A$3:$B$3934,2,FALSE)</f>
        <v>Thermal Trigger - temperature is higher than THM.GNB_TEMP_THRESHOLD</v>
      </c>
      <c r="C85" s="447" t="str">
        <f>VLOOKUP(A85,'Feature Raw Data'!$A$3:$C$4163,3,FALSE)</f>
        <v>P1</v>
      </c>
      <c r="D85" s="451" t="str" cm="1">
        <f t="array" ref="D85">_xlfn.TEXTJOIN("",TRUE,IF(ISNUMBER(SEARCH($A85,'Diags Raw Data'!$A$7:$A$4094)),CONCATENATE('Diags Raw Data'!$H$7:$H$4094,", "),""))</f>
        <v xml:space="preserve">PM013.008, </v>
      </c>
      <c r="E85" s="261" t="str">
        <f>VLOOKUP(A85,'Diags Raw Data'!$A$7:$D$3715,4,FALSE)</f>
        <v>THM</v>
      </c>
      <c r="F85" s="261" t="str">
        <f>VLOOKUP(A85,'Feature Raw Data'!$A$3:$E$3783,5,FALSE)</f>
        <v>Delta</v>
      </c>
      <c r="G85" s="261" t="s">
        <v>31</v>
      </c>
      <c r="H85" s="261" t="s">
        <v>31</v>
      </c>
      <c r="I85" s="260">
        <f>SUMIF('Diags Raw Data'!$A$7:$A$3715,"*"&amp;$A85&amp;"*",'Diags Raw Data'!$K$7:$K$3715)</f>
        <v>1</v>
      </c>
      <c r="J85" s="262">
        <f>SUMIF('Diags Raw Data'!$A$7:$A$3715,"*"&amp;$A85&amp;"*",'Diags Raw Data'!$L$7:$L$3715)</f>
        <v>1</v>
      </c>
      <c r="K85" s="322" cm="1">
        <f t="array" ref="K85">IF(D85="",0, SUMPRODUCT(--(ISNUMBER(SEARCH($A85,'Diags Raw Data'!$A$7:$A$3715))),'Diags Raw Data'!$L$7:$L$3715,'Diags Raw Data'!$N$7:$N$3715)/J85)</f>
        <v>1</v>
      </c>
      <c r="L85" s="323" cm="1">
        <f t="array" ref="L85">IF(D85="",0, SUMPRODUCT(--(ISNUMBER(SEARCH($A85,'Diags Raw Data'!$A$7:$A$3715))),'Diags Raw Data'!$L$7:$L$3715,'Diags Raw Data'!$P$7:$P$3715)/J85)</f>
        <v>0.8</v>
      </c>
      <c r="M85" s="324" cm="1">
        <f t="array" ref="M85">SUMPRODUCT(--(ISNUMBER(SEARCH($A85,'Diags Raw Data'!$A$7:$A$3715))),--('Diags Raw Data'!$Q$7:$Q$3715&lt;&gt;"N/A"),'Diags Raw Data'!$R$7:$R$3715)</f>
        <v>1</v>
      </c>
      <c r="N85" s="325" cm="1">
        <f t="array" ref="N85">SUMPRODUCT(--(ISNUMBER(SEARCH($A85,'Diags Raw Data'!$A$7:$A$3715))),--('Diags Raw Data'!$Q$7:$Q$3715&lt;&gt;"N/A"),'Diags Raw Data'!$T$7:$T$3715)+SUMPRODUCT(--(ISNUMBER(SEARCH($A85,'Diags Raw Data'!$A$7:$A$3715))),--('Diags Raw Data'!$Q$7:$Q$3715&lt;&gt;"N/A"),'Diags Raw Data'!$U$7:$U$3715)</f>
        <v>0</v>
      </c>
      <c r="O85" s="363">
        <f t="shared" si="36"/>
        <v>0</v>
      </c>
      <c r="P85" s="326">
        <f>SUMIF('Diags Raw Data'!$A$7:$A$3715,"*"&amp;$A85&amp;"*",'Diags Raw Data'!$Z$7:$Z$3715)</f>
        <v>0</v>
      </c>
      <c r="Q85" s="327">
        <f>SUM(SUMIF('Diags Raw Data'!$A$7:$A$3715,"*"&amp;$A85&amp;"*",'Diags Raw Data'!$AA$7:$AA$3715),SUMIF('Diags Raw Data'!$A$7:$A$3715,"*"&amp;$A85&amp;"*",'Diags Raw Data'!$AB$7:$AB$3715))</f>
        <v>0</v>
      </c>
      <c r="R85" s="328">
        <f t="shared" si="37"/>
        <v>0</v>
      </c>
      <c r="S85" s="328">
        <f t="shared" si="38"/>
        <v>0</v>
      </c>
      <c r="T85" s="329">
        <f t="shared" si="39"/>
        <v>0</v>
      </c>
      <c r="U85" s="366" t="s">
        <v>328</v>
      </c>
    </row>
    <row r="86" spans="1:25" ht="15" thickBot="1" x14ac:dyDescent="0.4">
      <c r="A86" s="447" t="s">
        <v>641</v>
      </c>
      <c r="B86" s="480" t="str">
        <f>VLOOKUP(A86,'Feature Raw Data'!$A$3:$B$3934,2,FALSE)</f>
        <v>TSEN Calibration Mod</v>
      </c>
      <c r="C86" s="447" t="str">
        <f>VLOOKUP(A86,'Feature Raw Data'!$A$3:$C$4163,3,FALSE)</f>
        <v>P3</v>
      </c>
      <c r="D86" s="451" t="str" cm="1">
        <f t="array" ref="D86">_xlfn.TEXTJOIN("",TRUE,IF(ISNUMBER(SEARCH($A86,'Diags Raw Data'!$A$7:$A$4094)),CONCATENATE('Diags Raw Data'!$H$7:$H$4094,", "),""))</f>
        <v/>
      </c>
      <c r="E86" s="261" t="e">
        <f>VLOOKUP(A86,'Diags Raw Data'!$A$7:$D$3715,4,FALSE)</f>
        <v>#N/A</v>
      </c>
      <c r="F86" s="261" t="str">
        <f>VLOOKUP(A86,'Feature Raw Data'!$A$3:$E$3783,5,FALSE)</f>
        <v>Legacy</v>
      </c>
      <c r="G86" s="261" t="s">
        <v>31</v>
      </c>
      <c r="H86" s="261" t="s">
        <v>36</v>
      </c>
      <c r="I86" s="260">
        <v>1</v>
      </c>
      <c r="J86" s="262">
        <v>1</v>
      </c>
      <c r="K86" s="322" cm="1">
        <f t="array" ref="K86">IF(D86="",0, SUMPRODUCT(--(ISNUMBER(SEARCH($A86,'Diags Raw Data'!$A$7:$A$3715))),'Diags Raw Data'!$L$7:$L$3715,'Diags Raw Data'!$N$7:$N$3715)/J86)</f>
        <v>0</v>
      </c>
      <c r="L86" s="323" cm="1">
        <f t="array" ref="L86">IF(D86="",0, SUMPRODUCT(--(ISNUMBER(SEARCH($A86,'Diags Raw Data'!$A$7:$A$3715))),'Diags Raw Data'!$L$7:$L$3715,'Diags Raw Data'!$P$7:$P$3715)/J86)</f>
        <v>0</v>
      </c>
      <c r="M86" s="324" cm="1">
        <f t="array" ref="M86">SUMPRODUCT(--(ISNUMBER(SEARCH($A86,'Diags Raw Data'!$A$7:$A$3715))),--('Diags Raw Data'!$Q$7:$Q$3715&lt;&gt;"N/A"),'Diags Raw Data'!$R$7:$R$3715)</f>
        <v>0</v>
      </c>
      <c r="N86" s="325" cm="1">
        <f t="array" ref="N86">SUMPRODUCT(--(ISNUMBER(SEARCH($A86,'Diags Raw Data'!$A$7:$A$3715))),--('Diags Raw Data'!$Q$7:$Q$3715&lt;&gt;"N/A"),'Diags Raw Data'!$T$7:$T$3715)+SUMPRODUCT(--(ISNUMBER(SEARCH($A86,'Diags Raw Data'!$A$7:$A$3715))),--('Diags Raw Data'!$Q$7:$Q$3715&lt;&gt;"N/A"),'Diags Raw Data'!$U$7:$U$3715)</f>
        <v>0</v>
      </c>
      <c r="O86" s="363">
        <f t="shared" si="36"/>
        <v>0</v>
      </c>
      <c r="P86" s="326">
        <f>SUMIF('Diags Raw Data'!$A$7:$A$3715,"*"&amp;$A86&amp;"*",'Diags Raw Data'!$Z$7:$Z$3715)</f>
        <v>0</v>
      </c>
      <c r="Q86" s="327">
        <f>SUM(SUMIF('Diags Raw Data'!$A$7:$A$3715,"*"&amp;$A86&amp;"*",'Diags Raw Data'!$AA$7:$AA$3715),SUMIF('Diags Raw Data'!$A$7:$A$3715,"*"&amp;$A86&amp;"*",'Diags Raw Data'!$AB$7:$AB$3715))</f>
        <v>0</v>
      </c>
      <c r="R86" s="328">
        <f t="shared" si="37"/>
        <v>0</v>
      </c>
      <c r="S86" s="328">
        <f t="shared" si="38"/>
        <v>0</v>
      </c>
      <c r="T86" s="329">
        <f t="shared" si="39"/>
        <v>0</v>
      </c>
      <c r="U86" s="366" t="s">
        <v>328</v>
      </c>
    </row>
    <row r="87" spans="1:25" ht="15" thickBot="1" x14ac:dyDescent="0.4">
      <c r="A87" s="447" t="s">
        <v>386</v>
      </c>
      <c r="B87" s="480" t="str">
        <f>VLOOKUP(A87,'Feature Raw Data'!$A$3:$B$3934,2,FALSE)</f>
        <v>TSEN Mission Mod</v>
      </c>
      <c r="C87" s="447" t="str">
        <f>VLOOKUP(A87,'Feature Raw Data'!$A$3:$C$4163,3,FALSE)</f>
        <v>P1</v>
      </c>
      <c r="D87" s="451" t="str" cm="1">
        <f t="array" ref="D87">_xlfn.TEXTJOIN("",TRUE,IF(ISNUMBER(SEARCH($A87,'Diags Raw Data'!$A$7:$A$4094)),CONCATENATE('Diags Raw Data'!$H$7:$H$4094,", "),""))</f>
        <v xml:space="preserve">PM80.12.2, </v>
      </c>
      <c r="E87" s="261" t="str">
        <f>VLOOKUP(A87,'Diags Raw Data'!$A$7:$D$3715,4,FALSE)</f>
        <v>THM</v>
      </c>
      <c r="F87" s="261" t="str">
        <f>VLOOKUP(A87,'Feature Raw Data'!$A$3:$E$3783,5,FALSE)</f>
        <v>Delta</v>
      </c>
      <c r="G87" s="261" t="s">
        <v>31</v>
      </c>
      <c r="H87" s="261" t="s">
        <v>31</v>
      </c>
      <c r="I87" s="260">
        <f>SUMIF('Diags Raw Data'!$A$7:$A$3715,"*"&amp;$A87&amp;"*",'Diags Raw Data'!$K$7:$K$3715)</f>
        <v>1</v>
      </c>
      <c r="J87" s="262">
        <f>SUMIF('Diags Raw Data'!$A$7:$A$3715,"*"&amp;$A87&amp;"*",'Diags Raw Data'!$L$7:$L$3715)</f>
        <v>1</v>
      </c>
      <c r="K87" s="322" cm="1">
        <f t="array" ref="K87">IF(D87="",0, SUMPRODUCT(--(ISNUMBER(SEARCH($A87,'Diags Raw Data'!$A$7:$A$3715))),'Diags Raw Data'!$L$7:$L$3715,'Diags Raw Data'!$N$7:$N$3715)/J87)</f>
        <v>1</v>
      </c>
      <c r="L87" s="323" cm="1">
        <f t="array" ref="L87">IF(D87="",0, SUMPRODUCT(--(ISNUMBER(SEARCH($A87,'Diags Raw Data'!$A$7:$A$3715))),'Diags Raw Data'!$L$7:$L$3715,'Diags Raw Data'!$P$7:$P$3715)/J87)</f>
        <v>0.5</v>
      </c>
      <c r="M87" s="324" cm="1">
        <f t="array" ref="M87">SUMPRODUCT(--(ISNUMBER(SEARCH($A87,'Diags Raw Data'!$A$7:$A$3715))),--('Diags Raw Data'!$Q$7:$Q$3715&lt;&gt;"N/A"),'Diags Raw Data'!$R$7:$R$3715)</f>
        <v>1</v>
      </c>
      <c r="N87" s="325" cm="1">
        <f t="array" ref="N87">SUMPRODUCT(--(ISNUMBER(SEARCH($A87,'Diags Raw Data'!$A$7:$A$3715))),--('Diags Raw Data'!$Q$7:$Q$3715&lt;&gt;"N/A"),'Diags Raw Data'!$T$7:$T$3715)+SUMPRODUCT(--(ISNUMBER(SEARCH($A87,'Diags Raw Data'!$A$7:$A$3715))),--('Diags Raw Data'!$Q$7:$Q$3715&lt;&gt;"N/A"),'Diags Raw Data'!$U$7:$U$3715)</f>
        <v>0</v>
      </c>
      <c r="O87" s="363">
        <f t="shared" si="36"/>
        <v>0</v>
      </c>
      <c r="P87" s="326">
        <f>SUMIF('Diags Raw Data'!$A$7:$A$3715,"*"&amp;$A87&amp;"*",'Diags Raw Data'!$Z$7:$Z$3715)</f>
        <v>0</v>
      </c>
      <c r="Q87" s="327">
        <f>SUM(SUMIF('Diags Raw Data'!$A$7:$A$3715,"*"&amp;$A87&amp;"*",'Diags Raw Data'!$AA$7:$AA$3715),SUMIF('Diags Raw Data'!$A$7:$A$3715,"*"&amp;$A87&amp;"*",'Diags Raw Data'!$AB$7:$AB$3715))</f>
        <v>0</v>
      </c>
      <c r="R87" s="328">
        <f t="shared" si="37"/>
        <v>0</v>
      </c>
      <c r="S87" s="328">
        <f t="shared" si="38"/>
        <v>0</v>
      </c>
      <c r="T87" s="329">
        <f t="shared" si="39"/>
        <v>0</v>
      </c>
      <c r="U87" s="366" t="s">
        <v>328</v>
      </c>
    </row>
    <row r="88" spans="1:25" s="168" customFormat="1" ht="15" thickBot="1" x14ac:dyDescent="0.4">
      <c r="A88" s="447" t="s">
        <v>390</v>
      </c>
      <c r="B88" s="480" t="str">
        <f>VLOOKUP(A88,'Feature Raw Data'!$A$3:$B$3934,2,FALSE)</f>
        <v>SMU TSEN Initialization Sequence</v>
      </c>
      <c r="C88" s="447" t="str">
        <f>VLOOKUP(A88,'Feature Raw Data'!$A$3:$C$4163,3,FALSE)</f>
        <v>P1</v>
      </c>
      <c r="D88" s="451" t="str" cm="1">
        <f t="array" ref="D88">_xlfn.TEXTJOIN("",TRUE,IF(ISNUMBER(SEARCH($A88,'Diags Raw Data'!$A$7:$A$4094)),CONCATENATE('Diags Raw Data'!$H$7:$H$4094,", "),""))</f>
        <v xml:space="preserve">PM80.12.2, </v>
      </c>
      <c r="E88" s="261" t="str">
        <f>VLOOKUP(A88,'Diags Raw Data'!$A$7:$D$3715,4,FALSE)</f>
        <v>THM</v>
      </c>
      <c r="F88" s="261" t="str">
        <f>VLOOKUP(A88,'Feature Raw Data'!$A$3:$E$3783,5,FALSE)</f>
        <v>Delta</v>
      </c>
      <c r="G88" s="261" t="s">
        <v>31</v>
      </c>
      <c r="H88" s="261" t="s">
        <v>31</v>
      </c>
      <c r="I88" s="260">
        <f>SUMIF('Diags Raw Data'!$A$7:$A$3715,"*"&amp;$A88&amp;"*",'Diags Raw Data'!$K$7:$K$3715)</f>
        <v>1</v>
      </c>
      <c r="J88" s="262">
        <f>SUMIF('Diags Raw Data'!$A$7:$A$3715,"*"&amp;$A88&amp;"*",'Diags Raw Data'!$L$7:$L$3715)</f>
        <v>1</v>
      </c>
      <c r="K88" s="322" cm="1">
        <f t="array" ref="K88">IF(D88="",0, SUMPRODUCT(--(ISNUMBER(SEARCH($A88,'Diags Raw Data'!$A$7:$A$3715))),'Diags Raw Data'!$L$7:$L$3715,'Diags Raw Data'!$N$7:$N$3715)/J88)</f>
        <v>1</v>
      </c>
      <c r="L88" s="323" cm="1">
        <f t="array" ref="L88">IF(D88="",0, SUMPRODUCT(--(ISNUMBER(SEARCH($A88,'Diags Raw Data'!$A$7:$A$3715))),'Diags Raw Data'!$L$7:$L$3715,'Diags Raw Data'!$P$7:$P$3715)/J88)</f>
        <v>0.5</v>
      </c>
      <c r="M88" s="324" cm="1">
        <f t="array" ref="M88">SUMPRODUCT(--(ISNUMBER(SEARCH($A88,'Diags Raw Data'!$A$7:$A$3715))),--('Diags Raw Data'!$Q$7:$Q$3715&lt;&gt;"N/A"),'Diags Raw Data'!$R$7:$R$3715)</f>
        <v>1</v>
      </c>
      <c r="N88" s="325" cm="1">
        <f t="array" ref="N88">SUMPRODUCT(--(ISNUMBER(SEARCH($A88,'Diags Raw Data'!$A$7:$A$3715))),--('Diags Raw Data'!$Q$7:$Q$3715&lt;&gt;"N/A"),'Diags Raw Data'!$T$7:$T$3715)+SUMPRODUCT(--(ISNUMBER(SEARCH($A88,'Diags Raw Data'!$A$7:$A$3715))),--('Diags Raw Data'!$Q$7:$Q$3715&lt;&gt;"N/A"),'Diags Raw Data'!$U$7:$U$3715)</f>
        <v>0</v>
      </c>
      <c r="O88" s="363">
        <f t="shared" si="36"/>
        <v>0</v>
      </c>
      <c r="P88" s="326">
        <f>SUMIF('Diags Raw Data'!$A$7:$A$3715,"*"&amp;$A88&amp;"*",'Diags Raw Data'!$Z$7:$Z$3715)</f>
        <v>0</v>
      </c>
      <c r="Q88" s="327">
        <f>SUM(SUMIF('Diags Raw Data'!$A$7:$A$3715,"*"&amp;$A88&amp;"*",'Diags Raw Data'!$AA$7:$AA$3715),SUMIF('Diags Raw Data'!$A$7:$A$3715,"*"&amp;$A88&amp;"*",'Diags Raw Data'!$AB$7:$AB$3715))</f>
        <v>0</v>
      </c>
      <c r="R88" s="328">
        <f t="shared" si="37"/>
        <v>0</v>
      </c>
      <c r="S88" s="328">
        <f t="shared" si="38"/>
        <v>0</v>
      </c>
      <c r="T88" s="329">
        <f t="shared" si="39"/>
        <v>0</v>
      </c>
      <c r="U88" s="366" t="s">
        <v>328</v>
      </c>
      <c r="V88" s="167"/>
    </row>
    <row r="89" spans="1:25" ht="15" thickBot="1" x14ac:dyDescent="0.4">
      <c r="A89" s="447" t="s">
        <v>389</v>
      </c>
      <c r="B89" s="480" t="str">
        <f>VLOOKUP(A89,'Feature Raw Data'!$A$3:$B$3934,2,FALSE)</f>
        <v>SMU&lt;-&gt;CTSEN Interface</v>
      </c>
      <c r="C89" s="447" t="str">
        <f>VLOOKUP(A89,'Feature Raw Data'!$A$3:$C$4163,3,FALSE)</f>
        <v>P1</v>
      </c>
      <c r="D89" s="451" t="str" cm="1">
        <f t="array" ref="D89">_xlfn.TEXTJOIN("",TRUE,IF(ISNUMBER(SEARCH($A89,'Diags Raw Data'!$A$7:$A$4094)),CONCATENATE('Diags Raw Data'!$H$7:$H$4094,", "),""))</f>
        <v xml:space="preserve">PM80.12.2, </v>
      </c>
      <c r="E89" s="261" t="str">
        <f>VLOOKUP(A89,'Diags Raw Data'!$A$7:$D$3715,4,FALSE)</f>
        <v>THM</v>
      </c>
      <c r="F89" s="261" t="str">
        <f>VLOOKUP(A89,'Feature Raw Data'!$A$3:$E$3783,5,FALSE)</f>
        <v>Delta</v>
      </c>
      <c r="G89" s="261" t="s">
        <v>31</v>
      </c>
      <c r="H89" s="261" t="s">
        <v>31</v>
      </c>
      <c r="I89" s="260">
        <f>SUMIF('Diags Raw Data'!$A$7:$A$3715,"*"&amp;$A89&amp;"*",'Diags Raw Data'!$K$7:$K$3715)</f>
        <v>1</v>
      </c>
      <c r="J89" s="262">
        <f>SUMIF('Diags Raw Data'!$A$7:$A$3715,"*"&amp;$A89&amp;"*",'Diags Raw Data'!$L$7:$L$3715)</f>
        <v>1</v>
      </c>
      <c r="K89" s="322" cm="1">
        <f t="array" ref="K89">IF(D89="",0, SUMPRODUCT(--(ISNUMBER(SEARCH($A89,'Diags Raw Data'!$A$7:$A$3715))),'Diags Raw Data'!$L$7:$L$3715,'Diags Raw Data'!$N$7:$N$3715)/J89)</f>
        <v>1</v>
      </c>
      <c r="L89" s="323" cm="1">
        <f t="array" ref="L89">IF(D89="",0, SUMPRODUCT(--(ISNUMBER(SEARCH($A89,'Diags Raw Data'!$A$7:$A$3715))),'Diags Raw Data'!$L$7:$L$3715,'Diags Raw Data'!$P$7:$P$3715)/J89)</f>
        <v>0.5</v>
      </c>
      <c r="M89" s="324" cm="1">
        <f t="array" ref="M89">SUMPRODUCT(--(ISNUMBER(SEARCH($A89,'Diags Raw Data'!$A$7:$A$3715))),--('Diags Raw Data'!$Q$7:$Q$3715&lt;&gt;"N/A"),'Diags Raw Data'!$R$7:$R$3715)</f>
        <v>1</v>
      </c>
      <c r="N89" s="325" cm="1">
        <f t="array" ref="N89">SUMPRODUCT(--(ISNUMBER(SEARCH($A89,'Diags Raw Data'!$A$7:$A$3715))),--('Diags Raw Data'!$Q$7:$Q$3715&lt;&gt;"N/A"),'Diags Raw Data'!$T$7:$T$3715)+SUMPRODUCT(--(ISNUMBER(SEARCH($A89,'Diags Raw Data'!$A$7:$A$3715))),--('Diags Raw Data'!$Q$7:$Q$3715&lt;&gt;"N/A"),'Diags Raw Data'!$U$7:$U$3715)</f>
        <v>0</v>
      </c>
      <c r="O89" s="363">
        <f t="shared" si="36"/>
        <v>0</v>
      </c>
      <c r="P89" s="326">
        <f>SUMIF('Diags Raw Data'!$A$7:$A$3715,"*"&amp;$A89&amp;"*",'Diags Raw Data'!$Z$7:$Z$3715)</f>
        <v>0</v>
      </c>
      <c r="Q89" s="327">
        <f>SUM(SUMIF('Diags Raw Data'!$A$7:$A$3715,"*"&amp;$A89&amp;"*",'Diags Raw Data'!$AA$7:$AA$3715),SUMIF('Diags Raw Data'!$A$7:$A$3715,"*"&amp;$A89&amp;"*",'Diags Raw Data'!$AB$7:$AB$3715))</f>
        <v>0</v>
      </c>
      <c r="R89" s="328">
        <f t="shared" si="37"/>
        <v>0</v>
      </c>
      <c r="S89" s="328">
        <f t="shared" si="38"/>
        <v>0</v>
      </c>
      <c r="T89" s="329">
        <f t="shared" si="39"/>
        <v>0</v>
      </c>
      <c r="U89" s="458" t="s">
        <v>689</v>
      </c>
    </row>
    <row r="90" spans="1:25" ht="15" thickBot="1" x14ac:dyDescent="0.4">
      <c r="A90" s="490" t="s">
        <v>646</v>
      </c>
      <c r="B90" s="480" t="str">
        <f>VLOOKUP(A90,'Feature Raw Data'!$A$3:$B$3934,2,FALSE)</f>
        <v>Mailbox</v>
      </c>
      <c r="C90" s="447" t="str">
        <f>VLOOKUP(A90,'Feature Raw Data'!$A$3:$C$4163,3,FALSE)</f>
        <v>P3</v>
      </c>
      <c r="D90" s="451" t="str" cm="1">
        <f t="array" ref="D90">_xlfn.TEXTJOIN("",TRUE,IF(ISNUMBER(SEARCH($A90,'Diags Raw Data'!$A$7:$A$4094)),CONCATENATE('Diags Raw Data'!$H$7:$H$4094,", "),""))</f>
        <v/>
      </c>
      <c r="E90" s="261" t="e">
        <f>VLOOKUP(A90,'Diags Raw Data'!$A$7:$D$3715,4,FALSE)</f>
        <v>#N/A</v>
      </c>
      <c r="F90" s="261" t="str">
        <f>VLOOKUP(A90,'Feature Raw Data'!$A$3:$E$3783,5,FALSE)</f>
        <v>Legacy</v>
      </c>
      <c r="G90" s="261" t="s">
        <v>31</v>
      </c>
      <c r="H90" s="261" t="s">
        <v>36</v>
      </c>
      <c r="I90" s="260">
        <f>SUMIF('Diags Raw Data'!$A$7:$A$3715,"*"&amp;$A90&amp;"*",'Diags Raw Data'!$K$7:$K$3715)</f>
        <v>0</v>
      </c>
      <c r="J90" s="262">
        <f>SUMIF('Diags Raw Data'!$A$7:$A$3715,"*"&amp;$A90&amp;"*",'Diags Raw Data'!$L$7:$L$3715)</f>
        <v>0</v>
      </c>
      <c r="K90" s="322" cm="1">
        <f t="array" ref="K90">IF(D90="",0, SUMPRODUCT(--(ISNUMBER(SEARCH($A90,'Diags Raw Data'!$A$7:$A$3715))),'Diags Raw Data'!$L$7:$L$3715,'Diags Raw Data'!$N$7:$N$3715)/J90)</f>
        <v>0</v>
      </c>
      <c r="L90" s="323" cm="1">
        <f t="array" ref="L90">IF(D90="",0, SUMPRODUCT(--(ISNUMBER(SEARCH($A90,'Diags Raw Data'!$A$7:$A$3715))),'Diags Raw Data'!$L$7:$L$3715,'Diags Raw Data'!$P$7:$P$3715)/J90)</f>
        <v>0</v>
      </c>
      <c r="M90" s="324" cm="1">
        <f t="array" ref="M90">SUMPRODUCT(--(ISNUMBER(SEARCH($A90,'Diags Raw Data'!$A$7:$A$3715))),--('Diags Raw Data'!$Q$7:$Q$3715&lt;&gt;"N/A"),'Diags Raw Data'!$R$7:$R$3715)</f>
        <v>0</v>
      </c>
      <c r="N90" s="325" cm="1">
        <f t="array" ref="N90">SUMPRODUCT(--(ISNUMBER(SEARCH($A90,'Diags Raw Data'!$A$7:$A$3715))),--('Diags Raw Data'!$Q$7:$Q$3715&lt;&gt;"N/A"),'Diags Raw Data'!$T$7:$T$3715)+SUMPRODUCT(--(ISNUMBER(SEARCH($A90,'Diags Raw Data'!$A$7:$A$3715))),--('Diags Raw Data'!$Q$7:$Q$3715&lt;&gt;"N/A"),'Diags Raw Data'!$U$7:$U$3715)</f>
        <v>0</v>
      </c>
      <c r="O90" s="363">
        <f t="shared" ref="O90" si="48">IF((M90=0),0,N90/M90)</f>
        <v>0</v>
      </c>
      <c r="P90" s="326">
        <f>SUMIF('Diags Raw Data'!$A$7:$A$3715,"*"&amp;$A90&amp;"*",'Diags Raw Data'!$Z$7:$Z$3715)</f>
        <v>0</v>
      </c>
      <c r="Q90" s="327">
        <f>SUM(SUMIF('Diags Raw Data'!$A$7:$A$3715,"*"&amp;$A90&amp;"*",'Diags Raw Data'!$AA$7:$AA$3715),SUMIF('Diags Raw Data'!$A$7:$A$3715,"*"&amp;$A90&amp;"*",'Diags Raw Data'!$AB$7:$AB$3715))</f>
        <v>0</v>
      </c>
      <c r="R90" s="328">
        <f t="shared" ref="R90" si="49">IF((J90=0),0,P90/J90)</f>
        <v>0</v>
      </c>
      <c r="S90" s="328">
        <f t="shared" ref="S90" si="50">IF((P90=0),0,Q90/P90)</f>
        <v>0</v>
      </c>
      <c r="T90" s="329">
        <f t="shared" ref="T90" si="51">R90*S90</f>
        <v>0</v>
      </c>
      <c r="U90" s="366"/>
    </row>
    <row r="91" spans="1:25" ht="15" thickBot="1" x14ac:dyDescent="0.4">
      <c r="A91" s="447" t="s">
        <v>486</v>
      </c>
      <c r="B91" s="480" t="str">
        <f>VLOOKUP(A91,'Feature Raw Data'!$A$3:$B$3934,2,FALSE)</f>
        <v>rsmu interrupt over smn network</v>
      </c>
      <c r="C91" s="447" t="str">
        <f>VLOOKUP(A91,'Feature Raw Data'!$A$3:$C$4163,3,FALSE)</f>
        <v>P2</v>
      </c>
      <c r="D91" s="451" t="str" cm="1">
        <f t="array" ref="D91">_xlfn.TEXTJOIN("",TRUE,IF(ISNUMBER(SEARCH($A91,'Diags Raw Data'!$A$7:$A$4094)),CONCATENATE('Diags Raw Data'!$H$7:$H$4094,", "),""))</f>
        <v xml:space="preserve">PM051.008, </v>
      </c>
      <c r="E91" s="261" t="str">
        <f>VLOOKUP(A91,'Diags Raw Data'!$A$7:$D$3715,4,FALSE)</f>
        <v>RSMU</v>
      </c>
      <c r="F91" s="261" t="str">
        <f>VLOOKUP(A91,'Feature Raw Data'!$A$3:$E$3783,5,FALSE)</f>
        <v>Delta</v>
      </c>
      <c r="G91" s="261" t="s">
        <v>31</v>
      </c>
      <c r="H91" s="670" t="s">
        <v>814</v>
      </c>
      <c r="I91" s="260">
        <v>1</v>
      </c>
      <c r="J91" s="262">
        <v>1</v>
      </c>
      <c r="K91" s="322" cm="1">
        <f t="array" ref="K91">IF(D91="",0, SUMPRODUCT(--(ISNUMBER(SEARCH($A91,'Diags Raw Data'!$A$7:$A$3715))),'Diags Raw Data'!$L$7:$L$3715,'Diags Raw Data'!$N$7:$N$3715)/J91)</f>
        <v>1</v>
      </c>
      <c r="L91" s="323" cm="1">
        <f t="array" ref="L91">IF(D91="",0, SUMPRODUCT(--(ISNUMBER(SEARCH($A91,'Diags Raw Data'!$A$7:$A$3715))),'Diags Raw Data'!$L$7:$L$3715,'Diags Raw Data'!$P$7:$P$3715)/J91)</f>
        <v>0</v>
      </c>
      <c r="M91" s="324" cm="1">
        <f t="array" ref="M91">SUMPRODUCT(--(ISNUMBER(SEARCH($A91,'Diags Raw Data'!$A$7:$A$3715))),--('Diags Raw Data'!$Q$7:$Q$3715&lt;&gt;"N/A"),'Diags Raw Data'!$R$7:$R$3715)</f>
        <v>1</v>
      </c>
      <c r="N91" s="325" cm="1">
        <f t="array" ref="N91">SUMPRODUCT(--(ISNUMBER(SEARCH($A91,'Diags Raw Data'!$A$7:$A$3715))),--('Diags Raw Data'!$Q$7:$Q$3715&lt;&gt;"N/A"),'Diags Raw Data'!$T$7:$T$3715)+SUMPRODUCT(--(ISNUMBER(SEARCH($A91,'Diags Raw Data'!$A$7:$A$3715))),--('Diags Raw Data'!$Q$7:$Q$3715&lt;&gt;"N/A"),'Diags Raw Data'!$U$7:$U$3715)</f>
        <v>0</v>
      </c>
      <c r="O91" s="363">
        <f t="shared" ref="O91" si="52">IF((M91=0),0,N91/M91)</f>
        <v>0</v>
      </c>
      <c r="P91" s="326">
        <f>SUMIF('Diags Raw Data'!$A$7:$A$3715,"*"&amp;$A91&amp;"*",'Diags Raw Data'!$Z$7:$Z$3715)</f>
        <v>0</v>
      </c>
      <c r="Q91" s="327">
        <f>SUM(SUMIF('Diags Raw Data'!$A$7:$A$3715,"*"&amp;$A91&amp;"*",'Diags Raw Data'!$AA$7:$AA$3715),SUMIF('Diags Raw Data'!$A$7:$A$3715,"*"&amp;$A91&amp;"*",'Diags Raw Data'!$AB$7:$AB$3715))</f>
        <v>0</v>
      </c>
      <c r="R91" s="328">
        <f t="shared" ref="R91" si="53">IF((J91=0),0,P91/J91)</f>
        <v>0</v>
      </c>
      <c r="S91" s="328">
        <f t="shared" ref="S91" si="54">IF((P91=0),0,Q91/P91)</f>
        <v>0</v>
      </c>
      <c r="T91" s="329">
        <f t="shared" ref="T91" si="55">R91*S91</f>
        <v>0</v>
      </c>
      <c r="U91" s="366" t="s">
        <v>44</v>
      </c>
    </row>
    <row r="92" spans="1:25" ht="15" thickBot="1" x14ac:dyDescent="0.4">
      <c r="A92" s="447" t="s">
        <v>491</v>
      </c>
      <c r="B92" s="480" t="str">
        <f>VLOOKUP(A92,'Feature Raw Data'!$A$3:$B$3934,2,FALSE)</f>
        <v>RSMU/SMN Dynamic CG</v>
      </c>
      <c r="C92" s="447" t="str">
        <f>VLOOKUP(A92,'Feature Raw Data'!$A$3:$C$4163,3,FALSE)</f>
        <v>P2</v>
      </c>
      <c r="D92" s="451" t="str" cm="1">
        <f t="array" ref="D92">_xlfn.TEXTJOIN("",TRUE,IF(ISNUMBER(SEARCH($A92,'Diags Raw Data'!$A$7:$A$4094)),CONCATENATE('Diags Raw Data'!$H$7:$H$4094,", "),""))</f>
        <v xml:space="preserve">PM051.010, </v>
      </c>
      <c r="E92" s="261" t="str">
        <f>VLOOKUP(A92,'Diags Raw Data'!$A$7:$D$3715,4,FALSE)</f>
        <v>RSMU</v>
      </c>
      <c r="F92" s="261" t="str">
        <f>VLOOKUP(A92,'Feature Raw Data'!$A$3:$E$3783,5,FALSE)</f>
        <v>Delta</v>
      </c>
      <c r="G92" s="261" t="s">
        <v>31</v>
      </c>
      <c r="H92" s="670" t="s">
        <v>814</v>
      </c>
      <c r="I92" s="260">
        <v>1</v>
      </c>
      <c r="J92" s="262">
        <v>1</v>
      </c>
      <c r="K92" s="322" cm="1">
        <f t="array" ref="K92">IF(D92="",0, SUMPRODUCT(--(ISNUMBER(SEARCH($A92,'Diags Raw Data'!$A$7:$A$3715))),'Diags Raw Data'!$L$7:$L$3715,'Diags Raw Data'!$N$7:$N$3715)/J92)</f>
        <v>1</v>
      </c>
      <c r="L92" s="323" cm="1">
        <f t="array" ref="L92">IF(D92="",0, SUMPRODUCT(--(ISNUMBER(SEARCH($A92,'Diags Raw Data'!$A$7:$A$3715))),'Diags Raw Data'!$L$7:$L$3715,'Diags Raw Data'!$P$7:$P$3715)/J92)</f>
        <v>0.3</v>
      </c>
      <c r="M92" s="324" cm="1">
        <f t="array" ref="M92">SUMPRODUCT(--(ISNUMBER(SEARCH($A92,'Diags Raw Data'!$A$7:$A$3715))),--('Diags Raw Data'!$Q$7:$Q$3715&lt;&gt;"N/A"),'Diags Raw Data'!$R$7:$R$3715)</f>
        <v>1</v>
      </c>
      <c r="N92" s="325" cm="1">
        <f t="array" ref="N92">SUMPRODUCT(--(ISNUMBER(SEARCH($A92,'Diags Raw Data'!$A$7:$A$3715))),--('Diags Raw Data'!$Q$7:$Q$3715&lt;&gt;"N/A"),'Diags Raw Data'!$T$7:$T$3715)+SUMPRODUCT(--(ISNUMBER(SEARCH($A92,'Diags Raw Data'!$A$7:$A$3715))),--('Diags Raw Data'!$Q$7:$Q$3715&lt;&gt;"N/A"),'Diags Raw Data'!$U$7:$U$3715)</f>
        <v>0</v>
      </c>
      <c r="O92" s="363">
        <f t="shared" si="36"/>
        <v>0</v>
      </c>
      <c r="P92" s="326">
        <f>SUMIF('Diags Raw Data'!$A$7:$A$3715,"*"&amp;$A92&amp;"*",'Diags Raw Data'!$Z$7:$Z$3715)</f>
        <v>0</v>
      </c>
      <c r="Q92" s="327">
        <f>SUM(SUMIF('Diags Raw Data'!$A$7:$A$3715,"*"&amp;$A92&amp;"*",'Diags Raw Data'!$AA$7:$AA$3715),SUMIF('Diags Raw Data'!$A$7:$A$3715,"*"&amp;$A92&amp;"*",'Diags Raw Data'!$AB$7:$AB$3715))</f>
        <v>0</v>
      </c>
      <c r="R92" s="328">
        <f t="shared" si="37"/>
        <v>0</v>
      </c>
      <c r="S92" s="328">
        <f t="shared" si="38"/>
        <v>0</v>
      </c>
      <c r="T92" s="329">
        <f t="shared" si="39"/>
        <v>0</v>
      </c>
      <c r="U92" s="366" t="s">
        <v>44</v>
      </c>
      <c r="X92" s="167">
        <v>0.5</v>
      </c>
      <c r="Y92" s="167">
        <v>0.5</v>
      </c>
    </row>
    <row r="93" spans="1:25" ht="15" thickBot="1" x14ac:dyDescent="0.4">
      <c r="A93" s="490" t="s">
        <v>490</v>
      </c>
      <c r="B93" s="480" t="str">
        <f>VLOOKUP(A93,'Feature Raw Data'!$A$3:$B$3934,2,FALSE)</f>
        <v xml:space="preserve">RSMU register access </v>
      </c>
      <c r="C93" s="447" t="str">
        <f>VLOOKUP(A93,'Feature Raw Data'!$A$3:$C$4163,3,FALSE)</f>
        <v>P2</v>
      </c>
      <c r="D93" s="451" t="str" cm="1">
        <f t="array" ref="D93">_xlfn.TEXTJOIN("",TRUE,IF(ISNUMBER(SEARCH($A93,'Diags Raw Data'!$A$7:$A$4094)),CONCATENATE('Diags Raw Data'!$H$7:$H$4094,", "),""))</f>
        <v xml:space="preserve">PM051.008, PM051.010, </v>
      </c>
      <c r="E93" s="261" t="str">
        <f>VLOOKUP(A93,'Diags Raw Data'!$A$7:$D$3715,4,FALSE)</f>
        <v>RSMU</v>
      </c>
      <c r="F93" s="261" t="str">
        <f>VLOOKUP(A93,'Feature Raw Data'!$A$3:$E$3783,5,FALSE)</f>
        <v>Delta</v>
      </c>
      <c r="G93" s="261" t="s">
        <v>31</v>
      </c>
      <c r="H93" s="670" t="s">
        <v>814</v>
      </c>
      <c r="I93" s="260">
        <v>1</v>
      </c>
      <c r="J93" s="262">
        <v>1</v>
      </c>
      <c r="K93" s="322" cm="1">
        <f t="array" ref="K93">IF(D93="",0, SUMPRODUCT(--(ISNUMBER(SEARCH($A93,'Diags Raw Data'!$A$7:$A$3715))),'Diags Raw Data'!$L$7:$L$3715,'Diags Raw Data'!$N$7:$N$3715)/J93)</f>
        <v>2</v>
      </c>
      <c r="L93" s="323" cm="1">
        <f t="array" ref="L93">IF(D93="",0, SUMPRODUCT(--(ISNUMBER(SEARCH($A93,'Diags Raw Data'!$A$7:$A$3715))),'Diags Raw Data'!$L$7:$L$3715,'Diags Raw Data'!$P$7:$P$3715)/J93)</f>
        <v>0.3</v>
      </c>
      <c r="M93" s="324" cm="1">
        <f t="array" ref="M93">SUMPRODUCT(--(ISNUMBER(SEARCH($A93,'Diags Raw Data'!$A$7:$A$3715))),--('Diags Raw Data'!$Q$7:$Q$3715&lt;&gt;"N/A"),'Diags Raw Data'!$R$7:$R$3715)</f>
        <v>2</v>
      </c>
      <c r="N93" s="325" cm="1">
        <f t="array" ref="N93">SUMPRODUCT(--(ISNUMBER(SEARCH($A93,'Diags Raw Data'!$A$7:$A$3715))),--('Diags Raw Data'!$Q$7:$Q$3715&lt;&gt;"N/A"),'Diags Raw Data'!$T$7:$T$3715)+SUMPRODUCT(--(ISNUMBER(SEARCH($A93,'Diags Raw Data'!$A$7:$A$3715))),--('Diags Raw Data'!$Q$7:$Q$3715&lt;&gt;"N/A"),'Diags Raw Data'!$U$7:$U$3715)</f>
        <v>0</v>
      </c>
      <c r="O93" s="363">
        <f t="shared" si="36"/>
        <v>0</v>
      </c>
      <c r="P93" s="326">
        <f>SUMIF('Diags Raw Data'!$A$7:$A$3715,"*"&amp;$A93&amp;"*",'Diags Raw Data'!$Z$7:$Z$3715)</f>
        <v>0</v>
      </c>
      <c r="Q93" s="327">
        <f>SUM(SUMIF('Diags Raw Data'!$A$7:$A$3715,"*"&amp;$A93&amp;"*",'Diags Raw Data'!$AA$7:$AA$3715),SUMIF('Diags Raw Data'!$A$7:$A$3715,"*"&amp;$A93&amp;"*",'Diags Raw Data'!$AB$7:$AB$3715))</f>
        <v>0</v>
      </c>
      <c r="R93" s="328">
        <f t="shared" si="37"/>
        <v>0</v>
      </c>
      <c r="S93" s="328">
        <f t="shared" si="38"/>
        <v>0</v>
      </c>
      <c r="T93" s="329">
        <f t="shared" si="39"/>
        <v>0</v>
      </c>
      <c r="U93" s="366"/>
      <c r="X93" s="167">
        <v>0.5</v>
      </c>
      <c r="Y93" s="167">
        <v>0.5</v>
      </c>
    </row>
    <row r="94" spans="1:25" ht="15" thickBot="1" x14ac:dyDescent="0.4">
      <c r="A94" s="447" t="s">
        <v>494</v>
      </c>
      <c r="B94" s="480" t="str">
        <f>VLOOKUP(A94,'Feature Raw Data'!$A$3:$B$3934,2,FALSE)</f>
        <v>TSEN-read -RDI</v>
      </c>
      <c r="C94" s="447" t="str">
        <f>VLOOKUP(A94,'Feature Raw Data'!$A$3:$C$4163,3,FALSE)</f>
        <v>P2</v>
      </c>
      <c r="D94" s="451" t="str" cm="1">
        <f t="array" ref="D94">_xlfn.TEXTJOIN("",TRUE,IF(ISNUMBER(SEARCH($A94,'Diags Raw Data'!$A$7:$A$4094)),CONCATENATE('Diags Raw Data'!$H$7:$H$4094,", "),""))</f>
        <v xml:space="preserve">PM13.33, </v>
      </c>
      <c r="E94" s="261" t="str">
        <f>VLOOKUP(A94,'Diags Raw Data'!$A$7:$D$3715,4,FALSE)</f>
        <v>THM</v>
      </c>
      <c r="F94" s="261" t="str">
        <f>VLOOKUP(A94,'Feature Raw Data'!$A$3:$E$3783,5,FALSE)</f>
        <v>Delta</v>
      </c>
      <c r="G94" s="261" t="s">
        <v>31</v>
      </c>
      <c r="H94" s="670" t="s">
        <v>814</v>
      </c>
      <c r="I94" s="260">
        <v>1</v>
      </c>
      <c r="J94" s="262">
        <v>1</v>
      </c>
      <c r="K94" s="322" cm="1">
        <f t="array" ref="K94">IF(D94="",0, SUMPRODUCT(--(ISNUMBER(SEARCH($A94,'Diags Raw Data'!$A$7:$A$3715))),'Diags Raw Data'!$L$7:$L$3715,'Diags Raw Data'!$N$7:$N$3715)/J94)</f>
        <v>1</v>
      </c>
      <c r="L94" s="323" cm="1">
        <f t="array" ref="L94">IF(D94="",0, SUMPRODUCT(--(ISNUMBER(SEARCH($A94,'Diags Raw Data'!$A$7:$A$3715))),'Diags Raw Data'!$L$7:$L$3715,'Diags Raw Data'!$P$7:$P$3715)/J94)</f>
        <v>0.3</v>
      </c>
      <c r="M94" s="324" cm="1">
        <f t="array" ref="M94">SUMPRODUCT(--(ISNUMBER(SEARCH($A94,'Diags Raw Data'!$A$7:$A$3715))),--('Diags Raw Data'!$Q$7:$Q$3715&lt;&gt;"N/A"),'Diags Raw Data'!$R$7:$R$3715)</f>
        <v>1</v>
      </c>
      <c r="N94" s="325" cm="1">
        <f t="array" ref="N94">SUMPRODUCT(--(ISNUMBER(SEARCH($A94,'Diags Raw Data'!$A$7:$A$3715))),--('Diags Raw Data'!$Q$7:$Q$3715&lt;&gt;"N/A"),'Diags Raw Data'!$T$7:$T$3715)+SUMPRODUCT(--(ISNUMBER(SEARCH($A94,'Diags Raw Data'!$A$7:$A$3715))),--('Diags Raw Data'!$Q$7:$Q$3715&lt;&gt;"N/A"),'Diags Raw Data'!$U$7:$U$3715)</f>
        <v>0</v>
      </c>
      <c r="O94" s="363">
        <f t="shared" ref="O94" si="56">IF((M94=0),0,N94/M94)</f>
        <v>0</v>
      </c>
      <c r="P94" s="326">
        <f>SUMIF('Diags Raw Data'!$A$7:$A$3715,"*"&amp;$A94&amp;"*",'Diags Raw Data'!$Z$7:$Z$3715)</f>
        <v>0</v>
      </c>
      <c r="Q94" s="327">
        <f>SUM(SUMIF('Diags Raw Data'!$A$7:$A$3715,"*"&amp;$A94&amp;"*",'Diags Raw Data'!$AA$7:$AA$3715),SUMIF('Diags Raw Data'!$A$7:$A$3715,"*"&amp;$A94&amp;"*",'Diags Raw Data'!$AB$7:$AB$3715))</f>
        <v>0</v>
      </c>
      <c r="R94" s="328">
        <f t="shared" ref="R94" si="57">IF((J94=0),0,P94/J94)</f>
        <v>0</v>
      </c>
      <c r="S94" s="328">
        <f t="shared" ref="S94" si="58">IF((P94=0),0,Q94/P94)</f>
        <v>0</v>
      </c>
      <c r="T94" s="329">
        <f t="shared" ref="T94" si="59">R94*S94</f>
        <v>0</v>
      </c>
      <c r="U94" s="366" t="s">
        <v>328</v>
      </c>
      <c r="W94" s="167">
        <v>1</v>
      </c>
      <c r="X94" s="167">
        <v>1</v>
      </c>
      <c r="Y94" s="167">
        <v>2</v>
      </c>
    </row>
    <row r="95" spans="1:25" ht="15" thickBot="1" x14ac:dyDescent="0.4">
      <c r="A95" s="447" t="s">
        <v>385</v>
      </c>
      <c r="B95" s="480" t="str">
        <f>VLOOKUP(A95,'Feature Raw Data'!$A$3:$B$3934,2,FALSE)</f>
        <v>TSEN-CTF</v>
      </c>
      <c r="C95" s="447" t="str">
        <f>VLOOKUP(A95,'Feature Raw Data'!$A$3:$C$4163,3,FALSE)</f>
        <v>P1</v>
      </c>
      <c r="D95" s="451" t="str" cm="1">
        <f t="array" ref="D95">_xlfn.TEXTJOIN("",TRUE,IF(ISNUMBER(SEARCH($A95,'Diags Raw Data'!$A$7:$A$4094)),CONCATENATE('Diags Raw Data'!$H$7:$H$4094,", "),""))</f>
        <v xml:space="preserve">PM013.008, </v>
      </c>
      <c r="E95" s="261" t="str">
        <f>VLOOKUP(A95,'Diags Raw Data'!$A$7:$D$3715,4,FALSE)</f>
        <v>THM</v>
      </c>
      <c r="F95" s="261" t="str">
        <f>VLOOKUP(A95,'Feature Raw Data'!$A$3:$E$3783,5,FALSE)</f>
        <v>Delta</v>
      </c>
      <c r="G95" s="261" t="s">
        <v>31</v>
      </c>
      <c r="H95" s="261" t="s">
        <v>31</v>
      </c>
      <c r="I95" s="260">
        <f>SUMIF('Diags Raw Data'!$A$7:$A$3715,"*"&amp;$A95&amp;"*",'Diags Raw Data'!$K$7:$K$3715)</f>
        <v>1</v>
      </c>
      <c r="J95" s="262">
        <f>SUMIF('Diags Raw Data'!$A$7:$A$3715,"*"&amp;$A95&amp;"*",'Diags Raw Data'!$L$7:$L$3715)</f>
        <v>1</v>
      </c>
      <c r="K95" s="322" cm="1">
        <f t="array" ref="K95">IF(D95="",0, SUMPRODUCT(--(ISNUMBER(SEARCH($A95,'Diags Raw Data'!$A$7:$A$3715))),'Diags Raw Data'!$L$7:$L$3715,'Diags Raw Data'!$N$7:$N$3715)/J95)</f>
        <v>1</v>
      </c>
      <c r="L95" s="323" cm="1">
        <f t="array" ref="L95">IF(D95="",0, SUMPRODUCT(--(ISNUMBER(SEARCH($A95,'Diags Raw Data'!$A$7:$A$3715))),'Diags Raw Data'!$L$7:$L$3715,'Diags Raw Data'!$P$7:$P$3715)/J95)</f>
        <v>0.8</v>
      </c>
      <c r="M95" s="324" cm="1">
        <f t="array" ref="M95">SUMPRODUCT(--(ISNUMBER(SEARCH($A95,'Diags Raw Data'!$A$7:$A$3715))),--('Diags Raw Data'!$Q$7:$Q$3715&lt;&gt;"N/A"),'Diags Raw Data'!$R$7:$R$3715)</f>
        <v>1</v>
      </c>
      <c r="N95" s="325" cm="1">
        <f t="array" ref="N95">SUMPRODUCT(--(ISNUMBER(SEARCH($A95,'Diags Raw Data'!$A$7:$A$3715))),--('Diags Raw Data'!$Q$7:$Q$3715&lt;&gt;"N/A"),'Diags Raw Data'!$T$7:$T$3715)+SUMPRODUCT(--(ISNUMBER(SEARCH($A95,'Diags Raw Data'!$A$7:$A$3715))),--('Diags Raw Data'!$Q$7:$Q$3715&lt;&gt;"N/A"),'Diags Raw Data'!$U$7:$U$3715)</f>
        <v>0</v>
      </c>
      <c r="O95" s="363">
        <f t="shared" si="36"/>
        <v>0</v>
      </c>
      <c r="P95" s="326">
        <f>SUMIF('Diags Raw Data'!$A$7:$A$3715,"*"&amp;$A95&amp;"*",'Diags Raw Data'!$Z$7:$Z$3715)</f>
        <v>0</v>
      </c>
      <c r="Q95" s="327">
        <f>SUM(SUMIF('Diags Raw Data'!$A$7:$A$3715,"*"&amp;$A95&amp;"*",'Diags Raw Data'!$AA$7:$AA$3715),SUMIF('Diags Raw Data'!$A$7:$A$3715,"*"&amp;$A95&amp;"*",'Diags Raw Data'!$AB$7:$AB$3715))</f>
        <v>0</v>
      </c>
      <c r="R95" s="328">
        <f t="shared" si="37"/>
        <v>0</v>
      </c>
      <c r="S95" s="328">
        <f t="shared" si="38"/>
        <v>0</v>
      </c>
      <c r="T95" s="329">
        <f t="shared" si="39"/>
        <v>0</v>
      </c>
      <c r="U95" s="366" t="s">
        <v>328</v>
      </c>
    </row>
    <row r="96" spans="1:25" ht="15" thickBot="1" x14ac:dyDescent="0.4">
      <c r="A96" s="447" t="s">
        <v>421</v>
      </c>
      <c r="B96" s="480" t="str">
        <f>VLOOKUP(A96,'Feature Raw Data'!$A$3:$B$3934,2,FALSE)</f>
        <v>Fan Dynamic Mode</v>
      </c>
      <c r="C96" s="447" t="str">
        <f>VLOOKUP(A96,'Feature Raw Data'!$A$3:$C$4163,3,FALSE)</f>
        <v>P1</v>
      </c>
      <c r="D96" s="451" t="str" cm="1">
        <f t="array" ref="D96">_xlfn.TEXTJOIN("",TRUE,IF(ISNUMBER(SEARCH($A96,'Diags Raw Data'!$A$7:$A$4094)),CONCATENATE('Diags Raw Data'!$H$7:$H$4094,", "),""))</f>
        <v xml:space="preserve">PM14.11, </v>
      </c>
      <c r="E96" s="261" t="str">
        <f>VLOOKUP(A96,'Diags Raw Data'!$A$7:$D$3715,4,FALSE)</f>
        <v>THM</v>
      </c>
      <c r="F96" s="261" t="str">
        <f>VLOOKUP(A96,'Feature Raw Data'!$A$3:$E$3783,5,FALSE)</f>
        <v>Legacy</v>
      </c>
      <c r="G96" s="261" t="s">
        <v>31</v>
      </c>
      <c r="H96" s="261" t="s">
        <v>31</v>
      </c>
      <c r="I96" s="260">
        <f>SUMIF('Diags Raw Data'!$A$7:$A$3715,"*"&amp;$A96&amp;"*",'Diags Raw Data'!$K$7:$K$3715)</f>
        <v>1</v>
      </c>
      <c r="J96" s="262">
        <f>SUMIF('Diags Raw Data'!$A$7:$A$3715,"*"&amp;$A96&amp;"*",'Diags Raw Data'!$L$7:$L$3715)</f>
        <v>1</v>
      </c>
      <c r="K96" s="322" cm="1">
        <f t="array" ref="K96">IF(D96="",0, SUMPRODUCT(--(ISNUMBER(SEARCH($A96,'Diags Raw Data'!$A$7:$A$3715))),'Diags Raw Data'!$L$7:$L$3715,'Diags Raw Data'!$N$7:$N$3715)/J96)</f>
        <v>1</v>
      </c>
      <c r="L96" s="323" cm="1">
        <f t="array" ref="L96">IF(D96="",0, SUMPRODUCT(--(ISNUMBER(SEARCH($A96,'Diags Raw Data'!$A$7:$A$3715))),'Diags Raw Data'!$L$7:$L$3715,'Diags Raw Data'!$P$7:$P$3715)/J96)</f>
        <v>0.3</v>
      </c>
      <c r="M96" s="324" cm="1">
        <f t="array" ref="M96">SUMPRODUCT(--(ISNUMBER(SEARCH($A96,'Diags Raw Data'!$A$7:$A$3715))),--('Diags Raw Data'!$Q$7:$Q$3715&lt;&gt;"N/A"),'Diags Raw Data'!$R$7:$R$3715)</f>
        <v>1</v>
      </c>
      <c r="N96" s="325" cm="1">
        <f t="array" ref="N96">SUMPRODUCT(--(ISNUMBER(SEARCH($A96,'Diags Raw Data'!$A$7:$A$3715))),--('Diags Raw Data'!$Q$7:$Q$3715&lt;&gt;"N/A"),'Diags Raw Data'!$T$7:$T$3715)+SUMPRODUCT(--(ISNUMBER(SEARCH($A96,'Diags Raw Data'!$A$7:$A$3715))),--('Diags Raw Data'!$Q$7:$Q$3715&lt;&gt;"N/A"),'Diags Raw Data'!$U$7:$U$3715)</f>
        <v>0</v>
      </c>
      <c r="O96" s="363">
        <f t="shared" si="36"/>
        <v>0</v>
      </c>
      <c r="P96" s="326">
        <f>SUMIF('Diags Raw Data'!$A$7:$A$3715,"*"&amp;$A96&amp;"*",'Diags Raw Data'!$Z$7:$Z$3715)</f>
        <v>0</v>
      </c>
      <c r="Q96" s="327">
        <f>SUM(SUMIF('Diags Raw Data'!$A$7:$A$3715,"*"&amp;$A96&amp;"*",'Diags Raw Data'!$AA$7:$AA$3715),SUMIF('Diags Raw Data'!$A$7:$A$3715,"*"&amp;$A96&amp;"*",'Diags Raw Data'!$AB$7:$AB$3715))</f>
        <v>0</v>
      </c>
      <c r="R96" s="328">
        <f t="shared" si="37"/>
        <v>0</v>
      </c>
      <c r="S96" s="328">
        <f t="shared" si="38"/>
        <v>0</v>
      </c>
      <c r="T96" s="329">
        <f t="shared" si="39"/>
        <v>0</v>
      </c>
      <c r="U96" s="366" t="s">
        <v>681</v>
      </c>
    </row>
    <row r="97" spans="1:22" ht="22" customHeight="1" thickBot="1" x14ac:dyDescent="0.4">
      <c r="A97" s="447" t="s">
        <v>652</v>
      </c>
      <c r="B97" s="480" t="str">
        <f>VLOOKUP(A97,'Feature Raw Data'!$A$3:$B$3934,2,FALSE)</f>
        <v>ODPR</v>
      </c>
      <c r="C97" s="447" t="str">
        <f>VLOOKUP(A97,'Feature Raw Data'!$A$3:$C$4163,3,FALSE)</f>
        <v>P3</v>
      </c>
      <c r="D97" s="451" t="str" cm="1">
        <f t="array" ref="D97">_xlfn.TEXTJOIN("",TRUE,IF(ISNUMBER(SEARCH($A97,'Diags Raw Data'!$A$7:$A$4094)),CONCATENATE('Diags Raw Data'!$H$7:$H$4094,", "),""))</f>
        <v/>
      </c>
      <c r="E97" s="261" t="e">
        <f>VLOOKUP(A97,'Diags Raw Data'!$A$7:$D$3715,4,FALSE)</f>
        <v>#N/A</v>
      </c>
      <c r="F97" s="261" t="str">
        <f>VLOOKUP(A97,'Feature Raw Data'!$A$3:$E$3783,5,FALSE)</f>
        <v>Legacy</v>
      </c>
      <c r="G97" s="261" t="s">
        <v>31</v>
      </c>
      <c r="H97" s="261" t="s">
        <v>36</v>
      </c>
      <c r="I97" s="260">
        <f>SUMIF('Diags Raw Data'!$A$7:$A$3715,"*"&amp;$A97&amp;"*",'Diags Raw Data'!$K$7:$K$3715)</f>
        <v>0</v>
      </c>
      <c r="J97" s="262">
        <f>SUMIF('Diags Raw Data'!$A$7:$A$3715,"*"&amp;$A97&amp;"*",'Diags Raw Data'!$L$7:$L$3715)</f>
        <v>0</v>
      </c>
      <c r="K97" s="322" cm="1">
        <f t="array" ref="K97">IF(D97="",0, SUMPRODUCT(--(ISNUMBER(SEARCH($A97,'Diags Raw Data'!$A$7:$A$3715))),'Diags Raw Data'!$L$7:$L$3715,'Diags Raw Data'!$N$7:$N$3715)/J97)</f>
        <v>0</v>
      </c>
      <c r="L97" s="323" cm="1">
        <f t="array" ref="L97">IF(D97="",0, SUMPRODUCT(--(ISNUMBER(SEARCH($A97,'Diags Raw Data'!$A$7:$A$3715))),'Diags Raw Data'!$L$7:$L$3715,'Diags Raw Data'!$P$7:$P$3715)/J97)</f>
        <v>0</v>
      </c>
      <c r="M97" s="324" cm="1">
        <f t="array" ref="M97">SUMPRODUCT(--(ISNUMBER(SEARCH($A97,'Diags Raw Data'!$A$7:$A$3715))),--('Diags Raw Data'!$Q$7:$Q$3715&lt;&gt;"N/A"),'Diags Raw Data'!$R$7:$R$3715)</f>
        <v>0</v>
      </c>
      <c r="N97" s="325" cm="1">
        <f t="array" ref="N97">SUMPRODUCT(--(ISNUMBER(SEARCH($A97,'Diags Raw Data'!$A$7:$A$3715))),--('Diags Raw Data'!$Q$7:$Q$3715&lt;&gt;"N/A"),'Diags Raw Data'!$T$7:$T$3715)+SUMPRODUCT(--(ISNUMBER(SEARCH($A97,'Diags Raw Data'!$A$7:$A$3715))),--('Diags Raw Data'!$Q$7:$Q$3715&lt;&gt;"N/A"),'Diags Raw Data'!$U$7:$U$3715)</f>
        <v>0</v>
      </c>
      <c r="O97" s="363">
        <f t="shared" ref="O97" si="60">IF((M97=0),0,N97/M97)</f>
        <v>0</v>
      </c>
      <c r="P97" s="326">
        <f>SUMIF('Diags Raw Data'!$A$7:$A$3715,"*"&amp;$A97&amp;"*",'Diags Raw Data'!$Z$7:$Z$3715)</f>
        <v>0</v>
      </c>
      <c r="Q97" s="327">
        <f>SUM(SUMIF('Diags Raw Data'!$A$7:$A$3715,"*"&amp;$A97&amp;"*",'Diags Raw Data'!$AA$7:$AA$3715),SUMIF('Diags Raw Data'!$A$7:$A$3715,"*"&amp;$A97&amp;"*",'Diags Raw Data'!$AB$7:$AB$3715))</f>
        <v>0</v>
      </c>
      <c r="R97" s="328">
        <f t="shared" ref="R97" si="61">IF((J97=0),0,P97/J97)</f>
        <v>0</v>
      </c>
      <c r="S97" s="328">
        <f t="shared" ref="S97" si="62">IF((P97=0),0,Q97/P97)</f>
        <v>0</v>
      </c>
      <c r="T97" s="329">
        <f t="shared" ref="T97" si="63">R97*S97</f>
        <v>0</v>
      </c>
      <c r="U97" s="366"/>
      <c r="V97" s="167" t="s">
        <v>692</v>
      </c>
    </row>
    <row r="98" spans="1:22" ht="15" thickBot="1" x14ac:dyDescent="0.4">
      <c r="A98" s="447" t="s">
        <v>654</v>
      </c>
      <c r="B98" s="480" t="str">
        <f>VLOOKUP(A98,'Feature Raw Data'!$A$3:$B$3934,2,FALSE)</f>
        <v>CLDO used for MALL L3</v>
      </c>
      <c r="C98" s="447" t="str">
        <f>VLOOKUP(A98,'Feature Raw Data'!$A$3:$C$4163,3,FALSE)</f>
        <v>P3</v>
      </c>
      <c r="D98" s="451" t="str" cm="1">
        <f t="array" ref="D98">_xlfn.TEXTJOIN("",TRUE,IF(ISNUMBER(SEARCH($A98,'Diags Raw Data'!$A$7:$A$4094)),CONCATENATE('Diags Raw Data'!$H$7:$H$4094,", "),""))</f>
        <v/>
      </c>
      <c r="E98" s="261" t="e">
        <f>VLOOKUP(A98,'Diags Raw Data'!$A$7:$D$3715,4,FALSE)</f>
        <v>#N/A</v>
      </c>
      <c r="F98" s="261" t="str">
        <f>VLOOKUP(A98,'Feature Raw Data'!$A$3:$E$3783,5,FALSE)</f>
        <v>Legacy</v>
      </c>
      <c r="G98" s="261" t="s">
        <v>31</v>
      </c>
      <c r="H98" s="261" t="s">
        <v>36</v>
      </c>
      <c r="I98" s="260">
        <f>SUMIF('Diags Raw Data'!$A$7:$A$3715,"*"&amp;$A98&amp;"*",'Diags Raw Data'!$K$7:$K$3715)</f>
        <v>0</v>
      </c>
      <c r="J98" s="262">
        <f>SUMIF('Diags Raw Data'!$A$7:$A$3715,"*"&amp;$A98&amp;"*",'Diags Raw Data'!$L$7:$L$3715)</f>
        <v>0</v>
      </c>
      <c r="K98" s="322" cm="1">
        <f t="array" ref="K98">IF(D98="",0, SUMPRODUCT(--(ISNUMBER(SEARCH($A98,'Diags Raw Data'!$A$7:$A$3715))),'Diags Raw Data'!$L$7:$L$3715,'Diags Raw Data'!$N$7:$N$3715)/J98)</f>
        <v>0</v>
      </c>
      <c r="L98" s="323" cm="1">
        <f t="array" ref="L98">IF(D98="",0, SUMPRODUCT(--(ISNUMBER(SEARCH($A98,'Diags Raw Data'!$A$7:$A$3715))),'Diags Raw Data'!$L$7:$L$3715,'Diags Raw Data'!$P$7:$P$3715)/J98)</f>
        <v>0</v>
      </c>
      <c r="M98" s="324" cm="1">
        <f t="array" ref="M98">SUMPRODUCT(--(ISNUMBER(SEARCH($A98,'Diags Raw Data'!$A$7:$A$3715))),--('Diags Raw Data'!$Q$7:$Q$3715&lt;&gt;"N/A"),'Diags Raw Data'!$R$7:$R$3715)</f>
        <v>0</v>
      </c>
      <c r="N98" s="325" cm="1">
        <f t="array" ref="N98">SUMPRODUCT(--(ISNUMBER(SEARCH($A98,'Diags Raw Data'!$A$7:$A$3715))),--('Diags Raw Data'!$Q$7:$Q$3715&lt;&gt;"N/A"),'Diags Raw Data'!$T$7:$T$3715)+SUMPRODUCT(--(ISNUMBER(SEARCH($A98,'Diags Raw Data'!$A$7:$A$3715))),--('Diags Raw Data'!$Q$7:$Q$3715&lt;&gt;"N/A"),'Diags Raw Data'!$U$7:$U$3715)</f>
        <v>0</v>
      </c>
      <c r="O98" s="363">
        <f t="shared" si="36"/>
        <v>0</v>
      </c>
      <c r="P98" s="326">
        <f>SUMIF('Diags Raw Data'!$A$7:$A$3715,"*"&amp;$A98&amp;"*",'Diags Raw Data'!$Z$7:$Z$3715)</f>
        <v>0</v>
      </c>
      <c r="Q98" s="327">
        <f>SUM(SUMIF('Diags Raw Data'!$A$7:$A$3715,"*"&amp;$A98&amp;"*",'Diags Raw Data'!$AA$7:$AA$3715),SUMIF('Diags Raw Data'!$A$7:$A$3715,"*"&amp;$A98&amp;"*",'Diags Raw Data'!$AB$7:$AB$3715))</f>
        <v>0</v>
      </c>
      <c r="R98" s="328">
        <f t="shared" si="37"/>
        <v>0</v>
      </c>
      <c r="S98" s="328">
        <f t="shared" si="38"/>
        <v>0</v>
      </c>
      <c r="T98" s="329">
        <f t="shared" si="39"/>
        <v>0</v>
      </c>
      <c r="U98" s="366"/>
    </row>
    <row r="99" spans="1:22" ht="16" customHeight="1" thickBot="1" x14ac:dyDescent="0.4">
      <c r="A99" s="447" t="s">
        <v>422</v>
      </c>
      <c r="B99" s="480" t="str">
        <f>VLOOKUP(A99,'Feature Raw Data'!$A$3:$B$3934,2,FALSE)</f>
        <v>Fan Static PWM Mode</v>
      </c>
      <c r="C99" s="447" t="str">
        <f>VLOOKUP(A99,'Feature Raw Data'!$A$3:$C$4163,3,FALSE)</f>
        <v>P1</v>
      </c>
      <c r="D99" s="451" t="str" cm="1">
        <f t="array" ref="D99">_xlfn.TEXTJOIN("",TRUE,IF(ISNUMBER(SEARCH($A99,'Diags Raw Data'!$A$7:$A$4094)),CONCATENATE('Diags Raw Data'!$H$7:$H$4094,", "),""))</f>
        <v xml:space="preserve">PM14.11, PM14.1, </v>
      </c>
      <c r="E99" s="261" t="str">
        <f>VLOOKUP(A99,'Diags Raw Data'!$A$7:$D$3715,4,FALSE)</f>
        <v>THM</v>
      </c>
      <c r="F99" s="261" t="str">
        <f>VLOOKUP(A99,'Feature Raw Data'!$A$3:$E$3783,5,FALSE)</f>
        <v>Legacy</v>
      </c>
      <c r="G99" s="261" t="s">
        <v>31</v>
      </c>
      <c r="H99" s="261" t="s">
        <v>31</v>
      </c>
      <c r="I99" s="260">
        <f>SUMIF('Diags Raw Data'!$A$7:$A$3715,"*"&amp;$A99&amp;"*",'Diags Raw Data'!$K$7:$K$3715)</f>
        <v>2</v>
      </c>
      <c r="J99" s="262">
        <f>SUMIF('Diags Raw Data'!$A$7:$A$3715,"*"&amp;$A99&amp;"*",'Diags Raw Data'!$L$7:$L$3715)</f>
        <v>2</v>
      </c>
      <c r="K99" s="322" cm="1">
        <f t="array" ref="K99">IF(D99="",0, SUMPRODUCT(--(ISNUMBER(SEARCH($A99,'Diags Raw Data'!$A$7:$A$3715))),'Diags Raw Data'!$L$7:$L$3715,'Diags Raw Data'!$N$7:$N$3715)/J99)</f>
        <v>1</v>
      </c>
      <c r="L99" s="323" cm="1">
        <f t="array" ref="L99">IF(D99="",0, SUMPRODUCT(--(ISNUMBER(SEARCH($A99,'Diags Raw Data'!$A$7:$A$3715))),'Diags Raw Data'!$L$7:$L$3715,'Diags Raw Data'!$P$7:$P$3715)/J99)</f>
        <v>0.55000000000000004</v>
      </c>
      <c r="M99" s="324" cm="1">
        <f t="array" ref="M99">SUMPRODUCT(--(ISNUMBER(SEARCH($A99,'Diags Raw Data'!$A$7:$A$3715))),--('Diags Raw Data'!$Q$7:$Q$3715&lt;&gt;"N/A"),'Diags Raw Data'!$R$7:$R$3715)</f>
        <v>2</v>
      </c>
      <c r="N99" s="325" cm="1">
        <f t="array" ref="N99">SUMPRODUCT(--(ISNUMBER(SEARCH($A99,'Diags Raw Data'!$A$7:$A$3715))),--('Diags Raw Data'!$Q$7:$Q$3715&lt;&gt;"N/A"),'Diags Raw Data'!$T$7:$T$3715)+SUMPRODUCT(--(ISNUMBER(SEARCH($A99,'Diags Raw Data'!$A$7:$A$3715))),--('Diags Raw Data'!$Q$7:$Q$3715&lt;&gt;"N/A"),'Diags Raw Data'!$U$7:$U$3715)</f>
        <v>0</v>
      </c>
      <c r="O99" s="363">
        <f t="shared" si="36"/>
        <v>0</v>
      </c>
      <c r="P99" s="326">
        <f>SUMIF('Diags Raw Data'!$A$7:$A$3715,"*"&amp;$A99&amp;"*",'Diags Raw Data'!$Z$7:$Z$3715)</f>
        <v>0</v>
      </c>
      <c r="Q99" s="327">
        <f>SUM(SUMIF('Diags Raw Data'!$A$7:$A$3715,"*"&amp;$A99&amp;"*",'Diags Raw Data'!$AA$7:$AA$3715),SUMIF('Diags Raw Data'!$A$7:$A$3715,"*"&amp;$A99&amp;"*",'Diags Raw Data'!$AB$7:$AB$3715))</f>
        <v>0</v>
      </c>
      <c r="R99" s="328">
        <f t="shared" si="37"/>
        <v>0</v>
      </c>
      <c r="S99" s="328">
        <f t="shared" si="38"/>
        <v>0</v>
      </c>
      <c r="T99" s="329">
        <f t="shared" si="39"/>
        <v>0</v>
      </c>
      <c r="U99" s="366" t="s">
        <v>328</v>
      </c>
    </row>
    <row r="100" spans="1:22" ht="15" thickBot="1" x14ac:dyDescent="0.4">
      <c r="A100" s="447" t="s">
        <v>423</v>
      </c>
      <c r="B100" s="480" t="str">
        <f>VLOOKUP(A100,'Feature Raw Data'!$A$3:$B$3934,2,FALSE)</f>
        <v>Fan Static RPM Mode</v>
      </c>
      <c r="C100" s="447" t="str">
        <f>VLOOKUP(A100,'Feature Raw Data'!$A$3:$C$4163,3,FALSE)</f>
        <v>P1</v>
      </c>
      <c r="D100" s="451" t="str" cm="1">
        <f t="array" ref="D100">_xlfn.TEXTJOIN("",TRUE,IF(ISNUMBER(SEARCH($A100,'Diags Raw Data'!$A$7:$A$4094)),CONCATENATE('Diags Raw Data'!$H$7:$H$4094,", "),""))</f>
        <v xml:space="preserve">PM14.11, PM14.1, </v>
      </c>
      <c r="E100" s="261" t="str">
        <f>VLOOKUP(A100,'Diags Raw Data'!$A$7:$D$3715,4,FALSE)</f>
        <v>THM</v>
      </c>
      <c r="F100" s="261" t="str">
        <f>VLOOKUP(A100,'Feature Raw Data'!$A$3:$E$3783,5,FALSE)</f>
        <v>Legacy</v>
      </c>
      <c r="G100" s="261" t="s">
        <v>31</v>
      </c>
      <c r="H100" s="261" t="s">
        <v>31</v>
      </c>
      <c r="I100" s="260">
        <f>SUMIF('Diags Raw Data'!$A$7:$A$3715,"*"&amp;$A100&amp;"*",'Diags Raw Data'!$K$7:$K$3715)</f>
        <v>2</v>
      </c>
      <c r="J100" s="262">
        <f>SUMIF('Diags Raw Data'!$A$7:$A$3715,"*"&amp;$A100&amp;"*",'Diags Raw Data'!$L$7:$L$3715)</f>
        <v>2</v>
      </c>
      <c r="K100" s="322" cm="1">
        <f t="array" ref="K100">IF(D100="",0, SUMPRODUCT(--(ISNUMBER(SEARCH($A100,'Diags Raw Data'!$A$7:$A$3715))),'Diags Raw Data'!$L$7:$L$3715,'Diags Raw Data'!$N$7:$N$3715)/J100)</f>
        <v>1</v>
      </c>
      <c r="L100" s="323" cm="1">
        <f t="array" ref="L100">IF(D100="",0, SUMPRODUCT(--(ISNUMBER(SEARCH($A100,'Diags Raw Data'!$A$7:$A$3715))),'Diags Raw Data'!$L$7:$L$3715,'Diags Raw Data'!$P$7:$P$3715)/J100)</f>
        <v>0.55000000000000004</v>
      </c>
      <c r="M100" s="324" cm="1">
        <f t="array" ref="M100">SUMPRODUCT(--(ISNUMBER(SEARCH($A100,'Diags Raw Data'!$A$7:$A$3715))),--('Diags Raw Data'!$Q$7:$Q$3715&lt;&gt;"N/A"),'Diags Raw Data'!$R$7:$R$3715)</f>
        <v>2</v>
      </c>
      <c r="N100" s="325" cm="1">
        <f t="array" ref="N100">SUMPRODUCT(--(ISNUMBER(SEARCH($A100,'Diags Raw Data'!$A$7:$A$3715))),--('Diags Raw Data'!$Q$7:$Q$3715&lt;&gt;"N/A"),'Diags Raw Data'!$T$7:$T$3715)+SUMPRODUCT(--(ISNUMBER(SEARCH($A100,'Diags Raw Data'!$A$7:$A$3715))),--('Diags Raw Data'!$Q$7:$Q$3715&lt;&gt;"N/A"),'Diags Raw Data'!$U$7:$U$3715)</f>
        <v>0</v>
      </c>
      <c r="O100" s="363">
        <f t="shared" si="36"/>
        <v>0</v>
      </c>
      <c r="P100" s="326">
        <f>SUMIF('Diags Raw Data'!$A$7:$A$3715,"*"&amp;$A100&amp;"*",'Diags Raw Data'!$Z$7:$Z$3715)</f>
        <v>0</v>
      </c>
      <c r="Q100" s="327">
        <f>SUM(SUMIF('Diags Raw Data'!$A$7:$A$3715,"*"&amp;$A100&amp;"*",'Diags Raw Data'!$AA$7:$AA$3715),SUMIF('Diags Raw Data'!$A$7:$A$3715,"*"&amp;$A100&amp;"*",'Diags Raw Data'!$AB$7:$AB$3715))</f>
        <v>0</v>
      </c>
      <c r="R100" s="328">
        <f t="shared" si="37"/>
        <v>0</v>
      </c>
      <c r="S100" s="328">
        <f t="shared" si="38"/>
        <v>0</v>
      </c>
      <c r="T100" s="329">
        <f t="shared" si="39"/>
        <v>0</v>
      </c>
      <c r="U100" s="366" t="s">
        <v>328</v>
      </c>
    </row>
    <row r="101" spans="1:22" ht="15" thickBot="1" x14ac:dyDescent="0.4">
      <c r="A101" s="447" t="s">
        <v>417</v>
      </c>
      <c r="B101" s="480" t="str">
        <f>VLOOKUP(A101,'Feature Raw Data'!$A$3:$B$3934,2,FALSE)</f>
        <v>Fan Zero RPM Mode</v>
      </c>
      <c r="C101" s="447" t="str">
        <f>VLOOKUP(A101,'Feature Raw Data'!$A$3:$C$4163,3,FALSE)</f>
        <v>P1</v>
      </c>
      <c r="D101" s="451" t="str" cm="1">
        <f t="array" ref="D101">_xlfn.TEXTJOIN("",TRUE,IF(ISNUMBER(SEARCH($A101,'Diags Raw Data'!$A$7:$A$4094)),CONCATENATE('Diags Raw Data'!$H$7:$H$4094,", "),""))</f>
        <v xml:space="preserve">PM14.11, PM14.1, </v>
      </c>
      <c r="E101" s="261" t="str">
        <f>VLOOKUP(A101,'Diags Raw Data'!$A$7:$D$3715,4,FALSE)</f>
        <v>THM</v>
      </c>
      <c r="F101" s="261" t="str">
        <f>VLOOKUP(A101,'Feature Raw Data'!$A$3:$E$3783,5,FALSE)</f>
        <v>Legacy</v>
      </c>
      <c r="G101" s="261" t="s">
        <v>31</v>
      </c>
      <c r="H101" s="261" t="s">
        <v>31</v>
      </c>
      <c r="I101" s="260">
        <f>SUMIF('Diags Raw Data'!$A$7:$A$3715,"*"&amp;$A101&amp;"*",'Diags Raw Data'!$K$7:$K$3715)</f>
        <v>2</v>
      </c>
      <c r="J101" s="262">
        <f>SUMIF('Diags Raw Data'!$A$7:$A$3715,"*"&amp;$A101&amp;"*",'Diags Raw Data'!$L$7:$L$3715)</f>
        <v>2</v>
      </c>
      <c r="K101" s="322" cm="1">
        <f t="array" ref="K101">IF(D101="",0, SUMPRODUCT(--(ISNUMBER(SEARCH($A101,'Diags Raw Data'!$A$7:$A$3715))),'Diags Raw Data'!$L$7:$L$3715,'Diags Raw Data'!$N$7:$N$3715)/J101)</f>
        <v>1</v>
      </c>
      <c r="L101" s="323" cm="1">
        <f t="array" ref="L101">IF(D101="",0, SUMPRODUCT(--(ISNUMBER(SEARCH($A101,'Diags Raw Data'!$A$7:$A$3715))),'Diags Raw Data'!$L$7:$L$3715,'Diags Raw Data'!$P$7:$P$3715)/J101)</f>
        <v>0.55000000000000004</v>
      </c>
      <c r="M101" s="324" cm="1">
        <f t="array" ref="M101">SUMPRODUCT(--(ISNUMBER(SEARCH($A101,'Diags Raw Data'!$A$7:$A$3715))),--('Diags Raw Data'!$Q$7:$Q$3715&lt;&gt;"N/A"),'Diags Raw Data'!$R$7:$R$3715)</f>
        <v>2</v>
      </c>
      <c r="N101" s="325" cm="1">
        <f t="array" ref="N101">SUMPRODUCT(--(ISNUMBER(SEARCH($A101,'Diags Raw Data'!$A$7:$A$3715))),--('Diags Raw Data'!$Q$7:$Q$3715&lt;&gt;"N/A"),'Diags Raw Data'!$T$7:$T$3715)+SUMPRODUCT(--(ISNUMBER(SEARCH($A101,'Diags Raw Data'!$A$7:$A$3715))),--('Diags Raw Data'!$Q$7:$Q$3715&lt;&gt;"N/A"),'Diags Raw Data'!$U$7:$U$3715)</f>
        <v>0</v>
      </c>
      <c r="O101" s="363">
        <f t="shared" si="36"/>
        <v>0</v>
      </c>
      <c r="P101" s="326">
        <f>SUMIF('Diags Raw Data'!$A$7:$A$3715,"*"&amp;$A101&amp;"*",'Diags Raw Data'!$Z$7:$Z$3715)</f>
        <v>0</v>
      </c>
      <c r="Q101" s="327">
        <f>SUM(SUMIF('Diags Raw Data'!$A$7:$A$3715,"*"&amp;$A101&amp;"*",'Diags Raw Data'!$AA$7:$AA$3715),SUMIF('Diags Raw Data'!$A$7:$A$3715,"*"&amp;$A101&amp;"*",'Diags Raw Data'!$AB$7:$AB$3715))</f>
        <v>0</v>
      </c>
      <c r="R101" s="328">
        <f t="shared" si="37"/>
        <v>0</v>
      </c>
      <c r="S101" s="328">
        <f t="shared" si="38"/>
        <v>0</v>
      </c>
      <c r="T101" s="329">
        <f t="shared" si="39"/>
        <v>0</v>
      </c>
      <c r="U101" s="366" t="s">
        <v>681</v>
      </c>
    </row>
    <row r="102" spans="1:22" ht="15" thickBot="1" x14ac:dyDescent="0.4">
      <c r="A102" s="447" t="s">
        <v>384</v>
      </c>
      <c r="B102" s="480" t="str">
        <f>VLOOKUP(A102,'Feature Raw Data'!$A$3:$B$3934,2,FALSE)</f>
        <v>Signal going to PLL and SVI3 -&gt; HW CTF</v>
      </c>
      <c r="C102" s="447" t="str">
        <f>VLOOKUP(A102,'Feature Raw Data'!$A$3:$C$4163,3,FALSE)</f>
        <v>P2</v>
      </c>
      <c r="D102" s="451" t="str" cm="1">
        <f t="array" ref="D102">_xlfn.TEXTJOIN("",TRUE,IF(ISNUMBER(SEARCH($A102,'Diags Raw Data'!$A$7:$A$4094)),CONCATENATE('Diags Raw Data'!$H$7:$H$4094,", "),""))</f>
        <v xml:space="preserve">PM013.008, </v>
      </c>
      <c r="E102" s="261" t="str">
        <f>VLOOKUP(A102,'Diags Raw Data'!$A$7:$D$3715,4,FALSE)</f>
        <v>THM</v>
      </c>
      <c r="F102" s="261" t="str">
        <f>VLOOKUP(A102,'Feature Raw Data'!$A$3:$E$3783,5,FALSE)</f>
        <v>Delta</v>
      </c>
      <c r="G102" s="261" t="s">
        <v>31</v>
      </c>
      <c r="H102" s="499" t="s">
        <v>31</v>
      </c>
      <c r="I102" s="260">
        <v>1</v>
      </c>
      <c r="J102" s="262">
        <v>1</v>
      </c>
      <c r="K102" s="322" cm="1">
        <f t="array" ref="K102">IF(D102="",0, SUMPRODUCT(--(ISNUMBER(SEARCH($A102,'Diags Raw Data'!$A$7:$A$3715))),'Diags Raw Data'!$L$7:$L$3715,'Diags Raw Data'!$N$7:$N$3715)/J102)</f>
        <v>1</v>
      </c>
      <c r="L102" s="323" cm="1">
        <f t="array" ref="L102">IF(D102="",0, SUMPRODUCT(--(ISNUMBER(SEARCH($A102,'Diags Raw Data'!$A$7:$A$3715))),'Diags Raw Data'!$L$7:$L$3715,'Diags Raw Data'!$P$7:$P$3715)/J102)</f>
        <v>0.8</v>
      </c>
      <c r="M102" s="324" cm="1">
        <f t="array" ref="M102">SUMPRODUCT(--(ISNUMBER(SEARCH($A102,'Diags Raw Data'!$A$7:$A$3715))),--('Diags Raw Data'!$Q$7:$Q$3715&lt;&gt;"N/A"),'Diags Raw Data'!$R$7:$R$3715)</f>
        <v>1</v>
      </c>
      <c r="N102" s="325" cm="1">
        <f t="array" ref="N102">SUMPRODUCT(--(ISNUMBER(SEARCH($A102,'Diags Raw Data'!$A$7:$A$3715))),--('Diags Raw Data'!$Q$7:$Q$3715&lt;&gt;"N/A"),'Diags Raw Data'!$T$7:$T$3715)+SUMPRODUCT(--(ISNUMBER(SEARCH($A102,'Diags Raw Data'!$A$7:$A$3715))),--('Diags Raw Data'!$Q$7:$Q$3715&lt;&gt;"N/A"),'Diags Raw Data'!$U$7:$U$3715)</f>
        <v>0</v>
      </c>
      <c r="O102" s="363">
        <f t="shared" si="36"/>
        <v>0</v>
      </c>
      <c r="P102" s="326">
        <f>SUMIF('Diags Raw Data'!$A$7:$A$3715,"*"&amp;$A102&amp;"*",'Diags Raw Data'!$Z$7:$Z$3715)</f>
        <v>0</v>
      </c>
      <c r="Q102" s="327">
        <f>SUM(SUMIF('Diags Raw Data'!$A$7:$A$3715,"*"&amp;$A102&amp;"*",'Diags Raw Data'!$AA$7:$AA$3715),SUMIF('Diags Raw Data'!$A$7:$A$3715,"*"&amp;$A102&amp;"*",'Diags Raw Data'!$AB$7:$AB$3715))</f>
        <v>0</v>
      </c>
      <c r="R102" s="328">
        <f t="shared" si="37"/>
        <v>0</v>
      </c>
      <c r="S102" s="328">
        <f t="shared" si="38"/>
        <v>0</v>
      </c>
      <c r="T102" s="329">
        <f t="shared" si="39"/>
        <v>0</v>
      </c>
      <c r="U102" s="366"/>
    </row>
    <row r="103" spans="1:22" s="168" customFormat="1" ht="15" thickBot="1" x14ac:dyDescent="0.4">
      <c r="A103" s="447" t="s">
        <v>632</v>
      </c>
      <c r="B103" s="480" t="str">
        <f>VLOOKUP(A103,'Feature Raw Data'!$A$3:$B$3934,2,FALSE)</f>
        <v>Access PCIE cfg space through SMBUS</v>
      </c>
      <c r="C103" s="447" t="str">
        <f>VLOOKUP(A103,'Feature Raw Data'!$A$3:$C$4163,3,FALSE)</f>
        <v>P3</v>
      </c>
      <c r="D103" s="451" t="str" cm="1">
        <f t="array" ref="D103">_xlfn.TEXTJOIN("",TRUE,IF(ISNUMBER(SEARCH($A103,'Diags Raw Data'!$A$7:$A$4094)),CONCATENATE('Diags Raw Data'!$H$7:$H$4094,", "),""))</f>
        <v/>
      </c>
      <c r="E103" s="261" t="e">
        <f>VLOOKUP(A103,'Diags Raw Data'!$A$7:$D$3715,4,FALSE)</f>
        <v>#N/A</v>
      </c>
      <c r="F103" s="261" t="str">
        <f>VLOOKUP(A103,'Feature Raw Data'!$A$3:$E$3783,5,FALSE)</f>
        <v>Legacy</v>
      </c>
      <c r="G103" s="261" t="s">
        <v>31</v>
      </c>
      <c r="H103" s="261" t="s">
        <v>36</v>
      </c>
      <c r="I103" s="260">
        <f>SUMIF('Diags Raw Data'!$A$7:$A$3715,"*"&amp;$A103&amp;"*",'Diags Raw Data'!$K$7:$K$3715)</f>
        <v>0</v>
      </c>
      <c r="J103" s="262">
        <f>SUMIF('Diags Raw Data'!$A$7:$A$3715,"*"&amp;$A103&amp;"*",'Diags Raw Data'!$L$7:$L$3715)</f>
        <v>0</v>
      </c>
      <c r="K103" s="322" cm="1">
        <f t="array" ref="K103">IF(D103="",0, SUMPRODUCT(--(ISNUMBER(SEARCH($A103,'Diags Raw Data'!$A$7:$A$3715))),'Diags Raw Data'!$L$7:$L$3715,'Diags Raw Data'!$N$7:$N$3715)/J103)</f>
        <v>0</v>
      </c>
      <c r="L103" s="323" cm="1">
        <f t="array" ref="L103">IF(D103="",0, SUMPRODUCT(--(ISNUMBER(SEARCH($A103,'Diags Raw Data'!$A$7:$A$3715))),'Diags Raw Data'!$L$7:$L$3715,'Diags Raw Data'!$P$7:$P$3715)/J103)</f>
        <v>0</v>
      </c>
      <c r="M103" s="324" cm="1">
        <f t="array" ref="M103">SUMPRODUCT(--(ISNUMBER(SEARCH($A103,'Diags Raw Data'!$A$7:$A$3715))),--('Diags Raw Data'!$Q$7:$Q$3715&lt;&gt;"N/A"),'Diags Raw Data'!$R$7:$R$3715)</f>
        <v>0</v>
      </c>
      <c r="N103" s="325" cm="1">
        <f t="array" ref="N103">SUMPRODUCT(--(ISNUMBER(SEARCH($A103,'Diags Raw Data'!$A$7:$A$3715))),--('Diags Raw Data'!$Q$7:$Q$3715&lt;&gt;"N/A"),'Diags Raw Data'!$T$7:$T$3715)+SUMPRODUCT(--(ISNUMBER(SEARCH($A103,'Diags Raw Data'!$A$7:$A$3715))),--('Diags Raw Data'!$Q$7:$Q$3715&lt;&gt;"N/A"),'Diags Raw Data'!$U$7:$U$3715)</f>
        <v>0</v>
      </c>
      <c r="O103" s="363">
        <f t="shared" si="36"/>
        <v>0</v>
      </c>
      <c r="P103" s="326">
        <f>SUMIF('Diags Raw Data'!$A$7:$A$3715,"*"&amp;$A103&amp;"*",'Diags Raw Data'!$Z$7:$Z$3715)</f>
        <v>0</v>
      </c>
      <c r="Q103" s="327">
        <f>SUM(SUMIF('Diags Raw Data'!$A$7:$A$3715,"*"&amp;$A103&amp;"*",'Diags Raw Data'!$AA$7:$AA$3715),SUMIF('Diags Raw Data'!$A$7:$A$3715,"*"&amp;$A103&amp;"*",'Diags Raw Data'!$AB$7:$AB$3715))</f>
        <v>0</v>
      </c>
      <c r="R103" s="328">
        <f t="shared" si="37"/>
        <v>0</v>
      </c>
      <c r="S103" s="328">
        <f t="shared" si="38"/>
        <v>0</v>
      </c>
      <c r="T103" s="329">
        <f t="shared" si="39"/>
        <v>0</v>
      </c>
      <c r="U103" s="366"/>
    </row>
    <row r="104" spans="1:22" ht="15" thickBot="1" x14ac:dyDescent="0.4">
      <c r="A104" s="447" t="s">
        <v>661</v>
      </c>
      <c r="B104" s="480" t="str">
        <f>VLOOKUP(A104,'Feature Raw Data'!$A$3:$B$3934,2,FALSE)</f>
        <v>Throttle GFX (PWRBK/PCC)</v>
      </c>
      <c r="C104" s="447" t="str">
        <f>VLOOKUP(A104,'Feature Raw Data'!$A$3:$C$4163,3,FALSE)</f>
        <v>P3</v>
      </c>
      <c r="D104" s="451" t="str" cm="1">
        <f t="array" ref="D104">_xlfn.TEXTJOIN("",TRUE,IF(ISNUMBER(SEARCH($A104,'Diags Raw Data'!$A$7:$A$4094)),CONCATENATE('Diags Raw Data'!$H$7:$H$4094,", "),""))</f>
        <v/>
      </c>
      <c r="E104" s="261" t="e">
        <f>VLOOKUP(A104,'Diags Raw Data'!$A$7:$D$3715,4,FALSE)</f>
        <v>#N/A</v>
      </c>
      <c r="F104" s="261" t="str">
        <f>VLOOKUP(A104,'Feature Raw Data'!$A$3:$E$3783,5,FALSE)</f>
        <v>Legacy</v>
      </c>
      <c r="G104" s="261" t="s">
        <v>31</v>
      </c>
      <c r="H104" s="457" t="s">
        <v>36</v>
      </c>
      <c r="I104" s="260">
        <f>SUMIF('Diags Raw Data'!$A$7:$A$3715,"*"&amp;$A104&amp;"*",'Diags Raw Data'!$K$7:$K$3715)</f>
        <v>0</v>
      </c>
      <c r="J104" s="262">
        <f>SUMIF('Diags Raw Data'!$A$7:$A$3715,"*"&amp;$A104&amp;"*",'Diags Raw Data'!$L$7:$L$3715)</f>
        <v>0</v>
      </c>
      <c r="K104" s="322" cm="1">
        <f t="array" ref="K104">IF(D104="",0, SUMPRODUCT(--(ISNUMBER(SEARCH($A104,'Diags Raw Data'!$A$7:$A$3715))),'Diags Raw Data'!$L$7:$L$3715,'Diags Raw Data'!$N$7:$N$3715)/J104)</f>
        <v>0</v>
      </c>
      <c r="L104" s="323" cm="1">
        <f t="array" ref="L104">IF(D104="",0, SUMPRODUCT(--(ISNUMBER(SEARCH($A104,'Diags Raw Data'!$A$7:$A$3715))),'Diags Raw Data'!$L$7:$L$3715,'Diags Raw Data'!$P$7:$P$3715)/J104)</f>
        <v>0</v>
      </c>
      <c r="M104" s="324" cm="1">
        <f t="array" ref="M104">SUMPRODUCT(--(ISNUMBER(SEARCH($A104,'Diags Raw Data'!$A$7:$A$3715))),--('Diags Raw Data'!$Q$7:$Q$3715&lt;&gt;"N/A"),'Diags Raw Data'!$R$7:$R$3715)</f>
        <v>0</v>
      </c>
      <c r="N104" s="325" cm="1">
        <f t="array" ref="N104">SUMPRODUCT(--(ISNUMBER(SEARCH($A104,'Diags Raw Data'!$A$7:$A$3715))),--('Diags Raw Data'!$Q$7:$Q$3715&lt;&gt;"N/A"),'Diags Raw Data'!$T$7:$T$3715)+SUMPRODUCT(--(ISNUMBER(SEARCH($A104,'Diags Raw Data'!$A$7:$A$3715))),--('Diags Raw Data'!$Q$7:$Q$3715&lt;&gt;"N/A"),'Diags Raw Data'!$U$7:$U$3715)</f>
        <v>0</v>
      </c>
      <c r="O104" s="363">
        <f t="shared" ref="O104:O106" si="64">IF((M104=0),0,N104/M104)</f>
        <v>0</v>
      </c>
      <c r="P104" s="326">
        <f>SUMIF('Diags Raw Data'!$A$7:$A$3715,"*"&amp;$A104&amp;"*",'Diags Raw Data'!$Z$7:$Z$3715)</f>
        <v>0</v>
      </c>
      <c r="Q104" s="327">
        <f>SUM(SUMIF('Diags Raw Data'!$A$7:$A$3715,"*"&amp;$A104&amp;"*",'Diags Raw Data'!$AA$7:$AA$3715),SUMIF('Diags Raw Data'!$A$7:$A$3715,"*"&amp;$A104&amp;"*",'Diags Raw Data'!$AB$7:$AB$3715))</f>
        <v>0</v>
      </c>
      <c r="R104" s="328">
        <f t="shared" ref="R104:R106" si="65">IF((J104=0),0,P104/J104)</f>
        <v>0</v>
      </c>
      <c r="S104" s="328">
        <f t="shared" ref="S104:S106" si="66">IF((P104=0),0,Q104/P104)</f>
        <v>0</v>
      </c>
      <c r="T104" s="329">
        <f t="shared" ref="T104:T106" si="67">R104*S104</f>
        <v>0</v>
      </c>
      <c r="U104" s="366" t="s">
        <v>681</v>
      </c>
    </row>
    <row r="105" spans="1:22" ht="15" thickBot="1" x14ac:dyDescent="0.4">
      <c r="A105" s="447" t="s">
        <v>659</v>
      </c>
      <c r="B105" s="480" t="str">
        <f>VLOOKUP(A105,'Feature Raw Data'!$A$3:$B$3934,2,FALSE)</f>
        <v>Didt</v>
      </c>
      <c r="C105" s="447" t="str">
        <f>VLOOKUP(A105,'Feature Raw Data'!$A$3:$C$4163,3,FALSE)</f>
        <v>P3</v>
      </c>
      <c r="D105" s="451" t="str" cm="1">
        <f t="array" ref="D105">_xlfn.TEXTJOIN("",TRUE,IF(ISNUMBER(SEARCH($A105,'Diags Raw Data'!$A$7:$A$4094)),CONCATENATE('Diags Raw Data'!$H$7:$H$4094,", "),""))</f>
        <v/>
      </c>
      <c r="E105" s="261" t="e">
        <f>VLOOKUP(A105,'Diags Raw Data'!$A$7:$D$3715,4,FALSE)</f>
        <v>#N/A</v>
      </c>
      <c r="F105" s="261" t="str">
        <f>VLOOKUP(A105,'Feature Raw Data'!$A$3:$E$3783,5,FALSE)</f>
        <v>Legacy</v>
      </c>
      <c r="G105" s="261" t="s">
        <v>31</v>
      </c>
      <c r="H105" s="261" t="s">
        <v>36</v>
      </c>
      <c r="I105" s="260">
        <v>0</v>
      </c>
      <c r="J105" s="262">
        <v>0</v>
      </c>
      <c r="K105" s="322" cm="1">
        <f t="array" ref="K105">IF(D105="",0, SUMPRODUCT(--(ISNUMBER(SEARCH($A105,'Diags Raw Data'!$A$7:$A$3715))),'Diags Raw Data'!$L$7:$L$3715,'Diags Raw Data'!$N$7:$N$3715)/J105)</f>
        <v>0</v>
      </c>
      <c r="L105" s="323" cm="1">
        <f t="array" ref="L105">IF(D105="",0, SUMPRODUCT(--(ISNUMBER(SEARCH($A105,'Diags Raw Data'!$A$7:$A$3715))),'Diags Raw Data'!$L$7:$L$3715,'Diags Raw Data'!$P$7:$P$3715)/J105)</f>
        <v>0</v>
      </c>
      <c r="M105" s="324" cm="1">
        <f t="array" ref="M105">SUMPRODUCT(--(ISNUMBER(SEARCH($A105,'Diags Raw Data'!$A$7:$A$3715))),--('Diags Raw Data'!$Q$7:$Q$3715&lt;&gt;"N/A"),'Diags Raw Data'!$R$7:$R$3715)</f>
        <v>0</v>
      </c>
      <c r="N105" s="325" cm="1">
        <f t="array" ref="N105">SUMPRODUCT(--(ISNUMBER(SEARCH($A105,'Diags Raw Data'!$A$7:$A$3715))),--('Diags Raw Data'!$Q$7:$Q$3715&lt;&gt;"N/A"),'Diags Raw Data'!$T$7:$T$3715)+SUMPRODUCT(--(ISNUMBER(SEARCH($A105,'Diags Raw Data'!$A$7:$A$3715))),--('Diags Raw Data'!$Q$7:$Q$3715&lt;&gt;"N/A"),'Diags Raw Data'!$U$7:$U$3715)</f>
        <v>0</v>
      </c>
      <c r="O105" s="363">
        <f t="shared" si="64"/>
        <v>0</v>
      </c>
      <c r="P105" s="326">
        <f>SUMIF('Diags Raw Data'!$A$7:$A$3715,"*"&amp;$A105&amp;"*",'Diags Raw Data'!$Z$7:$Z$3715)</f>
        <v>0</v>
      </c>
      <c r="Q105" s="327">
        <f>SUM(SUMIF('Diags Raw Data'!$A$7:$A$3715,"*"&amp;$A105&amp;"*",'Diags Raw Data'!$AA$7:$AA$3715),SUMIF('Diags Raw Data'!$A$7:$A$3715,"*"&amp;$A105&amp;"*",'Diags Raw Data'!$AB$7:$AB$3715))</f>
        <v>0</v>
      </c>
      <c r="R105" s="328">
        <f t="shared" si="65"/>
        <v>0</v>
      </c>
      <c r="S105" s="328">
        <f t="shared" si="66"/>
        <v>0</v>
      </c>
      <c r="T105" s="329">
        <f t="shared" si="67"/>
        <v>0</v>
      </c>
      <c r="U105" s="366" t="s">
        <v>685</v>
      </c>
    </row>
    <row r="106" spans="1:22" ht="15" thickBot="1" x14ac:dyDescent="0.4">
      <c r="A106" s="447" t="s">
        <v>270</v>
      </c>
      <c r="B106" s="480" t="str">
        <f>VLOOKUP(A106,'Feature Raw Data'!$A$3:$B$3934,2,FALSE)</f>
        <v>Voltage control</v>
      </c>
      <c r="C106" s="447" t="str">
        <f>VLOOKUP(A106,'Feature Raw Data'!$A$3:$C$4163,3,FALSE)</f>
        <v>P1</v>
      </c>
      <c r="D106" s="451" t="str" cm="1">
        <f t="array" ref="D106">_xlfn.TEXTJOIN("",TRUE,IF(ISNUMBER(SEARCH($A106,'Diags Raw Data'!$A$7:$A$4094)),CONCATENATE('Diags Raw Data'!$H$7:$H$4094,", "),""))</f>
        <v xml:space="preserve">PM80.12.1, </v>
      </c>
      <c r="E106" s="261" t="str">
        <f>VLOOKUP(A106,'Diags Raw Data'!$A$7:$D$3715,4,FALSE)</f>
        <v>CLK</v>
      </c>
      <c r="F106" s="261" t="str">
        <f>VLOOKUP(A106,'Feature Raw Data'!$A$3:$E$3783,5,FALSE)</f>
        <v>Legacy</v>
      </c>
      <c r="G106" s="261" t="s">
        <v>31</v>
      </c>
      <c r="H106" s="261" t="s">
        <v>31</v>
      </c>
      <c r="I106" s="260">
        <f>SUMIF('Diags Raw Data'!$A$7:$A$3715,"*"&amp;$A106&amp;"*",'Diags Raw Data'!$K$7:$K$3715)</f>
        <v>1</v>
      </c>
      <c r="J106" s="262">
        <f>SUMIF('Diags Raw Data'!$A$7:$A$3715,"*"&amp;$A106&amp;"*",'Diags Raw Data'!$L$7:$L$3715)</f>
        <v>1</v>
      </c>
      <c r="K106" s="322" cm="1">
        <f t="array" ref="K106">IF(D106="",0, SUMPRODUCT(--(ISNUMBER(SEARCH($A106,'Diags Raw Data'!$A$7:$A$3715))),'Diags Raw Data'!$L$7:$L$3715,'Diags Raw Data'!$N$7:$N$3715)/J106)</f>
        <v>1</v>
      </c>
      <c r="L106" s="323" cm="1">
        <f t="array" ref="L106">IF(D106="",0, SUMPRODUCT(--(ISNUMBER(SEARCH($A106,'Diags Raw Data'!$A$7:$A$3715))),'Diags Raw Data'!$L$7:$L$3715,'Diags Raw Data'!$P$7:$P$3715)/J106)</f>
        <v>0.6</v>
      </c>
      <c r="M106" s="324" cm="1">
        <f t="array" ref="M106">SUMPRODUCT(--(ISNUMBER(SEARCH($A106,'Diags Raw Data'!$A$7:$A$3715))),--('Diags Raw Data'!$Q$7:$Q$3715&lt;&gt;"N/A"),'Diags Raw Data'!$R$7:$R$3715)</f>
        <v>1</v>
      </c>
      <c r="N106" s="325" cm="1">
        <f t="array" ref="N106">SUMPRODUCT(--(ISNUMBER(SEARCH($A106,'Diags Raw Data'!$A$7:$A$3715))),--('Diags Raw Data'!$Q$7:$Q$3715&lt;&gt;"N/A"),'Diags Raw Data'!$T$7:$T$3715)+SUMPRODUCT(--(ISNUMBER(SEARCH($A106,'Diags Raw Data'!$A$7:$A$3715))),--('Diags Raw Data'!$Q$7:$Q$3715&lt;&gt;"N/A"),'Diags Raw Data'!$U$7:$U$3715)</f>
        <v>0</v>
      </c>
      <c r="O106" s="363">
        <f t="shared" si="64"/>
        <v>0</v>
      </c>
      <c r="P106" s="326">
        <f>SUMIF('Diags Raw Data'!$A$7:$A$3715,"*"&amp;$A106&amp;"*",'Diags Raw Data'!$Z$7:$Z$3715)</f>
        <v>0</v>
      </c>
      <c r="Q106" s="327">
        <f>SUM(SUMIF('Diags Raw Data'!$A$7:$A$3715,"*"&amp;$A106&amp;"*",'Diags Raw Data'!$AA$7:$AA$3715),SUMIF('Diags Raw Data'!$A$7:$A$3715,"*"&amp;$A106&amp;"*",'Diags Raw Data'!$AB$7:$AB$3715))</f>
        <v>0</v>
      </c>
      <c r="R106" s="328">
        <f t="shared" si="65"/>
        <v>0</v>
      </c>
      <c r="S106" s="328">
        <f t="shared" si="66"/>
        <v>0</v>
      </c>
      <c r="T106" s="329">
        <f t="shared" si="67"/>
        <v>0</v>
      </c>
      <c r="U106" s="366" t="s">
        <v>693</v>
      </c>
    </row>
    <row r="107" spans="1:22" ht="15" thickBot="1" x14ac:dyDescent="0.4">
      <c r="A107" s="447" t="s">
        <v>664</v>
      </c>
      <c r="B107" s="480" t="str">
        <f>VLOOKUP(A107,'Feature Raw Data'!$A$3:$B$3934,2,FALSE)</f>
        <v>IMU cgcg/mgcg</v>
      </c>
      <c r="C107" s="447" t="str">
        <f>VLOOKUP(A107,'Feature Raw Data'!$A$3:$C$4163,3,FALSE)</f>
        <v>P3</v>
      </c>
      <c r="D107" s="451" t="str" cm="1">
        <f t="array" ref="D107">_xlfn.TEXTJOIN("",TRUE,IF(ISNUMBER(SEARCH($A107,'Diags Raw Data'!$A$7:$A$4094)),CONCATENATE('Diags Raw Data'!$H$7:$H$4094,", "),""))</f>
        <v/>
      </c>
      <c r="E107" s="261" t="e">
        <f>VLOOKUP(A107,'Diags Raw Data'!$A$7:$D$3715,4,FALSE)</f>
        <v>#N/A</v>
      </c>
      <c r="F107" s="261" t="str">
        <f>VLOOKUP(A107,'Feature Raw Data'!$A$3:$E$3783,5,FALSE)</f>
        <v>Legacy</v>
      </c>
      <c r="G107" s="261" t="s">
        <v>31</v>
      </c>
      <c r="H107" s="261" t="s">
        <v>36</v>
      </c>
      <c r="I107" s="260">
        <v>0</v>
      </c>
      <c r="J107" s="262">
        <v>0</v>
      </c>
      <c r="K107" s="322" cm="1">
        <f t="array" ref="K107">IF(D107="",0, SUMPRODUCT(--(ISNUMBER(SEARCH($A107,'Diags Raw Data'!$A$7:$A$3715))),'Diags Raw Data'!$L$7:$L$3715,'Diags Raw Data'!$N$7:$N$3715)/J107)</f>
        <v>0</v>
      </c>
      <c r="L107" s="323" cm="1">
        <f t="array" ref="L107">IF(D107="",0, SUMPRODUCT(--(ISNUMBER(SEARCH($A107,'Diags Raw Data'!$A$7:$A$3715))),'Diags Raw Data'!$L$7:$L$3715,'Diags Raw Data'!$P$7:$P$3715)/J107)</f>
        <v>0</v>
      </c>
      <c r="M107" s="324" cm="1">
        <f t="array" ref="M107">SUMPRODUCT(--(ISNUMBER(SEARCH($A107,'Diags Raw Data'!$A$7:$A$3715))),--('Diags Raw Data'!$Q$7:$Q$3715&lt;&gt;"N/A"),'Diags Raw Data'!$R$7:$R$3715)</f>
        <v>0</v>
      </c>
      <c r="N107" s="325" cm="1">
        <f t="array" ref="N107">SUMPRODUCT(--(ISNUMBER(SEARCH($A107,'Diags Raw Data'!$A$7:$A$3715))),--('Diags Raw Data'!$Q$7:$Q$3715&lt;&gt;"N/A"),'Diags Raw Data'!$T$7:$T$3715)+SUMPRODUCT(--(ISNUMBER(SEARCH($A107,'Diags Raw Data'!$A$7:$A$3715))),--('Diags Raw Data'!$Q$7:$Q$3715&lt;&gt;"N/A"),'Diags Raw Data'!$U$7:$U$3715)</f>
        <v>0</v>
      </c>
      <c r="O107" s="363">
        <f>IF((M107=0),0,N107/M107)</f>
        <v>0</v>
      </c>
      <c r="P107" s="326">
        <f>SUMIF('Diags Raw Data'!$A$7:$A$3715,"*"&amp;$A107&amp;"*",'Diags Raw Data'!$Z$7:$Z$3715)</f>
        <v>0</v>
      </c>
      <c r="Q107" s="327">
        <f>SUM(SUMIF('Diags Raw Data'!$A$7:$A$3715,"*"&amp;$A107&amp;"*",'Diags Raw Data'!$AA$7:$AA$3715),SUMIF('Diags Raw Data'!$A$7:$A$3715,"*"&amp;$A107&amp;"*",'Diags Raw Data'!$AB$7:$AB$3715))</f>
        <v>0</v>
      </c>
      <c r="R107" s="328">
        <f>IF((J107=0),0,P107/J107)</f>
        <v>0</v>
      </c>
      <c r="S107" s="328">
        <f>IF((P107=0),0,Q107/P107)</f>
        <v>0</v>
      </c>
      <c r="T107" s="329">
        <f>R107*S107</f>
        <v>0</v>
      </c>
      <c r="U107" s="366" t="s">
        <v>328</v>
      </c>
    </row>
    <row r="108" spans="1:22" ht="15" thickBot="1" x14ac:dyDescent="0.4">
      <c r="A108" s="447" t="s">
        <v>271</v>
      </c>
      <c r="B108" s="480" t="str">
        <f>VLOOKUP(A108,'Feature Raw Data'!$A$3:$B$3934,2,FALSE)</f>
        <v>RLC MSG box</v>
      </c>
      <c r="C108" s="447" t="str">
        <f>VLOOKUP(A108,'Feature Raw Data'!$A$3:$C$4163,3,FALSE)</f>
        <v>P1</v>
      </c>
      <c r="D108" s="451" t="str" cm="1">
        <f t="array" ref="D108">_xlfn.TEXTJOIN("",TRUE,IF(ISNUMBER(SEARCH($A108,'Diags Raw Data'!$A$7:$A$4094)),CONCATENATE('Diags Raw Data'!$H$7:$H$4094,", "),""))</f>
        <v xml:space="preserve">PM80.12.1, PM10.800, </v>
      </c>
      <c r="E108" s="261" t="str">
        <f>VLOOKUP(A108,'Diags Raw Data'!$A$7:$D$3715,4,FALSE)</f>
        <v>CLK</v>
      </c>
      <c r="F108" s="261" t="str">
        <f>VLOOKUP(A108,'Feature Raw Data'!$A$3:$E$3783,5,FALSE)</f>
        <v>Legacy</v>
      </c>
      <c r="G108" s="261" t="s">
        <v>31</v>
      </c>
      <c r="H108" s="670" t="s">
        <v>814</v>
      </c>
      <c r="I108" s="260">
        <f>SUMIF('Diags Raw Data'!$A$7:$A$3715,"*"&amp;$A108&amp;"*",'Diags Raw Data'!$K$7:$K$3715)</f>
        <v>2</v>
      </c>
      <c r="J108" s="262">
        <f>SUMIF('Diags Raw Data'!$A$7:$A$3715,"*"&amp;$A108&amp;"*",'Diags Raw Data'!$L$7:$L$3715)</f>
        <v>2</v>
      </c>
      <c r="K108" s="322" cm="1">
        <f t="array" ref="K108">IF(D108="",0, SUMPRODUCT(--(ISNUMBER(SEARCH($A108,'Diags Raw Data'!$A$7:$A$3715))),'Diags Raw Data'!$L$7:$L$3715,'Diags Raw Data'!$N$7:$N$3715)/J108)</f>
        <v>1</v>
      </c>
      <c r="L108" s="323" cm="1">
        <f t="array" ref="L108">IF(D108="",0, SUMPRODUCT(--(ISNUMBER(SEARCH($A108,'Diags Raw Data'!$A$7:$A$3715))),'Diags Raw Data'!$L$7:$L$3715,'Diags Raw Data'!$P$7:$P$3715)/J108)</f>
        <v>0.44999999999999996</v>
      </c>
      <c r="M108" s="324" cm="1">
        <f t="array" ref="M108">SUMPRODUCT(--(ISNUMBER(SEARCH($A108,'Diags Raw Data'!$A$7:$A$3715))),--('Diags Raw Data'!$Q$7:$Q$3715&lt;&gt;"N/A"),'Diags Raw Data'!$R$7:$R$3715)</f>
        <v>2</v>
      </c>
      <c r="N108" s="325" cm="1">
        <f t="array" ref="N108">SUMPRODUCT(--(ISNUMBER(SEARCH($A108,'Diags Raw Data'!$A$7:$A$3715))),--('Diags Raw Data'!$Q$7:$Q$3715&lt;&gt;"N/A"),'Diags Raw Data'!$T$7:$T$3715)+SUMPRODUCT(--(ISNUMBER(SEARCH($A108,'Diags Raw Data'!$A$7:$A$3715))),--('Diags Raw Data'!$Q$7:$Q$3715&lt;&gt;"N/A"),'Diags Raw Data'!$U$7:$U$3715)</f>
        <v>0</v>
      </c>
      <c r="O108" s="363"/>
      <c r="P108" s="326">
        <f>SUMIF('Diags Raw Data'!$A$7:$A$3715,"*"&amp;$A108&amp;"*",'Diags Raw Data'!$Z$7:$Z$3715)</f>
        <v>0</v>
      </c>
      <c r="Q108" s="327">
        <f>SUM(SUMIF('Diags Raw Data'!$A$7:$A$3715,"*"&amp;$A108&amp;"*",'Diags Raw Data'!$AA$7:$AA$3715),SUMIF('Diags Raw Data'!$A$7:$A$3715,"*"&amp;$A108&amp;"*",'Diags Raw Data'!$AB$7:$AB$3715))</f>
        <v>0</v>
      </c>
      <c r="R108" s="328"/>
      <c r="S108" s="328"/>
      <c r="T108" s="329"/>
      <c r="U108" s="366" t="s">
        <v>349</v>
      </c>
    </row>
    <row r="109" spans="1:22" ht="15" thickBot="1" x14ac:dyDescent="0.4">
      <c r="A109" s="447" t="s">
        <v>667</v>
      </c>
      <c r="B109" s="480" t="str">
        <f>VLOOKUP(A109,'Feature Raw Data'!$A$3:$B$3934,2,FALSE)</f>
        <v>IH to RSMU</v>
      </c>
      <c r="C109" s="447" t="str">
        <f>VLOOKUP(A109,'Feature Raw Data'!$A$3:$C$4163,3,FALSE)</f>
        <v>P3</v>
      </c>
      <c r="D109" s="451" t="str" cm="1">
        <f t="array" ref="D109">_xlfn.TEXTJOIN("",TRUE,IF(ISNUMBER(SEARCH($A109,'Diags Raw Data'!$A$7:$A$4094)),CONCATENATE('Diags Raw Data'!$H$7:$H$4094,", "),""))</f>
        <v/>
      </c>
      <c r="E109" s="261" t="e">
        <f>VLOOKUP(A109,'Diags Raw Data'!$A$7:$D$3715,4,FALSE)</f>
        <v>#N/A</v>
      </c>
      <c r="F109" s="261" t="str">
        <f>VLOOKUP(A109,'Feature Raw Data'!$A$3:$E$3783,5,FALSE)</f>
        <v>Legacy</v>
      </c>
      <c r="G109" s="261" t="s">
        <v>31</v>
      </c>
      <c r="H109" s="261" t="s">
        <v>36</v>
      </c>
      <c r="I109" s="260">
        <v>0</v>
      </c>
      <c r="J109" s="262">
        <v>0</v>
      </c>
      <c r="K109" s="322" cm="1">
        <f t="array" ref="K109">IF(D109="",0, SUMPRODUCT(--(ISNUMBER(SEARCH($A109,'Diags Raw Data'!$A$7:$A$3715))),'Diags Raw Data'!$L$7:$L$3715,'Diags Raw Data'!$N$7:$N$3715)/J109)</f>
        <v>0</v>
      </c>
      <c r="L109" s="323" cm="1">
        <f t="array" ref="L109">IF(D109="",0, SUMPRODUCT(--(ISNUMBER(SEARCH($A109,'Diags Raw Data'!$A$7:$A$3715))),'Diags Raw Data'!$L$7:$L$3715,'Diags Raw Data'!$P$7:$P$3715)/J109)</f>
        <v>0</v>
      </c>
      <c r="M109" s="324" cm="1">
        <f t="array" ref="M109">SUMPRODUCT(--(ISNUMBER(SEARCH($A109,'Diags Raw Data'!$A$7:$A$3715))),--('Diags Raw Data'!$Q$7:$Q$3715&lt;&gt;"N/A"),'Diags Raw Data'!$R$7:$R$3715)</f>
        <v>0</v>
      </c>
      <c r="N109" s="325" cm="1">
        <f t="array" ref="N109">SUMPRODUCT(--(ISNUMBER(SEARCH($A109,'Diags Raw Data'!$A$7:$A$3715))),--('Diags Raw Data'!$Q$7:$Q$3715&lt;&gt;"N/A"),'Diags Raw Data'!$T$7:$T$3715)+SUMPRODUCT(--(ISNUMBER(SEARCH($A109,'Diags Raw Data'!$A$7:$A$3715))),--('Diags Raw Data'!$Q$7:$Q$3715&lt;&gt;"N/A"),'Diags Raw Data'!$U$7:$U$3715)</f>
        <v>0</v>
      </c>
      <c r="O109" s="363">
        <f t="shared" ref="O109:O115" si="68">IF((M109=0),0,N109/M109)</f>
        <v>0</v>
      </c>
      <c r="P109" s="326">
        <f>SUMIF('Diags Raw Data'!$A$7:$A$3715,"*"&amp;$A109&amp;"*",'Diags Raw Data'!$Z$7:$Z$3715)</f>
        <v>0</v>
      </c>
      <c r="Q109" s="327">
        <f>SUM(SUMIF('Diags Raw Data'!$A$7:$A$3715,"*"&amp;$A109&amp;"*",'Diags Raw Data'!$AA$7:$AA$3715),SUMIF('Diags Raw Data'!$A$7:$A$3715,"*"&amp;$A109&amp;"*",'Diags Raw Data'!$AB$7:$AB$3715))</f>
        <v>0</v>
      </c>
      <c r="R109" s="328">
        <f t="shared" ref="R109:R115" si="69">IF((J109=0),0,P109/J109)</f>
        <v>0</v>
      </c>
      <c r="S109" s="328">
        <f t="shared" ref="S109:S115" si="70">IF((P109=0),0,Q109/P109)</f>
        <v>0</v>
      </c>
      <c r="T109" s="329">
        <f t="shared" ref="T109:T115" si="71">R109*S109</f>
        <v>0</v>
      </c>
      <c r="U109" s="366" t="s">
        <v>689</v>
      </c>
    </row>
    <row r="110" spans="1:22" ht="15" thickBot="1" x14ac:dyDescent="0.4">
      <c r="A110" s="447" t="s">
        <v>669</v>
      </c>
      <c r="B110" s="480" t="str">
        <f>VLOOKUP(A110,'Feature Raw Data'!$A$3:$B$3934,2,FALSE)</f>
        <v>IMU-SOC datapath</v>
      </c>
      <c r="C110" s="447" t="str">
        <f>VLOOKUP(A110,'Feature Raw Data'!$A$3:$C$4163,3,FALSE)</f>
        <v>P3</v>
      </c>
      <c r="D110" s="451" t="str" cm="1">
        <f t="array" ref="D110">_xlfn.TEXTJOIN("",TRUE,IF(ISNUMBER(SEARCH($A110,'Diags Raw Data'!$A$7:$A$4094)),CONCATENATE('Diags Raw Data'!$H$7:$H$4094,", "),""))</f>
        <v/>
      </c>
      <c r="E110" s="261" t="e">
        <f>VLOOKUP(A110,'Diags Raw Data'!$A$7:$D$3715,4,FALSE)</f>
        <v>#N/A</v>
      </c>
      <c r="F110" s="261" t="str">
        <f>VLOOKUP(A110,'Feature Raw Data'!$A$3:$E$3783,5,FALSE)</f>
        <v>Legacy</v>
      </c>
      <c r="G110" s="261" t="s">
        <v>31</v>
      </c>
      <c r="H110" s="261" t="s">
        <v>36</v>
      </c>
      <c r="I110" s="260">
        <v>0</v>
      </c>
      <c r="J110" s="262">
        <v>0</v>
      </c>
      <c r="K110" s="322" cm="1">
        <f t="array" ref="K110">IF(D110="",0, SUMPRODUCT(--(ISNUMBER(SEARCH($A110,'Diags Raw Data'!$A$7:$A$3715))),'Diags Raw Data'!$L$7:$L$3715,'Diags Raw Data'!$N$7:$N$3715)/J110)</f>
        <v>0</v>
      </c>
      <c r="L110" s="323" cm="1">
        <f t="array" ref="L110">IF(D110="",0, SUMPRODUCT(--(ISNUMBER(SEARCH($A110,'Diags Raw Data'!$A$7:$A$3715))),'Diags Raw Data'!$L$7:$L$3715,'Diags Raw Data'!$P$7:$P$3715)/J110)</f>
        <v>0</v>
      </c>
      <c r="M110" s="324" cm="1">
        <f t="array" ref="M110">SUMPRODUCT(--(ISNUMBER(SEARCH($A110,'Diags Raw Data'!$A$7:$A$3715))),--('Diags Raw Data'!$Q$7:$Q$3715&lt;&gt;"N/A"),'Diags Raw Data'!$R$7:$R$3715)</f>
        <v>0</v>
      </c>
      <c r="N110" s="325" cm="1">
        <f t="array" ref="N110">SUMPRODUCT(--(ISNUMBER(SEARCH($A110,'Diags Raw Data'!$A$7:$A$3715))),--('Diags Raw Data'!$Q$7:$Q$3715&lt;&gt;"N/A"),'Diags Raw Data'!$T$7:$T$3715)+SUMPRODUCT(--(ISNUMBER(SEARCH($A110,'Diags Raw Data'!$A$7:$A$3715))),--('Diags Raw Data'!$Q$7:$Q$3715&lt;&gt;"N/A"),'Diags Raw Data'!$U$7:$U$3715)</f>
        <v>0</v>
      </c>
      <c r="O110" s="363">
        <f t="shared" si="68"/>
        <v>0</v>
      </c>
      <c r="P110" s="326">
        <f>SUMIF('Diags Raw Data'!$A$7:$A$3715,"*"&amp;$A110&amp;"*",'Diags Raw Data'!$Z$7:$Z$3715)</f>
        <v>0</v>
      </c>
      <c r="Q110" s="327">
        <f>SUM(SUMIF('Diags Raw Data'!$A$7:$A$3715,"*"&amp;$A110&amp;"*",'Diags Raw Data'!$AA$7:$AA$3715),SUMIF('Diags Raw Data'!$A$7:$A$3715,"*"&amp;$A110&amp;"*",'Diags Raw Data'!$AB$7:$AB$3715))</f>
        <v>0</v>
      </c>
      <c r="R110" s="328">
        <f t="shared" si="69"/>
        <v>0</v>
      </c>
      <c r="S110" s="328">
        <f t="shared" si="70"/>
        <v>0</v>
      </c>
      <c r="T110" s="329">
        <f t="shared" si="71"/>
        <v>0</v>
      </c>
      <c r="U110" s="366" t="s">
        <v>689</v>
      </c>
    </row>
    <row r="111" spans="1:22" ht="15" thickBot="1" x14ac:dyDescent="0.4">
      <c r="A111" s="447" t="s">
        <v>671</v>
      </c>
      <c r="B111" s="480" t="str">
        <f>VLOOKUP(A111,'Feature Raw Data'!$A$3:$B$3934,2,FALSE)</f>
        <v>DFLL stretch</v>
      </c>
      <c r="C111" s="447" t="str">
        <f>VLOOKUP(A111,'Feature Raw Data'!$A$3:$C$4163,3,FALSE)</f>
        <v>P3</v>
      </c>
      <c r="D111" s="451" t="str" cm="1">
        <f t="array" ref="D111">_xlfn.TEXTJOIN("",TRUE,IF(ISNUMBER(SEARCH($A111,'Diags Raw Data'!$A$7:$A$4094)),CONCATENATE('Diags Raw Data'!$H$7:$H$4094,", "),""))</f>
        <v/>
      </c>
      <c r="E111" s="261" t="e">
        <f>VLOOKUP(A111,'Diags Raw Data'!$A$7:$D$3715,4,FALSE)</f>
        <v>#N/A</v>
      </c>
      <c r="F111" s="261" t="str">
        <f>VLOOKUP(A111,'Feature Raw Data'!$A$3:$E$3783,5,FALSE)</f>
        <v>Legacy</v>
      </c>
      <c r="G111" s="261" t="s">
        <v>31</v>
      </c>
      <c r="H111" s="261" t="s">
        <v>36</v>
      </c>
      <c r="I111" s="260">
        <f>SUMIF('Diags Raw Data'!$A$7:$A$3715,"*"&amp;$A111&amp;"*",'Diags Raw Data'!$K$7:$K$3715)</f>
        <v>0</v>
      </c>
      <c r="J111" s="262">
        <f>SUMIF('Diags Raw Data'!$A$7:$A$3715,"*"&amp;$A111&amp;"*",'Diags Raw Data'!$L$7:$L$3715)</f>
        <v>0</v>
      </c>
      <c r="K111" s="322" cm="1">
        <f t="array" ref="K111">IF(D111="",0, SUMPRODUCT(--(ISNUMBER(SEARCH($A111,'Diags Raw Data'!$A$7:$A$3715))),'Diags Raw Data'!$L$7:$L$3715,'Diags Raw Data'!$N$7:$N$3715)/J111)</f>
        <v>0</v>
      </c>
      <c r="L111" s="323" cm="1">
        <f t="array" ref="L111">IF(D111="",0, SUMPRODUCT(--(ISNUMBER(SEARCH($A111,'Diags Raw Data'!$A$7:$A$3715))),'Diags Raw Data'!$L$7:$L$3715,'Diags Raw Data'!$P$7:$P$3715)/J111)</f>
        <v>0</v>
      </c>
      <c r="M111" s="324" cm="1">
        <f t="array" ref="M111">SUMPRODUCT(--(ISNUMBER(SEARCH($A111,'Diags Raw Data'!$A$7:$A$3715))),--('Diags Raw Data'!$Q$7:$Q$3715&lt;&gt;"N/A"),'Diags Raw Data'!$R$7:$R$3715)</f>
        <v>0</v>
      </c>
      <c r="N111" s="325" cm="1">
        <f t="array" ref="N111">SUMPRODUCT(--(ISNUMBER(SEARCH($A111,'Diags Raw Data'!$A$7:$A$3715))),--('Diags Raw Data'!$Q$7:$Q$3715&lt;&gt;"N/A"),'Diags Raw Data'!$T$7:$T$3715)+SUMPRODUCT(--(ISNUMBER(SEARCH($A111,'Diags Raw Data'!$A$7:$A$3715))),--('Diags Raw Data'!$Q$7:$Q$3715&lt;&gt;"N/A"),'Diags Raw Data'!$U$7:$U$3715)</f>
        <v>0</v>
      </c>
      <c r="O111" s="363">
        <f t="shared" si="68"/>
        <v>0</v>
      </c>
      <c r="P111" s="326">
        <f>SUMIF('Diags Raw Data'!$A$7:$A$3715,"*"&amp;$A111&amp;"*",'Diags Raw Data'!$Z$7:$Z$3715)</f>
        <v>0</v>
      </c>
      <c r="Q111" s="327">
        <f>SUM(SUMIF('Diags Raw Data'!$A$7:$A$3715,"*"&amp;$A111&amp;"*",'Diags Raw Data'!$AA$7:$AA$3715),SUMIF('Diags Raw Data'!$A$7:$A$3715,"*"&amp;$A111&amp;"*",'Diags Raw Data'!$AB$7:$AB$3715))</f>
        <v>0</v>
      </c>
      <c r="R111" s="328">
        <f t="shared" si="69"/>
        <v>0</v>
      </c>
      <c r="S111" s="328">
        <f t="shared" si="70"/>
        <v>0</v>
      </c>
      <c r="T111" s="329">
        <f t="shared" si="71"/>
        <v>0</v>
      </c>
      <c r="U111" s="366" t="s">
        <v>44</v>
      </c>
    </row>
    <row r="112" spans="1:22" ht="15" thickBot="1" x14ac:dyDescent="0.4">
      <c r="A112" s="447" t="s">
        <v>499</v>
      </c>
      <c r="B112" s="480" t="str">
        <f>VLOOKUP(A112,'Feature Raw Data'!$A$3:$B$3934,2,FALSE)</f>
        <v>DFLL deep sleep</v>
      </c>
      <c r="C112" s="447" t="str">
        <f>VLOOKUP(A112,'Feature Raw Data'!$A$3:$C$4163,3,FALSE)</f>
        <v>P2</v>
      </c>
      <c r="D112" s="451" t="str" cm="1">
        <f t="array" ref="D112">_xlfn.TEXTJOIN("",TRUE,IF(ISNUMBER(SEARCH($A112,'Diags Raw Data'!$A$7:$A$4094)),CONCATENATE('Diags Raw Data'!$H$7:$H$4094,", "),""))</f>
        <v xml:space="preserve">PM10.800, </v>
      </c>
      <c r="E112" s="261" t="str">
        <f>VLOOKUP(A112,'Diags Raw Data'!$A$7:$D$3715,4,FALSE)</f>
        <v>IMU</v>
      </c>
      <c r="F112" s="261" t="str">
        <f>VLOOKUP(A112,'Feature Raw Data'!$A$3:$E$3783,5,FALSE)</f>
        <v>Delta</v>
      </c>
      <c r="G112" s="261" t="s">
        <v>31</v>
      </c>
      <c r="H112" s="670" t="s">
        <v>814</v>
      </c>
      <c r="I112" s="260">
        <v>1</v>
      </c>
      <c r="J112" s="262">
        <v>1</v>
      </c>
      <c r="K112" s="322" cm="1">
        <f t="array" ref="K112">IF(D112="",0, SUMPRODUCT(--(ISNUMBER(SEARCH($A112,'Diags Raw Data'!$A$7:$A$3715))),'Diags Raw Data'!$L$7:$L$3715,'Diags Raw Data'!$N$7:$N$3715)/J112)</f>
        <v>1</v>
      </c>
      <c r="L112" s="323" cm="1">
        <f t="array" ref="L112">IF(D112="",0, SUMPRODUCT(--(ISNUMBER(SEARCH($A112,'Diags Raw Data'!$A$7:$A$3715))),'Diags Raw Data'!$L$7:$L$3715,'Diags Raw Data'!$P$7:$P$3715)/J112)</f>
        <v>0.3</v>
      </c>
      <c r="M112" s="324" cm="1">
        <f t="array" ref="M112">SUMPRODUCT(--(ISNUMBER(SEARCH($A112,'Diags Raw Data'!$A$7:$A$3715))),--('Diags Raw Data'!$Q$7:$Q$3715&lt;&gt;"N/A"),'Diags Raw Data'!$R$7:$R$3715)</f>
        <v>1</v>
      </c>
      <c r="N112" s="325" cm="1">
        <f t="array" ref="N112">SUMPRODUCT(--(ISNUMBER(SEARCH($A112,'Diags Raw Data'!$A$7:$A$3715))),--('Diags Raw Data'!$Q$7:$Q$3715&lt;&gt;"N/A"),'Diags Raw Data'!$T$7:$T$3715)+SUMPRODUCT(--(ISNUMBER(SEARCH($A112,'Diags Raw Data'!$A$7:$A$3715))),--('Diags Raw Data'!$Q$7:$Q$3715&lt;&gt;"N/A"),'Diags Raw Data'!$U$7:$U$3715)</f>
        <v>0</v>
      </c>
      <c r="O112" s="363">
        <f t="shared" si="68"/>
        <v>0</v>
      </c>
      <c r="P112" s="326">
        <f>SUMIF('Diags Raw Data'!$A$7:$A$3715,"*"&amp;$A112&amp;"*",'Diags Raw Data'!$Z$7:$Z$3715)</f>
        <v>0</v>
      </c>
      <c r="Q112" s="327">
        <f>SUM(SUMIF('Diags Raw Data'!$A$7:$A$3715,"*"&amp;$A112&amp;"*",'Diags Raw Data'!$AA$7:$AA$3715),SUMIF('Diags Raw Data'!$A$7:$A$3715,"*"&amp;$A112&amp;"*",'Diags Raw Data'!$AB$7:$AB$3715))</f>
        <v>0</v>
      </c>
      <c r="R112" s="328">
        <f t="shared" si="69"/>
        <v>0</v>
      </c>
      <c r="S112" s="328">
        <f t="shared" si="70"/>
        <v>0</v>
      </c>
      <c r="T112" s="329">
        <f t="shared" si="71"/>
        <v>0</v>
      </c>
      <c r="U112" s="366" t="s">
        <v>683</v>
      </c>
    </row>
    <row r="113" spans="1:25" ht="15" thickBot="1" x14ac:dyDescent="0.4">
      <c r="A113" s="447" t="s">
        <v>673</v>
      </c>
      <c r="B113" s="480" t="str">
        <f>VLOOKUP(A113,'Feature Raw Data'!$A$3:$B$3934,2,FALSE)</f>
        <v>APCC DFLL</v>
      </c>
      <c r="C113" s="447" t="str">
        <f>VLOOKUP(A113,'Feature Raw Data'!$A$3:$C$4163,3,FALSE)</f>
        <v>P3</v>
      </c>
      <c r="D113" s="451" t="str" cm="1">
        <f t="array" ref="D113">_xlfn.TEXTJOIN("",TRUE,IF(ISNUMBER(SEARCH($A113,'Diags Raw Data'!$A$7:$A$4094)),CONCATENATE('Diags Raw Data'!$H$7:$H$4094,", "),""))</f>
        <v/>
      </c>
      <c r="E113" s="261" t="e">
        <f>VLOOKUP(A113,'Diags Raw Data'!$A$7:$D$3715,4,FALSE)</f>
        <v>#N/A</v>
      </c>
      <c r="F113" s="261" t="str">
        <f>VLOOKUP(A113,'Feature Raw Data'!$A$3:$E$3783,5,FALSE)</f>
        <v>Legacy</v>
      </c>
      <c r="G113" s="261" t="s">
        <v>31</v>
      </c>
      <c r="H113" s="488" t="s">
        <v>36</v>
      </c>
      <c r="I113" s="260">
        <f>SUMIF('Diags Raw Data'!$A$7:$A$3715,"*"&amp;$A113&amp;"*",'Diags Raw Data'!$K$7:$K$3715)</f>
        <v>0</v>
      </c>
      <c r="J113" s="262">
        <f>SUMIF('Diags Raw Data'!$A$7:$A$3715,"*"&amp;$A113&amp;"*",'Diags Raw Data'!$L$7:$L$3715)</f>
        <v>0</v>
      </c>
      <c r="K113" s="322" cm="1">
        <f t="array" ref="K113">IF(D113="",0, SUMPRODUCT(--(ISNUMBER(SEARCH($A113,'Diags Raw Data'!$A$7:$A$3715))),'Diags Raw Data'!$L$7:$L$3715,'Diags Raw Data'!$N$7:$N$3715)/J113)</f>
        <v>0</v>
      </c>
      <c r="L113" s="323" cm="1">
        <f t="array" ref="L113">IF(D113="",0, SUMPRODUCT(--(ISNUMBER(SEARCH($A113,'Diags Raw Data'!$A$7:$A$3715))),'Diags Raw Data'!$L$7:$L$3715,'Diags Raw Data'!$P$7:$P$3715)/J113)</f>
        <v>0</v>
      </c>
      <c r="M113" s="324" cm="1">
        <f t="array" ref="M113">SUMPRODUCT(--(ISNUMBER(SEARCH($A113,'Diags Raw Data'!$A$7:$A$3715))),--('Diags Raw Data'!$Q$7:$Q$3715&lt;&gt;"N/A"),'Diags Raw Data'!$R$7:$R$3715)</f>
        <v>0</v>
      </c>
      <c r="N113" s="325" cm="1">
        <f t="array" ref="N113">SUMPRODUCT(--(ISNUMBER(SEARCH($A113,'Diags Raw Data'!$A$7:$A$3715))),--('Diags Raw Data'!$Q$7:$Q$3715&lt;&gt;"N/A"),'Diags Raw Data'!$T$7:$T$3715)+SUMPRODUCT(--(ISNUMBER(SEARCH($A113,'Diags Raw Data'!$A$7:$A$3715))),--('Diags Raw Data'!$Q$7:$Q$3715&lt;&gt;"N/A"),'Diags Raw Data'!$U$7:$U$3715)</f>
        <v>0</v>
      </c>
      <c r="O113" s="363">
        <f t="shared" ref="O113" si="72">IF((M113=0),0,N113/M113)</f>
        <v>0</v>
      </c>
      <c r="P113" s="326">
        <f>SUMIF('Diags Raw Data'!$A$7:$A$3715,"*"&amp;$A113&amp;"*",'Diags Raw Data'!$Z$7:$Z$3715)</f>
        <v>0</v>
      </c>
      <c r="Q113" s="327">
        <f>SUM(SUMIF('Diags Raw Data'!$A$7:$A$3715,"*"&amp;$A113&amp;"*",'Diags Raw Data'!$AA$7:$AA$3715),SUMIF('Diags Raw Data'!$A$7:$A$3715,"*"&amp;$A113&amp;"*",'Diags Raw Data'!$AB$7:$AB$3715))</f>
        <v>0</v>
      </c>
      <c r="R113" s="328">
        <f t="shared" ref="R113" si="73">IF((J113=0),0,P113/J113)</f>
        <v>0</v>
      </c>
      <c r="S113" s="328">
        <f t="shared" ref="S113" si="74">IF((P113=0),0,Q113/P113)</f>
        <v>0</v>
      </c>
      <c r="T113" s="329">
        <f t="shared" ref="T113" si="75">R113*S113</f>
        <v>0</v>
      </c>
      <c r="U113" s="366" t="s">
        <v>683</v>
      </c>
    </row>
    <row r="114" spans="1:25" ht="15" thickBot="1" x14ac:dyDescent="0.4">
      <c r="A114" s="447" t="s">
        <v>675</v>
      </c>
      <c r="B114" s="480" t="str">
        <f>VLOOKUP(A114,'Feature Raw Data'!$A$3:$B$3934,2,FALSE)</f>
        <v>DFLL Spread Spectrum</v>
      </c>
      <c r="C114" s="447" t="str">
        <f>VLOOKUP(A114,'Feature Raw Data'!$A$3:$C$4163,3,FALSE)</f>
        <v>P3</v>
      </c>
      <c r="D114" s="451" t="str" cm="1">
        <f t="array" ref="D114">_xlfn.TEXTJOIN("",TRUE,IF(ISNUMBER(SEARCH($A114,'Diags Raw Data'!$A$7:$A$4094)),CONCATENATE('Diags Raw Data'!$H$7:$H$4094,", "),""))</f>
        <v/>
      </c>
      <c r="E114" s="261" t="e">
        <f>VLOOKUP(A114,'Diags Raw Data'!$A$7:$D$3715,4,FALSE)</f>
        <v>#N/A</v>
      </c>
      <c r="F114" s="261" t="str">
        <f>VLOOKUP(A114,'Feature Raw Data'!$A$3:$E$3783,5,FALSE)</f>
        <v>Legacy</v>
      </c>
      <c r="G114" s="261" t="s">
        <v>31</v>
      </c>
      <c r="H114" s="457" t="s">
        <v>36</v>
      </c>
      <c r="I114" s="260">
        <f>SUMIF('Diags Raw Data'!$A$7:$A$3715,"*"&amp;$A114&amp;"*",'Diags Raw Data'!$K$7:$K$3715)</f>
        <v>0</v>
      </c>
      <c r="J114" s="262">
        <f>SUMIF('Diags Raw Data'!$A$7:$A$3715,"*"&amp;$A114&amp;"*",'Diags Raw Data'!$L$7:$L$3715)</f>
        <v>0</v>
      </c>
      <c r="K114" s="322" cm="1">
        <f t="array" ref="K114">IF(D114="",0, SUMPRODUCT(--(ISNUMBER(SEARCH($A114,'Diags Raw Data'!$A$7:$A$3715))),'Diags Raw Data'!$L$7:$L$3715,'Diags Raw Data'!$N$7:$N$3715)/J114)</f>
        <v>0</v>
      </c>
      <c r="L114" s="323" cm="1">
        <f t="array" ref="L114">IF(D114="",0, SUMPRODUCT(--(ISNUMBER(SEARCH($A114,'Diags Raw Data'!$A$7:$A$3715))),'Diags Raw Data'!$L$7:$L$3715,'Diags Raw Data'!$P$7:$P$3715)/J114)</f>
        <v>0</v>
      </c>
      <c r="M114" s="324" cm="1">
        <f t="array" ref="M114">SUMPRODUCT(--(ISNUMBER(SEARCH($A114,'Diags Raw Data'!$A$7:$A$3715))),--('Diags Raw Data'!$Q$7:$Q$3715&lt;&gt;"N/A"),'Diags Raw Data'!$R$7:$R$3715)</f>
        <v>0</v>
      </c>
      <c r="N114" s="325" cm="1">
        <f t="array" ref="N114">SUMPRODUCT(--(ISNUMBER(SEARCH($A114,'Diags Raw Data'!$A$7:$A$3715))),--('Diags Raw Data'!$Q$7:$Q$3715&lt;&gt;"N/A"),'Diags Raw Data'!$T$7:$T$3715)+SUMPRODUCT(--(ISNUMBER(SEARCH($A114,'Diags Raw Data'!$A$7:$A$3715))),--('Diags Raw Data'!$Q$7:$Q$3715&lt;&gt;"N/A"),'Diags Raw Data'!$U$7:$U$3715)</f>
        <v>0</v>
      </c>
      <c r="O114" s="363">
        <f t="shared" si="68"/>
        <v>0</v>
      </c>
      <c r="P114" s="326">
        <f>SUMIF('Diags Raw Data'!$A$7:$A$3715,"*"&amp;$A114&amp;"*",'Diags Raw Data'!$Z$7:$Z$3715)</f>
        <v>0</v>
      </c>
      <c r="Q114" s="327">
        <f>SUM(SUMIF('Diags Raw Data'!$A$7:$A$3715,"*"&amp;$A114&amp;"*",'Diags Raw Data'!$AA$7:$AA$3715),SUMIF('Diags Raw Data'!$A$7:$A$3715,"*"&amp;$A114&amp;"*",'Diags Raw Data'!$AB$7:$AB$3715))</f>
        <v>0</v>
      </c>
      <c r="R114" s="328">
        <f t="shared" si="69"/>
        <v>0</v>
      </c>
      <c r="S114" s="328">
        <f t="shared" si="70"/>
        <v>0</v>
      </c>
      <c r="T114" s="329">
        <f t="shared" si="71"/>
        <v>0</v>
      </c>
      <c r="U114" s="366" t="s">
        <v>683</v>
      </c>
    </row>
    <row r="115" spans="1:25" x14ac:dyDescent="0.35">
      <c r="A115" s="447" t="s">
        <v>442</v>
      </c>
      <c r="B115" s="480" t="str">
        <f>VLOOKUP(A115,'Feature Raw Data'!$A$3:$B$3934,2,FALSE)</f>
        <v>IMU Ucode loading</v>
      </c>
      <c r="C115" s="447" t="str">
        <f>VLOOKUP(A115,'Feature Raw Data'!$A$3:$C$4163,3,FALSE)</f>
        <v>P1</v>
      </c>
      <c r="D115" s="451" t="str" cm="1">
        <f t="array" ref="D115">_xlfn.TEXTJOIN("",TRUE,IF(ISNUMBER(SEARCH($A115,'Diags Raw Data'!$A$7:$A$4094)),CONCATENATE('Diags Raw Data'!$H$7:$H$4094,", "),""))</f>
        <v xml:space="preserve">PM074.03, </v>
      </c>
      <c r="E115" s="261" t="str">
        <f>VLOOKUP(A115,'Diags Raw Data'!$A$7:$D$3715,4,FALSE)</f>
        <v>IMU</v>
      </c>
      <c r="F115" s="261" t="str">
        <f>VLOOKUP(A115,'Feature Raw Data'!$A$3:$E$3783,5,FALSE)</f>
        <v>Delta</v>
      </c>
      <c r="G115" s="261" t="s">
        <v>31</v>
      </c>
      <c r="H115" s="261" t="s">
        <v>31</v>
      </c>
      <c r="I115" s="260">
        <f>SUMIF('Diags Raw Data'!$A$7:$A$3715,"*"&amp;$A115&amp;"*",'Diags Raw Data'!$K$7:$K$3715)</f>
        <v>1</v>
      </c>
      <c r="J115" s="262">
        <f>SUMIF('Diags Raw Data'!$A$7:$A$3715,"*"&amp;$A115&amp;"*",'Diags Raw Data'!$L$7:$L$3715)</f>
        <v>1</v>
      </c>
      <c r="K115" s="322" cm="1">
        <f t="array" ref="K115">IF(D115="",0, SUMPRODUCT(--(ISNUMBER(SEARCH($A115,'Diags Raw Data'!$A$7:$A$3715))),'Diags Raw Data'!$L$7:$L$3715,'Diags Raw Data'!$N$7:$N$3715)/J115)</f>
        <v>1</v>
      </c>
      <c r="L115" s="323" cm="1">
        <f t="array" ref="L115">IF(D115="",0, SUMPRODUCT(--(ISNUMBER(SEARCH($A115,'Diags Raw Data'!$A$7:$A$3715))),'Diags Raw Data'!$L$7:$L$3715,'Diags Raw Data'!$P$7:$P$3715)/J115)</f>
        <v>0.9</v>
      </c>
      <c r="M115" s="324" cm="1">
        <f t="array" ref="M115">SUMPRODUCT(--(ISNUMBER(SEARCH($A115,'Diags Raw Data'!$A$7:$A$3715))),--('Diags Raw Data'!$Q$7:$Q$3715&lt;&gt;"N/A"),'Diags Raw Data'!$R$7:$R$3715)</f>
        <v>1</v>
      </c>
      <c r="N115" s="325" cm="1">
        <f t="array" ref="N115">SUMPRODUCT(--(ISNUMBER(SEARCH($A115,'Diags Raw Data'!$A$7:$A$3715))),--('Diags Raw Data'!$Q$7:$Q$3715&lt;&gt;"N/A"),'Diags Raw Data'!$T$7:$T$3715)+SUMPRODUCT(--(ISNUMBER(SEARCH($A115,'Diags Raw Data'!$A$7:$A$3715))),--('Diags Raw Data'!$Q$7:$Q$3715&lt;&gt;"N/A"),'Diags Raw Data'!$U$7:$U$3715)</f>
        <v>1</v>
      </c>
      <c r="O115" s="363">
        <f t="shared" si="68"/>
        <v>1</v>
      </c>
      <c r="P115" s="326">
        <f>SUMIF('Diags Raw Data'!$A$7:$A$3715,"*"&amp;$A115&amp;"*",'Diags Raw Data'!$Z$7:$Z$3715)</f>
        <v>0</v>
      </c>
      <c r="Q115" s="327">
        <f>SUM(SUMIF('Diags Raw Data'!$A$7:$A$3715,"*"&amp;$A115&amp;"*",'Diags Raw Data'!$AA$7:$AA$3715),SUMIF('Diags Raw Data'!$A$7:$A$3715,"*"&amp;$A115&amp;"*",'Diags Raw Data'!$AB$7:$AB$3715))</f>
        <v>0</v>
      </c>
      <c r="R115" s="328">
        <f t="shared" si="69"/>
        <v>0</v>
      </c>
      <c r="S115" s="328">
        <f t="shared" si="70"/>
        <v>0</v>
      </c>
      <c r="T115" s="329">
        <f t="shared" si="71"/>
        <v>0</v>
      </c>
      <c r="U115" s="366" t="s">
        <v>685</v>
      </c>
    </row>
    <row r="116" spans="1:25" ht="15" thickBot="1" x14ac:dyDescent="0.4">
      <c r="A116" s="311"/>
      <c r="B116" s="483"/>
      <c r="C116" s="312"/>
      <c r="D116" s="96"/>
      <c r="E116" s="313"/>
      <c r="F116" s="313"/>
      <c r="G116" s="313"/>
      <c r="H116" s="313"/>
      <c r="I116" s="312"/>
      <c r="J116" s="314"/>
      <c r="K116" s="330"/>
      <c r="L116" s="331"/>
      <c r="M116" s="332"/>
      <c r="N116" s="333"/>
      <c r="O116" s="364"/>
      <c r="P116" s="334"/>
      <c r="Q116" s="335"/>
      <c r="R116" s="336"/>
      <c r="S116" s="336"/>
      <c r="T116" s="337"/>
      <c r="U116" s="338"/>
      <c r="V116" s="167" t="s">
        <v>813</v>
      </c>
      <c r="W116" s="167">
        <v>2</v>
      </c>
    </row>
    <row r="117" spans="1:25" ht="14.5" customHeight="1" x14ac:dyDescent="0.35">
      <c r="A117" s="559" t="s">
        <v>694</v>
      </c>
      <c r="B117" s="560"/>
      <c r="C117" s="560"/>
      <c r="D117" s="560"/>
      <c r="E117" s="560"/>
      <c r="F117" s="560"/>
      <c r="G117" s="560"/>
      <c r="H117" s="560"/>
      <c r="I117" s="560"/>
      <c r="J117" s="560"/>
      <c r="K117" s="560"/>
      <c r="L117" s="560"/>
      <c r="M117" s="560"/>
      <c r="N117" s="560"/>
      <c r="O117" s="560"/>
      <c r="P117" s="560"/>
      <c r="Q117" s="560"/>
      <c r="R117" s="560"/>
      <c r="S117" s="560"/>
      <c r="T117" s="560"/>
      <c r="U117" s="561"/>
    </row>
    <row r="118" spans="1:25" ht="15" customHeight="1" thickBot="1" x14ac:dyDescent="0.4">
      <c r="A118" s="562"/>
      <c r="B118" s="563"/>
      <c r="C118" s="563"/>
      <c r="D118" s="563"/>
      <c r="E118" s="563"/>
      <c r="F118" s="563"/>
      <c r="G118" s="563"/>
      <c r="H118" s="563"/>
      <c r="I118" s="563"/>
      <c r="J118" s="563"/>
      <c r="K118" s="563"/>
      <c r="L118" s="563"/>
      <c r="M118" s="563"/>
      <c r="N118" s="563"/>
      <c r="O118" s="563"/>
      <c r="P118" s="563"/>
      <c r="Q118" s="563"/>
      <c r="R118" s="563"/>
      <c r="S118" s="563"/>
      <c r="T118" s="563"/>
      <c r="U118" s="564"/>
    </row>
    <row r="119" spans="1:25" s="169" customFormat="1" ht="18.5" x14ac:dyDescent="0.35">
      <c r="A119" s="637" t="s">
        <v>250</v>
      </c>
      <c r="B119" s="638"/>
      <c r="C119" s="638"/>
      <c r="D119" s="638"/>
      <c r="E119" s="638"/>
      <c r="F119" s="641"/>
      <c r="G119" s="273">
        <f>COUNTIF(G7:G116,"Yes")</f>
        <v>109</v>
      </c>
      <c r="H119" s="273">
        <f>COUNTIF(H7:H116,"Yes")</f>
        <v>39</v>
      </c>
      <c r="I119" s="651">
        <f>'Diags Raw Data'!K158</f>
        <v>148</v>
      </c>
      <c r="J119" s="653">
        <f>'Diags Raw Data'!L158</f>
        <v>87</v>
      </c>
      <c r="K119" s="663">
        <f>'Diags Raw Data'!N158</f>
        <v>1</v>
      </c>
      <c r="L119" s="661">
        <f>'Diags Raw Data'!P158</f>
        <v>0.45202702702702641</v>
      </c>
      <c r="M119" s="659">
        <f>'Diags Raw Data'!R158</f>
        <v>148</v>
      </c>
      <c r="N119" s="655">
        <f>SUM('Diags Raw Data'!T158+'Diags Raw Data'!U158)</f>
        <v>55</v>
      </c>
      <c r="O119" s="643">
        <f>IF((M119=0),0,N119/M119)</f>
        <v>0.3716216216216216</v>
      </c>
      <c r="P119" s="645">
        <f>'Diags Raw Data'!Z158</f>
        <v>0</v>
      </c>
      <c r="Q119" s="647">
        <f>SUM('Diags Raw Data'!AA158+'Diags Raw Data'!AB158)</f>
        <v>0</v>
      </c>
      <c r="R119" s="649">
        <f>IF((J119=0),0,P119/J119)</f>
        <v>0</v>
      </c>
      <c r="S119" s="649">
        <f>IF((P119=0),0,Q119/P119)</f>
        <v>0</v>
      </c>
      <c r="T119" s="649">
        <f>R119*S119</f>
        <v>0</v>
      </c>
      <c r="U119" s="657"/>
      <c r="W119" s="169">
        <f>SUM(W7:W116)</f>
        <v>29.5</v>
      </c>
      <c r="X119" s="169">
        <f>SUM(X7:X116)</f>
        <v>26</v>
      </c>
      <c r="Y119" s="169">
        <f>SUM(Y7:Y116)</f>
        <v>47.5</v>
      </c>
    </row>
    <row r="120" spans="1:25" ht="19" thickBot="1" x14ac:dyDescent="0.4">
      <c r="A120" s="639"/>
      <c r="B120" s="640"/>
      <c r="C120" s="640"/>
      <c r="D120" s="640"/>
      <c r="E120" s="640"/>
      <c r="F120" s="642"/>
      <c r="G120" s="274">
        <f>COUNTIF(G7:G116,"Yes")/COUNTA(A7:A116)</f>
        <v>1</v>
      </c>
      <c r="H120" s="274">
        <f>(COUNTIF(H7:H116,"Yes")/G119)</f>
        <v>0.3577981651376147</v>
      </c>
      <c r="I120" s="652"/>
      <c r="J120" s="654"/>
      <c r="K120" s="664"/>
      <c r="L120" s="662"/>
      <c r="M120" s="660"/>
      <c r="N120" s="656"/>
      <c r="O120" s="644"/>
      <c r="P120" s="646"/>
      <c r="Q120" s="648"/>
      <c r="R120" s="650"/>
      <c r="S120" s="650"/>
      <c r="T120" s="650"/>
      <c r="U120" s="658"/>
    </row>
    <row r="121" spans="1:25" x14ac:dyDescent="0.35">
      <c r="A121" s="170"/>
      <c r="B121" s="484"/>
      <c r="C121" s="171"/>
      <c r="D121" s="170"/>
      <c r="E121" s="171"/>
      <c r="F121" s="171"/>
      <c r="G121" s="171">
        <f>COUNTA(A7:A116)</f>
        <v>109</v>
      </c>
      <c r="H121" s="171"/>
      <c r="I121" s="265"/>
      <c r="J121" s="265"/>
      <c r="K121" s="175"/>
      <c r="L121" s="175"/>
      <c r="M121" s="176"/>
      <c r="N121" s="176"/>
      <c r="O121" s="175"/>
      <c r="P121" s="173"/>
      <c r="Q121" s="173"/>
      <c r="R121" s="179"/>
      <c r="S121" s="179"/>
      <c r="T121" s="180"/>
      <c r="U121" s="170"/>
    </row>
    <row r="122" spans="1:25" x14ac:dyDescent="0.35">
      <c r="A122" s="170"/>
      <c r="B122" s="484"/>
      <c r="C122" s="171"/>
      <c r="D122" s="170"/>
      <c r="E122" s="171"/>
      <c r="F122" s="171"/>
      <c r="G122" s="171"/>
      <c r="H122" s="171"/>
      <c r="I122" s="265"/>
      <c r="J122" s="265"/>
      <c r="K122" s="175"/>
      <c r="L122" s="175"/>
      <c r="M122" s="176"/>
      <c r="N122" s="176"/>
      <c r="O122" s="175"/>
      <c r="P122" s="173"/>
      <c r="Q122" s="173"/>
      <c r="R122" s="179"/>
      <c r="S122" s="179"/>
      <c r="T122" s="180"/>
      <c r="U122" s="170"/>
    </row>
    <row r="123" spans="1:25" x14ac:dyDescent="0.35">
      <c r="A123" s="170"/>
      <c r="B123" s="484"/>
      <c r="C123" s="171"/>
      <c r="D123" s="170"/>
      <c r="E123" s="171"/>
      <c r="F123" s="171"/>
      <c r="G123" s="171"/>
      <c r="H123" s="171"/>
      <c r="I123" s="265"/>
      <c r="J123" s="265"/>
      <c r="K123" s="175"/>
      <c r="L123" s="175"/>
      <c r="M123" s="176"/>
      <c r="N123" s="176"/>
      <c r="O123" s="175"/>
      <c r="P123" s="173"/>
      <c r="Q123" s="173"/>
      <c r="R123" s="179"/>
      <c r="S123" s="179"/>
      <c r="T123" s="180"/>
      <c r="U123" s="170"/>
    </row>
    <row r="124" spans="1:25" x14ac:dyDescent="0.35">
      <c r="A124" s="170"/>
      <c r="B124" s="484"/>
      <c r="C124" s="171"/>
      <c r="D124" s="170"/>
      <c r="E124" s="171"/>
      <c r="F124" s="171"/>
      <c r="G124" s="171"/>
      <c r="H124" s="171"/>
      <c r="I124" s="265"/>
      <c r="J124" s="265"/>
      <c r="K124" s="175"/>
      <c r="L124" s="175"/>
      <c r="M124" s="176"/>
      <c r="N124" s="176"/>
      <c r="O124" s="175"/>
      <c r="P124" s="173"/>
      <c r="Q124" s="173"/>
      <c r="R124" s="179"/>
      <c r="S124" s="179"/>
      <c r="T124" s="180"/>
      <c r="U124" s="170"/>
    </row>
    <row r="125" spans="1:25" x14ac:dyDescent="0.35">
      <c r="A125" s="170"/>
      <c r="B125" s="484"/>
      <c r="C125" s="171"/>
      <c r="D125" s="170"/>
      <c r="E125" s="171"/>
      <c r="F125" s="171"/>
      <c r="G125" s="171"/>
      <c r="H125" s="171"/>
      <c r="I125" s="265"/>
      <c r="J125" s="265"/>
      <c r="K125" s="175"/>
      <c r="L125" s="175"/>
      <c r="M125" s="176"/>
      <c r="N125" s="176"/>
      <c r="O125" s="175"/>
      <c r="P125" s="173"/>
      <c r="Q125" s="173"/>
      <c r="R125" s="179"/>
      <c r="S125" s="179"/>
      <c r="T125" s="180"/>
      <c r="U125" s="170"/>
    </row>
    <row r="126" spans="1:25" x14ac:dyDescent="0.35">
      <c r="A126" s="170"/>
      <c r="B126" s="484"/>
      <c r="C126" s="171"/>
      <c r="D126" s="170"/>
      <c r="E126" s="171"/>
      <c r="F126" s="171"/>
      <c r="G126" s="171"/>
      <c r="H126" s="171"/>
      <c r="I126" s="265"/>
      <c r="J126" s="265"/>
      <c r="K126" s="175"/>
      <c r="L126" s="175"/>
      <c r="M126" s="176"/>
      <c r="N126" s="176"/>
      <c r="O126" s="175"/>
      <c r="P126" s="173"/>
      <c r="Q126" s="173"/>
      <c r="R126" s="179"/>
      <c r="S126" s="179"/>
      <c r="T126" s="180"/>
      <c r="U126" s="170"/>
    </row>
    <row r="127" spans="1:25" x14ac:dyDescent="0.35">
      <c r="A127" s="170"/>
      <c r="B127" s="484"/>
      <c r="C127" s="171"/>
      <c r="D127" s="170"/>
      <c r="E127" s="171"/>
      <c r="F127" s="171"/>
      <c r="G127" s="171"/>
      <c r="H127" s="171"/>
      <c r="I127" s="265"/>
      <c r="J127" s="265"/>
      <c r="K127" s="175"/>
      <c r="L127" s="175"/>
      <c r="M127" s="176"/>
      <c r="N127" s="176"/>
      <c r="O127" s="175"/>
      <c r="P127" s="173"/>
      <c r="Q127" s="173"/>
      <c r="R127" s="179"/>
      <c r="S127" s="179"/>
      <c r="T127" s="180"/>
      <c r="U127" s="170"/>
    </row>
    <row r="128" spans="1:25" x14ac:dyDescent="0.35">
      <c r="A128" s="170"/>
      <c r="B128" s="484"/>
      <c r="C128" s="171"/>
      <c r="D128" s="170"/>
      <c r="E128" s="171"/>
      <c r="F128" s="171"/>
      <c r="G128" s="171"/>
      <c r="H128" s="171"/>
      <c r="I128" s="265"/>
      <c r="J128" s="265"/>
      <c r="K128" s="175"/>
      <c r="L128" s="175"/>
      <c r="M128" s="176"/>
      <c r="N128" s="176"/>
      <c r="O128" s="175"/>
      <c r="P128" s="173"/>
      <c r="Q128" s="173"/>
      <c r="R128" s="179"/>
      <c r="S128" s="179"/>
      <c r="T128" s="180"/>
      <c r="U128" s="170"/>
    </row>
    <row r="129" spans="3:20" x14ac:dyDescent="0.35">
      <c r="C129" s="167"/>
      <c r="E129" s="167"/>
      <c r="F129" s="167"/>
      <c r="G129" s="167"/>
      <c r="H129" s="167"/>
      <c r="I129" s="167"/>
      <c r="J129" s="167"/>
      <c r="K129" s="167"/>
      <c r="L129" s="167"/>
      <c r="M129" s="167"/>
      <c r="N129" s="167"/>
      <c r="O129" s="167"/>
      <c r="P129" s="167"/>
      <c r="Q129" s="167"/>
      <c r="R129" s="167"/>
      <c r="S129" s="167"/>
      <c r="T129" s="167"/>
    </row>
    <row r="130" spans="3:20" x14ac:dyDescent="0.35">
      <c r="C130" s="167"/>
      <c r="E130" s="167"/>
      <c r="F130" s="167"/>
      <c r="G130" s="167"/>
      <c r="H130" s="167"/>
      <c r="I130" s="167"/>
      <c r="J130" s="167"/>
      <c r="K130" s="167"/>
      <c r="L130" s="167"/>
      <c r="M130" s="167"/>
      <c r="N130" s="167"/>
      <c r="O130" s="167"/>
      <c r="P130" s="167"/>
      <c r="Q130" s="167"/>
      <c r="R130" s="167"/>
      <c r="S130" s="167"/>
      <c r="T130" s="167"/>
    </row>
    <row r="131" spans="3:20" x14ac:dyDescent="0.35">
      <c r="C131" s="167"/>
      <c r="E131" s="167"/>
      <c r="F131" s="167"/>
      <c r="G131" s="167"/>
      <c r="H131" s="167"/>
      <c r="I131" s="167"/>
      <c r="J131" s="167"/>
      <c r="K131" s="167"/>
      <c r="L131" s="167"/>
      <c r="M131" s="167"/>
      <c r="N131" s="167"/>
      <c r="O131" s="167"/>
      <c r="P131" s="167"/>
      <c r="Q131" s="167"/>
      <c r="R131" s="167"/>
      <c r="S131" s="167"/>
      <c r="T131" s="167"/>
    </row>
    <row r="132" spans="3:20" x14ac:dyDescent="0.35">
      <c r="C132" s="167"/>
      <c r="E132" s="167"/>
      <c r="F132" s="167"/>
      <c r="G132" s="167"/>
      <c r="H132" s="167"/>
      <c r="I132" s="167"/>
      <c r="J132" s="167"/>
      <c r="K132" s="167"/>
      <c r="L132" s="167"/>
      <c r="M132" s="167"/>
      <c r="N132" s="167"/>
      <c r="O132" s="167"/>
      <c r="P132" s="167"/>
      <c r="Q132" s="167"/>
      <c r="R132" s="167"/>
      <c r="S132" s="167"/>
      <c r="T132" s="167"/>
    </row>
    <row r="133" spans="3:20" x14ac:dyDescent="0.35">
      <c r="C133" s="167"/>
      <c r="E133" s="167"/>
      <c r="F133" s="167"/>
      <c r="G133" s="167"/>
      <c r="H133" s="167"/>
      <c r="I133" s="167"/>
      <c r="J133" s="167"/>
      <c r="K133" s="167"/>
      <c r="L133" s="167"/>
      <c r="M133" s="167"/>
      <c r="N133" s="167"/>
      <c r="O133" s="167"/>
      <c r="P133" s="167"/>
      <c r="Q133" s="167"/>
      <c r="R133" s="167"/>
      <c r="S133" s="167"/>
      <c r="T133" s="167"/>
    </row>
    <row r="134" spans="3:20" x14ac:dyDescent="0.35">
      <c r="C134" s="167"/>
      <c r="E134" s="167"/>
      <c r="F134" s="167"/>
      <c r="G134" s="167"/>
      <c r="H134" s="167"/>
      <c r="I134" s="167"/>
      <c r="J134" s="167"/>
      <c r="K134" s="167"/>
      <c r="L134" s="167"/>
      <c r="M134" s="167"/>
      <c r="N134" s="167"/>
      <c r="O134" s="167"/>
      <c r="P134" s="167"/>
      <c r="Q134" s="167"/>
      <c r="R134" s="167"/>
      <c r="S134" s="167"/>
      <c r="T134" s="167"/>
    </row>
  </sheetData>
  <sheetProtection insertColumns="0" insertRows="0" deleteRows="0" sort="0"/>
  <autoFilter ref="A6:U121" xr:uid="{00000000-0009-0000-0000-000004000000}"/>
  <mergeCells count="35">
    <mergeCell ref="A119:F120"/>
    <mergeCell ref="A117:U118"/>
    <mergeCell ref="O119:O120"/>
    <mergeCell ref="P119:P120"/>
    <mergeCell ref="Q119:Q120"/>
    <mergeCell ref="R119:R120"/>
    <mergeCell ref="I119:I120"/>
    <mergeCell ref="J119:J120"/>
    <mergeCell ref="N119:N120"/>
    <mergeCell ref="U119:U120"/>
    <mergeCell ref="T119:T120"/>
    <mergeCell ref="S119:S120"/>
    <mergeCell ref="M119:M120"/>
    <mergeCell ref="L119:L120"/>
    <mergeCell ref="K119:K120"/>
    <mergeCell ref="T2:T3"/>
    <mergeCell ref="U2:U3"/>
    <mergeCell ref="R2:R3"/>
    <mergeCell ref="S2:S3"/>
    <mergeCell ref="A1:U1"/>
    <mergeCell ref="I2:I3"/>
    <mergeCell ref="O2:O3"/>
    <mergeCell ref="P2:P3"/>
    <mergeCell ref="Q2:Q3"/>
    <mergeCell ref="J2:J3"/>
    <mergeCell ref="K2:K3"/>
    <mergeCell ref="L2:L3"/>
    <mergeCell ref="M2:M3"/>
    <mergeCell ref="N2:N3"/>
    <mergeCell ref="A2:E3"/>
    <mergeCell ref="K5:L5"/>
    <mergeCell ref="A5:J5"/>
    <mergeCell ref="M5:O5"/>
    <mergeCell ref="P5:U5"/>
    <mergeCell ref="A4:U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4.5" x14ac:dyDescent="0.35"/>
  <cols>
    <col min="1" max="1" width="11.453125" style="2" bestFit="1" customWidth="1"/>
    <col min="2" max="3" width="10.453125" style="3" bestFit="1" customWidth="1"/>
    <col min="4" max="8" width="9.453125" style="3" bestFit="1" customWidth="1"/>
    <col min="9" max="9" width="8.453125" style="3" bestFit="1" customWidth="1"/>
    <col min="10" max="20" width="9.453125" style="3" bestFit="1" customWidth="1"/>
    <col min="21" max="21" width="10.453125" style="3" bestFit="1" customWidth="1"/>
    <col min="22" max="23" width="9.453125" style="3" bestFit="1" customWidth="1"/>
    <col min="24" max="25" width="10.453125" style="3" bestFit="1" customWidth="1"/>
    <col min="26" max="27" width="9.453125" style="3" bestFit="1" customWidth="1"/>
    <col min="28" max="28" width="10.453125" style="3" bestFit="1" customWidth="1"/>
    <col min="29" max="29" width="9.453125" style="3" bestFit="1" customWidth="1"/>
    <col min="30" max="30" width="10.453125" style="3" bestFit="1" customWidth="1"/>
    <col min="31" max="32" width="9.453125" style="3" bestFit="1" customWidth="1"/>
    <col min="33" max="34" width="10.453125" style="3" bestFit="1" customWidth="1"/>
    <col min="35" max="37" width="10.453125" style="3" customWidth="1"/>
    <col min="38" max="38" width="10.453125" style="22" customWidth="1"/>
    <col min="39" max="39" width="10.453125" style="3" customWidth="1"/>
    <col min="40" max="40" width="1.453125" style="3" customWidth="1"/>
    <col min="41" max="16384" width="15" style="3"/>
  </cols>
  <sheetData>
    <row r="1" spans="1:40" s="2" customFormat="1" ht="12.25" customHeight="1" x14ac:dyDescent="0.3">
      <c r="A1" s="34"/>
      <c r="B1" s="36" t="s">
        <v>695</v>
      </c>
      <c r="C1" s="36" t="s">
        <v>696</v>
      </c>
      <c r="D1" s="36" t="s">
        <v>697</v>
      </c>
      <c r="E1" s="36" t="s">
        <v>698</v>
      </c>
      <c r="F1" s="36" t="s">
        <v>699</v>
      </c>
      <c r="G1" s="37" t="s">
        <v>700</v>
      </c>
      <c r="H1" s="12"/>
      <c r="I1" s="12"/>
      <c r="J1" s="12"/>
      <c r="K1" s="12"/>
      <c r="L1" s="13"/>
      <c r="M1" s="1"/>
      <c r="N1" s="11"/>
      <c r="X1" s="11"/>
      <c r="AB1" s="665" t="s">
        <v>701</v>
      </c>
      <c r="AM1" s="665" t="s">
        <v>702</v>
      </c>
    </row>
    <row r="2" spans="1:40" s="14" customFormat="1" ht="12" x14ac:dyDescent="0.3">
      <c r="A2" s="35" t="s">
        <v>703</v>
      </c>
      <c r="B2" s="15">
        <v>42994</v>
      </c>
      <c r="C2" s="15">
        <v>43190</v>
      </c>
      <c r="D2" s="16" t="e">
        <f>#REF!</f>
        <v>#REF!</v>
      </c>
      <c r="E2" s="16" t="e">
        <f>#REF!</f>
        <v>#REF!</v>
      </c>
      <c r="F2" s="16">
        <f>(C2-B2)/7</f>
        <v>28</v>
      </c>
      <c r="G2" s="17" t="e">
        <f>E2/F2</f>
        <v>#REF!</v>
      </c>
      <c r="H2" s="18"/>
      <c r="I2" s="18"/>
      <c r="J2" s="18"/>
      <c r="K2" s="18"/>
      <c r="L2" s="19"/>
      <c r="M2" s="20"/>
      <c r="N2" s="21"/>
      <c r="X2" s="21"/>
      <c r="AB2" s="666"/>
      <c r="AM2" s="666"/>
    </row>
    <row r="3" spans="1:40" s="7" customFormat="1" ht="3.75" customHeight="1" thickBot="1" x14ac:dyDescent="0.3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3">
      <c r="A4" s="667" t="s">
        <v>704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5" thickBot="1" x14ac:dyDescent="0.35">
      <c r="A5" s="668"/>
      <c r="B5" s="47" t="s">
        <v>705</v>
      </c>
      <c r="C5" s="47" t="s">
        <v>706</v>
      </c>
      <c r="D5" s="47" t="s">
        <v>707</v>
      </c>
      <c r="E5" s="47" t="s">
        <v>708</v>
      </c>
      <c r="F5" s="47" t="s">
        <v>709</v>
      </c>
      <c r="G5" s="47" t="s">
        <v>710</v>
      </c>
      <c r="H5" s="47" t="s">
        <v>711</v>
      </c>
      <c r="I5" s="47" t="s">
        <v>712</v>
      </c>
      <c r="J5" s="47" t="s">
        <v>713</v>
      </c>
      <c r="K5" s="47" t="s">
        <v>714</v>
      </c>
      <c r="L5" s="47" t="s">
        <v>715</v>
      </c>
      <c r="M5" s="47" t="s">
        <v>716</v>
      </c>
      <c r="N5" s="47" t="s">
        <v>717</v>
      </c>
      <c r="O5" s="47" t="s">
        <v>718</v>
      </c>
      <c r="P5" s="47" t="s">
        <v>719</v>
      </c>
      <c r="Q5" s="47" t="s">
        <v>720</v>
      </c>
      <c r="R5" s="47" t="s">
        <v>721</v>
      </c>
      <c r="S5" s="47" t="s">
        <v>722</v>
      </c>
      <c r="T5" s="47" t="s">
        <v>723</v>
      </c>
      <c r="U5" s="47" t="s">
        <v>724</v>
      </c>
      <c r="V5" s="47" t="s">
        <v>725</v>
      </c>
      <c r="W5" s="47" t="s">
        <v>726</v>
      </c>
      <c r="X5" s="47" t="s">
        <v>727</v>
      </c>
      <c r="Y5" s="47" t="s">
        <v>728</v>
      </c>
      <c r="Z5" s="47" t="s">
        <v>729</v>
      </c>
      <c r="AA5" s="47" t="s">
        <v>730</v>
      </c>
      <c r="AB5" s="47" t="s">
        <v>731</v>
      </c>
      <c r="AC5" s="47" t="s">
        <v>732</v>
      </c>
      <c r="AD5" s="47" t="s">
        <v>733</v>
      </c>
      <c r="AE5" s="47" t="s">
        <v>734</v>
      </c>
      <c r="AF5" s="47" t="s">
        <v>735</v>
      </c>
      <c r="AG5" s="47" t="s">
        <v>736</v>
      </c>
      <c r="AH5" s="47" t="s">
        <v>737</v>
      </c>
      <c r="AI5" s="47" t="s">
        <v>738</v>
      </c>
      <c r="AJ5" s="47" t="s">
        <v>739</v>
      </c>
      <c r="AK5" s="47" t="s">
        <v>740</v>
      </c>
      <c r="AL5" s="66" t="s">
        <v>741</v>
      </c>
      <c r="AM5" s="65" t="s">
        <v>742</v>
      </c>
      <c r="AN5" s="50"/>
    </row>
    <row r="6" spans="1:40" ht="12" x14ac:dyDescent="0.3">
      <c r="A6" s="48" t="s">
        <v>743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5" thickBot="1" x14ac:dyDescent="0.35">
      <c r="A7" s="27" t="s">
        <v>744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3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3">
      <c r="A9" s="667" t="s">
        <v>745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5" thickBot="1" x14ac:dyDescent="0.35">
      <c r="A10" s="669"/>
      <c r="B10" s="32" t="s">
        <v>705</v>
      </c>
      <c r="C10" s="32" t="s">
        <v>706</v>
      </c>
      <c r="D10" s="32" t="s">
        <v>707</v>
      </c>
      <c r="E10" s="32" t="s">
        <v>708</v>
      </c>
      <c r="F10" s="32" t="s">
        <v>709</v>
      </c>
      <c r="G10" s="32" t="s">
        <v>710</v>
      </c>
      <c r="H10" s="32" t="s">
        <v>711</v>
      </c>
      <c r="I10" s="32" t="s">
        <v>712</v>
      </c>
      <c r="J10" s="32" t="s">
        <v>713</v>
      </c>
      <c r="K10" s="32" t="s">
        <v>714</v>
      </c>
      <c r="L10" s="32" t="s">
        <v>715</v>
      </c>
      <c r="M10" s="32" t="s">
        <v>716</v>
      </c>
      <c r="N10" s="32" t="s">
        <v>717</v>
      </c>
      <c r="O10" s="32" t="s">
        <v>718</v>
      </c>
      <c r="P10" s="32" t="s">
        <v>719</v>
      </c>
      <c r="Q10" s="32" t="s">
        <v>720</v>
      </c>
      <c r="R10" s="32" t="s">
        <v>721</v>
      </c>
      <c r="S10" s="32" t="s">
        <v>722</v>
      </c>
      <c r="T10" s="32" t="s">
        <v>723</v>
      </c>
      <c r="U10" s="32" t="s">
        <v>724</v>
      </c>
      <c r="V10" s="32" t="s">
        <v>725</v>
      </c>
      <c r="W10" s="32" t="s">
        <v>726</v>
      </c>
      <c r="X10" s="32" t="s">
        <v>727</v>
      </c>
      <c r="Y10" s="32" t="s">
        <v>728</v>
      </c>
      <c r="Z10" s="32" t="s">
        <v>729</v>
      </c>
      <c r="AA10" s="32" t="s">
        <v>730</v>
      </c>
      <c r="AB10" s="32" t="s">
        <v>731</v>
      </c>
      <c r="AC10" s="32" t="s">
        <v>732</v>
      </c>
      <c r="AD10" s="32" t="s">
        <v>733</v>
      </c>
      <c r="AE10" s="32" t="s">
        <v>734</v>
      </c>
      <c r="AF10" s="32" t="s">
        <v>735</v>
      </c>
      <c r="AG10" s="32" t="s">
        <v>736</v>
      </c>
      <c r="AH10" s="32" t="s">
        <v>737</v>
      </c>
      <c r="AI10" s="32" t="s">
        <v>738</v>
      </c>
      <c r="AJ10" s="64" t="s">
        <v>739</v>
      </c>
      <c r="AK10" s="63" t="s">
        <v>740</v>
      </c>
      <c r="AL10" s="47" t="s">
        <v>741</v>
      </c>
      <c r="AM10" s="72" t="s">
        <v>742</v>
      </c>
      <c r="AN10" s="68"/>
    </row>
    <row r="11" spans="1:40" x14ac:dyDescent="0.35">
      <c r="A11" s="42" t="s">
        <v>743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3">
      <c r="A12" s="44" t="s">
        <v>744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3">
      <c r="A13" s="45" t="s">
        <v>746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5" thickBot="1" x14ac:dyDescent="0.35">
      <c r="A14" s="33" t="s">
        <v>747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3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3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8CB8C-8635-4164-BBAC-1DF376D9047B}">
  <dimension ref="A2:G38"/>
  <sheetViews>
    <sheetView topLeftCell="A12" workbookViewId="0">
      <selection activeCell="I27" sqref="I27"/>
    </sheetView>
  </sheetViews>
  <sheetFormatPr defaultRowHeight="14.5" x14ac:dyDescent="0.35"/>
  <cols>
    <col min="1" max="1" width="17" bestFit="1" customWidth="1"/>
    <col min="2" max="2" width="16.1796875" bestFit="1" customWidth="1"/>
    <col min="3" max="3" width="6.81640625" bestFit="1" customWidth="1"/>
    <col min="4" max="4" width="5.1796875" bestFit="1" customWidth="1"/>
    <col min="5" max="5" width="11.1796875" bestFit="1" customWidth="1"/>
  </cols>
  <sheetData>
    <row r="2" spans="1:5" x14ac:dyDescent="0.35">
      <c r="A2" s="129" t="s">
        <v>213</v>
      </c>
      <c r="B2" t="s">
        <v>31</v>
      </c>
    </row>
    <row r="4" spans="1:5" x14ac:dyDescent="0.35">
      <c r="A4" s="129" t="s">
        <v>748</v>
      </c>
      <c r="B4" s="129" t="s">
        <v>749</v>
      </c>
    </row>
    <row r="5" spans="1:5" x14ac:dyDescent="0.35">
      <c r="A5" s="129" t="s">
        <v>750</v>
      </c>
      <c r="B5" t="s">
        <v>38</v>
      </c>
      <c r="C5" t="s">
        <v>33</v>
      </c>
      <c r="D5" t="s">
        <v>42</v>
      </c>
      <c r="E5" t="s">
        <v>504</v>
      </c>
    </row>
    <row r="6" spans="1:5" x14ac:dyDescent="0.35">
      <c r="A6" s="79" t="s">
        <v>685</v>
      </c>
      <c r="C6">
        <v>4</v>
      </c>
      <c r="D6">
        <v>1</v>
      </c>
      <c r="E6">
        <v>5</v>
      </c>
    </row>
    <row r="7" spans="1:5" x14ac:dyDescent="0.35">
      <c r="A7" s="79" t="s">
        <v>680</v>
      </c>
      <c r="C7">
        <v>6</v>
      </c>
      <c r="E7">
        <v>6</v>
      </c>
    </row>
    <row r="8" spans="1:5" x14ac:dyDescent="0.35">
      <c r="A8" s="79" t="s">
        <v>684</v>
      </c>
      <c r="B8">
        <v>1</v>
      </c>
      <c r="E8">
        <v>1</v>
      </c>
    </row>
    <row r="9" spans="1:5" x14ac:dyDescent="0.35">
      <c r="A9" s="79" t="s">
        <v>682</v>
      </c>
      <c r="B9">
        <v>3</v>
      </c>
      <c r="C9">
        <v>4</v>
      </c>
      <c r="E9">
        <v>7</v>
      </c>
    </row>
    <row r="10" spans="1:5" x14ac:dyDescent="0.35">
      <c r="A10" s="79" t="s">
        <v>328</v>
      </c>
      <c r="B10">
        <v>1</v>
      </c>
      <c r="C10">
        <v>11</v>
      </c>
      <c r="D10">
        <v>2</v>
      </c>
      <c r="E10">
        <v>14</v>
      </c>
    </row>
    <row r="11" spans="1:5" x14ac:dyDescent="0.35">
      <c r="A11" s="79" t="s">
        <v>349</v>
      </c>
      <c r="C11">
        <v>7</v>
      </c>
      <c r="E11">
        <v>7</v>
      </c>
    </row>
    <row r="12" spans="1:5" x14ac:dyDescent="0.35">
      <c r="A12" s="79" t="s">
        <v>681</v>
      </c>
      <c r="C12">
        <v>4</v>
      </c>
      <c r="E12">
        <v>4</v>
      </c>
    </row>
    <row r="13" spans="1:5" x14ac:dyDescent="0.35">
      <c r="A13" s="79" t="s">
        <v>690</v>
      </c>
      <c r="C13">
        <v>2</v>
      </c>
      <c r="E13">
        <v>2</v>
      </c>
    </row>
    <row r="14" spans="1:5" x14ac:dyDescent="0.35">
      <c r="A14" s="79" t="s">
        <v>689</v>
      </c>
      <c r="C14">
        <v>2</v>
      </c>
      <c r="E14">
        <v>2</v>
      </c>
    </row>
    <row r="15" spans="1:5" x14ac:dyDescent="0.35">
      <c r="A15" s="79" t="s">
        <v>679</v>
      </c>
      <c r="B15">
        <v>1</v>
      </c>
      <c r="E15">
        <v>1</v>
      </c>
    </row>
    <row r="16" spans="1:5" x14ac:dyDescent="0.35">
      <c r="A16" s="79" t="s">
        <v>688</v>
      </c>
      <c r="C16">
        <v>1</v>
      </c>
      <c r="E16">
        <v>1</v>
      </c>
    </row>
    <row r="17" spans="1:7" x14ac:dyDescent="0.35">
      <c r="A17" s="79" t="s">
        <v>691</v>
      </c>
      <c r="C17">
        <v>4</v>
      </c>
      <c r="E17">
        <v>4</v>
      </c>
    </row>
    <row r="18" spans="1:7" x14ac:dyDescent="0.35">
      <c r="A18" s="79" t="s">
        <v>504</v>
      </c>
      <c r="B18">
        <v>6</v>
      </c>
      <c r="C18">
        <v>45</v>
      </c>
      <c r="D18">
        <v>3</v>
      </c>
      <c r="E18">
        <v>54</v>
      </c>
    </row>
    <row r="21" spans="1:7" x14ac:dyDescent="0.35">
      <c r="A21" t="s">
        <v>750</v>
      </c>
      <c r="B21" t="s">
        <v>38</v>
      </c>
      <c r="C21" t="s">
        <v>33</v>
      </c>
      <c r="D21" t="s">
        <v>42</v>
      </c>
      <c r="E21" t="s">
        <v>504</v>
      </c>
      <c r="F21" t="s">
        <v>751</v>
      </c>
      <c r="G21" t="s">
        <v>752</v>
      </c>
    </row>
    <row r="22" spans="1:7" x14ac:dyDescent="0.35">
      <c r="A22" t="s">
        <v>685</v>
      </c>
      <c r="C22">
        <v>4</v>
      </c>
      <c r="D22">
        <v>1</v>
      </c>
      <c r="E22">
        <v>5</v>
      </c>
      <c r="F22">
        <f>E22</f>
        <v>5</v>
      </c>
      <c r="G22" s="454">
        <f>F22/$E$38</f>
        <v>9.6153846153846159E-2</v>
      </c>
    </row>
    <row r="23" spans="1:7" x14ac:dyDescent="0.35">
      <c r="A23" t="s">
        <v>682</v>
      </c>
      <c r="B23">
        <v>3</v>
      </c>
      <c r="C23">
        <v>4</v>
      </c>
      <c r="E23">
        <v>7</v>
      </c>
      <c r="F23">
        <f>F22+E23</f>
        <v>12</v>
      </c>
      <c r="G23" s="454">
        <f t="shared" ref="G23:G37" si="0">F23/$E$38</f>
        <v>0.23076923076923078</v>
      </c>
    </row>
    <row r="24" spans="1:7" x14ac:dyDescent="0.35">
      <c r="A24" t="s">
        <v>328</v>
      </c>
      <c r="B24">
        <v>1</v>
      </c>
      <c r="C24">
        <v>11</v>
      </c>
      <c r="D24">
        <v>2</v>
      </c>
      <c r="E24">
        <v>14</v>
      </c>
      <c r="F24">
        <f t="shared" ref="F24:F37" si="1">F23+E24</f>
        <v>26</v>
      </c>
      <c r="G24" s="454">
        <f t="shared" si="0"/>
        <v>0.5</v>
      </c>
    </row>
    <row r="25" spans="1:7" x14ac:dyDescent="0.35">
      <c r="A25" t="s">
        <v>349</v>
      </c>
      <c r="C25">
        <v>7</v>
      </c>
      <c r="E25">
        <v>7</v>
      </c>
      <c r="F25">
        <f t="shared" si="1"/>
        <v>33</v>
      </c>
      <c r="G25" s="454">
        <f t="shared" si="0"/>
        <v>0.63461538461538458</v>
      </c>
    </row>
    <row r="26" spans="1:7" x14ac:dyDescent="0.35">
      <c r="A26" t="s">
        <v>687</v>
      </c>
      <c r="F26">
        <f t="shared" si="1"/>
        <v>33</v>
      </c>
      <c r="G26" s="454">
        <f t="shared" si="0"/>
        <v>0.63461538461538458</v>
      </c>
    </row>
    <row r="27" spans="1:7" x14ac:dyDescent="0.35">
      <c r="A27" t="s">
        <v>686</v>
      </c>
      <c r="F27">
        <f t="shared" si="1"/>
        <v>33</v>
      </c>
      <c r="G27" s="454">
        <f t="shared" si="0"/>
        <v>0.63461538461538458</v>
      </c>
    </row>
    <row r="28" spans="1:7" x14ac:dyDescent="0.35">
      <c r="A28" t="s">
        <v>681</v>
      </c>
      <c r="C28">
        <v>4</v>
      </c>
      <c r="E28">
        <v>4</v>
      </c>
      <c r="F28">
        <f t="shared" si="1"/>
        <v>37</v>
      </c>
      <c r="G28" s="454">
        <f t="shared" si="0"/>
        <v>0.71153846153846156</v>
      </c>
    </row>
    <row r="29" spans="1:7" x14ac:dyDescent="0.35">
      <c r="A29" t="s">
        <v>683</v>
      </c>
      <c r="C29">
        <v>4</v>
      </c>
      <c r="E29">
        <v>4</v>
      </c>
      <c r="F29">
        <f t="shared" si="1"/>
        <v>41</v>
      </c>
      <c r="G29" s="454">
        <f t="shared" si="0"/>
        <v>0.78846153846153844</v>
      </c>
    </row>
    <row r="30" spans="1:7" x14ac:dyDescent="0.35">
      <c r="A30" t="s">
        <v>753</v>
      </c>
      <c r="F30">
        <f t="shared" si="1"/>
        <v>41</v>
      </c>
      <c r="G30" s="454">
        <f t="shared" si="0"/>
        <v>0.78846153846153844</v>
      </c>
    </row>
    <row r="31" spans="1:7" x14ac:dyDescent="0.35">
      <c r="A31" t="s">
        <v>680</v>
      </c>
      <c r="C31">
        <v>6</v>
      </c>
      <c r="E31">
        <v>6</v>
      </c>
      <c r="F31">
        <f t="shared" si="1"/>
        <v>47</v>
      </c>
      <c r="G31" s="454">
        <f t="shared" si="0"/>
        <v>0.90384615384615385</v>
      </c>
    </row>
    <row r="32" spans="1:7" x14ac:dyDescent="0.35">
      <c r="A32" t="s">
        <v>679</v>
      </c>
      <c r="B32">
        <v>1</v>
      </c>
      <c r="E32">
        <v>1</v>
      </c>
      <c r="F32">
        <f t="shared" si="1"/>
        <v>48</v>
      </c>
      <c r="G32" s="454">
        <f t="shared" si="0"/>
        <v>0.92307692307692313</v>
      </c>
    </row>
    <row r="33" spans="1:7" x14ac:dyDescent="0.35">
      <c r="A33" t="s">
        <v>754</v>
      </c>
      <c r="F33">
        <f t="shared" si="1"/>
        <v>48</v>
      </c>
      <c r="G33" s="454">
        <f t="shared" si="0"/>
        <v>0.92307692307692313</v>
      </c>
    </row>
    <row r="34" spans="1:7" x14ac:dyDescent="0.35">
      <c r="A34" t="s">
        <v>684</v>
      </c>
      <c r="B34">
        <v>1</v>
      </c>
      <c r="E34">
        <v>1</v>
      </c>
      <c r="F34">
        <f t="shared" si="1"/>
        <v>49</v>
      </c>
      <c r="G34" s="454">
        <f t="shared" si="0"/>
        <v>0.94230769230769229</v>
      </c>
    </row>
    <row r="35" spans="1:7" x14ac:dyDescent="0.35">
      <c r="A35" t="s">
        <v>689</v>
      </c>
      <c r="C35">
        <v>2</v>
      </c>
      <c r="E35">
        <v>2</v>
      </c>
      <c r="F35">
        <f t="shared" si="1"/>
        <v>51</v>
      </c>
      <c r="G35" s="454">
        <f t="shared" si="0"/>
        <v>0.98076923076923073</v>
      </c>
    </row>
    <row r="36" spans="1:7" x14ac:dyDescent="0.35">
      <c r="A36" t="s">
        <v>755</v>
      </c>
      <c r="F36">
        <f t="shared" si="1"/>
        <v>51</v>
      </c>
      <c r="G36" s="454">
        <f t="shared" si="0"/>
        <v>0.98076923076923073</v>
      </c>
    </row>
    <row r="37" spans="1:7" x14ac:dyDescent="0.35">
      <c r="A37" t="s">
        <v>688</v>
      </c>
      <c r="C37">
        <v>1</v>
      </c>
      <c r="E37">
        <v>1</v>
      </c>
      <c r="F37">
        <f t="shared" si="1"/>
        <v>52</v>
      </c>
      <c r="G37" s="454">
        <f t="shared" si="0"/>
        <v>1</v>
      </c>
    </row>
    <row r="38" spans="1:7" x14ac:dyDescent="0.35">
      <c r="A38" t="s">
        <v>504</v>
      </c>
      <c r="B38">
        <f>SUM(B22:B37)</f>
        <v>6</v>
      </c>
      <c r="C38">
        <f>SUM(C22:C37)</f>
        <v>43</v>
      </c>
      <c r="D38">
        <f>SUM(D22:D37)</f>
        <v>3</v>
      </c>
      <c r="E38">
        <f>SUM(E22:E37)</f>
        <v>52</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C9" sqref="C9"/>
    </sheetView>
  </sheetViews>
  <sheetFormatPr defaultColWidth="15" defaultRowHeight="13" x14ac:dyDescent="0.3"/>
  <cols>
    <col min="1" max="1" width="10.1796875" style="135" bestFit="1" customWidth="1"/>
    <col min="2" max="27" width="5.81640625" style="133" bestFit="1" customWidth="1"/>
    <col min="28" max="28" width="5.1796875" style="133" bestFit="1" customWidth="1"/>
    <col min="29" max="54" width="6" style="133" bestFit="1" customWidth="1"/>
    <col min="55" max="16384" width="15" style="133"/>
  </cols>
  <sheetData>
    <row r="1" spans="1:54" ht="13.5" thickBot="1" x14ac:dyDescent="0.35">
      <c r="A1" s="149" t="s">
        <v>756</v>
      </c>
      <c r="B1" s="150" t="s">
        <v>757</v>
      </c>
      <c r="C1" s="151" t="s">
        <v>758</v>
      </c>
      <c r="D1" s="151" t="s">
        <v>759</v>
      </c>
      <c r="E1" s="151" t="s">
        <v>760</v>
      </c>
      <c r="F1" s="151" t="s">
        <v>761</v>
      </c>
      <c r="G1" s="151" t="s">
        <v>762</v>
      </c>
      <c r="H1" s="151" t="s">
        <v>763</v>
      </c>
      <c r="I1" s="151" t="s">
        <v>764</v>
      </c>
      <c r="J1" s="151" t="s">
        <v>765</v>
      </c>
      <c r="K1" s="151" t="s">
        <v>766</v>
      </c>
      <c r="L1" s="151" t="s">
        <v>767</v>
      </c>
      <c r="M1" s="151" t="s">
        <v>768</v>
      </c>
      <c r="N1" s="151" t="s">
        <v>769</v>
      </c>
      <c r="O1" s="151" t="s">
        <v>770</v>
      </c>
      <c r="P1" s="151" t="s">
        <v>771</v>
      </c>
      <c r="Q1" s="151" t="s">
        <v>772</v>
      </c>
      <c r="R1" s="151" t="s">
        <v>773</v>
      </c>
      <c r="S1" s="151" t="s">
        <v>774</v>
      </c>
      <c r="T1" s="151" t="s">
        <v>775</v>
      </c>
      <c r="U1" s="151" t="s">
        <v>776</v>
      </c>
      <c r="V1" s="151" t="s">
        <v>777</v>
      </c>
      <c r="W1" s="151" t="s">
        <v>778</v>
      </c>
      <c r="X1" s="151" t="s">
        <v>779</v>
      </c>
      <c r="Y1" s="151" t="s">
        <v>780</v>
      </c>
      <c r="Z1" s="151" t="s">
        <v>781</v>
      </c>
      <c r="AA1" s="151" t="s">
        <v>782</v>
      </c>
      <c r="AB1" s="151" t="s">
        <v>783</v>
      </c>
      <c r="AC1" s="151" t="s">
        <v>784</v>
      </c>
      <c r="AD1" s="151" t="s">
        <v>785</v>
      </c>
      <c r="AE1" s="151" t="s">
        <v>786</v>
      </c>
      <c r="AF1" s="151" t="s">
        <v>787</v>
      </c>
      <c r="AG1" s="151" t="s">
        <v>788</v>
      </c>
      <c r="AH1" s="151" t="s">
        <v>789</v>
      </c>
      <c r="AI1" s="151" t="s">
        <v>790</v>
      </c>
      <c r="AJ1" s="151" t="s">
        <v>791</v>
      </c>
      <c r="AK1" s="151" t="s">
        <v>792</v>
      </c>
      <c r="AL1" s="151" t="s">
        <v>793</v>
      </c>
      <c r="AM1" s="151" t="s">
        <v>794</v>
      </c>
      <c r="AN1" s="151" t="s">
        <v>795</v>
      </c>
      <c r="AO1" s="151" t="s">
        <v>796</v>
      </c>
      <c r="AP1" s="151" t="s">
        <v>797</v>
      </c>
      <c r="AQ1" s="151" t="s">
        <v>798</v>
      </c>
      <c r="AR1" s="151" t="s">
        <v>799</v>
      </c>
      <c r="AS1" s="151" t="s">
        <v>800</v>
      </c>
      <c r="AT1" s="151" t="s">
        <v>801</v>
      </c>
      <c r="AU1" s="151" t="s">
        <v>802</v>
      </c>
      <c r="AV1" s="151" t="s">
        <v>803</v>
      </c>
      <c r="AW1" s="151" t="s">
        <v>804</v>
      </c>
      <c r="AX1" s="151" t="s">
        <v>805</v>
      </c>
      <c r="AY1" s="151" t="s">
        <v>806</v>
      </c>
      <c r="AZ1" s="151" t="s">
        <v>807</v>
      </c>
      <c r="BA1" s="151" t="s">
        <v>808</v>
      </c>
      <c r="BB1" s="152" t="s">
        <v>809</v>
      </c>
    </row>
    <row r="2" spans="1:54" s="134" customFormat="1" x14ac:dyDescent="0.3">
      <c r="A2" s="146" t="s">
        <v>744</v>
      </c>
      <c r="B2" s="354">
        <v>0.1</v>
      </c>
      <c r="C2" s="355">
        <v>0.15</v>
      </c>
      <c r="D2" s="355">
        <v>0.17</v>
      </c>
      <c r="E2" s="355">
        <v>0.23</v>
      </c>
      <c r="F2" s="355">
        <v>0.28000000000000003</v>
      </c>
      <c r="G2" s="355">
        <v>0.35</v>
      </c>
      <c r="H2" s="355">
        <v>0.4</v>
      </c>
      <c r="I2" s="355">
        <v>0.45</v>
      </c>
      <c r="J2" s="355">
        <v>0.5</v>
      </c>
      <c r="K2" s="355">
        <v>0.57999999999999996</v>
      </c>
      <c r="L2" s="355">
        <v>0.62</v>
      </c>
      <c r="M2" s="355">
        <v>0.68</v>
      </c>
      <c r="N2" s="355">
        <v>0.71000000000000008</v>
      </c>
      <c r="O2" s="355">
        <v>0.7400000000000001</v>
      </c>
      <c r="P2" s="355">
        <v>0.75000000000000011</v>
      </c>
      <c r="Q2" s="355">
        <v>0.76000000000000012</v>
      </c>
      <c r="R2" s="355">
        <v>0.79000000000000015</v>
      </c>
      <c r="S2" s="355">
        <v>0.82000000000000017</v>
      </c>
      <c r="T2" s="355">
        <v>0.8500000000000002</v>
      </c>
      <c r="U2" s="355">
        <v>0.88000000000000023</v>
      </c>
      <c r="V2" s="355">
        <v>0.91000000000000025</v>
      </c>
      <c r="W2" s="355">
        <v>0.94000000000000028</v>
      </c>
      <c r="X2" s="355">
        <v>0.97000000000000031</v>
      </c>
      <c r="Y2" s="355">
        <v>1.0000000000000002</v>
      </c>
      <c r="Z2" s="355"/>
      <c r="AA2" s="355"/>
      <c r="AB2" s="355"/>
      <c r="AC2" s="355"/>
      <c r="AD2" s="355"/>
      <c r="AE2" s="355"/>
      <c r="AF2" s="355"/>
      <c r="AG2" s="355"/>
      <c r="AH2" s="355"/>
      <c r="AI2" s="355"/>
      <c r="AJ2" s="355"/>
      <c r="AK2" s="355"/>
      <c r="AL2" s="355"/>
      <c r="AM2" s="147"/>
      <c r="AN2" s="147"/>
      <c r="AO2" s="147"/>
      <c r="AP2" s="147"/>
      <c r="AQ2" s="147"/>
      <c r="AR2" s="147"/>
      <c r="AS2" s="147"/>
      <c r="AT2" s="147"/>
      <c r="AU2" s="147"/>
      <c r="AV2" s="147"/>
      <c r="AW2" s="147"/>
      <c r="AX2" s="147"/>
      <c r="AY2" s="147"/>
      <c r="AZ2" s="147"/>
      <c r="BA2" s="147"/>
      <c r="BB2" s="148"/>
    </row>
    <row r="3" spans="1:54" s="134" customFormat="1" x14ac:dyDescent="0.3">
      <c r="A3" s="143" t="s">
        <v>747</v>
      </c>
      <c r="B3" s="356"/>
      <c r="C3" s="357"/>
      <c r="D3" s="357"/>
      <c r="E3" s="357"/>
      <c r="F3" s="357"/>
      <c r="G3" s="357"/>
      <c r="H3" s="357"/>
      <c r="I3" s="357"/>
      <c r="J3" s="357"/>
      <c r="K3" s="357"/>
      <c r="L3" s="357">
        <v>0.1</v>
      </c>
      <c r="M3" s="357">
        <v>0.15</v>
      </c>
      <c r="N3" s="357">
        <v>0.2</v>
      </c>
      <c r="O3" s="357">
        <v>0.3</v>
      </c>
      <c r="P3" s="357">
        <v>0.35</v>
      </c>
      <c r="Q3" s="357">
        <v>0.4</v>
      </c>
      <c r="R3" s="357">
        <v>0.4</v>
      </c>
      <c r="S3" s="357">
        <v>0.4</v>
      </c>
      <c r="T3" s="357">
        <v>0.4</v>
      </c>
      <c r="U3" s="357">
        <v>0.4</v>
      </c>
      <c r="V3" s="357">
        <v>0.5</v>
      </c>
      <c r="W3" s="357">
        <v>0.6</v>
      </c>
      <c r="X3" s="357">
        <v>0.65</v>
      </c>
      <c r="Y3" s="357">
        <v>0.7</v>
      </c>
      <c r="Z3" s="357">
        <v>0.8</v>
      </c>
      <c r="AA3" s="357">
        <v>0.9</v>
      </c>
      <c r="AB3" s="357">
        <v>1</v>
      </c>
      <c r="AC3" s="357"/>
      <c r="AD3" s="357"/>
      <c r="AE3" s="357"/>
      <c r="AF3" s="357"/>
      <c r="AG3" s="357"/>
      <c r="AH3" s="357"/>
      <c r="AI3" s="357"/>
      <c r="AJ3" s="357"/>
      <c r="AK3" s="357"/>
      <c r="AL3" s="357"/>
      <c r="AM3" s="132"/>
      <c r="AN3" s="132"/>
      <c r="AO3" s="132"/>
      <c r="AP3" s="132"/>
      <c r="AQ3" s="132"/>
      <c r="AR3" s="132"/>
      <c r="AS3" s="132"/>
      <c r="AT3" s="132"/>
      <c r="AU3" s="132"/>
      <c r="AV3" s="132"/>
      <c r="AW3" s="132"/>
      <c r="AX3" s="132"/>
      <c r="AY3" s="132"/>
      <c r="AZ3" s="132"/>
      <c r="BA3" s="132"/>
      <c r="BB3" s="137"/>
    </row>
    <row r="4" spans="1:54" s="134" customFormat="1" ht="13.5" thickBot="1" x14ac:dyDescent="0.35">
      <c r="A4" s="145" t="s">
        <v>182</v>
      </c>
      <c r="B4" s="358"/>
      <c r="C4" s="359"/>
      <c r="D4" s="359"/>
      <c r="E4" s="359"/>
      <c r="F4" s="359"/>
      <c r="G4" s="359"/>
      <c r="H4" s="359"/>
      <c r="I4" s="359"/>
      <c r="J4" s="359"/>
      <c r="K4" s="359"/>
      <c r="L4" s="359"/>
      <c r="M4" s="359"/>
      <c r="N4" s="359"/>
      <c r="O4" s="359"/>
      <c r="P4" s="359"/>
      <c r="Q4" s="359"/>
      <c r="R4" s="359"/>
      <c r="S4" s="359"/>
      <c r="T4" s="359"/>
      <c r="U4" s="359"/>
      <c r="V4" s="359"/>
      <c r="W4" s="359"/>
      <c r="X4" s="359"/>
      <c r="Y4" s="359"/>
      <c r="Z4" s="359"/>
      <c r="AA4" s="359"/>
      <c r="AB4" s="359">
        <v>0.05</v>
      </c>
      <c r="AC4" s="359">
        <v>0.2</v>
      </c>
      <c r="AD4" s="359">
        <v>0.3</v>
      </c>
      <c r="AE4" s="359">
        <v>0.5</v>
      </c>
      <c r="AF4" s="359">
        <v>0.6</v>
      </c>
      <c r="AG4" s="359">
        <v>0.65</v>
      </c>
      <c r="AH4" s="359">
        <v>0.7</v>
      </c>
      <c r="AI4" s="359">
        <v>0.85</v>
      </c>
      <c r="AJ4" s="359">
        <v>0.9</v>
      </c>
      <c r="AK4" s="359">
        <v>0.95</v>
      </c>
      <c r="AL4" s="359">
        <v>1</v>
      </c>
      <c r="AM4" s="138"/>
      <c r="AN4" s="138"/>
      <c r="AO4" s="138"/>
      <c r="AP4" s="138"/>
      <c r="AQ4" s="138"/>
      <c r="AR4" s="138"/>
      <c r="AS4" s="138"/>
      <c r="AT4" s="138"/>
      <c r="AU4" s="138"/>
      <c r="AV4" s="138"/>
      <c r="AW4" s="138"/>
      <c r="AX4" s="138"/>
      <c r="AY4" s="138"/>
      <c r="AZ4" s="138"/>
      <c r="BA4" s="138"/>
      <c r="BB4" s="139"/>
    </row>
    <row r="5" spans="1:54" x14ac:dyDescent="0.3">
      <c r="A5" s="153" t="s">
        <v>745</v>
      </c>
      <c r="B5" s="339">
        <v>5</v>
      </c>
      <c r="C5" s="340">
        <v>6</v>
      </c>
      <c r="D5" s="340">
        <v>7</v>
      </c>
      <c r="E5" s="340">
        <v>8</v>
      </c>
      <c r="F5" s="340">
        <v>9</v>
      </c>
      <c r="G5" s="340"/>
      <c r="H5" s="340"/>
      <c r="I5" s="340"/>
      <c r="J5" s="340"/>
      <c r="K5" s="340"/>
      <c r="L5" s="340"/>
      <c r="M5" s="340"/>
      <c r="N5" s="340"/>
      <c r="O5" s="340"/>
      <c r="P5" s="340"/>
      <c r="Q5" s="340"/>
      <c r="R5" s="340"/>
      <c r="S5" s="340"/>
      <c r="T5" s="340"/>
      <c r="U5" s="340"/>
      <c r="V5" s="340"/>
      <c r="W5" s="340"/>
      <c r="X5" s="340"/>
      <c r="Y5" s="340"/>
      <c r="Z5" s="340"/>
      <c r="AA5" s="340"/>
      <c r="AB5" s="340"/>
      <c r="AC5" s="340"/>
      <c r="AD5" s="340"/>
      <c r="AE5" s="340"/>
      <c r="AF5" s="341"/>
      <c r="AG5" s="342"/>
      <c r="AH5" s="341"/>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3">
      <c r="A6" s="143" t="s">
        <v>744</v>
      </c>
      <c r="B6" s="356">
        <v>0.08</v>
      </c>
      <c r="C6" s="357">
        <v>0.12</v>
      </c>
      <c r="D6" s="357">
        <v>0.15</v>
      </c>
      <c r="E6" s="357">
        <v>0.18</v>
      </c>
      <c r="F6" s="357">
        <v>0.24</v>
      </c>
      <c r="G6" s="357">
        <v>0.3</v>
      </c>
      <c r="H6" s="357">
        <v>0.35</v>
      </c>
      <c r="I6" s="357">
        <v>0.4</v>
      </c>
      <c r="J6" s="357">
        <v>0.45</v>
      </c>
      <c r="K6" s="357">
        <v>0.5</v>
      </c>
      <c r="L6" s="357">
        <v>0.57999999999999996</v>
      </c>
      <c r="M6" s="357">
        <v>0.59</v>
      </c>
      <c r="N6" s="357">
        <v>0.6</v>
      </c>
      <c r="O6" s="357">
        <v>0.65</v>
      </c>
      <c r="P6" s="357">
        <v>0.68</v>
      </c>
      <c r="Q6" s="357">
        <v>0.7</v>
      </c>
      <c r="R6" s="357">
        <v>0.72</v>
      </c>
      <c r="S6" s="357">
        <v>0.74</v>
      </c>
      <c r="T6" s="357">
        <v>0.76</v>
      </c>
      <c r="U6" s="357">
        <v>0.78</v>
      </c>
      <c r="V6" s="357">
        <v>0.8</v>
      </c>
      <c r="W6" s="357">
        <v>0.85</v>
      </c>
      <c r="X6" s="357">
        <v>0.88</v>
      </c>
      <c r="Y6" s="357">
        <v>0.9</v>
      </c>
      <c r="Z6" s="357"/>
      <c r="AA6" s="357"/>
      <c r="AB6" s="357"/>
      <c r="AC6" s="357"/>
      <c r="AD6" s="357"/>
      <c r="AE6" s="357"/>
      <c r="AF6" s="357"/>
      <c r="AG6" s="357"/>
      <c r="AH6" s="357"/>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3">
      <c r="A7" s="144" t="s">
        <v>746</v>
      </c>
      <c r="B7" s="356"/>
      <c r="C7" s="357"/>
      <c r="D7" s="357"/>
      <c r="E7" s="357"/>
      <c r="F7" s="357"/>
      <c r="G7" s="357"/>
      <c r="H7" s="357"/>
      <c r="I7" s="357"/>
      <c r="J7" s="357"/>
      <c r="K7" s="357"/>
      <c r="L7" s="357"/>
      <c r="M7" s="357">
        <v>7.0000000000000007E-2</v>
      </c>
      <c r="N7" s="357">
        <v>0.12</v>
      </c>
      <c r="O7" s="357">
        <v>0.17</v>
      </c>
      <c r="P7" s="357">
        <v>0.27</v>
      </c>
      <c r="Q7" s="357">
        <v>0.31999999999999995</v>
      </c>
      <c r="R7" s="357">
        <v>0.37</v>
      </c>
      <c r="S7" s="357">
        <v>0.37</v>
      </c>
      <c r="T7" s="357">
        <v>0.37</v>
      </c>
      <c r="U7" s="357">
        <v>0.37</v>
      </c>
      <c r="V7" s="357">
        <v>0.37</v>
      </c>
      <c r="W7" s="357">
        <v>0.47</v>
      </c>
      <c r="X7" s="357">
        <v>0.56999999999999995</v>
      </c>
      <c r="Y7" s="357">
        <v>0.62</v>
      </c>
      <c r="Z7" s="357">
        <v>0.66999999999999993</v>
      </c>
      <c r="AA7" s="357">
        <v>0.77</v>
      </c>
      <c r="AB7" s="357">
        <v>0.87</v>
      </c>
      <c r="AC7" s="357">
        <v>0.97</v>
      </c>
      <c r="AD7" s="357"/>
      <c r="AE7" s="357"/>
      <c r="AF7" s="360"/>
      <c r="AG7" s="357"/>
      <c r="AH7" s="360"/>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35">
      <c r="A8" s="145" t="s">
        <v>182</v>
      </c>
      <c r="B8" s="358"/>
      <c r="C8" s="359"/>
      <c r="D8" s="359"/>
      <c r="E8" s="359"/>
      <c r="F8" s="359"/>
      <c r="G8" s="359"/>
      <c r="H8" s="359"/>
      <c r="I8" s="359"/>
      <c r="J8" s="359"/>
      <c r="K8" s="359"/>
      <c r="L8" s="359"/>
      <c r="M8" s="359"/>
      <c r="N8" s="359"/>
      <c r="O8" s="359"/>
      <c r="P8" s="359"/>
      <c r="Q8" s="359"/>
      <c r="R8" s="359"/>
      <c r="S8" s="359"/>
      <c r="T8" s="359"/>
      <c r="U8" s="359"/>
      <c r="V8" s="359"/>
      <c r="W8" s="359"/>
      <c r="X8" s="359"/>
      <c r="Y8" s="359"/>
      <c r="Z8" s="359"/>
      <c r="AA8" s="359"/>
      <c r="AB8" s="359">
        <v>0.08</v>
      </c>
      <c r="AC8" s="359">
        <v>0.15</v>
      </c>
      <c r="AD8" s="359">
        <v>0.26</v>
      </c>
      <c r="AE8" s="359">
        <v>0.4</v>
      </c>
      <c r="AF8" s="359">
        <v>0.5</v>
      </c>
      <c r="AG8" s="359">
        <v>0.55000000000000004</v>
      </c>
      <c r="AH8" s="359">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3">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4.5" x14ac:dyDescent="0.35"/>
  <cols>
    <col min="1" max="2" width="13.1796875" bestFit="1" customWidth="1"/>
    <col min="4" max="4" width="9.1796875" style="130"/>
  </cols>
  <sheetData>
    <row r="3" spans="1:5" x14ac:dyDescent="0.35">
      <c r="A3" s="129" t="s">
        <v>750</v>
      </c>
      <c r="B3" s="129" t="s">
        <v>810</v>
      </c>
      <c r="C3" s="129"/>
      <c r="D3" s="187"/>
      <c r="E3" s="129"/>
    </row>
    <row r="4" spans="1:5" x14ac:dyDescent="0.35">
      <c r="A4" s="79" t="s">
        <v>44</v>
      </c>
      <c r="B4">
        <v>0</v>
      </c>
    </row>
    <row r="5" spans="1:5" x14ac:dyDescent="0.35">
      <c r="A5" s="79" t="s">
        <v>685</v>
      </c>
      <c r="B5">
        <v>85</v>
      </c>
      <c r="D5" s="130">
        <f>GETPIVOTDATA("#Tests",$A$3,"ETA","wk-1")/GETPIVOTDATA("#Tests",$A$3)</f>
        <v>0.17</v>
      </c>
      <c r="E5" s="131">
        <f>D5</f>
        <v>0.17</v>
      </c>
    </row>
    <row r="6" spans="1:5" x14ac:dyDescent="0.35">
      <c r="A6" s="79" t="s">
        <v>682</v>
      </c>
      <c r="B6">
        <v>48</v>
      </c>
      <c r="D6" s="130">
        <f>GETPIVOTDATA("#Tests",$A$3,"ETA","wk-2")/GETPIVOTDATA("#Tests",$A$3)</f>
        <v>9.6000000000000002E-2</v>
      </c>
      <c r="E6" s="131">
        <f t="shared" ref="E6:E12" si="0">E5+D6</f>
        <v>0.26600000000000001</v>
      </c>
    </row>
    <row r="7" spans="1:5" x14ac:dyDescent="0.35">
      <c r="A7" s="79" t="s">
        <v>328</v>
      </c>
      <c r="B7">
        <v>96</v>
      </c>
      <c r="D7" s="130">
        <f>GETPIVOTDATA("#Tests",$A$3,"ETA","wk-3")/GETPIVOTDATA("#Tests",$A$3)</f>
        <v>0.192</v>
      </c>
      <c r="E7" s="131">
        <f t="shared" si="0"/>
        <v>0.45800000000000002</v>
      </c>
    </row>
    <row r="8" spans="1:5" x14ac:dyDescent="0.35">
      <c r="A8" s="79" t="s">
        <v>349</v>
      </c>
      <c r="B8">
        <v>79</v>
      </c>
      <c r="D8" s="130">
        <f>GETPIVOTDATA("#Tests",$A$3,"ETA","wk-4")/GETPIVOTDATA("#Tests",$A$3)</f>
        <v>0.158</v>
      </c>
      <c r="E8" s="131">
        <f t="shared" si="0"/>
        <v>0.61599999999999999</v>
      </c>
    </row>
    <row r="9" spans="1:5" x14ac:dyDescent="0.35">
      <c r="A9" s="79" t="s">
        <v>687</v>
      </c>
      <c r="B9">
        <v>82</v>
      </c>
      <c r="D9" s="130">
        <f>GETPIVOTDATA("#Tests",$A$3,"ETA","wk-5")/GETPIVOTDATA("#Tests",$A$3)</f>
        <v>0.16400000000000001</v>
      </c>
      <c r="E9" s="131">
        <f t="shared" si="0"/>
        <v>0.78</v>
      </c>
    </row>
    <row r="10" spans="1:5" x14ac:dyDescent="0.35">
      <c r="A10" s="79" t="s">
        <v>686</v>
      </c>
      <c r="B10">
        <v>60</v>
      </c>
      <c r="D10" s="130">
        <f>GETPIVOTDATA("#Tests",$A$3,"ETA","wk-6")/GETPIVOTDATA("#Tests",$A$3)</f>
        <v>0.12</v>
      </c>
      <c r="E10" s="131">
        <f t="shared" si="0"/>
        <v>0.9</v>
      </c>
    </row>
    <row r="11" spans="1:5" x14ac:dyDescent="0.35">
      <c r="A11" s="79" t="s">
        <v>681</v>
      </c>
      <c r="B11">
        <v>30</v>
      </c>
      <c r="D11" s="130">
        <f>GETPIVOTDATA("#Tests",$A$3,"ETA","wk-7")/GETPIVOTDATA("#Tests",$A$3)</f>
        <v>0.06</v>
      </c>
      <c r="E11" s="131">
        <f t="shared" si="0"/>
        <v>0.96</v>
      </c>
    </row>
    <row r="12" spans="1:5" x14ac:dyDescent="0.35">
      <c r="A12" s="79" t="s">
        <v>683</v>
      </c>
      <c r="B12">
        <v>20</v>
      </c>
      <c r="D12" s="130">
        <f>GETPIVOTDATA("#Tests",$A$3,"ETA","wk-8")/GETPIVOTDATA("#Tests",$A$3)</f>
        <v>0.04</v>
      </c>
      <c r="E12" s="131">
        <f t="shared" si="0"/>
        <v>1</v>
      </c>
    </row>
    <row r="13" spans="1:5" x14ac:dyDescent="0.35">
      <c r="A13" s="79" t="s">
        <v>504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http://purl.org/dc/elements/1.1/"/>
    <ds:schemaRef ds:uri="http://www.w3.org/XML/1998/namespace"/>
    <ds:schemaRef ds:uri="http://schemas.microsoft.com/office/2006/documentManagement/types"/>
    <ds:schemaRef ds:uri="http://schemas.microsoft.com/office/2006/metadata/properties"/>
    <ds:schemaRef ds:uri="6d5e1dd9-3d6d-4d57-aaa4-c6398f910d60"/>
    <ds:schemaRef ds:uri="http://purl.org/dc/dcmitype/"/>
    <ds:schemaRef ds:uri="http://purl.org/dc/terms/"/>
    <ds:schemaRef ds:uri="http://schemas.microsoft.com/office/infopath/2007/PartnerControls"/>
    <ds:schemaRef ds:uri="http://schemas.openxmlformats.org/package/2006/metadata/core-properties"/>
    <ds:schemaRef ds:uri="ec5a97c5-2653-49c6-b3a5-07f7dd96f613"/>
  </ds:schemaRefs>
</ds:datastoreItem>
</file>

<file path=customXml/itemProps2.xml><?xml version="1.0" encoding="utf-8"?>
<ds:datastoreItem xmlns:ds="http://schemas.openxmlformats.org/officeDocument/2006/customXml" ds:itemID="{C94D2B0F-DEC4-4A08-A2C4-2FB040951E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Log</vt:lpstr>
      <vt:lpstr>List Options</vt:lpstr>
      <vt:lpstr>Usage</vt:lpstr>
      <vt:lpstr>Revision History</vt:lpstr>
      <vt:lpstr>Diags Raw Data</vt:lpstr>
      <vt:lpstr>Sub-IP Block Summary</vt:lpstr>
      <vt:lpstr>Feature Raw Data</vt:lpstr>
      <vt:lpstr>Feature Summary</vt:lpstr>
      <vt:lpstr>Progress (WIP)</vt:lpstr>
      <vt:lpstr>FeatureSHR</vt:lpstr>
      <vt:lpstr>Progress</vt:lpstr>
      <vt:lpstr>Coverage Plan</vt:lpstr>
      <vt:lpstr>'Feature Raw Data'!_Toc101441265</vt:lpstr>
      <vt:lpstr>'Feature Raw Data'!_Toc101441266</vt:lpstr>
      <vt:lpstr>'Feature Raw Data'!_Toc101441267</vt:lpstr>
      <vt:lpstr>'Feature Raw Data'!_Toc101441269</vt:lpstr>
      <vt:lpstr>'Feature Raw Data'!_Toc101441270</vt:lpstr>
      <vt:lpstr>'Feature Raw Data'!_Toc101441271</vt:lpstr>
      <vt:lpstr>'Feature Raw Data'!_Toc126346259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Qin, Luyi (jane)</cp:lastModifiedBy>
  <cp:revision/>
  <dcterms:created xsi:type="dcterms:W3CDTF">2013-03-11T21:33:52Z</dcterms:created>
  <dcterms:modified xsi:type="dcterms:W3CDTF">2023-09-20T02:52:45Z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2021-11-10T07:36:32Z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350bb8cd-0555-4319-973d-fcf84839ee4f</vt:lpwstr>
  </property>
  <property fmtid="{D5CDD505-2E9C-101B-9397-08002B2CF9AE}" pid="9" name="MSIP_Label_88914ebd-7e6c-4e12-a031-a9906be2db14_ContentBits">
    <vt:lpwstr>1</vt:lpwstr>
  </property>
</Properties>
</file>