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Users\pregier\Documents\qTest\python\flatten\flatten\Archive\"/>
    </mc:Choice>
  </mc:AlternateContent>
  <xr:revisionPtr revIDLastSave="0" documentId="13_ncr:1_{EE9AD901-BBCB-47DE-BF7E-EE71F33FB634}" xr6:coauthVersionLast="47" xr6:coauthVersionMax="47" xr10:uidLastSave="{00000000-0000-0000-0000-000000000000}"/>
  <bookViews>
    <workbookView xWindow="-26910" yWindow="1365" windowWidth="25005" windowHeight="13860" firstSheet="2"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FeatureSHR" sheetId="61" r:id="rId10"/>
    <sheet name="TestSHR" sheetId="60" r:id="rId11"/>
    <sheet name="Progress" sheetId="51" r:id="rId12"/>
    <sheet name="Coverage Plan" sheetId="57" state="hidden" r:id="rId13"/>
  </sheets>
  <definedNames>
    <definedName name="_xlnm._FilterDatabase" localSheetId="4" hidden="1">'Diags Raw Data'!$A$5:$AH$91</definedName>
    <definedName name="_xlnm._FilterDatabase" localSheetId="6" hidden="1">'Feature Raw Data'!$A$2:$G$22</definedName>
    <definedName name="_xlnm._FilterDatabase" localSheetId="7" hidden="1">'Feature Summary'!$A$6:$U$31</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4" r:id="rId14"/>
    <pivotCache cacheId="35" r:id="rId15"/>
    <pivotCache cacheId="36" r:id="rId16"/>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17" i="53" l="1"/>
  <c r="Q14" i="55"/>
  <c r="P14" i="55"/>
  <c r="J14" i="55"/>
  <c r="I14" i="55"/>
  <c r="D14" i="55" a="1"/>
  <c r="D14" i="55" s="1"/>
  <c r="K13" i="52" l="1"/>
  <c r="Q27" i="55"/>
  <c r="P27" i="55"/>
  <c r="S27" i="55" s="1"/>
  <c r="J27" i="55"/>
  <c r="I27" i="55"/>
  <c r="F27" i="55"/>
  <c r="E27" i="55"/>
  <c r="H27" i="55" s="1"/>
  <c r="D27" i="55" a="1"/>
  <c r="D27" i="55" s="1"/>
  <c r="C27" i="55"/>
  <c r="B27" i="55"/>
  <c r="Q26" i="55"/>
  <c r="P26" i="55"/>
  <c r="S26" i="55" s="1"/>
  <c r="J26" i="55"/>
  <c r="R26" i="55" s="1"/>
  <c r="I26" i="55"/>
  <c r="F26" i="55"/>
  <c r="E26" i="55"/>
  <c r="D26" i="55" a="1"/>
  <c r="D26" i="55" s="1"/>
  <c r="C26" i="55"/>
  <c r="B26" i="55"/>
  <c r="Q25" i="55"/>
  <c r="P25" i="55"/>
  <c r="S25" i="55" s="1"/>
  <c r="J25" i="55"/>
  <c r="R25" i="55" s="1"/>
  <c r="I25" i="55"/>
  <c r="F25" i="55"/>
  <c r="E25" i="55"/>
  <c r="D25" i="55" a="1"/>
  <c r="D25" i="55" s="1"/>
  <c r="C25" i="55"/>
  <c r="B25" i="55"/>
  <c r="Q24" i="55"/>
  <c r="P24" i="55"/>
  <c r="S24" i="55" s="1"/>
  <c r="J24" i="55"/>
  <c r="I24" i="55"/>
  <c r="F24" i="55"/>
  <c r="E24" i="55"/>
  <c r="D24" i="55" a="1"/>
  <c r="D24" i="55" s="1"/>
  <c r="C24" i="55"/>
  <c r="B24" i="55"/>
  <c r="Q23" i="55"/>
  <c r="P23" i="55"/>
  <c r="S23" i="55" s="1"/>
  <c r="J23" i="55"/>
  <c r="I23" i="55"/>
  <c r="F23" i="55"/>
  <c r="E23" i="55"/>
  <c r="D23" i="55" a="1"/>
  <c r="D23" i="55" s="1"/>
  <c r="C23" i="55"/>
  <c r="B23" i="55"/>
  <c r="K3" i="52"/>
  <c r="R24" i="55" l="1"/>
  <c r="T24" i="55" s="1"/>
  <c r="T25" i="55"/>
  <c r="T26" i="55"/>
  <c r="R27" i="55"/>
  <c r="T27" i="55" s="1"/>
  <c r="G27" i="55"/>
  <c r="H26" i="55"/>
  <c r="G26" i="55"/>
  <c r="K26" i="55" a="1"/>
  <c r="K26" i="55" s="1"/>
  <c r="L26" i="55" a="1"/>
  <c r="L26" i="55" s="1"/>
  <c r="H25" i="55"/>
  <c r="G25" i="55"/>
  <c r="L25" i="55" a="1"/>
  <c r="L25" i="55" s="1"/>
  <c r="K25" i="55" a="1"/>
  <c r="K25" i="55" s="1"/>
  <c r="R23" i="55"/>
  <c r="T23" i="55" s="1"/>
  <c r="H24" i="55"/>
  <c r="G24" i="55"/>
  <c r="H23" i="55"/>
  <c r="G23" i="55"/>
  <c r="L117" i="53" l="1"/>
  <c r="K24" i="55" s="1" a="1"/>
  <c r="K24" i="55" s="1"/>
  <c r="K117" i="53"/>
  <c r="N117" i="53"/>
  <c r="K14" i="55" a="1"/>
  <c r="K14" i="55" s="1"/>
  <c r="G32" i="59"/>
  <c r="G33" i="59"/>
  <c r="J35" i="61"/>
  <c r="J36" i="61" s="1"/>
  <c r="J42" i="61"/>
  <c r="J43" i="61" s="1"/>
  <c r="J44" i="61" s="1"/>
  <c r="J29" i="61"/>
  <c r="J30" i="61" s="1"/>
  <c r="J31" i="61" s="1"/>
  <c r="J32" i="61" s="1"/>
  <c r="H39" i="61"/>
  <c r="H40" i="61"/>
  <c r="H29" i="61"/>
  <c r="H30" i="61"/>
  <c r="E41" i="61"/>
  <c r="E38" i="61"/>
  <c r="E36" i="61"/>
  <c r="E32" i="61"/>
  <c r="F29" i="61"/>
  <c r="G29" i="61"/>
  <c r="B12" i="55"/>
  <c r="C30" i="60"/>
  <c r="C31" i="60" s="1"/>
  <c r="F7" i="55"/>
  <c r="B7" i="55"/>
  <c r="T117" i="53"/>
  <c r="S33" i="59"/>
  <c r="R33" i="59"/>
  <c r="Q33" i="59"/>
  <c r="P33" i="59"/>
  <c r="K33" i="59"/>
  <c r="J33" i="59"/>
  <c r="I33" i="59"/>
  <c r="H33" i="59"/>
  <c r="E33" i="59"/>
  <c r="D33" i="59"/>
  <c r="C33" i="59"/>
  <c r="B33" i="59"/>
  <c r="S32" i="59"/>
  <c r="R32" i="59"/>
  <c r="Q32" i="59"/>
  <c r="P32" i="59"/>
  <c r="K32" i="59"/>
  <c r="J32" i="59"/>
  <c r="I32" i="59"/>
  <c r="H32" i="59"/>
  <c r="E32" i="59"/>
  <c r="D32" i="59"/>
  <c r="C32" i="59"/>
  <c r="B32" i="59"/>
  <c r="S21" i="59"/>
  <c r="R21" i="59"/>
  <c r="Q21" i="59"/>
  <c r="P21" i="59"/>
  <c r="O21" i="59"/>
  <c r="U21" i="59" s="1"/>
  <c r="K21" i="59"/>
  <c r="J21" i="59"/>
  <c r="I21" i="59"/>
  <c r="H21" i="59"/>
  <c r="G21" i="59"/>
  <c r="M21" i="59" s="1"/>
  <c r="E21" i="59"/>
  <c r="D21" i="59"/>
  <c r="C21" i="59"/>
  <c r="B21" i="59"/>
  <c r="S20" i="59"/>
  <c r="R20" i="59"/>
  <c r="Q20" i="59"/>
  <c r="P20" i="59"/>
  <c r="O20" i="59"/>
  <c r="U20" i="59" s="1"/>
  <c r="K20" i="59"/>
  <c r="J20" i="59"/>
  <c r="I20" i="59"/>
  <c r="H20" i="59"/>
  <c r="G20" i="59"/>
  <c r="M20" i="59" s="1"/>
  <c r="E20" i="59"/>
  <c r="D20" i="59"/>
  <c r="C20" i="59"/>
  <c r="B20" i="59"/>
  <c r="S9" i="59"/>
  <c r="R9" i="59"/>
  <c r="Q9" i="59"/>
  <c r="P9" i="59"/>
  <c r="K9" i="59"/>
  <c r="J9" i="59"/>
  <c r="I9" i="59"/>
  <c r="H9" i="59"/>
  <c r="E9" i="59"/>
  <c r="D9" i="59"/>
  <c r="C9" i="59"/>
  <c r="B9" i="59"/>
  <c r="V9" i="59" s="1"/>
  <c r="S8" i="59"/>
  <c r="R8" i="59"/>
  <c r="Q8" i="59"/>
  <c r="P8" i="59"/>
  <c r="K8" i="59"/>
  <c r="J8" i="59"/>
  <c r="I8" i="59"/>
  <c r="H8" i="59"/>
  <c r="E8" i="59"/>
  <c r="D8" i="59"/>
  <c r="C8" i="59"/>
  <c r="B8" i="59"/>
  <c r="Q22" i="55"/>
  <c r="P22" i="55"/>
  <c r="J22" i="55"/>
  <c r="I22" i="55"/>
  <c r="F22" i="55"/>
  <c r="E22" i="55"/>
  <c r="D22" i="55" a="1"/>
  <c r="D22" i="55" s="1"/>
  <c r="G22" i="55" s="1"/>
  <c r="C22" i="55"/>
  <c r="B22" i="55"/>
  <c r="Q21" i="55"/>
  <c r="P21" i="55"/>
  <c r="S21" i="55" s="1"/>
  <c r="J21" i="55"/>
  <c r="I21" i="55"/>
  <c r="F21" i="55"/>
  <c r="E21" i="55"/>
  <c r="D21" i="55" a="1"/>
  <c r="D21" i="55" s="1"/>
  <c r="C21" i="55"/>
  <c r="B21" i="55"/>
  <c r="Q20" i="55"/>
  <c r="P20" i="55"/>
  <c r="S20" i="55" s="1"/>
  <c r="J20" i="55"/>
  <c r="I20" i="55"/>
  <c r="F20" i="55"/>
  <c r="E20" i="55"/>
  <c r="D20" i="55" a="1"/>
  <c r="D20" i="55" s="1"/>
  <c r="C20" i="55"/>
  <c r="B20" i="55"/>
  <c r="Q19" i="55"/>
  <c r="P19" i="55"/>
  <c r="S19" i="55" s="1"/>
  <c r="J19" i="55"/>
  <c r="I19" i="55"/>
  <c r="F19" i="55"/>
  <c r="E19" i="55"/>
  <c r="D19" i="55" a="1"/>
  <c r="D19" i="55" s="1"/>
  <c r="H19" i="55" s="1"/>
  <c r="C19" i="55"/>
  <c r="B19" i="55"/>
  <c r="Q18" i="55"/>
  <c r="P18" i="55"/>
  <c r="J18" i="55"/>
  <c r="R18" i="55" s="1"/>
  <c r="I18" i="55"/>
  <c r="F18" i="55"/>
  <c r="E18" i="55"/>
  <c r="D18" i="55" a="1"/>
  <c r="D18" i="55" s="1"/>
  <c r="C18" i="55"/>
  <c r="B18" i="55"/>
  <c r="Q17" i="55"/>
  <c r="P17" i="55"/>
  <c r="J17" i="55"/>
  <c r="I17" i="55"/>
  <c r="F17" i="55"/>
  <c r="E17" i="55"/>
  <c r="D17" i="55" a="1"/>
  <c r="D17" i="55" s="1"/>
  <c r="C17" i="55"/>
  <c r="B17" i="55"/>
  <c r="Q16" i="55"/>
  <c r="J16" i="55"/>
  <c r="I16" i="55"/>
  <c r="F16" i="55"/>
  <c r="E16" i="55"/>
  <c r="D16" i="55" a="1"/>
  <c r="D16" i="55" s="1"/>
  <c r="C16" i="55"/>
  <c r="B16" i="55"/>
  <c r="Q15" i="55"/>
  <c r="P15" i="55"/>
  <c r="J15" i="55"/>
  <c r="I15" i="55"/>
  <c r="F15" i="55"/>
  <c r="E15" i="55"/>
  <c r="D15" i="55" a="1"/>
  <c r="D15" i="55" s="1"/>
  <c r="G15" i="55" s="1"/>
  <c r="C15" i="55"/>
  <c r="B15" i="55"/>
  <c r="S14" i="55"/>
  <c r="R14" i="55"/>
  <c r="F14" i="55"/>
  <c r="E14" i="55"/>
  <c r="C14" i="55"/>
  <c r="B14" i="55"/>
  <c r="S30" i="59"/>
  <c r="R30" i="59"/>
  <c r="Q30" i="59"/>
  <c r="P30" i="59"/>
  <c r="K30" i="59"/>
  <c r="J30" i="59"/>
  <c r="I30" i="59"/>
  <c r="H30" i="59"/>
  <c r="E30" i="59"/>
  <c r="D30" i="59"/>
  <c r="C30" i="59"/>
  <c r="B30" i="59"/>
  <c r="B19" i="59"/>
  <c r="F19" i="59" s="1"/>
  <c r="C19" i="59"/>
  <c r="N19" i="59" s="1"/>
  <c r="D19" i="59"/>
  <c r="E19" i="59"/>
  <c r="G19" i="59"/>
  <c r="M19" i="59" s="1"/>
  <c r="H19" i="59"/>
  <c r="I19" i="59"/>
  <c r="J19" i="59"/>
  <c r="K19" i="59"/>
  <c r="O19" i="59"/>
  <c r="U19" i="59" s="1"/>
  <c r="P19" i="59"/>
  <c r="Q19" i="59"/>
  <c r="R19" i="59"/>
  <c r="S19" i="59"/>
  <c r="S7" i="59"/>
  <c r="R7" i="59"/>
  <c r="Q7" i="59"/>
  <c r="P7" i="59"/>
  <c r="K7" i="59"/>
  <c r="J7" i="59"/>
  <c r="I7" i="59"/>
  <c r="H7" i="59"/>
  <c r="E7" i="59"/>
  <c r="D7" i="59"/>
  <c r="C7" i="59"/>
  <c r="B7" i="59"/>
  <c r="O9" i="59"/>
  <c r="O33" i="59"/>
  <c r="U33" i="59" s="1"/>
  <c r="O7" i="59"/>
  <c r="U7" i="59" s="1"/>
  <c r="G7" i="59"/>
  <c r="B4" i="59"/>
  <c r="T2" i="53"/>
  <c r="R117" i="53"/>
  <c r="M14" i="55" s="1" a="1"/>
  <c r="M14" i="55" s="1"/>
  <c r="K2" i="53"/>
  <c r="C12" i="59"/>
  <c r="L12" i="59" s="1"/>
  <c r="C17" i="59"/>
  <c r="I7" i="55"/>
  <c r="D36" i="59"/>
  <c r="D31" i="59"/>
  <c r="D34" i="59"/>
  <c r="D35" i="59"/>
  <c r="D29" i="59"/>
  <c r="D24" i="59"/>
  <c r="D18" i="59"/>
  <c r="D22" i="59"/>
  <c r="D23" i="59"/>
  <c r="D17" i="59"/>
  <c r="D12" i="59"/>
  <c r="D6" i="59"/>
  <c r="D10" i="59"/>
  <c r="D11" i="59"/>
  <c r="D5" i="59"/>
  <c r="D4" i="59"/>
  <c r="I8" i="55"/>
  <c r="AD2" i="53"/>
  <c r="AC2" i="53"/>
  <c r="AB2" i="53"/>
  <c r="AA2" i="53"/>
  <c r="W2" i="53"/>
  <c r="V2" i="53"/>
  <c r="U2" i="53"/>
  <c r="R2" i="53"/>
  <c r="O2" i="53"/>
  <c r="L2" i="53"/>
  <c r="S12" i="59"/>
  <c r="R12" i="59"/>
  <c r="Q12" i="59"/>
  <c r="P12" i="59"/>
  <c r="K12" i="59"/>
  <c r="J12" i="59"/>
  <c r="I12" i="59"/>
  <c r="H12" i="59"/>
  <c r="E12" i="59"/>
  <c r="B12" i="59"/>
  <c r="T12" i="59" s="1"/>
  <c r="S11" i="59"/>
  <c r="R11" i="59"/>
  <c r="Q11" i="59"/>
  <c r="P11" i="59"/>
  <c r="K11" i="59"/>
  <c r="J11" i="59"/>
  <c r="I11" i="59"/>
  <c r="H11" i="59"/>
  <c r="E11" i="59"/>
  <c r="C11" i="59"/>
  <c r="B11" i="59"/>
  <c r="V11" i="59" s="1"/>
  <c r="S10" i="59"/>
  <c r="R10" i="59"/>
  <c r="Q10" i="59"/>
  <c r="P10" i="59"/>
  <c r="K10" i="59"/>
  <c r="J10" i="59"/>
  <c r="I10" i="59"/>
  <c r="H10" i="59"/>
  <c r="E10" i="59"/>
  <c r="C10" i="59"/>
  <c r="B10" i="59"/>
  <c r="S6" i="59"/>
  <c r="R6" i="59"/>
  <c r="Q6" i="59"/>
  <c r="P6" i="59"/>
  <c r="K6" i="59"/>
  <c r="J6" i="59"/>
  <c r="I6" i="59"/>
  <c r="H6" i="59"/>
  <c r="E6" i="59"/>
  <c r="C6" i="59"/>
  <c r="B6" i="59"/>
  <c r="S5" i="59"/>
  <c r="R5" i="59"/>
  <c r="Q5" i="59"/>
  <c r="P5" i="59"/>
  <c r="K5" i="59"/>
  <c r="J5" i="59"/>
  <c r="I5" i="59"/>
  <c r="H5" i="59"/>
  <c r="E5" i="59"/>
  <c r="C5" i="59"/>
  <c r="N5" i="59" s="1"/>
  <c r="B5" i="59"/>
  <c r="V5" i="59" s="1"/>
  <c r="S4" i="59"/>
  <c r="R4" i="59"/>
  <c r="Q4" i="59"/>
  <c r="P4" i="59"/>
  <c r="K4" i="59"/>
  <c r="J4" i="59"/>
  <c r="I4" i="59"/>
  <c r="H4" i="59"/>
  <c r="E4" i="59"/>
  <c r="C4" i="59"/>
  <c r="D9" i="55" a="1"/>
  <c r="D9" i="55" s="1"/>
  <c r="D10" i="55" a="1"/>
  <c r="D10" i="55" s="1"/>
  <c r="D11" i="55" a="1"/>
  <c r="D11" i="55" s="1"/>
  <c r="D12" i="55" a="1"/>
  <c r="D12" i="55" s="1"/>
  <c r="H12" i="55" s="1"/>
  <c r="D13" i="55" a="1"/>
  <c r="D13" i="55" s="1"/>
  <c r="H13" i="55" s="1"/>
  <c r="I9" i="55"/>
  <c r="I10" i="55"/>
  <c r="I11" i="55"/>
  <c r="I12" i="55"/>
  <c r="I13" i="55"/>
  <c r="I31" i="59"/>
  <c r="P31" i="59"/>
  <c r="Q9" i="55"/>
  <c r="Q10" i="55"/>
  <c r="Q11" i="55"/>
  <c r="Q12" i="55"/>
  <c r="Q13" i="55"/>
  <c r="Q8" i="55"/>
  <c r="Q7" i="55"/>
  <c r="J9" i="55"/>
  <c r="J10" i="55"/>
  <c r="J11" i="55"/>
  <c r="J12" i="55"/>
  <c r="J13" i="55"/>
  <c r="J8" i="55"/>
  <c r="J7" i="55"/>
  <c r="E9" i="55"/>
  <c r="E10" i="55"/>
  <c r="E11" i="55"/>
  <c r="E12" i="55"/>
  <c r="E13" i="55"/>
  <c r="E8" i="55"/>
  <c r="E7" i="55"/>
  <c r="D8" i="55" a="1"/>
  <c r="D8" i="55" s="1"/>
  <c r="D7" i="55" a="1"/>
  <c r="D7" i="55" s="1"/>
  <c r="G7" i="55" s="1"/>
  <c r="B13" i="55"/>
  <c r="B9" i="55"/>
  <c r="B10" i="55"/>
  <c r="B11" i="55"/>
  <c r="B8" i="55"/>
  <c r="I30" i="55"/>
  <c r="C7" i="55"/>
  <c r="F13" i="55"/>
  <c r="F8" i="55"/>
  <c r="F9" i="55"/>
  <c r="F10" i="55"/>
  <c r="F11" i="55"/>
  <c r="F12" i="55"/>
  <c r="C9" i="55"/>
  <c r="C10" i="55"/>
  <c r="C11" i="55"/>
  <c r="C12" i="55"/>
  <c r="C13" i="55"/>
  <c r="C8" i="55"/>
  <c r="K12" i="52"/>
  <c r="K11" i="52"/>
  <c r="K10" i="52"/>
  <c r="K9" i="52"/>
  <c r="K8" i="52"/>
  <c r="K7" i="52"/>
  <c r="K6" i="52"/>
  <c r="K5" i="52"/>
  <c r="K4" i="52"/>
  <c r="C36" i="59"/>
  <c r="K36" i="59"/>
  <c r="J36" i="59"/>
  <c r="K35" i="59"/>
  <c r="J35" i="59"/>
  <c r="K34" i="59"/>
  <c r="J34" i="59"/>
  <c r="K31" i="59"/>
  <c r="J31" i="59"/>
  <c r="K29" i="59"/>
  <c r="J29" i="59"/>
  <c r="K24" i="59"/>
  <c r="J24" i="59"/>
  <c r="K23" i="59"/>
  <c r="J23" i="59"/>
  <c r="K22" i="59"/>
  <c r="J22" i="59"/>
  <c r="K18" i="59"/>
  <c r="J18" i="59"/>
  <c r="K17" i="59"/>
  <c r="J17" i="59"/>
  <c r="S17" i="59"/>
  <c r="S36" i="59"/>
  <c r="R36" i="59"/>
  <c r="S35" i="59"/>
  <c r="R35" i="59"/>
  <c r="S34" i="59"/>
  <c r="R34" i="59"/>
  <c r="S31" i="59"/>
  <c r="R31" i="59"/>
  <c r="S29" i="59"/>
  <c r="R29" i="59"/>
  <c r="S24" i="59"/>
  <c r="R24" i="59"/>
  <c r="S23" i="59"/>
  <c r="R23" i="59"/>
  <c r="S22" i="59"/>
  <c r="R22" i="59"/>
  <c r="S18" i="59"/>
  <c r="R18" i="59"/>
  <c r="R17" i="59"/>
  <c r="AD117" i="53"/>
  <c r="AC117" i="53"/>
  <c r="AB117" i="53"/>
  <c r="AA117" i="53"/>
  <c r="W117" i="53"/>
  <c r="V117" i="53"/>
  <c r="U117" i="53"/>
  <c r="J30" i="55"/>
  <c r="P24" i="59"/>
  <c r="H29" i="59"/>
  <c r="C31" i="59"/>
  <c r="C34" i="59"/>
  <c r="C35" i="59"/>
  <c r="C29" i="59"/>
  <c r="C18" i="59"/>
  <c r="C22" i="59"/>
  <c r="C23" i="59"/>
  <c r="C24" i="59"/>
  <c r="B29" i="59"/>
  <c r="B17" i="59"/>
  <c r="Q18" i="59"/>
  <c r="Q22" i="59"/>
  <c r="Q23" i="59"/>
  <c r="Q24" i="59"/>
  <c r="Q17" i="59"/>
  <c r="P18" i="59"/>
  <c r="P22" i="59"/>
  <c r="P23" i="59"/>
  <c r="P17" i="59"/>
  <c r="I18" i="59"/>
  <c r="I22" i="59"/>
  <c r="I23" i="59"/>
  <c r="I24" i="59"/>
  <c r="I17" i="59"/>
  <c r="H18" i="59"/>
  <c r="H22" i="59"/>
  <c r="H23" i="59"/>
  <c r="H24" i="59"/>
  <c r="H17" i="59"/>
  <c r="E18" i="59"/>
  <c r="E22" i="59"/>
  <c r="E23" i="59"/>
  <c r="E24" i="59"/>
  <c r="E17" i="59"/>
  <c r="B18" i="59"/>
  <c r="B22" i="59"/>
  <c r="B23" i="59"/>
  <c r="B24" i="59"/>
  <c r="E31" i="59"/>
  <c r="E34" i="59"/>
  <c r="E35" i="59"/>
  <c r="E36" i="59"/>
  <c r="Q31" i="59"/>
  <c r="Q34" i="59"/>
  <c r="Q35" i="59"/>
  <c r="Q36" i="59"/>
  <c r="Q29" i="59"/>
  <c r="P34" i="59"/>
  <c r="P35" i="59"/>
  <c r="P36" i="59"/>
  <c r="P29" i="59"/>
  <c r="I34" i="59"/>
  <c r="I35" i="59"/>
  <c r="I36" i="59"/>
  <c r="I29" i="59"/>
  <c r="H31" i="59"/>
  <c r="H34" i="59"/>
  <c r="H35" i="59"/>
  <c r="H36" i="59"/>
  <c r="E29" i="59"/>
  <c r="B31" i="59"/>
  <c r="B34" i="59"/>
  <c r="B35" i="59"/>
  <c r="B36" i="59"/>
  <c r="G11" i="59"/>
  <c r="M11" i="59" s="1"/>
  <c r="G5" i="59"/>
  <c r="M5" i="59" s="1"/>
  <c r="G36" i="59"/>
  <c r="M36" i="59" s="1"/>
  <c r="G12" i="59"/>
  <c r="M12" i="59" s="1"/>
  <c r="G31" i="59"/>
  <c r="G18" i="59"/>
  <c r="M18" i="59" s="1"/>
  <c r="G22" i="59"/>
  <c r="M22" i="59" s="1"/>
  <c r="G23" i="59"/>
  <c r="M23" i="59" s="1"/>
  <c r="G24" i="59"/>
  <c r="M24" i="59" s="1"/>
  <c r="G35" i="59"/>
  <c r="P12" i="55"/>
  <c r="C7" i="26"/>
  <c r="D7"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H12" i="26" s="1"/>
  <c r="AG14" i="26"/>
  <c r="H14" i="26"/>
  <c r="I12" i="26"/>
  <c r="W14" i="26"/>
  <c r="E12" i="26"/>
  <c r="Z12" i="26"/>
  <c r="O30" i="59"/>
  <c r="U30" i="59" s="1"/>
  <c r="P10" i="55"/>
  <c r="O5" i="59"/>
  <c r="O10" i="59"/>
  <c r="O12" i="59"/>
  <c r="U12" i="59" s="1"/>
  <c r="O6" i="59"/>
  <c r="U6" i="59" s="1"/>
  <c r="O11" i="59"/>
  <c r="U11" i="59" s="1"/>
  <c r="P7" i="55"/>
  <c r="O31" i="59"/>
  <c r="P9" i="55"/>
  <c r="P11" i="55"/>
  <c r="P13" i="55"/>
  <c r="P8" i="55"/>
  <c r="O36" i="59"/>
  <c r="U36" i="59" s="1"/>
  <c r="O22" i="59"/>
  <c r="U22" i="59" s="1"/>
  <c r="O18" i="59"/>
  <c r="U18" i="59" s="1"/>
  <c r="O24" i="59"/>
  <c r="U24" i="59" s="1"/>
  <c r="O23" i="59"/>
  <c r="U23" i="59" s="1"/>
  <c r="O17" i="59"/>
  <c r="U17" i="59" s="1"/>
  <c r="O35" i="59"/>
  <c r="O34" i="59"/>
  <c r="U34" i="59" s="1"/>
  <c r="L12" i="26"/>
  <c r="T12" i="26"/>
  <c r="U12" i="26"/>
  <c r="O32" i="59"/>
  <c r="O8" i="59"/>
  <c r="H14" i="55"/>
  <c r="Z117" i="53"/>
  <c r="AE117" i="53" s="1"/>
  <c r="Z2" i="53"/>
  <c r="O29" i="59"/>
  <c r="O4" i="59"/>
  <c r="U4" i="59" s="1"/>
  <c r="Q14" i="26"/>
  <c r="Q12" i="26"/>
  <c r="K12" i="26"/>
  <c r="S14" i="26"/>
  <c r="J14" i="26"/>
  <c r="Z14" i="26"/>
  <c r="D12" i="26"/>
  <c r="P16" i="55"/>
  <c r="I2" i="55"/>
  <c r="N2" i="53"/>
  <c r="T21" i="59"/>
  <c r="M15" i="55" a="1"/>
  <c r="M15" i="55" s="1"/>
  <c r="M21" i="55" a="1"/>
  <c r="M21" i="55" s="1"/>
  <c r="M17" i="55" a="1"/>
  <c r="M17" i="55" s="1"/>
  <c r="M7" i="55" a="1"/>
  <c r="M7" i="55" s="1"/>
  <c r="G17" i="59"/>
  <c r="M17" i="59" s="1"/>
  <c r="M2" i="55"/>
  <c r="M19" i="55" a="1"/>
  <c r="M19" i="55" s="1"/>
  <c r="M16" i="55" a="1"/>
  <c r="M16" i="55" s="1"/>
  <c r="M9" i="55" a="1"/>
  <c r="M9" i="55" s="1"/>
  <c r="M30" i="55"/>
  <c r="M13" i="55" a="1"/>
  <c r="M13" i="55" s="1"/>
  <c r="J2" i="55"/>
  <c r="G8" i="59"/>
  <c r="M8" i="59" s="1"/>
  <c r="E7" i="26"/>
  <c r="D6" i="26"/>
  <c r="L14" i="26"/>
  <c r="S12" i="26"/>
  <c r="B6" i="26"/>
  <c r="AC14" i="26"/>
  <c r="K14" i="26"/>
  <c r="G14" i="26"/>
  <c r="G2" i="26"/>
  <c r="N8" i="55" a="1"/>
  <c r="N8" i="55" s="1"/>
  <c r="AK14" i="26"/>
  <c r="AL14" i="26"/>
  <c r="Y12" i="26"/>
  <c r="AB14" i="26"/>
  <c r="O12" i="26"/>
  <c r="AH14" i="26"/>
  <c r="W12" i="26"/>
  <c r="AC12" i="26"/>
  <c r="N12" i="26"/>
  <c r="AE12" i="26"/>
  <c r="R12" i="26"/>
  <c r="AI12" i="26"/>
  <c r="P14" i="26"/>
  <c r="J12" i="26"/>
  <c r="P12" i="26"/>
  <c r="O14" i="26"/>
  <c r="AA14" i="26"/>
  <c r="I14" i="26"/>
  <c r="AK12" i="26"/>
  <c r="C6" i="26"/>
  <c r="X12" i="26"/>
  <c r="AA12" i="26"/>
  <c r="T14" i="26"/>
  <c r="V14" i="26"/>
  <c r="G12" i="26"/>
  <c r="C12" i="26"/>
  <c r="C32" i="60"/>
  <c r="D32" i="60" s="1"/>
  <c r="D31" i="60"/>
  <c r="J37" i="61"/>
  <c r="AJ14" i="26"/>
  <c r="AF12" i="26"/>
  <c r="H31" i="61"/>
  <c r="H41" i="61"/>
  <c r="D30" i="60"/>
  <c r="F30" i="61"/>
  <c r="J45" i="61"/>
  <c r="J46" i="61" s="1"/>
  <c r="J38" i="61"/>
  <c r="E6" i="26"/>
  <c r="F7" i="26"/>
  <c r="H32" i="61"/>
  <c r="C33" i="60"/>
  <c r="G30" i="61"/>
  <c r="F31" i="61"/>
  <c r="F32" i="61" s="1"/>
  <c r="K2" i="55"/>
  <c r="K30" i="55"/>
  <c r="F6" i="26"/>
  <c r="G7" i="26"/>
  <c r="H7" i="26" s="1"/>
  <c r="D33" i="60"/>
  <c r="C34" i="60"/>
  <c r="D34" i="60" s="1"/>
  <c r="J39" i="61"/>
  <c r="H33" i="61"/>
  <c r="H34" i="61" s="1"/>
  <c r="G31" i="61"/>
  <c r="G6" i="26"/>
  <c r="D10" i="57"/>
  <c r="D5" i="57"/>
  <c r="D6" i="57"/>
  <c r="D7" i="57"/>
  <c r="D9" i="57"/>
  <c r="D8" i="57"/>
  <c r="D12" i="57"/>
  <c r="D11" i="57"/>
  <c r="V20" i="59" l="1"/>
  <c r="N33" i="59"/>
  <c r="F32" i="59"/>
  <c r="N8" i="59"/>
  <c r="V21" i="59"/>
  <c r="V23" i="59"/>
  <c r="N14" i="55" a="1"/>
  <c r="N14" i="55" s="1"/>
  <c r="O14" i="55" s="1"/>
  <c r="N27" i="55" a="1"/>
  <c r="N27" i="55" s="1"/>
  <c r="N24" i="55" a="1"/>
  <c r="N24" i="55" s="1"/>
  <c r="N25" i="55" a="1"/>
  <c r="N25" i="55" s="1"/>
  <c r="N23" i="55" a="1"/>
  <c r="N23" i="55" s="1"/>
  <c r="N26" i="55" a="1"/>
  <c r="N26" i="55" s="1"/>
  <c r="T14" i="55"/>
  <c r="F4" i="59"/>
  <c r="F24" i="59"/>
  <c r="F18" i="59"/>
  <c r="L18" i="59"/>
  <c r="F21" i="59"/>
  <c r="L21" i="59"/>
  <c r="L23" i="59"/>
  <c r="N21" i="59"/>
  <c r="T36" i="59"/>
  <c r="N35" i="59"/>
  <c r="N20" i="59"/>
  <c r="F8" i="59"/>
  <c r="F6" i="59"/>
  <c r="T8" i="59"/>
  <c r="T20" i="59"/>
  <c r="F20" i="59"/>
  <c r="L32" i="59"/>
  <c r="M27" i="55" a="1"/>
  <c r="M27" i="55" s="1"/>
  <c r="M23" i="55" a="1"/>
  <c r="M23" i="55" s="1"/>
  <c r="M25" i="55" a="1"/>
  <c r="M25" i="55" s="1"/>
  <c r="O25" i="55" s="1"/>
  <c r="M26" i="55" a="1"/>
  <c r="M26" i="55" s="1"/>
  <c r="O26" i="55" s="1"/>
  <c r="M24" i="55" a="1"/>
  <c r="M24" i="55" s="1"/>
  <c r="T32" i="59"/>
  <c r="K23" i="55" a="1"/>
  <c r="K23" i="55" s="1"/>
  <c r="K27" i="55" a="1"/>
  <c r="K27" i="55" s="1"/>
  <c r="N10" i="59"/>
  <c r="R21" i="55"/>
  <c r="T21" i="55" s="1"/>
  <c r="R19" i="55"/>
  <c r="T19" i="55" s="1"/>
  <c r="R8" i="55"/>
  <c r="R12" i="55"/>
  <c r="L20" i="59"/>
  <c r="M7" i="59"/>
  <c r="F29" i="59"/>
  <c r="B13" i="59"/>
  <c r="M8" i="55" a="1"/>
  <c r="M8" i="55" s="1"/>
  <c r="O8" i="55" s="1"/>
  <c r="M10" i="55" a="1"/>
  <c r="M10" i="55" s="1"/>
  <c r="H25" i="59"/>
  <c r="K13" i="59"/>
  <c r="V4" i="59"/>
  <c r="N6" i="59"/>
  <c r="L7" i="59"/>
  <c r="R13" i="59"/>
  <c r="M20" i="55" a="1"/>
  <c r="M20" i="55" s="1"/>
  <c r="L5" i="59"/>
  <c r="Q2" i="55"/>
  <c r="H13" i="59"/>
  <c r="L19" i="59"/>
  <c r="F30" i="59"/>
  <c r="M11" i="55" a="1"/>
  <c r="M11" i="55" s="1"/>
  <c r="T10" i="59"/>
  <c r="T19" i="59"/>
  <c r="V19" i="59"/>
  <c r="M12" i="55" a="1"/>
  <c r="M12" i="55" s="1"/>
  <c r="F31" i="59"/>
  <c r="M22" i="55" a="1"/>
  <c r="M22" i="55" s="1"/>
  <c r="P2" i="55"/>
  <c r="L35" i="59"/>
  <c r="T4" i="59"/>
  <c r="T24" i="59"/>
  <c r="V34" i="59"/>
  <c r="S37" i="59"/>
  <c r="F11" i="59"/>
  <c r="L22" i="59"/>
  <c r="V29" i="59"/>
  <c r="N4" i="59"/>
  <c r="T6" i="59"/>
  <c r="M33" i="59"/>
  <c r="L33" i="59"/>
  <c r="N17" i="55" a="1"/>
  <c r="N17" i="55" s="1"/>
  <c r="O17" i="55" s="1"/>
  <c r="N7" i="55" a="1"/>
  <c r="N7" i="55" s="1"/>
  <c r="O7" i="55" s="1"/>
  <c r="N18" i="55" a="1"/>
  <c r="N18" i="55" s="1"/>
  <c r="N11" i="59"/>
  <c r="G4" i="59"/>
  <c r="L4" i="59" s="1"/>
  <c r="N22" i="55" a="1"/>
  <c r="N22" i="55" s="1"/>
  <c r="L8" i="59"/>
  <c r="N30" i="55"/>
  <c r="O2" i="55" s="1"/>
  <c r="G10" i="59"/>
  <c r="M10" i="59" s="1"/>
  <c r="S117" i="53"/>
  <c r="T29" i="59"/>
  <c r="N31" i="59"/>
  <c r="G34" i="59"/>
  <c r="M34" i="59" s="1"/>
  <c r="N12" i="55" a="1"/>
  <c r="N12" i="55" s="1"/>
  <c r="G9" i="59"/>
  <c r="M9" i="59" s="1"/>
  <c r="N20" i="55" a="1"/>
  <c r="N20" i="55" s="1"/>
  <c r="N10" i="55" a="1"/>
  <c r="N10" i="55" s="1"/>
  <c r="N17" i="59"/>
  <c r="N11" i="55" a="1"/>
  <c r="N11" i="55" s="1"/>
  <c r="G29" i="59"/>
  <c r="N13" i="55" a="1"/>
  <c r="N13" i="55" s="1"/>
  <c r="O13" i="55" s="1"/>
  <c r="N9" i="59"/>
  <c r="N21" i="55" a="1"/>
  <c r="N21" i="55" s="1"/>
  <c r="O21" i="55" s="1"/>
  <c r="N2" i="55"/>
  <c r="T18" i="59"/>
  <c r="N15" i="55" a="1"/>
  <c r="N15" i="55" s="1"/>
  <c r="O15" i="55" s="1"/>
  <c r="T7" i="59"/>
  <c r="N19" i="55" a="1"/>
  <c r="N19" i="55" s="1"/>
  <c r="O19" i="55" s="1"/>
  <c r="I25" i="59"/>
  <c r="B25" i="59"/>
  <c r="N9" i="55" a="1"/>
  <c r="N9" i="55" s="1"/>
  <c r="O9" i="55" s="1"/>
  <c r="R25" i="59"/>
  <c r="K25" i="59"/>
  <c r="V8" i="59"/>
  <c r="T33" i="59"/>
  <c r="F22" i="59"/>
  <c r="N22" i="59"/>
  <c r="M35" i="59"/>
  <c r="E25" i="59"/>
  <c r="D25" i="59"/>
  <c r="C37" i="59"/>
  <c r="G25" i="59"/>
  <c r="M25" i="59" s="1"/>
  <c r="T34" i="59"/>
  <c r="N34" i="59"/>
  <c r="J37" i="59"/>
  <c r="F17" i="59"/>
  <c r="B37" i="59"/>
  <c r="T5" i="59"/>
  <c r="F33" i="59"/>
  <c r="T22" i="59"/>
  <c r="V22" i="59"/>
  <c r="F5" i="59"/>
  <c r="F36" i="59"/>
  <c r="V12" i="59"/>
  <c r="F9" i="59"/>
  <c r="V24" i="59"/>
  <c r="T9" i="59"/>
  <c r="T35" i="59"/>
  <c r="N29" i="59"/>
  <c r="V31" i="59"/>
  <c r="Q13" i="59"/>
  <c r="F23" i="59"/>
  <c r="T31" i="59"/>
  <c r="I13" i="59"/>
  <c r="F35" i="59"/>
  <c r="Q25" i="59"/>
  <c r="V10" i="59"/>
  <c r="N32" i="59"/>
  <c r="V33" i="59"/>
  <c r="S25" i="59"/>
  <c r="D37" i="59"/>
  <c r="N16" i="55" a="1"/>
  <c r="N16" i="55" s="1"/>
  <c r="O16" i="55" s="1"/>
  <c r="V6" i="59"/>
  <c r="L11" i="59"/>
  <c r="K37" i="59"/>
  <c r="F12" i="59"/>
  <c r="E13" i="59"/>
  <c r="J25" i="59"/>
  <c r="S13" i="59"/>
  <c r="D13" i="59"/>
  <c r="K22" i="55" a="1"/>
  <c r="K22" i="55" s="1"/>
  <c r="K12" i="55" a="1"/>
  <c r="K12" i="55" s="1"/>
  <c r="K15" i="55" a="1"/>
  <c r="K15" i="55" s="1"/>
  <c r="H15" i="55"/>
  <c r="H22" i="55"/>
  <c r="K13" i="55" a="1"/>
  <c r="K13" i="55" s="1"/>
  <c r="G13" i="55"/>
  <c r="G19" i="55"/>
  <c r="G20" i="55"/>
  <c r="H20" i="55"/>
  <c r="K20" i="55" a="1"/>
  <c r="K20" i="55" s="1"/>
  <c r="H18" i="55"/>
  <c r="G18" i="55"/>
  <c r="K18" i="55" a="1"/>
  <c r="K18" i="55" s="1"/>
  <c r="S2" i="53"/>
  <c r="C25" i="59"/>
  <c r="I37" i="59"/>
  <c r="T23" i="59"/>
  <c r="H37" i="59"/>
  <c r="N12" i="59"/>
  <c r="K19" i="55" a="1"/>
  <c r="K19" i="55" s="1"/>
  <c r="N30" i="59"/>
  <c r="V18" i="59"/>
  <c r="G6" i="59"/>
  <c r="N7" i="59"/>
  <c r="U8" i="59"/>
  <c r="L31" i="59"/>
  <c r="N18" i="59"/>
  <c r="M32" i="59"/>
  <c r="R7" i="55"/>
  <c r="V30" i="59"/>
  <c r="Q37" i="59"/>
  <c r="P25" i="59"/>
  <c r="J13" i="59"/>
  <c r="P117" i="53"/>
  <c r="F34" i="59"/>
  <c r="G30" i="59"/>
  <c r="E37" i="59"/>
  <c r="AE2" i="53"/>
  <c r="P2" i="53"/>
  <c r="F7" i="59"/>
  <c r="O37" i="59"/>
  <c r="O25" i="59"/>
  <c r="U25" i="59" s="1"/>
  <c r="O13" i="59"/>
  <c r="V35" i="59"/>
  <c r="U9" i="59"/>
  <c r="T17" i="59"/>
  <c r="U29" i="59"/>
  <c r="Q30" i="55"/>
  <c r="P13" i="59"/>
  <c r="V17" i="59"/>
  <c r="P30" i="55"/>
  <c r="S2" i="55" s="1"/>
  <c r="U10" i="59"/>
  <c r="S17" i="55"/>
  <c r="R11" i="55"/>
  <c r="S10" i="55"/>
  <c r="S11" i="55"/>
  <c r="R10" i="55"/>
  <c r="S15" i="55"/>
  <c r="R17" i="55"/>
  <c r="S12" i="55"/>
  <c r="G12" i="55"/>
  <c r="R15" i="55"/>
  <c r="S18" i="55"/>
  <c r="T18" i="55" s="1"/>
  <c r="R20" i="55"/>
  <c r="T20" i="55" s="1"/>
  <c r="R22" i="55"/>
  <c r="S13" i="55"/>
  <c r="H16" i="55"/>
  <c r="K16" i="55" a="1"/>
  <c r="K16" i="55" s="1"/>
  <c r="K11" i="55" a="1"/>
  <c r="K11" i="55" s="1"/>
  <c r="G11" i="55"/>
  <c r="H11" i="55"/>
  <c r="G10" i="55"/>
  <c r="H10" i="55"/>
  <c r="K10" i="55" a="1"/>
  <c r="K10" i="55" s="1"/>
  <c r="H17" i="55"/>
  <c r="G17" i="55"/>
  <c r="K17" i="55" a="1"/>
  <c r="K17" i="55" s="1"/>
  <c r="H21" i="55"/>
  <c r="G21" i="55"/>
  <c r="K21" i="55" a="1"/>
  <c r="K21" i="55" s="1"/>
  <c r="R13" i="55"/>
  <c r="S8" i="55"/>
  <c r="R16" i="55"/>
  <c r="S7" i="55"/>
  <c r="S22" i="55"/>
  <c r="R9" i="55"/>
  <c r="G9" i="55"/>
  <c r="K9" i="55" a="1"/>
  <c r="K9" i="55" s="1"/>
  <c r="H9" i="55"/>
  <c r="S9" i="55"/>
  <c r="K7" i="55" a="1"/>
  <c r="K7" i="55" s="1"/>
  <c r="H7" i="55"/>
  <c r="H8" i="55"/>
  <c r="G8" i="55"/>
  <c r="K8" i="55" a="1"/>
  <c r="K8" i="55" s="1"/>
  <c r="D13" i="57"/>
  <c r="E5" i="57"/>
  <c r="E6" i="57" s="1"/>
  <c r="E7" i="57" s="1"/>
  <c r="E8" i="57" s="1"/>
  <c r="E9" i="57" s="1"/>
  <c r="E10" i="57" s="1"/>
  <c r="E11" i="57" s="1"/>
  <c r="E12" i="57" s="1"/>
  <c r="K37" i="61"/>
  <c r="K46" i="61"/>
  <c r="J47" i="61"/>
  <c r="H6" i="26"/>
  <c r="I7" i="26"/>
  <c r="F33" i="61"/>
  <c r="G32" i="61"/>
  <c r="H42" i="61"/>
  <c r="S16" i="55"/>
  <c r="L17" i="59"/>
  <c r="L36" i="59"/>
  <c r="N36" i="59"/>
  <c r="V36" i="59"/>
  <c r="P37" i="59"/>
  <c r="T11" i="59"/>
  <c r="C35" i="60"/>
  <c r="V7" i="59"/>
  <c r="M31" i="59"/>
  <c r="G16" i="55"/>
  <c r="U5" i="59"/>
  <c r="U35" i="59"/>
  <c r="N24" i="59"/>
  <c r="L24" i="59"/>
  <c r="F10" i="59"/>
  <c r="V32" i="59"/>
  <c r="U32" i="59"/>
  <c r="C13" i="59"/>
  <c r="U31" i="59"/>
  <c r="R37" i="59"/>
  <c r="H12" i="26"/>
  <c r="U14" i="26"/>
  <c r="R14" i="26"/>
  <c r="X14" i="26"/>
  <c r="AB12" i="26"/>
  <c r="M18" i="55" a="1"/>
  <c r="M18" i="55" s="1"/>
  <c r="T30" i="59"/>
  <c r="Y14" i="26"/>
  <c r="AI14" i="26"/>
  <c r="F14" i="26"/>
  <c r="AG12" i="26"/>
  <c r="AD12" i="26"/>
  <c r="N23" i="59"/>
  <c r="F12" i="26"/>
  <c r="N14" i="26"/>
  <c r="M14" i="26"/>
  <c r="V12" i="26"/>
  <c r="AE14" i="26"/>
  <c r="AD14" i="26"/>
  <c r="M12" i="26"/>
  <c r="AJ12" i="26"/>
  <c r="B12" i="26"/>
  <c r="AL12" i="26"/>
  <c r="AF14" i="26"/>
  <c r="L2" i="55" l="1"/>
  <c r="L24" i="55" a="1"/>
  <c r="L24" i="55" s="1"/>
  <c r="O24" i="55"/>
  <c r="L7" i="55" a="1"/>
  <c r="L7" i="55" s="1"/>
  <c r="L8" i="55" a="1"/>
  <c r="L8" i="55" s="1"/>
  <c r="L10" i="55" a="1"/>
  <c r="L10" i="55" s="1"/>
  <c r="L14" i="55" a="1"/>
  <c r="L14" i="55" s="1"/>
  <c r="L21" i="55" a="1"/>
  <c r="L21" i="55" s="1"/>
  <c r="L15" i="55" a="1"/>
  <c r="L15" i="55" s="1"/>
  <c r="L13" i="55" a="1"/>
  <c r="L13" i="55" s="1"/>
  <c r="L20" i="55" a="1"/>
  <c r="L20" i="55" s="1"/>
  <c r="L18" i="55" a="1"/>
  <c r="L18" i="55" s="1"/>
  <c r="L22" i="55" a="1"/>
  <c r="L22" i="55" s="1"/>
  <c r="L9" i="55" a="1"/>
  <c r="L9" i="55" s="1"/>
  <c r="L12" i="55" a="1"/>
  <c r="L12" i="55" s="1"/>
  <c r="F13" i="59" a="1"/>
  <c r="F13" i="59" s="1"/>
  <c r="L16" i="55" a="1"/>
  <c r="L16" i="55" s="1"/>
  <c r="L19" i="55" a="1"/>
  <c r="L19" i="55" s="1"/>
  <c r="L27" i="55" a="1"/>
  <c r="L27" i="55" s="1"/>
  <c r="O23" i="55"/>
  <c r="O27" i="55"/>
  <c r="G3" i="55"/>
  <c r="T8" i="55"/>
  <c r="T13" i="59"/>
  <c r="O30" i="55"/>
  <c r="L10" i="59"/>
  <c r="V13" i="59"/>
  <c r="O11" i="55"/>
  <c r="O10" i="55"/>
  <c r="O20" i="55"/>
  <c r="O12" i="55"/>
  <c r="L11" i="55" a="1"/>
  <c r="L11" i="55" s="1"/>
  <c r="L23" i="55" a="1"/>
  <c r="L23" i="55" s="1"/>
  <c r="O22" i="55"/>
  <c r="G30" i="55"/>
  <c r="H31" i="55" s="1"/>
  <c r="H2" i="55"/>
  <c r="H30" i="55"/>
  <c r="G31" i="55"/>
  <c r="G2" i="55"/>
  <c r="T12" i="55"/>
  <c r="M4" i="59"/>
  <c r="O18" i="55"/>
  <c r="T25" i="59"/>
  <c r="G13" i="59"/>
  <c r="L13" i="59" s="1"/>
  <c r="L34" i="59"/>
  <c r="V37" i="59"/>
  <c r="T7" i="55"/>
  <c r="L29" i="59"/>
  <c r="M29" i="59"/>
  <c r="L17" i="55" a="1"/>
  <c r="L17" i="55" s="1"/>
  <c r="V25" i="59"/>
  <c r="X2" i="53"/>
  <c r="X117" i="53"/>
  <c r="L9" i="59"/>
  <c r="T37" i="59"/>
  <c r="U13" i="59"/>
  <c r="N37" i="59"/>
  <c r="L30" i="55"/>
  <c r="F37" i="59" a="1"/>
  <c r="F37" i="59" s="1"/>
  <c r="F25" i="59" a="1"/>
  <c r="F25" i="59" s="1"/>
  <c r="T17" i="55"/>
  <c r="T15" i="55"/>
  <c r="T11" i="55"/>
  <c r="L30" i="59"/>
  <c r="M30" i="59"/>
  <c r="G37" i="59"/>
  <c r="T22" i="55"/>
  <c r="L6" i="59"/>
  <c r="M6" i="59"/>
  <c r="L25" i="59"/>
  <c r="N25" i="59"/>
  <c r="S30" i="55"/>
  <c r="R2" i="55"/>
  <c r="R30" i="55"/>
  <c r="T10" i="55"/>
  <c r="T13" i="55"/>
  <c r="T9" i="55"/>
  <c r="T16" i="55"/>
  <c r="U37" i="59"/>
  <c r="D35" i="60"/>
  <c r="C36" i="60"/>
  <c r="H43" i="61"/>
  <c r="F34" i="61"/>
  <c r="G33" i="61"/>
  <c r="I6" i="26"/>
  <c r="J7" i="26"/>
  <c r="K30" i="61"/>
  <c r="K36" i="61"/>
  <c r="K29" i="61"/>
  <c r="K45" i="61"/>
  <c r="K40" i="61"/>
  <c r="K47" i="61"/>
  <c r="K42" i="61"/>
  <c r="K44" i="61"/>
  <c r="K33" i="61"/>
  <c r="K41" i="61"/>
  <c r="K34" i="61"/>
  <c r="K35" i="61"/>
  <c r="K32" i="61"/>
  <c r="K38" i="61"/>
  <c r="K43" i="61"/>
  <c r="K31" i="61"/>
  <c r="N13" i="59"/>
  <c r="K39" i="61"/>
  <c r="M13" i="59" l="1"/>
  <c r="H3" i="55"/>
  <c r="L37" i="59"/>
  <c r="M37" i="59"/>
  <c r="T2" i="55"/>
  <c r="T30" i="55"/>
  <c r="K7" i="26"/>
  <c r="J6" i="26"/>
  <c r="G34" i="61"/>
  <c r="F35" i="61"/>
  <c r="H44" i="61"/>
  <c r="C37" i="60"/>
  <c r="D36" i="60"/>
  <c r="D37" i="60" l="1"/>
  <c r="C38" i="60"/>
  <c r="H45" i="61"/>
  <c r="G35" i="61"/>
  <c r="F36" i="61"/>
  <c r="K6" i="26"/>
  <c r="L7" i="26"/>
  <c r="H46" i="61" l="1"/>
  <c r="F37" i="61"/>
  <c r="G36" i="61"/>
  <c r="C39" i="60"/>
  <c r="D38" i="60"/>
  <c r="L6" i="26"/>
  <c r="M7" i="26"/>
  <c r="G37" i="61" l="1"/>
  <c r="F38" i="61"/>
  <c r="N7" i="26"/>
  <c r="M6" i="26"/>
  <c r="C40" i="60"/>
  <c r="D39" i="60"/>
  <c r="H47" i="61"/>
  <c r="I46" i="61" s="1"/>
  <c r="O7" i="26" l="1"/>
  <c r="N6" i="26"/>
  <c r="F39" i="61"/>
  <c r="G38" i="61"/>
  <c r="I33" i="61"/>
  <c r="I37" i="61"/>
  <c r="I35" i="61"/>
  <c r="I36" i="61"/>
  <c r="I40" i="61"/>
  <c r="I31" i="61"/>
  <c r="I38" i="61"/>
  <c r="I47" i="61"/>
  <c r="I29" i="61"/>
  <c r="I30" i="61"/>
  <c r="I39" i="61"/>
  <c r="I32" i="61"/>
  <c r="I41" i="61"/>
  <c r="I34" i="61"/>
  <c r="I42" i="61"/>
  <c r="I43" i="61"/>
  <c r="I44" i="61"/>
  <c r="I45" i="61"/>
  <c r="C41" i="60"/>
  <c r="D40" i="60"/>
  <c r="F40" i="61" l="1"/>
  <c r="G39" i="61"/>
  <c r="D41" i="60"/>
  <c r="C42" i="60"/>
  <c r="P7" i="26"/>
  <c r="O6" i="26"/>
  <c r="D42" i="60" l="1"/>
  <c r="C43" i="60"/>
  <c r="Q7" i="26"/>
  <c r="P6" i="26"/>
  <c r="F41" i="61"/>
  <c r="G40" i="61"/>
  <c r="R7" i="26" l="1"/>
  <c r="Q6" i="26"/>
  <c r="G41" i="61"/>
  <c r="F42" i="61"/>
  <c r="D43" i="60"/>
  <c r="C44" i="60"/>
  <c r="F43" i="61" l="1"/>
  <c r="G42" i="61"/>
  <c r="C45" i="60"/>
  <c r="D45" i="60" s="1"/>
  <c r="D44" i="60"/>
  <c r="S7" i="26"/>
  <c r="R6" i="26"/>
  <c r="T7" i="26" l="1"/>
  <c r="S6" i="26"/>
  <c r="G43" i="61"/>
  <c r="F44" i="61"/>
  <c r="F45" i="61" l="1"/>
  <c r="G44" i="61"/>
  <c r="U7" i="26"/>
  <c r="T6" i="26"/>
  <c r="V7" i="26" l="1"/>
  <c r="U6" i="26"/>
  <c r="F46" i="61"/>
  <c r="G45" i="61"/>
  <c r="G46" i="61" l="1"/>
  <c r="F47" i="61"/>
  <c r="G47" i="61" s="1"/>
  <c r="V6" i="26"/>
  <c r="W7" i="26"/>
  <c r="W6" i="26" l="1"/>
  <c r="X7" i="26"/>
  <c r="X6" i="26" l="1"/>
  <c r="Y7" i="26"/>
  <c r="Z7" i="26" l="1"/>
  <c r="Y6" i="26"/>
  <c r="Z6" i="26" l="1"/>
  <c r="AA7" i="26"/>
  <c r="AB7" i="26" l="1"/>
  <c r="AA6" i="26"/>
  <c r="AC7" i="26" l="1"/>
  <c r="AB6" i="26"/>
  <c r="AD7" i="26" l="1"/>
  <c r="AC6" i="26"/>
  <c r="AE7" i="26" l="1"/>
  <c r="AD6" i="26"/>
  <c r="AE6" i="26" l="1"/>
  <c r="AF7" i="26"/>
  <c r="AG7" i="26" l="1"/>
  <c r="AF6" i="26"/>
  <c r="AG6" i="26" l="1"/>
  <c r="AH7" i="26"/>
  <c r="AI7" i="26" l="1"/>
  <c r="AH6" i="26"/>
  <c r="AI6" i="26" l="1"/>
  <c r="AJ7"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6"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8"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<sst xmlns="http://schemas.openxmlformats.org/spreadsheetml/2006/main" count="4037" uniqueCount="710">
  <si>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</si>
  <si>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</si>
  <si>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</si>
  <si>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</si>
  <si>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</si>
  <si>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</si>
  <si>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</si>
  <si>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</si>
  <si>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</si>
  <si>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</si>
  <si>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</si>
  <si>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</si>
  <si>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</si>
  <si>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</si>
  <si>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</si>
  <si>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</si>
  <si>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</si>
  <si>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</si>
  <si>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</si>
  <si>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</si>
  <si>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</si>
  <si>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</si>
  <si>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</si>
  <si>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</si>
  <si>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</si>
  <si>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</si>
  <si>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</si>
  <si>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</si>
  <si>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</si>
  <si>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</si>
  <si>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</si>
  <si>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</si>
  <si>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</si>
  <si>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</si>
  <si>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</si>
  <si>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</si>
  <si>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</si>
  <si>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</si>
  <si>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</si>
  <si>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</si>
  <si>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</si>
  <si>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</si>
  <si>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</si>
  <si>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</si>
  <si>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</si>
  <si>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</si>
  <si>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</si>
  <si>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</si>
  <si>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</si>
  <si>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</si>
  <si>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</si>
  <si>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</si>
  <si>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</si>
  <si>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</si>
  <si>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</si>
  <si>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</si>
  <si>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</si>
  <si>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</si>
  <si>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</si>
  <si>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</si>
  <si>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</si>
  <si>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</si>
  <si>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</si>
  <si>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</si>
  <si>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</si>
  <si>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</si>
  <si>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</si>
  <si>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</si>
  <si>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</si>
  <si>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</si>
  <si>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</si>
  <si>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</si>
  <si>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</si>
  <si>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</si>
  <si>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</si>
  <si>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</si>
  <si>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</si>
  <si>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</si>
  <si>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</si>
  <si>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</si>
  <si>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</si>
  <si>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</si>
  <si>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</si>
  <si>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</si>
  <si>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</si>
  <si>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</si>
  <si>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</si>
  <si>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</si>
  <si>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</si>
  <si>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</si>
  <si>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</si>
  <si>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</si>
  <si>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</si>
  <si>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</si>
  <si>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</si>
  <si>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</si>
  <si>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</si>
  <si>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</si>
  <si>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</si>
  <si>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</si>
  <si>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</si>
  <si>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</si>
  <si>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</si>
  <si>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</si>
  <si>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</si>
  <si>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</si>
  <si>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</si>
  <si>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</si>
  <si>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</si>
  <si>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</si>
  <si>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</si>
  <si>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</si>
  <si>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</si>
  <si>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</si>
  <si>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</si>
  <si>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</si>
  <si>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</si>
  <si>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</si>
  <si>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</si>
  <si>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</si>
  <si>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</si>
  <si>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</si>
  <si>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</si>
  <si>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</si>
  <si>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</si>
  <si>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</si>
  <si>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</si>
  <si>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</si>
  <si>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</si>
  <si>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</si>
  <si>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</si>
  <si>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</si>
  <si>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</si>
  <si>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</si>
  <si>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</si>
  <si>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</si>
  <si>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</si>
  <si>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</si>
  <si>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</si>
  <si>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</si>
  <si>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</si>
  <si>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</si>
  <si>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</si>
  <si>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</si>
  <si>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</si>
  <si>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</si>
  <si>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</si>
  <si>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</si>
  <si>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</si>
  <si>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</si>
  <si>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</si>
  <si>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</si>
  <si>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</si>
  <si>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</si>
  <si>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</si>
  <si>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</si>
  <si>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</si>
  <si>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</si>
  <si>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</si>
  <si>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</si>
  <si>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</si>
  <si>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</si>
  <si>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</si>
  <si>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</si>
  <si>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</si>
  <si>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</si>
  <si>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</si>
  <si>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</si>
  <si>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</si>
  <si>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</si>
  <si>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</si>
  <si>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</si>
  <si>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</si>
  <si>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</si>
  <si>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</si>
  <si>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</si>
  <si>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</si>
  <si>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</si>
  <si>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</si>
  <si>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</si>
  <si>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</si>
  <si>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</si>
  <si>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</si>
  <si>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</si>
  <si>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</si>
  <si>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</si>
  <si>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</si>
  <si>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</si>
  <si>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</si>
  <si>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</si>
  <si>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</si>
  <si>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</si>
  <si>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</si>
  <si>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</si>
  <si>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</si>
  <si>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</si>
  <si>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</si>
  <si>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</si>
  <si>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</si>
  <si>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</si>
  <si>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</si>
  <si>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</si>
  <si>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</si>
  <si>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</si>
  <si>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</si>
  <si>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</si>
  <si>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</si>
  <si>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</si>
  <si>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</si>
  <si>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</si>
  <si>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</si>
  <si>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</si>
  <si>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</si>
  <si>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</si>
  <si>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</si>
  <si>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</si>
  <si>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</si>
  <si>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</si>
  <si>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</si>
  <si>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</si>
  <si>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</si>
  <si>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</si>
  <si>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</si>
  <si>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</si>
  <si>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</si>
  <si>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</si>
  <si>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</si>
  <si>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</si>
  <si>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</si>
  <si>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</si>
  <si>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</si>
  <si>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</si>
  <si>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</si>
  <si>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</si>
  <si>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</si>
  <si>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</si>
  <si>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</si>
  <si>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</si>
  <si>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</si>
  <si>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</si>
  <si>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</si>
  <si>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</si>
  <si>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</si>
  <si>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</si>
  <si>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</si>
  <si>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</si>
  <si>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</si>
  <si>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</si>
  <si>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</si>
  <si>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</si>
  <si>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</si>
  <si>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</si>
  <si>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BEQ</t>
  </si>
  <si>
    <t>-d=1 -v=error -no_toollib -load_ucode=tcore -pm4rb=system -pm4ib=system -pm4rbsize=0x20000 -tc_TCorePreferSysmemInternally -log -mall_config_mode=gncm_noalloc</t>
  </si>
  <si>
    <t>umc1.3</t>
  </si>
  <si>
    <t>Memory Cell Pattern</t>
  </si>
  <si>
    <t>umc375.1</t>
  </si>
  <si>
    <t xml:space="preserve">Memory Cell Pattern using SDMA </t>
  </si>
  <si>
    <t>umc381.1</t>
  </si>
  <si>
    <t>FEI</t>
  </si>
  <si>
    <t>HDP version</t>
  </si>
  <si>
    <t>DCQ</t>
  </si>
  <si>
    <t>CP-DMA version</t>
  </si>
  <si>
    <t>CP-DMA/MCB version</t>
  </si>
  <si>
    <t>CB version</t>
  </si>
  <si>
    <t>CB/MCB version</t>
  </si>
  <si>
    <t>DRMDMA version</t>
  </si>
  <si>
    <t>umc24.1</t>
  </si>
  <si>
    <t>DRMDMA/MCB version</t>
  </si>
  <si>
    <t>umc25.1</t>
  </si>
  <si>
    <t>Rect Toggle Walkbit</t>
  </si>
  <si>
    <t>Rect Toggle Randmask</t>
  </si>
  <si>
    <t>Rect Toggle Randbit</t>
  </si>
  <si>
    <t>Rect Toggle Walkbit with Nominal DC SSO</t>
  </si>
  <si>
    <t>umc376.6-15</t>
  </si>
  <si>
    <t>Rect Toggle Walkbit 128-bit SSO</t>
  </si>
  <si>
    <t>REC</t>
  </si>
  <si>
    <t>Rect Toggle Walkbit with Mask @16bpp</t>
  </si>
  <si>
    <t>Rect Toggle Walkbit with Mask @32bpp</t>
  </si>
  <si>
    <t>umc372</t>
  </si>
  <si>
    <t>SDMA version</t>
  </si>
  <si>
    <t>umc380</t>
  </si>
  <si>
    <t>Rect Toggle with PRBS pattern</t>
  </si>
  <si>
    <t>UMC301 - Moving Blt Colorbar</t>
  </si>
  <si>
    <t>UMC302 - Moving Blt Walkbit</t>
  </si>
  <si>
    <t>UMC303 – Moving Blt Walkpat</t>
  </si>
  <si>
    <t>UMC304 – Moving Blt Maskpat</t>
  </si>
  <si>
    <t>UMC305 – Moving Blt Randbit</t>
  </si>
  <si>
    <t>UMC306 – Moving Blt Randmask</t>
  </si>
  <si>
    <t>UMC307 - Horizontal Blt Colorbar</t>
  </si>
  <si>
    <t>UMC308 - Horizontal Blt Walkbit</t>
  </si>
  <si>
    <t>UMC309 - Horizontal Blt Walkpat</t>
  </si>
  <si>
    <t>UMC310 - Horizontal Blt Maskpat</t>
  </si>
  <si>
    <t>UMC311 - Horizontal Blt Randbit</t>
  </si>
  <si>
    <t>UMC312 - Horizontal Blt Randmask</t>
  </si>
  <si>
    <t>UMC313 - Diagonal Blt Colorbar</t>
  </si>
  <si>
    <t>UMC314 - Diagonal Blt Walkbit</t>
  </si>
  <si>
    <t>UMC315 - Diagonal Blt Walkpat</t>
  </si>
  <si>
    <t>UMC316 - Diagonal Blt Maskpat</t>
  </si>
  <si>
    <t>UMC317 - Diagonal Blt Randbit</t>
  </si>
  <si>
    <t>UMC318 - Diagonal Blt Randmask</t>
  </si>
  <si>
    <t>UMC319 - Random Blt Colorbar</t>
  </si>
  <si>
    <t>UMC320 - Random Blt Walkbit</t>
  </si>
  <si>
    <t>UMC320 - Random Blt WalkPat</t>
  </si>
  <si>
    <t>UMC322 - Random Blt Maskpat</t>
  </si>
  <si>
    <t>UMC323 - Random Blt Randbit</t>
  </si>
  <si>
    <t>UMC324 - Random Blt Randmask</t>
  </si>
  <si>
    <t>UMC210 - Vertical Blt Colorbar</t>
  </si>
  <si>
    <t>UMC211 - Vertical Blt Walkbit</t>
  </si>
  <si>
    <t>UMC212 - Vertical Blt Walkpat</t>
  </si>
  <si>
    <t>UMC213 - Vertical Blt Maskpat</t>
  </si>
  <si>
    <t>UMC214 - Vertical Blt Randbit</t>
  </si>
  <si>
    <t>UMC215 - Vertical Blt Randmask</t>
  </si>
  <si>
    <t>UMC216 - Vertical Blt SSOmask</t>
  </si>
  <si>
    <t xml:space="preserve"> Power Virus Test</t>
  </si>
  <si>
    <t>BIST</t>
  </si>
  <si>
    <t>P3</t>
  </si>
  <si>
    <t>POWER</t>
  </si>
  <si>
    <t>MACO SR</t>
  </si>
  <si>
    <t>using umc1.1 test and -nogc -nobios due to BAMACO core off, and adding VCN power off command in advance</t>
  </si>
  <si>
    <t>DIAG-13378 having issue and fix</t>
  </si>
  <si>
    <t>Static Screen Stutter Mode</t>
  </si>
  <si>
    <t>umc1.50</t>
  </si>
  <si>
    <t>-d=1 -v=error -cf=stutter.cf -log</t>
  </si>
  <si>
    <t>-D702, BRP025 IFWI, -ppmode=1(agt 3.1.9.0), D701 BRP042diag IFWI</t>
  </si>
  <si>
    <t>monitor edc counter</t>
  </si>
  <si>
    <t>event_handler_3</t>
  </si>
  <si>
    <t>WAW – write after write</t>
  </si>
  <si>
    <t>umc681.1</t>
  </si>
  <si>
    <t>RAW – read after write</t>
  </si>
  <si>
    <t>umc681.2</t>
  </si>
  <si>
    <t>VC-based Priority Adjustment</t>
  </si>
  <si>
    <t>umc683.1</t>
  </si>
  <si>
    <t>display should be connected w/o "-disable_libdce"</t>
  </si>
  <si>
    <t>Bypass Priority Escalation Mode</t>
  </si>
  <si>
    <t>umc684.1</t>
  </si>
  <si>
    <t>SLT Functional</t>
  </si>
  <si>
    <t>umc401.1</t>
  </si>
  <si>
    <t>Board Functional</t>
  </si>
  <si>
    <t>Board Stress</t>
  </si>
  <si>
    <t>Board Extra</t>
  </si>
  <si>
    <t>Memfa test</t>
  </si>
  <si>
    <t>umc600.1</t>
  </si>
  <si>
    <t>-d=1 -v=error -no_toollib -load_ucode=tcore -pm4rb=system -pm4ib=system -pm4rbsize=0x20000 -tc_TCorePreferSysmemInternally -log -mall_config_mode=gncm_noalloc -memfa_mem=1</t>
  </si>
  <si>
    <t>umc601.1</t>
  </si>
  <si>
    <t>Temp</t>
  </si>
  <si>
    <t>PMC</t>
  </si>
  <si>
    <t>general event monitor</t>
  </si>
  <si>
    <t>event_handler_5</t>
  </si>
  <si>
    <t>-mcpmcevents</t>
  </si>
  <si>
    <t>UmcGeccErrorInjectionTest</t>
  </si>
  <si>
    <t>UmcGeccErrorInjectionTest-IH</t>
  </si>
  <si>
    <t>umc752.5</t>
  </si>
  <si>
    <t>Patrol Scrubber</t>
  </si>
  <si>
    <t>new</t>
  </si>
  <si>
    <t>Redirect Scrubber</t>
  </si>
  <si>
    <t>Internal_Debug</t>
  </si>
  <si>
    <t>Internal debug purpose</t>
  </si>
  <si>
    <t>Debug</t>
  </si>
  <si>
    <t>FB Dump Test</t>
  </si>
  <si>
    <t>Channel mapping verification</t>
  </si>
  <si>
    <t>umc553.1</t>
  </si>
  <si>
    <t>Tacl debug</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</si>
  <si>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</si>
  <si>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</si>
  <si>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</si>
  <si>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</si>
  <si>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UMCSMN</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</si>
  <si>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</si>
  <si>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</si>
  <si>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</si>
  <si>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</si>
  <si>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</si>
  <si>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Functional Area</t>
  </si>
  <si>
    <t>SW Dependency</t>
  </si>
  <si>
    <t>P1</t>
  </si>
  <si>
    <t>Modified</t>
  </si>
  <si>
    <t>Functional</t>
  </si>
  <si>
    <t>Total # of Features</t>
  </si>
  <si>
    <t>Total # of P1</t>
  </si>
  <si>
    <t>Total # of P2</t>
  </si>
  <si>
    <t>Total # of P3</t>
  </si>
  <si>
    <t>P2</t>
  </si>
  <si>
    <t>Total # of Diagnostics</t>
  </si>
  <si>
    <t>Total # of Driver</t>
  </si>
  <si>
    <t>Total # of IPSE</t>
  </si>
  <si>
    <t>Total # of N/A</t>
  </si>
  <si>
    <t>Total # of Legacy</t>
  </si>
  <si>
    <t>Total # of Delta</t>
  </si>
  <si>
    <t>Total # of New</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</si>
  <si>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</si>
  <si>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</si>
  <si>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</si>
  <si>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</si>
  <si>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AB+3wk</t>
  </si>
  <si>
    <t>AB+10wk</t>
  </si>
  <si>
    <t>AB+18wk</t>
  </si>
  <si>
    <t>AB+7wk</t>
  </si>
  <si>
    <t>AB+8wk</t>
  </si>
  <si>
    <t>AB+6wk</t>
  </si>
  <si>
    <t>AB+5wk</t>
  </si>
  <si>
    <t>AB+4wk</t>
  </si>
  <si>
    <t>AB+2~4wk</t>
  </si>
  <si>
    <t>AB+2wk</t>
  </si>
  <si>
    <t>AB+4~6wk</t>
  </si>
  <si>
    <t>AB+5~7wk</t>
  </si>
  <si>
    <t>AB+8~9wk</t>
  </si>
  <si>
    <t>AB+9wk</t>
  </si>
  <si>
    <t>AB+12wk</t>
  </si>
  <si>
    <t>AB+11wk</t>
  </si>
  <si>
    <t>AB+13wk</t>
  </si>
  <si>
    <t>AB+1wk</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</si>
  <si>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</si>
  <si>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</si>
  <si>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</si>
  <si>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</si>
  <si>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</si>
  <si>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</si>
  <si>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</si>
  <si>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</si>
  <si>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</si>
  <si>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</si>
  <si>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</si>
  <si>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</si>
  <si>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</si>
  <si>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</si>
  <si>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</si>
  <si>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</si>
  <si>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</si>
  <si>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</si>
  <si>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</si>
  <si>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</si>
  <si>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</si>
  <si>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</si>
  <si>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</si>
  <si>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</si>
  <si>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</si>
  <si>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</si>
  <si>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</si>
  <si>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</si>
  <si>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</si>
  <si>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</si>
  <si>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</si>
  <si>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</si>
  <si>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</si>
  <si>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</si>
  <si>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</si>
  <si>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</si>
  <si>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</si>
  <si>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</si>
  <si>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</si>
  <si>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</si>
  <si>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</si>
  <si>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</si>
  <si>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</si>
  <si>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</si>
  <si>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</si>
  <si>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</si>
  <si>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</si>
  <si>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</si>
  <si>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</si>
  <si>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</si>
  <si>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</si>
  <si>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</si>
  <si>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</si>
  <si>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</si>
  <si>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</si>
  <si>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</si>
  <si>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</si>
  <si>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Accum</t>
  </si>
  <si>
    <t>%Coverage</t>
  </si>
  <si>
    <t>N+D Accu#</t>
  </si>
  <si>
    <t>Leg Accu</t>
  </si>
  <si>
    <t>Sum of Total Variations</t>
  </si>
  <si>
    <t>% coverage</t>
  </si>
  <si>
    <t xml:space="preserve">MTAG: GDDR6 Refresh Management will not be verified on NV31 </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</si>
  <si>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</si>
  <si>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</si>
  <si>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</si>
  <si>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</si>
  <si>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</si>
  <si>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</si>
  <si>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</si>
  <si>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</si>
  <si>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</si>
  <si>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</si>
  <si>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</si>
  <si>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</si>
  <si>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</si>
  <si>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</si>
  <si>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</si>
  <si>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</si>
  <si>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</si>
  <si>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</si>
  <si>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</si>
  <si>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</si>
  <si>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</si>
  <si>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</si>
  <si>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</si>
  <si>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</si>
  <si>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</si>
  <si>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</si>
  <si>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</si>
  <si>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</si>
  <si>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</si>
  <si>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</si>
  <si>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</si>
  <si>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</si>
  <si>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</si>
  <si>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</si>
  <si>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</si>
  <si>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</si>
  <si>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</si>
  <si>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</si>
  <si>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</si>
  <si>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</si>
  <si>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</si>
  <si>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</si>
  <si>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</si>
  <si>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</si>
  <si>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</si>
  <si>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</si>
  <si>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</si>
  <si>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</si>
  <si>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</si>
  <si>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</si>
  <si>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</si>
  <si>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</si>
  <si>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</si>
  <si>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</si>
  <si>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</si>
  <si>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</si>
  <si>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</si>
  <si>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</si>
  <si>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</si>
  <si>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</si>
  <si>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</si>
  <si>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</si>
  <si>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</si>
  <si>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UMCRTG-IP10-35</t>
  </si>
  <si>
    <t>UMCRTG-IP10-15</t>
  </si>
  <si>
    <t>UMCRTG-UMC130-13</t>
  </si>
  <si>
    <t>NV4x-MTAG-0006</t>
  </si>
  <si>
    <t>UMCRTG-IP10-21</t>
  </si>
  <si>
    <t>UMCRTG-IP10-30</t>
  </si>
  <si>
    <t>UMCRTG-IP10-32</t>
  </si>
  <si>
    <t>UMCRTG-IP10-24</t>
  </si>
  <si>
    <t>UMCRTG-IP10-26</t>
  </si>
  <si>
    <t>UMCRTG-IP10-17</t>
  </si>
  <si>
    <t>UMCRTG-IP10-4</t>
  </si>
  <si>
    <t>UMCRTG-IP10-18</t>
  </si>
  <si>
    <t>UMCRTG-IP10-12</t>
  </si>
  <si>
    <t>UMCRTG-IP10-39</t>
  </si>
  <si>
    <t>UMCRTG-UMC130-15</t>
  </si>
  <si>
    <t>NAVI40-IPNAVI4x-198</t>
  </si>
  <si>
    <t>NAVI40-IPNAVI4x-22</t>
  </si>
  <si>
    <t>NAVI40-IPNAVI4x-29</t>
  </si>
  <si>
    <t>NAVI40-NAVI4_SYSPRS-109</t>
  </si>
  <si>
    <t>NAVI40-SOCPRS-312</t>
  </si>
  <si>
    <t>Bank Grouping</t>
  </si>
  <si>
    <t>Clock Gating</t>
  </si>
  <si>
    <t>[GDDR6] Masked/Partial Writes</t>
  </si>
  <si>
    <t>[GDDR6] Supported DRAM density</t>
  </si>
  <si>
    <t>[GDDR6] Supported transfer rate</t>
  </si>
  <si>
    <t>Poor Man's GECC Support</t>
  </si>
  <si>
    <t>Redirect scrubber</t>
  </si>
  <si>
    <t>PG (Power Gating)</t>
  </si>
  <si>
    <t>Parity check on MP sram</t>
  </si>
  <si>
    <t>MVDD voltage reduction during HSR</t>
  </si>
  <si>
    <t>DPM (Dynamic Power Management) on UCLK</t>
  </si>
  <si>
    <t>Dram/Phy Low Power mode support</t>
  </si>
  <si>
    <t>Capability and Performance of FB DRAM</t>
  </si>
  <si>
    <t>SOC and DF team support for each single MCD (or PHY) configuration.</t>
  </si>
  <si>
    <t>FW, Driver</t>
  </si>
  <si>
    <t>Tools, Diag</t>
  </si>
  <si>
    <t>FW, Diag</t>
  </si>
  <si>
    <t>FW, Driver, Diag</t>
  </si>
  <si>
    <t>FW, Diag, GPU Boards</t>
  </si>
  <si>
    <t>FW, Diag, Driver</t>
  </si>
  <si>
    <t>FW, Diag, Power&amp;Perf</t>
  </si>
  <si>
    <t>FW,Tools</t>
  </si>
  <si>
    <t>FW,Power&amp;Perf</t>
  </si>
  <si>
    <t>GPU Boards, Diag, Power&amp;Perf</t>
  </si>
  <si>
    <t>FW,Diag,IPSE</t>
  </si>
  <si>
    <t>Existing</t>
  </si>
  <si>
    <t>Incremental</t>
  </si>
  <si>
    <t>umc49.1</t>
  </si>
  <si>
    <t>BW test</t>
  </si>
  <si>
    <t>LM32 SRAM Parity</t>
  </si>
  <si>
    <t>umc751.1</t>
  </si>
  <si>
    <t>umc1.825</t>
  </si>
  <si>
    <t>Compute Shader Read/Compare</t>
  </si>
  <si>
    <t>DRAM Error Injection</t>
  </si>
  <si>
    <t>UER is Fatal</t>
  </si>
  <si>
    <t>PHB (Page Hit Burst)</t>
  </si>
  <si>
    <t xml:space="preserve">[GDDR6] DPM State support for UCLK </t>
  </si>
  <si>
    <t>DF4.0 MemClear</t>
  </si>
  <si>
    <t>As discussed with design team, not visible to Diag</t>
  </si>
  <si>
    <t>Full FB fill - HDP, CPDMA</t>
  </si>
  <si>
    <t>Full FB fill - CPDMA/SDMA</t>
  </si>
  <si>
    <t>Full FB fill - Compute Shader</t>
  </si>
  <si>
    <t>Compute Shader Write Only</t>
  </si>
  <si>
    <t>Compute Shader Read Only</t>
  </si>
  <si>
    <t>ARB</t>
  </si>
  <si>
    <t>SPAZ</t>
  </si>
  <si>
    <t>MCA</t>
  </si>
  <si>
    <t>This is a feature request to UMC ucode, Diag has UCLK DPM verification in feature "NAVI40-IPNAVI4x-22"</t>
  </si>
  <si>
    <t>Framework</t>
  </si>
  <si>
    <t>Tserver</t>
  </si>
  <si>
    <t>TNG</t>
  </si>
  <si>
    <t>power_virus_combo_composite</t>
  </si>
  <si>
    <t>stress_blt_composite</t>
  </si>
  <si>
    <t>row_hammer_test</t>
  </si>
  <si>
    <t>dram_stress_test</t>
  </si>
  <si>
    <t>gecc_error_injection_irritator</t>
  </si>
  <si>
    <t>umc.rect_toggle_composite</t>
  </si>
  <si>
    <t>umc.full_fb_test/fill</t>
  </si>
  <si>
    <t>umc.full_fb_test/stutter</t>
  </si>
  <si>
    <t>umc.blt_composite/random</t>
  </si>
  <si>
    <t>umc.blt_composite/classic</t>
  </si>
  <si>
    <t>umc.umcch_pg_test</t>
  </si>
  <si>
    <t>umc.checkedc</t>
  </si>
  <si>
    <t>inject edc error</t>
  </si>
  <si>
    <t>umc.umc.edc_error_injection</t>
  </si>
  <si>
    <t>umc.channel_mapping</t>
  </si>
  <si>
    <t>umc.dram_stress_march01</t>
  </si>
  <si>
    <t>umc.dram_stress_knaizuk_hartman_test</t>
  </si>
  <si>
    <t>umc.dram_stress_mod3_test</t>
  </si>
  <si>
    <t>umc.dram_stress_xmarch_test</t>
  </si>
  <si>
    <t>umc.gecc_error_injection</t>
  </si>
  <si>
    <t>umc.memfa_test</t>
  </si>
  <si>
    <t>umc.row_hammer_test</t>
  </si>
  <si>
    <t>umc1.4,umc1.5</t>
  </si>
  <si>
    <t>umc1.820,umc1.822</t>
  </si>
  <si>
    <t>umc1.821,umc1.823</t>
  </si>
  <si>
    <t>umc3.1,umc3.2,umc3.3</t>
  </si>
  <si>
    <t>umc5.1,umc5.2,umc5.3</t>
  </si>
  <si>
    <t>umc6.1,umc6.2,umc6.3</t>
  </si>
  <si>
    <t>umc7.1,umc7.2,umc7.3</t>
  </si>
  <si>
    <t>umc8.1,umc8.2,umc8.3</t>
  </si>
  <si>
    <t>umc9.1,umc9.2,umc9.3</t>
  </si>
  <si>
    <t>umc10.1,umc10.2,umc10.3</t>
  </si>
  <si>
    <t>umc11.1,umc11.2,umc11.3</t>
  </si>
  <si>
    <t>umc12.1,umc12.2,umc12.3</t>
  </si>
  <si>
    <t>umc13.1,umc13.2,umc13.3</t>
  </si>
  <si>
    <t>umc369.2,umc369.3,umc369.5,umc369.6,umc369.8,umc369.9,umc369.11,umc369.12</t>
  </si>
  <si>
    <t>umc370.2,umc370.3,umc370.5,umc370.6,umc370.8,umc370.9,umc370.11,umc370.12</t>
  </si>
  <si>
    <t>umc371.2,umc371.3,umc371.5,umc371.6,umc371.8,umc371.9,umc371.11,umc371.12</t>
  </si>
  <si>
    <t>umc383.1-4,umc383.10-19</t>
  </si>
  <si>
    <t>umc301.2,umc301.3,umc301.5-7,umc301.9,umc301.11-13,umc301.21,umc301.22,umc301.24,umc301.25</t>
  </si>
  <si>
    <t>umc302.2,umc302.3,umc302.5,umc302.6,umc302.7,umc302.9,umc302.11,umc302.12,umc302.13,umc302.21,umc302.22,umc302.24,umc302.25,umc302.101,umc302.102,umc302.103,umc302.104,umc302.105,umc302.501,umc302.502,umc302.503,umc302.504,umc302.505,umc302.511,umc302.512,umc302.513,umc302.514,umc302.515,umc302.551,umc302.552,umc302.553,umc302.554,umc302.555,umc302.561,umc302.562,umc302.563,umc302.564,umc302.565</t>
  </si>
  <si>
    <t>umc303.2,umc303.3,umc303.5,umc303.6,umc303.7,umc303.9,umc303.11,umc303.12,umc303.13,umc303.21,umc303.22,umc303.24,umc303.25,umc303.101,umc303.102,umc303.103,umc303.104,umc303.105,umc303.301,umc303.302,umc303.303,umc303.304,umc303.305</t>
  </si>
  <si>
    <t>umc304.2,umc304.3,umc304.5,umc304.6,umc304.8,umc304.9,umc304.11,umc304.12,umc304.101,umc304.201,umc304.301,umc304.401</t>
  </si>
  <si>
    <t>umc305.2,umc305.3,umc305.5,umc305.6,umc305.7,umc305.9,umc305.11,umc305.12,umc305.13,umc305.21,umc305.22,umc305.24,umc305.25,umc305.101,umc305.102,umc305.103,umc305.104,umc305.105,umc305.201,umc305.202,umc305.203,umc305.204,umc305.205,umc305.301,umc305.302,umc305.303,umc305.304,umc305.305,umc305.401,umc305.402,umc305.403,umc305.404,umc305.405,umc305.501,umc305.502,umc305.503,umc305.504,umc305.505,umc305.511,umc305.512,umc305.513,umc305.514,umc305.515,umc305.551,umc305.552,umc305.553,umc305.554,umc305.555,umc305.561,umc305.562,umc305.563,umc305.564,umc305.565</t>
  </si>
  <si>
    <t>umc306.2,umc306.3,umc306.5,umc306.6,umc306.8,umc306.9,umc306.11,umc306.12,umc306.101,umc306.201,umc306.301,umc306.401</t>
  </si>
  <si>
    <t>umc307.2,umc307.3,umc307.5,umc307.6,umc307.7,umc307.9,umc307.11,umc307.12,umc307.13,umc307.21,umc307.22,umc307.24,umc307.25</t>
  </si>
  <si>
    <t>umc308.2,umc308.3,umc308.5,umc308.6,umc308.7,umc308.9,umc308.11,umc308.12,umc308.13,umc308.21,umc308.22,umc308.24,umc308.25,umc308.101,umc308.102,umc308.103,umc308.104,umc308.105,umc308.501,umc308.502,umc308.503,umc308.504,umc308.505,umc308.511,umc308.512,umc308.513,umc308.514,umc308.515,umc308.551,umc308.552,umc308.553,umc308.554,umc308.555,umc308.561,umc308.562,umc308.563,umc308.564,umc308.565</t>
  </si>
  <si>
    <t>umc309.2,umc309.3,umc309.5,umc309.6,umc309.7,umc309.9,umc309.11,umc309.12,umc309.13,umc309.21,umc309.22,umc309.24,umc309.25,umc309.101,umc309.102,umc309.103,umc309.104,umc309.105,umc309.301,umc309.302,umc309.303,umc309.304,umc309.305</t>
  </si>
  <si>
    <t>umc310.2,umc310.3,umc310.5,umc310.6,umc310.8,umc310.9,umc310.11,umc310.12,umc310.101,umc310.201,umc310.301,umc310.401</t>
  </si>
  <si>
    <t>umc311.2,umc311.3,umc311.5,umc311.6,umc311.7,umc311.9,umc311.11,umc311.12,umc311.13,umc311.21,umc311.22,umc311.24,umc311.25,umc311.101,umc311.102,umc311.103,umc311.104,umc311.105,umc311.201,umc311.202,umc311.203,umc311.204,umc311.205,umc311.301,umc311.302,umc311.303,umc311.304,umc311.305,umc311.401,umc311.402,umc311.403,umc311.404,umc311.405,umc311.501,umc311.502,umc311.503,umc311.504,umc311.505,umc311.511,umc311.512,umc311.513,umc311.514,umc311.515,umc311.551,umc311.552,umc311.553,umc311.554,umc311.555,umc311.561,umc311.562,umc311.563,umc311.564,umc311.565</t>
  </si>
  <si>
    <t>umc312.2,umc312.3,umc312.5,umc312.6,umc312.8,umc312.9,umc312.11,umc312.12,umc312.101,umc312.201,umc312.301,umc312.401</t>
  </si>
  <si>
    <t>umc313.2,umc313.3,umc313.5,umc313.6,umc313.7,umc313.9,umc313.11,umc313.12,umc313.13,umc313.21,umc313.22,umc313.24,umc313.25</t>
  </si>
  <si>
    <t>umc314.2,umc314.3,umc314.5,umc314.6,umc314.7,umc314.9,umc314.11,umc314.12,umc314.13,umc314.21,umc314.22,umc314.24,umc314.25,umc314.101,umc314.102,umc314.103,umc314.104,umc314.105,umc314.501,umc314.502,umc314.503,umc314.504,umc314.505,umc314.511,umc314.512,umc314.513,umc314.514,umc314.515,umc314.551,umc314.552,umc314.553,umc314.554,umc314.555,umc314.561,umc314.562,umc314.563,umc314.564,umc314.565</t>
  </si>
  <si>
    <t>umc315.2,umc315.3,umc315.5,umc315.6,umc315.7,umc315.9,umc315.11,umc315.12,umc315.13,umc315.21,umc315.22,umc315.24,umc315.25,umc315.101,umc315.102,umc315.103,umc315.104,umc315.105,umc315.301,umc315.302,umc315.303,umc315.304,umc315.305</t>
  </si>
  <si>
    <t>umc316.2,umc316.3,umc316.5,umc316.6,umc316.8,umc316.9,umc316.11,umc316.12,umc316.101,umc316.201,umc316.301,umc316.401</t>
  </si>
  <si>
    <t>umc317.2,umc317.3,umc317.5,umc317.6,umc317.7,umc317.9,umc317.11,umc317.12,umc317.13,umc317.21,umc317.22,umc317.24,umc317.25,umc317.101,umc317.102,umc317.103,umc317.104,umc317.105,umc317.201,umc317.202,umc317.203,umc317.204,umc317.205,umc317.301,umc317.302,umc317.303,umc317.304,umc317.305,umc317.401,umc317.402,umc317.403,umc317.404,umc317.405,umc317.501,umc317.502,umc317.503,umc317.504,umc317.505,umc317.511,umc317.512,umc317.513,umc317.514,umc317.515,umc317.551,umc317.552,umc317.553,umc317.554,umc317.555,umc317.561,umc317.562,umc317.563,umc317.564,umc317.565</t>
  </si>
  <si>
    <t>umc318.2,umc318.3,umc318.5,umc318.6,umc318.8,umc318.9,umc318.11,umc318.12,umc318.101,umc318.201,umc318.301,umc318.401</t>
  </si>
  <si>
    <t>umc319.2,umc319.3,umc319.5,umc319.6,umc319.7,umc319.9,umc319.11,umc319.12,umc319.13,umc319.21,umc319.22,umc319.24,umc319.25</t>
  </si>
  <si>
    <t>umc320.2,umc320.3,umc320.5,umc320.6,umc320.7,umc320.9,umc320.11,umc320.12,umc320.13,umc320.21,umc320.22,umc320.24,umc320.25,umc320.101,umc320.102,umc320.103,umc320.104,umc320.105,umc320.501,umc320.502,umc320.503,umc320.504,umc320.505,umc320.511,umc320.512,umc320.513,umc320.514,umc320.515,umc320.551,umc320.552,umc320.553,umc320.554,umc320.555,umc320.561,umc320.562,umc320.563,umc320.564,umc320.565</t>
  </si>
  <si>
    <t>umc321.2,umc321.3,umc321.5,umc321.6,umc321.7,umc321.9,umc321.11,umc321.12,umc321.13,umc321.21,umc321.22,umc321.24,umc321.25,umc321.101,umc321.102,umc321.103,umc321.104,umc321.105,umc321.301,umc321.302,umc321.303,umc321.304,umc321.305</t>
  </si>
  <si>
    <t>umc322.2,umc322.3,umc322.5,umc322.6,umc322.8,umc322.9,umc322.11,umc322.12,umc322.101,umc322.201,umc322.301,umc322.401</t>
  </si>
  <si>
    <t>umc323.2,umc323.3,umc323.5,umc323.6,umc323.7,umc323.9,umc323.11,umc323.12,umc323.13,umc323.21,umc323.22,umc323.24,umc323.25,umc323.101,umc323.102,umc323.103,umc323.104,umc323.105,umc323.201,umc323.202,umc323.203,umc323.204,umc323.205,umc323.301,umc323.302,umc323.303,umc323.304,umc323.305,umc323.401,umc323.402,umc323.403,umc323.404,umc323.405,umc323.501,umc323.502,umc323.503,umc323.504,umc323.505,umc323.511,umc323.512,umc323.513,umc323.514,umc323.515,umc323.551,umc323.552,umc323.553,umc323.554,umc323.555,umc323.561,umc323.562,umc323.563,umc323.564,umc323.565</t>
  </si>
  <si>
    <t>umc324.2,umc324.3,umc324.5,umc324.6,umc324.8,umc324.9,umc324.11,umc324.12,umc324.101,umc324.201,umc324.301,umc324.401</t>
  </si>
  <si>
    <t>umc210.2,umc210.3,umc210.5,umc210.6,umc210.7,umc210.9,umc210.11,umc210.12,umc210.13,umc210.21,umc210.22,umc210.24,umc210.25</t>
  </si>
  <si>
    <t>umc211.2,umc211.3,umc211.5,umc211.6,umc211.7,umc211.9,umc211.11,umc211.12,umc211.13,umc211.21,umc211.22,umc211.24,umc211.25,umc211.101,umc211.102,umc211.103,umc211.104,umc211.105,umc211.501,umc211.502,umc211.503,umc211.504,umc211.505,umc211.511,umc211.512,umc211.513,umc211.514,umc211.515,umc211.551,umc211.552,umc211.553,umc211.554,umc211.555,umc211.561,umc211.562,umc211.563,umc211.564,umc211.565</t>
  </si>
  <si>
    <t>umc212.2,umc212.3,umc212.5,umc212.6,umc212.7,umc212.9,umc212.11,umc212.12,umc212.13,umc212.21,umc212.22,umc212.24,umc212.25,umc212.101,umc212.102,umc212.103,umc212.104,umc212.105,umc212.301,umc212.302,umc212.303,umc212.304,umc212.305</t>
  </si>
  <si>
    <t>umc213.2,umc213.3,umc213.5,umc213.6,umc213.8,umc213.9,umc213.11,umc213.12</t>
  </si>
  <si>
    <t>umc214.2,umc214.3,umc214.5,umc214.6,umc214.7,umc214.9,umc214.11,umc214.12,umc214.13,umc214.21,umc214.22,umc214.24,umc214.25,umc214.101,umc214.102,umc214.103,umc214.104,umc214.105,umc214.201,umc214.202,umc214.203,umc214.204,umc214.205,umc214.301,umc214.302,umc214.303,umc214.304,umc214.305,umc214.401,umc214.402,umc214.403,umc214.404,umc214.405,umc214.501,umc214.502,umc214.503,umc214.504,umc214.505,umc214.511,umc214.512,umc214.513,umc214.514,umc214.515,umc214.551,umc214.552,umc214.553,umc214.554,umc214.555,umc214.561,umc214.562,umc214.563,umc214.564,umc214.565</t>
  </si>
  <si>
    <t>umc215.2,umc215.3,umc215.5,umc215.6,umc215.8,umc215.9,umc215.11,umc215.12</t>
  </si>
  <si>
    <t>umc216.2,umc216.3,umc216.5,umc216.6,umc216.8,umc216.9,umc216.11,umc216.12</t>
  </si>
  <si>
    <t>umc56.153,umc56.154,umc56.155,umc56.156,umc56.157,umc56.158,umc56.159</t>
  </si>
  <si>
    <t>umc413.1,umc413.2,umc413.3</t>
  </si>
  <si>
    <t>umc404.1-3,umc404.11-13</t>
  </si>
  <si>
    <t>umc405.1-5,umc405.11-15</t>
  </si>
  <si>
    <t>umc70.1,umc70.2</t>
  </si>
  <si>
    <t>umc751.2,umc751.3</t>
  </si>
  <si>
    <t>umc753.1,umc753.2</t>
  </si>
  <si>
    <t>umc753.3,umc753.4</t>
  </si>
  <si>
    <t>umc764.1,umc764.2</t>
  </si>
  <si>
    <t>umc510.1-4,umc510.6-9</t>
  </si>
  <si>
    <t>umc506.1,umc506.2,umc506.3</t>
  </si>
  <si>
    <t>Total Run.1</t>
  </si>
  <si>
    <t>Pass.1</t>
  </si>
  <si>
    <t>Waived.1</t>
  </si>
  <si>
    <t>Fail.1</t>
  </si>
  <si>
    <t>Skip.1</t>
  </si>
  <si>
    <t>% Pass Rate.1</t>
  </si>
  <si>
    <t/>
  </si>
  <si>
    <t>umc1.1,umc1.1.2</t>
  </si>
  <si>
    <t>umc382.1-90</t>
  </si>
  <si>
    <t>umc378.1-60</t>
  </si>
  <si>
    <t>umc379.1-124</t>
  </si>
  <si>
    <t>-chkedc=all -edcthresh=1</t>
  </si>
  <si>
    <t>Intenal_Debug</t>
  </si>
  <si>
    <t>umc.power_virus_combo_composite.1-8</t>
  </si>
  <si>
    <t>umc.stress_blt_composite.1-9</t>
  </si>
  <si>
    <t>umc.full_fb_rw_only/write_only.1-3</t>
  </si>
  <si>
    <t>umc.full_fb_rw_only/read_only.1-3</t>
  </si>
  <si>
    <t>umc.full_fb_rw_only/read_check.1-3</t>
  </si>
  <si>
    <t>umc.fb_dump.1-4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</si>
</sst>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name val="Calibri"/>
      <family val="2"/>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3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166" fontId="0" fillId="41" borderId="18"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0" fillId="52" borderId="10" xfId="0" applyFill="1" applyBorder="1" applyAlignment="1">
      <alignment vertical="center" wrapText="1"/>
    </xf>
    <xf numFmtId="0" fontId="0" fillId="52" borderId="13" xfId="0" applyFill="1" applyBorder="1" applyAlignment="1" applyProtection="1">
      <alignmen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0" borderId="10" xfId="0" applyBorder="1" applyAlignment="1">
      <alignment horizontal="center" vertical="center"/>
    </xf>
    <xf numFmtId="0" fontId="18" fillId="52" borderId="14" xfId="0" applyFont="1" applyFill="1" applyBorder="1" applyAlignment="1" applyProtection="1">
      <alignment vertical="center" wrapText="1"/>
      <protection locked="0"/>
    </xf>
    <xf numFmtId="0" fontId="18" fillId="52" borderId="18" xfId="0" applyFont="1" applyFill="1" applyBorder="1" applyAlignment="1" applyProtection="1">
      <alignment vertical="center" wrapText="1"/>
      <protection locked="0"/>
    </xf>
    <xf numFmtId="0" fontId="38" fillId="43" borderId="42"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0" borderId="14" xfId="0" applyBorder="1" applyAlignment="1">
      <alignment horizontal="center" vertical="center"/>
    </xf>
    <xf numFmtId="0" fontId="0" fillId="53" borderId="25" xfId="0" applyFill="1" applyBorder="1" applyAlignment="1">
      <alignment vertical="center" wrapText="1"/>
    </xf>
    <xf numFmtId="43" fontId="18" fillId="40" borderId="36" xfId="44" applyFont="1" applyFill="1" applyBorder="1" applyAlignment="1" applyProtection="1">
      <alignment horizontal="center" vertical="center"/>
      <protection locked="0"/>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49" fontId="0" fillId="0" borderId="0" xfId="0" applyNumberFormat="1"/>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0" fillId="52" borderId="65" xfId="0" applyFill="1" applyBorder="1" applyAlignment="1">
      <alignment horizontal="center" vertical="center"/>
    </xf>
    <xf numFmtId="49" fontId="0" fillId="52" borderId="66" xfId="0" applyNumberFormat="1"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5" fillId="0" borderId="10" xfId="0" applyFont="1" applyBorder="1" applyAlignment="1">
      <alignment horizontal="center" vertical="top"/>
    </xf>
    <xf numFmtId="0" fontId="45" fillId="0" borderId="10" xfId="0" applyFont="1" applyBorder="1" applyAlignment="1">
      <alignment horizontal="center" vertical="top" wrapText="1"/>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2.457030439815" createdVersion="7" refreshedVersion="7" minRefreshableVersion="3" recordCount="85" xr:uid="{1A4B38DE-26BF-4D62-838C-FB86175D2D34}">
  <cacheSource type="worksheet">
    <worksheetSource ref="L5:AG82" sheet="Diags Raw Data"/>
  </cacheSource>
  <cacheFields count="22">
    <cacheField name="Total Variations" numFmtId="0">
      <sharedItems containsSemiMixedTypes="0" containsString="0" containsNumber="1" containsInteger="1" minValue="1" maxValue="124"/>
    </cacheField>
    <cacheField name="Category" numFmtId="43">
      <sharedItems/>
    </cacheField>
    <cacheField name="% TP Done" numFmtId="10">
      <sharedItems containsSemiMixedTypes="0" containsString="0" containsNumber="1" containsInteger="1" minValue="1" maxValue="1"/>
    </cacheField>
    <cacheField name="# Written" numFmtId="0">
      <sharedItems containsString="0" containsBlank="1" containsNumber="1" containsInteger="1" minValue="1" maxValue="124"/>
    </cacheField>
    <cacheField name="% Code Done" numFmtId="9">
      <sharedItems containsSemiMixedTypes="0" containsString="0" containsNumber="1" containsInteger="1" minValue="0" maxValue="1"/>
    </cacheField>
    <cacheField name="P/S Env." numFmtId="0">
      <sharedItems/>
    </cacheField>
    <cacheField name="# of Planned Pre-Si Test Cases" numFmtId="0">
      <sharedItems containsSemiMixedTypes="0" containsString="0" containsNumber="1" containsInteger="1" minValue="1" maxValue="124"/>
    </cacheField>
    <cacheField name="Total Run" numFmtId="1">
      <sharedItems containsString="0" containsBlank="1" containsNumber="1" containsInteger="1" minValue="1" maxValue="90"/>
    </cacheField>
    <cacheField name="Pass" numFmtId="0">
      <sharedItems containsString="0" containsBlank="1" containsNumber="1" containsInteger="1" minValue="1" maxValue="90"/>
    </cacheField>
    <cacheField name="Waived" numFmtId="1">
      <sharedItems containsNonDate="0" containsString="0" containsBlank="1"/>
    </cacheField>
    <cacheField name="Fail" numFmtId="1">
      <sharedItems containsNonDate="0" containsString="0" containsBlank="1"/>
    </cacheField>
    <cacheField name="Skip" numFmtId="1">
      <sharedItems containsNonDate="0" containsString="0" containsBlank="1"/>
    </cacheField>
    <cacheField name="% Pass Rate" numFmtId="166">
      <sharedItems containsSemiMixedTypes="0" containsString="0"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SemiMixedTypes="0" containsString="0" containsNumber="1" containsInteger="1" minValue="0" maxValue="0"/>
    </cacheField>
    <cacheField name="Errors or Execution Comments / Notes" numFmtId="0">
      <sharedItems containsNonDate="0" containsString="0" containsBlank="1"/>
    </cacheField>
    <cacheField name="ETA" numFmtId="0">
      <sharedItems containsMixedTypes="1" containsNumber="1" containsInteger="1" minValue="0" maxValue="0" count="20">
        <s v="AB+2~4wk"/>
        <n v="0"/>
        <s v="AB+3wk"/>
        <s v="AB+2wk"/>
        <s v="AB+4wk"/>
        <s v="AB+8~9wk"/>
        <s v="AB+7wk"/>
        <s v="AB+9wk"/>
        <s v="AB+8wk"/>
        <s v="AB+5wk"/>
        <s v="AB+10wk"/>
        <s v="AB+12wk"/>
        <s v="AB+4~6wk"/>
        <s v="AB+5~7wk"/>
        <s v="AB+6wk"/>
        <s v="AB+11wk"/>
        <s v="N/A"/>
        <s v="AB+1wk"/>
        <s v="AB+13wk"/>
        <s v="AB+18w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73.492214004633" createdVersion="7" refreshedVersion="7" minRefreshableVersion="3" recordCount="107" xr:uid="{57D4717A-2508-4521-B54B-4DDD63A5DFD6}">
  <cacheSource type="worksheet">
    <worksheetSource ref="F6:U22" sheet="Feature Summary"/>
  </cacheSource>
  <cacheFields count="16">
    <cacheField name="Category" numFmtId="0">
      <sharedItems count="3">
        <s v="Modified"/>
        <s v="New"/>
        <s v="Legacy"/>
      </sharedItems>
    </cacheField>
    <cacheField name="Entitled?" numFmtId="0">
      <sharedItems/>
    </cacheField>
    <cacheField name="Committed?" numFmtId="0">
      <sharedItems count="2">
        <s v="Yes"/>
        <s v="No"/>
      </sharedItems>
    </cacheField>
    <cacheField name="Effort" numFmtId="0">
      <sharedItems containsSemiMixedTypes="0" containsString="0" containsNumber="1" containsInteger="1" minValue="0" maxValue="5"/>
    </cacheField>
    <cacheField name="# Tests Per Feature" numFmtId="0">
      <sharedItems containsSemiMixedTypes="0" containsString="0" containsNumber="1" containsInteger="1" minValue="0" maxValue="124"/>
    </cacheField>
    <cacheField name="% TP Done" numFmtId="166">
      <sharedItems containsMixedTypes="1" containsNumber="1" containsInteger="1" minValue="0" maxValue="1"/>
    </cacheField>
    <cacheField name="% Code Done" numFmtId="166">
      <sharedItems containsMixedTypes="1" containsNumber="1" minValue="0" maxValue="1"/>
    </cacheField>
    <cacheField name="# Planned" numFmtId="1">
      <sharedItems containsSemiMixedTypes="0" containsString="0" containsNumber="1" containsInteger="1" minValue="0" maxValue="124"/>
    </cacheField>
    <cacheField name="# Passed" numFmtId="1">
      <sharedItems containsSemiMixedTypes="0" containsString="0" containsNumber="1" containsInteger="1" minValue="0" maxValue="9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20">
        <s v="AB+3wk"/>
        <s v="AB+10wk"/>
        <s v="AB+18wk"/>
        <s v="AB+7wk"/>
        <s v="AB+8wk"/>
        <s v="AB+6wk"/>
        <s v="N/A"/>
        <s v="AB+5wk"/>
        <s v="AB+4wk"/>
        <s v="AB+2~4wk"/>
        <s v="AB+2wk"/>
        <s v="AB+4~6wk"/>
        <s v="AB+5~7wk"/>
        <s v="AB+8~9wk"/>
        <s v="AB+9wk"/>
        <s v="AB+12wk"/>
        <s v="AB+11wk"/>
        <s v="AB+13wk"/>
        <m/>
        <s v="AB+1wk"/>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n v="1"/>
    <s v="Legacy"/>
    <n v="1"/>
    <n v="1"/>
    <n v="1"/>
    <s v="Emulator"/>
    <n v="1"/>
    <n v="1"/>
    <n v="1"/>
    <m/>
    <m/>
    <m/>
    <n v="1"/>
    <m/>
    <m/>
    <m/>
    <m/>
    <m/>
    <m/>
    <n v="0"/>
    <m/>
    <x v="0"/>
  </r>
  <r>
    <n v="2"/>
    <s v="Legacy"/>
    <n v="1"/>
    <n v="2"/>
    <n v="1"/>
    <s v="Emulator"/>
    <n v="2"/>
    <n v="2"/>
    <n v="2"/>
    <m/>
    <m/>
    <m/>
    <n v="1"/>
    <m/>
    <m/>
    <m/>
    <m/>
    <m/>
    <m/>
    <n v="0"/>
    <m/>
    <x v="0"/>
  </r>
  <r>
    <n v="1"/>
    <s v="Legacy"/>
    <n v="1"/>
    <n v="1"/>
    <n v="1"/>
    <s v="Emulator"/>
    <n v="1"/>
    <n v="1"/>
    <n v="1"/>
    <m/>
    <m/>
    <m/>
    <n v="1"/>
    <m/>
    <m/>
    <m/>
    <m/>
    <m/>
    <m/>
    <n v="0"/>
    <m/>
    <x v="0"/>
  </r>
  <r>
    <n v="2"/>
    <s v="Legacy"/>
    <n v="1"/>
    <n v="2"/>
    <n v="1"/>
    <s v="N-1"/>
    <n v="2"/>
    <n v="2"/>
    <n v="2"/>
    <m/>
    <m/>
    <m/>
    <n v="1"/>
    <m/>
    <m/>
    <m/>
    <m/>
    <m/>
    <m/>
    <n v="0"/>
    <m/>
    <x v="1"/>
  </r>
  <r>
    <n v="2"/>
    <s v="Legacy"/>
    <n v="1"/>
    <n v="2"/>
    <n v="1"/>
    <s v="N-1"/>
    <n v="2"/>
    <n v="2"/>
    <n v="2"/>
    <m/>
    <m/>
    <m/>
    <n v="1"/>
    <m/>
    <m/>
    <m/>
    <m/>
    <m/>
    <m/>
    <n v="0"/>
    <m/>
    <x v="2"/>
  </r>
  <r>
    <n v="1"/>
    <s v="Legacy"/>
    <n v="1"/>
    <n v="1"/>
    <n v="1"/>
    <s v="N-1"/>
    <n v="1"/>
    <m/>
    <m/>
    <m/>
    <m/>
    <m/>
    <n v="0"/>
    <m/>
    <m/>
    <m/>
    <m/>
    <m/>
    <m/>
    <n v="0"/>
    <m/>
    <x v="3"/>
  </r>
  <r>
    <n v="1"/>
    <s v="Legacy"/>
    <n v="1"/>
    <n v="1"/>
    <n v="1"/>
    <s v="N-1"/>
    <n v="1"/>
    <m/>
    <m/>
    <m/>
    <m/>
    <m/>
    <n v="0"/>
    <m/>
    <m/>
    <m/>
    <m/>
    <m/>
    <m/>
    <n v="0"/>
    <m/>
    <x v="4"/>
  </r>
  <r>
    <n v="3"/>
    <s v="Legacy"/>
    <n v="1"/>
    <n v="3"/>
    <n v="1"/>
    <s v="Emulator"/>
    <n v="3"/>
    <n v="1"/>
    <n v="1"/>
    <m/>
    <m/>
    <m/>
    <n v="1"/>
    <m/>
    <m/>
    <m/>
    <m/>
    <m/>
    <m/>
    <n v="0"/>
    <m/>
    <x v="5"/>
  </r>
  <r>
    <n v="3"/>
    <s v="Legacy"/>
    <n v="1"/>
    <n v="3"/>
    <n v="1"/>
    <s v="N-1"/>
    <n v="3"/>
    <n v="3"/>
    <n v="3"/>
    <m/>
    <m/>
    <m/>
    <n v="1"/>
    <m/>
    <m/>
    <m/>
    <m/>
    <m/>
    <m/>
    <n v="0"/>
    <m/>
    <x v="6"/>
  </r>
  <r>
    <n v="3"/>
    <s v="Legacy"/>
    <n v="1"/>
    <n v="3"/>
    <n v="1"/>
    <s v="N-1"/>
    <n v="3"/>
    <n v="3"/>
    <n v="3"/>
    <m/>
    <m/>
    <m/>
    <n v="1"/>
    <m/>
    <m/>
    <m/>
    <m/>
    <m/>
    <m/>
    <n v="0"/>
    <m/>
    <x v="2"/>
  </r>
  <r>
    <n v="3"/>
    <s v="Legacy"/>
    <n v="1"/>
    <n v="3"/>
    <n v="1"/>
    <s v="N-1"/>
    <n v="3"/>
    <n v="3"/>
    <n v="3"/>
    <m/>
    <m/>
    <m/>
    <n v="1"/>
    <m/>
    <m/>
    <m/>
    <m/>
    <m/>
    <m/>
    <n v="0"/>
    <m/>
    <x v="7"/>
  </r>
  <r>
    <n v="3"/>
    <s v="Legacy"/>
    <n v="1"/>
    <n v="3"/>
    <n v="1"/>
    <s v="N-1"/>
    <n v="3"/>
    <n v="3"/>
    <n v="3"/>
    <m/>
    <m/>
    <m/>
    <n v="1"/>
    <m/>
    <m/>
    <m/>
    <m/>
    <m/>
    <m/>
    <n v="0"/>
    <m/>
    <x v="6"/>
  </r>
  <r>
    <n v="1"/>
    <s v="Legacy"/>
    <n v="1"/>
    <n v="1"/>
    <n v="1"/>
    <s v="N-1"/>
    <n v="1"/>
    <m/>
    <m/>
    <m/>
    <m/>
    <m/>
    <n v="0"/>
    <m/>
    <m/>
    <m/>
    <m/>
    <m/>
    <m/>
    <n v="0"/>
    <m/>
    <x v="8"/>
  </r>
  <r>
    <n v="1"/>
    <s v="Legacy"/>
    <n v="1"/>
    <n v="1"/>
    <n v="1"/>
    <s v="N-1"/>
    <n v="1"/>
    <m/>
    <m/>
    <m/>
    <m/>
    <m/>
    <n v="0"/>
    <m/>
    <m/>
    <m/>
    <m/>
    <m/>
    <m/>
    <n v="0"/>
    <m/>
    <x v="9"/>
  </r>
  <r>
    <n v="3"/>
    <s v="Legacy"/>
    <n v="1"/>
    <n v="3"/>
    <n v="1"/>
    <s v="N-1"/>
    <n v="3"/>
    <n v="3"/>
    <n v="3"/>
    <m/>
    <m/>
    <m/>
    <n v="1"/>
    <m/>
    <m/>
    <m/>
    <m/>
    <m/>
    <m/>
    <n v="0"/>
    <m/>
    <x v="9"/>
  </r>
  <r>
    <n v="3"/>
    <s v="Legacy"/>
    <n v="1"/>
    <n v="3"/>
    <n v="1"/>
    <s v="N-1"/>
    <n v="3"/>
    <n v="3"/>
    <n v="3"/>
    <m/>
    <m/>
    <m/>
    <n v="1"/>
    <m/>
    <m/>
    <m/>
    <m/>
    <m/>
    <m/>
    <n v="0"/>
    <m/>
    <x v="10"/>
  </r>
  <r>
    <n v="3"/>
    <s v="Legacy"/>
    <n v="1"/>
    <n v="3"/>
    <n v="1"/>
    <s v="N-1"/>
    <n v="3"/>
    <n v="3"/>
    <n v="3"/>
    <m/>
    <m/>
    <m/>
    <n v="1"/>
    <m/>
    <m/>
    <m/>
    <m/>
    <m/>
    <m/>
    <n v="0"/>
    <m/>
    <x v="2"/>
  </r>
  <r>
    <n v="3"/>
    <s v="Legacy"/>
    <n v="1"/>
    <n v="3"/>
    <n v="1"/>
    <s v="N-1"/>
    <n v="3"/>
    <n v="3"/>
    <n v="3"/>
    <m/>
    <m/>
    <m/>
    <n v="1"/>
    <m/>
    <m/>
    <m/>
    <m/>
    <m/>
    <m/>
    <n v="0"/>
    <m/>
    <x v="10"/>
  </r>
  <r>
    <n v="3"/>
    <s v="Legacy"/>
    <n v="1"/>
    <n v="3"/>
    <n v="1"/>
    <s v="N-1"/>
    <n v="3"/>
    <n v="3"/>
    <n v="3"/>
    <m/>
    <m/>
    <m/>
    <n v="1"/>
    <m/>
    <m/>
    <m/>
    <m/>
    <m/>
    <m/>
    <n v="0"/>
    <m/>
    <x v="11"/>
  </r>
  <r>
    <n v="8"/>
    <s v="Legacy"/>
    <n v="1"/>
    <n v="8"/>
    <n v="1"/>
    <s v="N-1"/>
    <n v="8"/>
    <n v="8"/>
    <n v="8"/>
    <m/>
    <m/>
    <m/>
    <n v="1"/>
    <m/>
    <m/>
    <m/>
    <m/>
    <m/>
    <m/>
    <n v="0"/>
    <m/>
    <x v="12"/>
  </r>
  <r>
    <n v="8"/>
    <s v="Legacy"/>
    <n v="1"/>
    <n v="8"/>
    <n v="1"/>
    <s v="N-1"/>
    <n v="8"/>
    <n v="8"/>
    <n v="8"/>
    <m/>
    <m/>
    <m/>
    <n v="1"/>
    <m/>
    <m/>
    <m/>
    <m/>
    <m/>
    <m/>
    <n v="0"/>
    <m/>
    <x v="13"/>
  </r>
  <r>
    <n v="8"/>
    <s v="Legacy"/>
    <n v="1"/>
    <n v="8"/>
    <n v="1"/>
    <s v="N-1"/>
    <n v="8"/>
    <n v="8"/>
    <n v="8"/>
    <m/>
    <m/>
    <m/>
    <n v="1"/>
    <m/>
    <m/>
    <m/>
    <m/>
    <m/>
    <m/>
    <n v="0"/>
    <m/>
    <x v="10"/>
  </r>
  <r>
    <n v="10"/>
    <s v="Legacy"/>
    <n v="1"/>
    <n v="10"/>
    <n v="1"/>
    <s v="N-1"/>
    <n v="10"/>
    <n v="10"/>
    <n v="10"/>
    <m/>
    <m/>
    <m/>
    <n v="1"/>
    <m/>
    <m/>
    <m/>
    <m/>
    <m/>
    <m/>
    <n v="0"/>
    <m/>
    <x v="10"/>
  </r>
  <r>
    <n v="90"/>
    <s v="Legacy"/>
    <n v="1"/>
    <n v="90"/>
    <n v="1"/>
    <s v="N-1"/>
    <n v="90"/>
    <n v="90"/>
    <n v="90"/>
    <m/>
    <m/>
    <m/>
    <n v="1"/>
    <m/>
    <m/>
    <m/>
    <m/>
    <m/>
    <m/>
    <n v="0"/>
    <m/>
    <x v="8"/>
  </r>
  <r>
    <n v="60"/>
    <s v="Legacy"/>
    <n v="1"/>
    <n v="60"/>
    <n v="1"/>
    <s v="N-1"/>
    <n v="60"/>
    <m/>
    <m/>
    <m/>
    <m/>
    <m/>
    <n v="0"/>
    <m/>
    <m/>
    <m/>
    <m/>
    <m/>
    <m/>
    <n v="0"/>
    <m/>
    <x v="2"/>
  </r>
  <r>
    <n v="124"/>
    <s v="Legacy"/>
    <n v="1"/>
    <n v="124"/>
    <n v="1"/>
    <s v="N-1"/>
    <n v="124"/>
    <m/>
    <m/>
    <m/>
    <m/>
    <m/>
    <n v="0"/>
    <m/>
    <m/>
    <m/>
    <m/>
    <m/>
    <m/>
    <n v="0"/>
    <m/>
    <x v="2"/>
  </r>
  <r>
    <n v="1"/>
    <s v="Legacy"/>
    <n v="1"/>
    <n v="1"/>
    <n v="1"/>
    <s v="N-1"/>
    <n v="1"/>
    <m/>
    <m/>
    <m/>
    <m/>
    <m/>
    <n v="0"/>
    <m/>
    <m/>
    <m/>
    <m/>
    <m/>
    <m/>
    <n v="0"/>
    <m/>
    <x v="4"/>
  </r>
  <r>
    <n v="1"/>
    <s v="Legacy"/>
    <n v="1"/>
    <n v="1"/>
    <n v="1"/>
    <s v="N-1"/>
    <n v="1"/>
    <m/>
    <m/>
    <m/>
    <m/>
    <m/>
    <n v="0"/>
    <m/>
    <m/>
    <m/>
    <m/>
    <m/>
    <m/>
    <n v="0"/>
    <m/>
    <x v="4"/>
  </r>
  <r>
    <n v="14"/>
    <s v="Legacy"/>
    <n v="1"/>
    <n v="14"/>
    <n v="1"/>
    <s v="N-1"/>
    <n v="14"/>
    <m/>
    <m/>
    <m/>
    <m/>
    <m/>
    <n v="0"/>
    <m/>
    <m/>
    <m/>
    <m/>
    <m/>
    <m/>
    <n v="0"/>
    <m/>
    <x v="4"/>
  </r>
  <r>
    <n v="13"/>
    <s v="Legacy"/>
    <n v="1"/>
    <n v="13"/>
    <n v="1"/>
    <s v="N-1"/>
    <n v="13"/>
    <m/>
    <m/>
    <m/>
    <m/>
    <m/>
    <n v="0"/>
    <m/>
    <m/>
    <m/>
    <m/>
    <m/>
    <m/>
    <n v="0"/>
    <m/>
    <x v="9"/>
  </r>
  <r>
    <n v="38"/>
    <s v="Legacy"/>
    <n v="1"/>
    <n v="38"/>
    <n v="1"/>
    <s v="N-1"/>
    <n v="38"/>
    <m/>
    <m/>
    <m/>
    <m/>
    <m/>
    <n v="0"/>
    <m/>
    <m/>
    <m/>
    <m/>
    <m/>
    <m/>
    <n v="0"/>
    <m/>
    <x v="8"/>
  </r>
  <r>
    <n v="23"/>
    <s v="Legacy"/>
    <n v="1"/>
    <n v="23"/>
    <n v="1"/>
    <s v="N-1"/>
    <n v="23"/>
    <m/>
    <m/>
    <m/>
    <m/>
    <m/>
    <n v="0"/>
    <m/>
    <m/>
    <m/>
    <m/>
    <m/>
    <m/>
    <n v="0"/>
    <m/>
    <x v="14"/>
  </r>
  <r>
    <n v="12"/>
    <s v="Legacy"/>
    <n v="1"/>
    <n v="12"/>
    <n v="1"/>
    <s v="N-1"/>
    <n v="12"/>
    <m/>
    <m/>
    <m/>
    <m/>
    <m/>
    <n v="0"/>
    <m/>
    <m/>
    <m/>
    <m/>
    <m/>
    <m/>
    <n v="0"/>
    <m/>
    <x v="2"/>
  </r>
  <r>
    <n v="53"/>
    <s v="Legacy"/>
    <n v="1"/>
    <n v="53"/>
    <n v="1"/>
    <s v="N-1"/>
    <n v="53"/>
    <m/>
    <m/>
    <m/>
    <m/>
    <m/>
    <n v="0"/>
    <m/>
    <m/>
    <m/>
    <m/>
    <m/>
    <m/>
    <n v="0"/>
    <m/>
    <x v="2"/>
  </r>
  <r>
    <n v="12"/>
    <s v="Legacy"/>
    <n v="1"/>
    <n v="12"/>
    <n v="1"/>
    <s v="N-1"/>
    <n v="12"/>
    <m/>
    <m/>
    <m/>
    <m/>
    <m/>
    <n v="0"/>
    <m/>
    <m/>
    <m/>
    <m/>
    <m/>
    <m/>
    <n v="0"/>
    <m/>
    <x v="4"/>
  </r>
  <r>
    <n v="13"/>
    <s v="Legacy"/>
    <n v="1"/>
    <n v="13"/>
    <n v="1"/>
    <s v="N-1"/>
    <n v="13"/>
    <m/>
    <m/>
    <m/>
    <m/>
    <m/>
    <n v="0"/>
    <m/>
    <m/>
    <m/>
    <m/>
    <m/>
    <m/>
    <n v="0"/>
    <m/>
    <x v="9"/>
  </r>
  <r>
    <n v="38"/>
    <s v="Legacy"/>
    <n v="1"/>
    <n v="38"/>
    <n v="1"/>
    <s v="N-1"/>
    <n v="38"/>
    <m/>
    <m/>
    <m/>
    <m/>
    <m/>
    <n v="0"/>
    <m/>
    <m/>
    <m/>
    <m/>
    <m/>
    <m/>
    <n v="0"/>
    <m/>
    <x v="9"/>
  </r>
  <r>
    <n v="23"/>
    <s v="Legacy"/>
    <n v="1"/>
    <n v="23"/>
    <n v="1"/>
    <s v="N-1"/>
    <n v="23"/>
    <m/>
    <m/>
    <m/>
    <m/>
    <m/>
    <n v="0"/>
    <m/>
    <m/>
    <m/>
    <m/>
    <m/>
    <m/>
    <n v="0"/>
    <m/>
    <x v="8"/>
  </r>
  <r>
    <n v="12"/>
    <s v="Legacy"/>
    <n v="1"/>
    <n v="12"/>
    <n v="1"/>
    <s v="N-1"/>
    <n v="12"/>
    <m/>
    <m/>
    <m/>
    <m/>
    <m/>
    <n v="0"/>
    <m/>
    <m/>
    <m/>
    <m/>
    <m/>
    <m/>
    <n v="0"/>
    <m/>
    <x v="6"/>
  </r>
  <r>
    <n v="53"/>
    <s v="Legacy"/>
    <n v="1"/>
    <n v="53"/>
    <n v="1"/>
    <s v="N-1"/>
    <n v="53"/>
    <m/>
    <m/>
    <m/>
    <m/>
    <m/>
    <n v="0"/>
    <m/>
    <m/>
    <m/>
    <m/>
    <m/>
    <m/>
    <n v="0"/>
    <m/>
    <x v="2"/>
  </r>
  <r>
    <n v="12"/>
    <s v="Legacy"/>
    <n v="1"/>
    <n v="12"/>
    <n v="1"/>
    <s v="N-1"/>
    <n v="12"/>
    <m/>
    <m/>
    <m/>
    <m/>
    <m/>
    <n v="0"/>
    <m/>
    <m/>
    <m/>
    <m/>
    <m/>
    <m/>
    <n v="0"/>
    <m/>
    <x v="2"/>
  </r>
  <r>
    <n v="13"/>
    <s v="Legacy"/>
    <n v="1"/>
    <n v="13"/>
    <n v="1"/>
    <s v="N-1"/>
    <n v="13"/>
    <m/>
    <m/>
    <m/>
    <m/>
    <m/>
    <n v="0"/>
    <m/>
    <m/>
    <m/>
    <m/>
    <m/>
    <m/>
    <n v="0"/>
    <m/>
    <x v="9"/>
  </r>
  <r>
    <n v="38"/>
    <s v="Legacy"/>
    <n v="1"/>
    <n v="38"/>
    <n v="1"/>
    <s v="N-1"/>
    <n v="38"/>
    <m/>
    <m/>
    <m/>
    <m/>
    <m/>
    <n v="0"/>
    <m/>
    <m/>
    <m/>
    <m/>
    <m/>
    <m/>
    <n v="0"/>
    <m/>
    <x v="7"/>
  </r>
  <r>
    <n v="23"/>
    <s v="Legacy"/>
    <n v="1"/>
    <n v="23"/>
    <n v="1"/>
    <s v="N-1"/>
    <n v="23"/>
    <m/>
    <m/>
    <m/>
    <m/>
    <m/>
    <n v="0"/>
    <m/>
    <m/>
    <m/>
    <m/>
    <m/>
    <m/>
    <n v="0"/>
    <m/>
    <x v="14"/>
  </r>
  <r>
    <n v="12"/>
    <s v="Legacy"/>
    <n v="1"/>
    <n v="12"/>
    <n v="1"/>
    <s v="N-1"/>
    <n v="12"/>
    <m/>
    <m/>
    <m/>
    <m/>
    <m/>
    <n v="0"/>
    <m/>
    <m/>
    <m/>
    <m/>
    <m/>
    <m/>
    <n v="0"/>
    <m/>
    <x v="14"/>
  </r>
  <r>
    <n v="53"/>
    <s v="Legacy"/>
    <n v="1"/>
    <n v="53"/>
    <n v="1"/>
    <s v="N-1"/>
    <n v="53"/>
    <m/>
    <m/>
    <m/>
    <m/>
    <m/>
    <n v="0"/>
    <m/>
    <m/>
    <m/>
    <m/>
    <m/>
    <m/>
    <n v="0"/>
    <m/>
    <x v="6"/>
  </r>
  <r>
    <n v="12"/>
    <s v="Legacy"/>
    <n v="1"/>
    <n v="12"/>
    <n v="1"/>
    <s v="N-1"/>
    <n v="12"/>
    <m/>
    <m/>
    <m/>
    <m/>
    <m/>
    <n v="0"/>
    <m/>
    <m/>
    <m/>
    <m/>
    <m/>
    <m/>
    <n v="0"/>
    <m/>
    <x v="6"/>
  </r>
  <r>
    <n v="13"/>
    <s v="Legacy"/>
    <n v="1"/>
    <n v="13"/>
    <n v="1"/>
    <s v="N-1"/>
    <n v="13"/>
    <m/>
    <m/>
    <m/>
    <m/>
    <m/>
    <n v="0"/>
    <m/>
    <m/>
    <m/>
    <m/>
    <m/>
    <m/>
    <n v="0"/>
    <m/>
    <x v="15"/>
  </r>
  <r>
    <n v="38"/>
    <s v="Legacy"/>
    <n v="1"/>
    <n v="38"/>
    <n v="1"/>
    <s v="N-1"/>
    <n v="38"/>
    <m/>
    <m/>
    <m/>
    <m/>
    <m/>
    <n v="0"/>
    <m/>
    <m/>
    <m/>
    <m/>
    <m/>
    <m/>
    <n v="0"/>
    <m/>
    <x v="7"/>
  </r>
  <r>
    <n v="23"/>
    <s v="Legacy"/>
    <n v="1"/>
    <n v="23"/>
    <n v="1"/>
    <s v="Emulator"/>
    <n v="23"/>
    <m/>
    <m/>
    <m/>
    <m/>
    <m/>
    <n v="0"/>
    <m/>
    <m/>
    <m/>
    <m/>
    <m/>
    <m/>
    <n v="0"/>
    <m/>
    <x v="7"/>
  </r>
  <r>
    <n v="12"/>
    <s v="Legacy"/>
    <n v="1"/>
    <n v="12"/>
    <n v="1"/>
    <s v="N-1"/>
    <n v="12"/>
    <m/>
    <m/>
    <m/>
    <m/>
    <m/>
    <n v="0"/>
    <m/>
    <m/>
    <m/>
    <m/>
    <m/>
    <m/>
    <n v="0"/>
    <m/>
    <x v="10"/>
  </r>
  <r>
    <n v="53"/>
    <s v="Legacy"/>
    <n v="1"/>
    <n v="53"/>
    <n v="1"/>
    <s v="N-1"/>
    <n v="53"/>
    <m/>
    <m/>
    <m/>
    <m/>
    <m/>
    <n v="0"/>
    <m/>
    <m/>
    <m/>
    <m/>
    <m/>
    <m/>
    <n v="0"/>
    <m/>
    <x v="10"/>
  </r>
  <r>
    <n v="12"/>
    <s v="Legacy"/>
    <n v="1"/>
    <n v="12"/>
    <n v="1"/>
    <s v="N-1"/>
    <n v="12"/>
    <m/>
    <m/>
    <m/>
    <m/>
    <m/>
    <n v="0"/>
    <m/>
    <m/>
    <m/>
    <m/>
    <m/>
    <m/>
    <n v="0"/>
    <m/>
    <x v="14"/>
  </r>
  <r>
    <n v="13"/>
    <s v="Legacy"/>
    <n v="1"/>
    <n v="13"/>
    <n v="1"/>
    <s v="N-1"/>
    <n v="13"/>
    <m/>
    <m/>
    <m/>
    <m/>
    <m/>
    <n v="0"/>
    <m/>
    <m/>
    <m/>
    <m/>
    <m/>
    <m/>
    <n v="0"/>
    <m/>
    <x v="6"/>
  </r>
  <r>
    <n v="38"/>
    <s v="Legacy"/>
    <n v="1"/>
    <n v="38"/>
    <n v="1"/>
    <s v="N-1"/>
    <n v="38"/>
    <m/>
    <m/>
    <m/>
    <m/>
    <m/>
    <n v="0"/>
    <m/>
    <m/>
    <m/>
    <m/>
    <m/>
    <m/>
    <n v="0"/>
    <m/>
    <x v="6"/>
  </r>
  <r>
    <n v="23"/>
    <s v="Legacy"/>
    <n v="1"/>
    <n v="23"/>
    <n v="1"/>
    <s v="N-1"/>
    <n v="23"/>
    <m/>
    <m/>
    <m/>
    <m/>
    <m/>
    <n v="0"/>
    <m/>
    <m/>
    <m/>
    <m/>
    <m/>
    <m/>
    <n v="0"/>
    <m/>
    <x v="16"/>
  </r>
  <r>
    <n v="8"/>
    <s v="Legacy"/>
    <n v="1"/>
    <n v="8"/>
    <n v="1"/>
    <s v="N-1"/>
    <n v="8"/>
    <m/>
    <m/>
    <m/>
    <m/>
    <m/>
    <n v="0"/>
    <m/>
    <m/>
    <m/>
    <m/>
    <m/>
    <m/>
    <n v="0"/>
    <m/>
    <x v="9"/>
  </r>
  <r>
    <n v="53"/>
    <s v="Legacy"/>
    <n v="1"/>
    <n v="53"/>
    <n v="1"/>
    <s v="N-1"/>
    <n v="53"/>
    <m/>
    <m/>
    <m/>
    <m/>
    <m/>
    <n v="0"/>
    <m/>
    <m/>
    <m/>
    <m/>
    <m/>
    <m/>
    <n v="0"/>
    <m/>
    <x v="4"/>
  </r>
  <r>
    <n v="8"/>
    <s v="Legacy"/>
    <n v="1"/>
    <n v="8"/>
    <n v="1"/>
    <s v="N-1"/>
    <n v="8"/>
    <m/>
    <m/>
    <m/>
    <m/>
    <m/>
    <n v="0"/>
    <m/>
    <m/>
    <m/>
    <m/>
    <m/>
    <m/>
    <n v="0"/>
    <m/>
    <x v="10"/>
  </r>
  <r>
    <n v="8"/>
    <s v="Legacy"/>
    <n v="1"/>
    <n v="8"/>
    <n v="1"/>
    <s v="N-1"/>
    <n v="8"/>
    <m/>
    <m/>
    <m/>
    <m/>
    <m/>
    <n v="0"/>
    <m/>
    <m/>
    <m/>
    <m/>
    <m/>
    <m/>
    <n v="0"/>
    <m/>
    <x v="10"/>
  </r>
  <r>
    <n v="7"/>
    <s v="Legacy"/>
    <n v="1"/>
    <m/>
    <n v="0"/>
    <s v="N-1"/>
    <n v="7"/>
    <m/>
    <m/>
    <m/>
    <m/>
    <m/>
    <n v="0"/>
    <m/>
    <m/>
    <m/>
    <m/>
    <m/>
    <m/>
    <n v="0"/>
    <m/>
    <x v="2"/>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7"/>
  </r>
  <r>
    <n v="1"/>
    <s v="Legacy"/>
    <n v="1"/>
    <m/>
    <n v="0"/>
    <s v="N-1"/>
    <n v="1"/>
    <m/>
    <m/>
    <m/>
    <m/>
    <m/>
    <n v="0"/>
    <m/>
    <m/>
    <m/>
    <m/>
    <m/>
    <m/>
    <n v="0"/>
    <m/>
    <x v="11"/>
  </r>
  <r>
    <n v="1"/>
    <s v="Legacy"/>
    <n v="1"/>
    <m/>
    <n v="0"/>
    <s v="N-1"/>
    <n v="1"/>
    <m/>
    <m/>
    <m/>
    <m/>
    <m/>
    <n v="0"/>
    <m/>
    <m/>
    <m/>
    <m/>
    <m/>
    <m/>
    <n v="0"/>
    <m/>
    <x v="10"/>
  </r>
  <r>
    <n v="1"/>
    <s v="Legacy"/>
    <n v="1"/>
    <m/>
    <n v="0"/>
    <s v="N-1"/>
    <n v="1"/>
    <m/>
    <m/>
    <m/>
    <m/>
    <m/>
    <n v="0"/>
    <m/>
    <m/>
    <m/>
    <m/>
    <m/>
    <m/>
    <n v="0"/>
    <m/>
    <x v="10"/>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6"/>
  </r>
  <r>
    <n v="1"/>
    <s v="Legacy"/>
    <n v="1"/>
    <m/>
    <n v="0"/>
    <s v="N-1"/>
    <n v="1"/>
    <m/>
    <m/>
    <m/>
    <m/>
    <m/>
    <n v="0"/>
    <m/>
    <m/>
    <m/>
    <m/>
    <m/>
    <m/>
    <n v="0"/>
    <m/>
    <x v="15"/>
  </r>
  <r>
    <n v="1"/>
    <s v="Legacy"/>
    <n v="1"/>
    <m/>
    <n v="0"/>
    <s v="N-1"/>
    <n v="1"/>
    <m/>
    <m/>
    <m/>
    <m/>
    <m/>
    <n v="0"/>
    <m/>
    <m/>
    <m/>
    <m/>
    <m/>
    <m/>
    <n v="0"/>
    <m/>
    <x v="11"/>
  </r>
  <r>
    <n v="1"/>
    <s v="Legacy"/>
    <n v="1"/>
    <m/>
    <n v="0"/>
    <s v="N-1"/>
    <n v="1"/>
    <m/>
    <m/>
    <m/>
    <m/>
    <m/>
    <n v="0"/>
    <m/>
    <m/>
    <m/>
    <m/>
    <m/>
    <m/>
    <n v="0"/>
    <m/>
    <x v="18"/>
  </r>
  <r>
    <n v="2"/>
    <s v="Legacy"/>
    <n v="1"/>
    <m/>
    <n v="0"/>
    <s v="N-1"/>
    <n v="2"/>
    <m/>
    <m/>
    <m/>
    <m/>
    <m/>
    <n v="0"/>
    <m/>
    <m/>
    <m/>
    <m/>
    <m/>
    <m/>
    <n v="0"/>
    <m/>
    <x v="7"/>
  </r>
  <r>
    <n v="1"/>
    <s v="Legacy"/>
    <n v="1"/>
    <n v="1"/>
    <n v="1"/>
    <s v="N-1"/>
    <n v="1"/>
    <m/>
    <m/>
    <m/>
    <m/>
    <m/>
    <n v="0"/>
    <m/>
    <m/>
    <m/>
    <m/>
    <m/>
    <m/>
    <n v="0"/>
    <m/>
    <x v="7"/>
  </r>
  <r>
    <n v="3"/>
    <s v="Legacy"/>
    <n v="1"/>
    <n v="3"/>
    <n v="1"/>
    <s v="N-1"/>
    <n v="3"/>
    <m/>
    <m/>
    <m/>
    <m/>
    <m/>
    <n v="0"/>
    <m/>
    <m/>
    <m/>
    <m/>
    <m/>
    <m/>
    <n v="0"/>
    <m/>
    <x v="1"/>
  </r>
  <r>
    <n v="6"/>
    <s v="Legacy"/>
    <n v="1"/>
    <n v="6"/>
    <n v="1"/>
    <s v="N-1"/>
    <n v="6"/>
    <m/>
    <m/>
    <m/>
    <m/>
    <m/>
    <n v="0"/>
    <m/>
    <m/>
    <m/>
    <m/>
    <m/>
    <m/>
    <n v="0"/>
    <m/>
    <x v="2"/>
  </r>
  <r>
    <n v="10"/>
    <s v="Legacy"/>
    <n v="1"/>
    <n v="10"/>
    <n v="1"/>
    <s v="N-1"/>
    <n v="10"/>
    <m/>
    <m/>
    <m/>
    <m/>
    <m/>
    <n v="0"/>
    <m/>
    <m/>
    <m/>
    <m/>
    <m/>
    <m/>
    <n v="0"/>
    <m/>
    <x v="19"/>
  </r>
  <r>
    <n v="1"/>
    <s v="Legacy"/>
    <n v="1"/>
    <n v="1"/>
    <n v="1"/>
    <s v="N-1"/>
    <n v="1"/>
    <m/>
    <m/>
    <m/>
    <m/>
    <m/>
    <n v="0"/>
    <m/>
    <m/>
    <m/>
    <m/>
    <m/>
    <m/>
    <n v="0"/>
    <m/>
    <x v="6"/>
  </r>
  <r>
    <n v="1"/>
    <s v="Legacy"/>
    <n v="1"/>
    <n v="1"/>
    <n v="1"/>
    <s v="N-1"/>
    <n v="1"/>
    <m/>
    <m/>
    <m/>
    <m/>
    <m/>
    <n v="0"/>
    <m/>
    <m/>
    <m/>
    <m/>
    <m/>
    <m/>
    <n v="0"/>
    <m/>
    <x v="8"/>
  </r>
  <r>
    <n v="1"/>
    <s v="Legacy"/>
    <n v="1"/>
    <m/>
    <n v="0"/>
    <s v="N-1"/>
    <n v="1"/>
    <m/>
    <m/>
    <m/>
    <m/>
    <m/>
    <n v="0"/>
    <m/>
    <m/>
    <m/>
    <m/>
    <m/>
    <m/>
    <n v="0"/>
    <m/>
    <x v="19"/>
  </r>
  <r>
    <n v="1"/>
    <s v="Legacy"/>
    <n v="1"/>
    <m/>
    <n v="0"/>
    <s v="Emulator"/>
    <n v="1"/>
    <n v="1"/>
    <n v="1"/>
    <m/>
    <m/>
    <m/>
    <n v="1"/>
    <m/>
    <m/>
    <m/>
    <m/>
    <m/>
    <m/>
    <n v="0"/>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s v="Yes"/>
    <x v="0"/>
    <n v="1"/>
    <n v="6"/>
    <n v="1"/>
    <n v="1"/>
    <n v="6"/>
    <n v="0"/>
    <n v="0"/>
    <n v="0"/>
    <n v="0"/>
    <n v="0"/>
    <n v="0"/>
    <n v="0"/>
    <x v="0"/>
  </r>
  <r>
    <x v="1"/>
    <s v="Yes"/>
    <x v="0"/>
    <n v="2"/>
    <n v="4"/>
    <n v="1"/>
    <n v="0"/>
    <n v="4"/>
    <n v="0"/>
    <n v="0"/>
    <n v="0"/>
    <n v="0"/>
    <n v="0"/>
    <n v="0"/>
    <n v="0"/>
    <x v="1"/>
  </r>
  <r>
    <x v="1"/>
    <s v="Yes"/>
    <x v="0"/>
    <n v="2"/>
    <n v="11"/>
    <n v="1"/>
    <n v="0.90909090909090906"/>
    <n v="11"/>
    <n v="0"/>
    <n v="0"/>
    <n v="0"/>
    <n v="0"/>
    <n v="0"/>
    <n v="0"/>
    <n v="0"/>
    <x v="2"/>
  </r>
  <r>
    <x v="0"/>
    <s v="Yes"/>
    <x v="0"/>
    <n v="1"/>
    <n v="1"/>
    <n v="1"/>
    <n v="1"/>
    <n v="1"/>
    <n v="0"/>
    <n v="0"/>
    <n v="0"/>
    <n v="0"/>
    <n v="0"/>
    <n v="0"/>
    <n v="0"/>
    <x v="3"/>
  </r>
  <r>
    <x v="0"/>
    <s v="Yes"/>
    <x v="0"/>
    <n v="1"/>
    <n v="1"/>
    <n v="1"/>
    <n v="1"/>
    <n v="1"/>
    <n v="0"/>
    <n v="0"/>
    <n v="0"/>
    <n v="0"/>
    <n v="0"/>
    <n v="0"/>
    <n v="0"/>
    <x v="4"/>
  </r>
  <r>
    <x v="1"/>
    <s v="Yes"/>
    <x v="0"/>
    <n v="1"/>
    <n v="3"/>
    <n v="1"/>
    <n v="0"/>
    <n v="3"/>
    <n v="0"/>
    <n v="0"/>
    <n v="0"/>
    <n v="0"/>
    <n v="0"/>
    <n v="0"/>
    <n v="0"/>
    <x v="5"/>
  </r>
  <r>
    <x v="1"/>
    <s v="Yes"/>
    <x v="0"/>
    <n v="1"/>
    <n v="23"/>
    <n v="1"/>
    <n v="1"/>
    <n v="23"/>
    <n v="0"/>
    <n v="0"/>
    <n v="0"/>
    <n v="0"/>
    <n v="0"/>
    <n v="0"/>
    <n v="0"/>
    <x v="6"/>
  </r>
  <r>
    <x v="0"/>
    <s v="Yes"/>
    <x v="0"/>
    <n v="1"/>
    <n v="8"/>
    <n v="1"/>
    <n v="1"/>
    <n v="8"/>
    <n v="0"/>
    <n v="0"/>
    <n v="0"/>
    <n v="0"/>
    <n v="0"/>
    <n v="0"/>
    <n v="0"/>
    <x v="7"/>
  </r>
  <r>
    <x v="1"/>
    <s v="Yes"/>
    <x v="0"/>
    <n v="0"/>
    <n v="0"/>
    <e v="#DIV/0!"/>
    <e v="#DIV/0!"/>
    <n v="0"/>
    <n v="0"/>
    <n v="0"/>
    <n v="0"/>
    <n v="0"/>
    <n v="0"/>
    <n v="0"/>
    <n v="0"/>
    <x v="4"/>
  </r>
  <r>
    <x v="0"/>
    <s v="Yes"/>
    <x v="0"/>
    <n v="3"/>
    <n v="3"/>
    <n v="1"/>
    <n v="0"/>
    <n v="3"/>
    <n v="0"/>
    <n v="0"/>
    <n v="0"/>
    <n v="0"/>
    <n v="0"/>
    <n v="0"/>
    <n v="0"/>
    <x v="3"/>
  </r>
  <r>
    <x v="0"/>
    <s v="Yes"/>
    <x v="0"/>
    <n v="1"/>
    <n v="53"/>
    <n v="1"/>
    <n v="1"/>
    <n v="53"/>
    <n v="0"/>
    <n v="0"/>
    <n v="0"/>
    <n v="0"/>
    <n v="0"/>
    <n v="0"/>
    <n v="0"/>
    <x v="8"/>
  </r>
  <r>
    <x v="2"/>
    <s v="Yes"/>
    <x v="0"/>
    <n v="3"/>
    <n v="4"/>
    <n v="1"/>
    <n v="1"/>
    <n v="4"/>
    <n v="4"/>
    <n v="1"/>
    <n v="0"/>
    <n v="0"/>
    <n v="0"/>
    <n v="0"/>
    <n v="0"/>
    <x v="9"/>
  </r>
  <r>
    <x v="2"/>
    <s v="Yes"/>
    <x v="0"/>
    <n v="1"/>
    <n v="2"/>
    <n v="1"/>
    <n v="1"/>
    <n v="2"/>
    <n v="2"/>
    <n v="1"/>
    <n v="0"/>
    <n v="0"/>
    <n v="0"/>
    <n v="0"/>
    <n v="0"/>
    <x v="0"/>
  </r>
  <r>
    <x v="2"/>
    <s v="Yes"/>
    <x v="0"/>
    <n v="1"/>
    <n v="1"/>
    <n v="1"/>
    <n v="1"/>
    <n v="1"/>
    <n v="0"/>
    <n v="0"/>
    <n v="0"/>
    <n v="0"/>
    <n v="0"/>
    <n v="0"/>
    <n v="0"/>
    <x v="10"/>
  </r>
  <r>
    <x v="0"/>
    <s v="Yes"/>
    <x v="0"/>
    <n v="1"/>
    <n v="8"/>
    <n v="1"/>
    <n v="1"/>
    <n v="8"/>
    <n v="8"/>
    <n v="1"/>
    <n v="0"/>
    <n v="0"/>
    <n v="0"/>
    <n v="0"/>
    <n v="0"/>
    <x v="11"/>
  </r>
  <r>
    <x v="0"/>
    <s v="Yes"/>
    <x v="0"/>
    <n v="1"/>
    <n v="8"/>
    <n v="1"/>
    <n v="1"/>
    <n v="8"/>
    <n v="8"/>
    <n v="1"/>
    <n v="0"/>
    <n v="0"/>
    <n v="0"/>
    <n v="0"/>
    <n v="0"/>
    <x v="12"/>
  </r>
  <r>
    <x v="2"/>
    <s v="Yes"/>
    <x v="0"/>
    <n v="1"/>
    <n v="3"/>
    <n v="1"/>
    <n v="1"/>
    <n v="3"/>
    <n v="1"/>
    <n v="0.33333333333333331"/>
    <n v="0"/>
    <n v="0"/>
    <n v="0"/>
    <n v="0"/>
    <n v="0"/>
    <x v="13"/>
  </r>
  <r>
    <x v="0"/>
    <s v="Yes"/>
    <x v="0"/>
    <n v="1"/>
    <n v="3"/>
    <n v="1"/>
    <n v="1"/>
    <n v="3"/>
    <n v="3"/>
    <n v="1"/>
    <n v="0"/>
    <n v="0"/>
    <n v="0"/>
    <n v="0"/>
    <n v="0"/>
    <x v="3"/>
  </r>
  <r>
    <x v="2"/>
    <s v="Yes"/>
    <x v="0"/>
    <n v="1"/>
    <n v="3"/>
    <n v="1"/>
    <n v="1"/>
    <n v="3"/>
    <n v="3"/>
    <n v="1"/>
    <n v="0"/>
    <n v="0"/>
    <n v="0"/>
    <n v="0"/>
    <n v="0"/>
    <x v="0"/>
  </r>
  <r>
    <x v="2"/>
    <s v="Yes"/>
    <x v="0"/>
    <n v="1"/>
    <n v="3"/>
    <n v="1"/>
    <n v="1"/>
    <n v="3"/>
    <n v="3"/>
    <n v="1"/>
    <n v="0"/>
    <n v="0"/>
    <n v="0"/>
    <n v="0"/>
    <n v="0"/>
    <x v="14"/>
  </r>
  <r>
    <x v="0"/>
    <s v="Yes"/>
    <x v="0"/>
    <n v="1"/>
    <n v="3"/>
    <n v="1"/>
    <n v="1"/>
    <n v="3"/>
    <n v="3"/>
    <n v="1"/>
    <n v="0"/>
    <n v="0"/>
    <n v="0"/>
    <n v="0"/>
    <n v="0"/>
    <x v="3"/>
  </r>
  <r>
    <x v="0"/>
    <s v="Yes"/>
    <x v="0"/>
    <n v="1"/>
    <n v="1"/>
    <n v="1"/>
    <n v="1"/>
    <n v="1"/>
    <n v="0"/>
    <n v="0"/>
    <n v="0"/>
    <n v="0"/>
    <n v="0"/>
    <n v="0"/>
    <n v="0"/>
    <x v="4"/>
  </r>
  <r>
    <x v="2"/>
    <s v="Yes"/>
    <x v="0"/>
    <n v="1"/>
    <n v="1"/>
    <n v="1"/>
    <n v="1"/>
    <n v="1"/>
    <n v="0"/>
    <n v="0"/>
    <n v="0"/>
    <n v="0"/>
    <n v="0"/>
    <n v="0"/>
    <n v="0"/>
    <x v="7"/>
  </r>
  <r>
    <x v="0"/>
    <s v="Yes"/>
    <x v="0"/>
    <n v="1"/>
    <n v="3"/>
    <n v="1"/>
    <n v="1"/>
    <n v="3"/>
    <n v="3"/>
    <n v="1"/>
    <n v="0"/>
    <n v="0"/>
    <n v="0"/>
    <n v="0"/>
    <n v="0"/>
    <x v="7"/>
  </r>
  <r>
    <x v="0"/>
    <s v="Yes"/>
    <x v="0"/>
    <n v="1"/>
    <n v="3"/>
    <n v="1"/>
    <n v="1"/>
    <n v="3"/>
    <n v="3"/>
    <n v="1"/>
    <n v="0"/>
    <n v="0"/>
    <n v="0"/>
    <n v="0"/>
    <n v="0"/>
    <x v="1"/>
  </r>
  <r>
    <x v="2"/>
    <s v="Yes"/>
    <x v="0"/>
    <n v="1"/>
    <n v="3"/>
    <n v="1"/>
    <n v="1"/>
    <n v="3"/>
    <n v="3"/>
    <n v="1"/>
    <n v="0"/>
    <n v="0"/>
    <n v="0"/>
    <n v="0"/>
    <n v="0"/>
    <x v="0"/>
  </r>
  <r>
    <x v="2"/>
    <s v="Yes"/>
    <x v="0"/>
    <n v="1"/>
    <n v="3"/>
    <n v="1"/>
    <n v="1"/>
    <n v="3"/>
    <n v="3"/>
    <n v="1"/>
    <n v="0"/>
    <n v="0"/>
    <n v="0"/>
    <n v="0"/>
    <n v="0"/>
    <x v="1"/>
  </r>
  <r>
    <x v="2"/>
    <s v="Yes"/>
    <x v="0"/>
    <n v="1"/>
    <n v="1"/>
    <n v="1"/>
    <n v="0"/>
    <n v="1"/>
    <n v="0"/>
    <n v="0"/>
    <n v="0"/>
    <n v="0"/>
    <n v="0"/>
    <n v="0"/>
    <n v="0"/>
    <x v="1"/>
  </r>
  <r>
    <x v="2"/>
    <s v="Yes"/>
    <x v="0"/>
    <n v="1"/>
    <n v="3"/>
    <n v="1"/>
    <n v="1"/>
    <n v="3"/>
    <n v="3"/>
    <n v="1"/>
    <n v="0"/>
    <n v="0"/>
    <n v="0"/>
    <n v="0"/>
    <n v="0"/>
    <x v="15"/>
  </r>
  <r>
    <x v="2"/>
    <s v="Yes"/>
    <x v="0"/>
    <n v="2"/>
    <n v="9"/>
    <n v="1"/>
    <n v="0.88888888888888884"/>
    <n v="9"/>
    <n v="8"/>
    <n v="0.88888888888888884"/>
    <n v="0"/>
    <n v="0"/>
    <n v="0"/>
    <n v="0"/>
    <n v="0"/>
    <x v="1"/>
  </r>
  <r>
    <x v="0"/>
    <s v="Yes"/>
    <x v="0"/>
    <n v="2"/>
    <n v="11"/>
    <n v="1"/>
    <n v="0.90909090909090906"/>
    <n v="11"/>
    <n v="10"/>
    <n v="0.90909090909090906"/>
    <n v="0"/>
    <n v="0"/>
    <n v="0"/>
    <n v="0"/>
    <n v="0"/>
    <x v="1"/>
  </r>
  <r>
    <x v="1"/>
    <s v="Yes"/>
    <x v="0"/>
    <n v="1"/>
    <n v="90"/>
    <n v="1"/>
    <n v="1"/>
    <n v="90"/>
    <n v="90"/>
    <n v="1"/>
    <n v="0"/>
    <n v="0"/>
    <n v="0"/>
    <n v="0"/>
    <n v="0"/>
    <x v="4"/>
  </r>
  <r>
    <x v="0"/>
    <s v="Yes"/>
    <x v="0"/>
    <n v="1"/>
    <n v="60"/>
    <n v="1"/>
    <n v="1"/>
    <n v="60"/>
    <n v="0"/>
    <n v="0"/>
    <n v="0"/>
    <n v="0"/>
    <n v="0"/>
    <n v="0"/>
    <n v="0"/>
    <x v="0"/>
  </r>
  <r>
    <x v="0"/>
    <s v="Yes"/>
    <x v="0"/>
    <n v="1"/>
    <n v="124"/>
    <n v="1"/>
    <n v="1"/>
    <n v="124"/>
    <n v="0"/>
    <n v="0"/>
    <n v="0"/>
    <n v="0"/>
    <n v="0"/>
    <n v="0"/>
    <n v="0"/>
    <x v="0"/>
  </r>
  <r>
    <x v="0"/>
    <s v="Yes"/>
    <x v="0"/>
    <n v="1"/>
    <n v="1"/>
    <n v="1"/>
    <n v="1"/>
    <n v="1"/>
    <n v="0"/>
    <n v="0"/>
    <n v="0"/>
    <n v="0"/>
    <n v="0"/>
    <n v="0"/>
    <n v="0"/>
    <x v="8"/>
  </r>
  <r>
    <x v="0"/>
    <s v="Yes"/>
    <x v="0"/>
    <n v="1"/>
    <n v="1"/>
    <n v="1"/>
    <n v="1"/>
    <n v="1"/>
    <n v="0"/>
    <n v="0"/>
    <n v="0"/>
    <n v="0"/>
    <n v="0"/>
    <n v="0"/>
    <n v="0"/>
    <x v="8"/>
  </r>
  <r>
    <x v="0"/>
    <s v="Yes"/>
    <x v="0"/>
    <n v="1"/>
    <n v="14"/>
    <n v="1"/>
    <n v="1"/>
    <n v="14"/>
    <n v="0"/>
    <n v="0"/>
    <n v="0"/>
    <n v="0"/>
    <n v="0"/>
    <n v="0"/>
    <n v="0"/>
    <x v="8"/>
  </r>
  <r>
    <x v="0"/>
    <s v="Yes"/>
    <x v="0"/>
    <n v="1"/>
    <n v="13"/>
    <n v="1"/>
    <n v="1"/>
    <n v="13"/>
    <n v="0"/>
    <n v="0"/>
    <n v="0"/>
    <n v="0"/>
    <n v="0"/>
    <n v="0"/>
    <n v="0"/>
    <x v="7"/>
  </r>
  <r>
    <x v="0"/>
    <s v="Yes"/>
    <x v="0"/>
    <n v="1"/>
    <n v="38"/>
    <n v="1"/>
    <n v="1"/>
    <n v="38"/>
    <n v="0"/>
    <n v="0"/>
    <n v="0"/>
    <n v="0"/>
    <n v="0"/>
    <n v="0"/>
    <n v="0"/>
    <x v="4"/>
  </r>
  <r>
    <x v="0"/>
    <s v="Yes"/>
    <x v="0"/>
    <n v="1"/>
    <n v="23"/>
    <n v="1"/>
    <n v="1"/>
    <n v="23"/>
    <n v="0"/>
    <n v="0"/>
    <n v="0"/>
    <n v="0"/>
    <n v="0"/>
    <n v="0"/>
    <n v="0"/>
    <x v="5"/>
  </r>
  <r>
    <x v="0"/>
    <s v="Yes"/>
    <x v="0"/>
    <n v="2"/>
    <n v="19"/>
    <n v="1"/>
    <n v="0.63157894736842102"/>
    <n v="19"/>
    <n v="0"/>
    <n v="0"/>
    <n v="0"/>
    <n v="0"/>
    <n v="0"/>
    <n v="0"/>
    <n v="0"/>
    <x v="0"/>
  </r>
  <r>
    <x v="0"/>
    <s v="Yes"/>
    <x v="0"/>
    <n v="1"/>
    <n v="53"/>
    <n v="1"/>
    <n v="1"/>
    <n v="53"/>
    <n v="0"/>
    <n v="0"/>
    <n v="0"/>
    <n v="0"/>
    <n v="0"/>
    <n v="0"/>
    <n v="0"/>
    <x v="0"/>
  </r>
  <r>
    <x v="0"/>
    <s v="Yes"/>
    <x v="0"/>
    <n v="1"/>
    <n v="12"/>
    <n v="1"/>
    <n v="1"/>
    <n v="12"/>
    <n v="0"/>
    <n v="0"/>
    <n v="0"/>
    <n v="0"/>
    <n v="0"/>
    <n v="0"/>
    <n v="0"/>
    <x v="8"/>
  </r>
  <r>
    <x v="0"/>
    <s v="Yes"/>
    <x v="0"/>
    <n v="1"/>
    <n v="13"/>
    <n v="1"/>
    <n v="1"/>
    <n v="13"/>
    <n v="0"/>
    <n v="0"/>
    <n v="0"/>
    <n v="0"/>
    <n v="0"/>
    <n v="0"/>
    <n v="0"/>
    <x v="7"/>
  </r>
  <r>
    <x v="0"/>
    <s v="Yes"/>
    <x v="0"/>
    <n v="1"/>
    <n v="38"/>
    <n v="1"/>
    <n v="1"/>
    <n v="38"/>
    <n v="0"/>
    <n v="0"/>
    <n v="0"/>
    <n v="0"/>
    <n v="0"/>
    <n v="0"/>
    <n v="0"/>
    <x v="7"/>
  </r>
  <r>
    <x v="0"/>
    <s v="Yes"/>
    <x v="0"/>
    <n v="1"/>
    <n v="23"/>
    <n v="1"/>
    <n v="1"/>
    <n v="23"/>
    <n v="0"/>
    <n v="0"/>
    <n v="0"/>
    <n v="0"/>
    <n v="0"/>
    <n v="0"/>
    <n v="0"/>
    <x v="4"/>
  </r>
  <r>
    <x v="0"/>
    <s v="Yes"/>
    <x v="0"/>
    <n v="1"/>
    <n v="12"/>
    <n v="1"/>
    <n v="1"/>
    <n v="12"/>
    <n v="0"/>
    <n v="0"/>
    <n v="0"/>
    <n v="0"/>
    <n v="0"/>
    <n v="0"/>
    <n v="0"/>
    <x v="3"/>
  </r>
  <r>
    <x v="0"/>
    <s v="Yes"/>
    <x v="0"/>
    <n v="1"/>
    <n v="53"/>
    <n v="1"/>
    <n v="1"/>
    <n v="53"/>
    <n v="0"/>
    <n v="0"/>
    <n v="0"/>
    <n v="0"/>
    <n v="0"/>
    <n v="0"/>
    <n v="0"/>
    <x v="0"/>
  </r>
  <r>
    <x v="0"/>
    <s v="Yes"/>
    <x v="0"/>
    <n v="1"/>
    <n v="12"/>
    <n v="1"/>
    <n v="1"/>
    <n v="12"/>
    <n v="0"/>
    <n v="0"/>
    <n v="0"/>
    <n v="0"/>
    <n v="0"/>
    <n v="0"/>
    <n v="0"/>
    <x v="0"/>
  </r>
  <r>
    <x v="0"/>
    <s v="Yes"/>
    <x v="0"/>
    <n v="1"/>
    <n v="13"/>
    <n v="1"/>
    <n v="1"/>
    <n v="13"/>
    <n v="0"/>
    <n v="0"/>
    <n v="0"/>
    <n v="0"/>
    <n v="0"/>
    <n v="0"/>
    <n v="0"/>
    <x v="7"/>
  </r>
  <r>
    <x v="0"/>
    <s v="Yes"/>
    <x v="0"/>
    <n v="1"/>
    <n v="38"/>
    <n v="1"/>
    <n v="1"/>
    <n v="38"/>
    <n v="0"/>
    <n v="0"/>
    <n v="0"/>
    <n v="0"/>
    <n v="0"/>
    <n v="0"/>
    <n v="0"/>
    <x v="14"/>
  </r>
  <r>
    <x v="0"/>
    <s v="Yes"/>
    <x v="0"/>
    <n v="1"/>
    <n v="23"/>
    <n v="1"/>
    <n v="1"/>
    <n v="23"/>
    <n v="0"/>
    <n v="0"/>
    <n v="0"/>
    <n v="0"/>
    <n v="0"/>
    <n v="0"/>
    <n v="0"/>
    <x v="5"/>
  </r>
  <r>
    <x v="0"/>
    <s v="Yes"/>
    <x v="0"/>
    <n v="1"/>
    <n v="12"/>
    <n v="1"/>
    <n v="1"/>
    <n v="12"/>
    <n v="0"/>
    <n v="0"/>
    <n v="0"/>
    <n v="0"/>
    <n v="0"/>
    <n v="0"/>
    <n v="0"/>
    <x v="5"/>
  </r>
  <r>
    <x v="0"/>
    <s v="Yes"/>
    <x v="0"/>
    <n v="1"/>
    <n v="53"/>
    <n v="1"/>
    <n v="1"/>
    <n v="53"/>
    <n v="0"/>
    <n v="0"/>
    <n v="0"/>
    <n v="0"/>
    <n v="0"/>
    <n v="0"/>
    <n v="0"/>
    <x v="3"/>
  </r>
  <r>
    <x v="0"/>
    <s v="Yes"/>
    <x v="0"/>
    <n v="1"/>
    <n v="12"/>
    <n v="1"/>
    <n v="1"/>
    <n v="12"/>
    <n v="0"/>
    <n v="0"/>
    <n v="0"/>
    <n v="0"/>
    <n v="0"/>
    <n v="0"/>
    <n v="0"/>
    <x v="3"/>
  </r>
  <r>
    <x v="0"/>
    <s v="Yes"/>
    <x v="0"/>
    <n v="1"/>
    <n v="13"/>
    <n v="1"/>
    <n v="1"/>
    <n v="13"/>
    <n v="0"/>
    <n v="0"/>
    <n v="0"/>
    <n v="0"/>
    <n v="0"/>
    <n v="0"/>
    <n v="0"/>
    <x v="16"/>
  </r>
  <r>
    <x v="0"/>
    <s v="Yes"/>
    <x v="0"/>
    <n v="1"/>
    <n v="38"/>
    <n v="1"/>
    <n v="1"/>
    <n v="38"/>
    <n v="0"/>
    <n v="0"/>
    <n v="0"/>
    <n v="0"/>
    <n v="0"/>
    <n v="0"/>
    <n v="0"/>
    <x v="14"/>
  </r>
  <r>
    <x v="0"/>
    <s v="Yes"/>
    <x v="0"/>
    <n v="1"/>
    <n v="23"/>
    <n v="1"/>
    <n v="1"/>
    <n v="23"/>
    <n v="0"/>
    <n v="0"/>
    <n v="0"/>
    <n v="0"/>
    <n v="0"/>
    <n v="0"/>
    <n v="0"/>
    <x v="14"/>
  </r>
  <r>
    <x v="0"/>
    <s v="Yes"/>
    <x v="0"/>
    <n v="1"/>
    <n v="12"/>
    <n v="1"/>
    <n v="1"/>
    <n v="12"/>
    <n v="0"/>
    <n v="0"/>
    <n v="0"/>
    <n v="0"/>
    <n v="0"/>
    <n v="0"/>
    <n v="0"/>
    <x v="1"/>
  </r>
  <r>
    <x v="0"/>
    <s v="Yes"/>
    <x v="0"/>
    <n v="1"/>
    <n v="53"/>
    <n v="1"/>
    <n v="1"/>
    <n v="53"/>
    <n v="0"/>
    <n v="0"/>
    <n v="0"/>
    <n v="0"/>
    <n v="0"/>
    <n v="0"/>
    <n v="0"/>
    <x v="1"/>
  </r>
  <r>
    <x v="0"/>
    <s v="Yes"/>
    <x v="0"/>
    <n v="1"/>
    <n v="12"/>
    <n v="1"/>
    <n v="1"/>
    <n v="12"/>
    <n v="0"/>
    <n v="0"/>
    <n v="0"/>
    <n v="0"/>
    <n v="0"/>
    <n v="0"/>
    <n v="0"/>
    <x v="5"/>
  </r>
  <r>
    <x v="0"/>
    <s v="Yes"/>
    <x v="0"/>
    <n v="1"/>
    <n v="13"/>
    <n v="1"/>
    <n v="1"/>
    <n v="13"/>
    <n v="0"/>
    <n v="0"/>
    <n v="0"/>
    <n v="0"/>
    <n v="0"/>
    <n v="0"/>
    <n v="0"/>
    <x v="3"/>
  </r>
  <r>
    <x v="0"/>
    <s v="Yes"/>
    <x v="0"/>
    <n v="1"/>
    <n v="38"/>
    <n v="1"/>
    <n v="1"/>
    <n v="38"/>
    <n v="0"/>
    <n v="0"/>
    <n v="0"/>
    <n v="0"/>
    <n v="0"/>
    <n v="0"/>
    <n v="0"/>
    <x v="3"/>
  </r>
  <r>
    <x v="0"/>
    <s v="Yes"/>
    <x v="0"/>
    <n v="1"/>
    <n v="1"/>
    <n v="1"/>
    <n v="0"/>
    <n v="1"/>
    <n v="0"/>
    <n v="0"/>
    <n v="0"/>
    <n v="0"/>
    <n v="0"/>
    <n v="0"/>
    <n v="0"/>
    <x v="3"/>
  </r>
  <r>
    <x v="0"/>
    <s v="Yes"/>
    <x v="0"/>
    <n v="1"/>
    <n v="1"/>
    <n v="1"/>
    <n v="0"/>
    <n v="1"/>
    <n v="0"/>
    <n v="0"/>
    <n v="0"/>
    <n v="0"/>
    <n v="0"/>
    <n v="0"/>
    <n v="0"/>
    <x v="16"/>
  </r>
  <r>
    <x v="0"/>
    <s v="Yes"/>
    <x v="0"/>
    <n v="1"/>
    <n v="1"/>
    <n v="1"/>
    <n v="0"/>
    <n v="1"/>
    <n v="0"/>
    <n v="0"/>
    <n v="0"/>
    <n v="0"/>
    <n v="0"/>
    <n v="0"/>
    <n v="0"/>
    <x v="15"/>
  </r>
  <r>
    <x v="0"/>
    <s v="Yes"/>
    <x v="0"/>
    <n v="1"/>
    <n v="1"/>
    <n v="1"/>
    <n v="0"/>
    <n v="1"/>
    <n v="0"/>
    <n v="0"/>
    <n v="0"/>
    <n v="0"/>
    <n v="0"/>
    <n v="0"/>
    <n v="0"/>
    <x v="17"/>
  </r>
  <r>
    <x v="0"/>
    <s v="Yes"/>
    <x v="0"/>
    <n v="1"/>
    <n v="2"/>
    <n v="1"/>
    <n v="0"/>
    <n v="2"/>
    <n v="0"/>
    <n v="0"/>
    <n v="0"/>
    <n v="0"/>
    <n v="0"/>
    <n v="0"/>
    <n v="0"/>
    <x v="14"/>
  </r>
  <r>
    <x v="0"/>
    <s v="Yes"/>
    <x v="0"/>
    <n v="1"/>
    <n v="1"/>
    <n v="1"/>
    <n v="1"/>
    <n v="1"/>
    <n v="0"/>
    <n v="0"/>
    <n v="0"/>
    <n v="0"/>
    <n v="0"/>
    <n v="0"/>
    <n v="0"/>
    <x v="14"/>
  </r>
  <r>
    <x v="0"/>
    <s v="Yes"/>
    <x v="0"/>
    <n v="1"/>
    <n v="3"/>
    <n v="1"/>
    <n v="1"/>
    <n v="3"/>
    <n v="0"/>
    <n v="0"/>
    <n v="0"/>
    <n v="0"/>
    <n v="0"/>
    <n v="0"/>
    <n v="0"/>
    <x v="1"/>
  </r>
  <r>
    <x v="1"/>
    <s v="Yes"/>
    <x v="1"/>
    <n v="0"/>
    <n v="0"/>
    <n v="0"/>
    <n v="0"/>
    <n v="0"/>
    <n v="0"/>
    <n v="0"/>
    <n v="0"/>
    <n v="0"/>
    <n v="0"/>
    <n v="0"/>
    <n v="0"/>
    <x v="18"/>
  </r>
  <r>
    <x v="0"/>
    <s v="No"/>
    <x v="1"/>
    <n v="0"/>
    <n v="0"/>
    <n v="0"/>
    <n v="0"/>
    <n v="0"/>
    <n v="0"/>
    <n v="0"/>
    <n v="0"/>
    <n v="0"/>
    <n v="0"/>
    <n v="0"/>
    <n v="0"/>
    <x v="18"/>
  </r>
  <r>
    <x v="0"/>
    <s v="Yes"/>
    <x v="1"/>
    <n v="0"/>
    <n v="0"/>
    <n v="0"/>
    <n v="0"/>
    <n v="0"/>
    <n v="0"/>
    <n v="0"/>
    <n v="0"/>
    <n v="0"/>
    <n v="0"/>
    <n v="0"/>
    <n v="0"/>
    <x v="18"/>
  </r>
  <r>
    <x v="0"/>
    <s v="No"/>
    <x v="1"/>
    <n v="0"/>
    <n v="0"/>
    <n v="0"/>
    <n v="0"/>
    <n v="0"/>
    <n v="0"/>
    <n v="0"/>
    <n v="0"/>
    <n v="0"/>
    <n v="0"/>
    <n v="0"/>
    <n v="0"/>
    <x v="18"/>
  </r>
  <r>
    <x v="0"/>
    <s v="No"/>
    <x v="1"/>
    <n v="0"/>
    <n v="0"/>
    <n v="0"/>
    <n v="0"/>
    <n v="0"/>
    <n v="0"/>
    <n v="0"/>
    <n v="0"/>
    <n v="0"/>
    <n v="0"/>
    <n v="0"/>
    <n v="0"/>
    <x v="18"/>
  </r>
  <r>
    <x v="1"/>
    <s v="No"/>
    <x v="1"/>
    <n v="0"/>
    <n v="0"/>
    <n v="0"/>
    <n v="0"/>
    <n v="0"/>
    <n v="0"/>
    <n v="0"/>
    <n v="0"/>
    <n v="0"/>
    <n v="0"/>
    <n v="0"/>
    <n v="0"/>
    <x v="18"/>
  </r>
  <r>
    <x v="0"/>
    <s v="Yes"/>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Yes"/>
    <x v="0"/>
    <n v="5"/>
    <n v="5"/>
    <n v="1"/>
    <n v="0"/>
    <n v="5"/>
    <n v="0"/>
    <n v="0"/>
    <n v="0"/>
    <n v="0"/>
    <n v="0"/>
    <n v="0"/>
    <n v="0"/>
    <x v="19"/>
  </r>
  <r>
    <x v="2"/>
    <s v="No"/>
    <x v="1"/>
    <n v="0"/>
    <n v="0"/>
    <n v="0"/>
    <n v="0"/>
    <n v="0"/>
    <n v="0"/>
    <n v="0"/>
    <n v="0"/>
    <n v="0"/>
    <n v="0"/>
    <n v="0"/>
    <n v="0"/>
    <x v="18"/>
  </r>
  <r>
    <x v="2"/>
    <s v="No"/>
    <x v="1"/>
    <n v="0"/>
    <n v="0"/>
    <n v="0"/>
    <n v="0"/>
    <n v="0"/>
    <n v="0"/>
    <n v="0"/>
    <n v="0"/>
    <n v="0"/>
    <n v="0"/>
    <n v="0"/>
    <n v="0"/>
    <x v="18"/>
  </r>
  <r>
    <x v="2"/>
    <s v="Yes"/>
    <x v="0"/>
    <n v="1"/>
    <n v="1"/>
    <n v="1"/>
    <n v="1"/>
    <n v="1"/>
    <n v="0"/>
    <n v="0"/>
    <n v="0"/>
    <n v="0"/>
    <n v="0"/>
    <n v="0"/>
    <n v="0"/>
    <x v="8"/>
  </r>
  <r>
    <x v="2"/>
    <s v="No"/>
    <x v="1"/>
    <n v="0"/>
    <n v="0"/>
    <n v="0"/>
    <n v="0"/>
    <n v="0"/>
    <n v="0"/>
    <n v="0"/>
    <n v="0"/>
    <n v="0"/>
    <n v="0"/>
    <n v="0"/>
    <n v="0"/>
    <x v="18"/>
  </r>
  <r>
    <x v="2"/>
    <s v="Yes"/>
    <x v="0"/>
    <n v="1"/>
    <n v="2"/>
    <n v="1"/>
    <n v="1"/>
    <n v="2"/>
    <n v="2"/>
    <n v="1"/>
    <n v="0"/>
    <n v="0"/>
    <n v="0"/>
    <n v="0"/>
    <n v="0"/>
    <x v="0"/>
  </r>
  <r>
    <x v="2"/>
    <s v="No"/>
    <x v="1"/>
    <n v="0"/>
    <n v="0"/>
    <n v="0"/>
    <n v="0"/>
    <n v="0"/>
    <n v="0"/>
    <n v="0"/>
    <n v="0"/>
    <n v="0"/>
    <n v="0"/>
    <n v="0"/>
    <n v="0"/>
    <x v="18"/>
  </r>
  <r>
    <x v="2"/>
    <s v="Yes"/>
    <x v="0"/>
    <n v="1"/>
    <n v="1"/>
    <n v="1"/>
    <n v="0"/>
    <n v="1"/>
    <n v="1"/>
    <n v="1"/>
    <n v="0"/>
    <n v="0"/>
    <n v="0"/>
    <n v="0"/>
    <n v="0"/>
    <x v="0"/>
  </r>
  <r>
    <x v="2"/>
    <s v="Yes"/>
    <x v="0"/>
    <n v="1"/>
    <n v="1"/>
    <n v="1"/>
    <n v="0"/>
    <n v="1"/>
    <n v="0"/>
    <n v="0"/>
    <n v="0"/>
    <n v="0"/>
    <n v="0"/>
    <n v="0"/>
    <n v="0"/>
    <x v="7"/>
  </r>
  <r>
    <x v="1"/>
    <s v="Yes"/>
    <x v="0"/>
    <n v="1"/>
    <n v="1"/>
    <n v="1"/>
    <n v="0"/>
    <n v="1"/>
    <n v="0"/>
    <n v="0"/>
    <n v="0"/>
    <n v="0"/>
    <n v="0"/>
    <n v="0"/>
    <n v="0"/>
    <x v="14"/>
  </r>
  <r>
    <x v="2"/>
    <s v="Yes"/>
    <x v="0"/>
    <n v="1"/>
    <n v="8"/>
    <n v="1"/>
    <n v="1"/>
    <n v="8"/>
    <n v="0"/>
    <n v="0"/>
    <n v="0"/>
    <n v="0"/>
    <n v="0"/>
    <n v="0"/>
    <n v="0"/>
    <x v="1"/>
  </r>
  <r>
    <x v="0"/>
    <s v="Yes"/>
    <x v="0"/>
    <n v="1"/>
    <n v="8"/>
    <n v="1"/>
    <n v="1"/>
    <n v="8"/>
    <n v="0"/>
    <n v="0"/>
    <n v="0"/>
    <n v="0"/>
    <n v="0"/>
    <n v="0"/>
    <n v="0"/>
    <x v="1"/>
  </r>
  <r>
    <x v="2"/>
    <s v="Yes"/>
    <x v="0"/>
    <n v="1"/>
    <n v="1"/>
    <n v="1"/>
    <n v="0"/>
    <n v="1"/>
    <n v="0"/>
    <n v="0"/>
    <n v="0"/>
    <n v="0"/>
    <n v="0"/>
    <n v="0"/>
    <n v="0"/>
    <x v="15"/>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0"/>
    <s v="No"/>
    <x v="1"/>
    <n v="0"/>
    <n v="0"/>
    <n v="0"/>
    <n v="0"/>
    <n v="0"/>
    <n v="0"/>
    <n v="0"/>
    <n v="0"/>
    <n v="0"/>
    <n v="0"/>
    <n v="0"/>
    <n v="0"/>
    <x v="18"/>
  </r>
  <r>
    <x v="0"/>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2"/>
    <s v="No"/>
    <x v="1"/>
    <n v="0"/>
    <n v="0"/>
    <n v="0"/>
    <n v="0"/>
    <n v="0"/>
    <n v="0"/>
    <n v="0"/>
    <n v="0"/>
    <n v="0"/>
    <n v="0"/>
    <n v="0"/>
    <n v="0"/>
    <x v="18"/>
  </r>
  <r>
    <x v="0"/>
    <s v="No"/>
    <x v="1"/>
    <n v="0"/>
    <n v="0"/>
    <n v="0"/>
    <n v="0"/>
    <n v="0"/>
    <n v="0"/>
    <n v="0"/>
    <n v="0"/>
    <n v="0"/>
    <n v="0"/>
    <n v="0"/>
    <n v="0"/>
    <x v="18"/>
  </r>
  <r>
    <x v="2"/>
    <s v="No"/>
    <x v="1"/>
    <n v="0"/>
    <n v="0"/>
    <n v="0"/>
    <n v="0"/>
    <n v="0"/>
    <n v="0"/>
    <n v="0"/>
    <n v="0"/>
    <n v="0"/>
    <n v="0"/>
    <n v="0"/>
    <n v="0"/>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6C5444-A974-47A7-BDA3-1EA508B5FE98}" name="PivotTable7" cacheId="3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4" firstHeaderRow="1" firstDataRow="2" firstDataCol="1" rowPageCount="1" colPageCount="1"/>
  <pivotFields count="16">
    <pivotField axis="axisCol" dataField="1" showAll="0">
      <items count="4">
        <item x="2"/>
        <item x="0"/>
        <item x="1"/>
        <item t="default"/>
      </items>
    </pivotField>
    <pivotField showAll="0"/>
    <pivotField axis="axisPage" showAll="0">
      <items count="3">
        <item x="1"/>
        <item x="0"/>
        <item t="default"/>
      </items>
    </pivotField>
    <pivotField showAll="0"/>
    <pivotField showAll="0"/>
    <pivotField showAll="0"/>
    <pivotField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1">
        <item x="1"/>
        <item x="16"/>
        <item x="15"/>
        <item x="17"/>
        <item x="2"/>
        <item x="19"/>
        <item x="9"/>
        <item x="10"/>
        <item x="0"/>
        <item x="11"/>
        <item x="8"/>
        <item x="12"/>
        <item x="7"/>
        <item x="5"/>
        <item x="3"/>
        <item x="13"/>
        <item x="4"/>
        <item x="14"/>
        <item x="6"/>
        <item x="18"/>
        <item t="default"/>
      </items>
    </pivotField>
  </pivotFields>
  <rowFields count="1">
    <field x="15"/>
  </rowFields>
  <rowItems count="20">
    <i>
      <x/>
    </i>
    <i>
      <x v="1"/>
    </i>
    <i>
      <x v="2"/>
    </i>
    <i>
      <x v="3"/>
    </i>
    <i>
      <x v="4"/>
    </i>
    <i>
      <x v="5"/>
    </i>
    <i>
      <x v="6"/>
    </i>
    <i>
      <x v="7"/>
    </i>
    <i>
      <x v="8"/>
    </i>
    <i>
      <x v="9"/>
    </i>
    <i>
      <x v="10"/>
    </i>
    <i>
      <x v="11"/>
    </i>
    <i>
      <x v="12"/>
    </i>
    <i>
      <x v="13"/>
    </i>
    <i>
      <x v="14"/>
    </i>
    <i>
      <x v="15"/>
    </i>
    <i>
      <x v="16"/>
    </i>
    <i>
      <x v="17"/>
    </i>
    <i>
      <x v="18"/>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858597-5A12-48EB-A1F6-F54120DD213A}" name="PivotTable2"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24" firstHeaderRow="1" firstDataRow="1" firstDataCol="1"/>
  <pivotFields count="22">
    <pivotField dataField="1" showAll="0"/>
    <pivotField showAll="0"/>
    <pivotField numFmtId="10" showAll="0"/>
    <pivotField showAll="0"/>
    <pivotField numFmtId="9"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numFmtId="166" showAll="0"/>
    <pivotField showAll="0"/>
    <pivotField axis="axisRow" showAll="0">
      <items count="21">
        <item x="1"/>
        <item x="10"/>
        <item x="15"/>
        <item x="11"/>
        <item x="18"/>
        <item x="19"/>
        <item x="3"/>
        <item x="2"/>
        <item x="4"/>
        <item x="9"/>
        <item x="14"/>
        <item x="6"/>
        <item x="8"/>
        <item x="7"/>
        <item x="16"/>
        <item x="0"/>
        <item x="5"/>
        <item x="12"/>
        <item x="13"/>
        <item x="17"/>
        <item t="default"/>
      </items>
    </pivotField>
  </pivotFields>
  <rowFields count="1">
    <field x="2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sqref="A1:XFD1048576"/>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494" t="s">
        <v>49</v>
      </c>
      <c r="C1" s="495"/>
      <c r="D1" s="495"/>
      <c r="E1" s="156" t="s">
        <v>50</v>
      </c>
      <c r="F1" s="156" t="s">
        <v>51</v>
      </c>
      <c r="G1" s="110" t="s">
        <v>52</v>
      </c>
    </row>
    <row r="2" spans="1:7" x14ac:dyDescent="0.25">
      <c r="A2" s="116" t="s">
        <v>53</v>
      </c>
      <c r="B2" s="496" t="s">
        <v>54</v>
      </c>
      <c r="C2" s="497"/>
      <c r="D2" s="497"/>
      <c r="E2" s="281" t="s">
        <v>55</v>
      </c>
      <c r="F2" s="281" t="s">
        <v>56</v>
      </c>
      <c r="G2" s="310" t="s">
        <v>57</v>
      </c>
    </row>
    <row r="3" spans="1:7" s="81" customFormat="1" x14ac:dyDescent="0.25">
      <c r="A3" s="189" t="s">
        <v>58</v>
      </c>
      <c r="B3" s="503" t="s">
        <v>59</v>
      </c>
      <c r="C3" s="504"/>
      <c r="D3" s="505"/>
      <c r="E3" s="80" t="s">
        <v>55</v>
      </c>
      <c r="F3" s="80" t="s">
        <v>56</v>
      </c>
      <c r="G3" s="311" t="s">
        <v>57</v>
      </c>
    </row>
    <row r="4" spans="1:7" x14ac:dyDescent="0.25">
      <c r="A4" s="189" t="s">
        <v>60</v>
      </c>
      <c r="B4" s="500" t="s">
        <v>61</v>
      </c>
      <c r="C4" s="501"/>
      <c r="D4" s="502"/>
      <c r="E4" s="80" t="s">
        <v>62</v>
      </c>
      <c r="F4" s="80" t="s">
        <v>56</v>
      </c>
      <c r="G4" s="311" t="s">
        <v>57</v>
      </c>
    </row>
    <row r="5" spans="1:7" x14ac:dyDescent="0.25">
      <c r="A5" s="117" t="s">
        <v>63</v>
      </c>
      <c r="B5" s="500" t="s">
        <v>64</v>
      </c>
      <c r="C5" s="501"/>
      <c r="D5" s="502"/>
      <c r="E5" s="80" t="s">
        <v>62</v>
      </c>
      <c r="F5" s="80" t="s">
        <v>56</v>
      </c>
      <c r="G5" s="311" t="s">
        <v>57</v>
      </c>
    </row>
    <row r="6" spans="1:7" x14ac:dyDescent="0.25">
      <c r="A6" s="117" t="s">
        <v>65</v>
      </c>
      <c r="B6" s="500" t="s">
        <v>66</v>
      </c>
      <c r="C6" s="501"/>
      <c r="D6" s="502"/>
      <c r="E6" s="80" t="s">
        <v>67</v>
      </c>
      <c r="F6" s="80" t="s">
        <v>56</v>
      </c>
      <c r="G6" s="85"/>
    </row>
    <row r="7" spans="1:7" ht="15.75" thickBot="1" x14ac:dyDescent="0.3">
      <c r="A7" s="118" t="s">
        <v>68</v>
      </c>
      <c r="B7" s="498" t="s">
        <v>69</v>
      </c>
      <c r="C7" s="499"/>
      <c r="D7" s="499"/>
      <c r="E7" s="86" t="s">
        <v>67</v>
      </c>
      <c r="F7" s="86"/>
      <c r="G7" s="87"/>
    </row>
    <row r="8" spans="1:7" s="84" customFormat="1" ht="15.75" thickBot="1" x14ac:dyDescent="0.3">
      <c r="A8" s="115" t="s">
        <v>48</v>
      </c>
      <c r="B8" s="376" t="s">
        <v>1</v>
      </c>
      <c r="C8" s="156" t="s">
        <v>70</v>
      </c>
      <c r="D8" s="156" t="s">
        <v>49</v>
      </c>
      <c r="E8" s="156" t="s">
        <v>50</v>
      </c>
      <c r="F8" s="156" t="s">
        <v>51</v>
      </c>
      <c r="G8" s="110" t="s">
        <v>52</v>
      </c>
    </row>
    <row r="9" spans="1:7" ht="105" x14ac:dyDescent="0.25">
      <c r="A9" s="480" t="s">
        <v>53</v>
      </c>
      <c r="B9" s="483" t="s">
        <v>71</v>
      </c>
      <c r="C9" s="317" t="s">
        <v>72</v>
      </c>
      <c r="D9" s="94" t="s">
        <v>73</v>
      </c>
      <c r="E9" s="94" t="s">
        <v>55</v>
      </c>
      <c r="F9" s="94" t="s">
        <v>74</v>
      </c>
      <c r="G9" s="377" t="s">
        <v>75</v>
      </c>
    </row>
    <row r="10" spans="1:7" ht="75" x14ac:dyDescent="0.25">
      <c r="A10" s="481"/>
      <c r="B10" s="484"/>
      <c r="C10" s="313" t="s">
        <v>76</v>
      </c>
      <c r="D10" s="82" t="s">
        <v>77</v>
      </c>
      <c r="E10" s="82" t="s">
        <v>55</v>
      </c>
      <c r="F10" s="82" t="s">
        <v>74</v>
      </c>
      <c r="G10" s="308" t="s">
        <v>78</v>
      </c>
    </row>
    <row r="11" spans="1:7" ht="45" x14ac:dyDescent="0.25">
      <c r="A11" s="481"/>
      <c r="B11" s="484"/>
      <c r="C11" s="313" t="s">
        <v>79</v>
      </c>
      <c r="D11" s="82" t="s">
        <v>80</v>
      </c>
      <c r="E11" s="82" t="s">
        <v>81</v>
      </c>
      <c r="F11" s="82" t="s">
        <v>74</v>
      </c>
      <c r="G11" s="95" t="s">
        <v>82</v>
      </c>
    </row>
    <row r="12" spans="1:7" ht="120" x14ac:dyDescent="0.25">
      <c r="A12" s="481"/>
      <c r="B12" s="484"/>
      <c r="C12" s="313" t="s">
        <v>83</v>
      </c>
      <c r="D12" s="327" t="s">
        <v>84</v>
      </c>
      <c r="E12" s="82" t="s">
        <v>81</v>
      </c>
      <c r="F12" s="82" t="s">
        <v>74</v>
      </c>
      <c r="G12" s="308" t="s">
        <v>85</v>
      </c>
    </row>
    <row r="13" spans="1:7" ht="30" x14ac:dyDescent="0.25">
      <c r="A13" s="481"/>
      <c r="B13" s="484"/>
      <c r="C13" s="313" t="s">
        <v>86</v>
      </c>
      <c r="D13" s="82" t="s">
        <v>87</v>
      </c>
      <c r="E13" s="82" t="s">
        <v>81</v>
      </c>
      <c r="F13" s="82" t="s">
        <v>74</v>
      </c>
      <c r="G13" s="95" t="s">
        <v>88</v>
      </c>
    </row>
    <row r="14" spans="1:7" ht="30" x14ac:dyDescent="0.25">
      <c r="A14" s="481"/>
      <c r="B14" s="484"/>
      <c r="C14" s="313" t="s">
        <v>89</v>
      </c>
      <c r="D14" s="82" t="s">
        <v>90</v>
      </c>
      <c r="E14" s="82" t="s">
        <v>81</v>
      </c>
      <c r="F14" s="82" t="s">
        <v>74</v>
      </c>
      <c r="G14" s="95" t="s">
        <v>88</v>
      </c>
    </row>
    <row r="15" spans="1:7" ht="30" x14ac:dyDescent="0.25">
      <c r="A15" s="481"/>
      <c r="B15" s="484"/>
      <c r="C15" s="121" t="s">
        <v>91</v>
      </c>
      <c r="D15" s="82" t="s">
        <v>92</v>
      </c>
      <c r="E15" s="82" t="s">
        <v>55</v>
      </c>
      <c r="F15" s="82" t="s">
        <v>74</v>
      </c>
      <c r="G15" s="95" t="s">
        <v>93</v>
      </c>
    </row>
    <row r="16" spans="1:7" ht="60" x14ac:dyDescent="0.25">
      <c r="A16" s="481"/>
      <c r="B16" s="484"/>
      <c r="C16" s="313" t="s">
        <v>94</v>
      </c>
      <c r="D16" s="327" t="s">
        <v>95</v>
      </c>
      <c r="E16" s="82" t="s">
        <v>81</v>
      </c>
      <c r="F16" s="82" t="s">
        <v>74</v>
      </c>
      <c r="G16" s="308" t="s">
        <v>96</v>
      </c>
    </row>
    <row r="17" spans="1:7" ht="30" x14ac:dyDescent="0.25">
      <c r="A17" s="481"/>
      <c r="B17" s="484"/>
      <c r="C17" s="313" t="s">
        <v>97</v>
      </c>
      <c r="D17" s="82" t="s">
        <v>98</v>
      </c>
      <c r="E17" s="82" t="s">
        <v>81</v>
      </c>
      <c r="F17" s="82" t="s">
        <v>74</v>
      </c>
      <c r="G17" s="95" t="s">
        <v>99</v>
      </c>
    </row>
    <row r="18" spans="1:7" ht="45" x14ac:dyDescent="0.25">
      <c r="A18" s="481"/>
      <c r="B18" s="484"/>
      <c r="C18" s="313" t="s">
        <v>100</v>
      </c>
      <c r="D18" s="82" t="s">
        <v>101</v>
      </c>
      <c r="E18" s="82" t="s">
        <v>81</v>
      </c>
      <c r="F18" s="82" t="s">
        <v>74</v>
      </c>
      <c r="G18" s="95" t="s">
        <v>102</v>
      </c>
    </row>
    <row r="19" spans="1:7" x14ac:dyDescent="0.25">
      <c r="A19" s="481"/>
      <c r="B19" s="484"/>
      <c r="C19" s="313" t="s">
        <v>103</v>
      </c>
      <c r="D19" s="82" t="s">
        <v>104</v>
      </c>
      <c r="E19" s="82" t="s">
        <v>81</v>
      </c>
      <c r="F19" s="82" t="s">
        <v>74</v>
      </c>
      <c r="G19" s="95" t="s">
        <v>105</v>
      </c>
    </row>
    <row r="20" spans="1:7" ht="105.75" thickBot="1" x14ac:dyDescent="0.3">
      <c r="A20" s="481"/>
      <c r="B20" s="485"/>
      <c r="C20" s="378" t="s">
        <v>1</v>
      </c>
      <c r="D20" s="469" t="s">
        <v>106</v>
      </c>
      <c r="E20" s="379" t="s">
        <v>81</v>
      </c>
      <c r="F20" s="379" t="s">
        <v>74</v>
      </c>
      <c r="G20" s="380" t="s">
        <v>107</v>
      </c>
    </row>
    <row r="21" spans="1:7" ht="45" x14ac:dyDescent="0.25">
      <c r="A21" s="481"/>
      <c r="B21" s="517" t="s">
        <v>108</v>
      </c>
      <c r="C21" s="314" t="s">
        <v>109</v>
      </c>
      <c r="D21" s="105" t="s">
        <v>110</v>
      </c>
      <c r="E21" s="105" t="s">
        <v>81</v>
      </c>
      <c r="F21" s="105" t="s">
        <v>111</v>
      </c>
      <c r="G21" s="157" t="s">
        <v>112</v>
      </c>
    </row>
    <row r="22" spans="1:7" ht="30" x14ac:dyDescent="0.25">
      <c r="A22" s="481"/>
      <c r="B22" s="518"/>
      <c r="C22" s="315" t="s">
        <v>113</v>
      </c>
      <c r="D22" s="384" t="s">
        <v>114</v>
      </c>
      <c r="E22" s="384" t="s">
        <v>81</v>
      </c>
      <c r="F22" s="384" t="s">
        <v>111</v>
      </c>
      <c r="G22" s="385" t="s">
        <v>115</v>
      </c>
    </row>
    <row r="23" spans="1:7" ht="15.75" thickBot="1" x14ac:dyDescent="0.3">
      <c r="A23" s="481"/>
      <c r="B23" s="519"/>
      <c r="C23" s="386" t="s">
        <v>116</v>
      </c>
      <c r="D23" s="107" t="s">
        <v>117</v>
      </c>
      <c r="E23" s="107" t="s">
        <v>81</v>
      </c>
      <c r="F23" s="107" t="s">
        <v>111</v>
      </c>
      <c r="G23" s="108" t="s">
        <v>118</v>
      </c>
    </row>
    <row r="24" spans="1:7" ht="30" customHeight="1" x14ac:dyDescent="0.25">
      <c r="A24" s="481"/>
      <c r="B24" s="520" t="s">
        <v>119</v>
      </c>
      <c r="C24" s="381" t="s">
        <v>120</v>
      </c>
      <c r="D24" s="382" t="s">
        <v>121</v>
      </c>
      <c r="E24" s="382" t="s">
        <v>81</v>
      </c>
      <c r="F24" s="382" t="s">
        <v>74</v>
      </c>
      <c r="G24" s="383" t="s">
        <v>122</v>
      </c>
    </row>
    <row r="25" spans="1:7" ht="30" customHeight="1" x14ac:dyDescent="0.25">
      <c r="A25" s="481"/>
      <c r="B25" s="521"/>
      <c r="C25" s="315" t="s">
        <v>123</v>
      </c>
      <c r="D25" s="109" t="s">
        <v>124</v>
      </c>
      <c r="E25" s="109" t="s">
        <v>81</v>
      </c>
      <c r="F25" s="109" t="s">
        <v>125</v>
      </c>
      <c r="G25" s="474" t="s">
        <v>126</v>
      </c>
    </row>
    <row r="26" spans="1:7" ht="30" x14ac:dyDescent="0.25">
      <c r="A26" s="481"/>
      <c r="B26" s="521"/>
      <c r="C26" s="262" t="s">
        <v>127</v>
      </c>
      <c r="D26" s="109" t="s">
        <v>128</v>
      </c>
      <c r="E26" s="109" t="s">
        <v>81</v>
      </c>
      <c r="F26" s="109" t="s">
        <v>125</v>
      </c>
      <c r="G26" s="475"/>
    </row>
    <row r="27" spans="1:7" x14ac:dyDescent="0.25">
      <c r="A27" s="481"/>
      <c r="B27" s="521"/>
      <c r="C27" s="315" t="s">
        <v>30</v>
      </c>
      <c r="D27" s="109" t="s">
        <v>129</v>
      </c>
      <c r="E27" s="109" t="s">
        <v>81</v>
      </c>
      <c r="F27" s="109" t="s">
        <v>125</v>
      </c>
      <c r="G27" s="475"/>
    </row>
    <row r="28" spans="1:7" x14ac:dyDescent="0.25">
      <c r="A28" s="481"/>
      <c r="B28" s="521"/>
      <c r="C28" s="315" t="s">
        <v>130</v>
      </c>
      <c r="D28" s="109" t="s">
        <v>131</v>
      </c>
      <c r="E28" s="109" t="s">
        <v>81</v>
      </c>
      <c r="F28" s="109" t="s">
        <v>125</v>
      </c>
      <c r="G28" s="475"/>
    </row>
    <row r="29" spans="1:7" x14ac:dyDescent="0.25">
      <c r="A29" s="481"/>
      <c r="B29" s="521"/>
      <c r="C29" s="315" t="s">
        <v>35</v>
      </c>
      <c r="D29" s="109" t="s">
        <v>132</v>
      </c>
      <c r="E29" s="109" t="s">
        <v>81</v>
      </c>
      <c r="F29" s="109" t="s">
        <v>125</v>
      </c>
      <c r="G29" s="475"/>
    </row>
    <row r="30" spans="1:7" x14ac:dyDescent="0.25">
      <c r="A30" s="481"/>
      <c r="B30" s="521"/>
      <c r="C30" s="315" t="s">
        <v>133</v>
      </c>
      <c r="D30" s="109" t="s">
        <v>134</v>
      </c>
      <c r="E30" s="109" t="s">
        <v>81</v>
      </c>
      <c r="F30" s="109" t="s">
        <v>125</v>
      </c>
      <c r="G30" s="475"/>
    </row>
    <row r="31" spans="1:7" x14ac:dyDescent="0.25">
      <c r="A31" s="481"/>
      <c r="B31" s="521"/>
      <c r="C31" s="262" t="s">
        <v>135</v>
      </c>
      <c r="D31" s="109" t="s">
        <v>136</v>
      </c>
      <c r="E31" s="109" t="s">
        <v>81</v>
      </c>
      <c r="F31" s="109" t="s">
        <v>125</v>
      </c>
      <c r="G31" s="475"/>
    </row>
    <row r="32" spans="1:7" ht="30.75" thickBot="1" x14ac:dyDescent="0.3">
      <c r="A32" s="481"/>
      <c r="B32" s="522"/>
      <c r="C32" s="316" t="s">
        <v>137</v>
      </c>
      <c r="D32" s="104" t="s">
        <v>138</v>
      </c>
      <c r="E32" s="104" t="s">
        <v>81</v>
      </c>
      <c r="F32" s="104" t="s">
        <v>125</v>
      </c>
      <c r="G32" s="476"/>
    </row>
    <row r="33" spans="1:7" ht="30" x14ac:dyDescent="0.25">
      <c r="A33" s="481"/>
      <c r="B33" s="523" t="s">
        <v>139</v>
      </c>
      <c r="C33" s="297" t="s">
        <v>127</v>
      </c>
      <c r="D33" s="260" t="s">
        <v>140</v>
      </c>
      <c r="E33" s="260" t="s">
        <v>81</v>
      </c>
      <c r="F33" s="260" t="s">
        <v>141</v>
      </c>
      <c r="G33" s="261" t="s">
        <v>142</v>
      </c>
    </row>
    <row r="34" spans="1:7" x14ac:dyDescent="0.25">
      <c r="A34" s="481"/>
      <c r="B34" s="524"/>
      <c r="C34" s="313" t="s">
        <v>30</v>
      </c>
      <c r="D34" s="83" t="s">
        <v>143</v>
      </c>
      <c r="E34" s="83" t="s">
        <v>81</v>
      </c>
      <c r="F34" s="83" t="s">
        <v>141</v>
      </c>
      <c r="G34" s="99"/>
    </row>
    <row r="35" spans="1:7" x14ac:dyDescent="0.25">
      <c r="A35" s="481"/>
      <c r="B35" s="524"/>
      <c r="C35" s="313" t="s">
        <v>130</v>
      </c>
      <c r="D35" s="83" t="s">
        <v>144</v>
      </c>
      <c r="E35" s="83" t="s">
        <v>81</v>
      </c>
      <c r="F35" s="83" t="s">
        <v>141</v>
      </c>
      <c r="G35" s="99" t="s">
        <v>145</v>
      </c>
    </row>
    <row r="36" spans="1:7" x14ac:dyDescent="0.25">
      <c r="A36" s="481"/>
      <c r="B36" s="524"/>
      <c r="C36" s="313" t="s">
        <v>35</v>
      </c>
      <c r="D36" s="83" t="s">
        <v>146</v>
      </c>
      <c r="E36" s="83" t="s">
        <v>81</v>
      </c>
      <c r="F36" s="83" t="s">
        <v>141</v>
      </c>
      <c r="G36" s="113"/>
    </row>
    <row r="37" spans="1:7" x14ac:dyDescent="0.25">
      <c r="A37" s="481"/>
      <c r="B37" s="524"/>
      <c r="C37" s="313" t="s">
        <v>133</v>
      </c>
      <c r="D37" s="83" t="s">
        <v>147</v>
      </c>
      <c r="E37" s="83" t="s">
        <v>81</v>
      </c>
      <c r="F37" s="83" t="s">
        <v>141</v>
      </c>
      <c r="G37" s="99" t="s">
        <v>148</v>
      </c>
    </row>
    <row r="38" spans="1:7" x14ac:dyDescent="0.25">
      <c r="A38" s="481"/>
      <c r="B38" s="524"/>
      <c r="C38" s="263" t="s">
        <v>135</v>
      </c>
      <c r="D38" s="83" t="s">
        <v>149</v>
      </c>
      <c r="E38" s="83" t="s">
        <v>81</v>
      </c>
      <c r="F38" s="83" t="s">
        <v>141</v>
      </c>
      <c r="G38" s="99"/>
    </row>
    <row r="39" spans="1:7" ht="30" x14ac:dyDescent="0.25">
      <c r="A39" s="481"/>
      <c r="B39" s="524"/>
      <c r="C39" s="315" t="s">
        <v>150</v>
      </c>
      <c r="D39" s="83" t="s">
        <v>151</v>
      </c>
      <c r="E39" s="83" t="s">
        <v>81</v>
      </c>
      <c r="F39" s="83" t="s">
        <v>141</v>
      </c>
      <c r="G39" s="99"/>
    </row>
    <row r="40" spans="1:7" ht="30" x14ac:dyDescent="0.25">
      <c r="A40" s="481"/>
      <c r="B40" s="524"/>
      <c r="C40" s="263" t="s">
        <v>152</v>
      </c>
      <c r="D40" s="83" t="s">
        <v>153</v>
      </c>
      <c r="E40" s="83" t="s">
        <v>55</v>
      </c>
      <c r="F40" s="83" t="s">
        <v>141</v>
      </c>
      <c r="G40" s="99" t="s">
        <v>154</v>
      </c>
    </row>
    <row r="41" spans="1:7" ht="45.75" thickBot="1" x14ac:dyDescent="0.3">
      <c r="A41" s="481"/>
      <c r="B41" s="525"/>
      <c r="C41" s="312" t="s">
        <v>155</v>
      </c>
      <c r="D41" s="100" t="s">
        <v>156</v>
      </c>
      <c r="E41" s="100" t="s">
        <v>81</v>
      </c>
      <c r="F41" s="100" t="s">
        <v>141</v>
      </c>
      <c r="G41" s="101" t="s">
        <v>157</v>
      </c>
    </row>
    <row r="42" spans="1:7" ht="135.75" thickBot="1" x14ac:dyDescent="0.3">
      <c r="A42" s="480" t="s">
        <v>58</v>
      </c>
      <c r="B42" s="387" t="s">
        <v>158</v>
      </c>
      <c r="C42" s="317" t="s">
        <v>83</v>
      </c>
      <c r="D42" s="388" t="s">
        <v>159</v>
      </c>
      <c r="E42" s="388" t="s">
        <v>81</v>
      </c>
      <c r="F42" s="388" t="s">
        <v>74</v>
      </c>
      <c r="G42" s="389" t="s">
        <v>160</v>
      </c>
    </row>
    <row r="43" spans="1:7" ht="15" customHeight="1" x14ac:dyDescent="0.25">
      <c r="A43" s="481"/>
      <c r="B43" s="509" t="s">
        <v>161</v>
      </c>
      <c r="C43" s="294" t="s">
        <v>162</v>
      </c>
      <c r="D43" s="282" t="s">
        <v>163</v>
      </c>
      <c r="E43" s="282" t="s">
        <v>62</v>
      </c>
      <c r="F43" s="282" t="s">
        <v>74</v>
      </c>
      <c r="G43" s="265" t="s">
        <v>164</v>
      </c>
    </row>
    <row r="44" spans="1:7" ht="30" x14ac:dyDescent="0.25">
      <c r="A44" s="481"/>
      <c r="B44" s="510"/>
      <c r="C44" s="295" t="s">
        <v>123</v>
      </c>
      <c r="D44" s="283" t="s">
        <v>165</v>
      </c>
      <c r="E44" s="283" t="s">
        <v>62</v>
      </c>
      <c r="F44" s="283" t="s">
        <v>74</v>
      </c>
      <c r="G44" s="266" t="s">
        <v>164</v>
      </c>
    </row>
    <row r="45" spans="1:7" ht="30" x14ac:dyDescent="0.25">
      <c r="A45" s="481"/>
      <c r="B45" s="510"/>
      <c r="C45" s="295" t="s">
        <v>100</v>
      </c>
      <c r="D45" s="283" t="s">
        <v>166</v>
      </c>
      <c r="E45" s="283" t="s">
        <v>62</v>
      </c>
      <c r="F45" s="283" t="s">
        <v>74</v>
      </c>
      <c r="G45" s="266" t="s">
        <v>167</v>
      </c>
    </row>
    <row r="46" spans="1:7" x14ac:dyDescent="0.25">
      <c r="A46" s="481"/>
      <c r="B46" s="510"/>
      <c r="C46" s="295" t="s">
        <v>168</v>
      </c>
      <c r="D46" s="283" t="s">
        <v>169</v>
      </c>
      <c r="E46" s="283" t="s">
        <v>62</v>
      </c>
      <c r="F46" s="283" t="s">
        <v>74</v>
      </c>
      <c r="G46" s="266" t="s">
        <v>164</v>
      </c>
    </row>
    <row r="47" spans="1:7" ht="15.75" thickBot="1" x14ac:dyDescent="0.3">
      <c r="A47" s="481"/>
      <c r="B47" s="511"/>
      <c r="C47" s="296" t="s">
        <v>170</v>
      </c>
      <c r="D47" s="284" t="s">
        <v>171</v>
      </c>
      <c r="E47" s="283" t="s">
        <v>62</v>
      </c>
      <c r="F47" s="284" t="s">
        <v>74</v>
      </c>
      <c r="G47" s="267" t="s">
        <v>164</v>
      </c>
    </row>
    <row r="48" spans="1:7" ht="30" x14ac:dyDescent="0.25">
      <c r="A48" s="481"/>
      <c r="B48" s="512" t="s">
        <v>172</v>
      </c>
      <c r="C48" s="291" t="s">
        <v>127</v>
      </c>
      <c r="D48" s="285" t="s">
        <v>173</v>
      </c>
      <c r="E48" s="285" t="s">
        <v>62</v>
      </c>
      <c r="F48" s="285" t="s">
        <v>125</v>
      </c>
      <c r="G48" s="477" t="s">
        <v>174</v>
      </c>
    </row>
    <row r="49" spans="1:7" ht="30" x14ac:dyDescent="0.25">
      <c r="A49" s="481"/>
      <c r="B49" s="512"/>
      <c r="C49" s="292" t="s">
        <v>30</v>
      </c>
      <c r="D49" s="268" t="s">
        <v>175</v>
      </c>
      <c r="E49" s="268" t="s">
        <v>62</v>
      </c>
      <c r="F49" s="268" t="s">
        <v>125</v>
      </c>
      <c r="G49" s="478"/>
    </row>
    <row r="50" spans="1:7" ht="30" x14ac:dyDescent="0.25">
      <c r="A50" s="481"/>
      <c r="B50" s="512"/>
      <c r="C50" s="292" t="s">
        <v>130</v>
      </c>
      <c r="D50" s="268" t="s">
        <v>176</v>
      </c>
      <c r="E50" s="268" t="s">
        <v>62</v>
      </c>
      <c r="F50" s="268" t="s">
        <v>125</v>
      </c>
      <c r="G50" s="478"/>
    </row>
    <row r="51" spans="1:7" ht="30" x14ac:dyDescent="0.25">
      <c r="A51" s="481"/>
      <c r="B51" s="512"/>
      <c r="C51" s="292" t="s">
        <v>35</v>
      </c>
      <c r="D51" s="268" t="s">
        <v>177</v>
      </c>
      <c r="E51" s="268" t="s">
        <v>62</v>
      </c>
      <c r="F51" s="268" t="s">
        <v>125</v>
      </c>
      <c r="G51" s="478"/>
    </row>
    <row r="52" spans="1:7" ht="30" x14ac:dyDescent="0.25">
      <c r="A52" s="481"/>
      <c r="B52" s="512"/>
      <c r="C52" s="292" t="s">
        <v>133</v>
      </c>
      <c r="D52" s="268" t="s">
        <v>178</v>
      </c>
      <c r="E52" s="268" t="s">
        <v>62</v>
      </c>
      <c r="F52" s="268" t="s">
        <v>125</v>
      </c>
      <c r="G52" s="478"/>
    </row>
    <row r="53" spans="1:7" ht="30" x14ac:dyDescent="0.25">
      <c r="A53" s="481"/>
      <c r="B53" s="512"/>
      <c r="C53" s="292" t="s">
        <v>179</v>
      </c>
      <c r="D53" s="268" t="s">
        <v>180</v>
      </c>
      <c r="E53" s="268" t="s">
        <v>62</v>
      </c>
      <c r="F53" s="268" t="s">
        <v>125</v>
      </c>
      <c r="G53" s="478"/>
    </row>
    <row r="54" spans="1:7" x14ac:dyDescent="0.25">
      <c r="A54" s="481"/>
      <c r="B54" s="512"/>
      <c r="C54" s="292" t="s">
        <v>135</v>
      </c>
      <c r="D54" s="268" t="s">
        <v>181</v>
      </c>
      <c r="E54" s="268" t="s">
        <v>62</v>
      </c>
      <c r="F54" s="268" t="s">
        <v>125</v>
      </c>
      <c r="G54" s="478"/>
    </row>
    <row r="55" spans="1:7" ht="30.75" thickBot="1" x14ac:dyDescent="0.3">
      <c r="A55" s="481"/>
      <c r="B55" s="513"/>
      <c r="C55" s="293" t="s">
        <v>182</v>
      </c>
      <c r="D55" s="286" t="s">
        <v>183</v>
      </c>
      <c r="E55" s="286" t="s">
        <v>62</v>
      </c>
      <c r="F55" s="286" t="s">
        <v>125</v>
      </c>
      <c r="G55" s="479"/>
    </row>
    <row r="56" spans="1:7" ht="30" x14ac:dyDescent="0.25">
      <c r="A56" s="481"/>
      <c r="B56" s="514" t="s">
        <v>139</v>
      </c>
      <c r="C56" s="373" t="s">
        <v>127</v>
      </c>
      <c r="D56" s="374" t="s">
        <v>184</v>
      </c>
      <c r="E56" s="374" t="s">
        <v>62</v>
      </c>
      <c r="F56" s="374" t="s">
        <v>141</v>
      </c>
      <c r="G56" s="375" t="s">
        <v>164</v>
      </c>
    </row>
    <row r="57" spans="1:7" ht="30" x14ac:dyDescent="0.25">
      <c r="A57" s="481"/>
      <c r="B57" s="515"/>
      <c r="C57" s="289" t="s">
        <v>30</v>
      </c>
      <c r="D57" s="287" t="s">
        <v>185</v>
      </c>
      <c r="E57" s="287" t="s">
        <v>62</v>
      </c>
      <c r="F57" s="287" t="s">
        <v>141</v>
      </c>
      <c r="G57" s="264" t="s">
        <v>164</v>
      </c>
    </row>
    <row r="58" spans="1:7" ht="30" x14ac:dyDescent="0.25">
      <c r="A58" s="481"/>
      <c r="B58" s="515"/>
      <c r="C58" s="289" t="s">
        <v>130</v>
      </c>
      <c r="D58" s="287" t="s">
        <v>186</v>
      </c>
      <c r="E58" s="287" t="s">
        <v>62</v>
      </c>
      <c r="F58" s="287" t="s">
        <v>141</v>
      </c>
      <c r="G58" s="264" t="s">
        <v>164</v>
      </c>
    </row>
    <row r="59" spans="1:7" x14ac:dyDescent="0.25">
      <c r="A59" s="481"/>
      <c r="B59" s="515"/>
      <c r="C59" s="289" t="s">
        <v>35</v>
      </c>
      <c r="D59" s="287" t="s">
        <v>187</v>
      </c>
      <c r="E59" s="287" t="s">
        <v>62</v>
      </c>
      <c r="F59" s="287" t="s">
        <v>141</v>
      </c>
      <c r="G59" s="264" t="s">
        <v>164</v>
      </c>
    </row>
    <row r="60" spans="1:7" ht="30" x14ac:dyDescent="0.25">
      <c r="A60" s="481"/>
      <c r="B60" s="515"/>
      <c r="C60" s="289" t="s">
        <v>133</v>
      </c>
      <c r="D60" s="287" t="s">
        <v>188</v>
      </c>
      <c r="E60" s="287" t="s">
        <v>62</v>
      </c>
      <c r="F60" s="287" t="s">
        <v>141</v>
      </c>
      <c r="G60" s="264" t="s">
        <v>164</v>
      </c>
    </row>
    <row r="61" spans="1:7" x14ac:dyDescent="0.25">
      <c r="A61" s="481"/>
      <c r="B61" s="515"/>
      <c r="C61" s="289" t="s">
        <v>179</v>
      </c>
      <c r="D61" s="287" t="s">
        <v>189</v>
      </c>
      <c r="E61" s="287" t="s">
        <v>62</v>
      </c>
      <c r="F61" s="287" t="s">
        <v>141</v>
      </c>
      <c r="G61" s="264" t="s">
        <v>164</v>
      </c>
    </row>
    <row r="62" spans="1:7" x14ac:dyDescent="0.25">
      <c r="A62" s="481"/>
      <c r="B62" s="515"/>
      <c r="C62" s="289" t="s">
        <v>135</v>
      </c>
      <c r="D62" s="287" t="s">
        <v>190</v>
      </c>
      <c r="E62" s="287" t="s">
        <v>62</v>
      </c>
      <c r="F62" s="287" t="s">
        <v>141</v>
      </c>
      <c r="G62" s="264" t="s">
        <v>164</v>
      </c>
    </row>
    <row r="63" spans="1:7" ht="15.75" thickBot="1" x14ac:dyDescent="0.3">
      <c r="A63" s="482"/>
      <c r="B63" s="516"/>
      <c r="C63" s="290" t="s">
        <v>182</v>
      </c>
      <c r="D63" s="288" t="s">
        <v>191</v>
      </c>
      <c r="E63" s="288" t="s">
        <v>62</v>
      </c>
      <c r="F63" s="288" t="s">
        <v>141</v>
      </c>
      <c r="G63" s="269" t="s">
        <v>164</v>
      </c>
    </row>
    <row r="64" spans="1:7" ht="120" x14ac:dyDescent="0.25">
      <c r="A64" s="481" t="s">
        <v>60</v>
      </c>
      <c r="B64" s="506" t="s">
        <v>192</v>
      </c>
      <c r="C64" s="314" t="s">
        <v>72</v>
      </c>
      <c r="D64" s="271" t="s">
        <v>193</v>
      </c>
      <c r="E64" s="271" t="s">
        <v>55</v>
      </c>
      <c r="F64" s="271" t="s">
        <v>74</v>
      </c>
      <c r="G64" s="390" t="s">
        <v>194</v>
      </c>
    </row>
    <row r="65" spans="1:7" ht="60" x14ac:dyDescent="0.25">
      <c r="A65" s="481"/>
      <c r="B65" s="507"/>
      <c r="C65" s="315" t="s">
        <v>76</v>
      </c>
      <c r="D65" s="272" t="s">
        <v>77</v>
      </c>
      <c r="E65" s="272" t="s">
        <v>55</v>
      </c>
      <c r="F65" s="272" t="s">
        <v>74</v>
      </c>
      <c r="G65" s="392" t="s">
        <v>195</v>
      </c>
    </row>
    <row r="66" spans="1:7" ht="30" x14ac:dyDescent="0.25">
      <c r="A66" s="481"/>
      <c r="B66" s="507"/>
      <c r="C66" s="315" t="s">
        <v>91</v>
      </c>
      <c r="D66" s="272" t="s">
        <v>92</v>
      </c>
      <c r="E66" s="272" t="s">
        <v>55</v>
      </c>
      <c r="F66" s="272" t="s">
        <v>74</v>
      </c>
      <c r="G66" s="273" t="s">
        <v>196</v>
      </c>
    </row>
    <row r="67" spans="1:7" ht="30" x14ac:dyDescent="0.25">
      <c r="A67" s="481"/>
      <c r="B67" s="507"/>
      <c r="C67" s="315" t="s">
        <v>197</v>
      </c>
      <c r="D67" s="272" t="s">
        <v>198</v>
      </c>
      <c r="E67" s="272" t="s">
        <v>55</v>
      </c>
      <c r="F67" s="272" t="s">
        <v>74</v>
      </c>
      <c r="G67" s="273" t="s">
        <v>199</v>
      </c>
    </row>
    <row r="68" spans="1:7" x14ac:dyDescent="0.25">
      <c r="A68" s="481"/>
      <c r="B68" s="507"/>
      <c r="C68" s="315" t="s">
        <v>1</v>
      </c>
      <c r="D68" s="272" t="s">
        <v>200</v>
      </c>
      <c r="E68" s="272" t="s">
        <v>55</v>
      </c>
      <c r="F68" s="272" t="s">
        <v>74</v>
      </c>
      <c r="G68" s="273" t="s">
        <v>201</v>
      </c>
    </row>
    <row r="69" spans="1:7" ht="15.75" thickBot="1" x14ac:dyDescent="0.3">
      <c r="A69" s="481"/>
      <c r="B69" s="508"/>
      <c r="C69" s="316" t="s">
        <v>202</v>
      </c>
      <c r="D69" s="274" t="s">
        <v>203</v>
      </c>
      <c r="E69" s="274" t="s">
        <v>55</v>
      </c>
      <c r="F69" s="274" t="s">
        <v>74</v>
      </c>
      <c r="G69" s="275"/>
    </row>
    <row r="70" spans="1:7" ht="150" x14ac:dyDescent="0.25">
      <c r="A70" s="480" t="s">
        <v>63</v>
      </c>
      <c r="B70" s="483" t="s">
        <v>71</v>
      </c>
      <c r="C70" s="323" t="s">
        <v>72</v>
      </c>
      <c r="D70" s="270" t="s">
        <v>204</v>
      </c>
      <c r="E70" s="270" t="s">
        <v>55</v>
      </c>
      <c r="F70" s="270" t="s">
        <v>74</v>
      </c>
      <c r="G70" s="391" t="s">
        <v>205</v>
      </c>
    </row>
    <row r="71" spans="1:7" x14ac:dyDescent="0.25">
      <c r="A71" s="481"/>
      <c r="B71" s="484"/>
      <c r="C71" s="121" t="s">
        <v>76</v>
      </c>
      <c r="D71" s="82" t="s">
        <v>77</v>
      </c>
      <c r="E71" s="82" t="s">
        <v>55</v>
      </c>
      <c r="F71" s="82" t="s">
        <v>74</v>
      </c>
      <c r="G71" s="95" t="s">
        <v>164</v>
      </c>
    </row>
    <row r="72" spans="1:7" ht="30" x14ac:dyDescent="0.25">
      <c r="A72" s="481"/>
      <c r="B72" s="484"/>
      <c r="C72" s="121" t="s">
        <v>91</v>
      </c>
      <c r="D72" s="82" t="s">
        <v>92</v>
      </c>
      <c r="E72" s="82" t="s">
        <v>55</v>
      </c>
      <c r="F72" s="82" t="s">
        <v>74</v>
      </c>
      <c r="G72" s="95" t="s">
        <v>206</v>
      </c>
    </row>
    <row r="73" spans="1:7" x14ac:dyDescent="0.25">
      <c r="A73" s="481"/>
      <c r="B73" s="484"/>
      <c r="C73" s="121" t="s">
        <v>207</v>
      </c>
      <c r="D73" s="82" t="s">
        <v>208</v>
      </c>
      <c r="E73" s="82" t="s">
        <v>81</v>
      </c>
      <c r="F73" s="82" t="s">
        <v>74</v>
      </c>
      <c r="G73" s="95" t="s">
        <v>164</v>
      </c>
    </row>
    <row r="74" spans="1:7" ht="60" customHeight="1" x14ac:dyDescent="0.25">
      <c r="A74" s="481"/>
      <c r="B74" s="484"/>
      <c r="C74" s="121" t="s">
        <v>83</v>
      </c>
      <c r="D74" s="82" t="s">
        <v>209</v>
      </c>
      <c r="E74" s="82" t="s">
        <v>81</v>
      </c>
      <c r="F74" s="82" t="s">
        <v>74</v>
      </c>
      <c r="G74" s="95" t="s">
        <v>164</v>
      </c>
    </row>
    <row r="75" spans="1:7" x14ac:dyDescent="0.25">
      <c r="A75" s="481"/>
      <c r="B75" s="484"/>
      <c r="C75" s="121" t="s">
        <v>1</v>
      </c>
      <c r="D75" s="82" t="s">
        <v>200</v>
      </c>
      <c r="E75" s="82" t="s">
        <v>81</v>
      </c>
      <c r="F75" s="82" t="s">
        <v>74</v>
      </c>
      <c r="G75" s="95" t="s">
        <v>164</v>
      </c>
    </row>
    <row r="76" spans="1:7" ht="90" x14ac:dyDescent="0.25">
      <c r="A76" s="481"/>
      <c r="B76" s="484"/>
      <c r="C76" s="121" t="s">
        <v>210</v>
      </c>
      <c r="D76" s="82" t="s">
        <v>211</v>
      </c>
      <c r="E76" s="82" t="s">
        <v>55</v>
      </c>
      <c r="F76" s="82" t="s">
        <v>74</v>
      </c>
      <c r="G76" s="308" t="s">
        <v>212</v>
      </c>
    </row>
    <row r="77" spans="1:7" ht="90" x14ac:dyDescent="0.25">
      <c r="A77" s="481"/>
      <c r="B77" s="484"/>
      <c r="C77" s="121" t="s">
        <v>213</v>
      </c>
      <c r="D77" s="82" t="s">
        <v>214</v>
      </c>
      <c r="E77" s="82" t="s">
        <v>55</v>
      </c>
      <c r="F77" s="82" t="s">
        <v>74</v>
      </c>
      <c r="G77" s="308" t="s">
        <v>215</v>
      </c>
    </row>
    <row r="78" spans="1:7" ht="30" x14ac:dyDescent="0.25">
      <c r="A78" s="481"/>
      <c r="B78" s="484"/>
      <c r="C78" s="121" t="s">
        <v>100</v>
      </c>
      <c r="D78" s="82" t="s">
        <v>166</v>
      </c>
      <c r="E78" s="82" t="s">
        <v>81</v>
      </c>
      <c r="F78" s="82" t="s">
        <v>74</v>
      </c>
      <c r="G78" s="95" t="s">
        <v>167</v>
      </c>
    </row>
    <row r="79" spans="1:7" ht="30.75" thickBot="1" x14ac:dyDescent="0.3">
      <c r="A79" s="481"/>
      <c r="B79" s="485"/>
      <c r="C79" s="122" t="s">
        <v>216</v>
      </c>
      <c r="D79" s="96" t="s">
        <v>217</v>
      </c>
      <c r="E79" s="96" t="s">
        <v>55</v>
      </c>
      <c r="F79" s="96" t="s">
        <v>74</v>
      </c>
      <c r="G79" s="97" t="s">
        <v>218</v>
      </c>
    </row>
    <row r="80" spans="1:7" ht="30" x14ac:dyDescent="0.25">
      <c r="A80" s="481"/>
      <c r="B80" s="486" t="s">
        <v>108</v>
      </c>
      <c r="C80" s="123" t="s">
        <v>109</v>
      </c>
      <c r="D80" s="105" t="s">
        <v>219</v>
      </c>
      <c r="E80" s="105" t="s">
        <v>55</v>
      </c>
      <c r="F80" s="105" t="s">
        <v>220</v>
      </c>
      <c r="G80" s="106" t="s">
        <v>218</v>
      </c>
    </row>
    <row r="81" spans="1:7" ht="30.75" thickBot="1" x14ac:dyDescent="0.3">
      <c r="A81" s="481"/>
      <c r="B81" s="487"/>
      <c r="C81" s="124" t="s">
        <v>116</v>
      </c>
      <c r="D81" s="107" t="s">
        <v>221</v>
      </c>
      <c r="E81" s="107" t="s">
        <v>55</v>
      </c>
      <c r="F81" s="107" t="s">
        <v>220</v>
      </c>
      <c r="G81" s="108" t="s">
        <v>218</v>
      </c>
    </row>
    <row r="82" spans="1:7" ht="30" x14ac:dyDescent="0.25">
      <c r="A82" s="481"/>
      <c r="B82" s="488" t="s">
        <v>119</v>
      </c>
      <c r="C82" s="125" t="s">
        <v>222</v>
      </c>
      <c r="D82" s="102" t="s">
        <v>223</v>
      </c>
      <c r="E82" s="102" t="s">
        <v>55</v>
      </c>
      <c r="F82" s="102" t="s">
        <v>74</v>
      </c>
      <c r="G82" s="103" t="s">
        <v>218</v>
      </c>
    </row>
    <row r="83" spans="1:7" ht="30" x14ac:dyDescent="0.25">
      <c r="A83" s="481"/>
      <c r="B83" s="489"/>
      <c r="C83" s="127" t="s">
        <v>224</v>
      </c>
      <c r="D83" s="109" t="s">
        <v>225</v>
      </c>
      <c r="E83" s="109" t="s">
        <v>55</v>
      </c>
      <c r="F83" s="109" t="s">
        <v>220</v>
      </c>
      <c r="G83" s="114" t="s">
        <v>218</v>
      </c>
    </row>
    <row r="84" spans="1:7" ht="30.75" thickBot="1" x14ac:dyDescent="0.3">
      <c r="A84" s="481"/>
      <c r="B84" s="490"/>
      <c r="C84" s="128" t="s">
        <v>182</v>
      </c>
      <c r="D84" s="119" t="s">
        <v>226</v>
      </c>
      <c r="E84" s="119" t="s">
        <v>55</v>
      </c>
      <c r="F84" s="119" t="s">
        <v>220</v>
      </c>
      <c r="G84" s="120" t="s">
        <v>218</v>
      </c>
    </row>
    <row r="85" spans="1:7" ht="30" x14ac:dyDescent="0.25">
      <c r="A85" s="481"/>
      <c r="B85" s="491" t="s">
        <v>139</v>
      </c>
      <c r="C85" s="126" t="s">
        <v>227</v>
      </c>
      <c r="D85" s="111" t="s">
        <v>228</v>
      </c>
      <c r="E85" s="111" t="s">
        <v>55</v>
      </c>
      <c r="F85" s="111" t="s">
        <v>220</v>
      </c>
      <c r="G85" s="112" t="s">
        <v>218</v>
      </c>
    </row>
    <row r="86" spans="1:7" ht="30" x14ac:dyDescent="0.25">
      <c r="A86" s="481"/>
      <c r="B86" s="492"/>
      <c r="C86" s="98" t="s">
        <v>224</v>
      </c>
      <c r="D86" s="83" t="s">
        <v>229</v>
      </c>
      <c r="E86" s="83" t="s">
        <v>55</v>
      </c>
      <c r="F86" s="83" t="s">
        <v>220</v>
      </c>
      <c r="G86" s="99" t="s">
        <v>218</v>
      </c>
    </row>
    <row r="87" spans="1:7" ht="30" x14ac:dyDescent="0.25">
      <c r="A87" s="481"/>
      <c r="B87" s="492"/>
      <c r="C87" s="98" t="s">
        <v>179</v>
      </c>
      <c r="D87" s="83" t="s">
        <v>230</v>
      </c>
      <c r="E87" s="83" t="s">
        <v>55</v>
      </c>
      <c r="F87" s="83" t="s">
        <v>220</v>
      </c>
      <c r="G87" s="99" t="s">
        <v>218</v>
      </c>
    </row>
    <row r="88" spans="1:7" ht="30" x14ac:dyDescent="0.25">
      <c r="A88" s="481"/>
      <c r="B88" s="492"/>
      <c r="C88" s="98" t="s">
        <v>135</v>
      </c>
      <c r="D88" s="83" t="s">
        <v>231</v>
      </c>
      <c r="E88" s="83" t="s">
        <v>55</v>
      </c>
      <c r="F88" s="83" t="s">
        <v>220</v>
      </c>
      <c r="G88" s="99" t="s">
        <v>218</v>
      </c>
    </row>
    <row r="89" spans="1:7" ht="45" customHeight="1" x14ac:dyDescent="0.25">
      <c r="A89" s="481"/>
      <c r="B89" s="492"/>
      <c r="C89" s="98" t="s">
        <v>182</v>
      </c>
      <c r="D89" s="83" t="s">
        <v>232</v>
      </c>
      <c r="E89" s="83" t="s">
        <v>55</v>
      </c>
      <c r="F89" s="83" t="s">
        <v>220</v>
      </c>
      <c r="G89" s="99" t="s">
        <v>218</v>
      </c>
    </row>
    <row r="90" spans="1:7" ht="30.75" thickBot="1" x14ac:dyDescent="0.3">
      <c r="A90" s="482"/>
      <c r="B90" s="493"/>
      <c r="C90" s="312"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58" bestFit="1" customWidth="1"/>
    <col min="2" max="2" width="123" style="81" bestFit="1" customWidth="1"/>
    <col min="3" max="3" width="7.140625" style="81" bestFit="1" customWidth="1"/>
    <col min="4" max="16384" width="9.140625" style="81"/>
  </cols>
  <sheetData>
    <row r="1" spans="1:3" ht="15.75" thickBot="1" x14ac:dyDescent="0.3">
      <c r="A1" s="358" t="s">
        <v>0</v>
      </c>
      <c r="B1" s="363" t="s">
        <v>235</v>
      </c>
      <c r="C1" s="359" t="s">
        <v>236</v>
      </c>
    </row>
    <row r="2" spans="1:3" x14ac:dyDescent="0.25">
      <c r="A2" s="360">
        <v>43807</v>
      </c>
      <c r="B2" s="364" t="s">
        <v>237</v>
      </c>
      <c r="C2" s="368" t="s">
        <v>11</v>
      </c>
    </row>
    <row r="3" spans="1:3" ht="30" x14ac:dyDescent="0.25">
      <c r="A3" s="361">
        <v>43937</v>
      </c>
      <c r="B3" s="365" t="s">
        <v>238</v>
      </c>
      <c r="C3" s="322" t="s">
        <v>11</v>
      </c>
    </row>
    <row r="4" spans="1:3" x14ac:dyDescent="0.25">
      <c r="A4" s="361">
        <v>43941</v>
      </c>
      <c r="B4" s="366" t="s">
        <v>239</v>
      </c>
      <c r="C4" s="322" t="s">
        <v>11</v>
      </c>
    </row>
    <row r="5" spans="1:3" x14ac:dyDescent="0.25">
      <c r="A5" s="361">
        <v>43942</v>
      </c>
      <c r="B5" s="366" t="s">
        <v>240</v>
      </c>
      <c r="C5" s="322" t="s">
        <v>11</v>
      </c>
    </row>
    <row r="6" spans="1:3" x14ac:dyDescent="0.25">
      <c r="A6" s="361">
        <v>43963</v>
      </c>
      <c r="B6" s="366" t="s">
        <v>241</v>
      </c>
      <c r="C6" s="322" t="s">
        <v>11</v>
      </c>
    </row>
    <row r="7" spans="1:3" x14ac:dyDescent="0.25">
      <c r="A7" s="361">
        <v>43990</v>
      </c>
      <c r="B7" s="366" t="s">
        <v>242</v>
      </c>
      <c r="C7" s="322" t="s">
        <v>11</v>
      </c>
    </row>
    <row r="8" spans="1:3" ht="30" x14ac:dyDescent="0.25">
      <c r="A8" s="361">
        <v>44104</v>
      </c>
      <c r="B8" s="365" t="s">
        <v>243</v>
      </c>
      <c r="C8" s="322" t="s">
        <v>244</v>
      </c>
    </row>
    <row r="9" spans="1:3" ht="150.75" thickBot="1" x14ac:dyDescent="0.3">
      <c r="A9" s="362">
        <v>44128</v>
      </c>
      <c r="B9" s="367" t="s">
        <v>245</v>
      </c>
      <c r="C9" s="369"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33"/>
  <sheetViews>
    <sheetView tabSelected="1" topLeftCell="E1" workbookViewId="0">
      <selection activeCell="A114" sqref="A114"/>
    </sheetView>
  </sheetViews>
  <sheetFormatPr defaultColWidth="9.140625" defaultRowHeight="16.149999999999999" customHeight="1" x14ac:dyDescent="0.25"/>
  <cols>
    <col min="1" max="1" width="48.7109375" style="161" customWidth="1"/>
    <col min="2" max="2" width="54.5703125" style="159" customWidth="1"/>
    <col min="3" max="3" width="9.28515625" style="159" bestFit="1" customWidth="1"/>
    <col min="4" max="4" width="14.140625" style="162" bestFit="1" customWidth="1"/>
    <col min="5" max="5" width="9.28515625" style="159" customWidth="1"/>
    <col min="6" max="6" width="39" style="159" customWidth="1"/>
    <col min="7" max="7" width="9.85546875" style="159" customWidth="1"/>
    <col min="8" max="8" width="121.85546875" style="162" customWidth="1"/>
    <col min="9" max="9" width="35.28515625" style="162" customWidth="1"/>
    <col min="10" max="10" width="29.85546875" style="159" customWidth="1"/>
    <col min="11" max="11" width="8.28515625" style="159" customWidth="1"/>
    <col min="12" max="12" width="17.28515625" style="159" customWidth="1"/>
    <col min="13" max="13" width="11.140625" style="159" customWidth="1"/>
    <col min="14" max="14" width="12.5703125" style="159" customWidth="1"/>
    <col min="15" max="15" width="11.7109375" style="159" customWidth="1"/>
    <col min="16" max="16" width="15" style="159" customWidth="1"/>
    <col min="17" max="17" width="10.42578125" style="159" customWidth="1"/>
    <col min="18" max="18" width="30.140625" style="164" customWidth="1"/>
    <col min="19" max="19" width="11.5703125" style="164" customWidth="1"/>
    <col min="20" max="20" width="7.140625" style="163" customWidth="1"/>
    <col min="21" max="21" width="10.140625" style="163" customWidth="1"/>
    <col min="22" max="22" width="6.42578125" style="163" customWidth="1"/>
    <col min="23" max="23" width="7" style="163" customWidth="1"/>
    <col min="24" max="24" width="13.5703125" style="163" customWidth="1"/>
    <col min="25" max="25" width="40.42578125" style="164" customWidth="1"/>
    <col min="26" max="26" width="11.5703125" style="164" customWidth="1"/>
    <col min="27" max="27" width="7.140625" style="163" customWidth="1"/>
    <col min="28" max="28" width="10.140625" style="163" customWidth="1"/>
    <col min="29" max="29" width="6.42578125" style="163" customWidth="1"/>
    <col min="30" max="30" width="7" style="163" customWidth="1"/>
    <col min="31" max="31" width="13.5703125" style="163" customWidth="1"/>
    <col min="32" max="32" width="40.42578125" style="159" customWidth="1"/>
    <col min="33" max="33" width="10.85546875" style="159" bestFit="1" customWidth="1"/>
    <col min="34" max="34" width="49.28515625" style="159" bestFit="1" customWidth="1"/>
    <col min="35" max="16384" width="9.140625" style="159"/>
  </cols>
  <sheetData>
    <row r="1" spans="1:34" ht="16.149999999999999" customHeight="1" thickBot="1" x14ac:dyDescent="0.3">
      <c r="A1" s="533" t="s">
        <v>246</v>
      </c>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5"/>
    </row>
    <row r="2" spans="1:34" ht="16.149999999999999" customHeight="1" thickBot="1" x14ac:dyDescent="0.3">
      <c r="A2" s="536" t="s">
        <v>247</v>
      </c>
      <c r="B2" s="537"/>
      <c r="C2" s="537"/>
      <c r="D2" s="537"/>
      <c r="E2" s="537"/>
      <c r="F2" s="537"/>
      <c r="G2" s="537"/>
      <c r="H2" s="537"/>
      <c r="I2" s="537"/>
      <c r="J2" s="538"/>
      <c r="K2" s="346">
        <f>SUM(K6:K114)</f>
        <v>108</v>
      </c>
      <c r="L2" s="346">
        <f>SUM(L6:L114)</f>
        <v>1230</v>
      </c>
      <c r="M2" s="347"/>
      <c r="N2" s="393">
        <f>SUMPRODUCT(K6:K114,N6:N114)/K117</f>
        <v>1</v>
      </c>
      <c r="O2" s="394">
        <f>SUM(O6:O114)</f>
        <v>881</v>
      </c>
      <c r="P2" s="395">
        <f>SUMPRODUCT(L6:L114,P6:P114)/L117</f>
        <v>0.71626016260162606</v>
      </c>
      <c r="Q2" s="348"/>
      <c r="R2" s="349">
        <f t="shared" ref="R2:W2" si="0">SUM(R6:R114)</f>
        <v>1230</v>
      </c>
      <c r="S2" s="396">
        <f t="shared" si="0"/>
        <v>5</v>
      </c>
      <c r="T2" s="396">
        <f t="shared" si="0"/>
        <v>5</v>
      </c>
      <c r="U2" s="396">
        <f t="shared" si="0"/>
        <v>0</v>
      </c>
      <c r="V2" s="396">
        <f t="shared" si="0"/>
        <v>0</v>
      </c>
      <c r="W2" s="396">
        <f t="shared" si="0"/>
        <v>0</v>
      </c>
      <c r="X2" s="397">
        <f>IF((S117=0),0,((T117+U117)/S117*100%))</f>
        <v>1</v>
      </c>
      <c r="Y2" s="350"/>
      <c r="Z2" s="398">
        <f>SUM(Z6:Z114)</f>
        <v>0</v>
      </c>
      <c r="AA2" s="399">
        <f>SUM(AA6:AA114)</f>
        <v>0</v>
      </c>
      <c r="AB2" s="399">
        <f>SUM(AB6:AB114)</f>
        <v>0</v>
      </c>
      <c r="AC2" s="399">
        <f>SUM(AC6:AC114)</f>
        <v>0</v>
      </c>
      <c r="AD2" s="399">
        <f>SUM(AD6:AD114)</f>
        <v>0</v>
      </c>
      <c r="AE2" s="400">
        <f>IF((Z117=0),0,((AA117+AB117)/Z117*100%))</f>
        <v>0</v>
      </c>
      <c r="AF2" s="351"/>
      <c r="AG2" s="351"/>
      <c r="AH2" s="352"/>
    </row>
    <row r="3" spans="1:34" ht="16.149999999999999" customHeight="1" thickBot="1" x14ac:dyDescent="0.3">
      <c r="A3" s="533" t="s">
        <v>248</v>
      </c>
      <c r="B3" s="534"/>
      <c r="C3" s="534"/>
      <c r="D3" s="534"/>
      <c r="E3" s="534"/>
      <c r="F3" s="534"/>
      <c r="G3" s="534"/>
      <c r="H3" s="534"/>
      <c r="I3" s="534"/>
      <c r="J3" s="534"/>
      <c r="K3" s="534"/>
      <c r="L3" s="534"/>
      <c r="M3" s="534"/>
      <c r="N3" s="534"/>
      <c r="O3" s="534"/>
      <c r="P3" s="534"/>
      <c r="Q3" s="534"/>
      <c r="R3" s="534"/>
      <c r="S3" s="534"/>
      <c r="T3" s="534"/>
      <c r="U3" s="534"/>
      <c r="V3" s="534"/>
      <c r="W3" s="534"/>
      <c r="X3" s="534"/>
      <c r="Y3" s="534"/>
      <c r="Z3" s="534"/>
      <c r="AA3" s="534"/>
      <c r="AB3" s="534"/>
      <c r="AC3" s="534"/>
      <c r="AD3" s="534"/>
      <c r="AE3" s="534"/>
      <c r="AF3" s="534"/>
      <c r="AG3" s="534"/>
      <c r="AH3" s="535"/>
    </row>
    <row r="4" spans="1:34" ht="16.149999999999999" customHeight="1" thickBot="1" x14ac:dyDescent="0.3">
      <c r="A4" s="539" t="s">
        <v>71</v>
      </c>
      <c r="B4" s="540"/>
      <c r="C4" s="540"/>
      <c r="D4" s="540"/>
      <c r="E4" s="540"/>
      <c r="F4" s="540"/>
      <c r="G4" s="540"/>
      <c r="H4" s="540"/>
      <c r="I4" s="540"/>
      <c r="J4" s="540"/>
      <c r="K4" s="540"/>
      <c r="L4" s="540"/>
      <c r="M4" s="541"/>
      <c r="N4" s="542" t="s">
        <v>249</v>
      </c>
      <c r="O4" s="543"/>
      <c r="P4" s="544"/>
      <c r="Q4" s="548" t="s">
        <v>250</v>
      </c>
      <c r="R4" s="549"/>
      <c r="S4" s="549"/>
      <c r="T4" s="549"/>
      <c r="U4" s="549"/>
      <c r="V4" s="549"/>
      <c r="W4" s="549"/>
      <c r="X4" s="549"/>
      <c r="Y4" s="550"/>
      <c r="Z4" s="545" t="s">
        <v>251</v>
      </c>
      <c r="AA4" s="546"/>
      <c r="AB4" s="546"/>
      <c r="AC4" s="546"/>
      <c r="AD4" s="546"/>
      <c r="AE4" s="546"/>
      <c r="AF4" s="546"/>
      <c r="AG4" s="546"/>
      <c r="AH4" s="547"/>
    </row>
    <row r="5" spans="1:34" s="160" customFormat="1" ht="25.9" customHeight="1" x14ac:dyDescent="0.25">
      <c r="A5" s="634" t="s">
        <v>72</v>
      </c>
      <c r="B5" s="634" t="s">
        <v>76</v>
      </c>
      <c r="C5" s="634" t="s">
        <v>79</v>
      </c>
      <c r="D5" s="634" t="s">
        <v>83</v>
      </c>
      <c r="E5" s="634" t="s">
        <v>86</v>
      </c>
      <c r="F5" s="634" t="s">
        <v>89</v>
      </c>
      <c r="G5" s="634" t="s">
        <v>91</v>
      </c>
      <c r="H5" s="635" t="s">
        <v>94</v>
      </c>
      <c r="I5" s="634" t="s">
        <v>607</v>
      </c>
      <c r="J5" s="634" t="s">
        <v>97</v>
      </c>
      <c r="K5" s="634" t="s">
        <v>100</v>
      </c>
      <c r="L5" s="634" t="s">
        <v>103</v>
      </c>
      <c r="M5" s="634" t="s">
        <v>1</v>
      </c>
      <c r="N5" s="634" t="s">
        <v>109</v>
      </c>
      <c r="O5" s="634" t="s">
        <v>113</v>
      </c>
      <c r="P5" s="634" t="s">
        <v>116</v>
      </c>
      <c r="Q5" s="634" t="s">
        <v>120</v>
      </c>
      <c r="R5" s="634" t="s">
        <v>123</v>
      </c>
      <c r="S5" s="634" t="s">
        <v>127</v>
      </c>
      <c r="T5" s="634" t="s">
        <v>30</v>
      </c>
      <c r="U5" s="634" t="s">
        <v>130</v>
      </c>
      <c r="V5" s="634" t="s">
        <v>35</v>
      </c>
      <c r="W5" s="634" t="s">
        <v>133</v>
      </c>
      <c r="X5" s="634" t="s">
        <v>135</v>
      </c>
      <c r="Y5" s="634" t="s">
        <v>137</v>
      </c>
      <c r="Z5" s="634" t="s">
        <v>691</v>
      </c>
      <c r="AA5" s="634" t="s">
        <v>692</v>
      </c>
      <c r="AB5" s="634" t="s">
        <v>693</v>
      </c>
      <c r="AC5" s="634" t="s">
        <v>694</v>
      </c>
      <c r="AD5" s="634" t="s">
        <v>695</v>
      </c>
      <c r="AE5" s="634" t="s">
        <v>696</v>
      </c>
      <c r="AF5" s="634" t="s">
        <v>150</v>
      </c>
      <c r="AG5" s="634" t="s">
        <v>152</v>
      </c>
      <c r="AH5" s="634" t="s">
        <v>155</v>
      </c>
    </row>
    <row r="6" spans="1:34" ht="15" x14ac:dyDescent="0.25">
      <c r="A6" t="s">
        <v>542</v>
      </c>
      <c r="B6" t="s">
        <v>596</v>
      </c>
      <c r="C6" t="s">
        <v>697</v>
      </c>
      <c r="D6" t="s">
        <v>261</v>
      </c>
      <c r="E6" t="s">
        <v>697</v>
      </c>
      <c r="F6" t="s">
        <v>598</v>
      </c>
      <c r="G6" t="s">
        <v>382</v>
      </c>
      <c r="H6" s="237" t="s">
        <v>698</v>
      </c>
      <c r="I6" t="s">
        <v>608</v>
      </c>
      <c r="J6" t="s">
        <v>253</v>
      </c>
      <c r="K6">
        <v>1</v>
      </c>
      <c r="L6">
        <v>2</v>
      </c>
      <c r="M6" t="s">
        <v>33</v>
      </c>
      <c r="N6">
        <v>1</v>
      </c>
      <c r="O6">
        <v>2</v>
      </c>
      <c r="P6">
        <v>1</v>
      </c>
      <c r="Q6" t="s">
        <v>46</v>
      </c>
      <c r="R6">
        <v>2</v>
      </c>
      <c r="S6">
        <v>2</v>
      </c>
      <c r="T6">
        <v>2</v>
      </c>
      <c r="U6" t="s">
        <v>697</v>
      </c>
      <c r="V6" t="s">
        <v>697</v>
      </c>
      <c r="W6" t="s">
        <v>697</v>
      </c>
      <c r="X6">
        <v>1</v>
      </c>
      <c r="Y6" t="s">
        <v>697</v>
      </c>
      <c r="Z6" t="s">
        <v>697</v>
      </c>
      <c r="AA6" t="s">
        <v>697</v>
      </c>
      <c r="AB6" t="s">
        <v>697</v>
      </c>
      <c r="AC6" t="s">
        <v>697</v>
      </c>
      <c r="AD6" t="s">
        <v>697</v>
      </c>
      <c r="AE6">
        <v>0</v>
      </c>
      <c r="AF6" t="s">
        <v>697</v>
      </c>
      <c r="AG6" t="s">
        <v>396</v>
      </c>
      <c r="AH6" t="s">
        <v>697</v>
      </c>
    </row>
    <row r="7" spans="1:34" ht="15" x14ac:dyDescent="0.25">
      <c r="A7" t="s">
        <v>546</v>
      </c>
      <c r="B7" t="s">
        <v>562</v>
      </c>
      <c r="C7" t="s">
        <v>697</v>
      </c>
      <c r="D7" t="s">
        <v>261</v>
      </c>
      <c r="E7" t="s">
        <v>697</v>
      </c>
      <c r="F7" t="s">
        <v>599</v>
      </c>
      <c r="G7" t="s">
        <v>375</v>
      </c>
      <c r="H7" s="237" t="s">
        <v>632</v>
      </c>
      <c r="I7" t="s">
        <v>608</v>
      </c>
      <c r="J7" t="s">
        <v>253</v>
      </c>
      <c r="K7">
        <v>1</v>
      </c>
      <c r="L7">
        <v>2</v>
      </c>
      <c r="M7" t="s">
        <v>33</v>
      </c>
      <c r="N7">
        <v>1</v>
      </c>
      <c r="O7">
        <v>2</v>
      </c>
      <c r="P7">
        <v>1</v>
      </c>
      <c r="Q7" t="s">
        <v>46</v>
      </c>
      <c r="R7">
        <v>2</v>
      </c>
      <c r="S7">
        <v>2</v>
      </c>
      <c r="T7">
        <v>2</v>
      </c>
      <c r="U7" t="s">
        <v>697</v>
      </c>
      <c r="V7" t="s">
        <v>697</v>
      </c>
      <c r="W7" t="s">
        <v>697</v>
      </c>
      <c r="X7">
        <v>1</v>
      </c>
      <c r="Y7" t="s">
        <v>697</v>
      </c>
      <c r="Z7" t="s">
        <v>697</v>
      </c>
      <c r="AA7" t="s">
        <v>697</v>
      </c>
      <c r="AB7" t="s">
        <v>697</v>
      </c>
      <c r="AC7" t="s">
        <v>697</v>
      </c>
      <c r="AD7" t="s">
        <v>697</v>
      </c>
      <c r="AE7">
        <v>0</v>
      </c>
      <c r="AF7" t="s">
        <v>697</v>
      </c>
      <c r="AG7" t="s">
        <v>400</v>
      </c>
      <c r="AH7" t="s">
        <v>697</v>
      </c>
    </row>
    <row r="8" spans="1:34" ht="15" x14ac:dyDescent="0.25">
      <c r="A8" t="s">
        <v>557</v>
      </c>
      <c r="B8" t="s">
        <v>571</v>
      </c>
      <c r="C8" t="s">
        <v>697</v>
      </c>
      <c r="D8" t="s">
        <v>261</v>
      </c>
      <c r="E8" t="s">
        <v>697</v>
      </c>
      <c r="F8" t="s">
        <v>600</v>
      </c>
      <c r="G8" t="s">
        <v>375</v>
      </c>
      <c r="H8" s="237" t="s">
        <v>254</v>
      </c>
      <c r="I8" t="s">
        <v>608</v>
      </c>
      <c r="J8" t="s">
        <v>253</v>
      </c>
      <c r="K8">
        <v>1</v>
      </c>
      <c r="L8">
        <v>1</v>
      </c>
      <c r="M8" t="s">
        <v>38</v>
      </c>
      <c r="N8">
        <v>1</v>
      </c>
      <c r="O8">
        <v>1</v>
      </c>
      <c r="P8">
        <v>1</v>
      </c>
      <c r="Q8" t="s">
        <v>46</v>
      </c>
      <c r="R8">
        <v>1</v>
      </c>
      <c r="S8" t="s">
        <v>697</v>
      </c>
      <c r="T8" t="s">
        <v>697</v>
      </c>
      <c r="U8" t="s">
        <v>697</v>
      </c>
      <c r="V8" t="s">
        <v>697</v>
      </c>
      <c r="W8" t="s">
        <v>697</v>
      </c>
      <c r="X8">
        <v>0</v>
      </c>
      <c r="Y8" t="s">
        <v>697</v>
      </c>
      <c r="Z8" t="s">
        <v>697</v>
      </c>
      <c r="AA8" t="s">
        <v>697</v>
      </c>
      <c r="AB8" t="s">
        <v>697</v>
      </c>
      <c r="AC8" t="s">
        <v>697</v>
      </c>
      <c r="AD8" t="s">
        <v>697</v>
      </c>
      <c r="AE8">
        <v>0</v>
      </c>
      <c r="AF8" t="s">
        <v>697</v>
      </c>
      <c r="AG8" t="s">
        <v>406</v>
      </c>
      <c r="AH8" t="s">
        <v>697</v>
      </c>
    </row>
    <row r="9" spans="1:34" ht="15" x14ac:dyDescent="0.25">
      <c r="A9" t="s">
        <v>547</v>
      </c>
      <c r="B9" t="s">
        <v>563</v>
      </c>
      <c r="C9" t="s">
        <v>697</v>
      </c>
      <c r="D9" t="s">
        <v>261</v>
      </c>
      <c r="E9" t="s">
        <v>697</v>
      </c>
      <c r="F9" t="s">
        <v>601</v>
      </c>
      <c r="G9" t="s">
        <v>375</v>
      </c>
      <c r="H9" s="237" t="s">
        <v>633</v>
      </c>
      <c r="I9" t="s">
        <v>608</v>
      </c>
      <c r="J9" t="s">
        <v>253</v>
      </c>
      <c r="K9">
        <v>1</v>
      </c>
      <c r="L9">
        <v>2</v>
      </c>
      <c r="M9" t="s">
        <v>33</v>
      </c>
      <c r="N9">
        <v>1</v>
      </c>
      <c r="O9">
        <v>2</v>
      </c>
      <c r="P9">
        <v>1</v>
      </c>
      <c r="Q9" t="s">
        <v>45</v>
      </c>
      <c r="R9">
        <v>2</v>
      </c>
      <c r="S9" t="s">
        <v>697</v>
      </c>
      <c r="T9" t="s">
        <v>697</v>
      </c>
      <c r="U9" t="s">
        <v>697</v>
      </c>
      <c r="V9" t="s">
        <v>697</v>
      </c>
      <c r="W9" t="s">
        <v>697</v>
      </c>
      <c r="X9">
        <v>0</v>
      </c>
      <c r="Y9" t="s">
        <v>697</v>
      </c>
      <c r="Z9" t="s">
        <v>697</v>
      </c>
      <c r="AA9" t="s">
        <v>697</v>
      </c>
      <c r="AB9" t="s">
        <v>697</v>
      </c>
      <c r="AC9" t="s">
        <v>697</v>
      </c>
      <c r="AD9" t="s">
        <v>697</v>
      </c>
      <c r="AE9">
        <v>0</v>
      </c>
      <c r="AF9" t="s">
        <v>697</v>
      </c>
      <c r="AG9" t="s">
        <v>398</v>
      </c>
      <c r="AH9" t="s">
        <v>697</v>
      </c>
    </row>
    <row r="10" spans="1:34" ht="15" x14ac:dyDescent="0.25">
      <c r="A10" t="s">
        <v>547</v>
      </c>
      <c r="B10" t="s">
        <v>563</v>
      </c>
      <c r="C10" t="s">
        <v>697</v>
      </c>
      <c r="D10" t="s">
        <v>261</v>
      </c>
      <c r="E10" t="s">
        <v>697</v>
      </c>
      <c r="F10" t="s">
        <v>602</v>
      </c>
      <c r="G10" t="s">
        <v>375</v>
      </c>
      <c r="H10" s="237" t="s">
        <v>634</v>
      </c>
      <c r="I10" t="s">
        <v>608</v>
      </c>
      <c r="J10" t="s">
        <v>253</v>
      </c>
      <c r="K10">
        <v>1</v>
      </c>
      <c r="L10">
        <v>2</v>
      </c>
      <c r="M10" t="s">
        <v>33</v>
      </c>
      <c r="N10">
        <v>1</v>
      </c>
      <c r="O10">
        <v>2</v>
      </c>
      <c r="P10">
        <v>1</v>
      </c>
      <c r="Q10" t="s">
        <v>45</v>
      </c>
      <c r="R10">
        <v>2</v>
      </c>
      <c r="S10" t="s">
        <v>697</v>
      </c>
      <c r="T10" t="s">
        <v>697</v>
      </c>
      <c r="U10" t="s">
        <v>697</v>
      </c>
      <c r="V10" t="s">
        <v>697</v>
      </c>
      <c r="W10" t="s">
        <v>697</v>
      </c>
      <c r="X10">
        <v>0</v>
      </c>
      <c r="Y10" t="s">
        <v>697</v>
      </c>
      <c r="Z10" t="s">
        <v>697</v>
      </c>
      <c r="AA10" t="s">
        <v>697</v>
      </c>
      <c r="AB10" t="s">
        <v>697</v>
      </c>
      <c r="AC10" t="s">
        <v>697</v>
      </c>
      <c r="AD10" t="s">
        <v>697</v>
      </c>
      <c r="AE10">
        <v>0</v>
      </c>
      <c r="AF10" t="s">
        <v>697</v>
      </c>
      <c r="AG10" t="s">
        <v>398</v>
      </c>
      <c r="AH10" t="s">
        <v>697</v>
      </c>
    </row>
    <row r="11" spans="1:34" ht="15" x14ac:dyDescent="0.25">
      <c r="A11" t="s">
        <v>557</v>
      </c>
      <c r="B11" t="s">
        <v>571</v>
      </c>
      <c r="C11" t="s">
        <v>697</v>
      </c>
      <c r="D11" t="s">
        <v>261</v>
      </c>
      <c r="E11" t="s">
        <v>697</v>
      </c>
      <c r="F11" t="s">
        <v>591</v>
      </c>
      <c r="G11" t="s">
        <v>375</v>
      </c>
      <c r="H11" s="237" t="s">
        <v>590</v>
      </c>
      <c r="I11" t="s">
        <v>608</v>
      </c>
      <c r="J11" t="s">
        <v>253</v>
      </c>
      <c r="K11">
        <v>1</v>
      </c>
      <c r="L11">
        <v>1</v>
      </c>
      <c r="M11" t="s">
        <v>33</v>
      </c>
      <c r="N11">
        <v>1</v>
      </c>
      <c r="O11">
        <v>1</v>
      </c>
      <c r="P11">
        <v>1</v>
      </c>
      <c r="Q11" t="s">
        <v>45</v>
      </c>
      <c r="R11">
        <v>1</v>
      </c>
      <c r="S11" t="s">
        <v>697</v>
      </c>
      <c r="T11" t="s">
        <v>697</v>
      </c>
      <c r="U11" t="s">
        <v>697</v>
      </c>
      <c r="V11" t="s">
        <v>697</v>
      </c>
      <c r="W11" t="s">
        <v>697</v>
      </c>
      <c r="X11">
        <v>0</v>
      </c>
      <c r="Y11" t="s">
        <v>697</v>
      </c>
      <c r="Z11" t="s">
        <v>697</v>
      </c>
      <c r="AA11" t="s">
        <v>697</v>
      </c>
      <c r="AB11" t="s">
        <v>697</v>
      </c>
      <c r="AC11" t="s">
        <v>697</v>
      </c>
      <c r="AD11" t="s">
        <v>697</v>
      </c>
      <c r="AE11">
        <v>0</v>
      </c>
      <c r="AF11" t="s">
        <v>697</v>
      </c>
      <c r="AG11" t="s">
        <v>406</v>
      </c>
      <c r="AH11" t="s">
        <v>697</v>
      </c>
    </row>
    <row r="12" spans="1:34" ht="15" x14ac:dyDescent="0.25">
      <c r="A12" t="s">
        <v>557</v>
      </c>
      <c r="B12" t="s">
        <v>571</v>
      </c>
      <c r="C12" t="s">
        <v>697</v>
      </c>
      <c r="D12" t="s">
        <v>603</v>
      </c>
      <c r="E12" t="s">
        <v>697</v>
      </c>
      <c r="F12" t="s">
        <v>255</v>
      </c>
      <c r="G12" t="s">
        <v>375</v>
      </c>
      <c r="H12" s="237" t="s">
        <v>256</v>
      </c>
      <c r="I12" t="s">
        <v>608</v>
      </c>
      <c r="J12" t="s">
        <v>253</v>
      </c>
      <c r="K12">
        <v>1</v>
      </c>
      <c r="L12">
        <v>1</v>
      </c>
      <c r="M12" t="s">
        <v>33</v>
      </c>
      <c r="N12">
        <v>1</v>
      </c>
      <c r="O12" t="s">
        <v>697</v>
      </c>
      <c r="P12">
        <v>0</v>
      </c>
      <c r="Q12" t="s">
        <v>45</v>
      </c>
      <c r="R12">
        <v>1</v>
      </c>
      <c r="S12" t="s">
        <v>697</v>
      </c>
      <c r="T12" t="s">
        <v>697</v>
      </c>
      <c r="U12" t="s">
        <v>697</v>
      </c>
      <c r="V12" t="s">
        <v>697</v>
      </c>
      <c r="W12" t="s">
        <v>697</v>
      </c>
      <c r="X12">
        <v>0</v>
      </c>
      <c r="Y12" t="s">
        <v>697</v>
      </c>
      <c r="Z12" t="s">
        <v>697</v>
      </c>
      <c r="AA12" t="s">
        <v>697</v>
      </c>
      <c r="AB12" t="s">
        <v>697</v>
      </c>
      <c r="AC12" t="s">
        <v>697</v>
      </c>
      <c r="AD12" t="s">
        <v>697</v>
      </c>
      <c r="AE12">
        <v>0</v>
      </c>
      <c r="AF12" t="s">
        <v>697</v>
      </c>
      <c r="AG12" t="s">
        <v>406</v>
      </c>
      <c r="AH12" t="s">
        <v>697</v>
      </c>
    </row>
    <row r="13" spans="1:34" ht="15" x14ac:dyDescent="0.25">
      <c r="A13" t="s">
        <v>557</v>
      </c>
      <c r="B13" t="s">
        <v>571</v>
      </c>
      <c r="C13" t="s">
        <v>697</v>
      </c>
      <c r="D13" t="s">
        <v>603</v>
      </c>
      <c r="E13" t="s">
        <v>697</v>
      </c>
      <c r="F13" t="s">
        <v>257</v>
      </c>
      <c r="G13" t="s">
        <v>375</v>
      </c>
      <c r="H13" s="237" t="s">
        <v>258</v>
      </c>
      <c r="I13" t="s">
        <v>608</v>
      </c>
      <c r="J13" t="s">
        <v>253</v>
      </c>
      <c r="K13">
        <v>1</v>
      </c>
      <c r="L13">
        <v>1</v>
      </c>
      <c r="M13" t="s">
        <v>33</v>
      </c>
      <c r="N13">
        <v>1</v>
      </c>
      <c r="O13" t="s">
        <v>697</v>
      </c>
      <c r="P13">
        <v>0</v>
      </c>
      <c r="Q13" t="s">
        <v>45</v>
      </c>
      <c r="R13">
        <v>1</v>
      </c>
      <c r="S13" t="s">
        <v>697</v>
      </c>
      <c r="T13" t="s">
        <v>697</v>
      </c>
      <c r="U13" t="s">
        <v>697</v>
      </c>
      <c r="V13" t="s">
        <v>697</v>
      </c>
      <c r="W13" t="s">
        <v>697</v>
      </c>
      <c r="X13">
        <v>0</v>
      </c>
      <c r="Y13" t="s">
        <v>697</v>
      </c>
      <c r="Z13" t="s">
        <v>697</v>
      </c>
      <c r="AA13" t="s">
        <v>697</v>
      </c>
      <c r="AB13" t="s">
        <v>697</v>
      </c>
      <c r="AC13" t="s">
        <v>697</v>
      </c>
      <c r="AD13" t="s">
        <v>697</v>
      </c>
      <c r="AE13">
        <v>0</v>
      </c>
      <c r="AF13" t="s">
        <v>697</v>
      </c>
      <c r="AG13" t="s">
        <v>406</v>
      </c>
      <c r="AH13" t="s">
        <v>697</v>
      </c>
    </row>
    <row r="14" spans="1:34" ht="15" x14ac:dyDescent="0.25">
      <c r="A14" t="s">
        <v>557</v>
      </c>
      <c r="B14" t="s">
        <v>571</v>
      </c>
      <c r="C14" t="s">
        <v>697</v>
      </c>
      <c r="D14" t="s">
        <v>603</v>
      </c>
      <c r="E14" t="s">
        <v>697</v>
      </c>
      <c r="F14" t="s">
        <v>260</v>
      </c>
      <c r="G14" t="s">
        <v>375</v>
      </c>
      <c r="H14" s="237" t="s">
        <v>635</v>
      </c>
      <c r="I14" t="s">
        <v>608</v>
      </c>
      <c r="J14" t="s">
        <v>253</v>
      </c>
      <c r="K14">
        <v>1</v>
      </c>
      <c r="L14">
        <v>3</v>
      </c>
      <c r="M14" t="s">
        <v>33</v>
      </c>
      <c r="N14">
        <v>1</v>
      </c>
      <c r="O14" t="s">
        <v>697</v>
      </c>
      <c r="P14">
        <v>0</v>
      </c>
      <c r="Q14" t="s">
        <v>46</v>
      </c>
      <c r="R14">
        <v>3</v>
      </c>
      <c r="S14" t="s">
        <v>697</v>
      </c>
      <c r="T14" t="s">
        <v>697</v>
      </c>
      <c r="U14" t="s">
        <v>697</v>
      </c>
      <c r="V14" t="s">
        <v>697</v>
      </c>
      <c r="W14" t="s">
        <v>697</v>
      </c>
      <c r="X14">
        <v>0</v>
      </c>
      <c r="Y14" t="s">
        <v>697</v>
      </c>
      <c r="Z14" t="s">
        <v>697</v>
      </c>
      <c r="AA14" t="s">
        <v>697</v>
      </c>
      <c r="AB14" t="s">
        <v>697</v>
      </c>
      <c r="AC14" t="s">
        <v>697</v>
      </c>
      <c r="AD14" t="s">
        <v>697</v>
      </c>
      <c r="AE14">
        <v>0</v>
      </c>
      <c r="AF14" t="s">
        <v>697</v>
      </c>
      <c r="AG14" t="s">
        <v>406</v>
      </c>
      <c r="AH14" t="s">
        <v>697</v>
      </c>
    </row>
    <row r="15" spans="1:34" ht="15" x14ac:dyDescent="0.25">
      <c r="A15" t="s">
        <v>557</v>
      </c>
      <c r="B15" t="s">
        <v>571</v>
      </c>
      <c r="C15" t="s">
        <v>697</v>
      </c>
      <c r="D15" t="s">
        <v>603</v>
      </c>
      <c r="E15" t="s">
        <v>697</v>
      </c>
      <c r="F15" t="s">
        <v>262</v>
      </c>
      <c r="G15" t="s">
        <v>375</v>
      </c>
      <c r="H15" s="237" t="s">
        <v>636</v>
      </c>
      <c r="I15" t="s">
        <v>608</v>
      </c>
      <c r="J15" t="s">
        <v>253</v>
      </c>
      <c r="K15">
        <v>1</v>
      </c>
      <c r="L15">
        <v>3</v>
      </c>
      <c r="M15" t="s">
        <v>33</v>
      </c>
      <c r="N15">
        <v>1</v>
      </c>
      <c r="O15" t="s">
        <v>697</v>
      </c>
      <c r="P15">
        <v>0</v>
      </c>
      <c r="Q15" t="s">
        <v>45</v>
      </c>
      <c r="R15">
        <v>3</v>
      </c>
      <c r="S15" t="s">
        <v>697</v>
      </c>
      <c r="T15" t="s">
        <v>697</v>
      </c>
      <c r="U15" t="s">
        <v>697</v>
      </c>
      <c r="V15" t="s">
        <v>697</v>
      </c>
      <c r="W15" t="s">
        <v>697</v>
      </c>
      <c r="X15">
        <v>0</v>
      </c>
      <c r="Y15" t="s">
        <v>697</v>
      </c>
      <c r="Z15" t="s">
        <v>697</v>
      </c>
      <c r="AA15" t="s">
        <v>697</v>
      </c>
      <c r="AB15" t="s">
        <v>697</v>
      </c>
      <c r="AC15" t="s">
        <v>697</v>
      </c>
      <c r="AD15" t="s">
        <v>697</v>
      </c>
      <c r="AE15">
        <v>0</v>
      </c>
      <c r="AF15" t="s">
        <v>697</v>
      </c>
      <c r="AG15" t="s">
        <v>406</v>
      </c>
      <c r="AH15" t="s">
        <v>697</v>
      </c>
    </row>
    <row r="16" spans="1:34" ht="15" x14ac:dyDescent="0.25">
      <c r="A16" t="s">
        <v>557</v>
      </c>
      <c r="B16" t="s">
        <v>571</v>
      </c>
      <c r="C16" t="s">
        <v>697</v>
      </c>
      <c r="D16" t="s">
        <v>603</v>
      </c>
      <c r="E16" t="s">
        <v>697</v>
      </c>
      <c r="F16" t="s">
        <v>263</v>
      </c>
      <c r="G16" t="s">
        <v>375</v>
      </c>
      <c r="H16" s="237" t="s">
        <v>637</v>
      </c>
      <c r="I16" t="s">
        <v>608</v>
      </c>
      <c r="J16" t="s">
        <v>253</v>
      </c>
      <c r="K16">
        <v>1</v>
      </c>
      <c r="L16">
        <v>3</v>
      </c>
      <c r="M16" t="s">
        <v>33</v>
      </c>
      <c r="N16">
        <v>1</v>
      </c>
      <c r="O16" t="s">
        <v>697</v>
      </c>
      <c r="P16">
        <v>0</v>
      </c>
      <c r="Q16" t="s">
        <v>45</v>
      </c>
      <c r="R16">
        <v>3</v>
      </c>
      <c r="S16" t="s">
        <v>697</v>
      </c>
      <c r="T16" t="s">
        <v>697</v>
      </c>
      <c r="U16" t="s">
        <v>697</v>
      </c>
      <c r="V16" t="s">
        <v>697</v>
      </c>
      <c r="W16" t="s">
        <v>697</v>
      </c>
      <c r="X16">
        <v>0</v>
      </c>
      <c r="Y16" t="s">
        <v>697</v>
      </c>
      <c r="Z16" t="s">
        <v>697</v>
      </c>
      <c r="AA16" t="s">
        <v>697</v>
      </c>
      <c r="AB16" t="s">
        <v>697</v>
      </c>
      <c r="AC16" t="s">
        <v>697</v>
      </c>
      <c r="AD16" t="s">
        <v>697</v>
      </c>
      <c r="AE16">
        <v>0</v>
      </c>
      <c r="AF16" t="s">
        <v>697</v>
      </c>
      <c r="AG16" t="s">
        <v>406</v>
      </c>
      <c r="AH16" t="s">
        <v>697</v>
      </c>
    </row>
    <row r="17" spans="1:34" ht="15" x14ac:dyDescent="0.25">
      <c r="A17" t="s">
        <v>557</v>
      </c>
      <c r="B17" t="s">
        <v>571</v>
      </c>
      <c r="C17" t="s">
        <v>697</v>
      </c>
      <c r="D17" t="s">
        <v>603</v>
      </c>
      <c r="E17" t="s">
        <v>697</v>
      </c>
      <c r="F17" t="s">
        <v>264</v>
      </c>
      <c r="G17" t="s">
        <v>375</v>
      </c>
      <c r="H17" s="237" t="s">
        <v>638</v>
      </c>
      <c r="I17" t="s">
        <v>608</v>
      </c>
      <c r="J17" t="s">
        <v>253</v>
      </c>
      <c r="K17">
        <v>1</v>
      </c>
      <c r="L17">
        <v>3</v>
      </c>
      <c r="M17" t="s">
        <v>33</v>
      </c>
      <c r="N17">
        <v>1</v>
      </c>
      <c r="O17" t="s">
        <v>697</v>
      </c>
      <c r="P17">
        <v>0</v>
      </c>
      <c r="Q17" t="s">
        <v>45</v>
      </c>
      <c r="R17">
        <v>3</v>
      </c>
      <c r="S17" t="s">
        <v>697</v>
      </c>
      <c r="T17" t="s">
        <v>697</v>
      </c>
      <c r="U17" t="s">
        <v>697</v>
      </c>
      <c r="V17" t="s">
        <v>697</v>
      </c>
      <c r="W17" t="s">
        <v>697</v>
      </c>
      <c r="X17">
        <v>0</v>
      </c>
      <c r="Y17" t="s">
        <v>697</v>
      </c>
      <c r="Z17" t="s">
        <v>697</v>
      </c>
      <c r="AA17" t="s">
        <v>697</v>
      </c>
      <c r="AB17" t="s">
        <v>697</v>
      </c>
      <c r="AC17" t="s">
        <v>697</v>
      </c>
      <c r="AD17" t="s">
        <v>697</v>
      </c>
      <c r="AE17">
        <v>0</v>
      </c>
      <c r="AF17" t="s">
        <v>697</v>
      </c>
      <c r="AG17" t="s">
        <v>406</v>
      </c>
      <c r="AH17" t="s">
        <v>697</v>
      </c>
    </row>
    <row r="18" spans="1:34" ht="15" x14ac:dyDescent="0.25">
      <c r="A18" t="s">
        <v>557</v>
      </c>
      <c r="B18" t="s">
        <v>571</v>
      </c>
      <c r="C18" t="s">
        <v>697</v>
      </c>
      <c r="D18" t="s">
        <v>603</v>
      </c>
      <c r="E18" t="s">
        <v>697</v>
      </c>
      <c r="F18" t="s">
        <v>265</v>
      </c>
      <c r="G18" t="s">
        <v>375</v>
      </c>
      <c r="H18" s="237" t="s">
        <v>639</v>
      </c>
      <c r="I18" t="s">
        <v>608</v>
      </c>
      <c r="J18" t="s">
        <v>253</v>
      </c>
      <c r="K18">
        <v>1</v>
      </c>
      <c r="L18">
        <v>3</v>
      </c>
      <c r="M18" t="s">
        <v>33</v>
      </c>
      <c r="N18">
        <v>1</v>
      </c>
      <c r="O18" t="s">
        <v>697</v>
      </c>
      <c r="P18">
        <v>0</v>
      </c>
      <c r="Q18" t="s">
        <v>45</v>
      </c>
      <c r="R18">
        <v>3</v>
      </c>
      <c r="S18" t="s">
        <v>697</v>
      </c>
      <c r="T18" t="s">
        <v>697</v>
      </c>
      <c r="U18" t="s">
        <v>697</v>
      </c>
      <c r="V18" t="s">
        <v>697</v>
      </c>
      <c r="W18" t="s">
        <v>697</v>
      </c>
      <c r="X18">
        <v>0</v>
      </c>
      <c r="Y18" t="s">
        <v>697</v>
      </c>
      <c r="Z18" t="s">
        <v>697</v>
      </c>
      <c r="AA18" t="s">
        <v>697</v>
      </c>
      <c r="AB18" t="s">
        <v>697</v>
      </c>
      <c r="AC18" t="s">
        <v>697</v>
      </c>
      <c r="AD18" t="s">
        <v>697</v>
      </c>
      <c r="AE18">
        <v>0</v>
      </c>
      <c r="AF18" t="s">
        <v>697</v>
      </c>
      <c r="AG18" t="s">
        <v>406</v>
      </c>
      <c r="AH18" t="s">
        <v>697</v>
      </c>
    </row>
    <row r="19" spans="1:34" ht="15" x14ac:dyDescent="0.25">
      <c r="A19" t="s">
        <v>557</v>
      </c>
      <c r="B19" t="s">
        <v>571</v>
      </c>
      <c r="C19" t="s">
        <v>697</v>
      </c>
      <c r="D19" t="s">
        <v>603</v>
      </c>
      <c r="E19" t="s">
        <v>697</v>
      </c>
      <c r="F19" t="s">
        <v>266</v>
      </c>
      <c r="G19" t="s">
        <v>375</v>
      </c>
      <c r="H19" s="237" t="s">
        <v>267</v>
      </c>
      <c r="I19" t="s">
        <v>608</v>
      </c>
      <c r="J19" t="s">
        <v>253</v>
      </c>
      <c r="K19">
        <v>1</v>
      </c>
      <c r="L19">
        <v>1</v>
      </c>
      <c r="M19" t="s">
        <v>33</v>
      </c>
      <c r="N19">
        <v>1</v>
      </c>
      <c r="O19" t="s">
        <v>697</v>
      </c>
      <c r="P19">
        <v>0</v>
      </c>
      <c r="Q19" t="s">
        <v>45</v>
      </c>
      <c r="R19">
        <v>1</v>
      </c>
      <c r="S19" t="s">
        <v>697</v>
      </c>
      <c r="T19" t="s">
        <v>697</v>
      </c>
      <c r="U19" t="s">
        <v>697</v>
      </c>
      <c r="V19" t="s">
        <v>697</v>
      </c>
      <c r="W19" t="s">
        <v>697</v>
      </c>
      <c r="X19">
        <v>0</v>
      </c>
      <c r="Y19" t="s">
        <v>697</v>
      </c>
      <c r="Z19" t="s">
        <v>697</v>
      </c>
      <c r="AA19" t="s">
        <v>697</v>
      </c>
      <c r="AB19" t="s">
        <v>697</v>
      </c>
      <c r="AC19" t="s">
        <v>697</v>
      </c>
      <c r="AD19" t="s">
        <v>697</v>
      </c>
      <c r="AE19">
        <v>0</v>
      </c>
      <c r="AF19" t="s">
        <v>697</v>
      </c>
      <c r="AG19" t="s">
        <v>406</v>
      </c>
      <c r="AH19" t="s">
        <v>697</v>
      </c>
    </row>
    <row r="20" spans="1:34" ht="15" x14ac:dyDescent="0.25">
      <c r="A20" t="s">
        <v>557</v>
      </c>
      <c r="B20" t="s">
        <v>571</v>
      </c>
      <c r="C20" t="s">
        <v>697</v>
      </c>
      <c r="D20" t="s">
        <v>603</v>
      </c>
      <c r="E20" t="s">
        <v>697</v>
      </c>
      <c r="F20" t="s">
        <v>268</v>
      </c>
      <c r="G20" t="s">
        <v>375</v>
      </c>
      <c r="H20" s="237" t="s">
        <v>269</v>
      </c>
      <c r="I20" t="s">
        <v>608</v>
      </c>
      <c r="J20" t="s">
        <v>253</v>
      </c>
      <c r="K20">
        <v>1</v>
      </c>
      <c r="L20">
        <v>1</v>
      </c>
      <c r="M20" t="s">
        <v>33</v>
      </c>
      <c r="N20">
        <v>1</v>
      </c>
      <c r="O20" t="s">
        <v>697</v>
      </c>
      <c r="P20">
        <v>0</v>
      </c>
      <c r="Q20" t="s">
        <v>45</v>
      </c>
      <c r="R20">
        <v>1</v>
      </c>
      <c r="S20" t="s">
        <v>697</v>
      </c>
      <c r="T20" t="s">
        <v>697</v>
      </c>
      <c r="U20" t="s">
        <v>697</v>
      </c>
      <c r="V20" t="s">
        <v>697</v>
      </c>
      <c r="W20" t="s">
        <v>697</v>
      </c>
      <c r="X20">
        <v>0</v>
      </c>
      <c r="Y20" t="s">
        <v>697</v>
      </c>
      <c r="Z20" t="s">
        <v>697</v>
      </c>
      <c r="AA20" t="s">
        <v>697</v>
      </c>
      <c r="AB20" t="s">
        <v>697</v>
      </c>
      <c r="AC20" t="s">
        <v>697</v>
      </c>
      <c r="AD20" t="s">
        <v>697</v>
      </c>
      <c r="AE20">
        <v>0</v>
      </c>
      <c r="AF20" t="s">
        <v>697</v>
      </c>
      <c r="AG20" t="s">
        <v>406</v>
      </c>
      <c r="AH20" t="s">
        <v>697</v>
      </c>
    </row>
    <row r="21" spans="1:34" ht="15" x14ac:dyDescent="0.25">
      <c r="A21" t="s">
        <v>545</v>
      </c>
      <c r="B21" t="s">
        <v>561</v>
      </c>
      <c r="C21" t="s">
        <v>697</v>
      </c>
      <c r="D21" t="s">
        <v>603</v>
      </c>
      <c r="E21" t="s">
        <v>697</v>
      </c>
      <c r="F21" t="s">
        <v>260</v>
      </c>
      <c r="G21" t="s">
        <v>375</v>
      </c>
      <c r="H21" s="237" t="s">
        <v>640</v>
      </c>
      <c r="I21" t="s">
        <v>608</v>
      </c>
      <c r="J21" t="s">
        <v>253</v>
      </c>
      <c r="K21">
        <v>1</v>
      </c>
      <c r="L21">
        <v>3</v>
      </c>
      <c r="M21" t="s">
        <v>33</v>
      </c>
      <c r="N21">
        <v>1</v>
      </c>
      <c r="O21" t="s">
        <v>697</v>
      </c>
      <c r="P21">
        <v>0</v>
      </c>
      <c r="Q21" t="s">
        <v>45</v>
      </c>
      <c r="R21">
        <v>3</v>
      </c>
      <c r="S21" t="s">
        <v>697</v>
      </c>
      <c r="T21" t="s">
        <v>697</v>
      </c>
      <c r="U21" t="s">
        <v>697</v>
      </c>
      <c r="V21" t="s">
        <v>697</v>
      </c>
      <c r="W21" t="s">
        <v>697</v>
      </c>
      <c r="X21">
        <v>0</v>
      </c>
      <c r="Y21" t="s">
        <v>697</v>
      </c>
      <c r="Z21" t="s">
        <v>697</v>
      </c>
      <c r="AA21" t="s">
        <v>697</v>
      </c>
      <c r="AB21" t="s">
        <v>697</v>
      </c>
      <c r="AC21" t="s">
        <v>697</v>
      </c>
      <c r="AD21" t="s">
        <v>697</v>
      </c>
      <c r="AE21">
        <v>0</v>
      </c>
      <c r="AF21" t="s">
        <v>697</v>
      </c>
      <c r="AG21" t="s">
        <v>398</v>
      </c>
      <c r="AH21" t="s">
        <v>697</v>
      </c>
    </row>
    <row r="22" spans="1:34" ht="15" x14ac:dyDescent="0.25">
      <c r="A22" t="s">
        <v>545</v>
      </c>
      <c r="B22" t="s">
        <v>561</v>
      </c>
      <c r="C22" t="s">
        <v>697</v>
      </c>
      <c r="D22" t="s">
        <v>603</v>
      </c>
      <c r="E22" t="s">
        <v>697</v>
      </c>
      <c r="F22" t="s">
        <v>262</v>
      </c>
      <c r="G22" t="s">
        <v>375</v>
      </c>
      <c r="H22" s="237" t="s">
        <v>641</v>
      </c>
      <c r="I22" t="s">
        <v>608</v>
      </c>
      <c r="J22" t="s">
        <v>253</v>
      </c>
      <c r="K22">
        <v>1</v>
      </c>
      <c r="L22">
        <v>3</v>
      </c>
      <c r="M22" t="s">
        <v>33</v>
      </c>
      <c r="N22">
        <v>1</v>
      </c>
      <c r="O22" t="s">
        <v>697</v>
      </c>
      <c r="P22">
        <v>0</v>
      </c>
      <c r="Q22" t="s">
        <v>45</v>
      </c>
      <c r="R22">
        <v>3</v>
      </c>
      <c r="S22" t="s">
        <v>697</v>
      </c>
      <c r="T22" t="s">
        <v>697</v>
      </c>
      <c r="U22" t="s">
        <v>697</v>
      </c>
      <c r="V22" t="s">
        <v>697</v>
      </c>
      <c r="W22" t="s">
        <v>697</v>
      </c>
      <c r="X22">
        <v>0</v>
      </c>
      <c r="Y22" t="s">
        <v>697</v>
      </c>
      <c r="Z22" t="s">
        <v>697</v>
      </c>
      <c r="AA22" t="s">
        <v>697</v>
      </c>
      <c r="AB22" t="s">
        <v>697</v>
      </c>
      <c r="AC22" t="s">
        <v>697</v>
      </c>
      <c r="AD22" t="s">
        <v>697</v>
      </c>
      <c r="AE22">
        <v>0</v>
      </c>
      <c r="AF22" t="s">
        <v>697</v>
      </c>
      <c r="AG22" t="s">
        <v>398</v>
      </c>
      <c r="AH22" t="s">
        <v>697</v>
      </c>
    </row>
    <row r="23" spans="1:34" ht="15" x14ac:dyDescent="0.25">
      <c r="A23" t="s">
        <v>545</v>
      </c>
      <c r="B23" t="s">
        <v>561</v>
      </c>
      <c r="C23" t="s">
        <v>697</v>
      </c>
      <c r="D23" t="s">
        <v>603</v>
      </c>
      <c r="E23" t="s">
        <v>697</v>
      </c>
      <c r="F23" t="s">
        <v>263</v>
      </c>
      <c r="G23" t="s">
        <v>375</v>
      </c>
      <c r="H23" s="237" t="s">
        <v>642</v>
      </c>
      <c r="I23" t="s">
        <v>608</v>
      </c>
      <c r="J23" t="s">
        <v>253</v>
      </c>
      <c r="K23">
        <v>1</v>
      </c>
      <c r="L23">
        <v>3</v>
      </c>
      <c r="M23" t="s">
        <v>33</v>
      </c>
      <c r="N23">
        <v>1</v>
      </c>
      <c r="O23" t="s">
        <v>697</v>
      </c>
      <c r="P23">
        <v>0</v>
      </c>
      <c r="Q23" t="s">
        <v>45</v>
      </c>
      <c r="R23">
        <v>3</v>
      </c>
      <c r="S23" t="s">
        <v>697</v>
      </c>
      <c r="T23" t="s">
        <v>697</v>
      </c>
      <c r="U23" t="s">
        <v>697</v>
      </c>
      <c r="V23" t="s">
        <v>697</v>
      </c>
      <c r="W23" t="s">
        <v>697</v>
      </c>
      <c r="X23">
        <v>0</v>
      </c>
      <c r="Y23" t="s">
        <v>697</v>
      </c>
      <c r="Z23" t="s">
        <v>697</v>
      </c>
      <c r="AA23" t="s">
        <v>697</v>
      </c>
      <c r="AB23" t="s">
        <v>697</v>
      </c>
      <c r="AC23" t="s">
        <v>697</v>
      </c>
      <c r="AD23" t="s">
        <v>697</v>
      </c>
      <c r="AE23">
        <v>0</v>
      </c>
      <c r="AF23" t="s">
        <v>697</v>
      </c>
      <c r="AG23" t="s">
        <v>398</v>
      </c>
      <c r="AH23" t="s">
        <v>697</v>
      </c>
    </row>
    <row r="24" spans="1:34" ht="15" x14ac:dyDescent="0.25">
      <c r="A24" t="s">
        <v>545</v>
      </c>
      <c r="B24" t="s">
        <v>561</v>
      </c>
      <c r="C24" t="s">
        <v>697</v>
      </c>
      <c r="D24" t="s">
        <v>603</v>
      </c>
      <c r="E24" t="s">
        <v>697</v>
      </c>
      <c r="F24" t="s">
        <v>264</v>
      </c>
      <c r="G24" t="s">
        <v>375</v>
      </c>
      <c r="H24" s="237" t="s">
        <v>643</v>
      </c>
      <c r="I24" t="s">
        <v>608</v>
      </c>
      <c r="J24" t="s">
        <v>253</v>
      </c>
      <c r="K24">
        <v>1</v>
      </c>
      <c r="L24">
        <v>3</v>
      </c>
      <c r="M24" t="s">
        <v>33</v>
      </c>
      <c r="N24">
        <v>1</v>
      </c>
      <c r="O24" t="s">
        <v>697</v>
      </c>
      <c r="P24">
        <v>0</v>
      </c>
      <c r="Q24" t="s">
        <v>45</v>
      </c>
      <c r="R24">
        <v>3</v>
      </c>
      <c r="S24" t="s">
        <v>697</v>
      </c>
      <c r="T24" t="s">
        <v>697</v>
      </c>
      <c r="U24" t="s">
        <v>697</v>
      </c>
      <c r="V24" t="s">
        <v>697</v>
      </c>
      <c r="W24" t="s">
        <v>697</v>
      </c>
      <c r="X24">
        <v>0</v>
      </c>
      <c r="Y24" t="s">
        <v>697</v>
      </c>
      <c r="Z24" t="s">
        <v>697</v>
      </c>
      <c r="AA24" t="s">
        <v>697</v>
      </c>
      <c r="AB24" t="s">
        <v>697</v>
      </c>
      <c r="AC24" t="s">
        <v>697</v>
      </c>
      <c r="AD24" t="s">
        <v>697</v>
      </c>
      <c r="AE24">
        <v>0</v>
      </c>
      <c r="AF24" t="s">
        <v>697</v>
      </c>
      <c r="AG24" t="s">
        <v>398</v>
      </c>
      <c r="AH24" t="s">
        <v>697</v>
      </c>
    </row>
    <row r="25" spans="1:34" ht="15" x14ac:dyDescent="0.25">
      <c r="A25" t="s">
        <v>545</v>
      </c>
      <c r="B25" t="s">
        <v>561</v>
      </c>
      <c r="C25" t="s">
        <v>697</v>
      </c>
      <c r="D25" t="s">
        <v>603</v>
      </c>
      <c r="E25" t="s">
        <v>697</v>
      </c>
      <c r="F25" t="s">
        <v>265</v>
      </c>
      <c r="G25" t="s">
        <v>375</v>
      </c>
      <c r="H25" s="237" t="s">
        <v>644</v>
      </c>
      <c r="I25" t="s">
        <v>608</v>
      </c>
      <c r="J25" t="s">
        <v>253</v>
      </c>
      <c r="K25">
        <v>1</v>
      </c>
      <c r="L25">
        <v>3</v>
      </c>
      <c r="M25" t="s">
        <v>33</v>
      </c>
      <c r="N25">
        <v>1</v>
      </c>
      <c r="O25" t="s">
        <v>697</v>
      </c>
      <c r="P25">
        <v>0</v>
      </c>
      <c r="Q25" t="s">
        <v>45</v>
      </c>
      <c r="R25">
        <v>3</v>
      </c>
      <c r="S25" t="s">
        <v>697</v>
      </c>
      <c r="T25" t="s">
        <v>697</v>
      </c>
      <c r="U25" t="s">
        <v>697</v>
      </c>
      <c r="V25" t="s">
        <v>697</v>
      </c>
      <c r="W25" t="s">
        <v>697</v>
      </c>
      <c r="X25">
        <v>0</v>
      </c>
      <c r="Y25" t="s">
        <v>697</v>
      </c>
      <c r="Z25" t="s">
        <v>697</v>
      </c>
      <c r="AA25" t="s">
        <v>697</v>
      </c>
      <c r="AB25" t="s">
        <v>697</v>
      </c>
      <c r="AC25" t="s">
        <v>697</v>
      </c>
      <c r="AD25" t="s">
        <v>697</v>
      </c>
      <c r="AE25">
        <v>0</v>
      </c>
      <c r="AF25" t="s">
        <v>697</v>
      </c>
      <c r="AG25" t="s">
        <v>398</v>
      </c>
      <c r="AH25" t="s">
        <v>697</v>
      </c>
    </row>
    <row r="26" spans="1:34" ht="15" x14ac:dyDescent="0.25">
      <c r="A26" t="s">
        <v>557</v>
      </c>
      <c r="B26" t="s">
        <v>571</v>
      </c>
      <c r="C26" t="s">
        <v>697</v>
      </c>
      <c r="D26" t="s">
        <v>252</v>
      </c>
      <c r="E26" t="s">
        <v>697</v>
      </c>
      <c r="F26" t="s">
        <v>270</v>
      </c>
      <c r="G26" t="s">
        <v>375</v>
      </c>
      <c r="H26" s="237" t="s">
        <v>645</v>
      </c>
      <c r="I26" t="s">
        <v>608</v>
      </c>
      <c r="J26" t="s">
        <v>253</v>
      </c>
      <c r="K26">
        <v>1</v>
      </c>
      <c r="L26">
        <v>8</v>
      </c>
      <c r="M26" t="s">
        <v>33</v>
      </c>
      <c r="N26">
        <v>1</v>
      </c>
      <c r="O26">
        <v>8</v>
      </c>
      <c r="P26">
        <v>1</v>
      </c>
      <c r="Q26" t="s">
        <v>45</v>
      </c>
      <c r="R26">
        <v>8</v>
      </c>
      <c r="S26" t="s">
        <v>697</v>
      </c>
      <c r="T26" t="s">
        <v>697</v>
      </c>
      <c r="U26" t="s">
        <v>697</v>
      </c>
      <c r="V26" t="s">
        <v>697</v>
      </c>
      <c r="W26" t="s">
        <v>697</v>
      </c>
      <c r="X26">
        <v>0</v>
      </c>
      <c r="Y26" t="s">
        <v>697</v>
      </c>
      <c r="Z26" t="s">
        <v>697</v>
      </c>
      <c r="AA26" t="s">
        <v>697</v>
      </c>
      <c r="AB26" t="s">
        <v>697</v>
      </c>
      <c r="AC26" t="s">
        <v>697</v>
      </c>
      <c r="AD26" t="s">
        <v>697</v>
      </c>
      <c r="AE26">
        <v>0</v>
      </c>
      <c r="AF26" t="s">
        <v>697</v>
      </c>
      <c r="AG26" t="s">
        <v>406</v>
      </c>
      <c r="AH26" t="s">
        <v>697</v>
      </c>
    </row>
    <row r="27" spans="1:34" ht="15" x14ac:dyDescent="0.25">
      <c r="A27" t="s">
        <v>557</v>
      </c>
      <c r="B27" t="s">
        <v>571</v>
      </c>
      <c r="C27" t="s">
        <v>697</v>
      </c>
      <c r="D27" t="s">
        <v>252</v>
      </c>
      <c r="E27" t="s">
        <v>697</v>
      </c>
      <c r="F27" t="s">
        <v>271</v>
      </c>
      <c r="G27" t="s">
        <v>375</v>
      </c>
      <c r="H27" s="237" t="s">
        <v>646</v>
      </c>
      <c r="I27" t="s">
        <v>608</v>
      </c>
      <c r="J27" t="s">
        <v>253</v>
      </c>
      <c r="K27">
        <v>1</v>
      </c>
      <c r="L27">
        <v>8</v>
      </c>
      <c r="M27" t="s">
        <v>33</v>
      </c>
      <c r="N27">
        <v>1</v>
      </c>
      <c r="O27">
        <v>8</v>
      </c>
      <c r="P27">
        <v>1</v>
      </c>
      <c r="Q27" t="s">
        <v>45</v>
      </c>
      <c r="R27">
        <v>8</v>
      </c>
      <c r="S27" t="s">
        <v>697</v>
      </c>
      <c r="T27" t="s">
        <v>697</v>
      </c>
      <c r="U27" t="s">
        <v>697</v>
      </c>
      <c r="V27" t="s">
        <v>697</v>
      </c>
      <c r="W27" t="s">
        <v>697</v>
      </c>
      <c r="X27">
        <v>0</v>
      </c>
      <c r="Y27" t="s">
        <v>697</v>
      </c>
      <c r="Z27" t="s">
        <v>697</v>
      </c>
      <c r="AA27" t="s">
        <v>697</v>
      </c>
      <c r="AB27" t="s">
        <v>697</v>
      </c>
      <c r="AC27" t="s">
        <v>697</v>
      </c>
      <c r="AD27" t="s">
        <v>697</v>
      </c>
      <c r="AE27">
        <v>0</v>
      </c>
      <c r="AF27" t="s">
        <v>697</v>
      </c>
      <c r="AG27" t="s">
        <v>406</v>
      </c>
      <c r="AH27" t="s">
        <v>697</v>
      </c>
    </row>
    <row r="28" spans="1:34" ht="15" x14ac:dyDescent="0.25">
      <c r="A28" t="s">
        <v>557</v>
      </c>
      <c r="B28" t="s">
        <v>571</v>
      </c>
      <c r="C28" t="s">
        <v>697</v>
      </c>
      <c r="D28" t="s">
        <v>252</v>
      </c>
      <c r="E28" t="s">
        <v>697</v>
      </c>
      <c r="F28" t="s">
        <v>272</v>
      </c>
      <c r="G28" t="s">
        <v>375</v>
      </c>
      <c r="H28" s="237" t="s">
        <v>647</v>
      </c>
      <c r="I28" t="s">
        <v>608</v>
      </c>
      <c r="J28" t="s">
        <v>253</v>
      </c>
      <c r="K28">
        <v>1</v>
      </c>
      <c r="L28">
        <v>8</v>
      </c>
      <c r="M28" t="s">
        <v>33</v>
      </c>
      <c r="N28">
        <v>1</v>
      </c>
      <c r="O28">
        <v>8</v>
      </c>
      <c r="P28">
        <v>1</v>
      </c>
      <c r="Q28" t="s">
        <v>45</v>
      </c>
      <c r="R28">
        <v>8</v>
      </c>
      <c r="S28" t="s">
        <v>697</v>
      </c>
      <c r="T28" t="s">
        <v>697</v>
      </c>
      <c r="U28" t="s">
        <v>697</v>
      </c>
      <c r="V28" t="s">
        <v>697</v>
      </c>
      <c r="W28" t="s">
        <v>697</v>
      </c>
      <c r="X28">
        <v>0</v>
      </c>
      <c r="Y28" t="s">
        <v>697</v>
      </c>
      <c r="Z28" t="s">
        <v>697</v>
      </c>
      <c r="AA28" t="s">
        <v>697</v>
      </c>
      <c r="AB28" t="s">
        <v>697</v>
      </c>
      <c r="AC28" t="s">
        <v>697</v>
      </c>
      <c r="AD28" t="s">
        <v>697</v>
      </c>
      <c r="AE28">
        <v>0</v>
      </c>
      <c r="AF28" t="s">
        <v>697</v>
      </c>
      <c r="AG28" t="s">
        <v>406</v>
      </c>
      <c r="AH28" t="s">
        <v>697</v>
      </c>
    </row>
    <row r="29" spans="1:34" ht="15" x14ac:dyDescent="0.25">
      <c r="A29" t="s">
        <v>557</v>
      </c>
      <c r="B29" t="s">
        <v>571</v>
      </c>
      <c r="C29" t="s">
        <v>697</v>
      </c>
      <c r="D29" t="s">
        <v>252</v>
      </c>
      <c r="E29" t="s">
        <v>697</v>
      </c>
      <c r="F29" t="s">
        <v>273</v>
      </c>
      <c r="G29" t="s">
        <v>375</v>
      </c>
      <c r="H29" s="237" t="s">
        <v>274</v>
      </c>
      <c r="I29" t="s">
        <v>608</v>
      </c>
      <c r="J29" t="s">
        <v>253</v>
      </c>
      <c r="K29">
        <v>1</v>
      </c>
      <c r="L29">
        <v>10</v>
      </c>
      <c r="M29" t="s">
        <v>33</v>
      </c>
      <c r="N29">
        <v>1</v>
      </c>
      <c r="O29">
        <v>10</v>
      </c>
      <c r="P29">
        <v>1</v>
      </c>
      <c r="Q29" t="s">
        <v>45</v>
      </c>
      <c r="R29">
        <v>10</v>
      </c>
      <c r="S29" t="s">
        <v>697</v>
      </c>
      <c r="T29" t="s">
        <v>697</v>
      </c>
      <c r="U29" t="s">
        <v>697</v>
      </c>
      <c r="V29" t="s">
        <v>697</v>
      </c>
      <c r="W29" t="s">
        <v>697</v>
      </c>
      <c r="X29">
        <v>0</v>
      </c>
      <c r="Y29" t="s">
        <v>697</v>
      </c>
      <c r="Z29" t="s">
        <v>697</v>
      </c>
      <c r="AA29" t="s">
        <v>697</v>
      </c>
      <c r="AB29" t="s">
        <v>697</v>
      </c>
      <c r="AC29" t="s">
        <v>697</v>
      </c>
      <c r="AD29" t="s">
        <v>697</v>
      </c>
      <c r="AE29">
        <v>0</v>
      </c>
      <c r="AF29" t="s">
        <v>697</v>
      </c>
      <c r="AG29" t="s">
        <v>406</v>
      </c>
      <c r="AH29" t="s">
        <v>697</v>
      </c>
    </row>
    <row r="30" spans="1:34" ht="15" x14ac:dyDescent="0.25">
      <c r="A30" t="s">
        <v>557</v>
      </c>
      <c r="B30" t="s">
        <v>571</v>
      </c>
      <c r="C30" t="s">
        <v>697</v>
      </c>
      <c r="D30" t="s">
        <v>252</v>
      </c>
      <c r="E30" t="s">
        <v>697</v>
      </c>
      <c r="F30" t="s">
        <v>275</v>
      </c>
      <c r="G30" t="s">
        <v>375</v>
      </c>
      <c r="H30" s="237" t="s">
        <v>699</v>
      </c>
      <c r="I30" t="s">
        <v>608</v>
      </c>
      <c r="J30" t="s">
        <v>253</v>
      </c>
      <c r="K30">
        <v>1</v>
      </c>
      <c r="L30">
        <v>90</v>
      </c>
      <c r="M30" t="s">
        <v>33</v>
      </c>
      <c r="N30">
        <v>1</v>
      </c>
      <c r="O30" t="s">
        <v>697</v>
      </c>
      <c r="P30">
        <v>0</v>
      </c>
      <c r="Q30" t="s">
        <v>45</v>
      </c>
      <c r="R30">
        <v>90</v>
      </c>
      <c r="S30" t="s">
        <v>697</v>
      </c>
      <c r="T30" t="s">
        <v>697</v>
      </c>
      <c r="U30" t="s">
        <v>697</v>
      </c>
      <c r="V30" t="s">
        <v>697</v>
      </c>
      <c r="W30" t="s">
        <v>697</v>
      </c>
      <c r="X30">
        <v>0</v>
      </c>
      <c r="Y30" t="s">
        <v>697</v>
      </c>
      <c r="Z30" t="s">
        <v>697</v>
      </c>
      <c r="AA30" t="s">
        <v>697</v>
      </c>
      <c r="AB30" t="s">
        <v>697</v>
      </c>
      <c r="AC30" t="s">
        <v>697</v>
      </c>
      <c r="AD30" t="s">
        <v>697</v>
      </c>
      <c r="AE30">
        <v>0</v>
      </c>
      <c r="AF30" t="s">
        <v>697</v>
      </c>
      <c r="AG30" t="s">
        <v>406</v>
      </c>
      <c r="AH30" t="s">
        <v>697</v>
      </c>
    </row>
    <row r="31" spans="1:34" ht="15" x14ac:dyDescent="0.25">
      <c r="A31" t="s">
        <v>557</v>
      </c>
      <c r="B31" t="s">
        <v>571</v>
      </c>
      <c r="C31" t="s">
        <v>697</v>
      </c>
      <c r="D31" t="s">
        <v>252</v>
      </c>
      <c r="E31" t="s">
        <v>697</v>
      </c>
      <c r="F31" t="s">
        <v>277</v>
      </c>
      <c r="G31" t="s">
        <v>375</v>
      </c>
      <c r="H31" s="237" t="s">
        <v>700</v>
      </c>
      <c r="I31" t="s">
        <v>608</v>
      </c>
      <c r="J31" t="s">
        <v>253</v>
      </c>
      <c r="K31">
        <v>1</v>
      </c>
      <c r="L31">
        <v>60</v>
      </c>
      <c r="M31" t="s">
        <v>33</v>
      </c>
      <c r="N31">
        <v>1</v>
      </c>
      <c r="O31" t="s">
        <v>697</v>
      </c>
      <c r="P31">
        <v>0</v>
      </c>
      <c r="Q31" t="s">
        <v>45</v>
      </c>
      <c r="R31">
        <v>60</v>
      </c>
      <c r="S31" t="s">
        <v>697</v>
      </c>
      <c r="T31" t="s">
        <v>697</v>
      </c>
      <c r="U31" t="s">
        <v>697</v>
      </c>
      <c r="V31" t="s">
        <v>697</v>
      </c>
      <c r="W31" t="s">
        <v>697</v>
      </c>
      <c r="X31">
        <v>0</v>
      </c>
      <c r="Y31" t="s">
        <v>697</v>
      </c>
      <c r="Z31" t="s">
        <v>697</v>
      </c>
      <c r="AA31" t="s">
        <v>697</v>
      </c>
      <c r="AB31" t="s">
        <v>697</v>
      </c>
      <c r="AC31" t="s">
        <v>697</v>
      </c>
      <c r="AD31" t="s">
        <v>697</v>
      </c>
      <c r="AE31">
        <v>0</v>
      </c>
      <c r="AF31" t="s">
        <v>697</v>
      </c>
      <c r="AG31" t="s">
        <v>406</v>
      </c>
      <c r="AH31" t="s">
        <v>697</v>
      </c>
    </row>
    <row r="32" spans="1:34" ht="15" x14ac:dyDescent="0.25">
      <c r="A32" t="s">
        <v>557</v>
      </c>
      <c r="B32" t="s">
        <v>571</v>
      </c>
      <c r="C32" t="s">
        <v>697</v>
      </c>
      <c r="D32" t="s">
        <v>252</v>
      </c>
      <c r="E32" t="s">
        <v>697</v>
      </c>
      <c r="F32" t="s">
        <v>278</v>
      </c>
      <c r="G32" t="s">
        <v>375</v>
      </c>
      <c r="H32" s="237" t="s">
        <v>701</v>
      </c>
      <c r="I32" t="s">
        <v>608</v>
      </c>
      <c r="J32" t="s">
        <v>253</v>
      </c>
      <c r="K32">
        <v>1</v>
      </c>
      <c r="L32">
        <v>124</v>
      </c>
      <c r="M32" t="s">
        <v>33</v>
      </c>
      <c r="N32">
        <v>1</v>
      </c>
      <c r="O32" t="s">
        <v>697</v>
      </c>
      <c r="P32">
        <v>0</v>
      </c>
      <c r="Q32" t="s">
        <v>45</v>
      </c>
      <c r="R32">
        <v>124</v>
      </c>
      <c r="S32" t="s">
        <v>697</v>
      </c>
      <c r="T32" t="s">
        <v>697</v>
      </c>
      <c r="U32" t="s">
        <v>697</v>
      </c>
      <c r="V32" t="s">
        <v>697</v>
      </c>
      <c r="W32" t="s">
        <v>697</v>
      </c>
      <c r="X32">
        <v>0</v>
      </c>
      <c r="Y32" t="s">
        <v>697</v>
      </c>
      <c r="Z32" t="s">
        <v>697</v>
      </c>
      <c r="AA32" t="s">
        <v>697</v>
      </c>
      <c r="AB32" t="s">
        <v>697</v>
      </c>
      <c r="AC32" t="s">
        <v>697</v>
      </c>
      <c r="AD32" t="s">
        <v>697</v>
      </c>
      <c r="AE32">
        <v>0</v>
      </c>
      <c r="AF32" t="s">
        <v>697</v>
      </c>
      <c r="AG32" t="s">
        <v>406</v>
      </c>
      <c r="AH32" t="s">
        <v>697</v>
      </c>
    </row>
    <row r="33" spans="1:34" ht="15" x14ac:dyDescent="0.25">
      <c r="A33" t="s">
        <v>557</v>
      </c>
      <c r="B33" t="s">
        <v>571</v>
      </c>
      <c r="C33" t="s">
        <v>697</v>
      </c>
      <c r="D33" t="s">
        <v>252</v>
      </c>
      <c r="E33" t="s">
        <v>697</v>
      </c>
      <c r="F33" t="s">
        <v>262</v>
      </c>
      <c r="G33" t="s">
        <v>375</v>
      </c>
      <c r="H33" s="237" t="s">
        <v>279</v>
      </c>
      <c r="I33" t="s">
        <v>608</v>
      </c>
      <c r="J33" t="s">
        <v>253</v>
      </c>
      <c r="K33">
        <v>1</v>
      </c>
      <c r="L33">
        <v>1</v>
      </c>
      <c r="M33" t="s">
        <v>33</v>
      </c>
      <c r="N33">
        <v>1</v>
      </c>
      <c r="O33" t="s">
        <v>697</v>
      </c>
      <c r="P33">
        <v>0</v>
      </c>
      <c r="Q33" t="s">
        <v>45</v>
      </c>
      <c r="R33">
        <v>1</v>
      </c>
      <c r="S33" t="s">
        <v>697</v>
      </c>
      <c r="T33" t="s">
        <v>697</v>
      </c>
      <c r="U33" t="s">
        <v>697</v>
      </c>
      <c r="V33" t="s">
        <v>697</v>
      </c>
      <c r="W33" t="s">
        <v>697</v>
      </c>
      <c r="X33">
        <v>0</v>
      </c>
      <c r="Y33" t="s">
        <v>697</v>
      </c>
      <c r="Z33" t="s">
        <v>697</v>
      </c>
      <c r="AA33" t="s">
        <v>697</v>
      </c>
      <c r="AB33" t="s">
        <v>697</v>
      </c>
      <c r="AC33" t="s">
        <v>697</v>
      </c>
      <c r="AD33" t="s">
        <v>697</v>
      </c>
      <c r="AE33">
        <v>0</v>
      </c>
      <c r="AF33" t="s">
        <v>697</v>
      </c>
      <c r="AG33" t="s">
        <v>406</v>
      </c>
      <c r="AH33" t="s">
        <v>697</v>
      </c>
    </row>
    <row r="34" spans="1:34" ht="15" x14ac:dyDescent="0.25">
      <c r="A34" t="s">
        <v>557</v>
      </c>
      <c r="B34" t="s">
        <v>571</v>
      </c>
      <c r="C34" t="s">
        <v>697</v>
      </c>
      <c r="D34" t="s">
        <v>252</v>
      </c>
      <c r="E34" t="s">
        <v>697</v>
      </c>
      <c r="F34" t="s">
        <v>280</v>
      </c>
      <c r="G34" t="s">
        <v>375</v>
      </c>
      <c r="H34" s="237" t="s">
        <v>281</v>
      </c>
      <c r="I34" t="s">
        <v>608</v>
      </c>
      <c r="J34" t="s">
        <v>253</v>
      </c>
      <c r="K34">
        <v>1</v>
      </c>
      <c r="L34">
        <v>1</v>
      </c>
      <c r="M34" t="s">
        <v>33</v>
      </c>
      <c r="N34">
        <v>1</v>
      </c>
      <c r="O34" t="s">
        <v>697</v>
      </c>
      <c r="P34">
        <v>0</v>
      </c>
      <c r="Q34" t="s">
        <v>45</v>
      </c>
      <c r="R34">
        <v>1</v>
      </c>
      <c r="S34" t="s">
        <v>697</v>
      </c>
      <c r="T34" t="s">
        <v>697</v>
      </c>
      <c r="U34" t="s">
        <v>697</v>
      </c>
      <c r="V34" t="s">
        <v>697</v>
      </c>
      <c r="W34" t="s">
        <v>697</v>
      </c>
      <c r="X34">
        <v>0</v>
      </c>
      <c r="Y34" t="s">
        <v>697</v>
      </c>
      <c r="Z34" t="s">
        <v>697</v>
      </c>
      <c r="AA34" t="s">
        <v>697</v>
      </c>
      <c r="AB34" t="s">
        <v>697</v>
      </c>
      <c r="AC34" t="s">
        <v>697</v>
      </c>
      <c r="AD34" t="s">
        <v>697</v>
      </c>
      <c r="AE34">
        <v>0</v>
      </c>
      <c r="AF34" t="s">
        <v>697</v>
      </c>
      <c r="AG34" t="s">
        <v>406</v>
      </c>
      <c r="AH34" t="s">
        <v>697</v>
      </c>
    </row>
    <row r="35" spans="1:34" ht="15" x14ac:dyDescent="0.25">
      <c r="A35" t="s">
        <v>557</v>
      </c>
      <c r="B35" t="s">
        <v>571</v>
      </c>
      <c r="C35" t="s">
        <v>697</v>
      </c>
      <c r="D35" t="s">
        <v>252</v>
      </c>
      <c r="E35" t="s">
        <v>697</v>
      </c>
      <c r="F35" t="s">
        <v>282</v>
      </c>
      <c r="G35" t="s">
        <v>375</v>
      </c>
      <c r="H35" s="237" t="s">
        <v>648</v>
      </c>
      <c r="I35" t="s">
        <v>608</v>
      </c>
      <c r="J35" t="s">
        <v>253</v>
      </c>
      <c r="K35">
        <v>1</v>
      </c>
      <c r="L35">
        <v>14</v>
      </c>
      <c r="M35" t="s">
        <v>33</v>
      </c>
      <c r="N35">
        <v>1</v>
      </c>
      <c r="O35" t="s">
        <v>697</v>
      </c>
      <c r="P35">
        <v>0</v>
      </c>
      <c r="Q35" t="s">
        <v>45</v>
      </c>
      <c r="R35">
        <v>14</v>
      </c>
      <c r="S35" t="s">
        <v>697</v>
      </c>
      <c r="T35" t="s">
        <v>697</v>
      </c>
      <c r="U35" t="s">
        <v>697</v>
      </c>
      <c r="V35" t="s">
        <v>697</v>
      </c>
      <c r="W35" t="s">
        <v>697</v>
      </c>
      <c r="X35">
        <v>0</v>
      </c>
      <c r="Y35" t="s">
        <v>697</v>
      </c>
      <c r="Z35" t="s">
        <v>697</v>
      </c>
      <c r="AA35" t="s">
        <v>697</v>
      </c>
      <c r="AB35" t="s">
        <v>697</v>
      </c>
      <c r="AC35" t="s">
        <v>697</v>
      </c>
      <c r="AD35" t="s">
        <v>697</v>
      </c>
      <c r="AE35">
        <v>0</v>
      </c>
      <c r="AF35" t="s">
        <v>697</v>
      </c>
      <c r="AG35" t="s">
        <v>406</v>
      </c>
      <c r="AH35" t="s">
        <v>697</v>
      </c>
    </row>
    <row r="36" spans="1:34" ht="15" x14ac:dyDescent="0.25">
      <c r="A36" t="s">
        <v>555</v>
      </c>
      <c r="B36" t="s">
        <v>569</v>
      </c>
      <c r="C36" t="s">
        <v>697</v>
      </c>
      <c r="D36" t="s">
        <v>604</v>
      </c>
      <c r="E36" t="s">
        <v>697</v>
      </c>
      <c r="F36" t="s">
        <v>283</v>
      </c>
      <c r="G36" t="s">
        <v>375</v>
      </c>
      <c r="H36" s="237" t="s">
        <v>649</v>
      </c>
      <c r="I36" t="s">
        <v>608</v>
      </c>
      <c r="J36" t="s">
        <v>253</v>
      </c>
      <c r="K36">
        <v>1</v>
      </c>
      <c r="L36">
        <v>13</v>
      </c>
      <c r="M36" t="s">
        <v>38</v>
      </c>
      <c r="N36">
        <v>1</v>
      </c>
      <c r="O36">
        <v>13</v>
      </c>
      <c r="P36">
        <v>1</v>
      </c>
      <c r="Q36" t="s">
        <v>45</v>
      </c>
      <c r="R36">
        <v>13</v>
      </c>
      <c r="S36" t="s">
        <v>697</v>
      </c>
      <c r="T36" t="s">
        <v>697</v>
      </c>
      <c r="U36" t="s">
        <v>697</v>
      </c>
      <c r="V36" t="s">
        <v>697</v>
      </c>
      <c r="W36" t="s">
        <v>697</v>
      </c>
      <c r="X36">
        <v>0</v>
      </c>
      <c r="Y36" t="s">
        <v>697</v>
      </c>
      <c r="Z36" t="s">
        <v>697</v>
      </c>
      <c r="AA36" t="s">
        <v>697</v>
      </c>
      <c r="AB36" t="s">
        <v>697</v>
      </c>
      <c r="AC36" t="s">
        <v>697</v>
      </c>
      <c r="AD36" t="s">
        <v>697</v>
      </c>
      <c r="AE36">
        <v>0</v>
      </c>
      <c r="AF36" t="s">
        <v>697</v>
      </c>
      <c r="AG36" t="s">
        <v>405</v>
      </c>
      <c r="AH36" t="s">
        <v>697</v>
      </c>
    </row>
    <row r="37" spans="1:34" ht="60" x14ac:dyDescent="0.25">
      <c r="A37" t="s">
        <v>539</v>
      </c>
      <c r="B37" t="s">
        <v>595</v>
      </c>
      <c r="C37" t="s">
        <v>697</v>
      </c>
      <c r="D37" t="s">
        <v>604</v>
      </c>
      <c r="E37" t="s">
        <v>697</v>
      </c>
      <c r="F37" t="s">
        <v>284</v>
      </c>
      <c r="G37" t="s">
        <v>382</v>
      </c>
      <c r="H37" s="237" t="s">
        <v>650</v>
      </c>
      <c r="I37" t="s">
        <v>608</v>
      </c>
      <c r="J37" t="s">
        <v>253</v>
      </c>
      <c r="K37">
        <v>1</v>
      </c>
      <c r="L37">
        <v>38</v>
      </c>
      <c r="M37" t="s">
        <v>33</v>
      </c>
      <c r="N37">
        <v>1</v>
      </c>
      <c r="O37">
        <v>38</v>
      </c>
      <c r="P37">
        <v>1</v>
      </c>
      <c r="Q37" t="s">
        <v>45</v>
      </c>
      <c r="R37">
        <v>38</v>
      </c>
      <c r="S37" t="s">
        <v>697</v>
      </c>
      <c r="T37" t="s">
        <v>697</v>
      </c>
      <c r="U37" t="s">
        <v>697</v>
      </c>
      <c r="V37" t="s">
        <v>697</v>
      </c>
      <c r="W37" t="s">
        <v>697</v>
      </c>
      <c r="X37">
        <v>0</v>
      </c>
      <c r="Y37" t="s">
        <v>697</v>
      </c>
      <c r="Z37" t="s">
        <v>697</v>
      </c>
      <c r="AA37" t="s">
        <v>697</v>
      </c>
      <c r="AB37" t="s">
        <v>697</v>
      </c>
      <c r="AC37" t="s">
        <v>697</v>
      </c>
      <c r="AD37" t="s">
        <v>697</v>
      </c>
      <c r="AE37">
        <v>0</v>
      </c>
      <c r="AF37" t="s">
        <v>697</v>
      </c>
      <c r="AG37" t="s">
        <v>395</v>
      </c>
      <c r="AH37" t="s">
        <v>697</v>
      </c>
    </row>
    <row r="38" spans="1:34" ht="30" x14ac:dyDescent="0.25">
      <c r="A38" t="s">
        <v>557</v>
      </c>
      <c r="B38" t="s">
        <v>571</v>
      </c>
      <c r="C38" t="s">
        <v>697</v>
      </c>
      <c r="D38" t="s">
        <v>252</v>
      </c>
      <c r="E38" t="s">
        <v>697</v>
      </c>
      <c r="F38" t="s">
        <v>285</v>
      </c>
      <c r="G38" t="s">
        <v>375</v>
      </c>
      <c r="H38" s="237" t="s">
        <v>651</v>
      </c>
      <c r="I38" t="s">
        <v>608</v>
      </c>
      <c r="J38" t="s">
        <v>253</v>
      </c>
      <c r="K38">
        <v>1</v>
      </c>
      <c r="L38">
        <v>23</v>
      </c>
      <c r="M38" t="s">
        <v>33</v>
      </c>
      <c r="N38">
        <v>1</v>
      </c>
      <c r="O38">
        <v>23</v>
      </c>
      <c r="P38">
        <v>1</v>
      </c>
      <c r="Q38" t="s">
        <v>45</v>
      </c>
      <c r="R38">
        <v>23</v>
      </c>
      <c r="S38" t="s">
        <v>697</v>
      </c>
      <c r="T38" t="s">
        <v>697</v>
      </c>
      <c r="U38" t="s">
        <v>697</v>
      </c>
      <c r="V38" t="s">
        <v>697</v>
      </c>
      <c r="W38" t="s">
        <v>697</v>
      </c>
      <c r="X38">
        <v>0</v>
      </c>
      <c r="Y38" t="s">
        <v>697</v>
      </c>
      <c r="Z38" t="s">
        <v>697</v>
      </c>
      <c r="AA38" t="s">
        <v>697</v>
      </c>
      <c r="AB38" t="s">
        <v>697</v>
      </c>
      <c r="AC38" t="s">
        <v>697</v>
      </c>
      <c r="AD38" t="s">
        <v>697</v>
      </c>
      <c r="AE38">
        <v>0</v>
      </c>
      <c r="AF38" t="s">
        <v>697</v>
      </c>
      <c r="AG38" t="s">
        <v>406</v>
      </c>
      <c r="AH38" t="s">
        <v>697</v>
      </c>
    </row>
    <row r="39" spans="1:34" ht="15" x14ac:dyDescent="0.25">
      <c r="A39" t="s">
        <v>557</v>
      </c>
      <c r="B39" t="s">
        <v>571</v>
      </c>
      <c r="C39" t="s">
        <v>697</v>
      </c>
      <c r="D39" t="s">
        <v>252</v>
      </c>
      <c r="E39" t="s">
        <v>697</v>
      </c>
      <c r="F39" t="s">
        <v>286</v>
      </c>
      <c r="G39" t="s">
        <v>375</v>
      </c>
      <c r="H39" s="237" t="s">
        <v>652</v>
      </c>
      <c r="I39" t="s">
        <v>608</v>
      </c>
      <c r="J39" t="s">
        <v>253</v>
      </c>
      <c r="K39">
        <v>1</v>
      </c>
      <c r="L39">
        <v>12</v>
      </c>
      <c r="M39" t="s">
        <v>33</v>
      </c>
      <c r="N39">
        <v>1</v>
      </c>
      <c r="O39">
        <v>12</v>
      </c>
      <c r="P39">
        <v>1</v>
      </c>
      <c r="Q39" t="s">
        <v>45</v>
      </c>
      <c r="R39">
        <v>12</v>
      </c>
      <c r="S39" t="s">
        <v>697</v>
      </c>
      <c r="T39" t="s">
        <v>697</v>
      </c>
      <c r="U39" t="s">
        <v>697</v>
      </c>
      <c r="V39" t="s">
        <v>697</v>
      </c>
      <c r="W39" t="s">
        <v>697</v>
      </c>
      <c r="X39">
        <v>0</v>
      </c>
      <c r="Y39" t="s">
        <v>697</v>
      </c>
      <c r="Z39" t="s">
        <v>697</v>
      </c>
      <c r="AA39" t="s">
        <v>697</v>
      </c>
      <c r="AB39" t="s">
        <v>697</v>
      </c>
      <c r="AC39" t="s">
        <v>697</v>
      </c>
      <c r="AD39" t="s">
        <v>697</v>
      </c>
      <c r="AE39">
        <v>0</v>
      </c>
      <c r="AF39" t="s">
        <v>697</v>
      </c>
      <c r="AG39" t="s">
        <v>406</v>
      </c>
      <c r="AH39" t="s">
        <v>697</v>
      </c>
    </row>
    <row r="40" spans="1:34" ht="75" x14ac:dyDescent="0.25">
      <c r="A40" t="s">
        <v>557</v>
      </c>
      <c r="B40" t="s">
        <v>571</v>
      </c>
      <c r="C40" t="s">
        <v>697</v>
      </c>
      <c r="D40" t="s">
        <v>252</v>
      </c>
      <c r="E40" t="s">
        <v>697</v>
      </c>
      <c r="F40" t="s">
        <v>287</v>
      </c>
      <c r="G40" t="s">
        <v>375</v>
      </c>
      <c r="H40" s="237" t="s">
        <v>653</v>
      </c>
      <c r="I40" t="s">
        <v>608</v>
      </c>
      <c r="J40" t="s">
        <v>253</v>
      </c>
      <c r="K40">
        <v>1</v>
      </c>
      <c r="L40">
        <v>53</v>
      </c>
      <c r="M40" t="s">
        <v>33</v>
      </c>
      <c r="N40">
        <v>1</v>
      </c>
      <c r="O40">
        <v>53</v>
      </c>
      <c r="P40">
        <v>1</v>
      </c>
      <c r="Q40" t="s">
        <v>45</v>
      </c>
      <c r="R40">
        <v>53</v>
      </c>
      <c r="S40" t="s">
        <v>697</v>
      </c>
      <c r="T40" t="s">
        <v>697</v>
      </c>
      <c r="U40" t="s">
        <v>697</v>
      </c>
      <c r="V40" t="s">
        <v>697</v>
      </c>
      <c r="W40" t="s">
        <v>697</v>
      </c>
      <c r="X40">
        <v>0</v>
      </c>
      <c r="Y40" t="s">
        <v>697</v>
      </c>
      <c r="Z40" t="s">
        <v>697</v>
      </c>
      <c r="AA40" t="s">
        <v>697</v>
      </c>
      <c r="AB40" t="s">
        <v>697</v>
      </c>
      <c r="AC40" t="s">
        <v>697</v>
      </c>
      <c r="AD40" t="s">
        <v>697</v>
      </c>
      <c r="AE40">
        <v>0</v>
      </c>
      <c r="AF40" t="s">
        <v>697</v>
      </c>
      <c r="AG40" t="s">
        <v>406</v>
      </c>
      <c r="AH40" t="s">
        <v>697</v>
      </c>
    </row>
    <row r="41" spans="1:34" ht="15" x14ac:dyDescent="0.25">
      <c r="A41" t="s">
        <v>557</v>
      </c>
      <c r="B41" t="s">
        <v>571</v>
      </c>
      <c r="C41" t="s">
        <v>697</v>
      </c>
      <c r="D41" t="s">
        <v>252</v>
      </c>
      <c r="E41" t="s">
        <v>697</v>
      </c>
      <c r="F41" t="s">
        <v>288</v>
      </c>
      <c r="G41" t="s">
        <v>375</v>
      </c>
      <c r="H41" s="237" t="s">
        <v>654</v>
      </c>
      <c r="I41" t="s">
        <v>608</v>
      </c>
      <c r="J41" t="s">
        <v>253</v>
      </c>
      <c r="K41">
        <v>1</v>
      </c>
      <c r="L41">
        <v>12</v>
      </c>
      <c r="M41" t="s">
        <v>33</v>
      </c>
      <c r="N41">
        <v>1</v>
      </c>
      <c r="O41">
        <v>12</v>
      </c>
      <c r="P41">
        <v>1</v>
      </c>
      <c r="Q41" t="s">
        <v>45</v>
      </c>
      <c r="R41">
        <v>12</v>
      </c>
      <c r="S41" t="s">
        <v>697</v>
      </c>
      <c r="T41" t="s">
        <v>697</v>
      </c>
      <c r="U41" t="s">
        <v>697</v>
      </c>
      <c r="V41" t="s">
        <v>697</v>
      </c>
      <c r="W41" t="s">
        <v>697</v>
      </c>
      <c r="X41">
        <v>0</v>
      </c>
      <c r="Y41" t="s">
        <v>697</v>
      </c>
      <c r="Z41" t="s">
        <v>697</v>
      </c>
      <c r="AA41" t="s">
        <v>697</v>
      </c>
      <c r="AB41" t="s">
        <v>697</v>
      </c>
      <c r="AC41" t="s">
        <v>697</v>
      </c>
      <c r="AD41" t="s">
        <v>697</v>
      </c>
      <c r="AE41">
        <v>0</v>
      </c>
      <c r="AF41" t="s">
        <v>697</v>
      </c>
      <c r="AG41" t="s">
        <v>406</v>
      </c>
      <c r="AH41" t="s">
        <v>697</v>
      </c>
    </row>
    <row r="42" spans="1:34" ht="30" x14ac:dyDescent="0.25">
      <c r="A42" t="s">
        <v>557</v>
      </c>
      <c r="B42" t="s">
        <v>571</v>
      </c>
      <c r="C42" t="s">
        <v>697</v>
      </c>
      <c r="D42" t="s">
        <v>252</v>
      </c>
      <c r="E42" t="s">
        <v>697</v>
      </c>
      <c r="F42" t="s">
        <v>289</v>
      </c>
      <c r="G42" t="s">
        <v>375</v>
      </c>
      <c r="H42" s="237" t="s">
        <v>655</v>
      </c>
      <c r="I42" t="s">
        <v>608</v>
      </c>
      <c r="J42" t="s">
        <v>253</v>
      </c>
      <c r="K42">
        <v>1</v>
      </c>
      <c r="L42">
        <v>13</v>
      </c>
      <c r="M42" t="s">
        <v>33</v>
      </c>
      <c r="N42">
        <v>1</v>
      </c>
      <c r="O42">
        <v>13</v>
      </c>
      <c r="P42">
        <v>1</v>
      </c>
      <c r="Q42" t="s">
        <v>45</v>
      </c>
      <c r="R42">
        <v>13</v>
      </c>
      <c r="S42" t="s">
        <v>697</v>
      </c>
      <c r="T42" t="s">
        <v>697</v>
      </c>
      <c r="U42" t="s">
        <v>697</v>
      </c>
      <c r="V42" t="s">
        <v>697</v>
      </c>
      <c r="W42" t="s">
        <v>697</v>
      </c>
      <c r="X42">
        <v>0</v>
      </c>
      <c r="Y42" t="s">
        <v>697</v>
      </c>
      <c r="Z42" t="s">
        <v>697</v>
      </c>
      <c r="AA42" t="s">
        <v>697</v>
      </c>
      <c r="AB42" t="s">
        <v>697</v>
      </c>
      <c r="AC42" t="s">
        <v>697</v>
      </c>
      <c r="AD42" t="s">
        <v>697</v>
      </c>
      <c r="AE42">
        <v>0</v>
      </c>
      <c r="AF42" t="s">
        <v>697</v>
      </c>
      <c r="AG42" t="s">
        <v>406</v>
      </c>
      <c r="AH42" t="s">
        <v>697</v>
      </c>
    </row>
    <row r="43" spans="1:34" ht="60" x14ac:dyDescent="0.25">
      <c r="A43" t="s">
        <v>557</v>
      </c>
      <c r="B43" t="s">
        <v>571</v>
      </c>
      <c r="C43" t="s">
        <v>697</v>
      </c>
      <c r="D43" t="s">
        <v>252</v>
      </c>
      <c r="E43" t="s">
        <v>697</v>
      </c>
      <c r="F43" t="s">
        <v>290</v>
      </c>
      <c r="G43" t="s">
        <v>375</v>
      </c>
      <c r="H43" s="237" t="s">
        <v>656</v>
      </c>
      <c r="I43" t="s">
        <v>608</v>
      </c>
      <c r="J43" t="s">
        <v>253</v>
      </c>
      <c r="K43">
        <v>1</v>
      </c>
      <c r="L43">
        <v>38</v>
      </c>
      <c r="M43" t="s">
        <v>33</v>
      </c>
      <c r="N43">
        <v>1</v>
      </c>
      <c r="O43">
        <v>38</v>
      </c>
      <c r="P43">
        <v>1</v>
      </c>
      <c r="Q43" t="s">
        <v>45</v>
      </c>
      <c r="R43">
        <v>38</v>
      </c>
      <c r="S43" t="s">
        <v>697</v>
      </c>
      <c r="T43" t="s">
        <v>697</v>
      </c>
      <c r="U43" t="s">
        <v>697</v>
      </c>
      <c r="V43" t="s">
        <v>697</v>
      </c>
      <c r="W43" t="s">
        <v>697</v>
      </c>
      <c r="X43">
        <v>0</v>
      </c>
      <c r="Y43" t="s">
        <v>697</v>
      </c>
      <c r="Z43" t="s">
        <v>697</v>
      </c>
      <c r="AA43" t="s">
        <v>697</v>
      </c>
      <c r="AB43" t="s">
        <v>697</v>
      </c>
      <c r="AC43" t="s">
        <v>697</v>
      </c>
      <c r="AD43" t="s">
        <v>697</v>
      </c>
      <c r="AE43">
        <v>0</v>
      </c>
      <c r="AF43" t="s">
        <v>697</v>
      </c>
      <c r="AG43" t="s">
        <v>406</v>
      </c>
      <c r="AH43" t="s">
        <v>697</v>
      </c>
    </row>
    <row r="44" spans="1:34" ht="30" x14ac:dyDescent="0.25">
      <c r="A44" t="s">
        <v>557</v>
      </c>
      <c r="B44" t="s">
        <v>571</v>
      </c>
      <c r="C44" t="s">
        <v>697</v>
      </c>
      <c r="D44" t="s">
        <v>252</v>
      </c>
      <c r="E44" t="s">
        <v>697</v>
      </c>
      <c r="F44" t="s">
        <v>291</v>
      </c>
      <c r="G44" t="s">
        <v>375</v>
      </c>
      <c r="H44" s="237" t="s">
        <v>657</v>
      </c>
      <c r="I44" t="s">
        <v>608</v>
      </c>
      <c r="J44" t="s">
        <v>253</v>
      </c>
      <c r="K44">
        <v>1</v>
      </c>
      <c r="L44">
        <v>23</v>
      </c>
      <c r="M44" t="s">
        <v>33</v>
      </c>
      <c r="N44">
        <v>1</v>
      </c>
      <c r="O44">
        <v>23</v>
      </c>
      <c r="P44">
        <v>1</v>
      </c>
      <c r="Q44" t="s">
        <v>45</v>
      </c>
      <c r="R44">
        <v>23</v>
      </c>
      <c r="S44" t="s">
        <v>697</v>
      </c>
      <c r="T44" t="s">
        <v>697</v>
      </c>
      <c r="U44" t="s">
        <v>697</v>
      </c>
      <c r="V44" t="s">
        <v>697</v>
      </c>
      <c r="W44" t="s">
        <v>697</v>
      </c>
      <c r="X44">
        <v>0</v>
      </c>
      <c r="Y44" t="s">
        <v>697</v>
      </c>
      <c r="Z44" t="s">
        <v>697</v>
      </c>
      <c r="AA44" t="s">
        <v>697</v>
      </c>
      <c r="AB44" t="s">
        <v>697</v>
      </c>
      <c r="AC44" t="s">
        <v>697</v>
      </c>
      <c r="AD44" t="s">
        <v>697</v>
      </c>
      <c r="AE44">
        <v>0</v>
      </c>
      <c r="AF44" t="s">
        <v>697</v>
      </c>
      <c r="AG44" t="s">
        <v>406</v>
      </c>
      <c r="AH44" t="s">
        <v>697</v>
      </c>
    </row>
    <row r="45" spans="1:34" ht="15" x14ac:dyDescent="0.25">
      <c r="A45" t="s">
        <v>557</v>
      </c>
      <c r="B45" t="s">
        <v>571</v>
      </c>
      <c r="C45" t="s">
        <v>697</v>
      </c>
      <c r="D45" t="s">
        <v>252</v>
      </c>
      <c r="E45" t="s">
        <v>697</v>
      </c>
      <c r="F45" t="s">
        <v>292</v>
      </c>
      <c r="G45" t="s">
        <v>375</v>
      </c>
      <c r="H45" s="237" t="s">
        <v>658</v>
      </c>
      <c r="I45" t="s">
        <v>608</v>
      </c>
      <c r="J45" t="s">
        <v>253</v>
      </c>
      <c r="K45">
        <v>1</v>
      </c>
      <c r="L45">
        <v>12</v>
      </c>
      <c r="M45" t="s">
        <v>33</v>
      </c>
      <c r="N45">
        <v>1</v>
      </c>
      <c r="O45">
        <v>12</v>
      </c>
      <c r="P45">
        <v>1</v>
      </c>
      <c r="Q45" t="s">
        <v>45</v>
      </c>
      <c r="R45">
        <v>12</v>
      </c>
      <c r="S45" t="s">
        <v>697</v>
      </c>
      <c r="T45" t="s">
        <v>697</v>
      </c>
      <c r="U45" t="s">
        <v>697</v>
      </c>
      <c r="V45" t="s">
        <v>697</v>
      </c>
      <c r="W45" t="s">
        <v>697</v>
      </c>
      <c r="X45">
        <v>0</v>
      </c>
      <c r="Y45" t="s">
        <v>697</v>
      </c>
      <c r="Z45" t="s">
        <v>697</v>
      </c>
      <c r="AA45" t="s">
        <v>697</v>
      </c>
      <c r="AB45" t="s">
        <v>697</v>
      </c>
      <c r="AC45" t="s">
        <v>697</v>
      </c>
      <c r="AD45" t="s">
        <v>697</v>
      </c>
      <c r="AE45">
        <v>0</v>
      </c>
      <c r="AF45" t="s">
        <v>697</v>
      </c>
      <c r="AG45" t="s">
        <v>406</v>
      </c>
      <c r="AH45" t="s">
        <v>697</v>
      </c>
    </row>
    <row r="46" spans="1:34" ht="75" x14ac:dyDescent="0.25">
      <c r="A46" t="s">
        <v>557</v>
      </c>
      <c r="B46" t="s">
        <v>571</v>
      </c>
      <c r="C46" t="s">
        <v>697</v>
      </c>
      <c r="D46" t="s">
        <v>252</v>
      </c>
      <c r="E46" t="s">
        <v>697</v>
      </c>
      <c r="F46" t="s">
        <v>293</v>
      </c>
      <c r="G46" t="s">
        <v>375</v>
      </c>
      <c r="H46" s="237" t="s">
        <v>659</v>
      </c>
      <c r="I46" t="s">
        <v>608</v>
      </c>
      <c r="J46" t="s">
        <v>253</v>
      </c>
      <c r="K46">
        <v>1</v>
      </c>
      <c r="L46">
        <v>53</v>
      </c>
      <c r="M46" t="s">
        <v>33</v>
      </c>
      <c r="N46">
        <v>1</v>
      </c>
      <c r="O46">
        <v>53</v>
      </c>
      <c r="P46">
        <v>1</v>
      </c>
      <c r="Q46" t="s">
        <v>45</v>
      </c>
      <c r="R46">
        <v>53</v>
      </c>
      <c r="S46" t="s">
        <v>697</v>
      </c>
      <c r="T46" t="s">
        <v>697</v>
      </c>
      <c r="U46" t="s">
        <v>697</v>
      </c>
      <c r="V46" t="s">
        <v>697</v>
      </c>
      <c r="W46" t="s">
        <v>697</v>
      </c>
      <c r="X46">
        <v>0</v>
      </c>
      <c r="Y46" t="s">
        <v>697</v>
      </c>
      <c r="Z46" t="s">
        <v>697</v>
      </c>
      <c r="AA46" t="s">
        <v>697</v>
      </c>
      <c r="AB46" t="s">
        <v>697</v>
      </c>
      <c r="AC46" t="s">
        <v>697</v>
      </c>
      <c r="AD46" t="s">
        <v>697</v>
      </c>
      <c r="AE46">
        <v>0</v>
      </c>
      <c r="AF46" t="s">
        <v>697</v>
      </c>
      <c r="AG46" t="s">
        <v>406</v>
      </c>
      <c r="AH46" t="s">
        <v>697</v>
      </c>
    </row>
    <row r="47" spans="1:34" ht="15" x14ac:dyDescent="0.25">
      <c r="A47" t="s">
        <v>557</v>
      </c>
      <c r="B47" t="s">
        <v>571</v>
      </c>
      <c r="C47" t="s">
        <v>697</v>
      </c>
      <c r="D47" t="s">
        <v>252</v>
      </c>
      <c r="E47" t="s">
        <v>697</v>
      </c>
      <c r="F47" t="s">
        <v>294</v>
      </c>
      <c r="G47" t="s">
        <v>375</v>
      </c>
      <c r="H47" s="237" t="s">
        <v>660</v>
      </c>
      <c r="I47" t="s">
        <v>608</v>
      </c>
      <c r="J47" t="s">
        <v>253</v>
      </c>
      <c r="K47">
        <v>1</v>
      </c>
      <c r="L47">
        <v>12</v>
      </c>
      <c r="M47" t="s">
        <v>33</v>
      </c>
      <c r="N47">
        <v>1</v>
      </c>
      <c r="O47">
        <v>12</v>
      </c>
      <c r="P47">
        <v>1</v>
      </c>
      <c r="Q47" t="s">
        <v>45</v>
      </c>
      <c r="R47">
        <v>12</v>
      </c>
      <c r="S47" t="s">
        <v>697</v>
      </c>
      <c r="T47" t="s">
        <v>697</v>
      </c>
      <c r="U47" t="s">
        <v>697</v>
      </c>
      <c r="V47" t="s">
        <v>697</v>
      </c>
      <c r="W47" t="s">
        <v>697</v>
      </c>
      <c r="X47">
        <v>0</v>
      </c>
      <c r="Y47" t="s">
        <v>697</v>
      </c>
      <c r="Z47" t="s">
        <v>697</v>
      </c>
      <c r="AA47" t="s">
        <v>697</v>
      </c>
      <c r="AB47" t="s">
        <v>697</v>
      </c>
      <c r="AC47" t="s">
        <v>697</v>
      </c>
      <c r="AD47" t="s">
        <v>697</v>
      </c>
      <c r="AE47">
        <v>0</v>
      </c>
      <c r="AF47" t="s">
        <v>697</v>
      </c>
      <c r="AG47" t="s">
        <v>406</v>
      </c>
      <c r="AH47" t="s">
        <v>697</v>
      </c>
    </row>
    <row r="48" spans="1:34" ht="30" x14ac:dyDescent="0.25">
      <c r="A48" t="s">
        <v>557</v>
      </c>
      <c r="B48" t="s">
        <v>571</v>
      </c>
      <c r="C48" t="s">
        <v>697</v>
      </c>
      <c r="D48" t="s">
        <v>252</v>
      </c>
      <c r="E48" t="s">
        <v>697</v>
      </c>
      <c r="F48" t="s">
        <v>295</v>
      </c>
      <c r="G48" t="s">
        <v>375</v>
      </c>
      <c r="H48" s="237" t="s">
        <v>661</v>
      </c>
      <c r="I48" t="s">
        <v>608</v>
      </c>
      <c r="J48" t="s">
        <v>253</v>
      </c>
      <c r="K48">
        <v>1</v>
      </c>
      <c r="L48">
        <v>13</v>
      </c>
      <c r="M48" t="s">
        <v>33</v>
      </c>
      <c r="N48">
        <v>1</v>
      </c>
      <c r="O48">
        <v>13</v>
      </c>
      <c r="P48">
        <v>1</v>
      </c>
      <c r="Q48" t="s">
        <v>45</v>
      </c>
      <c r="R48">
        <v>13</v>
      </c>
      <c r="S48" t="s">
        <v>697</v>
      </c>
      <c r="T48" t="s">
        <v>697</v>
      </c>
      <c r="U48" t="s">
        <v>697</v>
      </c>
      <c r="V48" t="s">
        <v>697</v>
      </c>
      <c r="W48" t="s">
        <v>697</v>
      </c>
      <c r="X48">
        <v>0</v>
      </c>
      <c r="Y48" t="s">
        <v>697</v>
      </c>
      <c r="Z48" t="s">
        <v>697</v>
      </c>
      <c r="AA48" t="s">
        <v>697</v>
      </c>
      <c r="AB48" t="s">
        <v>697</v>
      </c>
      <c r="AC48" t="s">
        <v>697</v>
      </c>
      <c r="AD48" t="s">
        <v>697</v>
      </c>
      <c r="AE48">
        <v>0</v>
      </c>
      <c r="AF48" t="s">
        <v>697</v>
      </c>
      <c r="AG48" t="s">
        <v>406</v>
      </c>
      <c r="AH48" t="s">
        <v>697</v>
      </c>
    </row>
    <row r="49" spans="1:34" ht="15" customHeight="1" x14ac:dyDescent="0.25">
      <c r="A49" t="s">
        <v>557</v>
      </c>
      <c r="B49" t="s">
        <v>571</v>
      </c>
      <c r="C49" t="s">
        <v>697</v>
      </c>
      <c r="D49" t="s">
        <v>252</v>
      </c>
      <c r="E49" t="s">
        <v>697</v>
      </c>
      <c r="F49" t="s">
        <v>296</v>
      </c>
      <c r="G49" t="s">
        <v>375</v>
      </c>
      <c r="H49" s="237" t="s">
        <v>662</v>
      </c>
      <c r="I49" t="s">
        <v>608</v>
      </c>
      <c r="J49" t="s">
        <v>253</v>
      </c>
      <c r="K49">
        <v>1</v>
      </c>
      <c r="L49">
        <v>38</v>
      </c>
      <c r="M49" t="s">
        <v>33</v>
      </c>
      <c r="N49">
        <v>1</v>
      </c>
      <c r="O49">
        <v>38</v>
      </c>
      <c r="P49">
        <v>1</v>
      </c>
      <c r="Q49" t="s">
        <v>45</v>
      </c>
      <c r="R49">
        <v>38</v>
      </c>
      <c r="S49" t="s">
        <v>697</v>
      </c>
      <c r="T49" t="s">
        <v>697</v>
      </c>
      <c r="U49" t="s">
        <v>697</v>
      </c>
      <c r="V49" t="s">
        <v>697</v>
      </c>
      <c r="W49" t="s">
        <v>697</v>
      </c>
      <c r="X49">
        <v>0</v>
      </c>
      <c r="Y49" t="s">
        <v>697</v>
      </c>
      <c r="Z49" t="s">
        <v>697</v>
      </c>
      <c r="AA49" t="s">
        <v>697</v>
      </c>
      <c r="AB49" t="s">
        <v>697</v>
      </c>
      <c r="AC49" t="s">
        <v>697</v>
      </c>
      <c r="AD49" t="s">
        <v>697</v>
      </c>
      <c r="AE49">
        <v>0</v>
      </c>
      <c r="AF49" t="s">
        <v>697</v>
      </c>
      <c r="AG49" t="s">
        <v>406</v>
      </c>
      <c r="AH49" t="s">
        <v>697</v>
      </c>
    </row>
    <row r="50" spans="1:34" ht="15" customHeight="1" x14ac:dyDescent="0.25">
      <c r="A50" t="s">
        <v>557</v>
      </c>
      <c r="B50" t="s">
        <v>571</v>
      </c>
      <c r="C50" t="s">
        <v>697</v>
      </c>
      <c r="D50" t="s">
        <v>252</v>
      </c>
      <c r="E50" t="s">
        <v>697</v>
      </c>
      <c r="F50" t="s">
        <v>297</v>
      </c>
      <c r="G50" t="s">
        <v>375</v>
      </c>
      <c r="H50" s="237" t="s">
        <v>663</v>
      </c>
      <c r="I50" t="s">
        <v>608</v>
      </c>
      <c r="J50" t="s">
        <v>253</v>
      </c>
      <c r="K50">
        <v>1</v>
      </c>
      <c r="L50">
        <v>23</v>
      </c>
      <c r="M50" t="s">
        <v>33</v>
      </c>
      <c r="N50">
        <v>1</v>
      </c>
      <c r="O50">
        <v>23</v>
      </c>
      <c r="P50">
        <v>1</v>
      </c>
      <c r="Q50" t="s">
        <v>45</v>
      </c>
      <c r="R50">
        <v>23</v>
      </c>
      <c r="S50" t="s">
        <v>697</v>
      </c>
      <c r="T50" t="s">
        <v>697</v>
      </c>
      <c r="U50" t="s">
        <v>697</v>
      </c>
      <c r="V50" t="s">
        <v>697</v>
      </c>
      <c r="W50" t="s">
        <v>697</v>
      </c>
      <c r="X50">
        <v>0</v>
      </c>
      <c r="Y50" t="s">
        <v>697</v>
      </c>
      <c r="Z50" t="s">
        <v>697</v>
      </c>
      <c r="AA50" t="s">
        <v>697</v>
      </c>
      <c r="AB50" t="s">
        <v>697</v>
      </c>
      <c r="AC50" t="s">
        <v>697</v>
      </c>
      <c r="AD50" t="s">
        <v>697</v>
      </c>
      <c r="AE50">
        <v>0</v>
      </c>
      <c r="AF50" t="s">
        <v>697</v>
      </c>
      <c r="AG50" t="s">
        <v>406</v>
      </c>
      <c r="AH50" t="s">
        <v>697</v>
      </c>
    </row>
    <row r="51" spans="1:34" ht="21" customHeight="1" x14ac:dyDescent="0.25">
      <c r="A51" t="s">
        <v>557</v>
      </c>
      <c r="B51" t="s">
        <v>571</v>
      </c>
      <c r="C51" t="s">
        <v>697</v>
      </c>
      <c r="D51" t="s">
        <v>252</v>
      </c>
      <c r="E51" t="s">
        <v>697</v>
      </c>
      <c r="F51" t="s">
        <v>298</v>
      </c>
      <c r="G51" t="s">
        <v>375</v>
      </c>
      <c r="H51" s="237" t="s">
        <v>664</v>
      </c>
      <c r="I51" t="s">
        <v>608</v>
      </c>
      <c r="J51" t="s">
        <v>253</v>
      </c>
      <c r="K51">
        <v>1</v>
      </c>
      <c r="L51">
        <v>12</v>
      </c>
      <c r="M51" t="s">
        <v>33</v>
      </c>
      <c r="N51">
        <v>1</v>
      </c>
      <c r="O51">
        <v>12</v>
      </c>
      <c r="P51">
        <v>1</v>
      </c>
      <c r="Q51" t="s">
        <v>45</v>
      </c>
      <c r="R51">
        <v>12</v>
      </c>
      <c r="S51" t="s">
        <v>697</v>
      </c>
      <c r="T51" t="s">
        <v>697</v>
      </c>
      <c r="U51" t="s">
        <v>697</v>
      </c>
      <c r="V51" t="s">
        <v>697</v>
      </c>
      <c r="W51" t="s">
        <v>697</v>
      </c>
      <c r="X51">
        <v>0</v>
      </c>
      <c r="Y51" t="s">
        <v>697</v>
      </c>
      <c r="Z51" t="s">
        <v>697</v>
      </c>
      <c r="AA51" t="s">
        <v>697</v>
      </c>
      <c r="AB51" t="s">
        <v>697</v>
      </c>
      <c r="AC51" t="s">
        <v>697</v>
      </c>
      <c r="AD51" t="s">
        <v>697</v>
      </c>
      <c r="AE51">
        <v>0</v>
      </c>
      <c r="AF51" t="s">
        <v>697</v>
      </c>
      <c r="AG51" t="s">
        <v>406</v>
      </c>
      <c r="AH51" t="s">
        <v>697</v>
      </c>
    </row>
    <row r="52" spans="1:34" ht="15" customHeight="1" x14ac:dyDescent="0.25">
      <c r="A52" t="s">
        <v>557</v>
      </c>
      <c r="B52" t="s">
        <v>571</v>
      </c>
      <c r="C52" t="s">
        <v>697</v>
      </c>
      <c r="D52" t="s">
        <v>252</v>
      </c>
      <c r="E52" t="s">
        <v>697</v>
      </c>
      <c r="F52" t="s">
        <v>299</v>
      </c>
      <c r="G52" t="s">
        <v>375</v>
      </c>
      <c r="H52" s="237" t="s">
        <v>665</v>
      </c>
      <c r="I52" t="s">
        <v>608</v>
      </c>
      <c r="J52" t="s">
        <v>253</v>
      </c>
      <c r="K52">
        <v>1</v>
      </c>
      <c r="L52">
        <v>53</v>
      </c>
      <c r="M52" t="s">
        <v>33</v>
      </c>
      <c r="N52">
        <v>1</v>
      </c>
      <c r="O52">
        <v>53</v>
      </c>
      <c r="P52">
        <v>1</v>
      </c>
      <c r="Q52" t="s">
        <v>45</v>
      </c>
      <c r="R52">
        <v>53</v>
      </c>
      <c r="S52" t="s">
        <v>697</v>
      </c>
      <c r="T52" t="s">
        <v>697</v>
      </c>
      <c r="U52" t="s">
        <v>697</v>
      </c>
      <c r="V52" t="s">
        <v>697</v>
      </c>
      <c r="W52" t="s">
        <v>697</v>
      </c>
      <c r="X52">
        <v>0</v>
      </c>
      <c r="Y52" t="s">
        <v>697</v>
      </c>
      <c r="Z52" t="s">
        <v>697</v>
      </c>
      <c r="AA52" t="s">
        <v>697</v>
      </c>
      <c r="AB52" t="s">
        <v>697</v>
      </c>
      <c r="AC52" t="s">
        <v>697</v>
      </c>
      <c r="AD52" t="s">
        <v>697</v>
      </c>
      <c r="AE52">
        <v>0</v>
      </c>
      <c r="AF52" t="s">
        <v>697</v>
      </c>
      <c r="AG52" t="s">
        <v>406</v>
      </c>
      <c r="AH52" t="s">
        <v>697</v>
      </c>
    </row>
    <row r="53" spans="1:34" ht="18.600000000000001" customHeight="1" x14ac:dyDescent="0.25">
      <c r="A53" t="s">
        <v>557</v>
      </c>
      <c r="B53" t="s">
        <v>571</v>
      </c>
      <c r="C53" t="s">
        <v>697</v>
      </c>
      <c r="D53" t="s">
        <v>252</v>
      </c>
      <c r="E53" t="s">
        <v>697</v>
      </c>
      <c r="F53" t="s">
        <v>300</v>
      </c>
      <c r="G53" t="s">
        <v>375</v>
      </c>
      <c r="H53" s="237" t="s">
        <v>666</v>
      </c>
      <c r="I53" t="s">
        <v>608</v>
      </c>
      <c r="J53" t="s">
        <v>253</v>
      </c>
      <c r="K53">
        <v>1</v>
      </c>
      <c r="L53">
        <v>12</v>
      </c>
      <c r="M53" t="s">
        <v>33</v>
      </c>
      <c r="N53">
        <v>1</v>
      </c>
      <c r="O53">
        <v>12</v>
      </c>
      <c r="P53">
        <v>1</v>
      </c>
      <c r="Q53" t="s">
        <v>45</v>
      </c>
      <c r="R53">
        <v>12</v>
      </c>
      <c r="S53" t="s">
        <v>697</v>
      </c>
      <c r="T53" t="s">
        <v>697</v>
      </c>
      <c r="U53" t="s">
        <v>697</v>
      </c>
      <c r="V53" t="s">
        <v>697</v>
      </c>
      <c r="W53" t="s">
        <v>697</v>
      </c>
      <c r="X53">
        <v>0</v>
      </c>
      <c r="Y53" t="s">
        <v>697</v>
      </c>
      <c r="Z53" t="s">
        <v>697</v>
      </c>
      <c r="AA53" t="s">
        <v>697</v>
      </c>
      <c r="AB53" t="s">
        <v>697</v>
      </c>
      <c r="AC53" t="s">
        <v>697</v>
      </c>
      <c r="AD53" t="s">
        <v>697</v>
      </c>
      <c r="AE53">
        <v>0</v>
      </c>
      <c r="AF53" t="s">
        <v>697</v>
      </c>
      <c r="AG53" t="s">
        <v>406</v>
      </c>
      <c r="AH53" t="s">
        <v>697</v>
      </c>
    </row>
    <row r="54" spans="1:34" ht="18" customHeight="1" x14ac:dyDescent="0.25">
      <c r="A54" t="s">
        <v>557</v>
      </c>
      <c r="B54" t="s">
        <v>571</v>
      </c>
      <c r="C54" t="s">
        <v>697</v>
      </c>
      <c r="D54" t="s">
        <v>252</v>
      </c>
      <c r="E54" t="s">
        <v>697</v>
      </c>
      <c r="F54" t="s">
        <v>301</v>
      </c>
      <c r="G54" t="s">
        <v>375</v>
      </c>
      <c r="H54" s="237" t="s">
        <v>667</v>
      </c>
      <c r="I54" t="s">
        <v>608</v>
      </c>
      <c r="J54" t="s">
        <v>253</v>
      </c>
      <c r="K54">
        <v>1</v>
      </c>
      <c r="L54">
        <v>13</v>
      </c>
      <c r="M54" t="s">
        <v>33</v>
      </c>
      <c r="N54">
        <v>1</v>
      </c>
      <c r="O54">
        <v>13</v>
      </c>
      <c r="P54">
        <v>1</v>
      </c>
      <c r="Q54" t="s">
        <v>45</v>
      </c>
      <c r="R54">
        <v>13</v>
      </c>
      <c r="S54" t="s">
        <v>697</v>
      </c>
      <c r="T54" t="s">
        <v>697</v>
      </c>
      <c r="U54" t="s">
        <v>697</v>
      </c>
      <c r="V54" t="s">
        <v>697</v>
      </c>
      <c r="W54" t="s">
        <v>697</v>
      </c>
      <c r="X54">
        <v>0</v>
      </c>
      <c r="Y54" t="s">
        <v>697</v>
      </c>
      <c r="Z54" t="s">
        <v>697</v>
      </c>
      <c r="AA54" t="s">
        <v>697</v>
      </c>
      <c r="AB54" t="s">
        <v>697</v>
      </c>
      <c r="AC54" t="s">
        <v>697</v>
      </c>
      <c r="AD54" t="s">
        <v>697</v>
      </c>
      <c r="AE54">
        <v>0</v>
      </c>
      <c r="AF54" t="s">
        <v>697</v>
      </c>
      <c r="AG54" t="s">
        <v>406</v>
      </c>
      <c r="AH54" t="s">
        <v>697</v>
      </c>
    </row>
    <row r="55" spans="1:34" ht="18.600000000000001" customHeight="1" x14ac:dyDescent="0.25">
      <c r="A55" t="s">
        <v>557</v>
      </c>
      <c r="B55" t="s">
        <v>571</v>
      </c>
      <c r="C55" t="s">
        <v>697</v>
      </c>
      <c r="D55" t="s">
        <v>252</v>
      </c>
      <c r="E55" t="s">
        <v>697</v>
      </c>
      <c r="F55" t="s">
        <v>302</v>
      </c>
      <c r="G55" t="s">
        <v>375</v>
      </c>
      <c r="H55" s="237" t="s">
        <v>668</v>
      </c>
      <c r="I55" t="s">
        <v>608</v>
      </c>
      <c r="J55" t="s">
        <v>253</v>
      </c>
      <c r="K55">
        <v>1</v>
      </c>
      <c r="L55">
        <v>38</v>
      </c>
      <c r="M55" t="s">
        <v>33</v>
      </c>
      <c r="N55">
        <v>1</v>
      </c>
      <c r="O55">
        <v>38</v>
      </c>
      <c r="P55">
        <v>1</v>
      </c>
      <c r="Q55" t="s">
        <v>45</v>
      </c>
      <c r="R55">
        <v>38</v>
      </c>
      <c r="S55" t="s">
        <v>697</v>
      </c>
      <c r="T55" t="s">
        <v>697</v>
      </c>
      <c r="U55" t="s">
        <v>697</v>
      </c>
      <c r="V55" t="s">
        <v>697</v>
      </c>
      <c r="W55" t="s">
        <v>697</v>
      </c>
      <c r="X55">
        <v>0</v>
      </c>
      <c r="Y55" t="s">
        <v>697</v>
      </c>
      <c r="Z55" t="s">
        <v>697</v>
      </c>
      <c r="AA55" t="s">
        <v>697</v>
      </c>
      <c r="AB55" t="s">
        <v>697</v>
      </c>
      <c r="AC55" t="s">
        <v>697</v>
      </c>
      <c r="AD55" t="s">
        <v>697</v>
      </c>
      <c r="AE55">
        <v>0</v>
      </c>
      <c r="AF55" t="s">
        <v>697</v>
      </c>
      <c r="AG55" t="s">
        <v>406</v>
      </c>
      <c r="AH55" t="s">
        <v>697</v>
      </c>
    </row>
    <row r="56" spans="1:34" ht="17.45" customHeight="1" x14ac:dyDescent="0.25">
      <c r="A56" t="s">
        <v>557</v>
      </c>
      <c r="B56" t="s">
        <v>571</v>
      </c>
      <c r="C56" t="s">
        <v>697</v>
      </c>
      <c r="D56" t="s">
        <v>252</v>
      </c>
      <c r="E56" t="s">
        <v>697</v>
      </c>
      <c r="F56" t="s">
        <v>303</v>
      </c>
      <c r="G56" t="s">
        <v>375</v>
      </c>
      <c r="H56" s="237" t="s">
        <v>669</v>
      </c>
      <c r="I56" t="s">
        <v>608</v>
      </c>
      <c r="J56" t="s">
        <v>253</v>
      </c>
      <c r="K56">
        <v>1</v>
      </c>
      <c r="L56">
        <v>23</v>
      </c>
      <c r="M56" t="s">
        <v>33</v>
      </c>
      <c r="N56">
        <v>1</v>
      </c>
      <c r="O56">
        <v>23</v>
      </c>
      <c r="P56">
        <v>1</v>
      </c>
      <c r="Q56" t="s">
        <v>46</v>
      </c>
      <c r="R56">
        <v>23</v>
      </c>
      <c r="S56" t="s">
        <v>697</v>
      </c>
      <c r="T56" t="s">
        <v>697</v>
      </c>
      <c r="U56" t="s">
        <v>697</v>
      </c>
      <c r="V56" t="s">
        <v>697</v>
      </c>
      <c r="W56" t="s">
        <v>697</v>
      </c>
      <c r="X56">
        <v>0</v>
      </c>
      <c r="Y56" t="s">
        <v>697</v>
      </c>
      <c r="Z56" t="s">
        <v>697</v>
      </c>
      <c r="AA56" t="s">
        <v>697</v>
      </c>
      <c r="AB56" t="s">
        <v>697</v>
      </c>
      <c r="AC56" t="s">
        <v>697</v>
      </c>
      <c r="AD56" t="s">
        <v>697</v>
      </c>
      <c r="AE56">
        <v>0</v>
      </c>
      <c r="AF56" t="s">
        <v>697</v>
      </c>
      <c r="AG56" t="s">
        <v>406</v>
      </c>
      <c r="AH56" t="s">
        <v>697</v>
      </c>
    </row>
    <row r="57" spans="1:34" ht="18" customHeight="1" x14ac:dyDescent="0.25">
      <c r="A57" t="s">
        <v>557</v>
      </c>
      <c r="B57" t="s">
        <v>571</v>
      </c>
      <c r="C57" t="s">
        <v>697</v>
      </c>
      <c r="D57" t="s">
        <v>252</v>
      </c>
      <c r="E57" t="s">
        <v>697</v>
      </c>
      <c r="F57" t="s">
        <v>304</v>
      </c>
      <c r="G57" t="s">
        <v>375</v>
      </c>
      <c r="H57" s="237" t="s">
        <v>670</v>
      </c>
      <c r="I57" t="s">
        <v>608</v>
      </c>
      <c r="J57" t="s">
        <v>253</v>
      </c>
      <c r="K57">
        <v>1</v>
      </c>
      <c r="L57">
        <v>12</v>
      </c>
      <c r="M57" t="s">
        <v>33</v>
      </c>
      <c r="N57">
        <v>1</v>
      </c>
      <c r="O57">
        <v>12</v>
      </c>
      <c r="P57">
        <v>1</v>
      </c>
      <c r="Q57" t="s">
        <v>45</v>
      </c>
      <c r="R57">
        <v>12</v>
      </c>
      <c r="S57" t="s">
        <v>697</v>
      </c>
      <c r="T57" t="s">
        <v>697</v>
      </c>
      <c r="U57" t="s">
        <v>697</v>
      </c>
      <c r="V57" t="s">
        <v>697</v>
      </c>
      <c r="W57" t="s">
        <v>697</v>
      </c>
      <c r="X57">
        <v>0</v>
      </c>
      <c r="Y57" t="s">
        <v>697</v>
      </c>
      <c r="Z57" t="s">
        <v>697</v>
      </c>
      <c r="AA57" t="s">
        <v>697</v>
      </c>
      <c r="AB57" t="s">
        <v>697</v>
      </c>
      <c r="AC57" t="s">
        <v>697</v>
      </c>
      <c r="AD57" t="s">
        <v>697</v>
      </c>
      <c r="AE57">
        <v>0</v>
      </c>
      <c r="AF57" t="s">
        <v>697</v>
      </c>
      <c r="AG57" t="s">
        <v>406</v>
      </c>
      <c r="AH57" t="s">
        <v>697</v>
      </c>
    </row>
    <row r="58" spans="1:34" ht="17.45" customHeight="1" x14ac:dyDescent="0.25">
      <c r="A58" t="s">
        <v>557</v>
      </c>
      <c r="B58" t="s">
        <v>571</v>
      </c>
      <c r="C58" t="s">
        <v>697</v>
      </c>
      <c r="D58" t="s">
        <v>252</v>
      </c>
      <c r="E58" t="s">
        <v>697</v>
      </c>
      <c r="F58" t="s">
        <v>305</v>
      </c>
      <c r="G58" t="s">
        <v>375</v>
      </c>
      <c r="H58" s="237" t="s">
        <v>671</v>
      </c>
      <c r="I58" t="s">
        <v>608</v>
      </c>
      <c r="J58" t="s">
        <v>253</v>
      </c>
      <c r="K58">
        <v>1</v>
      </c>
      <c r="L58">
        <v>53</v>
      </c>
      <c r="M58" t="s">
        <v>33</v>
      </c>
      <c r="N58">
        <v>1</v>
      </c>
      <c r="O58">
        <v>53</v>
      </c>
      <c r="P58">
        <v>1</v>
      </c>
      <c r="Q58" t="s">
        <v>45</v>
      </c>
      <c r="R58">
        <v>53</v>
      </c>
      <c r="S58" t="s">
        <v>697</v>
      </c>
      <c r="T58" t="s">
        <v>697</v>
      </c>
      <c r="U58" t="s">
        <v>697</v>
      </c>
      <c r="V58" t="s">
        <v>697</v>
      </c>
      <c r="W58" t="s">
        <v>697</v>
      </c>
      <c r="X58">
        <v>0</v>
      </c>
      <c r="Y58" t="s">
        <v>697</v>
      </c>
      <c r="Z58" t="s">
        <v>697</v>
      </c>
      <c r="AA58" t="s">
        <v>697</v>
      </c>
      <c r="AB58" t="s">
        <v>697</v>
      </c>
      <c r="AC58" t="s">
        <v>697</v>
      </c>
      <c r="AD58" t="s">
        <v>697</v>
      </c>
      <c r="AE58">
        <v>0</v>
      </c>
      <c r="AF58" t="s">
        <v>697</v>
      </c>
      <c r="AG58" t="s">
        <v>406</v>
      </c>
      <c r="AH58" t="s">
        <v>697</v>
      </c>
    </row>
    <row r="59" spans="1:34" ht="18" customHeight="1" x14ac:dyDescent="0.25">
      <c r="A59" t="s">
        <v>557</v>
      </c>
      <c r="B59" t="s">
        <v>571</v>
      </c>
      <c r="C59" t="s">
        <v>697</v>
      </c>
      <c r="D59" t="s">
        <v>252</v>
      </c>
      <c r="E59" t="s">
        <v>697</v>
      </c>
      <c r="F59" t="s">
        <v>306</v>
      </c>
      <c r="G59" t="s">
        <v>375</v>
      </c>
      <c r="H59" s="237" t="s">
        <v>672</v>
      </c>
      <c r="I59" t="s">
        <v>608</v>
      </c>
      <c r="J59" t="s">
        <v>253</v>
      </c>
      <c r="K59">
        <v>1</v>
      </c>
      <c r="L59">
        <v>12</v>
      </c>
      <c r="M59" t="s">
        <v>33</v>
      </c>
      <c r="N59">
        <v>1</v>
      </c>
      <c r="O59">
        <v>12</v>
      </c>
      <c r="P59">
        <v>1</v>
      </c>
      <c r="Q59" t="s">
        <v>45</v>
      </c>
      <c r="R59">
        <v>12</v>
      </c>
      <c r="S59" t="s">
        <v>697</v>
      </c>
      <c r="T59" t="s">
        <v>697</v>
      </c>
      <c r="U59" t="s">
        <v>697</v>
      </c>
      <c r="V59" t="s">
        <v>697</v>
      </c>
      <c r="W59" t="s">
        <v>697</v>
      </c>
      <c r="X59">
        <v>0</v>
      </c>
      <c r="Y59" t="s">
        <v>697</v>
      </c>
      <c r="Z59" t="s">
        <v>697</v>
      </c>
      <c r="AA59" t="s">
        <v>697</v>
      </c>
      <c r="AB59" t="s">
        <v>697</v>
      </c>
      <c r="AC59" t="s">
        <v>697</v>
      </c>
      <c r="AD59" t="s">
        <v>697</v>
      </c>
      <c r="AE59">
        <v>0</v>
      </c>
      <c r="AF59" t="s">
        <v>697</v>
      </c>
      <c r="AG59" t="s">
        <v>406</v>
      </c>
      <c r="AH59" t="s">
        <v>697</v>
      </c>
    </row>
    <row r="60" spans="1:34" ht="30" x14ac:dyDescent="0.25">
      <c r="A60" t="s">
        <v>557</v>
      </c>
      <c r="B60" t="s">
        <v>571</v>
      </c>
      <c r="C60" t="s">
        <v>697</v>
      </c>
      <c r="D60" t="s">
        <v>252</v>
      </c>
      <c r="E60" t="s">
        <v>697</v>
      </c>
      <c r="F60" t="s">
        <v>307</v>
      </c>
      <c r="G60" t="s">
        <v>375</v>
      </c>
      <c r="H60" s="237" t="s">
        <v>673</v>
      </c>
      <c r="I60" t="s">
        <v>608</v>
      </c>
      <c r="J60" t="s">
        <v>253</v>
      </c>
      <c r="K60">
        <v>1</v>
      </c>
      <c r="L60">
        <v>13</v>
      </c>
      <c r="M60" t="s">
        <v>33</v>
      </c>
      <c r="N60">
        <v>1</v>
      </c>
      <c r="O60">
        <v>13</v>
      </c>
      <c r="P60">
        <v>1</v>
      </c>
      <c r="Q60" t="s">
        <v>45</v>
      </c>
      <c r="R60">
        <v>13</v>
      </c>
      <c r="S60" t="s">
        <v>697</v>
      </c>
      <c r="T60" t="s">
        <v>697</v>
      </c>
      <c r="U60" t="s">
        <v>697</v>
      </c>
      <c r="V60" t="s">
        <v>697</v>
      </c>
      <c r="W60" t="s">
        <v>697</v>
      </c>
      <c r="X60">
        <v>0</v>
      </c>
      <c r="Y60" t="s">
        <v>697</v>
      </c>
      <c r="Z60" t="s">
        <v>697</v>
      </c>
      <c r="AA60" t="s">
        <v>697</v>
      </c>
      <c r="AB60" t="s">
        <v>697</v>
      </c>
      <c r="AC60" t="s">
        <v>697</v>
      </c>
      <c r="AD60" t="s">
        <v>697</v>
      </c>
      <c r="AE60">
        <v>0</v>
      </c>
      <c r="AF60" t="s">
        <v>697</v>
      </c>
      <c r="AG60" t="s">
        <v>406</v>
      </c>
      <c r="AH60" t="s">
        <v>697</v>
      </c>
    </row>
    <row r="61" spans="1:34" ht="60" x14ac:dyDescent="0.25">
      <c r="A61" t="s">
        <v>557</v>
      </c>
      <c r="B61" t="s">
        <v>571</v>
      </c>
      <c r="C61" t="s">
        <v>697</v>
      </c>
      <c r="D61" t="s">
        <v>252</v>
      </c>
      <c r="E61" t="s">
        <v>697</v>
      </c>
      <c r="F61" t="s">
        <v>308</v>
      </c>
      <c r="G61" t="s">
        <v>375</v>
      </c>
      <c r="H61" s="237" t="s">
        <v>674</v>
      </c>
      <c r="I61" t="s">
        <v>608</v>
      </c>
      <c r="J61" t="s">
        <v>253</v>
      </c>
      <c r="K61">
        <v>1</v>
      </c>
      <c r="L61">
        <v>38</v>
      </c>
      <c r="M61" t="s">
        <v>33</v>
      </c>
      <c r="N61">
        <v>1</v>
      </c>
      <c r="O61">
        <v>38</v>
      </c>
      <c r="P61">
        <v>1</v>
      </c>
      <c r="Q61" t="s">
        <v>45</v>
      </c>
      <c r="R61">
        <v>38</v>
      </c>
      <c r="S61" t="s">
        <v>697</v>
      </c>
      <c r="T61" t="s">
        <v>697</v>
      </c>
      <c r="U61" t="s">
        <v>697</v>
      </c>
      <c r="V61" t="s">
        <v>697</v>
      </c>
      <c r="W61" t="s">
        <v>697</v>
      </c>
      <c r="X61">
        <v>0</v>
      </c>
      <c r="Y61" t="s">
        <v>697</v>
      </c>
      <c r="Z61" t="s">
        <v>697</v>
      </c>
      <c r="AA61" t="s">
        <v>697</v>
      </c>
      <c r="AB61" t="s">
        <v>697</v>
      </c>
      <c r="AC61" t="s">
        <v>697</v>
      </c>
      <c r="AD61" t="s">
        <v>697</v>
      </c>
      <c r="AE61">
        <v>0</v>
      </c>
      <c r="AF61" t="s">
        <v>697</v>
      </c>
      <c r="AG61" t="s">
        <v>406</v>
      </c>
      <c r="AH61" t="s">
        <v>697</v>
      </c>
    </row>
    <row r="62" spans="1:34" ht="28.15" customHeight="1" x14ac:dyDescent="0.25">
      <c r="A62" t="s">
        <v>557</v>
      </c>
      <c r="B62" t="s">
        <v>571</v>
      </c>
      <c r="C62" t="s">
        <v>697</v>
      </c>
      <c r="D62" t="s">
        <v>252</v>
      </c>
      <c r="E62" t="s">
        <v>697</v>
      </c>
      <c r="F62" t="s">
        <v>309</v>
      </c>
      <c r="G62" t="s">
        <v>375</v>
      </c>
      <c r="H62" s="237" t="s">
        <v>675</v>
      </c>
      <c r="I62" t="s">
        <v>608</v>
      </c>
      <c r="J62" t="s">
        <v>253</v>
      </c>
      <c r="K62">
        <v>1</v>
      </c>
      <c r="L62">
        <v>23</v>
      </c>
      <c r="M62" t="s">
        <v>33</v>
      </c>
      <c r="N62">
        <v>1</v>
      </c>
      <c r="O62">
        <v>23</v>
      </c>
      <c r="P62">
        <v>1</v>
      </c>
      <c r="Q62" t="s">
        <v>45</v>
      </c>
      <c r="R62">
        <v>23</v>
      </c>
      <c r="S62" t="s">
        <v>697</v>
      </c>
      <c r="T62" t="s">
        <v>697</v>
      </c>
      <c r="U62" t="s">
        <v>697</v>
      </c>
      <c r="V62" t="s">
        <v>697</v>
      </c>
      <c r="W62" t="s">
        <v>697</v>
      </c>
      <c r="X62">
        <v>0</v>
      </c>
      <c r="Y62" t="s">
        <v>697</v>
      </c>
      <c r="Z62" t="s">
        <v>697</v>
      </c>
      <c r="AA62" t="s">
        <v>697</v>
      </c>
      <c r="AB62" t="s">
        <v>697</v>
      </c>
      <c r="AC62" t="s">
        <v>697</v>
      </c>
      <c r="AD62" t="s">
        <v>697</v>
      </c>
      <c r="AE62">
        <v>0</v>
      </c>
      <c r="AF62" t="s">
        <v>697</v>
      </c>
      <c r="AG62" t="s">
        <v>406</v>
      </c>
      <c r="AH62" t="s">
        <v>697</v>
      </c>
    </row>
    <row r="63" spans="1:34" ht="18" customHeight="1" x14ac:dyDescent="0.25">
      <c r="A63" t="s">
        <v>557</v>
      </c>
      <c r="B63" t="s">
        <v>571</v>
      </c>
      <c r="C63" t="s">
        <v>697</v>
      </c>
      <c r="D63" t="s">
        <v>252</v>
      </c>
      <c r="E63" t="s">
        <v>697</v>
      </c>
      <c r="F63" t="s">
        <v>310</v>
      </c>
      <c r="G63" t="s">
        <v>375</v>
      </c>
      <c r="H63" s="237" t="s">
        <v>676</v>
      </c>
      <c r="I63" t="s">
        <v>608</v>
      </c>
      <c r="J63" t="s">
        <v>253</v>
      </c>
      <c r="K63">
        <v>1</v>
      </c>
      <c r="L63">
        <v>8</v>
      </c>
      <c r="M63" t="s">
        <v>33</v>
      </c>
      <c r="N63">
        <v>1</v>
      </c>
      <c r="O63">
        <v>8</v>
      </c>
      <c r="P63">
        <v>1</v>
      </c>
      <c r="Q63" t="s">
        <v>45</v>
      </c>
      <c r="R63">
        <v>8</v>
      </c>
      <c r="S63" t="s">
        <v>697</v>
      </c>
      <c r="T63" t="s">
        <v>697</v>
      </c>
      <c r="U63" t="s">
        <v>697</v>
      </c>
      <c r="V63" t="s">
        <v>697</v>
      </c>
      <c r="W63" t="s">
        <v>697</v>
      </c>
      <c r="X63">
        <v>0</v>
      </c>
      <c r="Y63" t="s">
        <v>697</v>
      </c>
      <c r="Z63" t="s">
        <v>697</v>
      </c>
      <c r="AA63" t="s">
        <v>697</v>
      </c>
      <c r="AB63" t="s">
        <v>697</v>
      </c>
      <c r="AC63" t="s">
        <v>697</v>
      </c>
      <c r="AD63" t="s">
        <v>697</v>
      </c>
      <c r="AE63">
        <v>0</v>
      </c>
      <c r="AF63" t="s">
        <v>697</v>
      </c>
      <c r="AG63" t="s">
        <v>406</v>
      </c>
      <c r="AH63" t="s">
        <v>697</v>
      </c>
    </row>
    <row r="64" spans="1:34" ht="26.45" customHeight="1" x14ac:dyDescent="0.25">
      <c r="A64" t="s">
        <v>557</v>
      </c>
      <c r="B64" t="s">
        <v>571</v>
      </c>
      <c r="C64" t="s">
        <v>697</v>
      </c>
      <c r="D64" t="s">
        <v>252</v>
      </c>
      <c r="E64" t="s">
        <v>697</v>
      </c>
      <c r="F64" t="s">
        <v>311</v>
      </c>
      <c r="G64" t="s">
        <v>375</v>
      </c>
      <c r="H64" s="237" t="s">
        <v>677</v>
      </c>
      <c r="I64" t="s">
        <v>608</v>
      </c>
      <c r="J64" t="s">
        <v>253</v>
      </c>
      <c r="K64">
        <v>1</v>
      </c>
      <c r="L64">
        <v>53</v>
      </c>
      <c r="M64" t="s">
        <v>33</v>
      </c>
      <c r="N64">
        <v>1</v>
      </c>
      <c r="O64">
        <v>53</v>
      </c>
      <c r="P64">
        <v>1</v>
      </c>
      <c r="Q64" t="s">
        <v>45</v>
      </c>
      <c r="R64">
        <v>53</v>
      </c>
      <c r="S64" t="s">
        <v>697</v>
      </c>
      <c r="T64" t="s">
        <v>697</v>
      </c>
      <c r="U64" t="s">
        <v>697</v>
      </c>
      <c r="V64" t="s">
        <v>697</v>
      </c>
      <c r="W64" t="s">
        <v>697</v>
      </c>
      <c r="X64">
        <v>0</v>
      </c>
      <c r="Y64" t="s">
        <v>697</v>
      </c>
      <c r="Z64" t="s">
        <v>697</v>
      </c>
      <c r="AA64" t="s">
        <v>697</v>
      </c>
      <c r="AB64" t="s">
        <v>697</v>
      </c>
      <c r="AC64" t="s">
        <v>697</v>
      </c>
      <c r="AD64" t="s">
        <v>697</v>
      </c>
      <c r="AE64">
        <v>0</v>
      </c>
      <c r="AF64" t="s">
        <v>697</v>
      </c>
      <c r="AG64" t="s">
        <v>406</v>
      </c>
      <c r="AH64" t="s">
        <v>697</v>
      </c>
    </row>
    <row r="65" spans="1:34" ht="15" x14ac:dyDescent="0.25">
      <c r="A65" t="s">
        <v>557</v>
      </c>
      <c r="B65" t="s">
        <v>571</v>
      </c>
      <c r="C65" t="s">
        <v>697</v>
      </c>
      <c r="D65" t="s">
        <v>252</v>
      </c>
      <c r="E65" t="s">
        <v>697</v>
      </c>
      <c r="F65" t="s">
        <v>312</v>
      </c>
      <c r="G65" t="s">
        <v>375</v>
      </c>
      <c r="H65" s="237" t="s">
        <v>678</v>
      </c>
      <c r="I65" t="s">
        <v>608</v>
      </c>
      <c r="J65" t="s">
        <v>253</v>
      </c>
      <c r="K65">
        <v>1</v>
      </c>
      <c r="L65">
        <v>8</v>
      </c>
      <c r="M65" t="s">
        <v>33</v>
      </c>
      <c r="N65">
        <v>1</v>
      </c>
      <c r="O65">
        <v>8</v>
      </c>
      <c r="P65">
        <v>1</v>
      </c>
      <c r="Q65" t="s">
        <v>45</v>
      </c>
      <c r="R65">
        <v>8</v>
      </c>
      <c r="S65" t="s">
        <v>697</v>
      </c>
      <c r="T65" t="s">
        <v>697</v>
      </c>
      <c r="U65" t="s">
        <v>697</v>
      </c>
      <c r="V65" t="s">
        <v>697</v>
      </c>
      <c r="W65" t="s">
        <v>697</v>
      </c>
      <c r="X65">
        <v>0</v>
      </c>
      <c r="Y65" t="s">
        <v>697</v>
      </c>
      <c r="Z65" t="s">
        <v>697</v>
      </c>
      <c r="AA65" t="s">
        <v>697</v>
      </c>
      <c r="AB65" t="s">
        <v>697</v>
      </c>
      <c r="AC65" t="s">
        <v>697</v>
      </c>
      <c r="AD65" t="s">
        <v>697</v>
      </c>
      <c r="AE65">
        <v>0</v>
      </c>
      <c r="AF65" t="s">
        <v>697</v>
      </c>
      <c r="AG65" t="s">
        <v>406</v>
      </c>
      <c r="AH65" t="s">
        <v>697</v>
      </c>
    </row>
    <row r="66" spans="1:34" ht="16.149999999999999" customHeight="1" x14ac:dyDescent="0.25">
      <c r="A66" t="s">
        <v>557</v>
      </c>
      <c r="B66" t="s">
        <v>571</v>
      </c>
      <c r="C66" t="s">
        <v>697</v>
      </c>
      <c r="D66" t="s">
        <v>252</v>
      </c>
      <c r="E66" t="s">
        <v>697</v>
      </c>
      <c r="F66" t="s">
        <v>313</v>
      </c>
      <c r="G66" t="s">
        <v>375</v>
      </c>
      <c r="H66" s="237" t="s">
        <v>679</v>
      </c>
      <c r="I66" t="s">
        <v>608</v>
      </c>
      <c r="J66" t="s">
        <v>253</v>
      </c>
      <c r="K66">
        <v>1</v>
      </c>
      <c r="L66">
        <v>8</v>
      </c>
      <c r="M66" t="s">
        <v>33</v>
      </c>
      <c r="N66">
        <v>1</v>
      </c>
      <c r="O66">
        <v>8</v>
      </c>
      <c r="P66">
        <v>1</v>
      </c>
      <c r="Q66" t="s">
        <v>45</v>
      </c>
      <c r="R66">
        <v>8</v>
      </c>
      <c r="S66" t="s">
        <v>697</v>
      </c>
      <c r="T66" t="s">
        <v>697</v>
      </c>
      <c r="U66" t="s">
        <v>697</v>
      </c>
      <c r="V66" t="s">
        <v>697</v>
      </c>
      <c r="W66" t="s">
        <v>697</v>
      </c>
      <c r="X66">
        <v>0</v>
      </c>
      <c r="Y66" t="s">
        <v>697</v>
      </c>
      <c r="Z66" t="s">
        <v>697</v>
      </c>
      <c r="AA66" t="s">
        <v>697</v>
      </c>
      <c r="AB66" t="s">
        <v>697</v>
      </c>
      <c r="AC66" t="s">
        <v>697</v>
      </c>
      <c r="AD66" t="s">
        <v>697</v>
      </c>
      <c r="AE66">
        <v>0</v>
      </c>
      <c r="AF66" t="s">
        <v>697</v>
      </c>
      <c r="AG66" t="s">
        <v>406</v>
      </c>
      <c r="AH66" t="s">
        <v>697</v>
      </c>
    </row>
    <row r="67" spans="1:34" ht="16.149999999999999" customHeight="1" x14ac:dyDescent="0.25">
      <c r="A67" t="s">
        <v>557</v>
      </c>
      <c r="B67" t="s">
        <v>571</v>
      </c>
      <c r="C67" t="s">
        <v>697</v>
      </c>
      <c r="D67" t="s">
        <v>252</v>
      </c>
      <c r="E67" t="s">
        <v>697</v>
      </c>
      <c r="F67" t="s">
        <v>314</v>
      </c>
      <c r="G67" t="s">
        <v>375</v>
      </c>
      <c r="H67" s="237" t="s">
        <v>680</v>
      </c>
      <c r="I67" t="s">
        <v>608</v>
      </c>
      <c r="J67" t="s">
        <v>253</v>
      </c>
      <c r="K67">
        <v>1</v>
      </c>
      <c r="L67">
        <v>7</v>
      </c>
      <c r="M67" t="s">
        <v>38</v>
      </c>
      <c r="N67">
        <v>1</v>
      </c>
      <c r="O67">
        <v>7</v>
      </c>
      <c r="P67">
        <v>1</v>
      </c>
      <c r="Q67" t="s">
        <v>45</v>
      </c>
      <c r="R67">
        <v>7</v>
      </c>
      <c r="S67" t="s">
        <v>697</v>
      </c>
      <c r="T67" t="s">
        <v>697</v>
      </c>
      <c r="U67" t="s">
        <v>697</v>
      </c>
      <c r="V67" t="s">
        <v>697</v>
      </c>
      <c r="W67" t="s">
        <v>697</v>
      </c>
      <c r="X67">
        <v>0</v>
      </c>
      <c r="Y67" t="s">
        <v>697</v>
      </c>
      <c r="Z67" t="s">
        <v>697</v>
      </c>
      <c r="AA67" t="s">
        <v>697</v>
      </c>
      <c r="AB67" t="s">
        <v>697</v>
      </c>
      <c r="AC67" t="s">
        <v>697</v>
      </c>
      <c r="AD67" t="s">
        <v>697</v>
      </c>
      <c r="AE67">
        <v>0</v>
      </c>
      <c r="AF67" t="s">
        <v>697</v>
      </c>
      <c r="AG67" t="s">
        <v>406</v>
      </c>
      <c r="AH67" t="s">
        <v>697</v>
      </c>
    </row>
    <row r="68" spans="1:34" ht="16.149999999999999" customHeight="1" x14ac:dyDescent="0.25">
      <c r="A68" t="s">
        <v>544</v>
      </c>
      <c r="B68" t="s">
        <v>560</v>
      </c>
      <c r="C68" t="s">
        <v>697</v>
      </c>
      <c r="D68" t="s">
        <v>604</v>
      </c>
      <c r="E68" t="s">
        <v>697</v>
      </c>
      <c r="F68" t="s">
        <v>318</v>
      </c>
      <c r="G68" t="s">
        <v>375</v>
      </c>
      <c r="H68" s="237" t="s">
        <v>586</v>
      </c>
      <c r="I68" t="s">
        <v>608</v>
      </c>
      <c r="J68" t="s">
        <v>323</v>
      </c>
      <c r="K68">
        <v>1</v>
      </c>
      <c r="L68">
        <v>1</v>
      </c>
      <c r="M68" t="s">
        <v>33</v>
      </c>
      <c r="N68">
        <v>1</v>
      </c>
      <c r="O68" t="s">
        <v>697</v>
      </c>
      <c r="P68">
        <v>0</v>
      </c>
      <c r="Q68" t="s">
        <v>45</v>
      </c>
      <c r="R68">
        <v>1</v>
      </c>
      <c r="S68" t="s">
        <v>697</v>
      </c>
      <c r="T68" t="s">
        <v>697</v>
      </c>
      <c r="U68" t="s">
        <v>697</v>
      </c>
      <c r="V68" t="s">
        <v>697</v>
      </c>
      <c r="W68" t="s">
        <v>697</v>
      </c>
      <c r="X68">
        <v>0</v>
      </c>
      <c r="Y68" t="s">
        <v>697</v>
      </c>
      <c r="Z68" t="s">
        <v>697</v>
      </c>
      <c r="AA68" t="s">
        <v>697</v>
      </c>
      <c r="AB68" t="s">
        <v>697</v>
      </c>
      <c r="AC68" t="s">
        <v>697</v>
      </c>
      <c r="AD68" t="s">
        <v>697</v>
      </c>
      <c r="AE68">
        <v>0</v>
      </c>
      <c r="AF68" t="s">
        <v>319</v>
      </c>
      <c r="AG68" t="s">
        <v>399</v>
      </c>
      <c r="AH68" t="s">
        <v>320</v>
      </c>
    </row>
    <row r="69" spans="1:34" ht="16.149999999999999" customHeight="1" x14ac:dyDescent="0.25">
      <c r="A69" t="s">
        <v>552</v>
      </c>
      <c r="B69" t="s">
        <v>566</v>
      </c>
      <c r="C69" t="s">
        <v>697</v>
      </c>
      <c r="D69" t="s">
        <v>604</v>
      </c>
      <c r="E69" t="s">
        <v>697</v>
      </c>
      <c r="F69" t="s">
        <v>321</v>
      </c>
      <c r="G69" t="s">
        <v>382</v>
      </c>
      <c r="H69" s="237" t="s">
        <v>322</v>
      </c>
      <c r="I69" t="s">
        <v>608</v>
      </c>
      <c r="J69" t="s">
        <v>323</v>
      </c>
      <c r="K69">
        <v>1</v>
      </c>
      <c r="L69">
        <v>1</v>
      </c>
      <c r="M69" t="s">
        <v>33</v>
      </c>
      <c r="N69">
        <v>1</v>
      </c>
      <c r="O69" t="s">
        <v>697</v>
      </c>
      <c r="P69">
        <v>0</v>
      </c>
      <c r="Q69" t="s">
        <v>45</v>
      </c>
      <c r="R69">
        <v>1</v>
      </c>
      <c r="S69" t="s">
        <v>697</v>
      </c>
      <c r="T69" t="s">
        <v>697</v>
      </c>
      <c r="U69" t="s">
        <v>697</v>
      </c>
      <c r="V69" t="s">
        <v>697</v>
      </c>
      <c r="W69" t="s">
        <v>697</v>
      </c>
      <c r="X69">
        <v>0</v>
      </c>
      <c r="Y69" t="s">
        <v>697</v>
      </c>
      <c r="Z69" t="s">
        <v>697</v>
      </c>
      <c r="AA69" t="s">
        <v>697</v>
      </c>
      <c r="AB69" t="s">
        <v>697</v>
      </c>
      <c r="AC69" t="s">
        <v>697</v>
      </c>
      <c r="AD69" t="s">
        <v>697</v>
      </c>
      <c r="AE69">
        <v>0</v>
      </c>
      <c r="AF69" t="s">
        <v>324</v>
      </c>
      <c r="AG69" t="s">
        <v>403</v>
      </c>
      <c r="AH69" t="s">
        <v>697</v>
      </c>
    </row>
    <row r="70" spans="1:34" ht="16.149999999999999" customHeight="1" x14ac:dyDescent="0.25">
      <c r="A70" t="s">
        <v>549</v>
      </c>
      <c r="B70" t="s">
        <v>564</v>
      </c>
      <c r="C70" t="s">
        <v>697</v>
      </c>
      <c r="D70" t="s">
        <v>276</v>
      </c>
      <c r="E70" t="s">
        <v>697</v>
      </c>
      <c r="F70" t="s">
        <v>325</v>
      </c>
      <c r="G70" t="s">
        <v>375</v>
      </c>
      <c r="H70" s="237" t="s">
        <v>326</v>
      </c>
      <c r="I70" t="s">
        <v>608</v>
      </c>
      <c r="J70" t="s">
        <v>702</v>
      </c>
      <c r="K70">
        <v>1</v>
      </c>
      <c r="L70">
        <v>1</v>
      </c>
      <c r="M70" t="s">
        <v>33</v>
      </c>
      <c r="N70">
        <v>1</v>
      </c>
      <c r="O70" t="s">
        <v>697</v>
      </c>
      <c r="P70">
        <v>0</v>
      </c>
      <c r="Q70" t="s">
        <v>45</v>
      </c>
      <c r="R70">
        <v>1</v>
      </c>
      <c r="S70" t="s">
        <v>697</v>
      </c>
      <c r="T70" t="s">
        <v>697</v>
      </c>
      <c r="U70" t="s">
        <v>697</v>
      </c>
      <c r="V70" t="s">
        <v>697</v>
      </c>
      <c r="W70" t="s">
        <v>697</v>
      </c>
      <c r="X70">
        <v>0</v>
      </c>
      <c r="Y70" t="s">
        <v>697</v>
      </c>
      <c r="Z70" t="s">
        <v>697</v>
      </c>
      <c r="AA70" t="s">
        <v>697</v>
      </c>
      <c r="AB70" t="s">
        <v>697</v>
      </c>
      <c r="AC70" t="s">
        <v>697</v>
      </c>
      <c r="AD70" t="s">
        <v>697</v>
      </c>
      <c r="AE70">
        <v>0</v>
      </c>
      <c r="AF70" t="s">
        <v>697</v>
      </c>
      <c r="AG70" t="s">
        <v>401</v>
      </c>
      <c r="AH70" t="s">
        <v>697</v>
      </c>
    </row>
    <row r="71" spans="1:34" ht="15" x14ac:dyDescent="0.25">
      <c r="A71" t="s">
        <v>557</v>
      </c>
      <c r="B71" t="s">
        <v>571</v>
      </c>
      <c r="C71" t="s">
        <v>697</v>
      </c>
      <c r="D71" t="s">
        <v>261</v>
      </c>
      <c r="E71" t="s">
        <v>697</v>
      </c>
      <c r="F71" t="s">
        <v>327</v>
      </c>
      <c r="G71" t="s">
        <v>375</v>
      </c>
      <c r="H71" s="237" t="s">
        <v>328</v>
      </c>
      <c r="I71" t="s">
        <v>608</v>
      </c>
      <c r="J71" t="s">
        <v>253</v>
      </c>
      <c r="K71">
        <v>1</v>
      </c>
      <c r="L71">
        <v>1</v>
      </c>
      <c r="M71" t="s">
        <v>33</v>
      </c>
      <c r="N71">
        <v>1</v>
      </c>
      <c r="O71">
        <v>1</v>
      </c>
      <c r="P71">
        <v>1</v>
      </c>
      <c r="Q71" t="s">
        <v>45</v>
      </c>
      <c r="R71">
        <v>1</v>
      </c>
      <c r="S71" t="s">
        <v>697</v>
      </c>
      <c r="T71" t="s">
        <v>697</v>
      </c>
      <c r="U71" t="s">
        <v>697</v>
      </c>
      <c r="V71" t="s">
        <v>697</v>
      </c>
      <c r="W71" t="s">
        <v>697</v>
      </c>
      <c r="X71">
        <v>0</v>
      </c>
      <c r="Y71" t="s">
        <v>697</v>
      </c>
      <c r="Z71" t="s">
        <v>697</v>
      </c>
      <c r="AA71" t="s">
        <v>697</v>
      </c>
      <c r="AB71" t="s">
        <v>697</v>
      </c>
      <c r="AC71" t="s">
        <v>697</v>
      </c>
      <c r="AD71" t="s">
        <v>697</v>
      </c>
      <c r="AE71">
        <v>0</v>
      </c>
      <c r="AF71" t="s">
        <v>697</v>
      </c>
      <c r="AG71" t="s">
        <v>406</v>
      </c>
      <c r="AH71" t="s">
        <v>697</v>
      </c>
    </row>
    <row r="72" spans="1:34" ht="15" x14ac:dyDescent="0.25">
      <c r="A72" t="s">
        <v>557</v>
      </c>
      <c r="B72" t="s">
        <v>571</v>
      </c>
      <c r="C72" t="s">
        <v>697</v>
      </c>
      <c r="D72" t="s">
        <v>261</v>
      </c>
      <c r="E72" t="s">
        <v>697</v>
      </c>
      <c r="F72" t="s">
        <v>329</v>
      </c>
      <c r="G72" t="s">
        <v>375</v>
      </c>
      <c r="H72" s="237" t="s">
        <v>330</v>
      </c>
      <c r="I72" t="s">
        <v>608</v>
      </c>
      <c r="J72" t="s">
        <v>253</v>
      </c>
      <c r="K72">
        <v>1</v>
      </c>
      <c r="L72">
        <v>1</v>
      </c>
      <c r="M72" t="s">
        <v>33</v>
      </c>
      <c r="N72">
        <v>1</v>
      </c>
      <c r="O72">
        <v>1</v>
      </c>
      <c r="P72">
        <v>1</v>
      </c>
      <c r="Q72" t="s">
        <v>45</v>
      </c>
      <c r="R72">
        <v>1</v>
      </c>
      <c r="S72" t="s">
        <v>697</v>
      </c>
      <c r="T72" t="s">
        <v>697</v>
      </c>
      <c r="U72" t="s">
        <v>697</v>
      </c>
      <c r="V72" t="s">
        <v>697</v>
      </c>
      <c r="W72" t="s">
        <v>697</v>
      </c>
      <c r="X72">
        <v>0</v>
      </c>
      <c r="Y72" t="s">
        <v>697</v>
      </c>
      <c r="Z72" t="s">
        <v>697</v>
      </c>
      <c r="AA72" t="s">
        <v>697</v>
      </c>
      <c r="AB72" t="s">
        <v>697</v>
      </c>
      <c r="AC72" t="s">
        <v>697</v>
      </c>
      <c r="AD72" t="s">
        <v>697</v>
      </c>
      <c r="AE72">
        <v>0</v>
      </c>
      <c r="AF72" t="s">
        <v>697</v>
      </c>
      <c r="AG72" t="s">
        <v>406</v>
      </c>
      <c r="AH72" t="s">
        <v>697</v>
      </c>
    </row>
    <row r="73" spans="1:34" ht="16.149999999999999" customHeight="1" x14ac:dyDescent="0.25">
      <c r="A73" t="s">
        <v>557</v>
      </c>
      <c r="B73" t="s">
        <v>571</v>
      </c>
      <c r="C73" t="s">
        <v>697</v>
      </c>
      <c r="D73" t="s">
        <v>603</v>
      </c>
      <c r="E73" t="s">
        <v>697</v>
      </c>
      <c r="F73" t="s">
        <v>331</v>
      </c>
      <c r="G73" t="s">
        <v>375</v>
      </c>
      <c r="H73" s="237" t="s">
        <v>332</v>
      </c>
      <c r="I73" t="s">
        <v>608</v>
      </c>
      <c r="J73" t="s">
        <v>253</v>
      </c>
      <c r="K73">
        <v>1</v>
      </c>
      <c r="L73">
        <v>1</v>
      </c>
      <c r="M73" t="s">
        <v>33</v>
      </c>
      <c r="N73">
        <v>1</v>
      </c>
      <c r="O73">
        <v>1</v>
      </c>
      <c r="P73">
        <v>1</v>
      </c>
      <c r="Q73" t="s">
        <v>45</v>
      </c>
      <c r="R73">
        <v>1</v>
      </c>
      <c r="S73" t="s">
        <v>697</v>
      </c>
      <c r="T73" t="s">
        <v>697</v>
      </c>
      <c r="U73" t="s">
        <v>697</v>
      </c>
      <c r="V73" t="s">
        <v>697</v>
      </c>
      <c r="W73" t="s">
        <v>697</v>
      </c>
      <c r="X73">
        <v>0</v>
      </c>
      <c r="Y73" t="s">
        <v>697</v>
      </c>
      <c r="Z73" t="s">
        <v>697</v>
      </c>
      <c r="AA73" t="s">
        <v>697</v>
      </c>
      <c r="AB73" t="s">
        <v>697</v>
      </c>
      <c r="AC73" t="s">
        <v>697</v>
      </c>
      <c r="AD73" t="s">
        <v>697</v>
      </c>
      <c r="AE73">
        <v>0</v>
      </c>
      <c r="AF73" t="s">
        <v>333</v>
      </c>
      <c r="AG73" t="s">
        <v>406</v>
      </c>
      <c r="AH73" t="s">
        <v>697</v>
      </c>
    </row>
    <row r="74" spans="1:34" ht="16.149999999999999" customHeight="1" x14ac:dyDescent="0.25">
      <c r="A74" t="s">
        <v>557</v>
      </c>
      <c r="B74" t="s">
        <v>571</v>
      </c>
      <c r="C74" t="s">
        <v>697</v>
      </c>
      <c r="D74" t="s">
        <v>603</v>
      </c>
      <c r="E74" t="s">
        <v>697</v>
      </c>
      <c r="F74" t="s">
        <v>334</v>
      </c>
      <c r="G74" t="s">
        <v>375</v>
      </c>
      <c r="H74" s="237" t="s">
        <v>335</v>
      </c>
      <c r="I74" t="s">
        <v>608</v>
      </c>
      <c r="J74" t="s">
        <v>253</v>
      </c>
      <c r="K74">
        <v>1</v>
      </c>
      <c r="L74">
        <v>1</v>
      </c>
      <c r="M74" t="s">
        <v>33</v>
      </c>
      <c r="N74">
        <v>1</v>
      </c>
      <c r="O74">
        <v>1</v>
      </c>
      <c r="P74">
        <v>1</v>
      </c>
      <c r="Q74" t="s">
        <v>45</v>
      </c>
      <c r="R74">
        <v>1</v>
      </c>
      <c r="S74" t="s">
        <v>697</v>
      </c>
      <c r="T74" t="s">
        <v>697</v>
      </c>
      <c r="U74" t="s">
        <v>697</v>
      </c>
      <c r="V74" t="s">
        <v>697</v>
      </c>
      <c r="W74" t="s">
        <v>697</v>
      </c>
      <c r="X74">
        <v>0</v>
      </c>
      <c r="Y74" t="s">
        <v>697</v>
      </c>
      <c r="Z74" t="s">
        <v>697</v>
      </c>
      <c r="AA74" t="s">
        <v>697</v>
      </c>
      <c r="AB74" t="s">
        <v>697</v>
      </c>
      <c r="AC74" t="s">
        <v>697</v>
      </c>
      <c r="AD74" t="s">
        <v>697</v>
      </c>
      <c r="AE74">
        <v>0</v>
      </c>
      <c r="AF74" t="s">
        <v>697</v>
      </c>
      <c r="AG74" t="s">
        <v>406</v>
      </c>
      <c r="AH74" t="s">
        <v>697</v>
      </c>
    </row>
    <row r="75" spans="1:34" ht="15" x14ac:dyDescent="0.25">
      <c r="A75" t="s">
        <v>557</v>
      </c>
      <c r="B75" t="s">
        <v>571</v>
      </c>
      <c r="C75" t="s">
        <v>697</v>
      </c>
      <c r="D75" t="s">
        <v>259</v>
      </c>
      <c r="E75" t="s">
        <v>697</v>
      </c>
      <c r="F75" t="s">
        <v>336</v>
      </c>
      <c r="G75" t="s">
        <v>375</v>
      </c>
      <c r="H75" s="237" t="s">
        <v>337</v>
      </c>
      <c r="I75" t="s">
        <v>608</v>
      </c>
      <c r="J75" t="s">
        <v>253</v>
      </c>
      <c r="K75">
        <v>1</v>
      </c>
      <c r="L75">
        <v>1</v>
      </c>
      <c r="M75" t="s">
        <v>33</v>
      </c>
      <c r="N75">
        <v>1</v>
      </c>
      <c r="O75">
        <v>1</v>
      </c>
      <c r="P75">
        <v>1</v>
      </c>
      <c r="Q75" t="s">
        <v>45</v>
      </c>
      <c r="R75">
        <v>1</v>
      </c>
      <c r="S75" t="s">
        <v>697</v>
      </c>
      <c r="T75" t="s">
        <v>697</v>
      </c>
      <c r="U75" t="s">
        <v>697</v>
      </c>
      <c r="V75" t="s">
        <v>697</v>
      </c>
      <c r="W75" t="s">
        <v>697</v>
      </c>
      <c r="X75">
        <v>0</v>
      </c>
      <c r="Y75" t="s">
        <v>697</v>
      </c>
      <c r="Z75" t="s">
        <v>697</v>
      </c>
      <c r="AA75" t="s">
        <v>697</v>
      </c>
      <c r="AB75" t="s">
        <v>697</v>
      </c>
      <c r="AC75" t="s">
        <v>697</v>
      </c>
      <c r="AD75" t="s">
        <v>697</v>
      </c>
      <c r="AE75">
        <v>0</v>
      </c>
      <c r="AF75" t="s">
        <v>697</v>
      </c>
      <c r="AG75" t="s">
        <v>406</v>
      </c>
      <c r="AH75" t="s">
        <v>697</v>
      </c>
    </row>
    <row r="76" spans="1:34" ht="15" x14ac:dyDescent="0.25">
      <c r="A76" t="s">
        <v>557</v>
      </c>
      <c r="B76" t="s">
        <v>571</v>
      </c>
      <c r="C76" t="s">
        <v>697</v>
      </c>
      <c r="D76" t="s">
        <v>259</v>
      </c>
      <c r="E76" t="s">
        <v>697</v>
      </c>
      <c r="F76" t="s">
        <v>338</v>
      </c>
      <c r="G76" t="s">
        <v>375</v>
      </c>
      <c r="H76" s="237" t="s">
        <v>681</v>
      </c>
      <c r="I76" t="s">
        <v>608</v>
      </c>
      <c r="J76" t="s">
        <v>253</v>
      </c>
      <c r="K76">
        <v>1</v>
      </c>
      <c r="L76">
        <v>3</v>
      </c>
      <c r="M76" t="s">
        <v>33</v>
      </c>
      <c r="N76">
        <v>1</v>
      </c>
      <c r="O76">
        <v>3</v>
      </c>
      <c r="P76">
        <v>1</v>
      </c>
      <c r="Q76" t="s">
        <v>45</v>
      </c>
      <c r="R76">
        <v>3</v>
      </c>
      <c r="S76" t="s">
        <v>697</v>
      </c>
      <c r="T76" t="s">
        <v>697</v>
      </c>
      <c r="U76" t="s">
        <v>697</v>
      </c>
      <c r="V76" t="s">
        <v>697</v>
      </c>
      <c r="W76" t="s">
        <v>697</v>
      </c>
      <c r="X76">
        <v>0</v>
      </c>
      <c r="Y76" t="s">
        <v>697</v>
      </c>
      <c r="Z76" t="s">
        <v>697</v>
      </c>
      <c r="AA76" t="s">
        <v>697</v>
      </c>
      <c r="AB76" t="s">
        <v>697</v>
      </c>
      <c r="AC76" t="s">
        <v>697</v>
      </c>
      <c r="AD76" t="s">
        <v>697</v>
      </c>
      <c r="AE76">
        <v>0</v>
      </c>
      <c r="AF76" t="s">
        <v>697</v>
      </c>
      <c r="AG76" t="s">
        <v>406</v>
      </c>
      <c r="AH76" t="s">
        <v>697</v>
      </c>
    </row>
    <row r="77" spans="1:34" ht="15" x14ac:dyDescent="0.25">
      <c r="A77" t="s">
        <v>557</v>
      </c>
      <c r="B77" t="s">
        <v>571</v>
      </c>
      <c r="C77" t="s">
        <v>697</v>
      </c>
      <c r="D77" t="s">
        <v>259</v>
      </c>
      <c r="E77" t="s">
        <v>697</v>
      </c>
      <c r="F77" t="s">
        <v>339</v>
      </c>
      <c r="G77" t="s">
        <v>375</v>
      </c>
      <c r="H77" s="237" t="s">
        <v>682</v>
      </c>
      <c r="I77" t="s">
        <v>608</v>
      </c>
      <c r="J77" t="s">
        <v>253</v>
      </c>
      <c r="K77">
        <v>1</v>
      </c>
      <c r="L77">
        <v>6</v>
      </c>
      <c r="M77" t="s">
        <v>33</v>
      </c>
      <c r="N77">
        <v>1</v>
      </c>
      <c r="O77">
        <v>6</v>
      </c>
      <c r="P77">
        <v>1</v>
      </c>
      <c r="Q77" t="s">
        <v>45</v>
      </c>
      <c r="R77">
        <v>6</v>
      </c>
      <c r="S77" t="s">
        <v>697</v>
      </c>
      <c r="T77" t="s">
        <v>697</v>
      </c>
      <c r="U77" t="s">
        <v>697</v>
      </c>
      <c r="V77" t="s">
        <v>697</v>
      </c>
      <c r="W77" t="s">
        <v>697</v>
      </c>
      <c r="X77">
        <v>0</v>
      </c>
      <c r="Y77" t="s">
        <v>697</v>
      </c>
      <c r="Z77" t="s">
        <v>697</v>
      </c>
      <c r="AA77" t="s">
        <v>697</v>
      </c>
      <c r="AB77" t="s">
        <v>697</v>
      </c>
      <c r="AC77" t="s">
        <v>697</v>
      </c>
      <c r="AD77" t="s">
        <v>697</v>
      </c>
      <c r="AE77">
        <v>0</v>
      </c>
      <c r="AF77" t="s">
        <v>697</v>
      </c>
      <c r="AG77" t="s">
        <v>406</v>
      </c>
      <c r="AH77" t="s">
        <v>697</v>
      </c>
    </row>
    <row r="78" spans="1:34" ht="15" x14ac:dyDescent="0.25">
      <c r="A78" t="s">
        <v>557</v>
      </c>
      <c r="B78" t="s">
        <v>571</v>
      </c>
      <c r="C78" t="s">
        <v>697</v>
      </c>
      <c r="D78" t="s">
        <v>259</v>
      </c>
      <c r="E78" t="s">
        <v>697</v>
      </c>
      <c r="F78" t="s">
        <v>340</v>
      </c>
      <c r="G78" t="s">
        <v>375</v>
      </c>
      <c r="H78" s="237" t="s">
        <v>683</v>
      </c>
      <c r="I78" t="s">
        <v>608</v>
      </c>
      <c r="J78" t="s">
        <v>253</v>
      </c>
      <c r="K78">
        <v>1</v>
      </c>
      <c r="L78">
        <v>10</v>
      </c>
      <c r="M78" t="s">
        <v>33</v>
      </c>
      <c r="N78">
        <v>1</v>
      </c>
      <c r="O78">
        <v>10</v>
      </c>
      <c r="P78">
        <v>1</v>
      </c>
      <c r="Q78" t="s">
        <v>45</v>
      </c>
      <c r="R78">
        <v>10</v>
      </c>
      <c r="S78" t="s">
        <v>697</v>
      </c>
      <c r="T78" t="s">
        <v>697</v>
      </c>
      <c r="U78" t="s">
        <v>697</v>
      </c>
      <c r="V78" t="s">
        <v>697</v>
      </c>
      <c r="W78" t="s">
        <v>697</v>
      </c>
      <c r="X78">
        <v>0</v>
      </c>
      <c r="Y78" t="s">
        <v>697</v>
      </c>
      <c r="Z78" t="s">
        <v>697</v>
      </c>
      <c r="AA78" t="s">
        <v>697</v>
      </c>
      <c r="AB78" t="s">
        <v>697</v>
      </c>
      <c r="AC78" t="s">
        <v>697</v>
      </c>
      <c r="AD78" t="s">
        <v>697</v>
      </c>
      <c r="AE78">
        <v>0</v>
      </c>
      <c r="AF78" t="s">
        <v>697</v>
      </c>
      <c r="AG78" t="s">
        <v>406</v>
      </c>
      <c r="AH78" t="s">
        <v>697</v>
      </c>
    </row>
    <row r="79" spans="1:34" ht="15" x14ac:dyDescent="0.25">
      <c r="A79" t="s">
        <v>557</v>
      </c>
      <c r="B79" t="s">
        <v>571</v>
      </c>
      <c r="C79" t="s">
        <v>697</v>
      </c>
      <c r="D79" t="s">
        <v>259</v>
      </c>
      <c r="E79" t="s">
        <v>697</v>
      </c>
      <c r="F79" t="s">
        <v>341</v>
      </c>
      <c r="G79" t="s">
        <v>375</v>
      </c>
      <c r="H79" s="237" t="s">
        <v>342</v>
      </c>
      <c r="I79" t="s">
        <v>608</v>
      </c>
      <c r="J79" t="s">
        <v>343</v>
      </c>
      <c r="K79">
        <v>1</v>
      </c>
      <c r="L79">
        <v>1</v>
      </c>
      <c r="M79" t="s">
        <v>33</v>
      </c>
      <c r="N79">
        <v>1</v>
      </c>
      <c r="O79" t="s">
        <v>697</v>
      </c>
      <c r="P79">
        <v>0</v>
      </c>
      <c r="Q79" t="s">
        <v>45</v>
      </c>
      <c r="R79">
        <v>1</v>
      </c>
      <c r="S79" t="s">
        <v>697</v>
      </c>
      <c r="T79" t="s">
        <v>697</v>
      </c>
      <c r="U79" t="s">
        <v>697</v>
      </c>
      <c r="V79" t="s">
        <v>697</v>
      </c>
      <c r="W79" t="s">
        <v>697</v>
      </c>
      <c r="X79">
        <v>0</v>
      </c>
      <c r="Y79" t="s">
        <v>697</v>
      </c>
      <c r="Z79" t="s">
        <v>697</v>
      </c>
      <c r="AA79" t="s">
        <v>697</v>
      </c>
      <c r="AB79" t="s">
        <v>697</v>
      </c>
      <c r="AC79" t="s">
        <v>697</v>
      </c>
      <c r="AD79" t="s">
        <v>697</v>
      </c>
      <c r="AE79">
        <v>0</v>
      </c>
      <c r="AF79" t="s">
        <v>697</v>
      </c>
      <c r="AG79" t="s">
        <v>406</v>
      </c>
      <c r="AH79" t="s">
        <v>697</v>
      </c>
    </row>
    <row r="80" spans="1:34" ht="15" x14ac:dyDescent="0.25">
      <c r="A80" t="s">
        <v>557</v>
      </c>
      <c r="B80" t="s">
        <v>571</v>
      </c>
      <c r="C80" t="s">
        <v>697</v>
      </c>
      <c r="D80" t="s">
        <v>259</v>
      </c>
      <c r="E80" t="s">
        <v>697</v>
      </c>
      <c r="F80" t="s">
        <v>341</v>
      </c>
      <c r="G80" t="s">
        <v>375</v>
      </c>
      <c r="H80" s="237" t="s">
        <v>344</v>
      </c>
      <c r="I80" t="s">
        <v>608</v>
      </c>
      <c r="J80" t="s">
        <v>343</v>
      </c>
      <c r="K80">
        <v>1</v>
      </c>
      <c r="L80">
        <v>1</v>
      </c>
      <c r="M80" t="s">
        <v>33</v>
      </c>
      <c r="N80">
        <v>1</v>
      </c>
      <c r="O80" t="s">
        <v>697</v>
      </c>
      <c r="P80">
        <v>0</v>
      </c>
      <c r="Q80" t="s">
        <v>45</v>
      </c>
      <c r="R80">
        <v>1</v>
      </c>
      <c r="S80" t="s">
        <v>697</v>
      </c>
      <c r="T80" t="s">
        <v>697</v>
      </c>
      <c r="U80" t="s">
        <v>697</v>
      </c>
      <c r="V80" t="s">
        <v>697</v>
      </c>
      <c r="W80" t="s">
        <v>697</v>
      </c>
      <c r="X80">
        <v>0</v>
      </c>
      <c r="Y80" t="s">
        <v>697</v>
      </c>
      <c r="Z80" t="s">
        <v>697</v>
      </c>
      <c r="AA80" t="s">
        <v>697</v>
      </c>
      <c r="AB80" t="s">
        <v>697</v>
      </c>
      <c r="AC80" t="s">
        <v>697</v>
      </c>
      <c r="AD80" t="s">
        <v>697</v>
      </c>
      <c r="AE80">
        <v>0</v>
      </c>
      <c r="AF80" t="s">
        <v>697</v>
      </c>
      <c r="AG80" t="s">
        <v>406</v>
      </c>
      <c r="AH80" t="s">
        <v>697</v>
      </c>
    </row>
    <row r="81" spans="1:34" ht="15" x14ac:dyDescent="0.25">
      <c r="A81" t="s">
        <v>543</v>
      </c>
      <c r="B81" t="s">
        <v>559</v>
      </c>
      <c r="C81" t="s">
        <v>697</v>
      </c>
      <c r="D81" t="s">
        <v>259</v>
      </c>
      <c r="E81" t="s">
        <v>697</v>
      </c>
      <c r="F81" t="s">
        <v>587</v>
      </c>
      <c r="G81" t="s">
        <v>375</v>
      </c>
      <c r="H81" s="237" t="s">
        <v>684</v>
      </c>
      <c r="I81" t="s">
        <v>608</v>
      </c>
      <c r="J81" t="s">
        <v>253</v>
      </c>
      <c r="K81">
        <v>1</v>
      </c>
      <c r="L81">
        <v>2</v>
      </c>
      <c r="M81" t="s">
        <v>354</v>
      </c>
      <c r="N81">
        <v>1</v>
      </c>
      <c r="O81" t="s">
        <v>697</v>
      </c>
      <c r="P81">
        <v>0</v>
      </c>
      <c r="Q81" t="s">
        <v>45</v>
      </c>
      <c r="R81">
        <v>2</v>
      </c>
      <c r="S81" t="s">
        <v>697</v>
      </c>
      <c r="T81" t="s">
        <v>697</v>
      </c>
      <c r="U81" t="s">
        <v>697</v>
      </c>
      <c r="V81" t="s">
        <v>697</v>
      </c>
      <c r="W81" t="s">
        <v>697</v>
      </c>
      <c r="X81">
        <v>0</v>
      </c>
      <c r="Y81" t="s">
        <v>697</v>
      </c>
      <c r="Z81" t="s">
        <v>697</v>
      </c>
      <c r="AA81" t="s">
        <v>697</v>
      </c>
      <c r="AB81" t="s">
        <v>697</v>
      </c>
      <c r="AC81" t="s">
        <v>697</v>
      </c>
      <c r="AD81" t="s">
        <v>697</v>
      </c>
      <c r="AE81">
        <v>0</v>
      </c>
      <c r="AF81" t="s">
        <v>697</v>
      </c>
      <c r="AG81" t="s">
        <v>398</v>
      </c>
      <c r="AH81" t="s">
        <v>697</v>
      </c>
    </row>
    <row r="82" spans="1:34" ht="27.75" customHeight="1" x14ac:dyDescent="0.25">
      <c r="A82" t="s">
        <v>558</v>
      </c>
      <c r="B82" t="s">
        <v>572</v>
      </c>
      <c r="C82" t="s">
        <v>697</v>
      </c>
      <c r="D82" t="s">
        <v>346</v>
      </c>
      <c r="E82" t="s">
        <v>697</v>
      </c>
      <c r="F82" t="s">
        <v>347</v>
      </c>
      <c r="G82" t="s">
        <v>375</v>
      </c>
      <c r="H82" s="237" t="s">
        <v>348</v>
      </c>
      <c r="I82" t="s">
        <v>608</v>
      </c>
      <c r="J82" t="s">
        <v>349</v>
      </c>
      <c r="K82">
        <v>1</v>
      </c>
      <c r="L82">
        <v>1</v>
      </c>
      <c r="M82" t="s">
        <v>38</v>
      </c>
      <c r="N82">
        <v>1</v>
      </c>
      <c r="O82">
        <v>1</v>
      </c>
      <c r="P82">
        <v>1</v>
      </c>
      <c r="Q82" t="s">
        <v>46</v>
      </c>
      <c r="R82">
        <v>1</v>
      </c>
      <c r="S82" t="s">
        <v>697</v>
      </c>
      <c r="T82" t="s">
        <v>697</v>
      </c>
      <c r="U82" t="s">
        <v>697</v>
      </c>
      <c r="V82" t="s">
        <v>697</v>
      </c>
      <c r="W82" t="s">
        <v>697</v>
      </c>
      <c r="X82">
        <v>0</v>
      </c>
      <c r="Y82" t="s">
        <v>697</v>
      </c>
      <c r="Z82" t="s">
        <v>697</v>
      </c>
      <c r="AA82" t="s">
        <v>697</v>
      </c>
      <c r="AB82" t="s">
        <v>697</v>
      </c>
      <c r="AC82" t="s">
        <v>697</v>
      </c>
      <c r="AD82" t="s">
        <v>697</v>
      </c>
      <c r="AE82">
        <v>0</v>
      </c>
      <c r="AF82" t="s">
        <v>697</v>
      </c>
      <c r="AG82" t="s">
        <v>406</v>
      </c>
      <c r="AH82" t="s">
        <v>697</v>
      </c>
    </row>
    <row r="83" spans="1:34" ht="16.149999999999999" customHeight="1" x14ac:dyDescent="0.25">
      <c r="A83" t="s">
        <v>549</v>
      </c>
      <c r="B83" t="s">
        <v>564</v>
      </c>
      <c r="C83" t="s">
        <v>697</v>
      </c>
      <c r="D83" t="s">
        <v>605</v>
      </c>
      <c r="E83" t="s">
        <v>697</v>
      </c>
      <c r="F83" t="s">
        <v>350</v>
      </c>
      <c r="G83" t="s">
        <v>375</v>
      </c>
      <c r="H83" s="237" t="s">
        <v>589</v>
      </c>
      <c r="I83" t="s">
        <v>608</v>
      </c>
      <c r="J83" t="s">
        <v>343</v>
      </c>
      <c r="K83">
        <v>1</v>
      </c>
      <c r="L83">
        <v>1</v>
      </c>
      <c r="M83" t="s">
        <v>38</v>
      </c>
      <c r="N83">
        <v>1</v>
      </c>
      <c r="O83" t="s">
        <v>697</v>
      </c>
      <c r="P83">
        <v>0</v>
      </c>
      <c r="Q83" t="s">
        <v>45</v>
      </c>
      <c r="R83">
        <v>1</v>
      </c>
      <c r="S83" t="s">
        <v>697</v>
      </c>
      <c r="T83" t="s">
        <v>697</v>
      </c>
      <c r="U83" t="s">
        <v>697</v>
      </c>
      <c r="V83" t="s">
        <v>697</v>
      </c>
      <c r="W83" t="s">
        <v>697</v>
      </c>
      <c r="X83" t="s">
        <v>697</v>
      </c>
      <c r="Y83" t="s">
        <v>697</v>
      </c>
      <c r="Z83" t="s">
        <v>697</v>
      </c>
      <c r="AA83" t="s">
        <v>697</v>
      </c>
      <c r="AB83" t="s">
        <v>697</v>
      </c>
      <c r="AC83" t="s">
        <v>697</v>
      </c>
      <c r="AD83" t="s">
        <v>697</v>
      </c>
      <c r="AE83">
        <v>0</v>
      </c>
      <c r="AF83" t="s">
        <v>697</v>
      </c>
      <c r="AG83" t="s">
        <v>401</v>
      </c>
      <c r="AH83" t="s">
        <v>697</v>
      </c>
    </row>
    <row r="84" spans="1:34" ht="16.149999999999999" customHeight="1" x14ac:dyDescent="0.25">
      <c r="A84" t="s">
        <v>540</v>
      </c>
      <c r="B84" t="s">
        <v>592</v>
      </c>
      <c r="C84" t="s">
        <v>697</v>
      </c>
      <c r="D84" t="s">
        <v>605</v>
      </c>
      <c r="E84" t="s">
        <v>697</v>
      </c>
      <c r="F84" t="s">
        <v>350</v>
      </c>
      <c r="G84" t="s">
        <v>375</v>
      </c>
      <c r="H84" s="237" t="s">
        <v>685</v>
      </c>
      <c r="I84" t="s">
        <v>608</v>
      </c>
      <c r="J84" t="s">
        <v>343</v>
      </c>
      <c r="K84">
        <v>1</v>
      </c>
      <c r="L84">
        <v>2</v>
      </c>
      <c r="M84" t="s">
        <v>33</v>
      </c>
      <c r="N84">
        <v>1</v>
      </c>
      <c r="O84" t="s">
        <v>697</v>
      </c>
      <c r="P84">
        <v>0</v>
      </c>
      <c r="Q84" t="s">
        <v>45</v>
      </c>
      <c r="R84">
        <v>2</v>
      </c>
      <c r="S84" t="s">
        <v>697</v>
      </c>
      <c r="T84" t="s">
        <v>697</v>
      </c>
      <c r="U84" t="s">
        <v>697</v>
      </c>
      <c r="V84" t="s">
        <v>697</v>
      </c>
      <c r="W84" t="s">
        <v>697</v>
      </c>
      <c r="X84" t="s">
        <v>697</v>
      </c>
      <c r="Y84" t="s">
        <v>697</v>
      </c>
      <c r="Z84" t="s">
        <v>697</v>
      </c>
      <c r="AA84" t="s">
        <v>697</v>
      </c>
      <c r="AB84" t="s">
        <v>697</v>
      </c>
      <c r="AC84" t="s">
        <v>697</v>
      </c>
      <c r="AD84" t="s">
        <v>697</v>
      </c>
      <c r="AE84">
        <v>0</v>
      </c>
      <c r="AF84" t="s">
        <v>697</v>
      </c>
      <c r="AG84" t="s">
        <v>394</v>
      </c>
      <c r="AH84" t="s">
        <v>697</v>
      </c>
    </row>
    <row r="85" spans="1:34" ht="16.149999999999999" customHeight="1" x14ac:dyDescent="0.25">
      <c r="A85" t="s">
        <v>551</v>
      </c>
      <c r="B85" t="s">
        <v>593</v>
      </c>
      <c r="C85" t="s">
        <v>697</v>
      </c>
      <c r="D85" t="s">
        <v>605</v>
      </c>
      <c r="E85" t="s">
        <v>697</v>
      </c>
      <c r="F85" t="s">
        <v>351</v>
      </c>
      <c r="G85" t="s">
        <v>375</v>
      </c>
      <c r="H85" s="237" t="s">
        <v>352</v>
      </c>
      <c r="I85" t="s">
        <v>608</v>
      </c>
      <c r="J85" t="s">
        <v>343</v>
      </c>
      <c r="K85">
        <v>1</v>
      </c>
      <c r="L85">
        <v>1</v>
      </c>
      <c r="M85" t="s">
        <v>33</v>
      </c>
      <c r="N85">
        <v>1</v>
      </c>
      <c r="O85" t="s">
        <v>697</v>
      </c>
      <c r="P85">
        <v>0</v>
      </c>
      <c r="Q85" t="s">
        <v>45</v>
      </c>
      <c r="R85">
        <v>1</v>
      </c>
      <c r="S85" t="s">
        <v>697</v>
      </c>
      <c r="T85" t="s">
        <v>697</v>
      </c>
      <c r="U85" t="s">
        <v>697</v>
      </c>
      <c r="V85" t="s">
        <v>697</v>
      </c>
      <c r="W85" t="s">
        <v>697</v>
      </c>
      <c r="X85" t="s">
        <v>697</v>
      </c>
      <c r="Y85" t="s">
        <v>697</v>
      </c>
      <c r="Z85" t="s">
        <v>697</v>
      </c>
      <c r="AA85" t="s">
        <v>697</v>
      </c>
      <c r="AB85" t="s">
        <v>697</v>
      </c>
      <c r="AC85" t="s">
        <v>697</v>
      </c>
      <c r="AD85" t="s">
        <v>697</v>
      </c>
      <c r="AE85">
        <v>0</v>
      </c>
      <c r="AF85" t="s">
        <v>697</v>
      </c>
      <c r="AG85" t="s">
        <v>394</v>
      </c>
      <c r="AH85" t="s">
        <v>697</v>
      </c>
    </row>
    <row r="86" spans="1:34" ht="16.149999999999999" customHeight="1" x14ac:dyDescent="0.25">
      <c r="A86" t="s">
        <v>548</v>
      </c>
      <c r="B86" t="s">
        <v>353</v>
      </c>
      <c r="C86" t="s">
        <v>697</v>
      </c>
      <c r="D86" t="s">
        <v>605</v>
      </c>
      <c r="E86" t="s">
        <v>697</v>
      </c>
      <c r="F86" t="s">
        <v>353</v>
      </c>
      <c r="G86" t="s">
        <v>375</v>
      </c>
      <c r="H86" s="237" t="s">
        <v>686</v>
      </c>
      <c r="I86" t="s">
        <v>608</v>
      </c>
      <c r="J86" t="s">
        <v>343</v>
      </c>
      <c r="K86">
        <v>1</v>
      </c>
      <c r="L86">
        <v>2</v>
      </c>
      <c r="M86" t="s">
        <v>38</v>
      </c>
      <c r="N86">
        <v>1</v>
      </c>
      <c r="O86" t="s">
        <v>697</v>
      </c>
      <c r="P86">
        <v>0</v>
      </c>
      <c r="Q86" t="s">
        <v>45</v>
      </c>
      <c r="R86">
        <v>2</v>
      </c>
      <c r="S86" t="s">
        <v>697</v>
      </c>
      <c r="T86" t="s">
        <v>697</v>
      </c>
      <c r="U86" t="s">
        <v>697</v>
      </c>
      <c r="V86" t="s">
        <v>697</v>
      </c>
      <c r="W86" t="s">
        <v>697</v>
      </c>
      <c r="X86" t="s">
        <v>697</v>
      </c>
      <c r="Y86" t="s">
        <v>697</v>
      </c>
      <c r="Z86" t="s">
        <v>697</v>
      </c>
      <c r="AA86" t="s">
        <v>697</v>
      </c>
      <c r="AB86" t="s">
        <v>697</v>
      </c>
      <c r="AC86" t="s">
        <v>697</v>
      </c>
      <c r="AD86" t="s">
        <v>697</v>
      </c>
      <c r="AE86">
        <v>0</v>
      </c>
      <c r="AF86" t="s">
        <v>697</v>
      </c>
      <c r="AG86" t="s">
        <v>397</v>
      </c>
      <c r="AH86" t="s">
        <v>697</v>
      </c>
    </row>
    <row r="87" spans="1:34" ht="16.149999999999999" customHeight="1" x14ac:dyDescent="0.25">
      <c r="A87" t="s">
        <v>550</v>
      </c>
      <c r="B87" t="s">
        <v>565</v>
      </c>
      <c r="C87" t="s">
        <v>697</v>
      </c>
      <c r="D87" t="s">
        <v>605</v>
      </c>
      <c r="E87" t="s">
        <v>697</v>
      </c>
      <c r="F87" t="s">
        <v>355</v>
      </c>
      <c r="G87" t="s">
        <v>375</v>
      </c>
      <c r="H87" s="237" t="s">
        <v>687</v>
      </c>
      <c r="I87" t="s">
        <v>608</v>
      </c>
      <c r="J87" t="s">
        <v>343</v>
      </c>
      <c r="K87">
        <v>1</v>
      </c>
      <c r="L87">
        <v>2</v>
      </c>
      <c r="M87" t="s">
        <v>38</v>
      </c>
      <c r="N87">
        <v>1</v>
      </c>
      <c r="O87" t="s">
        <v>697</v>
      </c>
      <c r="P87">
        <v>0</v>
      </c>
      <c r="Q87" t="s">
        <v>45</v>
      </c>
      <c r="R87">
        <v>2</v>
      </c>
      <c r="S87" t="s">
        <v>697</v>
      </c>
      <c r="T87" t="s">
        <v>697</v>
      </c>
      <c r="U87" t="s">
        <v>697</v>
      </c>
      <c r="V87" t="s">
        <v>697</v>
      </c>
      <c r="W87" t="s">
        <v>697</v>
      </c>
      <c r="X87" t="s">
        <v>697</v>
      </c>
      <c r="Y87" t="s">
        <v>697</v>
      </c>
      <c r="Z87" t="s">
        <v>697</v>
      </c>
      <c r="AA87" t="s">
        <v>697</v>
      </c>
      <c r="AB87" t="s">
        <v>697</v>
      </c>
      <c r="AC87" t="s">
        <v>697</v>
      </c>
      <c r="AD87" t="s">
        <v>697</v>
      </c>
      <c r="AE87">
        <v>0</v>
      </c>
      <c r="AF87" t="s">
        <v>697</v>
      </c>
      <c r="AG87" t="s">
        <v>402</v>
      </c>
      <c r="AH87" t="s">
        <v>697</v>
      </c>
    </row>
    <row r="88" spans="1:34" ht="16.149999999999999" customHeight="1" x14ac:dyDescent="0.25">
      <c r="A88" t="s">
        <v>553</v>
      </c>
      <c r="B88" t="s">
        <v>567</v>
      </c>
      <c r="C88" t="s">
        <v>697</v>
      </c>
      <c r="D88" t="s">
        <v>605</v>
      </c>
      <c r="E88" t="s">
        <v>697</v>
      </c>
      <c r="F88" t="s">
        <v>588</v>
      </c>
      <c r="G88" t="s">
        <v>382</v>
      </c>
      <c r="H88" s="237" t="s">
        <v>688</v>
      </c>
      <c r="I88" t="s">
        <v>608</v>
      </c>
      <c r="J88" t="s">
        <v>343</v>
      </c>
      <c r="K88">
        <v>1</v>
      </c>
      <c r="L88">
        <v>2</v>
      </c>
      <c r="M88" t="s">
        <v>33</v>
      </c>
      <c r="N88">
        <v>1</v>
      </c>
      <c r="O88" t="s">
        <v>697</v>
      </c>
      <c r="P88">
        <v>0</v>
      </c>
      <c r="Q88" t="s">
        <v>45</v>
      </c>
      <c r="R88">
        <v>2</v>
      </c>
      <c r="S88" t="s">
        <v>697</v>
      </c>
      <c r="T88" t="s">
        <v>697</v>
      </c>
      <c r="U88" t="s">
        <v>697</v>
      </c>
      <c r="V88" t="s">
        <v>697</v>
      </c>
      <c r="W88" t="s">
        <v>697</v>
      </c>
      <c r="X88" t="s">
        <v>697</v>
      </c>
      <c r="Y88" t="s">
        <v>697</v>
      </c>
      <c r="Z88" t="s">
        <v>697</v>
      </c>
      <c r="AA88" t="s">
        <v>697</v>
      </c>
      <c r="AB88" t="s">
        <v>697</v>
      </c>
      <c r="AC88" t="s">
        <v>697</v>
      </c>
      <c r="AD88" t="s">
        <v>697</v>
      </c>
      <c r="AE88">
        <v>0</v>
      </c>
      <c r="AF88" t="s">
        <v>697</v>
      </c>
      <c r="AG88" t="s">
        <v>404</v>
      </c>
      <c r="AH88" t="s">
        <v>697</v>
      </c>
    </row>
    <row r="89" spans="1:34" ht="15" x14ac:dyDescent="0.25">
      <c r="A89" t="s">
        <v>703</v>
      </c>
      <c r="B89" t="s">
        <v>357</v>
      </c>
      <c r="C89" t="s">
        <v>697</v>
      </c>
      <c r="D89" t="s">
        <v>358</v>
      </c>
      <c r="E89" t="s">
        <v>697</v>
      </c>
      <c r="F89" t="s">
        <v>359</v>
      </c>
      <c r="G89" t="s">
        <v>316</v>
      </c>
      <c r="H89" s="237" t="s">
        <v>689</v>
      </c>
      <c r="I89" t="s">
        <v>608</v>
      </c>
      <c r="J89" t="s">
        <v>253</v>
      </c>
      <c r="K89">
        <v>1</v>
      </c>
      <c r="L89">
        <v>8</v>
      </c>
      <c r="M89" t="s">
        <v>33</v>
      </c>
      <c r="N89">
        <v>1</v>
      </c>
      <c r="O89">
        <v>8</v>
      </c>
      <c r="P89">
        <v>1</v>
      </c>
      <c r="Q89" t="s">
        <v>45</v>
      </c>
      <c r="R89">
        <v>8</v>
      </c>
      <c r="S89" t="s">
        <v>697</v>
      </c>
      <c r="T89" t="s">
        <v>697</v>
      </c>
      <c r="U89" t="s">
        <v>697</v>
      </c>
      <c r="V89" t="s">
        <v>697</v>
      </c>
      <c r="W89" t="s">
        <v>697</v>
      </c>
      <c r="X89">
        <v>0</v>
      </c>
      <c r="Y89" t="s">
        <v>697</v>
      </c>
      <c r="Z89" t="s">
        <v>697</v>
      </c>
      <c r="AA89" t="s">
        <v>697</v>
      </c>
      <c r="AB89" t="s">
        <v>697</v>
      </c>
      <c r="AC89" t="s">
        <v>697</v>
      </c>
      <c r="AD89" t="s">
        <v>697</v>
      </c>
      <c r="AE89">
        <v>0</v>
      </c>
      <c r="AF89" t="s">
        <v>697</v>
      </c>
      <c r="AG89" t="s">
        <v>406</v>
      </c>
      <c r="AH89" t="s">
        <v>697</v>
      </c>
    </row>
    <row r="90" spans="1:34" ht="15" x14ac:dyDescent="0.25">
      <c r="A90" t="s">
        <v>703</v>
      </c>
      <c r="B90" t="s">
        <v>357</v>
      </c>
      <c r="C90" t="s">
        <v>697</v>
      </c>
      <c r="D90" t="s">
        <v>358</v>
      </c>
      <c r="E90" t="s">
        <v>697</v>
      </c>
      <c r="F90" t="s">
        <v>360</v>
      </c>
      <c r="G90" t="s">
        <v>316</v>
      </c>
      <c r="H90" s="237" t="s">
        <v>361</v>
      </c>
      <c r="I90" t="s">
        <v>608</v>
      </c>
      <c r="J90" t="s">
        <v>253</v>
      </c>
      <c r="K90">
        <v>1</v>
      </c>
      <c r="L90">
        <v>1</v>
      </c>
      <c r="M90" t="s">
        <v>33</v>
      </c>
      <c r="N90">
        <v>1</v>
      </c>
      <c r="O90">
        <v>1</v>
      </c>
      <c r="P90">
        <v>1</v>
      </c>
      <c r="Q90" t="s">
        <v>46</v>
      </c>
      <c r="R90">
        <v>1</v>
      </c>
      <c r="S90">
        <v>1</v>
      </c>
      <c r="T90">
        <v>1</v>
      </c>
      <c r="U90" t="s">
        <v>697</v>
      </c>
      <c r="V90" t="s">
        <v>697</v>
      </c>
      <c r="W90" t="s">
        <v>697</v>
      </c>
      <c r="X90">
        <v>1</v>
      </c>
      <c r="Y90" t="s">
        <v>697</v>
      </c>
      <c r="Z90" t="s">
        <v>697</v>
      </c>
      <c r="AA90" t="s">
        <v>697</v>
      </c>
      <c r="AB90" t="s">
        <v>697</v>
      </c>
      <c r="AC90" t="s">
        <v>697</v>
      </c>
      <c r="AD90" t="s">
        <v>697</v>
      </c>
      <c r="AE90">
        <v>0</v>
      </c>
      <c r="AF90" t="s">
        <v>697</v>
      </c>
      <c r="AG90" t="s">
        <v>406</v>
      </c>
      <c r="AH90" t="s">
        <v>697</v>
      </c>
    </row>
    <row r="91" spans="1:34" ht="15" x14ac:dyDescent="0.25">
      <c r="A91" t="s">
        <v>703</v>
      </c>
      <c r="B91" t="s">
        <v>357</v>
      </c>
      <c r="C91" t="s">
        <v>697</v>
      </c>
      <c r="D91" t="s">
        <v>358</v>
      </c>
      <c r="E91" t="s">
        <v>697</v>
      </c>
      <c r="F91" t="s">
        <v>362</v>
      </c>
      <c r="G91" t="s">
        <v>316</v>
      </c>
      <c r="H91" s="237" t="s">
        <v>690</v>
      </c>
      <c r="I91" t="s">
        <v>608</v>
      </c>
      <c r="J91" t="s">
        <v>253</v>
      </c>
      <c r="K91">
        <v>1</v>
      </c>
      <c r="L91">
        <v>3</v>
      </c>
      <c r="M91" t="s">
        <v>33</v>
      </c>
      <c r="N91">
        <v>1</v>
      </c>
      <c r="O91">
        <v>3</v>
      </c>
      <c r="P91">
        <v>1</v>
      </c>
      <c r="Q91" t="s">
        <v>46</v>
      </c>
      <c r="R91">
        <v>3</v>
      </c>
      <c r="S91" t="s">
        <v>697</v>
      </c>
      <c r="T91" t="s">
        <v>697</v>
      </c>
      <c r="U91" t="s">
        <v>697</v>
      </c>
      <c r="V91" t="s">
        <v>697</v>
      </c>
      <c r="W91" t="s">
        <v>697</v>
      </c>
      <c r="X91">
        <v>0</v>
      </c>
      <c r="Y91" t="s">
        <v>697</v>
      </c>
      <c r="Z91" t="s">
        <v>697</v>
      </c>
      <c r="AA91" t="s">
        <v>697</v>
      </c>
      <c r="AB91" t="s">
        <v>697</v>
      </c>
      <c r="AC91" t="s">
        <v>697</v>
      </c>
      <c r="AD91" t="s">
        <v>697</v>
      </c>
      <c r="AE91">
        <v>0</v>
      </c>
      <c r="AF91" t="s">
        <v>697</v>
      </c>
      <c r="AG91" t="s">
        <v>406</v>
      </c>
      <c r="AH91" t="s">
        <v>697</v>
      </c>
    </row>
    <row r="92" spans="1:34" ht="16.149999999999999" customHeight="1" x14ac:dyDescent="0.25">
      <c r="A92" t="s">
        <v>557</v>
      </c>
      <c r="B92" t="s">
        <v>571</v>
      </c>
      <c r="C92" t="s">
        <v>697</v>
      </c>
      <c r="D92" t="s">
        <v>252</v>
      </c>
      <c r="E92" t="s">
        <v>697</v>
      </c>
      <c r="F92" t="s">
        <v>610</v>
      </c>
      <c r="G92" t="s">
        <v>375</v>
      </c>
      <c r="H92" s="237" t="s">
        <v>704</v>
      </c>
      <c r="I92" t="s">
        <v>609</v>
      </c>
      <c r="J92" t="s">
        <v>697</v>
      </c>
      <c r="K92">
        <v>1</v>
      </c>
      <c r="L92">
        <v>8</v>
      </c>
      <c r="M92" t="s">
        <v>354</v>
      </c>
      <c r="N92">
        <v>1</v>
      </c>
      <c r="O92">
        <v>8</v>
      </c>
      <c r="P92">
        <v>1</v>
      </c>
      <c r="Q92" t="s">
        <v>45</v>
      </c>
      <c r="R92">
        <v>8</v>
      </c>
      <c r="S92" t="s">
        <v>697</v>
      </c>
      <c r="T92" t="s">
        <v>697</v>
      </c>
      <c r="U92" t="s">
        <v>697</v>
      </c>
      <c r="V92" t="s">
        <v>697</v>
      </c>
      <c r="W92" t="s">
        <v>697</v>
      </c>
      <c r="X92">
        <v>0</v>
      </c>
      <c r="Y92" t="s">
        <v>697</v>
      </c>
      <c r="Z92" t="s">
        <v>697</v>
      </c>
      <c r="AA92" t="s">
        <v>697</v>
      </c>
      <c r="AB92" t="s">
        <v>697</v>
      </c>
      <c r="AC92" t="s">
        <v>697</v>
      </c>
      <c r="AD92" t="s">
        <v>697</v>
      </c>
      <c r="AE92">
        <v>0</v>
      </c>
      <c r="AF92" t="s">
        <v>697</v>
      </c>
      <c r="AG92" t="s">
        <v>406</v>
      </c>
      <c r="AH92" t="s">
        <v>697</v>
      </c>
    </row>
    <row r="93" spans="1:34" ht="15" x14ac:dyDescent="0.25">
      <c r="A93" t="s">
        <v>557</v>
      </c>
      <c r="B93" t="s">
        <v>571</v>
      </c>
      <c r="C93" t="s">
        <v>697</v>
      </c>
      <c r="D93" t="s">
        <v>259</v>
      </c>
      <c r="E93" t="s">
        <v>697</v>
      </c>
      <c r="F93" t="s">
        <v>611</v>
      </c>
      <c r="G93" t="s">
        <v>375</v>
      </c>
      <c r="H93" s="237" t="s">
        <v>705</v>
      </c>
      <c r="I93" t="s">
        <v>609</v>
      </c>
      <c r="J93" t="s">
        <v>697</v>
      </c>
      <c r="K93">
        <v>1</v>
      </c>
      <c r="L93">
        <v>9</v>
      </c>
      <c r="M93" t="s">
        <v>354</v>
      </c>
      <c r="N93">
        <v>1</v>
      </c>
      <c r="O93">
        <v>9</v>
      </c>
      <c r="P93">
        <v>1</v>
      </c>
      <c r="Q93" t="s">
        <v>45</v>
      </c>
      <c r="R93">
        <v>9</v>
      </c>
      <c r="S93" t="s">
        <v>697</v>
      </c>
      <c r="T93" t="s">
        <v>697</v>
      </c>
      <c r="U93" t="s">
        <v>697</v>
      </c>
      <c r="V93" t="s">
        <v>697</v>
      </c>
      <c r="W93" t="s">
        <v>697</v>
      </c>
      <c r="X93">
        <v>0</v>
      </c>
      <c r="Y93" t="s">
        <v>697</v>
      </c>
      <c r="Z93" t="s">
        <v>697</v>
      </c>
      <c r="AA93" t="s">
        <v>697</v>
      </c>
      <c r="AB93" t="s">
        <v>697</v>
      </c>
      <c r="AC93" t="s">
        <v>697</v>
      </c>
      <c r="AD93" t="s">
        <v>697</v>
      </c>
      <c r="AE93">
        <v>0</v>
      </c>
      <c r="AF93" t="s">
        <v>697</v>
      </c>
      <c r="AG93" t="s">
        <v>406</v>
      </c>
      <c r="AH93" t="s">
        <v>697</v>
      </c>
    </row>
    <row r="94" spans="1:34" ht="15" x14ac:dyDescent="0.25">
      <c r="A94" t="s">
        <v>557</v>
      </c>
      <c r="B94" t="s">
        <v>571</v>
      </c>
      <c r="C94" t="s">
        <v>697</v>
      </c>
      <c r="D94" t="s">
        <v>261</v>
      </c>
      <c r="E94" t="s">
        <v>697</v>
      </c>
      <c r="F94" t="s">
        <v>600</v>
      </c>
      <c r="G94" t="s">
        <v>375</v>
      </c>
      <c r="H94" s="237" t="s">
        <v>616</v>
      </c>
      <c r="I94" t="s">
        <v>609</v>
      </c>
      <c r="J94" t="s">
        <v>697</v>
      </c>
      <c r="K94">
        <v>1</v>
      </c>
      <c r="L94">
        <v>1</v>
      </c>
      <c r="M94" t="s">
        <v>354</v>
      </c>
      <c r="N94">
        <v>1</v>
      </c>
      <c r="O94">
        <v>1</v>
      </c>
      <c r="P94">
        <v>1</v>
      </c>
      <c r="Q94" t="s">
        <v>46</v>
      </c>
      <c r="R94">
        <v>1</v>
      </c>
      <c r="S94" t="s">
        <v>697</v>
      </c>
      <c r="T94" t="s">
        <v>697</v>
      </c>
      <c r="U94" t="s">
        <v>697</v>
      </c>
      <c r="V94" t="s">
        <v>697</v>
      </c>
      <c r="W94" t="s">
        <v>697</v>
      </c>
      <c r="X94">
        <v>0</v>
      </c>
      <c r="Y94" t="s">
        <v>697</v>
      </c>
      <c r="Z94" t="s">
        <v>697</v>
      </c>
      <c r="AA94" t="s">
        <v>697</v>
      </c>
      <c r="AB94" t="s">
        <v>697</v>
      </c>
      <c r="AC94" t="s">
        <v>697</v>
      </c>
      <c r="AD94" t="s">
        <v>697</v>
      </c>
      <c r="AE94">
        <v>0</v>
      </c>
      <c r="AF94" t="s">
        <v>697</v>
      </c>
      <c r="AG94" t="s">
        <v>406</v>
      </c>
      <c r="AH94" t="s">
        <v>697</v>
      </c>
    </row>
    <row r="95" spans="1:34" ht="15" x14ac:dyDescent="0.25">
      <c r="A95" t="s">
        <v>547</v>
      </c>
      <c r="B95" t="s">
        <v>563</v>
      </c>
      <c r="C95" t="s">
        <v>697</v>
      </c>
      <c r="D95" t="s">
        <v>261</v>
      </c>
      <c r="E95" t="s">
        <v>697</v>
      </c>
      <c r="F95" t="s">
        <v>601</v>
      </c>
      <c r="G95" t="s">
        <v>375</v>
      </c>
      <c r="H95" s="237" t="s">
        <v>706</v>
      </c>
      <c r="I95" t="s">
        <v>609</v>
      </c>
      <c r="J95" t="s">
        <v>697</v>
      </c>
      <c r="K95">
        <v>1</v>
      </c>
      <c r="L95">
        <v>3</v>
      </c>
      <c r="M95" t="s">
        <v>354</v>
      </c>
      <c r="N95">
        <v>1</v>
      </c>
      <c r="O95">
        <v>3</v>
      </c>
      <c r="P95">
        <v>1</v>
      </c>
      <c r="Q95" t="s">
        <v>45</v>
      </c>
      <c r="R95">
        <v>3</v>
      </c>
      <c r="S95" t="s">
        <v>697</v>
      </c>
      <c r="T95" t="s">
        <v>697</v>
      </c>
      <c r="U95" t="s">
        <v>697</v>
      </c>
      <c r="V95" t="s">
        <v>697</v>
      </c>
      <c r="W95" t="s">
        <v>697</v>
      </c>
      <c r="X95">
        <v>0</v>
      </c>
      <c r="Y95" t="s">
        <v>697</v>
      </c>
      <c r="Z95" t="s">
        <v>697</v>
      </c>
      <c r="AA95" t="s">
        <v>697</v>
      </c>
      <c r="AB95" t="s">
        <v>697</v>
      </c>
      <c r="AC95" t="s">
        <v>697</v>
      </c>
      <c r="AD95" t="s">
        <v>697</v>
      </c>
      <c r="AE95">
        <v>0</v>
      </c>
      <c r="AF95" t="s">
        <v>697</v>
      </c>
      <c r="AG95" t="s">
        <v>398</v>
      </c>
      <c r="AH95" t="s">
        <v>697</v>
      </c>
    </row>
    <row r="96" spans="1:34" ht="15" x14ac:dyDescent="0.25">
      <c r="A96" t="s">
        <v>547</v>
      </c>
      <c r="B96" t="s">
        <v>563</v>
      </c>
      <c r="C96" t="s">
        <v>697</v>
      </c>
      <c r="D96" t="s">
        <v>261</v>
      </c>
      <c r="E96" t="s">
        <v>697</v>
      </c>
      <c r="F96" t="s">
        <v>602</v>
      </c>
      <c r="G96" t="s">
        <v>375</v>
      </c>
      <c r="H96" s="237" t="s">
        <v>707</v>
      </c>
      <c r="I96" t="s">
        <v>609</v>
      </c>
      <c r="J96" t="s">
        <v>697</v>
      </c>
      <c r="K96">
        <v>1</v>
      </c>
      <c r="L96">
        <v>3</v>
      </c>
      <c r="M96" t="s">
        <v>354</v>
      </c>
      <c r="N96">
        <v>1</v>
      </c>
      <c r="O96">
        <v>3</v>
      </c>
      <c r="P96">
        <v>1</v>
      </c>
      <c r="Q96" t="s">
        <v>45</v>
      </c>
      <c r="R96">
        <v>3</v>
      </c>
      <c r="S96" t="s">
        <v>697</v>
      </c>
      <c r="T96" t="s">
        <v>697</v>
      </c>
      <c r="U96" t="s">
        <v>697</v>
      </c>
      <c r="V96" t="s">
        <v>697</v>
      </c>
      <c r="W96" t="s">
        <v>697</v>
      </c>
      <c r="X96">
        <v>0</v>
      </c>
      <c r="Y96" t="s">
        <v>697</v>
      </c>
      <c r="Z96" t="s">
        <v>697</v>
      </c>
      <c r="AA96" t="s">
        <v>697</v>
      </c>
      <c r="AB96" t="s">
        <v>697</v>
      </c>
      <c r="AC96" t="s">
        <v>697</v>
      </c>
      <c r="AD96" t="s">
        <v>697</v>
      </c>
      <c r="AE96">
        <v>0</v>
      </c>
      <c r="AF96" t="s">
        <v>697</v>
      </c>
      <c r="AG96" t="s">
        <v>398</v>
      </c>
      <c r="AH96" t="s">
        <v>697</v>
      </c>
    </row>
    <row r="97" spans="1:34" ht="15" x14ac:dyDescent="0.25">
      <c r="A97" t="s">
        <v>557</v>
      </c>
      <c r="B97" t="s">
        <v>571</v>
      </c>
      <c r="C97" t="s">
        <v>697</v>
      </c>
      <c r="D97" t="s">
        <v>261</v>
      </c>
      <c r="E97" t="s">
        <v>697</v>
      </c>
      <c r="F97" t="s">
        <v>591</v>
      </c>
      <c r="G97" t="s">
        <v>375</v>
      </c>
      <c r="H97" s="237" t="s">
        <v>708</v>
      </c>
      <c r="I97" t="s">
        <v>609</v>
      </c>
      <c r="J97" t="s">
        <v>697</v>
      </c>
      <c r="K97">
        <v>1</v>
      </c>
      <c r="L97">
        <v>3</v>
      </c>
      <c r="M97" t="s">
        <v>354</v>
      </c>
      <c r="N97">
        <v>1</v>
      </c>
      <c r="O97">
        <v>3</v>
      </c>
      <c r="P97">
        <v>1</v>
      </c>
      <c r="Q97" t="s">
        <v>45</v>
      </c>
      <c r="R97">
        <v>3</v>
      </c>
      <c r="S97" t="s">
        <v>697</v>
      </c>
      <c r="T97" t="s">
        <v>697</v>
      </c>
      <c r="U97" t="s">
        <v>697</v>
      </c>
      <c r="V97" t="s">
        <v>697</v>
      </c>
      <c r="W97" t="s">
        <v>697</v>
      </c>
      <c r="X97">
        <v>0</v>
      </c>
      <c r="Y97" t="s">
        <v>697</v>
      </c>
      <c r="Z97" t="s">
        <v>697</v>
      </c>
      <c r="AA97" t="s">
        <v>697</v>
      </c>
      <c r="AB97" t="s">
        <v>697</v>
      </c>
      <c r="AC97" t="s">
        <v>697</v>
      </c>
      <c r="AD97" t="s">
        <v>697</v>
      </c>
      <c r="AE97">
        <v>0</v>
      </c>
      <c r="AF97" t="s">
        <v>697</v>
      </c>
      <c r="AG97" t="s">
        <v>406</v>
      </c>
      <c r="AH97" t="s">
        <v>697</v>
      </c>
    </row>
    <row r="98" spans="1:34" ht="15" x14ac:dyDescent="0.25">
      <c r="A98" t="s">
        <v>557</v>
      </c>
      <c r="B98" t="s">
        <v>571</v>
      </c>
      <c r="C98" t="s">
        <v>697</v>
      </c>
      <c r="D98" t="s">
        <v>252</v>
      </c>
      <c r="E98" t="s">
        <v>697</v>
      </c>
      <c r="F98" t="s">
        <v>285</v>
      </c>
      <c r="G98" t="s">
        <v>375</v>
      </c>
      <c r="H98" s="237" t="s">
        <v>619</v>
      </c>
      <c r="I98" t="s">
        <v>609</v>
      </c>
      <c r="J98" t="s">
        <v>697</v>
      </c>
      <c r="K98">
        <v>1</v>
      </c>
      <c r="L98">
        <v>1</v>
      </c>
      <c r="M98" t="s">
        <v>354</v>
      </c>
      <c r="N98">
        <v>1</v>
      </c>
      <c r="O98">
        <v>1</v>
      </c>
      <c r="P98">
        <v>1</v>
      </c>
      <c r="Q98" t="s">
        <v>45</v>
      </c>
      <c r="R98">
        <v>1</v>
      </c>
      <c r="S98" t="s">
        <v>697</v>
      </c>
      <c r="T98" t="s">
        <v>697</v>
      </c>
      <c r="U98" t="s">
        <v>697</v>
      </c>
      <c r="V98" t="s">
        <v>697</v>
      </c>
      <c r="W98" t="s">
        <v>697</v>
      </c>
      <c r="X98">
        <v>0</v>
      </c>
      <c r="Y98" t="s">
        <v>697</v>
      </c>
      <c r="Z98" t="s">
        <v>697</v>
      </c>
      <c r="AA98" t="s">
        <v>697</v>
      </c>
      <c r="AB98" t="s">
        <v>697</v>
      </c>
      <c r="AC98" t="s">
        <v>697</v>
      </c>
      <c r="AD98" t="s">
        <v>697</v>
      </c>
      <c r="AE98">
        <v>0</v>
      </c>
      <c r="AF98" t="s">
        <v>697</v>
      </c>
      <c r="AG98" t="s">
        <v>406</v>
      </c>
      <c r="AH98" t="s">
        <v>697</v>
      </c>
    </row>
    <row r="99" spans="1:34" ht="17.45" customHeight="1" x14ac:dyDescent="0.25">
      <c r="A99" t="s">
        <v>557</v>
      </c>
      <c r="B99" t="s">
        <v>571</v>
      </c>
      <c r="C99" t="s">
        <v>697</v>
      </c>
      <c r="D99" t="s">
        <v>252</v>
      </c>
      <c r="E99" t="s">
        <v>697</v>
      </c>
      <c r="F99" t="s">
        <v>303</v>
      </c>
      <c r="G99" t="s">
        <v>375</v>
      </c>
      <c r="H99" s="237" t="s">
        <v>618</v>
      </c>
      <c r="I99" t="s">
        <v>609</v>
      </c>
      <c r="J99" t="s">
        <v>697</v>
      </c>
      <c r="K99">
        <v>1</v>
      </c>
      <c r="L99">
        <v>1</v>
      </c>
      <c r="M99" t="s">
        <v>354</v>
      </c>
      <c r="N99">
        <v>1</v>
      </c>
      <c r="O99">
        <v>1</v>
      </c>
      <c r="P99">
        <v>1</v>
      </c>
      <c r="Q99" t="s">
        <v>46</v>
      </c>
      <c r="R99">
        <v>1</v>
      </c>
      <c r="S99" t="s">
        <v>697</v>
      </c>
      <c r="T99" t="s">
        <v>697</v>
      </c>
      <c r="U99" t="s">
        <v>697</v>
      </c>
      <c r="V99" t="s">
        <v>697</v>
      </c>
      <c r="W99" t="s">
        <v>697</v>
      </c>
      <c r="X99">
        <v>0</v>
      </c>
      <c r="Y99" t="s">
        <v>697</v>
      </c>
      <c r="Z99" t="s">
        <v>697</v>
      </c>
      <c r="AA99" t="s">
        <v>697</v>
      </c>
      <c r="AB99" t="s">
        <v>697</v>
      </c>
      <c r="AC99" t="s">
        <v>697</v>
      </c>
      <c r="AD99" t="s">
        <v>697</v>
      </c>
      <c r="AE99">
        <v>0</v>
      </c>
      <c r="AF99" t="s">
        <v>697</v>
      </c>
      <c r="AG99" t="s">
        <v>406</v>
      </c>
      <c r="AH99" t="s">
        <v>697</v>
      </c>
    </row>
    <row r="100" spans="1:34" ht="15" x14ac:dyDescent="0.25">
      <c r="A100" t="s">
        <v>557</v>
      </c>
      <c r="B100" t="s">
        <v>571</v>
      </c>
      <c r="C100" t="s">
        <v>697</v>
      </c>
      <c r="D100" t="s">
        <v>252</v>
      </c>
      <c r="E100" t="s">
        <v>697</v>
      </c>
      <c r="F100" t="s">
        <v>282</v>
      </c>
      <c r="G100" t="s">
        <v>375</v>
      </c>
      <c r="H100" s="237" t="s">
        <v>615</v>
      </c>
      <c r="I100" t="s">
        <v>609</v>
      </c>
      <c r="J100" t="s">
        <v>697</v>
      </c>
      <c r="K100">
        <v>1</v>
      </c>
      <c r="L100">
        <v>1</v>
      </c>
      <c r="M100" t="s">
        <v>354</v>
      </c>
      <c r="N100">
        <v>1</v>
      </c>
      <c r="O100">
        <v>1</v>
      </c>
      <c r="P100">
        <v>1</v>
      </c>
      <c r="Q100" t="s">
        <v>45</v>
      </c>
      <c r="R100">
        <v>1</v>
      </c>
      <c r="S100" t="s">
        <v>697</v>
      </c>
      <c r="T100" t="s">
        <v>697</v>
      </c>
      <c r="U100" t="s">
        <v>697</v>
      </c>
      <c r="V100" t="s">
        <v>697</v>
      </c>
      <c r="W100" t="s">
        <v>697</v>
      </c>
      <c r="X100">
        <v>0</v>
      </c>
      <c r="Y100" t="s">
        <v>697</v>
      </c>
      <c r="Z100" t="s">
        <v>697</v>
      </c>
      <c r="AA100" t="s">
        <v>697</v>
      </c>
      <c r="AB100" t="s">
        <v>697</v>
      </c>
      <c r="AC100" t="s">
        <v>697</v>
      </c>
      <c r="AD100" t="s">
        <v>697</v>
      </c>
      <c r="AE100">
        <v>0</v>
      </c>
      <c r="AF100" t="s">
        <v>697</v>
      </c>
      <c r="AG100" t="s">
        <v>406</v>
      </c>
      <c r="AH100" t="s">
        <v>697</v>
      </c>
    </row>
    <row r="101" spans="1:34" ht="16.149999999999999" customHeight="1" x14ac:dyDescent="0.25">
      <c r="A101" t="s">
        <v>549</v>
      </c>
      <c r="B101" t="s">
        <v>564</v>
      </c>
      <c r="C101" t="s">
        <v>697</v>
      </c>
      <c r="D101" t="s">
        <v>276</v>
      </c>
      <c r="E101" t="s">
        <v>697</v>
      </c>
      <c r="F101" t="s">
        <v>325</v>
      </c>
      <c r="G101" t="s">
        <v>375</v>
      </c>
      <c r="H101" s="237" t="s">
        <v>621</v>
      </c>
      <c r="I101" t="s">
        <v>609</v>
      </c>
      <c r="J101" t="s">
        <v>697</v>
      </c>
      <c r="K101">
        <v>1</v>
      </c>
      <c r="L101">
        <v>1</v>
      </c>
      <c r="M101" t="s">
        <v>354</v>
      </c>
      <c r="N101">
        <v>1</v>
      </c>
      <c r="O101">
        <v>1</v>
      </c>
      <c r="P101">
        <v>1</v>
      </c>
      <c r="Q101" t="s">
        <v>45</v>
      </c>
      <c r="R101">
        <v>1</v>
      </c>
      <c r="S101" t="s">
        <v>697</v>
      </c>
      <c r="T101" t="s">
        <v>697</v>
      </c>
      <c r="U101" t="s">
        <v>697</v>
      </c>
      <c r="V101" t="s">
        <v>697</v>
      </c>
      <c r="W101" t="s">
        <v>697</v>
      </c>
      <c r="X101">
        <v>0</v>
      </c>
      <c r="Y101" t="s">
        <v>697</v>
      </c>
      <c r="Z101" t="s">
        <v>697</v>
      </c>
      <c r="AA101" t="s">
        <v>697</v>
      </c>
      <c r="AB101" t="s">
        <v>697</v>
      </c>
      <c r="AC101" t="s">
        <v>697</v>
      </c>
      <c r="AD101" t="s">
        <v>697</v>
      </c>
      <c r="AE101">
        <v>0</v>
      </c>
      <c r="AF101" t="s">
        <v>697</v>
      </c>
      <c r="AG101" t="s">
        <v>401</v>
      </c>
      <c r="AH101" t="s">
        <v>697</v>
      </c>
    </row>
    <row r="102" spans="1:34" ht="16.149999999999999" customHeight="1" x14ac:dyDescent="0.25">
      <c r="A102" t="s">
        <v>549</v>
      </c>
      <c r="B102" t="s">
        <v>564</v>
      </c>
      <c r="C102" t="s">
        <v>697</v>
      </c>
      <c r="D102" t="s">
        <v>276</v>
      </c>
      <c r="E102" t="s">
        <v>697</v>
      </c>
      <c r="F102" t="s">
        <v>622</v>
      </c>
      <c r="G102" t="s">
        <v>375</v>
      </c>
      <c r="H102" s="237" t="s">
        <v>623</v>
      </c>
      <c r="I102" t="s">
        <v>609</v>
      </c>
      <c r="J102" t="s">
        <v>697</v>
      </c>
      <c r="K102">
        <v>1</v>
      </c>
      <c r="L102">
        <v>1</v>
      </c>
      <c r="M102" t="s">
        <v>354</v>
      </c>
      <c r="N102">
        <v>1</v>
      </c>
      <c r="O102">
        <v>1</v>
      </c>
      <c r="P102">
        <v>1</v>
      </c>
      <c r="Q102" t="s">
        <v>45</v>
      </c>
      <c r="R102">
        <v>1</v>
      </c>
      <c r="S102" t="s">
        <v>697</v>
      </c>
      <c r="T102" t="s">
        <v>697</v>
      </c>
      <c r="U102" t="s">
        <v>697</v>
      </c>
      <c r="V102" t="s">
        <v>697</v>
      </c>
      <c r="W102" t="s">
        <v>697</v>
      </c>
      <c r="X102">
        <v>0</v>
      </c>
      <c r="Y102" t="s">
        <v>697</v>
      </c>
      <c r="Z102" t="s">
        <v>697</v>
      </c>
      <c r="AA102" t="s">
        <v>697</v>
      </c>
      <c r="AB102" t="s">
        <v>697</v>
      </c>
      <c r="AC102" t="s">
        <v>697</v>
      </c>
      <c r="AD102" t="s">
        <v>697</v>
      </c>
      <c r="AE102">
        <v>0</v>
      </c>
      <c r="AF102" t="s">
        <v>697</v>
      </c>
      <c r="AG102" t="s">
        <v>401</v>
      </c>
      <c r="AH102" t="s">
        <v>697</v>
      </c>
    </row>
    <row r="103" spans="1:34" ht="16.149999999999999" customHeight="1" x14ac:dyDescent="0.25">
      <c r="A103" t="s">
        <v>544</v>
      </c>
      <c r="B103" t="s">
        <v>560</v>
      </c>
      <c r="C103" t="s">
        <v>697</v>
      </c>
      <c r="D103" t="s">
        <v>604</v>
      </c>
      <c r="E103" t="s">
        <v>697</v>
      </c>
      <c r="F103" t="s">
        <v>318</v>
      </c>
      <c r="G103" t="s">
        <v>375</v>
      </c>
      <c r="H103" s="237" t="s">
        <v>620</v>
      </c>
      <c r="I103" t="s">
        <v>609</v>
      </c>
      <c r="J103" t="s">
        <v>697</v>
      </c>
      <c r="K103">
        <v>1</v>
      </c>
      <c r="L103">
        <v>1</v>
      </c>
      <c r="M103" t="s">
        <v>354</v>
      </c>
      <c r="N103">
        <v>1</v>
      </c>
      <c r="O103" t="s">
        <v>697</v>
      </c>
      <c r="P103">
        <v>0</v>
      </c>
      <c r="Q103" t="s">
        <v>45</v>
      </c>
      <c r="R103">
        <v>1</v>
      </c>
      <c r="S103" t="s">
        <v>697</v>
      </c>
      <c r="T103" t="s">
        <v>697</v>
      </c>
      <c r="U103" t="s">
        <v>697</v>
      </c>
      <c r="V103" t="s">
        <v>697</v>
      </c>
      <c r="W103" t="s">
        <v>697</v>
      </c>
      <c r="X103">
        <v>0</v>
      </c>
      <c r="Y103" t="s">
        <v>697</v>
      </c>
      <c r="Z103" t="s">
        <v>697</v>
      </c>
      <c r="AA103" t="s">
        <v>697</v>
      </c>
      <c r="AB103" t="s">
        <v>697</v>
      </c>
      <c r="AC103" t="s">
        <v>697</v>
      </c>
      <c r="AD103" t="s">
        <v>697</v>
      </c>
      <c r="AE103">
        <v>0</v>
      </c>
      <c r="AF103" t="s">
        <v>697</v>
      </c>
      <c r="AG103" t="s">
        <v>399</v>
      </c>
      <c r="AH103" t="s">
        <v>697</v>
      </c>
    </row>
    <row r="104" spans="1:34" ht="16.149999999999999" customHeight="1" x14ac:dyDescent="0.25">
      <c r="A104" t="s">
        <v>552</v>
      </c>
      <c r="B104" t="s">
        <v>566</v>
      </c>
      <c r="C104" t="s">
        <v>697</v>
      </c>
      <c r="D104" t="s">
        <v>604</v>
      </c>
      <c r="E104" t="s">
        <v>697</v>
      </c>
      <c r="F104" t="s">
        <v>321</v>
      </c>
      <c r="G104" t="s">
        <v>382</v>
      </c>
      <c r="H104" s="237" t="s">
        <v>617</v>
      </c>
      <c r="I104" t="s">
        <v>609</v>
      </c>
      <c r="J104" t="s">
        <v>697</v>
      </c>
      <c r="K104">
        <v>1</v>
      </c>
      <c r="L104">
        <v>1</v>
      </c>
      <c r="M104" t="s">
        <v>354</v>
      </c>
      <c r="N104">
        <v>1</v>
      </c>
      <c r="O104">
        <v>1</v>
      </c>
      <c r="P104">
        <v>1</v>
      </c>
      <c r="Q104" t="s">
        <v>45</v>
      </c>
      <c r="R104">
        <v>1</v>
      </c>
      <c r="S104" t="s">
        <v>697</v>
      </c>
      <c r="T104" t="s">
        <v>697</v>
      </c>
      <c r="U104" t="s">
        <v>697</v>
      </c>
      <c r="V104" t="s">
        <v>697</v>
      </c>
      <c r="W104" t="s">
        <v>697</v>
      </c>
      <c r="X104">
        <v>0</v>
      </c>
      <c r="Y104" t="s">
        <v>697</v>
      </c>
      <c r="Z104" t="s">
        <v>697</v>
      </c>
      <c r="AA104" t="s">
        <v>697</v>
      </c>
      <c r="AB104" t="s">
        <v>697</v>
      </c>
      <c r="AC104" t="s">
        <v>697</v>
      </c>
      <c r="AD104" t="s">
        <v>697</v>
      </c>
      <c r="AE104">
        <v>0</v>
      </c>
      <c r="AF104" t="s">
        <v>697</v>
      </c>
      <c r="AG104" t="s">
        <v>403</v>
      </c>
      <c r="AH104" t="s">
        <v>697</v>
      </c>
    </row>
    <row r="105" spans="1:34" ht="16.149999999999999" customHeight="1" x14ac:dyDescent="0.25">
      <c r="A105" t="s">
        <v>541</v>
      </c>
      <c r="B105" t="s">
        <v>594</v>
      </c>
      <c r="C105" t="s">
        <v>697</v>
      </c>
      <c r="D105" t="s">
        <v>252</v>
      </c>
      <c r="E105" t="s">
        <v>697</v>
      </c>
      <c r="F105" t="s">
        <v>612</v>
      </c>
      <c r="G105" t="s">
        <v>375</v>
      </c>
      <c r="H105" s="237" t="s">
        <v>631</v>
      </c>
      <c r="I105" t="s">
        <v>609</v>
      </c>
      <c r="J105" t="s">
        <v>697</v>
      </c>
      <c r="K105">
        <v>1</v>
      </c>
      <c r="L105">
        <v>1</v>
      </c>
      <c r="M105" t="s">
        <v>354</v>
      </c>
      <c r="N105">
        <v>1</v>
      </c>
      <c r="O105" t="s">
        <v>697</v>
      </c>
      <c r="P105">
        <v>0</v>
      </c>
      <c r="Q105" t="s">
        <v>45</v>
      </c>
      <c r="R105">
        <v>1</v>
      </c>
      <c r="S105" t="s">
        <v>697</v>
      </c>
      <c r="T105" t="s">
        <v>697</v>
      </c>
      <c r="U105" t="s">
        <v>697</v>
      </c>
      <c r="V105" t="s">
        <v>697</v>
      </c>
      <c r="W105" t="s">
        <v>697</v>
      </c>
      <c r="X105">
        <v>0</v>
      </c>
      <c r="Y105" t="s">
        <v>697</v>
      </c>
      <c r="Z105" t="s">
        <v>697</v>
      </c>
      <c r="AA105" t="s">
        <v>697</v>
      </c>
      <c r="AB105" t="s">
        <v>697</v>
      </c>
      <c r="AC105" t="s">
        <v>697</v>
      </c>
      <c r="AD105" t="s">
        <v>697</v>
      </c>
      <c r="AE105">
        <v>0</v>
      </c>
      <c r="AF105" t="s">
        <v>697</v>
      </c>
      <c r="AG105" t="s">
        <v>697</v>
      </c>
      <c r="AH105" t="s">
        <v>697</v>
      </c>
    </row>
    <row r="106" spans="1:34" ht="15" x14ac:dyDescent="0.25">
      <c r="A106" t="s">
        <v>557</v>
      </c>
      <c r="B106" t="s">
        <v>571</v>
      </c>
      <c r="C106" t="s">
        <v>697</v>
      </c>
      <c r="D106" t="s">
        <v>259</v>
      </c>
      <c r="E106" t="s">
        <v>697</v>
      </c>
      <c r="F106" t="s">
        <v>613</v>
      </c>
      <c r="G106" t="s">
        <v>375</v>
      </c>
      <c r="H106" s="237" t="s">
        <v>625</v>
      </c>
      <c r="I106" t="s">
        <v>609</v>
      </c>
      <c r="J106" t="s">
        <v>697</v>
      </c>
      <c r="K106">
        <v>1</v>
      </c>
      <c r="L106">
        <v>1</v>
      </c>
      <c r="M106" t="s">
        <v>354</v>
      </c>
      <c r="N106">
        <v>1</v>
      </c>
      <c r="O106" t="s">
        <v>697</v>
      </c>
      <c r="P106">
        <v>0</v>
      </c>
      <c r="Q106" t="s">
        <v>45</v>
      </c>
      <c r="R106">
        <v>1</v>
      </c>
      <c r="S106" t="s">
        <v>697</v>
      </c>
      <c r="T106" t="s">
        <v>697</v>
      </c>
      <c r="U106" t="s">
        <v>697</v>
      </c>
      <c r="V106" t="s">
        <v>697</v>
      </c>
      <c r="W106" t="s">
        <v>697</v>
      </c>
      <c r="X106">
        <v>0</v>
      </c>
      <c r="Y106" t="s">
        <v>697</v>
      </c>
      <c r="Z106" t="s">
        <v>697</v>
      </c>
      <c r="AA106" t="s">
        <v>697</v>
      </c>
      <c r="AB106" t="s">
        <v>697</v>
      </c>
      <c r="AC106" t="s">
        <v>697</v>
      </c>
      <c r="AD106" t="s">
        <v>697</v>
      </c>
      <c r="AE106">
        <v>0</v>
      </c>
      <c r="AF106" t="s">
        <v>697</v>
      </c>
      <c r="AG106" t="s">
        <v>406</v>
      </c>
      <c r="AH106" t="s">
        <v>697</v>
      </c>
    </row>
    <row r="107" spans="1:34" ht="15" x14ac:dyDescent="0.25">
      <c r="A107" t="s">
        <v>557</v>
      </c>
      <c r="B107" t="s">
        <v>571</v>
      </c>
      <c r="C107" t="s">
        <v>697</v>
      </c>
      <c r="D107" t="s">
        <v>259</v>
      </c>
      <c r="E107" t="s">
        <v>697</v>
      </c>
      <c r="F107" t="s">
        <v>613</v>
      </c>
      <c r="G107" t="s">
        <v>375</v>
      </c>
      <c r="H107" s="237" t="s">
        <v>626</v>
      </c>
      <c r="I107" t="s">
        <v>609</v>
      </c>
      <c r="J107" t="s">
        <v>697</v>
      </c>
      <c r="K107">
        <v>1</v>
      </c>
      <c r="L107">
        <v>1</v>
      </c>
      <c r="M107" t="s">
        <v>354</v>
      </c>
      <c r="N107">
        <v>1</v>
      </c>
      <c r="O107" t="s">
        <v>697</v>
      </c>
      <c r="P107">
        <v>0</v>
      </c>
      <c r="Q107" t="s">
        <v>45</v>
      </c>
      <c r="R107">
        <v>1</v>
      </c>
      <c r="S107" t="s">
        <v>697</v>
      </c>
      <c r="T107" t="s">
        <v>697</v>
      </c>
      <c r="U107" t="s">
        <v>697</v>
      </c>
      <c r="V107" t="s">
        <v>697</v>
      </c>
      <c r="W107" t="s">
        <v>697</v>
      </c>
      <c r="X107">
        <v>0</v>
      </c>
      <c r="Y107" t="s">
        <v>697</v>
      </c>
      <c r="Z107" t="s">
        <v>697</v>
      </c>
      <c r="AA107" t="s">
        <v>697</v>
      </c>
      <c r="AB107" t="s">
        <v>697</v>
      </c>
      <c r="AC107" t="s">
        <v>697</v>
      </c>
      <c r="AD107" t="s">
        <v>697</v>
      </c>
      <c r="AE107">
        <v>0</v>
      </c>
      <c r="AF107" t="s">
        <v>697</v>
      </c>
      <c r="AG107" t="s">
        <v>406</v>
      </c>
      <c r="AH107" t="s">
        <v>697</v>
      </c>
    </row>
    <row r="108" spans="1:34" ht="15" x14ac:dyDescent="0.25">
      <c r="A108" t="s">
        <v>557</v>
      </c>
      <c r="B108" t="s">
        <v>571</v>
      </c>
      <c r="C108" t="s">
        <v>697</v>
      </c>
      <c r="D108" t="s">
        <v>259</v>
      </c>
      <c r="E108" t="s">
        <v>697</v>
      </c>
      <c r="F108" t="s">
        <v>613</v>
      </c>
      <c r="G108" t="s">
        <v>375</v>
      </c>
      <c r="H108" s="237" t="s">
        <v>627</v>
      </c>
      <c r="I108" t="s">
        <v>609</v>
      </c>
      <c r="J108" t="s">
        <v>697</v>
      </c>
      <c r="K108">
        <v>1</v>
      </c>
      <c r="L108">
        <v>1</v>
      </c>
      <c r="M108" t="s">
        <v>354</v>
      </c>
      <c r="N108">
        <v>1</v>
      </c>
      <c r="O108" t="s">
        <v>697</v>
      </c>
      <c r="P108">
        <v>0</v>
      </c>
      <c r="Q108" t="s">
        <v>45</v>
      </c>
      <c r="R108">
        <v>1</v>
      </c>
      <c r="S108" t="s">
        <v>697</v>
      </c>
      <c r="T108" t="s">
        <v>697</v>
      </c>
      <c r="U108" t="s">
        <v>697</v>
      </c>
      <c r="V108" t="s">
        <v>697</v>
      </c>
      <c r="W108" t="s">
        <v>697</v>
      </c>
      <c r="X108">
        <v>0</v>
      </c>
      <c r="Y108" t="s">
        <v>697</v>
      </c>
      <c r="Z108" t="s">
        <v>697</v>
      </c>
      <c r="AA108" t="s">
        <v>697</v>
      </c>
      <c r="AB108" t="s">
        <v>697</v>
      </c>
      <c r="AC108" t="s">
        <v>697</v>
      </c>
      <c r="AD108" t="s">
        <v>697</v>
      </c>
      <c r="AE108">
        <v>0</v>
      </c>
      <c r="AF108" t="s">
        <v>697</v>
      </c>
      <c r="AG108" t="s">
        <v>406</v>
      </c>
      <c r="AH108" t="s">
        <v>697</v>
      </c>
    </row>
    <row r="109" spans="1:34" ht="15" x14ac:dyDescent="0.25">
      <c r="A109" t="s">
        <v>557</v>
      </c>
      <c r="B109" t="s">
        <v>571</v>
      </c>
      <c r="C109" t="s">
        <v>697</v>
      </c>
      <c r="D109" t="s">
        <v>259</v>
      </c>
      <c r="E109" t="s">
        <v>697</v>
      </c>
      <c r="F109" t="s">
        <v>613</v>
      </c>
      <c r="G109" t="s">
        <v>375</v>
      </c>
      <c r="H109" s="237" t="s">
        <v>628</v>
      </c>
      <c r="I109" t="s">
        <v>609</v>
      </c>
      <c r="J109" t="s">
        <v>697</v>
      </c>
      <c r="K109">
        <v>1</v>
      </c>
      <c r="L109">
        <v>1</v>
      </c>
      <c r="M109" t="s">
        <v>354</v>
      </c>
      <c r="N109">
        <v>1</v>
      </c>
      <c r="O109">
        <v>1</v>
      </c>
      <c r="P109">
        <v>1</v>
      </c>
      <c r="Q109" t="s">
        <v>45</v>
      </c>
      <c r="R109">
        <v>1</v>
      </c>
      <c r="S109" t="s">
        <v>697</v>
      </c>
      <c r="T109" t="s">
        <v>697</v>
      </c>
      <c r="U109" t="s">
        <v>697</v>
      </c>
      <c r="V109" t="s">
        <v>697</v>
      </c>
      <c r="W109" t="s">
        <v>697</v>
      </c>
      <c r="X109">
        <v>0</v>
      </c>
      <c r="Y109" t="s">
        <v>697</v>
      </c>
      <c r="Z109" t="s">
        <v>697</v>
      </c>
      <c r="AA109" t="s">
        <v>697</v>
      </c>
      <c r="AB109" t="s">
        <v>697</v>
      </c>
      <c r="AC109" t="s">
        <v>697</v>
      </c>
      <c r="AD109" t="s">
        <v>697</v>
      </c>
      <c r="AE109">
        <v>0</v>
      </c>
      <c r="AF109" t="s">
        <v>697</v>
      </c>
      <c r="AG109" t="s">
        <v>406</v>
      </c>
      <c r="AH109" t="s">
        <v>697</v>
      </c>
    </row>
    <row r="110" spans="1:34" ht="16.149999999999999" customHeight="1" x14ac:dyDescent="0.25">
      <c r="A110" t="s">
        <v>549</v>
      </c>
      <c r="B110" t="s">
        <v>564</v>
      </c>
      <c r="C110" t="s">
        <v>697</v>
      </c>
      <c r="D110" t="s">
        <v>605</v>
      </c>
      <c r="E110" t="s">
        <v>697</v>
      </c>
      <c r="F110" t="s">
        <v>614</v>
      </c>
      <c r="G110" t="s">
        <v>375</v>
      </c>
      <c r="H110" s="237" t="s">
        <v>629</v>
      </c>
      <c r="I110" t="s">
        <v>609</v>
      </c>
      <c r="J110" t="s">
        <v>697</v>
      </c>
      <c r="K110">
        <v>1</v>
      </c>
      <c r="L110">
        <v>1</v>
      </c>
      <c r="M110" t="s">
        <v>354</v>
      </c>
      <c r="N110">
        <v>1</v>
      </c>
      <c r="O110" t="s">
        <v>697</v>
      </c>
      <c r="P110">
        <v>0</v>
      </c>
      <c r="Q110" t="s">
        <v>45</v>
      </c>
      <c r="R110">
        <v>1</v>
      </c>
      <c r="S110" t="s">
        <v>697</v>
      </c>
      <c r="T110" t="s">
        <v>697</v>
      </c>
      <c r="U110" t="s">
        <v>697</v>
      </c>
      <c r="V110" t="s">
        <v>697</v>
      </c>
      <c r="W110" t="s">
        <v>697</v>
      </c>
      <c r="X110" t="s">
        <v>697</v>
      </c>
      <c r="Y110" t="s">
        <v>697</v>
      </c>
      <c r="Z110" t="s">
        <v>697</v>
      </c>
      <c r="AA110" t="s">
        <v>697</v>
      </c>
      <c r="AB110" t="s">
        <v>697</v>
      </c>
      <c r="AC110" t="s">
        <v>697</v>
      </c>
      <c r="AD110" t="s">
        <v>697</v>
      </c>
      <c r="AE110">
        <v>0</v>
      </c>
      <c r="AF110" t="s">
        <v>697</v>
      </c>
      <c r="AG110" t="s">
        <v>401</v>
      </c>
      <c r="AH110" t="s">
        <v>697</v>
      </c>
    </row>
    <row r="111" spans="1:34" ht="15" x14ac:dyDescent="0.25">
      <c r="A111" t="s">
        <v>557</v>
      </c>
      <c r="B111" t="s">
        <v>571</v>
      </c>
      <c r="C111" t="s">
        <v>697</v>
      </c>
      <c r="D111" t="s">
        <v>259</v>
      </c>
      <c r="E111" t="s">
        <v>697</v>
      </c>
      <c r="F111" t="s">
        <v>341</v>
      </c>
      <c r="G111" t="s">
        <v>375</v>
      </c>
      <c r="H111" s="237" t="s">
        <v>630</v>
      </c>
      <c r="I111" t="s">
        <v>609</v>
      </c>
      <c r="J111" t="s">
        <v>697</v>
      </c>
      <c r="K111">
        <v>1</v>
      </c>
      <c r="L111">
        <v>1</v>
      </c>
      <c r="M111" t="s">
        <v>354</v>
      </c>
      <c r="N111">
        <v>1</v>
      </c>
      <c r="O111" t="s">
        <v>697</v>
      </c>
      <c r="P111">
        <v>0</v>
      </c>
      <c r="Q111" t="s">
        <v>45</v>
      </c>
      <c r="R111">
        <v>1</v>
      </c>
      <c r="S111" t="s">
        <v>697</v>
      </c>
      <c r="T111" t="s">
        <v>697</v>
      </c>
      <c r="U111" t="s">
        <v>697</v>
      </c>
      <c r="V111" t="s">
        <v>697</v>
      </c>
      <c r="W111" t="s">
        <v>697</v>
      </c>
      <c r="X111">
        <v>0</v>
      </c>
      <c r="Y111" t="s">
        <v>697</v>
      </c>
      <c r="Z111" t="s">
        <v>697</v>
      </c>
      <c r="AA111" t="s">
        <v>697</v>
      </c>
      <c r="AB111" t="s">
        <v>697</v>
      </c>
      <c r="AC111" t="s">
        <v>697</v>
      </c>
      <c r="AD111" t="s">
        <v>697</v>
      </c>
      <c r="AE111">
        <v>0</v>
      </c>
      <c r="AF111" t="s">
        <v>697</v>
      </c>
      <c r="AG111" t="s">
        <v>406</v>
      </c>
      <c r="AH111" t="s">
        <v>697</v>
      </c>
    </row>
    <row r="112" spans="1:34" ht="15" x14ac:dyDescent="0.25">
      <c r="A112" t="s">
        <v>703</v>
      </c>
      <c r="B112" t="s">
        <v>357</v>
      </c>
      <c r="C112" t="s">
        <v>697</v>
      </c>
      <c r="D112" t="s">
        <v>358</v>
      </c>
      <c r="E112" t="s">
        <v>697</v>
      </c>
      <c r="F112" t="s">
        <v>359</v>
      </c>
      <c r="G112" t="s">
        <v>316</v>
      </c>
      <c r="H112" s="237" t="s">
        <v>709</v>
      </c>
      <c r="I112" t="s">
        <v>609</v>
      </c>
      <c r="J112" t="s">
        <v>697</v>
      </c>
      <c r="K112">
        <v>1</v>
      </c>
      <c r="L112">
        <v>4</v>
      </c>
      <c r="M112" t="s">
        <v>354</v>
      </c>
      <c r="N112">
        <v>1</v>
      </c>
      <c r="O112">
        <v>4</v>
      </c>
      <c r="P112">
        <v>1</v>
      </c>
      <c r="Q112" t="s">
        <v>45</v>
      </c>
      <c r="R112">
        <v>4</v>
      </c>
      <c r="S112" t="s">
        <v>697</v>
      </c>
      <c r="T112" t="s">
        <v>697</v>
      </c>
      <c r="U112" t="s">
        <v>697</v>
      </c>
      <c r="V112" t="s">
        <v>697</v>
      </c>
      <c r="W112" t="s">
        <v>697</v>
      </c>
      <c r="X112">
        <v>0</v>
      </c>
      <c r="Y112" t="s">
        <v>697</v>
      </c>
      <c r="Z112" t="s">
        <v>697</v>
      </c>
      <c r="AA112" t="s">
        <v>697</v>
      </c>
      <c r="AB112" t="s">
        <v>697</v>
      </c>
      <c r="AC112" t="s">
        <v>697</v>
      </c>
      <c r="AD112" t="s">
        <v>697</v>
      </c>
      <c r="AE112">
        <v>0</v>
      </c>
      <c r="AF112" t="s">
        <v>697</v>
      </c>
      <c r="AG112" t="s">
        <v>406</v>
      </c>
      <c r="AH112" t="s">
        <v>697</v>
      </c>
    </row>
    <row r="113" spans="1:34" ht="15" x14ac:dyDescent="0.25">
      <c r="A113" t="s">
        <v>703</v>
      </c>
      <c r="B113" t="s">
        <v>357</v>
      </c>
      <c r="C113" t="s">
        <v>697</v>
      </c>
      <c r="D113" t="s">
        <v>358</v>
      </c>
      <c r="E113" t="s">
        <v>697</v>
      </c>
      <c r="F113" t="s">
        <v>360</v>
      </c>
      <c r="G113" t="s">
        <v>316</v>
      </c>
      <c r="H113" s="237" t="s">
        <v>624</v>
      </c>
      <c r="I113" t="s">
        <v>609</v>
      </c>
      <c r="J113" t="s">
        <v>697</v>
      </c>
      <c r="K113">
        <v>1</v>
      </c>
      <c r="L113">
        <v>1</v>
      </c>
      <c r="M113" t="s">
        <v>354</v>
      </c>
      <c r="N113">
        <v>1</v>
      </c>
      <c r="O113" t="s">
        <v>697</v>
      </c>
      <c r="P113">
        <v>0</v>
      </c>
      <c r="Q113" t="s">
        <v>46</v>
      </c>
      <c r="R113">
        <v>1</v>
      </c>
      <c r="S113" t="s">
        <v>697</v>
      </c>
      <c r="T113" t="s">
        <v>697</v>
      </c>
      <c r="U113" t="s">
        <v>697</v>
      </c>
      <c r="V113" t="s">
        <v>697</v>
      </c>
      <c r="W113" t="s">
        <v>697</v>
      </c>
      <c r="X113">
        <v>0</v>
      </c>
      <c r="Y113" t="s">
        <v>697</v>
      </c>
      <c r="Z113" t="s">
        <v>697</v>
      </c>
      <c r="AA113" t="s">
        <v>697</v>
      </c>
      <c r="AB113" t="s">
        <v>697</v>
      </c>
      <c r="AC113" t="s">
        <v>697</v>
      </c>
      <c r="AD113" t="s">
        <v>697</v>
      </c>
      <c r="AE113">
        <v>0</v>
      </c>
      <c r="AF113" t="s">
        <v>697</v>
      </c>
      <c r="AG113" t="s">
        <v>406</v>
      </c>
      <c r="AH113" t="s">
        <v>697</v>
      </c>
    </row>
    <row r="114" spans="1:34" ht="15.75" thickBot="1" x14ac:dyDescent="0.3">
      <c r="A114" s="334"/>
      <c r="B114" s="335"/>
      <c r="C114" s="335"/>
      <c r="D114" s="336"/>
      <c r="E114" s="335"/>
      <c r="F114" s="335"/>
      <c r="G114" s="336"/>
      <c r="H114" s="370"/>
      <c r="I114" s="370"/>
      <c r="J114" s="335"/>
      <c r="K114" s="335"/>
      <c r="L114" s="337"/>
      <c r="M114" s="470"/>
      <c r="N114" s="417"/>
      <c r="O114" s="402"/>
      <c r="P114" s="403"/>
      <c r="Q114" s="415"/>
      <c r="R114" s="338"/>
      <c r="S114" s="404"/>
      <c r="T114" s="405"/>
      <c r="U114" s="405"/>
      <c r="V114" s="405"/>
      <c r="W114" s="405"/>
      <c r="X114" s="406"/>
      <c r="Y114" s="416"/>
      <c r="Z114" s="407"/>
      <c r="AA114" s="408"/>
      <c r="AB114" s="408"/>
      <c r="AC114" s="408"/>
      <c r="AD114" s="408"/>
      <c r="AE114" s="409"/>
      <c r="AF114" s="339"/>
      <c r="AG114" s="339"/>
      <c r="AH114" s="340"/>
    </row>
    <row r="115" spans="1:34" ht="16.149999999999999" customHeight="1" x14ac:dyDescent="0.25">
      <c r="A115" s="526" t="s">
        <v>363</v>
      </c>
      <c r="B115" s="527"/>
      <c r="C115" s="527"/>
      <c r="D115" s="527"/>
      <c r="E115" s="527"/>
      <c r="F115" s="527"/>
      <c r="G115" s="527"/>
      <c r="H115" s="527"/>
      <c r="I115" s="527"/>
      <c r="J115" s="527"/>
      <c r="K115" s="527"/>
      <c r="L115" s="527"/>
      <c r="M115" s="527"/>
      <c r="N115" s="528"/>
      <c r="O115" s="528"/>
      <c r="P115" s="528"/>
      <c r="Q115" s="528"/>
      <c r="R115" s="528"/>
      <c r="S115" s="528"/>
      <c r="T115" s="528"/>
      <c r="U115" s="528"/>
      <c r="V115" s="528"/>
      <c r="W115" s="528"/>
      <c r="X115" s="528"/>
      <c r="Y115" s="528"/>
      <c r="Z115" s="528"/>
      <c r="AA115" s="528"/>
      <c r="AB115" s="528"/>
      <c r="AC115" s="528"/>
      <c r="AD115" s="528"/>
      <c r="AE115" s="528"/>
      <c r="AF115" s="528"/>
      <c r="AG115" s="528"/>
      <c r="AH115" s="529"/>
    </row>
    <row r="116" spans="1:34" ht="15.75" customHeight="1" thickBot="1" x14ac:dyDescent="0.3">
      <c r="A116" s="530"/>
      <c r="B116" s="531"/>
      <c r="C116" s="531"/>
      <c r="D116" s="531"/>
      <c r="E116" s="531"/>
      <c r="F116" s="531"/>
      <c r="G116" s="531"/>
      <c r="H116" s="531"/>
      <c r="I116" s="531"/>
      <c r="J116" s="531"/>
      <c r="K116" s="531"/>
      <c r="L116" s="531"/>
      <c r="M116" s="531"/>
      <c r="N116" s="531"/>
      <c r="O116" s="531"/>
      <c r="P116" s="531"/>
      <c r="Q116" s="531"/>
      <c r="R116" s="531"/>
      <c r="S116" s="531"/>
      <c r="T116" s="531"/>
      <c r="U116" s="531"/>
      <c r="V116" s="531"/>
      <c r="W116" s="531"/>
      <c r="X116" s="531"/>
      <c r="Y116" s="531"/>
      <c r="Z116" s="531"/>
      <c r="AA116" s="531"/>
      <c r="AB116" s="531"/>
      <c r="AC116" s="531"/>
      <c r="AD116" s="531"/>
      <c r="AE116" s="531"/>
      <c r="AF116" s="531"/>
      <c r="AG116" s="531"/>
      <c r="AH116" s="532"/>
    </row>
    <row r="117" spans="1:34" ht="19.5" customHeight="1" thickBot="1" x14ac:dyDescent="0.3">
      <c r="A117" s="536" t="s">
        <v>247</v>
      </c>
      <c r="B117" s="537"/>
      <c r="C117" s="537"/>
      <c r="D117" s="537"/>
      <c r="E117" s="537"/>
      <c r="F117" s="537"/>
      <c r="G117" s="537"/>
      <c r="H117" s="537"/>
      <c r="I117" s="537"/>
      <c r="J117" s="538"/>
      <c r="K117" s="346">
        <f>SUM(K6:K114)</f>
        <v>108</v>
      </c>
      <c r="L117" s="346">
        <f>SUM(L6:L114)</f>
        <v>1230</v>
      </c>
      <c r="M117" s="347"/>
      <c r="N117" s="393">
        <f>SUMPRODUCT(K6:K114,N6:N114)/K117</f>
        <v>1</v>
      </c>
      <c r="O117" s="394">
        <f>SUM(O6:O114)</f>
        <v>881</v>
      </c>
      <c r="P117" s="395">
        <f>SUMPRODUCT(L6:L114,P6:P114)/L117</f>
        <v>0.71626016260162606</v>
      </c>
      <c r="Q117" s="348"/>
      <c r="R117" s="349">
        <f t="shared" ref="R117:W117" si="1">SUM(R6:R114)</f>
        <v>1230</v>
      </c>
      <c r="S117" s="396">
        <f t="shared" si="1"/>
        <v>5</v>
      </c>
      <c r="T117" s="396">
        <f>SUM(T6:T114)</f>
        <v>5</v>
      </c>
      <c r="U117" s="349">
        <f t="shared" si="1"/>
        <v>0</v>
      </c>
      <c r="V117" s="349">
        <f t="shared" si="1"/>
        <v>0</v>
      </c>
      <c r="W117" s="349">
        <f t="shared" si="1"/>
        <v>0</v>
      </c>
      <c r="X117" s="397">
        <f>IF((S117=0),0,((T117+U117)/S117*100%))</f>
        <v>1</v>
      </c>
      <c r="Y117" s="350"/>
      <c r="Z117" s="410">
        <f>SUM(Z6:Z114)</f>
        <v>0</v>
      </c>
      <c r="AA117" s="401">
        <f>SUM(AA6:AA114)</f>
        <v>0</v>
      </c>
      <c r="AB117" s="401">
        <f>SUM(AB6:AB114)</f>
        <v>0</v>
      </c>
      <c r="AC117" s="401">
        <f>SUM(AC6:AC114)</f>
        <v>0</v>
      </c>
      <c r="AD117" s="401">
        <f>SUM(AD6:AD114)</f>
        <v>0</v>
      </c>
      <c r="AE117" s="400">
        <f>IF((Z117=0),0,((AA117+AB117)/Z117*100%))</f>
        <v>0</v>
      </c>
      <c r="AF117" s="351"/>
      <c r="AG117" s="351"/>
      <c r="AH117" s="352"/>
    </row>
    <row r="119" spans="1:34" ht="16.149999999999999" customHeight="1" x14ac:dyDescent="0.25">
      <c r="J119" s="443"/>
      <c r="L119" s="159" t="s">
        <v>364</v>
      </c>
    </row>
    <row r="120" spans="1:34" ht="16.149999999999999" customHeight="1" x14ac:dyDescent="0.25">
      <c r="J120" s="444"/>
    </row>
    <row r="121" spans="1:34" ht="16.149999999999999" customHeight="1" x14ac:dyDescent="0.25">
      <c r="J121" s="444"/>
    </row>
    <row r="122" spans="1:34" ht="16.149999999999999" customHeight="1" x14ac:dyDescent="0.25">
      <c r="J122" s="444"/>
    </row>
    <row r="123" spans="1:34" ht="16.149999999999999" customHeight="1" x14ac:dyDescent="0.25">
      <c r="J123" s="444"/>
    </row>
    <row r="124" spans="1:34" ht="16.149999999999999" customHeight="1" x14ac:dyDescent="0.25">
      <c r="J124" s="444"/>
    </row>
    <row r="125" spans="1:34" ht="16.149999999999999" customHeight="1" x14ac:dyDescent="0.25">
      <c r="J125" s="444"/>
    </row>
    <row r="126" spans="1:34" ht="16.149999999999999" customHeight="1" x14ac:dyDescent="0.25">
      <c r="J126" s="444"/>
    </row>
    <row r="127" spans="1:34" ht="16.149999999999999" customHeight="1" x14ac:dyDescent="0.25">
      <c r="J127" s="444"/>
    </row>
    <row r="128" spans="1:34" ht="16.149999999999999" customHeight="1" x14ac:dyDescent="0.25">
      <c r="J128" s="444"/>
    </row>
    <row r="129" spans="10:10" ht="16.149999999999999" customHeight="1" x14ac:dyDescent="0.25">
      <c r="J129" s="444"/>
    </row>
    <row r="130" spans="10:10" ht="16.149999999999999" customHeight="1" x14ac:dyDescent="0.25">
      <c r="J130" s="444"/>
    </row>
    <row r="131" spans="10:10" ht="16.149999999999999" customHeight="1" x14ac:dyDescent="0.25">
      <c r="J131" s="444"/>
    </row>
    <row r="132" spans="10:10" ht="16.149999999999999" customHeight="1" x14ac:dyDescent="0.25">
      <c r="J132" s="444"/>
    </row>
    <row r="133" spans="10:10" ht="16.149999999999999" customHeight="1" x14ac:dyDescent="0.25">
      <c r="J133" s="444"/>
    </row>
  </sheetData>
  <sheetProtection insertColumns="0" insertRows="0" deleteRows="0" sort="0"/>
  <autoFilter ref="A5:AH91" xr:uid="{00000000-0001-0000-0200-000000000000}"/>
  <mergeCells count="9">
    <mergeCell ref="A115:AH116"/>
    <mergeCell ref="A1:AH1"/>
    <mergeCell ref="A3:AH3"/>
    <mergeCell ref="A2:J2"/>
    <mergeCell ref="A117:J11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Q6:Q114</xm:sqref>
        </x14:dataValidation>
        <x14:dataValidation type="list" allowBlank="1" showInputMessage="1" showErrorMessage="1" xr:uid="{5513F172-4253-4807-A8CE-34D720193895}">
          <x14:formula1>
            <xm:f>'List Options'!$G$1:$G$3</xm:f>
          </x14:formula1>
          <xm:sqref>M6:M114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5"/>
  <sheetViews>
    <sheetView zoomScaleNormal="100" workbookViewId="0">
      <pane xSplit="1" ySplit="3" topLeftCell="B16" activePane="bottomRight" state="frozen"/>
      <selection pane="topRight" activeCell="B1" sqref="B1"/>
      <selection pane="bottomLeft" activeCell="A4" sqref="A4"/>
      <selection pane="bottomRight" activeCell="A33" sqref="A33"/>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51" t="s">
        <v>365</v>
      </c>
      <c r="B1" s="552"/>
      <c r="C1" s="552"/>
      <c r="D1" s="552"/>
      <c r="E1" s="552"/>
      <c r="F1" s="552"/>
      <c r="G1" s="552"/>
      <c r="H1" s="552"/>
      <c r="I1" s="552"/>
      <c r="J1" s="552"/>
      <c r="K1" s="552"/>
      <c r="L1" s="552"/>
      <c r="M1" s="552"/>
      <c r="N1" s="552"/>
      <c r="O1" s="552"/>
      <c r="P1" s="552"/>
      <c r="Q1" s="552"/>
      <c r="R1" s="552"/>
      <c r="S1" s="552"/>
      <c r="T1" s="552"/>
      <c r="U1" s="552"/>
      <c r="V1" s="553"/>
    </row>
    <row r="2" spans="1:22" ht="15.75" thickBot="1" x14ac:dyDescent="0.3">
      <c r="A2" s="204" t="s">
        <v>366</v>
      </c>
      <c r="B2" s="554" t="s">
        <v>161</v>
      </c>
      <c r="C2" s="554"/>
      <c r="D2" s="554"/>
      <c r="E2" s="554"/>
      <c r="F2" s="554"/>
      <c r="G2" s="555" t="s">
        <v>172</v>
      </c>
      <c r="H2" s="556"/>
      <c r="I2" s="556"/>
      <c r="J2" s="556"/>
      <c r="K2" s="556"/>
      <c r="L2" s="556"/>
      <c r="M2" s="556"/>
      <c r="N2" s="557"/>
      <c r="O2" s="558" t="s">
        <v>139</v>
      </c>
      <c r="P2" s="559"/>
      <c r="Q2" s="559"/>
      <c r="R2" s="559"/>
      <c r="S2" s="559"/>
      <c r="T2" s="559"/>
      <c r="U2" s="559"/>
      <c r="V2" s="560"/>
    </row>
    <row r="3" spans="1:22" s="237" customFormat="1" ht="15.75" thickBot="1" x14ac:dyDescent="0.3">
      <c r="A3" s="241" t="s">
        <v>83</v>
      </c>
      <c r="B3" s="298" t="s">
        <v>162</v>
      </c>
      <c r="C3" s="299" t="s">
        <v>123</v>
      </c>
      <c r="D3" s="300" t="s">
        <v>100</v>
      </c>
      <c r="E3" s="300" t="s">
        <v>168</v>
      </c>
      <c r="F3" s="301" t="s">
        <v>170</v>
      </c>
      <c r="G3" s="302" t="s">
        <v>127</v>
      </c>
      <c r="H3" s="303" t="s">
        <v>30</v>
      </c>
      <c r="I3" s="303" t="s">
        <v>130</v>
      </c>
      <c r="J3" s="303" t="s">
        <v>35</v>
      </c>
      <c r="K3" s="303" t="s">
        <v>133</v>
      </c>
      <c r="L3" s="303" t="s">
        <v>179</v>
      </c>
      <c r="M3" s="303" t="s">
        <v>135</v>
      </c>
      <c r="N3" s="304" t="s">
        <v>182</v>
      </c>
      <c r="O3" s="305" t="s">
        <v>127</v>
      </c>
      <c r="P3" s="306" t="s">
        <v>30</v>
      </c>
      <c r="Q3" s="306" t="s">
        <v>130</v>
      </c>
      <c r="R3" s="306" t="s">
        <v>35</v>
      </c>
      <c r="S3" s="306" t="s">
        <v>133</v>
      </c>
      <c r="T3" s="306" t="s">
        <v>179</v>
      </c>
      <c r="U3" s="306" t="s">
        <v>135</v>
      </c>
      <c r="V3" s="307" t="s">
        <v>182</v>
      </c>
    </row>
    <row r="4" spans="1:22" x14ac:dyDescent="0.25">
      <c r="A4" s="318" t="s">
        <v>252</v>
      </c>
      <c r="B4" s="238">
        <f>SUMIFS('Diags Raw Data'!$L$6:$L$4731,'Diags Raw Data'!$D$6:$D$4731,$A4)</f>
        <v>1047</v>
      </c>
      <c r="C4" s="228">
        <f>SUMIFS('Diags Raw Data'!$R$6:$R$4731,'Diags Raw Data'!$D$6:$D$4731,$A4)</f>
        <v>1047</v>
      </c>
      <c r="D4" s="228">
        <f>SUMIFS('Diags Raw Data'!$K$6:$K$4731,'Diags Raw Data'!$D$6:$D$4731,$A4)</f>
        <v>45</v>
      </c>
      <c r="E4" s="228">
        <f>SUMIFS('Diags Raw Data'!$O$6:$O$4731,'Diags Raw Data'!$D$6:$D$4731,$A4)</f>
        <v>756</v>
      </c>
      <c r="F4" s="234">
        <f>IF(NOT($B4=0), E4/$B4, "---")</f>
        <v>0.72206303724928367</v>
      </c>
      <c r="G4" s="206">
        <f>SUMIFS('Diags Raw Data'!$S$6:$S$4731,'Diags Raw Data'!$D$6:$D$4731,$A4)</f>
        <v>0</v>
      </c>
      <c r="H4" s="207">
        <f>SUMIFS('Diags Raw Data'!$T$6:$T$4731,'Diags Raw Data'!$D$6:$D$4731,$A4)</f>
        <v>0</v>
      </c>
      <c r="I4" s="209">
        <f>SUMIFS('Diags Raw Data'!$U$6:$U$4731,'Diags Raw Data'!$D$6:$D$4731,$A4)</f>
        <v>0</v>
      </c>
      <c r="J4" s="207">
        <f>SUMIFS('Diags Raw Data'!$V$6:$V$4731,'Diags Raw Data'!$D$6:$D$4731,$A4)</f>
        <v>0</v>
      </c>
      <c r="K4" s="209">
        <f>SUMIFS('Diags Raw Data'!$W$6:$W$4731,'Diags Raw Data'!$D$6:$D$4731,$A4)</f>
        <v>0</v>
      </c>
      <c r="L4" s="208">
        <f>IF(NOT($C4=0), G4/$C4, "---")</f>
        <v>0</v>
      </c>
      <c r="M4" s="210" t="str">
        <f>IF(NOT($G4=0), (H4+I4)/$G4, "---")</f>
        <v>---</v>
      </c>
      <c r="N4" s="212">
        <f>IF(NOT($C4=0), (H4+I4)/$C4, "---")</f>
        <v>0</v>
      </c>
      <c r="O4" s="199">
        <f>SUMIFS('Diags Raw Data'!$Z$6:$Z$4731,'Diags Raw Data'!$D$6:$D$4731,$A4)</f>
        <v>0</v>
      </c>
      <c r="P4" s="196">
        <f>SUMIFS('Diags Raw Data'!$AA$6:$AA$4731,'Diags Raw Data'!$D$6:$D$4731,$A4)</f>
        <v>0</v>
      </c>
      <c r="Q4" s="198">
        <f>SUMIFS('Diags Raw Data'!$AB$6:$AB$4731,'Diags Raw Data'!$D$6:$D$4731,$A4)</f>
        <v>0</v>
      </c>
      <c r="R4" s="196">
        <f>SUMIFS('Diags Raw Data'!$AC$6:$AC$4731,'Diags Raw Data'!$D$6:$D$4731,$A4)</f>
        <v>0</v>
      </c>
      <c r="S4" s="198">
        <f>SUMIFS('Diags Raw Data'!$AD$6:$AD$4731,'Diags Raw Data'!$D$6:$D$4731,$A4)</f>
        <v>0</v>
      </c>
      <c r="T4" s="197">
        <f>IF(NOT($B4=0), O4/$B4, "---")</f>
        <v>0</v>
      </c>
      <c r="U4" s="211" t="str">
        <f>IF(NOT($O4=0), (P4+Q4)/$O4, "---")</f>
        <v>---</v>
      </c>
      <c r="V4" s="227">
        <f>IF(NOT($B4=0), (P4+Q4)/$B4, "---")</f>
        <v>0</v>
      </c>
    </row>
    <row r="5" spans="1:22" x14ac:dyDescent="0.25">
      <c r="A5" s="318" t="s">
        <v>315</v>
      </c>
      <c r="B5" s="239">
        <f>SUMIFS('Diags Raw Data'!$L$6:$L$4731,'Diags Raw Data'!$D$6:$D$4731,$A5)</f>
        <v>0</v>
      </c>
      <c r="C5" s="229">
        <f>SUMIFS('Diags Raw Data'!$R$6:$R$4731,'Diags Raw Data'!$D$6:$D$4731,$A5)</f>
        <v>0</v>
      </c>
      <c r="D5" s="229">
        <f>SUMIFS('Diags Raw Data'!$K$6:$K$4731,'Diags Raw Data'!$D$6:$D$4731,$A5)</f>
        <v>0</v>
      </c>
      <c r="E5" s="229">
        <f>SUMIFS('Diags Raw Data'!$O$6:$O$4731,'Diags Raw Data'!$D$6:$D$4731,$A5)</f>
        <v>0</v>
      </c>
      <c r="F5" s="235" t="str">
        <f t="shared" ref="F5:F11" si="0">IF(NOT($B5=0), E5/$B5, "---")</f>
        <v>---</v>
      </c>
      <c r="G5" s="217">
        <f>SUMIFS('Diags Raw Data'!$S$6:$S$4731,'Diags Raw Data'!$D$6:$D$4731,$A5)</f>
        <v>0</v>
      </c>
      <c r="H5" s="213">
        <f>SUMIFS('Diags Raw Data'!$T$6:$T$4731,'Diags Raw Data'!$D$6:$D$4731,$A5)</f>
        <v>0</v>
      </c>
      <c r="I5" s="214">
        <f>SUMIFS('Diags Raw Data'!$U$6:$U$4731,'Diags Raw Data'!$D$6:$D$4731,$A5)</f>
        <v>0</v>
      </c>
      <c r="J5" s="213">
        <f>SUMIFS('Diags Raw Data'!$V$6:$V$4731,'Diags Raw Data'!$D$6:$D$4731,$A5)</f>
        <v>0</v>
      </c>
      <c r="K5" s="214">
        <f>SUMIFS('Diags Raw Data'!$W$6:$W$4731,'Diags Raw Data'!$D$6:$D$4731,$A5)</f>
        <v>0</v>
      </c>
      <c r="L5" s="230" t="str">
        <f t="shared" ref="L5:L12" si="1">IF(NOT($C5=0), G5/$C5, "---")</f>
        <v>---</v>
      </c>
      <c r="M5" s="215" t="str">
        <f t="shared" ref="M5:M12" si="2">IF(NOT($G5=0), (H5+I5)/$G5, "---")</f>
        <v>---</v>
      </c>
      <c r="N5" s="224" t="str">
        <f t="shared" ref="N5:N11" si="3">IF(NOT($C5=0), (H5+I5)/$C5, "---")</f>
        <v>---</v>
      </c>
      <c r="O5" s="200">
        <f>SUMIFS('Diags Raw Data'!$Z$6:$Z$4731,'Diags Raw Data'!$D$6:$D$4731,$A5)</f>
        <v>0</v>
      </c>
      <c r="P5" s="190">
        <f>SUMIFS('Diags Raw Data'!$AA$6:$AA$4731,'Diags Raw Data'!$D$6:$D$4731,$A5)</f>
        <v>0</v>
      </c>
      <c r="Q5" s="192">
        <f>SUMIFS('Diags Raw Data'!$AB$6:$AB$4731,'Diags Raw Data'!$D$6:$D$4731,$A5)</f>
        <v>0</v>
      </c>
      <c r="R5" s="190">
        <f>SUMIFS('Diags Raw Data'!$AC$6:$AC$4731,'Diags Raw Data'!$D$6:$D$4731,$A5)</f>
        <v>0</v>
      </c>
      <c r="S5" s="192">
        <f>SUMIFS('Diags Raw Data'!$AD$6:$AD$4731,'Diags Raw Data'!$D$6:$D$4731,$A5)</f>
        <v>0</v>
      </c>
      <c r="T5" s="191" t="str">
        <f t="shared" ref="T5:T12" si="4">IF(NOT($B5=0), O5/$B5, "---")</f>
        <v>---</v>
      </c>
      <c r="U5" s="216" t="str">
        <f t="shared" ref="U5:U6" si="5">IF(NOT($O5=0), (P5+Q5)/$O5, "---")</f>
        <v>---</v>
      </c>
      <c r="V5" s="218" t="str">
        <f t="shared" ref="V5:V12" si="6">IF(NOT($B5=0), (P5+Q5)/$B5, "---")</f>
        <v>---</v>
      </c>
    </row>
    <row r="6" spans="1:22" x14ac:dyDescent="0.25">
      <c r="A6" s="318" t="s">
        <v>261</v>
      </c>
      <c r="B6" s="239">
        <f>SUMIFS('Diags Raw Data'!$L$6:$L$4731,'Diags Raw Data'!$D$6:$D$4731,$A6)</f>
        <v>22</v>
      </c>
      <c r="C6" s="229">
        <f>SUMIFS('Diags Raw Data'!$R$6:$R$4731,'Diags Raw Data'!$D$6:$D$4731,$A6)</f>
        <v>22</v>
      </c>
      <c r="D6" s="229">
        <f>SUMIFS('Diags Raw Data'!$K$6:$K$4731,'Diags Raw Data'!$D$6:$D$4731,$A6)</f>
        <v>12</v>
      </c>
      <c r="E6" s="229">
        <f>SUMIFS('Diags Raw Data'!$O$6:$O$4731,'Diags Raw Data'!$D$6:$D$4731,$A6)</f>
        <v>22</v>
      </c>
      <c r="F6" s="235">
        <f t="shared" si="0"/>
        <v>1</v>
      </c>
      <c r="G6" s="217">
        <f>SUMIFS('Diags Raw Data'!$S$6:$S$4731,'Diags Raw Data'!$D$6:$D$4731,$A6)</f>
        <v>4</v>
      </c>
      <c r="H6" s="213">
        <f>SUMIFS('Diags Raw Data'!$T$6:$T$4731,'Diags Raw Data'!$D$6:$D$4731,$A6)</f>
        <v>4</v>
      </c>
      <c r="I6" s="214">
        <f>SUMIFS('Diags Raw Data'!$U$6:$U$4731,'Diags Raw Data'!$D$6:$D$4731,$A6)</f>
        <v>0</v>
      </c>
      <c r="J6" s="213">
        <f>SUMIFS('Diags Raw Data'!$V$6:$V$4731,'Diags Raw Data'!$D$6:$D$4731,$A6)</f>
        <v>0</v>
      </c>
      <c r="K6" s="214">
        <f>SUMIFS('Diags Raw Data'!$W$6:$W$4731,'Diags Raw Data'!$D$6:$D$4731,$A6)</f>
        <v>0</v>
      </c>
      <c r="L6" s="230">
        <f t="shared" si="1"/>
        <v>0.18181818181818182</v>
      </c>
      <c r="M6" s="215">
        <f t="shared" si="2"/>
        <v>1</v>
      </c>
      <c r="N6" s="224">
        <f t="shared" si="3"/>
        <v>0.18181818181818182</v>
      </c>
      <c r="O6" s="200">
        <f>SUMIFS('Diags Raw Data'!$Z$6:$Z$4731,'Diags Raw Data'!$D$6:$D$4731,$A6)</f>
        <v>0</v>
      </c>
      <c r="P6" s="190">
        <f>SUMIFS('Diags Raw Data'!$AA$6:$AA$4731,'Diags Raw Data'!$D$6:$D$4731,$A6)</f>
        <v>0</v>
      </c>
      <c r="Q6" s="192">
        <f>SUMIFS('Diags Raw Data'!$AB$6:$AB$4731,'Diags Raw Data'!$D$6:$D$4731,$A6)</f>
        <v>0</v>
      </c>
      <c r="R6" s="190">
        <f>SUMIFS('Diags Raw Data'!$AC$6:$AC$4731,'Diags Raw Data'!$D$6:$D$4731,$A6)</f>
        <v>0</v>
      </c>
      <c r="S6" s="192">
        <f>SUMIFS('Diags Raw Data'!$AD$6:$AD$4731,'Diags Raw Data'!$D$6:$D$4731,$A6)</f>
        <v>0</v>
      </c>
      <c r="T6" s="191">
        <f t="shared" si="4"/>
        <v>0</v>
      </c>
      <c r="U6" s="216" t="str">
        <f t="shared" si="5"/>
        <v>---</v>
      </c>
      <c r="V6" s="218">
        <f t="shared" si="6"/>
        <v>0</v>
      </c>
    </row>
    <row r="7" spans="1:22" x14ac:dyDescent="0.25">
      <c r="A7" s="318" t="s">
        <v>358</v>
      </c>
      <c r="B7" s="239">
        <f>SUMIFS('Diags Raw Data'!$L$6:$L$4731,'Diags Raw Data'!$D$6:$D$4731,$A7)</f>
        <v>17</v>
      </c>
      <c r="C7" s="229">
        <f>SUMIFS('Diags Raw Data'!$R$6:$R$4731,'Diags Raw Data'!$D$6:$D$4731,$A7)</f>
        <v>17</v>
      </c>
      <c r="D7" s="229">
        <f>SUMIFS('Diags Raw Data'!$K$6:$K$4731,'Diags Raw Data'!$D$6:$D$4731,$A7)</f>
        <v>5</v>
      </c>
      <c r="E7" s="229">
        <f>SUMIFS('Diags Raw Data'!$O$6:$O$4731,'Diags Raw Data'!$D$6:$D$4731,$A7)</f>
        <v>16</v>
      </c>
      <c r="F7" s="235">
        <f t="shared" ref="F7:F9" si="7">IF(NOT($B7=0), E7/$B7, "---")</f>
        <v>0.94117647058823528</v>
      </c>
      <c r="G7" s="217">
        <f>SUMIFS('Diags Raw Data'!$S$6:$S$4731,'Diags Raw Data'!$D$6:$D$4731,$A7)</f>
        <v>1</v>
      </c>
      <c r="H7" s="213">
        <f>SUMIFS('Diags Raw Data'!$T$6:$T$4731,'Diags Raw Data'!$D$6:$D$4731,$A7)</f>
        <v>1</v>
      </c>
      <c r="I7" s="214">
        <f>SUMIFS('Diags Raw Data'!$U$6:$U$4731,'Diags Raw Data'!$D$6:$D$4731,$A7)</f>
        <v>0</v>
      </c>
      <c r="J7" s="213">
        <f>SUMIFS('Diags Raw Data'!$V$6:$V$4731,'Diags Raw Data'!$D$6:$D$4731,$A7)</f>
        <v>0</v>
      </c>
      <c r="K7" s="214">
        <f>SUMIFS('Diags Raw Data'!$W$6:$W$4731,'Diags Raw Data'!$D$6:$D$4731,$A7)</f>
        <v>0</v>
      </c>
      <c r="L7" s="230">
        <f t="shared" ref="L7:L9" si="8">IF(NOT($C7=0), G7/$C7, "---")</f>
        <v>5.8823529411764705E-2</v>
      </c>
      <c r="M7" s="215">
        <f t="shared" ref="M7:M9" si="9">IF(NOT($G7=0), (H7+I7)/$G7, "---")</f>
        <v>1</v>
      </c>
      <c r="N7" s="224">
        <f t="shared" ref="N7:N9" si="10">IF(NOT($C7=0), (H7+I7)/$C7, "---")</f>
        <v>5.8823529411764705E-2</v>
      </c>
      <c r="O7" s="200">
        <f>SUMIFS('Diags Raw Data'!$Z$6:$Z$4731,'Diags Raw Data'!$D$6:$D$4731,$A7)</f>
        <v>0</v>
      </c>
      <c r="P7" s="190">
        <f>SUMIFS('Diags Raw Data'!$AA$6:$AA$4731,'Diags Raw Data'!$D$6:$D$4731,$A7)</f>
        <v>0</v>
      </c>
      <c r="Q7" s="192">
        <f>SUMIFS('Diags Raw Data'!$AB$6:$AB$4731,'Diags Raw Data'!$D$6:$D$4731,$A7)</f>
        <v>0</v>
      </c>
      <c r="R7" s="190">
        <f>SUMIFS('Diags Raw Data'!$AC$6:$AC$4731,'Diags Raw Data'!$D$6:$D$4731,$A7)</f>
        <v>0</v>
      </c>
      <c r="S7" s="192">
        <f>SUMIFS('Diags Raw Data'!$AD$6:$AD$4731,'Diags Raw Data'!$D$6:$D$4731,$A7)</f>
        <v>0</v>
      </c>
      <c r="T7" s="191">
        <f t="shared" ref="T7:T9" si="11">IF(NOT($B7=0), O7/$B7, "---")</f>
        <v>0</v>
      </c>
      <c r="U7" s="216" t="str">
        <f t="shared" ref="U7:U9" si="12">IF(NOT($O7=0), (P7+Q7)/$O7, "---")</f>
        <v>---</v>
      </c>
      <c r="V7" s="218">
        <f t="shared" ref="V7:V9" si="13">IF(NOT($B7=0), (P7+Q7)/$B7, "---")</f>
        <v>0</v>
      </c>
    </row>
    <row r="8" spans="1:22" x14ac:dyDescent="0.25">
      <c r="A8" s="318" t="s">
        <v>259</v>
      </c>
      <c r="B8" s="239">
        <f>SUMIFS('Diags Raw Data'!$L$6:$L$4731,'Diags Raw Data'!$D$6:$D$4731,$A8)</f>
        <v>38</v>
      </c>
      <c r="C8" s="229">
        <f>SUMIFS('Diags Raw Data'!$R$6:$R$4731,'Diags Raw Data'!$D$6:$D$4731,$A8)</f>
        <v>38</v>
      </c>
      <c r="D8" s="229">
        <f>SUMIFS('Diags Raw Data'!$K$6:$K$4731,'Diags Raw Data'!$D$6:$D$4731,$A8)</f>
        <v>13</v>
      </c>
      <c r="E8" s="229">
        <f>SUMIFS('Diags Raw Data'!$O$6:$O$4731,'Diags Raw Data'!$D$6:$D$4731,$A8)</f>
        <v>30</v>
      </c>
      <c r="F8" s="235">
        <f t="shared" si="7"/>
        <v>0.78947368421052633</v>
      </c>
      <c r="G8" s="217">
        <f>SUMIFS('Diags Raw Data'!$S$6:$S$4731,'Diags Raw Data'!$D$6:$D$4731,$A8)</f>
        <v>0</v>
      </c>
      <c r="H8" s="213">
        <f>SUMIFS('Diags Raw Data'!$T$6:$T$4731,'Diags Raw Data'!$D$6:$D$4731,$A8)</f>
        <v>0</v>
      </c>
      <c r="I8" s="214">
        <f>SUMIFS('Diags Raw Data'!$U$6:$U$4731,'Diags Raw Data'!$D$6:$D$4731,$A8)</f>
        <v>0</v>
      </c>
      <c r="J8" s="213">
        <f>SUMIFS('Diags Raw Data'!$V$6:$V$4731,'Diags Raw Data'!$D$6:$D$4731,$A8)</f>
        <v>0</v>
      </c>
      <c r="K8" s="214">
        <f>SUMIFS('Diags Raw Data'!$W$6:$W$4731,'Diags Raw Data'!$D$6:$D$4731,$A8)</f>
        <v>0</v>
      </c>
      <c r="L8" s="230">
        <f t="shared" si="8"/>
        <v>0</v>
      </c>
      <c r="M8" s="215" t="str">
        <f t="shared" si="9"/>
        <v>---</v>
      </c>
      <c r="N8" s="224">
        <f t="shared" si="10"/>
        <v>0</v>
      </c>
      <c r="O8" s="200">
        <f>SUMIFS('Diags Raw Data'!$Z$6:$Z$4731,'Diags Raw Data'!$D$6:$D$4731,$A8)</f>
        <v>0</v>
      </c>
      <c r="P8" s="190">
        <f>SUMIFS('Diags Raw Data'!$AA$6:$AA$4731,'Diags Raw Data'!$D$6:$D$4731,$A8)</f>
        <v>0</v>
      </c>
      <c r="Q8" s="192">
        <f>SUMIFS('Diags Raw Data'!$AB$6:$AB$4731,'Diags Raw Data'!$D$6:$D$4731,$A8)</f>
        <v>0</v>
      </c>
      <c r="R8" s="190">
        <f>SUMIFS('Diags Raw Data'!$AC$6:$AC$4731,'Diags Raw Data'!$D$6:$D$4731,$A8)</f>
        <v>0</v>
      </c>
      <c r="S8" s="192">
        <f>SUMIFS('Diags Raw Data'!$AD$6:$AD$4731,'Diags Raw Data'!$D$6:$D$4731,$A8)</f>
        <v>0</v>
      </c>
      <c r="T8" s="191">
        <f t="shared" si="11"/>
        <v>0</v>
      </c>
      <c r="U8" s="216" t="str">
        <f t="shared" si="12"/>
        <v>---</v>
      </c>
      <c r="V8" s="218">
        <f t="shared" si="13"/>
        <v>0</v>
      </c>
    </row>
    <row r="9" spans="1:22" x14ac:dyDescent="0.25">
      <c r="A9" s="318" t="s">
        <v>317</v>
      </c>
      <c r="B9" s="239">
        <f>SUMIFS('Diags Raw Data'!$L$6:$L$4731,'Diags Raw Data'!$D$6:$D$4731,$A9)</f>
        <v>0</v>
      </c>
      <c r="C9" s="229">
        <f>SUMIFS('Diags Raw Data'!$R$6:$R$4731,'Diags Raw Data'!$D$6:$D$4731,$A9)</f>
        <v>0</v>
      </c>
      <c r="D9" s="229">
        <f>SUMIFS('Diags Raw Data'!$K$6:$K$4731,'Diags Raw Data'!$D$6:$D$4731,$A9)</f>
        <v>0</v>
      </c>
      <c r="E9" s="229">
        <f>SUMIFS('Diags Raw Data'!$O$6:$O$4731,'Diags Raw Data'!$D$6:$D$4731,$A9)</f>
        <v>0</v>
      </c>
      <c r="F9" s="235" t="str">
        <f t="shared" si="7"/>
        <v>---</v>
      </c>
      <c r="G9" s="217">
        <f>SUMIFS('Diags Raw Data'!$S$6:$S$4731,'Diags Raw Data'!$D$6:$D$4731,$A9)</f>
        <v>0</v>
      </c>
      <c r="H9" s="213">
        <f>SUMIFS('Diags Raw Data'!$T$6:$T$4731,'Diags Raw Data'!$D$6:$D$4731,$A9)</f>
        <v>0</v>
      </c>
      <c r="I9" s="214">
        <f>SUMIFS('Diags Raw Data'!$U$6:$U$4731,'Diags Raw Data'!$D$6:$D$4731,$A9)</f>
        <v>0</v>
      </c>
      <c r="J9" s="213">
        <f>SUMIFS('Diags Raw Data'!$V$6:$V$4731,'Diags Raw Data'!$D$6:$D$4731,$A9)</f>
        <v>0</v>
      </c>
      <c r="K9" s="214">
        <f>SUMIFS('Diags Raw Data'!$W$6:$W$4731,'Diags Raw Data'!$D$6:$D$4731,$A9)</f>
        <v>0</v>
      </c>
      <c r="L9" s="230" t="str">
        <f t="shared" si="8"/>
        <v>---</v>
      </c>
      <c r="M9" s="215" t="str">
        <f t="shared" si="9"/>
        <v>---</v>
      </c>
      <c r="N9" s="224" t="str">
        <f t="shared" si="10"/>
        <v>---</v>
      </c>
      <c r="O9" s="200">
        <f>SUMIFS('Diags Raw Data'!$Z$6:$Z$4731,'Diags Raw Data'!$D$6:$D$4731,$A9)</f>
        <v>0</v>
      </c>
      <c r="P9" s="190">
        <f>SUMIFS('Diags Raw Data'!$AA$6:$AA$4731,'Diags Raw Data'!$D$6:$D$4731,$A9)</f>
        <v>0</v>
      </c>
      <c r="Q9" s="192">
        <f>SUMIFS('Diags Raw Data'!$AB$6:$AB$4731,'Diags Raw Data'!$D$6:$D$4731,$A9)</f>
        <v>0</v>
      </c>
      <c r="R9" s="190">
        <f>SUMIFS('Diags Raw Data'!$AC$6:$AC$4731,'Diags Raw Data'!$D$6:$D$4731,$A9)</f>
        <v>0</v>
      </c>
      <c r="S9" s="192">
        <f>SUMIFS('Diags Raw Data'!$AD$6:$AD$4731,'Diags Raw Data'!$D$6:$D$4731,$A9)</f>
        <v>0</v>
      </c>
      <c r="T9" s="191" t="str">
        <f t="shared" si="11"/>
        <v>---</v>
      </c>
      <c r="U9" s="216" t="str">
        <f t="shared" si="12"/>
        <v>---</v>
      </c>
      <c r="V9" s="218" t="str">
        <f t="shared" si="13"/>
        <v>---</v>
      </c>
    </row>
    <row r="10" spans="1:22" x14ac:dyDescent="0.25">
      <c r="A10" s="318" t="s">
        <v>276</v>
      </c>
      <c r="B10" s="239">
        <f>SUMIFS('Diags Raw Data'!$L$6:$L$4731,'Diags Raw Data'!$D$6:$D$4731,$A10)</f>
        <v>3</v>
      </c>
      <c r="C10" s="229">
        <f>SUMIFS('Diags Raw Data'!$R$6:$R$4731,'Diags Raw Data'!$D$6:$D$4731,$A10)</f>
        <v>3</v>
      </c>
      <c r="D10" s="229">
        <f>SUMIFS('Diags Raw Data'!$K$6:$K$4731,'Diags Raw Data'!$D$6:$D$4731,$A10)</f>
        <v>3</v>
      </c>
      <c r="E10" s="229">
        <f>SUMIFS('Diags Raw Data'!$O$6:$O$4731,'Diags Raw Data'!$D$6:$D$4731,$A10)</f>
        <v>2</v>
      </c>
      <c r="F10" s="235">
        <f t="shared" si="0"/>
        <v>0.66666666666666663</v>
      </c>
      <c r="G10" s="217">
        <f>SUMIFS('Diags Raw Data'!$S$6:$S$4731,'Diags Raw Data'!$D$6:$D$4731,$A10)</f>
        <v>0</v>
      </c>
      <c r="H10" s="213">
        <f>SUMIFS('Diags Raw Data'!$T$6:$T$4731,'Diags Raw Data'!$D$6:$D$4731,$A10)</f>
        <v>0</v>
      </c>
      <c r="I10" s="214">
        <f>SUMIFS('Diags Raw Data'!$U$6:$U$4731,'Diags Raw Data'!$D$6:$D$4731,$A10)</f>
        <v>0</v>
      </c>
      <c r="J10" s="213">
        <f>SUMIFS('Diags Raw Data'!$V$6:$V$4731,'Diags Raw Data'!$D$6:$D$4731,$A10)</f>
        <v>0</v>
      </c>
      <c r="K10" s="214">
        <f>SUMIFS('Diags Raw Data'!$W$6:$W$4731,'Diags Raw Data'!$D$6:$D$4731,$A10)</f>
        <v>0</v>
      </c>
      <c r="L10" s="230">
        <f t="shared" si="1"/>
        <v>0</v>
      </c>
      <c r="M10" s="215" t="str">
        <f t="shared" si="2"/>
        <v>---</v>
      </c>
      <c r="N10" s="224">
        <f t="shared" si="3"/>
        <v>0</v>
      </c>
      <c r="O10" s="200">
        <f>SUMIFS('Diags Raw Data'!$Z$6:$Z$4731,'Diags Raw Data'!$D$6:$D$4731,$A10)</f>
        <v>0</v>
      </c>
      <c r="P10" s="190">
        <f>SUMIFS('Diags Raw Data'!$AA$6:$AA$4731,'Diags Raw Data'!$D$6:$D$4731,$A10)</f>
        <v>0</v>
      </c>
      <c r="Q10" s="192">
        <f>SUMIFS('Diags Raw Data'!$AB$6:$AB$4731,'Diags Raw Data'!$D$6:$D$4731,$A10)</f>
        <v>0</v>
      </c>
      <c r="R10" s="190">
        <f>SUMIFS('Diags Raw Data'!$AC$6:$AC$4731,'Diags Raw Data'!$D$6:$D$4731,$A10)</f>
        <v>0</v>
      </c>
      <c r="S10" s="192">
        <f>SUMIFS('Diags Raw Data'!$AD$6:$AD$4731,'Diags Raw Data'!$D$6:$D$4731,$A10)</f>
        <v>0</v>
      </c>
      <c r="T10" s="191">
        <f t="shared" si="4"/>
        <v>0</v>
      </c>
      <c r="U10" s="216" t="str">
        <f t="shared" ref="U10:U12" si="14">IF(NOT($O10=0), (P10+Q10)/$O10, "---")</f>
        <v>---</v>
      </c>
      <c r="V10" s="218">
        <f t="shared" si="6"/>
        <v>0</v>
      </c>
    </row>
    <row r="11" spans="1:22" x14ac:dyDescent="0.25">
      <c r="A11" s="318" t="s">
        <v>345</v>
      </c>
      <c r="B11" s="239">
        <f>SUMIFS('Diags Raw Data'!$L$6:$L$4731,'Diags Raw Data'!$D$6:$D$4731,$A11)</f>
        <v>0</v>
      </c>
      <c r="C11" s="229">
        <f>SUMIFS('Diags Raw Data'!$R$6:$R$4731,'Diags Raw Data'!$D$6:$D$4731,$A11)</f>
        <v>0</v>
      </c>
      <c r="D11" s="229">
        <f>SUMIFS('Diags Raw Data'!$K$6:$K$4731,'Diags Raw Data'!$D$6:$D$4731,$A11)</f>
        <v>0</v>
      </c>
      <c r="E11" s="229">
        <f>SUMIFS('Diags Raw Data'!$O$6:$O$4731,'Diags Raw Data'!$D$6:$D$4731,$A11)</f>
        <v>0</v>
      </c>
      <c r="F11" s="235" t="str">
        <f t="shared" si="0"/>
        <v>---</v>
      </c>
      <c r="G11" s="217">
        <f>SUMIFS('Diags Raw Data'!$S$6:$S$4731,'Diags Raw Data'!$D$6:$D$4731,$A11)</f>
        <v>0</v>
      </c>
      <c r="H11" s="213">
        <f>SUMIFS('Diags Raw Data'!$T$6:$T$4731,'Diags Raw Data'!$D$6:$D$4731,$A11)</f>
        <v>0</v>
      </c>
      <c r="I11" s="214">
        <f>SUMIFS('Diags Raw Data'!$U$6:$U$4731,'Diags Raw Data'!$D$6:$D$4731,$A11)</f>
        <v>0</v>
      </c>
      <c r="J11" s="213">
        <f>SUMIFS('Diags Raw Data'!$V$6:$V$4731,'Diags Raw Data'!$D$6:$D$4731,$A11)</f>
        <v>0</v>
      </c>
      <c r="K11" s="214">
        <f>SUMIFS('Diags Raw Data'!$W$6:$W$4731,'Diags Raw Data'!$D$6:$D$4731,$A11)</f>
        <v>0</v>
      </c>
      <c r="L11" s="230" t="str">
        <f t="shared" si="1"/>
        <v>---</v>
      </c>
      <c r="M11" s="215" t="str">
        <f t="shared" si="2"/>
        <v>---</v>
      </c>
      <c r="N11" s="224" t="str">
        <f t="shared" si="3"/>
        <v>---</v>
      </c>
      <c r="O11" s="200">
        <f>SUMIFS('Diags Raw Data'!$Z$6:$Z$4731,'Diags Raw Data'!$D$6:$D$4731,$A11)</f>
        <v>0</v>
      </c>
      <c r="P11" s="190">
        <f>SUMIFS('Diags Raw Data'!$AA$6:$AA$4731,'Diags Raw Data'!$D$6:$D$4731,$A11)</f>
        <v>0</v>
      </c>
      <c r="Q11" s="192">
        <f>SUMIFS('Diags Raw Data'!$AB$6:$AB$4731,'Diags Raw Data'!$D$6:$D$4731,$A11)</f>
        <v>0</v>
      </c>
      <c r="R11" s="190">
        <f>SUMIFS('Diags Raw Data'!$AC$6:$AC$4731,'Diags Raw Data'!$D$6:$D$4731,$A11)</f>
        <v>0</v>
      </c>
      <c r="S11" s="192">
        <f>SUMIFS('Diags Raw Data'!$AD$6:$AD$4731,'Diags Raw Data'!$D$6:$D$4731,$A11)</f>
        <v>0</v>
      </c>
      <c r="T11" s="191" t="str">
        <f t="shared" si="4"/>
        <v>---</v>
      </c>
      <c r="U11" s="216" t="str">
        <f t="shared" si="14"/>
        <v>---</v>
      </c>
      <c r="V11" s="218" t="str">
        <f t="shared" si="6"/>
        <v>---</v>
      </c>
    </row>
    <row r="12" spans="1:22" ht="15.75" thickBot="1" x14ac:dyDescent="0.3">
      <c r="A12" s="319" t="s">
        <v>367</v>
      </c>
      <c r="B12" s="240">
        <f>SUMIFS('Diags Raw Data'!$L$6:$L$4731,'Diags Raw Data'!$D$6:$D$4731,$A12)</f>
        <v>0</v>
      </c>
      <c r="C12" s="231">
        <f>SUMIFS('Diags Raw Data'!$R$6:$R$4731,'Diags Raw Data'!$D$6:$D$4731,$A12)</f>
        <v>0</v>
      </c>
      <c r="D12" s="231">
        <f>SUMIFS('Diags Raw Data'!$K$6:$K$4731,'Diags Raw Data'!$D$6:$D$4731,$A12)</f>
        <v>0</v>
      </c>
      <c r="E12" s="231">
        <f>SUMIFS('Diags Raw Data'!$O$6:$O$4731,'Diags Raw Data'!$D$6:$D$4731,$A12)</f>
        <v>0</v>
      </c>
      <c r="F12" s="236" t="str">
        <f>IF(NOT($B12=0), E12/$B12, "---")</f>
        <v>---</v>
      </c>
      <c r="G12" s="219">
        <f>SUMIFS('Diags Raw Data'!$S$6:$S$4731,'Diags Raw Data'!$D$6:$D$4731,$A12)</f>
        <v>0</v>
      </c>
      <c r="H12" s="220">
        <f>SUMIFS('Diags Raw Data'!$T$6:$T$4731,'Diags Raw Data'!$D$6:$D$4731,$A12)</f>
        <v>0</v>
      </c>
      <c r="I12" s="221">
        <f>SUMIFS('Diags Raw Data'!$U$6:$U$4731,'Diags Raw Data'!$D$6:$D$4731,$A12)</f>
        <v>0</v>
      </c>
      <c r="J12" s="220">
        <f>SUMIFS('Diags Raw Data'!$V$6:$V$4731,'Diags Raw Data'!$D$6:$D$4731,$A12)</f>
        <v>0</v>
      </c>
      <c r="K12" s="221">
        <f>SUMIFS('Diags Raw Data'!$W$6:$W$4731,'Diags Raw Data'!$D$6:$D$4731,$A12)</f>
        <v>0</v>
      </c>
      <c r="L12" s="232" t="str">
        <f t="shared" si="1"/>
        <v>---</v>
      </c>
      <c r="M12" s="222" t="str">
        <f t="shared" si="2"/>
        <v>---</v>
      </c>
      <c r="N12" s="225" t="str">
        <f>IF(NOT($C12=0), (H12+I12)/$C12, "---")</f>
        <v>---</v>
      </c>
      <c r="O12" s="201">
        <f>SUMIFS('Diags Raw Data'!$Z$6:$Z$4731,'Diags Raw Data'!$D$6:$D$4731,$A12)</f>
        <v>0</v>
      </c>
      <c r="P12" s="193">
        <f>SUMIFS('Diags Raw Data'!$AA$6:$AA$4731,'Diags Raw Data'!$D$6:$D$4731,$A12)</f>
        <v>0</v>
      </c>
      <c r="Q12" s="195">
        <f>SUMIFS('Diags Raw Data'!$AB$6:$AB$4731,'Diags Raw Data'!$D$6:$D$4731,$A12)</f>
        <v>0</v>
      </c>
      <c r="R12" s="193">
        <f>SUMIFS('Diags Raw Data'!$AC$6:$AC$4731,'Diags Raw Data'!$D$6:$D$4731,$A12)</f>
        <v>0</v>
      </c>
      <c r="S12" s="195">
        <f>SUMIFS('Diags Raw Data'!$AD$6:$AD$4731,'Diags Raw Data'!$D$6:$D$4731,$A12)</f>
        <v>0</v>
      </c>
      <c r="T12" s="194" t="str">
        <f t="shared" si="4"/>
        <v>---</v>
      </c>
      <c r="U12" s="226" t="str">
        <f t="shared" si="14"/>
        <v>---</v>
      </c>
      <c r="V12" s="223" t="str">
        <f t="shared" si="6"/>
        <v>---</v>
      </c>
    </row>
    <row r="13" spans="1:22" ht="16.5" thickBot="1" x14ac:dyDescent="0.3">
      <c r="A13" s="259" t="s">
        <v>368</v>
      </c>
      <c r="B13" s="243">
        <f>SUM(B4:B12)</f>
        <v>1127</v>
      </c>
      <c r="C13" s="244">
        <f>SUM(C4:C12)</f>
        <v>1127</v>
      </c>
      <c r="D13" s="244">
        <f>SUM(D4:D12)</f>
        <v>78</v>
      </c>
      <c r="E13" s="244">
        <f>SUM(E4:E12)</f>
        <v>826</v>
      </c>
      <c r="F13" s="245" cm="1">
        <f t="array" ref="F13">SUMPRODUCT(--(ISNUMBER(SEARCH("New",'Diags Raw Data'!$M$6:$M$4731))),'Diags Raw Data'!$K$6:$K$4731,'Diags Raw Data'!$P$6:$P$4731)/D13+SUMPRODUCT(--(ISNUMBER(SEARCH("Delta",'Diags Raw Data'!$M$6:$M$4731))),'Diags Raw Data'!$K$6:$K$4731,'Diags Raw Data'!$P$6:$P$4731)/D13+SUMPRODUCT(--(ISNUMBER(SEARCH("Legacy",'Diags Raw Data'!$M$6:$M$4731))),'Diags Raw Data'!$K$6:$K$4731,'Diags Raw Data'!$P$6:$P$4731)/D13</f>
        <v>0.87179487179487181</v>
      </c>
      <c r="G13" s="246">
        <f>SUM(G4:G12)</f>
        <v>5</v>
      </c>
      <c r="H13" s="247">
        <f>SUM(H4:H12)</f>
        <v>5</v>
      </c>
      <c r="I13" s="248">
        <f>SUM(I4:I12)</f>
        <v>0</v>
      </c>
      <c r="J13" s="247">
        <f>SUM(J4:J12)</f>
        <v>0</v>
      </c>
      <c r="K13" s="248">
        <f>SUM(K4:K12)</f>
        <v>0</v>
      </c>
      <c r="L13" s="249">
        <f>IF(NOT($C13=0), G13/$C13, "---")</f>
        <v>4.4365572315882874E-3</v>
      </c>
      <c r="M13" s="250">
        <f>IF(NOT($G13=0), (H13+I13)/$G13, "---")</f>
        <v>1</v>
      </c>
      <c r="N13" s="251">
        <f>IF(NOT($C13=0), (H13+I13)/$C13, "---")</f>
        <v>4.4365572315882874E-3</v>
      </c>
      <c r="O13" s="252">
        <f>SUM(O4:O12)</f>
        <v>0</v>
      </c>
      <c r="P13" s="253">
        <f>SUM(P4:P12)</f>
        <v>0</v>
      </c>
      <c r="Q13" s="254">
        <f>SUM(Q4:Q12)</f>
        <v>0</v>
      </c>
      <c r="R13" s="253">
        <f>SUM(R4:R12)</f>
        <v>0</v>
      </c>
      <c r="S13" s="254">
        <f>SUM(S4:S12)</f>
        <v>0</v>
      </c>
      <c r="T13" s="255">
        <f>IF(NOT($B13=0), O13/$B13, "---")</f>
        <v>0</v>
      </c>
      <c r="U13" s="256" t="str">
        <f>IF(NOT($O13=0), (P13+Q13)/$O13, "---")</f>
        <v>---</v>
      </c>
      <c r="V13" s="257">
        <f>IF(NOT($B13=0), (P13+Q13)/$B13, "---")</f>
        <v>0</v>
      </c>
    </row>
    <row r="14" spans="1:22" ht="15.75" thickBot="1" x14ac:dyDescent="0.3"/>
    <row r="15" spans="1:22" ht="15.75" thickBot="1" x14ac:dyDescent="0.3">
      <c r="A15" s="202" t="s">
        <v>369</v>
      </c>
      <c r="B15" s="554" t="s">
        <v>161</v>
      </c>
      <c r="C15" s="554"/>
      <c r="D15" s="554"/>
      <c r="E15" s="554"/>
      <c r="F15" s="554"/>
      <c r="G15" s="555" t="s">
        <v>172</v>
      </c>
      <c r="H15" s="556"/>
      <c r="I15" s="556"/>
      <c r="J15" s="556"/>
      <c r="K15" s="556"/>
      <c r="L15" s="556"/>
      <c r="M15" s="556"/>
      <c r="N15" s="557"/>
      <c r="O15" s="558" t="s">
        <v>139</v>
      </c>
      <c r="P15" s="559"/>
      <c r="Q15" s="559"/>
      <c r="R15" s="559"/>
      <c r="S15" s="559"/>
      <c r="T15" s="559"/>
      <c r="U15" s="559"/>
      <c r="V15" s="560"/>
    </row>
    <row r="16" spans="1:22" s="237" customFormat="1" ht="15.75" thickBot="1" x14ac:dyDescent="0.3">
      <c r="A16" s="241" t="s">
        <v>83</v>
      </c>
      <c r="B16" s="298" t="s">
        <v>162</v>
      </c>
      <c r="C16" s="299" t="s">
        <v>123</v>
      </c>
      <c r="D16" s="300" t="s">
        <v>100</v>
      </c>
      <c r="E16" s="300" t="s">
        <v>168</v>
      </c>
      <c r="F16" s="301" t="s">
        <v>170</v>
      </c>
      <c r="G16" s="302" t="s">
        <v>127</v>
      </c>
      <c r="H16" s="303" t="s">
        <v>30</v>
      </c>
      <c r="I16" s="303" t="s">
        <v>130</v>
      </c>
      <c r="J16" s="303" t="s">
        <v>35</v>
      </c>
      <c r="K16" s="303" t="s">
        <v>133</v>
      </c>
      <c r="L16" s="303" t="s">
        <v>179</v>
      </c>
      <c r="M16" s="303" t="s">
        <v>135</v>
      </c>
      <c r="N16" s="304" t="s">
        <v>182</v>
      </c>
      <c r="O16" s="305" t="s">
        <v>127</v>
      </c>
      <c r="P16" s="306" t="s">
        <v>30</v>
      </c>
      <c r="Q16" s="306" t="s">
        <v>130</v>
      </c>
      <c r="R16" s="306" t="s">
        <v>35</v>
      </c>
      <c r="S16" s="306" t="s">
        <v>133</v>
      </c>
      <c r="T16" s="306" t="s">
        <v>179</v>
      </c>
      <c r="U16" s="306" t="s">
        <v>135</v>
      </c>
      <c r="V16" s="307" t="s">
        <v>182</v>
      </c>
    </row>
    <row r="17" spans="1:22" x14ac:dyDescent="0.25">
      <c r="A17" s="318" t="s">
        <v>252</v>
      </c>
      <c r="B17" s="238">
        <f>SUMIFS('Diags Raw Data'!$L$6:$L$4731,'Diags Raw Data'!$D$6:$D$4731,$A17,'Diags Raw Data'!$M$6:$M$4731,"New")+SUMIFS('Diags Raw Data'!$L$6:$L$4731,'Diags Raw Data'!$D$6:$D$4731,$A17,'Diags Raw Data'!$M$6:$M$4731,"Delta")</f>
        <v>19</v>
      </c>
      <c r="C17" s="228">
        <f>SUMIFS('Diags Raw Data'!$R$6:$R$4731,'Diags Raw Data'!$D$6:$D$4731,$A17,'Diags Raw Data'!$M$6:$M$4731,"New")+SUMIFS('Diags Raw Data'!$R$6:$R$4731,'Diags Raw Data'!$D$6:$D$4731,$A17,'Diags Raw Data'!$M$6:$M$4731,"Delta")</f>
        <v>19</v>
      </c>
      <c r="D17" s="228">
        <f>SUMIFS('Diags Raw Data'!$K$6:$K$4731,'Diags Raw Data'!$D$6:$D$4731,$A17,'Diags Raw Data'!$M$6:$M$4731,"New")+SUMIFS('Diags Raw Data'!$K$6:$K$4731,'Diags Raw Data'!$D$6:$D$4731,$A17,'Diags Raw Data'!$M$6:$M$4731,"Delta")</f>
        <v>6</v>
      </c>
      <c r="E17" s="228">
        <f>SUMIFS('Diags Raw Data'!$O$6:$O$4731,'Diags Raw Data'!$D$6:$D$4731,$A17,'Diags Raw Data'!$M$6:$M$4731,"New")+SUMIFS('Diags Raw Data'!$O$6:$O$4731,'Diags Raw Data'!$D$6:$D$4731,$A17,'Diags Raw Data'!$M$6:$M$4731,"Delta")</f>
        <v>18</v>
      </c>
      <c r="F17" s="234">
        <f t="shared" ref="F17:F24" si="15">IF(NOT($B17=0), E17/$B17, "---")</f>
        <v>0.94736842105263153</v>
      </c>
      <c r="G17" s="206">
        <f>SUMIFS('Diags Raw Data'!$S$6:$S$4731,'Diags Raw Data'!$D$6:$D$4731,$A17,'Diags Raw Data'!$M$6:$M$4731,"New")+SUMIFS('Diags Raw Data'!$S$6:$S$4731,'Diags Raw Data'!$D$6:$D$4731,$A17,'Diags Raw Data'!$M$6:$M$4731,"Delta")</f>
        <v>0</v>
      </c>
      <c r="H17" s="207">
        <f>SUMIFS('Diags Raw Data'!$T$6:$T$4731,'Diags Raw Data'!$D$6:$D$4731,$A17,'Diags Raw Data'!$M$6:$M$4731,"New")+SUMIFS('Diags Raw Data'!$T$6:$T$4731,'Diags Raw Data'!$D$6:$D$4731,$A17,'Diags Raw Data'!$M$6:$M$4731,"Delta")</f>
        <v>0</v>
      </c>
      <c r="I17" s="207">
        <f>SUMIFS('Diags Raw Data'!$U$6:$U$4731,'Diags Raw Data'!$D$6:$D$4731,$A17,'Diags Raw Data'!$M$6:$M$4731,"New")+SUMIFS('Diags Raw Data'!$U$6:$U$4731,'Diags Raw Data'!$D$6:$D$4731,$A17,'Diags Raw Data'!$M$6:$M$4731,"Delta")</f>
        <v>0</v>
      </c>
      <c r="J17" s="207">
        <f>SUMIFS('Diags Raw Data'!$V$6:$V$4731,'Diags Raw Data'!$D$6:$D$4731,$A17,'Diags Raw Data'!$M$6:$M$4731,"New")+SUMIFS('Diags Raw Data'!$V$6:$V$4731,'Diags Raw Data'!$D$6:$D$4731,$A17,'Diags Raw Data'!$M$6:$M$4731,"Delta")</f>
        <v>0</v>
      </c>
      <c r="K17" s="207">
        <f>SUMIFS('Diags Raw Data'!$W$6:$W$4731,'Diags Raw Data'!$D$6:$D$4731,$A17,'Diags Raw Data'!$M$6:$M$4731,"New")+SUMIFS('Diags Raw Data'!$W$6:$W$4731,'Diags Raw Data'!$D$6:$D$4731,$A17,'Diags Raw Data'!$M$6:$M$4731,"Delta")</f>
        <v>0</v>
      </c>
      <c r="L17" s="208">
        <f>IF(NOT($C17=0), G17/$C17, "---")</f>
        <v>0</v>
      </c>
      <c r="M17" s="210" t="str">
        <f>IF(NOT($G17=0), (H17+I17)/$G17, "---")</f>
        <v>---</v>
      </c>
      <c r="N17" s="212">
        <f>IF(NOT($C17=0), (H17+I17)/$C17, "---")</f>
        <v>0</v>
      </c>
      <c r="O17" s="199">
        <f>SUMIFS('Diags Raw Data'!$Z$6:$Z$4731,'Diags Raw Data'!$D$6:$D$4731,$A17,'Diags Raw Data'!$M$6:$M$4731,"New")+SUMIFS('Diags Raw Data'!$Z$6:$Z$4731,'Diags Raw Data'!$D$6:$D$4731,$A17,'Diags Raw Data'!$M$6:$M$4731,"Delta")</f>
        <v>0</v>
      </c>
      <c r="P17" s="196">
        <f>SUMIFS('Diags Raw Data'!$AA$6:$AA$4731,'Diags Raw Data'!$D$6:$D$4731,$A17,'Diags Raw Data'!$M$6:$M$4731,"New")+SUMIFS('Diags Raw Data'!$AA$6:$AA$4731,'Diags Raw Data'!$D$6:$D$4731,$A17,'Diags Raw Data'!$M$6:$M$4731,"Delta")</f>
        <v>0</v>
      </c>
      <c r="Q17" s="196">
        <f>SUMIFS('Diags Raw Data'!$AB$6:$AB$4731,'Diags Raw Data'!$D$6:$D$4731,$A17,'Diags Raw Data'!$M$6:$M$4731,"New")+SUMIFS('Diags Raw Data'!$AB$6:$AB$4731,'Diags Raw Data'!$D$6:$D$4731,$A17,'Diags Raw Data'!$M$6:$M$4731,"Delta")</f>
        <v>0</v>
      </c>
      <c r="R17" s="196">
        <f>SUMIFS('Diags Raw Data'!$AC$6:$AC$4731,'Diags Raw Data'!$D$6:$D$4731,$A17,'Diags Raw Data'!$M$6:$M$4731,"New")+SUMIFS('Diags Raw Data'!$AC$6:$AC$4731,'Diags Raw Data'!$D$6:$D$4731,$A17,'Diags Raw Data'!$M$6:$M$4731,"Delta")</f>
        <v>0</v>
      </c>
      <c r="S17" s="196">
        <f>SUMIFS('Diags Raw Data'!$AD$6:$AD$4731,'Diags Raw Data'!$D$6:$D$4731,$A17,'Diags Raw Data'!$M$6:$M$4731,"New")+SUMIFS('Diags Raw Data'!$AD$6:$AD$4731,'Diags Raw Data'!$D$6:$D$4731,$A17,'Diags Raw Data'!$M$6:$M$4731,"Delta")</f>
        <v>0</v>
      </c>
      <c r="T17" s="197">
        <f>IF(NOT($B17=0), O17/$B17, "---")</f>
        <v>0</v>
      </c>
      <c r="U17" s="211" t="str">
        <f>IF(NOT($O17=0), (P17+Q17)/$O17, "---")</f>
        <v>---</v>
      </c>
      <c r="V17" s="227">
        <f>IF(NOT($B17=0), (P17+Q17)/$B17, "---")</f>
        <v>0</v>
      </c>
    </row>
    <row r="18" spans="1:22" x14ac:dyDescent="0.25">
      <c r="A18" s="318" t="s">
        <v>261</v>
      </c>
      <c r="B18" s="239">
        <f>SUMIFS('Diags Raw Data'!$L$6:$L$4731,'Diags Raw Data'!$D$6:$D$4731,$A18,'Diags Raw Data'!$M$6:$M$4731,"New")+SUMIFS('Diags Raw Data'!$L$6:$L$4731,'Diags Raw Data'!$D$6:$D$4731,$A18,'Diags Raw Data'!$M$6:$M$4731,"Delta")</f>
        <v>11</v>
      </c>
      <c r="C18" s="229">
        <f>SUMIFS('Diags Raw Data'!$R$6:$R$4731,'Diags Raw Data'!$D$6:$D$4731,$A18,'Diags Raw Data'!$M$6:$M$4731,"New")+SUMIFS('Diags Raw Data'!$R$6:$R$4731,'Diags Raw Data'!$D$6:$D$4731,$A18,'Diags Raw Data'!$M$6:$M$4731,"Delta")</f>
        <v>11</v>
      </c>
      <c r="D18" s="229">
        <f>SUMIFS('Diags Raw Data'!$K$6:$K$4731,'Diags Raw Data'!$D$6:$D$4731,$A18,'Diags Raw Data'!$M$6:$M$4731,"New")+SUMIFS('Diags Raw Data'!$K$6:$K$4731,'Diags Raw Data'!$D$6:$D$4731,$A18,'Diags Raw Data'!$M$6:$M$4731,"Delta")</f>
        <v>5</v>
      </c>
      <c r="E18" s="229">
        <f>SUMIFS('Diags Raw Data'!$O$6:$O$4731,'Diags Raw Data'!$D$6:$D$4731,$A18,'Diags Raw Data'!$M$6:$M$4731,"New")+SUMIFS('Diags Raw Data'!$O$6:$O$4731,'Diags Raw Data'!$D$6:$D$4731,$A18,'Diags Raw Data'!$M$6:$M$4731,"Delta")</f>
        <v>11</v>
      </c>
      <c r="F18" s="235">
        <f>IF(NOT($B18=0), E18/$B18, "---")</f>
        <v>1</v>
      </c>
      <c r="G18" s="217">
        <f>SUMIFS('Diags Raw Data'!$S$6:$S$4731,'Diags Raw Data'!$D$6:$D$4731,$A18,'Diags Raw Data'!$M$6:$M$4731,"New")+SUMIFS('Diags Raw Data'!$S$6:$S$4731,'Diags Raw Data'!$D$6:$D$4731,$A18,'Diags Raw Data'!$M$6:$M$4731,"Delta")</f>
        <v>0</v>
      </c>
      <c r="H18" s="213">
        <f>SUMIFS('Diags Raw Data'!$T$6:$T$4731,'Diags Raw Data'!$D$6:$D$4731,$A18,'Diags Raw Data'!$M$6:$M$4731,"New")+SUMIFS('Diags Raw Data'!$T$6:$T$4731,'Diags Raw Data'!$D$6:$D$4731,$A18,'Diags Raw Data'!$M$6:$M$4731,"Delta")</f>
        <v>0</v>
      </c>
      <c r="I18" s="213">
        <f>SUMIFS('Diags Raw Data'!$U$6:$U$4731,'Diags Raw Data'!$D$6:$D$4731,$A18,'Diags Raw Data'!$M$6:$M$4731,"New")+SUMIFS('Diags Raw Data'!$U$6:$U$4731,'Diags Raw Data'!$D$6:$D$4731,$A18,'Diags Raw Data'!$M$6:$M$4731,"Delta")</f>
        <v>0</v>
      </c>
      <c r="J18" s="213">
        <f>SUMIFS('Diags Raw Data'!$V$6:$V$4731,'Diags Raw Data'!$D$6:$D$4731,$A18,'Diags Raw Data'!$M$6:$M$4731,"New")+SUMIFS('Diags Raw Data'!$V$6:$V$4731,'Diags Raw Data'!$D$6:$D$4731,$A18,'Diags Raw Data'!$M$6:$M$4731,"Delta")</f>
        <v>0</v>
      </c>
      <c r="K18" s="213">
        <f>SUMIFS('Diags Raw Data'!$W$6:$W$4731,'Diags Raw Data'!$D$6:$D$4731,$A18,'Diags Raw Data'!$M$6:$M$4731,"New")+SUMIFS('Diags Raw Data'!$W$6:$W$4731,'Diags Raw Data'!$D$6:$D$4731,$A18,'Diags Raw Data'!$M$6:$M$4731,"Delta")</f>
        <v>0</v>
      </c>
      <c r="L18" s="230">
        <f t="shared" ref="L18:L24" si="16">IF(NOT($C18=0), G18/$C18, "---")</f>
        <v>0</v>
      </c>
      <c r="M18" s="215" t="str">
        <f>IF(NOT($G18=0), (H18+I18)/$G18, "---")</f>
        <v>---</v>
      </c>
      <c r="N18" s="224">
        <f t="shared" ref="N18:N24" si="17">IF(NOT($C18=0), (H18+I18)/$C18, "---")</f>
        <v>0</v>
      </c>
      <c r="O18" s="200">
        <f>SUMIFS('Diags Raw Data'!$Z$6:$Z$4731,'Diags Raw Data'!$D$6:$D$4731,$A18,'Diags Raw Data'!$M$6:$M$4731,"New")+SUMIFS('Diags Raw Data'!$Z$6:$Z$4731,'Diags Raw Data'!$D$6:$D$4731,$A18,'Diags Raw Data'!$M$6:$M$4731,"Delta")</f>
        <v>0</v>
      </c>
      <c r="P18" s="190">
        <f>SUMIFS('Diags Raw Data'!$AA$6:$AA$4731,'Diags Raw Data'!$D$6:$D$4731,$A18,'Diags Raw Data'!$M$6:$M$4731,"New")+SUMIFS('Diags Raw Data'!$AA$6:$AA$4731,'Diags Raw Data'!$D$6:$D$4731,$A18,'Diags Raw Data'!$M$6:$M$4731,"Delta")</f>
        <v>0</v>
      </c>
      <c r="Q18" s="190">
        <f>SUMIFS('Diags Raw Data'!$AB$6:$AB$4731,'Diags Raw Data'!$D$6:$D$4731,$A18,'Diags Raw Data'!$M$6:$M$4731,"New")+SUMIFS('Diags Raw Data'!$AB$6:$AB$4731,'Diags Raw Data'!$D$6:$D$4731,$A18,'Diags Raw Data'!$M$6:$M$4731,"Delta")</f>
        <v>0</v>
      </c>
      <c r="R18" s="190">
        <f>SUMIFS('Diags Raw Data'!$AC$6:$AC$4731,'Diags Raw Data'!$D$6:$D$4731,$A18,'Diags Raw Data'!$M$6:$M$4731,"New")+SUMIFS('Diags Raw Data'!$AC$6:$AC$4731,'Diags Raw Data'!$D$6:$D$4731,$A18,'Diags Raw Data'!$M$6:$M$4731,"Delta")</f>
        <v>0</v>
      </c>
      <c r="S18" s="190">
        <f>SUMIFS('Diags Raw Data'!$AD$6:$AD$4731,'Diags Raw Data'!$D$6:$D$4731,$A18,'Diags Raw Data'!$M$6:$M$4731,"New")+SUMIFS('Diags Raw Data'!$AD$6:$AD$4731,'Diags Raw Data'!$D$6:$D$4731,$A18,'Diags Raw Data'!$M$6:$M$4731,"Delta")</f>
        <v>0</v>
      </c>
      <c r="T18" s="191">
        <f t="shared" ref="T18:T24" si="18">IF(NOT($B18=0), O18/$B18, "---")</f>
        <v>0</v>
      </c>
      <c r="U18" s="216" t="str">
        <f t="shared" ref="U18:U25" si="19">IF(NOT($O18=0), (P18+Q18)/$O18, "---")</f>
        <v>---</v>
      </c>
      <c r="V18" s="218">
        <f>IF(NOT($B18=0), (P18+Q18)/$B18, "---")</f>
        <v>0</v>
      </c>
    </row>
    <row r="19" spans="1:22" x14ac:dyDescent="0.25">
      <c r="A19" s="318" t="s">
        <v>603</v>
      </c>
      <c r="B19" s="239">
        <f>SUMIFS('Diags Raw Data'!$L$6:$L$4731,'Diags Raw Data'!$D$6:$D$4731,$A19,'Diags Raw Data'!$M$6:$M$4731,"New")+SUMIFS('Diags Raw Data'!$L$6:$L$4731,'Diags Raw Data'!$D$6:$D$4731,$A19,'Diags Raw Data'!$M$6:$M$4731,"Delta")</f>
        <v>0</v>
      </c>
      <c r="C19" s="229">
        <f>SUMIFS('Diags Raw Data'!$R$6:$R$4731,'Diags Raw Data'!$D$6:$D$4731,$A19,'Diags Raw Data'!$M$6:$M$4731,"New")+SUMIFS('Diags Raw Data'!$R$6:$R$4731,'Diags Raw Data'!$D$6:$D$4731,$A19,'Diags Raw Data'!$M$6:$M$4731,"Delta")</f>
        <v>0</v>
      </c>
      <c r="D19" s="229">
        <f>SUMIFS('Diags Raw Data'!$K$6:$K$4731,'Diags Raw Data'!$D$6:$D$4731,$A19,'Diags Raw Data'!$M$6:$M$4731,"New")+SUMIFS('Diags Raw Data'!$K$6:$K$4731,'Diags Raw Data'!$D$6:$D$4731,$A19,'Diags Raw Data'!$M$6:$M$4731,"Delta")</f>
        <v>0</v>
      </c>
      <c r="E19" s="229">
        <f>SUMIFS('Diags Raw Data'!$O$6:$O$4731,'Diags Raw Data'!$D$6:$D$4731,$A19,'Diags Raw Data'!$M$6:$M$4731,"New")+SUMIFS('Diags Raw Data'!$O$6:$O$4731,'Diags Raw Data'!$D$6:$D$4731,$A19,'Diags Raw Data'!$M$6:$M$4731,"Delta")</f>
        <v>0</v>
      </c>
      <c r="F19" s="235" t="str">
        <f t="shared" si="15"/>
        <v>---</v>
      </c>
      <c r="G19" s="217">
        <f>SUMIFS('Diags Raw Data'!$S$6:$S$4731,'Diags Raw Data'!$D$6:$D$4731,$A19,'Diags Raw Data'!$M$6:$M$4731,"New")+SUMIFS('Diags Raw Data'!$S$6:$S$4731,'Diags Raw Data'!$D$6:$D$4731,$A19,'Diags Raw Data'!$M$6:$M$4731,"Delta")</f>
        <v>0</v>
      </c>
      <c r="H19" s="213">
        <f>SUMIFS('Diags Raw Data'!$T$6:$T$4731,'Diags Raw Data'!$D$6:$D$4731,$A19,'Diags Raw Data'!$M$6:$M$4731,"New")+SUMIFS('Diags Raw Data'!$T$6:$T$4731,'Diags Raw Data'!$D$6:$D$4731,$A19,'Diags Raw Data'!$M$6:$M$4731,"Delta")</f>
        <v>0</v>
      </c>
      <c r="I19" s="213">
        <f>SUMIFS('Diags Raw Data'!$U$6:$U$4731,'Diags Raw Data'!$D$6:$D$4731,$A19,'Diags Raw Data'!$M$6:$M$4731,"New")+SUMIFS('Diags Raw Data'!$U$6:$U$4731,'Diags Raw Data'!$D$6:$D$4731,$A19,'Diags Raw Data'!$M$6:$M$4731,"Delta")</f>
        <v>0</v>
      </c>
      <c r="J19" s="213">
        <f>SUMIFS('Diags Raw Data'!$V$6:$V$4731,'Diags Raw Data'!$D$6:$D$4731,$A19,'Diags Raw Data'!$M$6:$M$4731,"New")+SUMIFS('Diags Raw Data'!$V$6:$V$4731,'Diags Raw Data'!$D$6:$D$4731,$A19,'Diags Raw Data'!$M$6:$M$4731,"Delta")</f>
        <v>0</v>
      </c>
      <c r="K19" s="213">
        <f>SUMIFS('Diags Raw Data'!$W$6:$W$4731,'Diags Raw Data'!$D$6:$D$4731,$A19,'Diags Raw Data'!$M$6:$M$4731,"New")+SUMIFS('Diags Raw Data'!$W$6:$W$4731,'Diags Raw Data'!$D$6:$D$4731,$A19,'Diags Raw Data'!$M$6:$M$4731,"Delta")</f>
        <v>0</v>
      </c>
      <c r="L19" s="230" t="str">
        <f t="shared" si="16"/>
        <v>---</v>
      </c>
      <c r="M19" s="215" t="str">
        <f t="shared" ref="M19:M25" si="20">IF(NOT($G19=0), (H19+I19)/$G19, "---")</f>
        <v>---</v>
      </c>
      <c r="N19" s="224" t="str">
        <f t="shared" si="17"/>
        <v>---</v>
      </c>
      <c r="O19" s="200">
        <f>SUMIFS('Diags Raw Data'!$Z$6:$Z$4731,'Diags Raw Data'!$D$6:$D$4731,$A19,'Diags Raw Data'!$M$6:$M$4731,"New")+SUMIFS('Diags Raw Data'!$Z$6:$Z$4731,'Diags Raw Data'!$D$6:$D$4731,$A19,'Diags Raw Data'!$M$6:$M$4731,"Delta")</f>
        <v>0</v>
      </c>
      <c r="P19" s="190">
        <f>SUMIFS('Diags Raw Data'!$AA$6:$AA$4731,'Diags Raw Data'!$D$6:$D$4731,$A19,'Diags Raw Data'!$M$6:$M$4731,"New")+SUMIFS('Diags Raw Data'!$AA$6:$AA$4731,'Diags Raw Data'!$D$6:$D$4731,$A19,'Diags Raw Data'!$M$6:$M$4731,"Delta")</f>
        <v>0</v>
      </c>
      <c r="Q19" s="190">
        <f>SUMIFS('Diags Raw Data'!$AB$6:$AB$4731,'Diags Raw Data'!$D$6:$D$4731,$A19,'Diags Raw Data'!$M$6:$M$4731,"New")+SUMIFS('Diags Raw Data'!$AB$6:$AB$4731,'Diags Raw Data'!$D$6:$D$4731,$A19,'Diags Raw Data'!$M$6:$M$4731,"Delta")</f>
        <v>0</v>
      </c>
      <c r="R19" s="190">
        <f>SUMIFS('Diags Raw Data'!$AC$6:$AC$4731,'Diags Raw Data'!$D$6:$D$4731,$A19,'Diags Raw Data'!$M$6:$M$4731,"New")+SUMIFS('Diags Raw Data'!$AC$6:$AC$4731,'Diags Raw Data'!$D$6:$D$4731,$A19,'Diags Raw Data'!$M$6:$M$4731,"Delta")</f>
        <v>0</v>
      </c>
      <c r="S19" s="190">
        <f>SUMIFS('Diags Raw Data'!$AD$6:$AD$4731,'Diags Raw Data'!$D$6:$D$4731,$A19,'Diags Raw Data'!$M$6:$M$4731,"New")+SUMIFS('Diags Raw Data'!$AD$6:$AD$4731,'Diags Raw Data'!$D$6:$D$4731,$A19,'Diags Raw Data'!$M$6:$M$4731,"Delta")</f>
        <v>0</v>
      </c>
      <c r="T19" s="191" t="str">
        <f t="shared" si="18"/>
        <v>---</v>
      </c>
      <c r="U19" s="216" t="str">
        <f t="shared" si="19"/>
        <v>---</v>
      </c>
      <c r="V19" s="218" t="str">
        <f t="shared" ref="V19:V25" si="21">IF(NOT($B19=0), (P19+Q19)/$B19, "---")</f>
        <v>---</v>
      </c>
    </row>
    <row r="20" spans="1:22" x14ac:dyDescent="0.25">
      <c r="A20" s="318" t="s">
        <v>259</v>
      </c>
      <c r="B20" s="239">
        <f>SUMIFS('Diags Raw Data'!$L$6:$L$4731,'Diags Raw Data'!$D$6:$D$4731,$A20,'Diags Raw Data'!$M$6:$M$4731,"New")+SUMIFS('Diags Raw Data'!$L$6:$L$4731,'Diags Raw Data'!$D$6:$D$4731,$A20,'Diags Raw Data'!$M$6:$M$4731,"Delta")</f>
        <v>16</v>
      </c>
      <c r="C20" s="229">
        <f>SUMIFS('Diags Raw Data'!$R$6:$R$4731,'Diags Raw Data'!$D$6:$D$4731,$A20,'Diags Raw Data'!$M$6:$M$4731,"New")+SUMIFS('Diags Raw Data'!$R$6:$R$4731,'Diags Raw Data'!$D$6:$D$4731,$A20,'Diags Raw Data'!$M$6:$M$4731,"Delta")</f>
        <v>16</v>
      </c>
      <c r="D20" s="229">
        <f>SUMIFS('Diags Raw Data'!$K$6:$K$4731,'Diags Raw Data'!$D$6:$D$4731,$A20,'Diags Raw Data'!$M$6:$M$4731,"New")+SUMIFS('Diags Raw Data'!$K$6:$K$4731,'Diags Raw Data'!$D$6:$D$4731,$A20,'Diags Raw Data'!$M$6:$M$4731,"Delta")</f>
        <v>7</v>
      </c>
      <c r="E20" s="229">
        <f>SUMIFS('Diags Raw Data'!$O$6:$O$4731,'Diags Raw Data'!$D$6:$D$4731,$A20,'Diags Raw Data'!$M$6:$M$4731,"New")+SUMIFS('Diags Raw Data'!$O$6:$O$4731,'Diags Raw Data'!$D$6:$D$4731,$A20,'Diags Raw Data'!$M$6:$M$4731,"Delta")</f>
        <v>10</v>
      </c>
      <c r="F20" s="235">
        <f t="shared" ref="F20:F21" si="22">IF(NOT($B20=0), E20/$B20, "---")</f>
        <v>0.625</v>
      </c>
      <c r="G20" s="217">
        <f>SUMIFS('Diags Raw Data'!$S$6:$S$4731,'Diags Raw Data'!$D$6:$D$4731,$A20,'Diags Raw Data'!$M$6:$M$4731,"New")+SUMIFS('Diags Raw Data'!$S$6:$S$4731,'Diags Raw Data'!$D$6:$D$4731,$A20,'Diags Raw Data'!$M$6:$M$4731,"Delta")</f>
        <v>0</v>
      </c>
      <c r="H20" s="213">
        <f>SUMIFS('Diags Raw Data'!$T$6:$T$4731,'Diags Raw Data'!$D$6:$D$4731,$A20,'Diags Raw Data'!$M$6:$M$4731,"New")+SUMIFS('Diags Raw Data'!$T$6:$T$4731,'Diags Raw Data'!$D$6:$D$4731,$A20,'Diags Raw Data'!$M$6:$M$4731,"Delta")</f>
        <v>0</v>
      </c>
      <c r="I20" s="213">
        <f>SUMIFS('Diags Raw Data'!$U$6:$U$4731,'Diags Raw Data'!$D$6:$D$4731,$A20,'Diags Raw Data'!$M$6:$M$4731,"New")+SUMIFS('Diags Raw Data'!$U$6:$U$4731,'Diags Raw Data'!$D$6:$D$4731,$A20,'Diags Raw Data'!$M$6:$M$4731,"Delta")</f>
        <v>0</v>
      </c>
      <c r="J20" s="213">
        <f>SUMIFS('Diags Raw Data'!$V$6:$V$4731,'Diags Raw Data'!$D$6:$D$4731,$A20,'Diags Raw Data'!$M$6:$M$4731,"New")+SUMIFS('Diags Raw Data'!$V$6:$V$4731,'Diags Raw Data'!$D$6:$D$4731,$A20,'Diags Raw Data'!$M$6:$M$4731,"Delta")</f>
        <v>0</v>
      </c>
      <c r="K20" s="213">
        <f>SUMIFS('Diags Raw Data'!$W$6:$W$4731,'Diags Raw Data'!$D$6:$D$4731,$A20,'Diags Raw Data'!$M$6:$M$4731,"New")+SUMIFS('Diags Raw Data'!$W$6:$W$4731,'Diags Raw Data'!$D$6:$D$4731,$A20,'Diags Raw Data'!$M$6:$M$4731,"Delta")</f>
        <v>0</v>
      </c>
      <c r="L20" s="230">
        <f t="shared" ref="L20:L21" si="23">IF(NOT($C20=0), G20/$C20, "---")</f>
        <v>0</v>
      </c>
      <c r="M20" s="215" t="str">
        <f>IF(NOT($G20=0), (H20+I20)/$G20, "---")</f>
        <v>---</v>
      </c>
      <c r="N20" s="224">
        <f t="shared" ref="N20:N21" si="24">IF(NOT($C20=0), (H20+I20)/$C20, "---")</f>
        <v>0</v>
      </c>
      <c r="O20" s="200">
        <f>SUMIFS('Diags Raw Data'!$Z$6:$Z$4731,'Diags Raw Data'!$D$6:$D$4731,$A20,'Diags Raw Data'!$M$6:$M$4731,"New")+SUMIFS('Diags Raw Data'!$Z$6:$Z$4731,'Diags Raw Data'!$D$6:$D$4731,$A20,'Diags Raw Data'!$M$6:$M$4731,"Delta")</f>
        <v>0</v>
      </c>
      <c r="P20" s="190">
        <f>SUMIFS('Diags Raw Data'!$AA$6:$AA$4731,'Diags Raw Data'!$D$6:$D$4731,$A20,'Diags Raw Data'!$M$6:$M$4731,"New")+SUMIFS('Diags Raw Data'!$AA$6:$AA$4731,'Diags Raw Data'!$D$6:$D$4731,$A20,'Diags Raw Data'!$M$6:$M$4731,"Delta")</f>
        <v>0</v>
      </c>
      <c r="Q20" s="190">
        <f>SUMIFS('Diags Raw Data'!$AB$6:$AB$4731,'Diags Raw Data'!$D$6:$D$4731,$A20,'Diags Raw Data'!$M$6:$M$4731,"New")+SUMIFS('Diags Raw Data'!$AB$6:$AB$4731,'Diags Raw Data'!$D$6:$D$4731,$A20,'Diags Raw Data'!$M$6:$M$4731,"Delta")</f>
        <v>0</v>
      </c>
      <c r="R20" s="190">
        <f>SUMIFS('Diags Raw Data'!$AC$6:$AC$4731,'Diags Raw Data'!$D$6:$D$4731,$A20,'Diags Raw Data'!$M$6:$M$4731,"New")+SUMIFS('Diags Raw Data'!$AC$6:$AC$4731,'Diags Raw Data'!$D$6:$D$4731,$A20,'Diags Raw Data'!$M$6:$M$4731,"Delta")</f>
        <v>0</v>
      </c>
      <c r="S20" s="190">
        <f>SUMIFS('Diags Raw Data'!$AD$6:$AD$4731,'Diags Raw Data'!$D$6:$D$4731,$A20,'Diags Raw Data'!$M$6:$M$4731,"New")+SUMIFS('Diags Raw Data'!$AD$6:$AD$4731,'Diags Raw Data'!$D$6:$D$4731,$A20,'Diags Raw Data'!$M$6:$M$4731,"Delta")</f>
        <v>0</v>
      </c>
      <c r="T20" s="191">
        <f t="shared" ref="T20:T21" si="25">IF(NOT($B20=0), O20/$B20, "---")</f>
        <v>0</v>
      </c>
      <c r="U20" s="216" t="str">
        <f t="shared" ref="U20:U21" si="26">IF(NOT($O20=0), (P20+Q20)/$O20, "---")</f>
        <v>---</v>
      </c>
      <c r="V20" s="218">
        <f t="shared" ref="V20:V21" si="27">IF(NOT($B20=0), (P20+Q20)/$B20, "---")</f>
        <v>0</v>
      </c>
    </row>
    <row r="21" spans="1:22" x14ac:dyDescent="0.25">
      <c r="A21" s="318" t="s">
        <v>604</v>
      </c>
      <c r="B21" s="239">
        <f>SUMIFS('Diags Raw Data'!$L$6:$L$4731,'Diags Raw Data'!$D$6:$D$4731,$A21,'Diags Raw Data'!$M$6:$M$4731,"New")+SUMIFS('Diags Raw Data'!$L$6:$L$4731,'Diags Raw Data'!$D$6:$D$4731,$A21,'Diags Raw Data'!$M$6:$M$4731,"Delta")</f>
        <v>15</v>
      </c>
      <c r="C21" s="229">
        <f>SUMIFS('Diags Raw Data'!$R$6:$R$4731,'Diags Raw Data'!$D$6:$D$4731,$A21,'Diags Raw Data'!$M$6:$M$4731,"New")+SUMIFS('Diags Raw Data'!$R$6:$R$4731,'Diags Raw Data'!$D$6:$D$4731,$A21,'Diags Raw Data'!$M$6:$M$4731,"Delta")</f>
        <v>15</v>
      </c>
      <c r="D21" s="229">
        <f>SUMIFS('Diags Raw Data'!$K$6:$K$4731,'Diags Raw Data'!$D$6:$D$4731,$A21,'Diags Raw Data'!$M$6:$M$4731,"New")+SUMIFS('Diags Raw Data'!$K$6:$K$4731,'Diags Raw Data'!$D$6:$D$4731,$A21,'Diags Raw Data'!$M$6:$M$4731,"Delta")</f>
        <v>3</v>
      </c>
      <c r="E21" s="229">
        <f>SUMIFS('Diags Raw Data'!$O$6:$O$4731,'Diags Raw Data'!$D$6:$D$4731,$A21,'Diags Raw Data'!$M$6:$M$4731,"New")+SUMIFS('Diags Raw Data'!$O$6:$O$4731,'Diags Raw Data'!$D$6:$D$4731,$A21,'Diags Raw Data'!$M$6:$M$4731,"Delta")</f>
        <v>14</v>
      </c>
      <c r="F21" s="235">
        <f t="shared" si="22"/>
        <v>0.93333333333333335</v>
      </c>
      <c r="G21" s="217">
        <f>SUMIFS('Diags Raw Data'!$S$6:$S$4731,'Diags Raw Data'!$D$6:$D$4731,$A21,'Diags Raw Data'!$M$6:$M$4731,"New")+SUMIFS('Diags Raw Data'!$S$6:$S$4731,'Diags Raw Data'!$D$6:$D$4731,$A21,'Diags Raw Data'!$M$6:$M$4731,"Delta")</f>
        <v>0</v>
      </c>
      <c r="H21" s="213">
        <f>SUMIFS('Diags Raw Data'!$T$6:$T$4731,'Diags Raw Data'!$D$6:$D$4731,$A21,'Diags Raw Data'!$M$6:$M$4731,"New")+SUMIFS('Diags Raw Data'!$T$6:$T$4731,'Diags Raw Data'!$D$6:$D$4731,$A21,'Diags Raw Data'!$M$6:$M$4731,"Delta")</f>
        <v>0</v>
      </c>
      <c r="I21" s="213">
        <f>SUMIFS('Diags Raw Data'!$U$6:$U$4731,'Diags Raw Data'!$D$6:$D$4731,$A21,'Diags Raw Data'!$M$6:$M$4731,"New")+SUMIFS('Diags Raw Data'!$U$6:$U$4731,'Diags Raw Data'!$D$6:$D$4731,$A21,'Diags Raw Data'!$M$6:$M$4731,"Delta")</f>
        <v>0</v>
      </c>
      <c r="J21" s="213">
        <f>SUMIFS('Diags Raw Data'!$V$6:$V$4731,'Diags Raw Data'!$D$6:$D$4731,$A21,'Diags Raw Data'!$M$6:$M$4731,"New")+SUMIFS('Diags Raw Data'!$V$6:$V$4731,'Diags Raw Data'!$D$6:$D$4731,$A21,'Diags Raw Data'!$M$6:$M$4731,"Delta")</f>
        <v>0</v>
      </c>
      <c r="K21" s="213">
        <f>SUMIFS('Diags Raw Data'!$W$6:$W$4731,'Diags Raw Data'!$D$6:$D$4731,$A21,'Diags Raw Data'!$M$6:$M$4731,"New")+SUMIFS('Diags Raw Data'!$W$6:$W$4731,'Diags Raw Data'!$D$6:$D$4731,$A21,'Diags Raw Data'!$M$6:$M$4731,"Delta")</f>
        <v>0</v>
      </c>
      <c r="L21" s="230">
        <f t="shared" si="23"/>
        <v>0</v>
      </c>
      <c r="M21" s="215" t="str">
        <f t="shared" ref="M21" si="28">IF(NOT($G21=0), (H21+I21)/$G21, "---")</f>
        <v>---</v>
      </c>
      <c r="N21" s="224">
        <f t="shared" si="24"/>
        <v>0</v>
      </c>
      <c r="O21" s="200">
        <f>SUMIFS('Diags Raw Data'!$Z$6:$Z$4731,'Diags Raw Data'!$D$6:$D$4731,$A21,'Diags Raw Data'!$M$6:$M$4731,"New")+SUMIFS('Diags Raw Data'!$Z$6:$Z$4731,'Diags Raw Data'!$D$6:$D$4731,$A21,'Diags Raw Data'!$M$6:$M$4731,"Delta")</f>
        <v>0</v>
      </c>
      <c r="P21" s="190">
        <f>SUMIFS('Diags Raw Data'!$AA$6:$AA$4731,'Diags Raw Data'!$D$6:$D$4731,$A21,'Diags Raw Data'!$M$6:$M$4731,"New")+SUMIFS('Diags Raw Data'!$AA$6:$AA$4731,'Diags Raw Data'!$D$6:$D$4731,$A21,'Diags Raw Data'!$M$6:$M$4731,"Delta")</f>
        <v>0</v>
      </c>
      <c r="Q21" s="190">
        <f>SUMIFS('Diags Raw Data'!$AB$6:$AB$4731,'Diags Raw Data'!$D$6:$D$4731,$A21,'Diags Raw Data'!$M$6:$M$4731,"New")+SUMIFS('Diags Raw Data'!$AB$6:$AB$4731,'Diags Raw Data'!$D$6:$D$4731,$A21,'Diags Raw Data'!$M$6:$M$4731,"Delta")</f>
        <v>0</v>
      </c>
      <c r="R21" s="190">
        <f>SUMIFS('Diags Raw Data'!$AC$6:$AC$4731,'Diags Raw Data'!$D$6:$D$4731,$A21,'Diags Raw Data'!$M$6:$M$4731,"New")+SUMIFS('Diags Raw Data'!$AC$6:$AC$4731,'Diags Raw Data'!$D$6:$D$4731,$A21,'Diags Raw Data'!$M$6:$M$4731,"Delta")</f>
        <v>0</v>
      </c>
      <c r="S21" s="190">
        <f>SUMIFS('Diags Raw Data'!$AD$6:$AD$4731,'Diags Raw Data'!$D$6:$D$4731,$A21,'Diags Raw Data'!$M$6:$M$4731,"New")+SUMIFS('Diags Raw Data'!$AD$6:$AD$4731,'Diags Raw Data'!$D$6:$D$4731,$A21,'Diags Raw Data'!$M$6:$M$4731,"Delta")</f>
        <v>0</v>
      </c>
      <c r="T21" s="191">
        <f t="shared" si="25"/>
        <v>0</v>
      </c>
      <c r="U21" s="216" t="str">
        <f t="shared" si="26"/>
        <v>---</v>
      </c>
      <c r="V21" s="218">
        <f t="shared" si="27"/>
        <v>0</v>
      </c>
    </row>
    <row r="22" spans="1:22" x14ac:dyDescent="0.25">
      <c r="A22" s="318" t="s">
        <v>276</v>
      </c>
      <c r="B22" s="239">
        <f>SUMIFS('Diags Raw Data'!$L$6:$L$4731,'Diags Raw Data'!$D$6:$D$4731,$A22,'Diags Raw Data'!$M$6:$M$4731,"New")+SUMIFS('Diags Raw Data'!$L$6:$L$4731,'Diags Raw Data'!$D$6:$D$4731,$A22,'Diags Raw Data'!$M$6:$M$4731,"Delta")</f>
        <v>2</v>
      </c>
      <c r="C22" s="229">
        <f>SUMIFS('Diags Raw Data'!$R$6:$R$4731,'Diags Raw Data'!$D$6:$D$4731,$A22,'Diags Raw Data'!$M$6:$M$4731,"New")+SUMIFS('Diags Raw Data'!$R$6:$R$4731,'Diags Raw Data'!$D$6:$D$4731,$A22,'Diags Raw Data'!$M$6:$M$4731,"Delta")</f>
        <v>2</v>
      </c>
      <c r="D22" s="229">
        <f>SUMIFS('Diags Raw Data'!$K$6:$K$4731,'Diags Raw Data'!$D$6:$D$4731,$A22,'Diags Raw Data'!$M$6:$M$4731,"New")+SUMIFS('Diags Raw Data'!$K$6:$K$4731,'Diags Raw Data'!$D$6:$D$4731,$A22,'Diags Raw Data'!$M$6:$M$4731,"Delta")</f>
        <v>2</v>
      </c>
      <c r="E22" s="229">
        <f>SUMIFS('Diags Raw Data'!$O$6:$O$4731,'Diags Raw Data'!$D$6:$D$4731,$A22,'Diags Raw Data'!$M$6:$M$4731,"New")+SUMIFS('Diags Raw Data'!$O$6:$O$4731,'Diags Raw Data'!$D$6:$D$4731,$A22,'Diags Raw Data'!$M$6:$M$4731,"Delta")</f>
        <v>2</v>
      </c>
      <c r="F22" s="235">
        <f t="shared" si="15"/>
        <v>1</v>
      </c>
      <c r="G22" s="217">
        <f>SUMIFS('Diags Raw Data'!$S$6:$S$4731,'Diags Raw Data'!$D$6:$D$4731,$A22,'Diags Raw Data'!$M$6:$M$4731,"New")+SUMIFS('Diags Raw Data'!$S$6:$S$4731,'Diags Raw Data'!$D$6:$D$4731,$A22,'Diags Raw Data'!$M$6:$M$4731,"Delta")</f>
        <v>0</v>
      </c>
      <c r="H22" s="213">
        <f>SUMIFS('Diags Raw Data'!$T$6:$T$4731,'Diags Raw Data'!$D$6:$D$4731,$A22,'Diags Raw Data'!$M$6:$M$4731,"New")+SUMIFS('Diags Raw Data'!$T$6:$T$4731,'Diags Raw Data'!$D$6:$D$4731,$A22,'Diags Raw Data'!$M$6:$M$4731,"Delta")</f>
        <v>0</v>
      </c>
      <c r="I22" s="213">
        <f>SUMIFS('Diags Raw Data'!$U$6:$U$4731,'Diags Raw Data'!$D$6:$D$4731,$A22,'Diags Raw Data'!$M$6:$M$4731,"New")+SUMIFS('Diags Raw Data'!$U$6:$U$4731,'Diags Raw Data'!$D$6:$D$4731,$A22,'Diags Raw Data'!$M$6:$M$4731,"Delta")</f>
        <v>0</v>
      </c>
      <c r="J22" s="213">
        <f>SUMIFS('Diags Raw Data'!$V$6:$V$4731,'Diags Raw Data'!$D$6:$D$4731,$A22,'Diags Raw Data'!$M$6:$M$4731,"New")+SUMIFS('Diags Raw Data'!$V$6:$V$4731,'Diags Raw Data'!$D$6:$D$4731,$A22,'Diags Raw Data'!$M$6:$M$4731,"Delta")</f>
        <v>0</v>
      </c>
      <c r="K22" s="213">
        <f>SUMIFS('Diags Raw Data'!$W$6:$W$4731,'Diags Raw Data'!$D$6:$D$4731,$A22,'Diags Raw Data'!$M$6:$M$4731,"New")+SUMIFS('Diags Raw Data'!$W$6:$W$4731,'Diags Raw Data'!$D$6:$D$4731,$A22,'Diags Raw Data'!$M$6:$M$4731,"Delta")</f>
        <v>0</v>
      </c>
      <c r="L22" s="230">
        <f t="shared" si="16"/>
        <v>0</v>
      </c>
      <c r="M22" s="215" t="str">
        <f>IF(NOT($G22=0), (H22+I22)/$G22, "---")</f>
        <v>---</v>
      </c>
      <c r="N22" s="224">
        <f t="shared" si="17"/>
        <v>0</v>
      </c>
      <c r="O22" s="200">
        <f>SUMIFS('Diags Raw Data'!$Z$6:$Z$4731,'Diags Raw Data'!$D$6:$D$4731,$A22,'Diags Raw Data'!$M$6:$M$4731,"New")+SUMIFS('Diags Raw Data'!$Z$6:$Z$4731,'Diags Raw Data'!$D$6:$D$4731,$A22,'Diags Raw Data'!$M$6:$M$4731,"Delta")</f>
        <v>0</v>
      </c>
      <c r="P22" s="190">
        <f>SUMIFS('Diags Raw Data'!$AA$6:$AA$4731,'Diags Raw Data'!$D$6:$D$4731,$A22,'Diags Raw Data'!$M$6:$M$4731,"New")+SUMIFS('Diags Raw Data'!$AA$6:$AA$4731,'Diags Raw Data'!$D$6:$D$4731,$A22,'Diags Raw Data'!$M$6:$M$4731,"Delta")</f>
        <v>0</v>
      </c>
      <c r="Q22" s="190">
        <f>SUMIFS('Diags Raw Data'!$AB$6:$AB$4731,'Diags Raw Data'!$D$6:$D$4731,$A22,'Diags Raw Data'!$M$6:$M$4731,"New")+SUMIFS('Diags Raw Data'!$AB$6:$AB$4731,'Diags Raw Data'!$D$6:$D$4731,$A22,'Diags Raw Data'!$M$6:$M$4731,"Delta")</f>
        <v>0</v>
      </c>
      <c r="R22" s="190">
        <f>SUMIFS('Diags Raw Data'!$AC$6:$AC$4731,'Diags Raw Data'!$D$6:$D$4731,$A22,'Diags Raw Data'!$M$6:$M$4731,"New")+SUMIFS('Diags Raw Data'!$AC$6:$AC$4731,'Diags Raw Data'!$D$6:$D$4731,$A22,'Diags Raw Data'!$M$6:$M$4731,"Delta")</f>
        <v>0</v>
      </c>
      <c r="S22" s="190">
        <f>SUMIFS('Diags Raw Data'!$AD$6:$AD$4731,'Diags Raw Data'!$D$6:$D$4731,$A22,'Diags Raw Data'!$M$6:$M$4731,"New")+SUMIFS('Diags Raw Data'!$AD$6:$AD$4731,'Diags Raw Data'!$D$6:$D$4731,$A22,'Diags Raw Data'!$M$6:$M$4731,"Delta")</f>
        <v>0</v>
      </c>
      <c r="T22" s="191">
        <f t="shared" si="18"/>
        <v>0</v>
      </c>
      <c r="U22" s="216" t="str">
        <f t="shared" si="19"/>
        <v>---</v>
      </c>
      <c r="V22" s="218">
        <f t="shared" si="21"/>
        <v>0</v>
      </c>
    </row>
    <row r="23" spans="1:22" x14ac:dyDescent="0.25">
      <c r="A23" s="318" t="s">
        <v>605</v>
      </c>
      <c r="B23" s="239">
        <f>SUMIFS('Diags Raw Data'!$L$6:$L$4731,'Diags Raw Data'!$D$6:$D$4731,$A23,'Diags Raw Data'!$M$6:$M$4731,"New")+SUMIFS('Diags Raw Data'!$L$6:$L$4731,'Diags Raw Data'!$D$6:$D$4731,$A23,'Diags Raw Data'!$M$6:$M$4731,"Delta")</f>
        <v>6</v>
      </c>
      <c r="C23" s="229">
        <f>SUMIFS('Diags Raw Data'!$R$6:$R$4731,'Diags Raw Data'!$D$6:$D$4731,$A23,'Diags Raw Data'!$M$6:$M$4731,"New")+SUMIFS('Diags Raw Data'!$R$6:$R$4731,'Diags Raw Data'!$D$6:$D$4731,$A23,'Diags Raw Data'!$M$6:$M$4731,"Delta")</f>
        <v>6</v>
      </c>
      <c r="D23" s="229">
        <f>SUMIFS('Diags Raw Data'!$K$6:$K$4731,'Diags Raw Data'!$D$6:$D$4731,$A23,'Diags Raw Data'!$M$6:$M$4731,"New")+SUMIFS('Diags Raw Data'!$K$6:$K$4731,'Diags Raw Data'!$D$6:$D$4731,$A23,'Diags Raw Data'!$M$6:$M$4731,"Delta")</f>
        <v>4</v>
      </c>
      <c r="E23" s="229">
        <f>SUMIFS('Diags Raw Data'!$O$6:$O$4731,'Diags Raw Data'!$D$6:$D$4731,$A23,'Diags Raw Data'!$M$6:$M$4731,"New")+SUMIFS('Diags Raw Data'!$O$6:$O$4731,'Diags Raw Data'!$D$6:$D$4731,$A23,'Diags Raw Data'!$M$6:$M$4731,"Delta")</f>
        <v>0</v>
      </c>
      <c r="F23" s="235">
        <f t="shared" si="15"/>
        <v>0</v>
      </c>
      <c r="G23" s="217">
        <f>SUMIFS('Diags Raw Data'!$S$6:$S$4731,'Diags Raw Data'!$D$6:$D$4731,$A23,'Diags Raw Data'!$M$6:$M$4731,"New")+SUMIFS('Diags Raw Data'!$S$6:$S$4731,'Diags Raw Data'!$D$6:$D$4731,$A23,'Diags Raw Data'!$M$6:$M$4731,"Delta")</f>
        <v>0</v>
      </c>
      <c r="H23" s="213">
        <f>SUMIFS('Diags Raw Data'!$T$6:$T$4731,'Diags Raw Data'!$D$6:$D$4731,$A23,'Diags Raw Data'!$M$6:$M$4731,"New")+SUMIFS('Diags Raw Data'!$T$6:$T$4731,'Diags Raw Data'!$D$6:$D$4731,$A23,'Diags Raw Data'!$M$6:$M$4731,"Delta")</f>
        <v>0</v>
      </c>
      <c r="I23" s="213">
        <f>SUMIFS('Diags Raw Data'!$U$6:$U$4731,'Diags Raw Data'!$D$6:$D$4731,$A23,'Diags Raw Data'!$M$6:$M$4731,"New")+SUMIFS('Diags Raw Data'!$U$6:$U$4731,'Diags Raw Data'!$D$6:$D$4731,$A23,'Diags Raw Data'!$M$6:$M$4731,"Delta")</f>
        <v>0</v>
      </c>
      <c r="J23" s="213">
        <f>SUMIFS('Diags Raw Data'!$V$6:$V$4731,'Diags Raw Data'!$D$6:$D$4731,$A23,'Diags Raw Data'!$M$6:$M$4731,"New")+SUMIFS('Diags Raw Data'!$V$6:$V$4731,'Diags Raw Data'!$D$6:$D$4731,$A23,'Diags Raw Data'!$M$6:$M$4731,"Delta")</f>
        <v>0</v>
      </c>
      <c r="K23" s="213">
        <f>SUMIFS('Diags Raw Data'!$W$6:$W$4731,'Diags Raw Data'!$D$6:$D$4731,$A23,'Diags Raw Data'!$M$6:$M$4731,"New")+SUMIFS('Diags Raw Data'!$W$6:$W$4731,'Diags Raw Data'!$D$6:$D$4731,$A23,'Diags Raw Data'!$M$6:$M$4731,"Delta")</f>
        <v>0</v>
      </c>
      <c r="L23" s="230">
        <f t="shared" si="16"/>
        <v>0</v>
      </c>
      <c r="M23" s="215" t="str">
        <f t="shared" si="20"/>
        <v>---</v>
      </c>
      <c r="N23" s="224">
        <f t="shared" si="17"/>
        <v>0</v>
      </c>
      <c r="O23" s="200">
        <f>SUMIFS('Diags Raw Data'!$Z$6:$Z$4731,'Diags Raw Data'!$D$6:$D$4731,$A23,'Diags Raw Data'!$M$6:$M$4731,"New")+SUMIFS('Diags Raw Data'!$Z$6:$Z$4731,'Diags Raw Data'!$D$6:$D$4731,$A23,'Diags Raw Data'!$M$6:$M$4731,"Delta")</f>
        <v>0</v>
      </c>
      <c r="P23" s="190">
        <f>SUMIFS('Diags Raw Data'!$AA$6:$AA$4731,'Diags Raw Data'!$D$6:$D$4731,$A23,'Diags Raw Data'!$M$6:$M$4731,"New")+SUMIFS('Diags Raw Data'!$AA$6:$AA$4731,'Diags Raw Data'!$D$6:$D$4731,$A23,'Diags Raw Data'!$M$6:$M$4731,"Delta")</f>
        <v>0</v>
      </c>
      <c r="Q23" s="190">
        <f>SUMIFS('Diags Raw Data'!$AB$6:$AB$4731,'Diags Raw Data'!$D$6:$D$4731,$A23,'Diags Raw Data'!$M$6:$M$4731,"New")+SUMIFS('Diags Raw Data'!$AB$6:$AB$4731,'Diags Raw Data'!$D$6:$D$4731,$A23,'Diags Raw Data'!$M$6:$M$4731,"Delta")</f>
        <v>0</v>
      </c>
      <c r="R23" s="190">
        <f>SUMIFS('Diags Raw Data'!$AC$6:$AC$4731,'Diags Raw Data'!$D$6:$D$4731,$A23,'Diags Raw Data'!$M$6:$M$4731,"New")+SUMIFS('Diags Raw Data'!$AC$6:$AC$4731,'Diags Raw Data'!$D$6:$D$4731,$A23,'Diags Raw Data'!$M$6:$M$4731,"Delta")</f>
        <v>0</v>
      </c>
      <c r="S23" s="190">
        <f>SUMIFS('Diags Raw Data'!$AD$6:$AD$4731,'Diags Raw Data'!$D$6:$D$4731,$A23,'Diags Raw Data'!$M$6:$M$4731,"New")+SUMIFS('Diags Raw Data'!$AD$6:$AD$4731,'Diags Raw Data'!$D$6:$D$4731,$A23,'Diags Raw Data'!$M$6:$M$4731,"Delta")</f>
        <v>0</v>
      </c>
      <c r="T23" s="191">
        <f t="shared" si="18"/>
        <v>0</v>
      </c>
      <c r="U23" s="216" t="str">
        <f t="shared" si="19"/>
        <v>---</v>
      </c>
      <c r="V23" s="218">
        <f t="shared" si="21"/>
        <v>0</v>
      </c>
    </row>
    <row r="24" spans="1:22" ht="15.75" thickBot="1" x14ac:dyDescent="0.3">
      <c r="A24" s="319" t="s">
        <v>346</v>
      </c>
      <c r="B24" s="240">
        <f>SUMIFS('Diags Raw Data'!$L$6:$L$4731,'Diags Raw Data'!$D$6:$D$4731,$A24,'Diags Raw Data'!$M$6:$M$4731,"New")+SUMIFS('Diags Raw Data'!$L$6:$L$4731,'Diags Raw Data'!$D$6:$D$4731,$A24,'Diags Raw Data'!$M$6:$M$4731,"Delta")</f>
        <v>1</v>
      </c>
      <c r="C24" s="231">
        <f>SUMIFS('Diags Raw Data'!$R$6:$R$4731,'Diags Raw Data'!$D$6:$D$4731,$A24,'Diags Raw Data'!$M$6:$M$4731,"New")+SUMIFS('Diags Raw Data'!$R$6:$R$4731,'Diags Raw Data'!$D$6:$D$4731,$A24,'Diags Raw Data'!$M$6:$M$4731,"Delta")</f>
        <v>1</v>
      </c>
      <c r="D24" s="231">
        <f>SUMIFS('Diags Raw Data'!$K$6:$K$4731,'Diags Raw Data'!$D$6:$D$4731,$A24,'Diags Raw Data'!$M$6:$M$4731,"New")+SUMIFS('Diags Raw Data'!$K$6:$K$4731,'Diags Raw Data'!$D$6:$D$4731,$A24,'Diags Raw Data'!$M$6:$M$4731,"Delta")</f>
        <v>1</v>
      </c>
      <c r="E24" s="231">
        <f>SUMIFS('Diags Raw Data'!$O$6:$O$4731,'Diags Raw Data'!$D$6:$D$4731,$A24,'Diags Raw Data'!$M$6:$M$4731,"New")+SUMIFS('Diags Raw Data'!$O$6:$O$4731,'Diags Raw Data'!$D$6:$D$4731,$A24,'Diags Raw Data'!$M$6:$M$4731,"Delta")</f>
        <v>1</v>
      </c>
      <c r="F24" s="236">
        <f t="shared" si="15"/>
        <v>1</v>
      </c>
      <c r="G24" s="219">
        <f>SUMIFS('Diags Raw Data'!$S$6:$S$4731,'Diags Raw Data'!$D$6:$D$4731,$A24,'Diags Raw Data'!$M$6:$M$4731,"New")+SUMIFS('Diags Raw Data'!$S$6:$S$4731,'Diags Raw Data'!$D$6:$D$4731,$A24,'Diags Raw Data'!$M$6:$M$4731,"Delta")</f>
        <v>0</v>
      </c>
      <c r="H24" s="220">
        <f>SUMIFS('Diags Raw Data'!$T$6:$T$4731,'Diags Raw Data'!$D$6:$D$4731,$A24,'Diags Raw Data'!$M$6:$M$4731,"New")+SUMIFS('Diags Raw Data'!$T$6:$T$4731,'Diags Raw Data'!$D$6:$D$4731,$A24,'Diags Raw Data'!$M$6:$M$4731,"Delta")</f>
        <v>0</v>
      </c>
      <c r="I24" s="220">
        <f>SUMIFS('Diags Raw Data'!$U$6:$U$4731,'Diags Raw Data'!$D$6:$D$4731,$A24,'Diags Raw Data'!$M$6:$M$4731,"New")+SUMIFS('Diags Raw Data'!$U$6:$U$4731,'Diags Raw Data'!$D$6:$D$4731,$A24,'Diags Raw Data'!$M$6:$M$4731,"Delta")</f>
        <v>0</v>
      </c>
      <c r="J24" s="220">
        <f>SUMIFS('Diags Raw Data'!$V$6:$V$4731,'Diags Raw Data'!$D$6:$D$4731,$A24,'Diags Raw Data'!$M$6:$M$4731,"New")+SUMIFS('Diags Raw Data'!$V$6:$V$4731,'Diags Raw Data'!$D$6:$D$4731,$A24,'Diags Raw Data'!$M$6:$M$4731,"Delta")</f>
        <v>0</v>
      </c>
      <c r="K24" s="220">
        <f>SUMIFS('Diags Raw Data'!$W$6:$W$4731,'Diags Raw Data'!$D$6:$D$4731,$A24,'Diags Raw Data'!$M$6:$M$4731,"New")+SUMIFS('Diags Raw Data'!$W$6:$W$4731,'Diags Raw Data'!$D$6:$D$4731,$A24,'Diags Raw Data'!$M$6:$M$4731,"Delta")</f>
        <v>0</v>
      </c>
      <c r="L24" s="232">
        <f t="shared" si="16"/>
        <v>0</v>
      </c>
      <c r="M24" s="222" t="str">
        <f t="shared" si="20"/>
        <v>---</v>
      </c>
      <c r="N24" s="225">
        <f t="shared" si="17"/>
        <v>0</v>
      </c>
      <c r="O24" s="201">
        <f>SUMIFS('Diags Raw Data'!$Z$6:$Z$4731,'Diags Raw Data'!$D$6:$D$4731,$A24,'Diags Raw Data'!$M$6:$M$4731,"New")+SUMIFS('Diags Raw Data'!$Z$6:$Z$4731,'Diags Raw Data'!$D$6:$D$4731,$A24,'Diags Raw Data'!$M$6:$M$4731,"Delta")</f>
        <v>0</v>
      </c>
      <c r="P24" s="193">
        <f>SUMIFS('Diags Raw Data'!$AA$6:$AA$4731,'Diags Raw Data'!$D$6:$D$4731,$A24,'Diags Raw Data'!$M$6:$M$4731,"New")+SUMIFS('Diags Raw Data'!$AA$6:$AA$4731,'Diags Raw Data'!$D$6:$D$4731,$A24,'Diags Raw Data'!$M$6:$M$4731,"Delta")</f>
        <v>0</v>
      </c>
      <c r="Q24" s="193">
        <f>SUMIFS('Diags Raw Data'!$AB$6:$AB$4731,'Diags Raw Data'!$D$6:$D$4731,$A24,'Diags Raw Data'!$M$6:$M$4731,"New")+SUMIFS('Diags Raw Data'!$AB$6:$AB$4731,'Diags Raw Data'!$D$6:$D$4731,$A24,'Diags Raw Data'!$M$6:$M$4731,"Delta")</f>
        <v>0</v>
      </c>
      <c r="R24" s="193">
        <f>SUMIFS('Diags Raw Data'!$AC$6:$AC$4731,'Diags Raw Data'!$D$6:$D$4731,$A24,'Diags Raw Data'!$M$6:$M$4731,"New")+SUMIFS('Diags Raw Data'!$AC$6:$AC$4731,'Diags Raw Data'!$D$6:$D$4731,$A24,'Diags Raw Data'!$M$6:$M$4731,"Delta")</f>
        <v>0</v>
      </c>
      <c r="S24" s="193">
        <f>SUMIFS('Diags Raw Data'!$AD$6:$AD$4731,'Diags Raw Data'!$D$6:$D$4731,$A24,'Diags Raw Data'!$M$6:$M$4731,"New")+SUMIFS('Diags Raw Data'!$AD$6:$AD$4731,'Diags Raw Data'!$D$6:$D$4731,$A24,'Diags Raw Data'!$M$6:$M$4731,"Delta")</f>
        <v>0</v>
      </c>
      <c r="T24" s="194">
        <f t="shared" si="18"/>
        <v>0</v>
      </c>
      <c r="U24" s="226" t="str">
        <f t="shared" si="19"/>
        <v>---</v>
      </c>
      <c r="V24" s="223">
        <f t="shared" si="21"/>
        <v>0</v>
      </c>
    </row>
    <row r="25" spans="1:22" ht="16.5" thickBot="1" x14ac:dyDescent="0.3">
      <c r="A25" s="242" t="s">
        <v>370</v>
      </c>
      <c r="B25" s="243">
        <f>SUM(B17:B24)</f>
        <v>70</v>
      </c>
      <c r="C25" s="244">
        <f>SUM(C17:C24)</f>
        <v>70</v>
      </c>
      <c r="D25" s="244">
        <f>SUM(D17:D24)</f>
        <v>28</v>
      </c>
      <c r="E25" s="244">
        <f>SUM(E17:E24)</f>
        <v>56</v>
      </c>
      <c r="F25" s="245" cm="1">
        <f t="array" ref="F25">SUMPRODUCT(--(ISNUMBER(SEARCH("New",'Diags Raw Data'!$M$6:$M$4731))),'Diags Raw Data'!$K$6:$K$4731,'Diags Raw Data'!$P$6:$P$4731)/D25+SUMPRODUCT(--(ISNUMBER(SEARCH("Delta",'Diags Raw Data'!$M$6:$M$4731))),'Diags Raw Data'!$K$6:$K$4731,'Diags Raw Data'!$P$6:$P$4731)/D25</f>
        <v>0.64285714285714279</v>
      </c>
      <c r="G25" s="246">
        <f>SUM(G17:G24)</f>
        <v>0</v>
      </c>
      <c r="H25" s="247">
        <f>SUM(H17:H24)</f>
        <v>0</v>
      </c>
      <c r="I25" s="248">
        <f>SUM(I17:I24)</f>
        <v>0</v>
      </c>
      <c r="J25" s="247">
        <f>SUM(J17:J24)</f>
        <v>0</v>
      </c>
      <c r="K25" s="248">
        <f>SUM(K17:K24)</f>
        <v>0</v>
      </c>
      <c r="L25" s="249">
        <f>IF(NOT($C25=0), G25/$C25, "---")</f>
        <v>0</v>
      </c>
      <c r="M25" s="250" t="str">
        <f t="shared" si="20"/>
        <v>---</v>
      </c>
      <c r="N25" s="251">
        <f>IF(NOT($C25=0), (H25+I25)/$C25, "---")</f>
        <v>0</v>
      </c>
      <c r="O25" s="252">
        <f>SUM(O17:O24)</f>
        <v>0</v>
      </c>
      <c r="P25" s="253">
        <f>SUM(P17:P24)</f>
        <v>0</v>
      </c>
      <c r="Q25" s="254">
        <f>SUM(Q17:Q24)</f>
        <v>0</v>
      </c>
      <c r="R25" s="253">
        <f>SUM(R17:R24)</f>
        <v>0</v>
      </c>
      <c r="S25" s="254">
        <f>SUM(S17:S24)</f>
        <v>0</v>
      </c>
      <c r="T25" s="255">
        <f>IF(NOT($B25=0), O25/$B25, "---")</f>
        <v>0</v>
      </c>
      <c r="U25" s="256" t="str">
        <f t="shared" si="19"/>
        <v>---</v>
      </c>
      <c r="V25" s="257">
        <f t="shared" si="21"/>
        <v>0</v>
      </c>
    </row>
    <row r="26" spans="1:22" ht="15.75" thickBot="1" x14ac:dyDescent="0.3">
      <c r="A26" s="233"/>
      <c r="B26" s="233"/>
      <c r="C26" s="233"/>
      <c r="D26" s="233"/>
      <c r="E26" s="233"/>
      <c r="F26" s="233"/>
      <c r="G26" s="233"/>
      <c r="H26" s="233"/>
      <c r="I26" s="233"/>
      <c r="J26" s="233"/>
      <c r="K26" s="233"/>
      <c r="L26" s="233"/>
      <c r="M26" s="233"/>
      <c r="N26" s="233"/>
      <c r="O26" s="233"/>
      <c r="P26" s="233"/>
      <c r="Q26" s="233"/>
      <c r="R26" s="233"/>
      <c r="S26" s="233"/>
      <c r="T26" s="233"/>
      <c r="U26" s="233"/>
      <c r="V26" s="233"/>
    </row>
    <row r="27" spans="1:22" ht="15.75" thickBot="1" x14ac:dyDescent="0.3">
      <c r="A27" s="203" t="s">
        <v>33</v>
      </c>
      <c r="B27" s="554" t="s">
        <v>161</v>
      </c>
      <c r="C27" s="554"/>
      <c r="D27" s="554"/>
      <c r="E27" s="554"/>
      <c r="F27" s="554"/>
      <c r="G27" s="555" t="s">
        <v>172</v>
      </c>
      <c r="H27" s="556"/>
      <c r="I27" s="556"/>
      <c r="J27" s="556"/>
      <c r="K27" s="556"/>
      <c r="L27" s="556"/>
      <c r="M27" s="556"/>
      <c r="N27" s="557"/>
      <c r="O27" s="558" t="s">
        <v>139</v>
      </c>
      <c r="P27" s="559"/>
      <c r="Q27" s="559"/>
      <c r="R27" s="559"/>
      <c r="S27" s="559"/>
      <c r="T27" s="559"/>
      <c r="U27" s="559"/>
      <c r="V27" s="560"/>
    </row>
    <row r="28" spans="1:22" s="237" customFormat="1" ht="15.75" thickBot="1" x14ac:dyDescent="0.3">
      <c r="A28" s="241" t="s">
        <v>83</v>
      </c>
      <c r="B28" s="298" t="s">
        <v>162</v>
      </c>
      <c r="C28" s="299" t="s">
        <v>123</v>
      </c>
      <c r="D28" s="300" t="s">
        <v>100</v>
      </c>
      <c r="E28" s="300" t="s">
        <v>168</v>
      </c>
      <c r="F28" s="301" t="s">
        <v>170</v>
      </c>
      <c r="G28" s="302" t="s">
        <v>127</v>
      </c>
      <c r="H28" s="303" t="s">
        <v>30</v>
      </c>
      <c r="I28" s="303" t="s">
        <v>130</v>
      </c>
      <c r="J28" s="303" t="s">
        <v>35</v>
      </c>
      <c r="K28" s="303" t="s">
        <v>133</v>
      </c>
      <c r="L28" s="303" t="s">
        <v>179</v>
      </c>
      <c r="M28" s="303" t="s">
        <v>135</v>
      </c>
      <c r="N28" s="304" t="s">
        <v>182</v>
      </c>
      <c r="O28" s="305" t="s">
        <v>127</v>
      </c>
      <c r="P28" s="306" t="s">
        <v>30</v>
      </c>
      <c r="Q28" s="306" t="s">
        <v>130</v>
      </c>
      <c r="R28" s="306" t="s">
        <v>35</v>
      </c>
      <c r="S28" s="306" t="s">
        <v>133</v>
      </c>
      <c r="T28" s="306" t="s">
        <v>179</v>
      </c>
      <c r="U28" s="306" t="s">
        <v>135</v>
      </c>
      <c r="V28" s="307" t="s">
        <v>182</v>
      </c>
    </row>
    <row r="29" spans="1:22" x14ac:dyDescent="0.25">
      <c r="A29" s="318" t="s">
        <v>252</v>
      </c>
      <c r="B29" s="238">
        <f>SUMIFS('Diags Raw Data'!$L$6:$L$4731,'Diags Raw Data'!$D$6:$D$4731,$A29,'Diags Raw Data'!$M$6:$M$4731,"Legacy")</f>
        <v>1028</v>
      </c>
      <c r="C29" s="228">
        <f>SUMIFS('Diags Raw Data'!$R$6:$R$4731,'Diags Raw Data'!$D$6:$D$4731,$A29,'Diags Raw Data'!$M$6:$M$4731,"Legacy")</f>
        <v>1028</v>
      </c>
      <c r="D29" s="228">
        <f>SUMIFS('Diags Raw Data'!$K$6:$K$4731,'Diags Raw Data'!$D$6:$D$4731,$A29,'Diags Raw Data'!$M$6:$M$4731,"Legacy")</f>
        <v>39</v>
      </c>
      <c r="E29" s="228">
        <f>SUMIFS('Diags Raw Data'!$O$6:$O$4731,'Diags Raw Data'!$D$6:$D$4731,$A29,'Diags Raw Data'!$M$6:$M$4731,"Legacy")</f>
        <v>738</v>
      </c>
      <c r="F29" s="234">
        <f>IF(NOT($B29=0), E29/$B29, "---")</f>
        <v>0.71789883268482491</v>
      </c>
      <c r="G29" s="206">
        <f>SUMIFS('Diags Raw Data'!$S$6:$S$4731,'Diags Raw Data'!$D$6:$D$4731,$A29,'Diags Raw Data'!$M$6:$M$4731,"Legacy")</f>
        <v>0</v>
      </c>
      <c r="H29" s="207">
        <f>SUMIFS('Diags Raw Data'!$T$6:$T$4731,'Diags Raw Data'!$D$6:$D$4731,$A29,'Diags Raw Data'!$M$6:$M$4731,"Legacy")</f>
        <v>0</v>
      </c>
      <c r="I29" s="209">
        <f>SUMIFS('Diags Raw Data'!$U$6:$U$4731,'Diags Raw Data'!$D$6:$D$4731,$A29,'Diags Raw Data'!$M$6:$M$4731,"Legacy")</f>
        <v>0</v>
      </c>
      <c r="J29" s="207">
        <f>SUMIFS('Diags Raw Data'!$V$6:$V$4731,'Diags Raw Data'!$D$6:$D$4731,$A29,'Diags Raw Data'!$M$6:$M$4731,"Legacy")</f>
        <v>0</v>
      </c>
      <c r="K29" s="209">
        <f>SUMIFS('Diags Raw Data'!$W$6:$W$4731,'Diags Raw Data'!$D$6:$D$4731,$A29,'Diags Raw Data'!$M$6:$M$4731,"Legacy")</f>
        <v>0</v>
      </c>
      <c r="L29" s="208">
        <f>IF(NOT($C29=0), G29/$C29, "---")</f>
        <v>0</v>
      </c>
      <c r="M29" s="210" t="str">
        <f>IF(NOT($G29=0), (H29+I29)/$G29, "---")</f>
        <v>---</v>
      </c>
      <c r="N29" s="212">
        <f>IF(NOT($C29=0), (H29+I29)/$C29, "---")</f>
        <v>0</v>
      </c>
      <c r="O29" s="199">
        <f>SUMIFS('Diags Raw Data'!$Z$6:$Z$4731,'Diags Raw Data'!$D$6:$D$4731,$A29,'Diags Raw Data'!$M$6:$M$4731,"Legacy")</f>
        <v>0</v>
      </c>
      <c r="P29" s="196">
        <f>SUMIFS('Diags Raw Data'!$AA$6:$AA$4731,'Diags Raw Data'!$D$6:$D$4731,$A29,'Diags Raw Data'!$M$6:$M$4731,"Legacy")</f>
        <v>0</v>
      </c>
      <c r="Q29" s="198">
        <f>SUMIFS('Diags Raw Data'!$AB$6:$AB$4731,'Diags Raw Data'!$D$6:$D$4731,$A29,'Diags Raw Data'!$M$6:$M$4731,"Legacy")</f>
        <v>0</v>
      </c>
      <c r="R29" s="196">
        <f>SUMIFS('Diags Raw Data'!$AC$6:$AC$4731,'Diags Raw Data'!$D$6:$D$4731,$A29,'Diags Raw Data'!$M$6:$M$4731,"Legacy")</f>
        <v>0</v>
      </c>
      <c r="S29" s="198">
        <f>SUMIFS('Diags Raw Data'!$AD$6:$AD$4731,'Diags Raw Data'!$D$6:$D$4731,$A29,'Diags Raw Data'!$M$6:$M$4731,"Legacy")</f>
        <v>0</v>
      </c>
      <c r="T29" s="197">
        <f>IF(NOT($B29=0), O29/$B29, "---")</f>
        <v>0</v>
      </c>
      <c r="U29" s="211" t="str">
        <f>IF(NOT($O29=0), (P29+Q29)/$O29, "---")</f>
        <v>---</v>
      </c>
      <c r="V29" s="227">
        <f>IF(NOT($B29=0), (P29+Q29)/$B29, "---")</f>
        <v>0</v>
      </c>
    </row>
    <row r="30" spans="1:22" x14ac:dyDescent="0.25">
      <c r="A30" s="318" t="s">
        <v>261</v>
      </c>
      <c r="B30" s="239">
        <f>SUMIFS('Diags Raw Data'!$L$6:$L$4731,'Diags Raw Data'!$D$6:$D$4731,$A30,'Diags Raw Data'!$M$6:$M$4731,"Legacy")</f>
        <v>11</v>
      </c>
      <c r="C30" s="229">
        <f>SUMIFS('Diags Raw Data'!$R$6:$R$4731,'Diags Raw Data'!$D$6:$D$4731,$A30,'Diags Raw Data'!$M$6:$M$4731,"Legacy")</f>
        <v>11</v>
      </c>
      <c r="D30" s="229">
        <f>SUMIFS('Diags Raw Data'!$K$6:$K$4731,'Diags Raw Data'!$D$6:$D$4731,$A30,'Diags Raw Data'!$M$6:$M$4731,"Legacy")</f>
        <v>7</v>
      </c>
      <c r="E30" s="229">
        <f>SUMIFS('Diags Raw Data'!$O$6:$O$4731,'Diags Raw Data'!$D$6:$D$4731,$A30,'Diags Raw Data'!$M$6:$M$4731,"Legacy")</f>
        <v>11</v>
      </c>
      <c r="F30" s="235">
        <f t="shared" ref="F30" si="29">IF(NOT($B30=0), E30/$B30, "---")</f>
        <v>1</v>
      </c>
      <c r="G30" s="217">
        <f>SUMIFS('Diags Raw Data'!$S$6:$S$4731,'Diags Raw Data'!$D$6:$D$4731,$A30,'Diags Raw Data'!$M$6:$M$4731,"Legacy")</f>
        <v>4</v>
      </c>
      <c r="H30" s="213">
        <f>SUMIFS('Diags Raw Data'!$T$6:$T$4731,'Diags Raw Data'!$D$6:$D$4731,$A30,'Diags Raw Data'!$M$6:$M$4731,"Legacy")</f>
        <v>4</v>
      </c>
      <c r="I30" s="214">
        <f>SUMIFS('Diags Raw Data'!$U$6:$U$4731,'Diags Raw Data'!$D$6:$D$4731,$A30,'Diags Raw Data'!$M$6:$M$4731,"Legacy")</f>
        <v>0</v>
      </c>
      <c r="J30" s="213">
        <f>SUMIFS('Diags Raw Data'!$V$6:$V$4731,'Diags Raw Data'!$D$6:$D$4731,$A30,'Diags Raw Data'!$M$6:$M$4731,"Legacy")</f>
        <v>0</v>
      </c>
      <c r="K30" s="214">
        <f>SUMIFS('Diags Raw Data'!$W$6:$W$4731,'Diags Raw Data'!$D$6:$D$4731,$A30,'Diags Raw Data'!$M$6:$M$4731,"Legacy")</f>
        <v>0</v>
      </c>
      <c r="L30" s="230">
        <f t="shared" ref="L30" si="30">IF(NOT($C30=0), G30/$C30, "---")</f>
        <v>0.36363636363636365</v>
      </c>
      <c r="M30" s="215">
        <f t="shared" ref="M30" si="31">IF(NOT($G30=0), (H30+I30)/$G30, "---")</f>
        <v>1</v>
      </c>
      <c r="N30" s="224">
        <f t="shared" ref="N30" si="32">IF(NOT($C30=0), (H30+I30)/$C30, "---")</f>
        <v>0.36363636363636365</v>
      </c>
      <c r="O30" s="200">
        <f>SUMIFS('Diags Raw Data'!$Z$6:$Z$4731,'Diags Raw Data'!$D$6:$D$4731,$A30,'Diags Raw Data'!$M$6:$M$4731,"Legacy")</f>
        <v>0</v>
      </c>
      <c r="P30" s="190">
        <f>SUMIFS('Diags Raw Data'!$AA$6:$AA$4731,'Diags Raw Data'!$D$6:$D$4731,$A30,'Diags Raw Data'!$M$6:$M$4731,"Legacy")</f>
        <v>0</v>
      </c>
      <c r="Q30" s="192">
        <f>SUMIFS('Diags Raw Data'!$AB$6:$AB$4731,'Diags Raw Data'!$D$6:$D$4731,$A30,'Diags Raw Data'!$M$6:$M$4731,"Legacy")</f>
        <v>0</v>
      </c>
      <c r="R30" s="190">
        <f>SUMIFS('Diags Raw Data'!$AC$6:$AC$4731,'Diags Raw Data'!$D$6:$D$4731,$A30,'Diags Raw Data'!$M$6:$M$4731,"Legacy")</f>
        <v>0</v>
      </c>
      <c r="S30" s="192">
        <f>SUMIFS('Diags Raw Data'!$AD$6:$AD$4731,'Diags Raw Data'!$D$6:$D$4731,$A30,'Diags Raw Data'!$M$6:$M$4731,"Legacy")</f>
        <v>0</v>
      </c>
      <c r="T30" s="191">
        <f t="shared" ref="T30" si="33">IF(NOT($B30=0), O30/$B30, "---")</f>
        <v>0</v>
      </c>
      <c r="U30" s="216" t="str">
        <f t="shared" ref="U30" si="34">IF(NOT($O30=0), (P30+Q30)/$O30, "---")</f>
        <v>---</v>
      </c>
      <c r="V30" s="218">
        <f t="shared" ref="V30" si="35">IF(NOT($B30=0), (P30+Q30)/$B30, "---")</f>
        <v>0</v>
      </c>
    </row>
    <row r="31" spans="1:22" x14ac:dyDescent="0.25">
      <c r="A31" s="318" t="s">
        <v>603</v>
      </c>
      <c r="B31" s="239">
        <f>SUMIFS('Diags Raw Data'!$L$6:$L$4731,'Diags Raw Data'!$D$6:$D$4731,$A31,'Diags Raw Data'!$M$6:$M$4731,"Legacy")</f>
        <v>36</v>
      </c>
      <c r="C31" s="229">
        <f>SUMIFS('Diags Raw Data'!$R$6:$R$4731,'Diags Raw Data'!$D$6:$D$4731,$A31,'Diags Raw Data'!$M$6:$M$4731,"Legacy")</f>
        <v>36</v>
      </c>
      <c r="D31" s="229">
        <f>SUMIFS('Diags Raw Data'!$K$6:$K$4731,'Diags Raw Data'!$D$6:$D$4731,$A31,'Diags Raw Data'!$M$6:$M$4731,"Legacy")</f>
        <v>16</v>
      </c>
      <c r="E31" s="229">
        <f>SUMIFS('Diags Raw Data'!$O$6:$O$4731,'Diags Raw Data'!$D$6:$D$4731,$A31,'Diags Raw Data'!$M$6:$M$4731,"Legacy")</f>
        <v>2</v>
      </c>
      <c r="F31" s="235">
        <f t="shared" ref="F31:F36" si="36">IF(NOT($B31=0), E31/$B31, "---")</f>
        <v>5.5555555555555552E-2</v>
      </c>
      <c r="G31" s="217">
        <f>SUMIFS('Diags Raw Data'!$S$6:$S$4731,'Diags Raw Data'!$D$6:$D$4731,$A31,'Diags Raw Data'!$M$6:$M$4731,"Legacy")</f>
        <v>0</v>
      </c>
      <c r="H31" s="213">
        <f>SUMIFS('Diags Raw Data'!$T$6:$T$4731,'Diags Raw Data'!$D$6:$D$4731,$A31,'Diags Raw Data'!$M$6:$M$4731,"Legacy")</f>
        <v>0</v>
      </c>
      <c r="I31" s="214">
        <f>SUMIFS('Diags Raw Data'!$U$6:$U$4731,'Diags Raw Data'!$D$6:$D$4731,$A31,'Diags Raw Data'!$M$6:$M$4731,"Legacy")</f>
        <v>0</v>
      </c>
      <c r="J31" s="213">
        <f>SUMIFS('Diags Raw Data'!$V$6:$V$4731,'Diags Raw Data'!$D$6:$D$4731,$A31,'Diags Raw Data'!$M$6:$M$4731,"Legacy")</f>
        <v>0</v>
      </c>
      <c r="K31" s="214">
        <f>SUMIFS('Diags Raw Data'!$W$6:$W$4731,'Diags Raw Data'!$D$6:$D$4731,$A31,'Diags Raw Data'!$M$6:$M$4731,"Legacy")</f>
        <v>0</v>
      </c>
      <c r="L31" s="230">
        <f t="shared" ref="L31:L36" si="37">IF(NOT($C31=0), G31/$C31, "---")</f>
        <v>0</v>
      </c>
      <c r="M31" s="215" t="str">
        <f t="shared" ref="M31:M37" si="38">IF(NOT($G31=0), (H31+I31)/$G31, "---")</f>
        <v>---</v>
      </c>
      <c r="N31" s="224">
        <f t="shared" ref="N31:N37" si="39">IF(NOT($C31=0), (H31+I31)/$C31, "---")</f>
        <v>0</v>
      </c>
      <c r="O31" s="200">
        <f>SUMIFS('Diags Raw Data'!$Z$6:$Z$4731,'Diags Raw Data'!$D$6:$D$4731,$A31,'Diags Raw Data'!$M$6:$M$4731,"Legacy")</f>
        <v>0</v>
      </c>
      <c r="P31" s="190">
        <f>SUMIFS('Diags Raw Data'!$AA$6:$AA$4731,'Diags Raw Data'!$D$6:$D$4731,$A31,'Diags Raw Data'!$M$6:$M$4731,"Legacy")</f>
        <v>0</v>
      </c>
      <c r="Q31" s="192">
        <f>SUMIFS('Diags Raw Data'!$AB$6:$AB$4731,'Diags Raw Data'!$D$6:$D$4731,$A31,'Diags Raw Data'!$M$6:$M$4731,"Legacy")</f>
        <v>0</v>
      </c>
      <c r="R31" s="190">
        <f>SUMIFS('Diags Raw Data'!$AC$6:$AC$4731,'Diags Raw Data'!$D$6:$D$4731,$A31,'Diags Raw Data'!$M$6:$M$4731,"Legacy")</f>
        <v>0</v>
      </c>
      <c r="S31" s="192">
        <f>SUMIFS('Diags Raw Data'!$AD$6:$AD$4731,'Diags Raw Data'!$D$6:$D$4731,$A31,'Diags Raw Data'!$M$6:$M$4731,"Legacy")</f>
        <v>0</v>
      </c>
      <c r="T31" s="191">
        <f t="shared" ref="T31:T36" si="40">IF(NOT($B31=0), O31/$B31, "---")</f>
        <v>0</v>
      </c>
      <c r="U31" s="216" t="str">
        <f t="shared" ref="U31:U37" si="41">IF(NOT($O31=0), (P31+Q31)/$O31, "---")</f>
        <v>---</v>
      </c>
      <c r="V31" s="218">
        <f t="shared" ref="V31:V36" si="42">IF(NOT($B31=0), (P31+Q31)/$B31, "---")</f>
        <v>0</v>
      </c>
    </row>
    <row r="32" spans="1:22" x14ac:dyDescent="0.25">
      <c r="A32" s="318" t="s">
        <v>259</v>
      </c>
      <c r="B32" s="239">
        <f>SUMIFS('Diags Raw Data'!$L$6:$L$4731,'Diags Raw Data'!$D$6:$D$4731,$A32,'Diags Raw Data'!$M$6:$M$4731,"Legacy")</f>
        <v>22</v>
      </c>
      <c r="C32" s="229">
        <f>SUMIFS('Diags Raw Data'!$R$6:$R$4731,'Diags Raw Data'!$D$6:$D$4731,$A32,'Diags Raw Data'!$M$6:$M$4731,"Legacy")</f>
        <v>22</v>
      </c>
      <c r="D32" s="229">
        <f>SUMIFS('Diags Raw Data'!$K$6:$K$4731,'Diags Raw Data'!$D$6:$D$4731,$A32,'Diags Raw Data'!$M$6:$M$4731,"Legacy")</f>
        <v>6</v>
      </c>
      <c r="E32" s="229">
        <f>SUMIFS('Diags Raw Data'!$O$6:$O$4731,'Diags Raw Data'!$D$6:$D$4731,$A32,'Diags Raw Data'!$M$6:$M$4731,"Legacy")</f>
        <v>20</v>
      </c>
      <c r="F32" s="235">
        <f t="shared" ref="F32:F33" si="43">IF(NOT($B32=0), E32/$B32, "---")</f>
        <v>0.90909090909090906</v>
      </c>
      <c r="G32" s="217">
        <f>SUMIFS('Diags Raw Data'!$S$6:$S$4731,'Diags Raw Data'!$D$6:$D$4731,$A32,'Diags Raw Data'!$M$6:$M$4731,"Legacy")</f>
        <v>0</v>
      </c>
      <c r="H32" s="213">
        <f>SUMIFS('Diags Raw Data'!$T$6:$T$4731,'Diags Raw Data'!$D$6:$D$4731,$A32,'Diags Raw Data'!$M$6:$M$4731,"Legacy")</f>
        <v>0</v>
      </c>
      <c r="I32" s="214">
        <f>SUMIFS('Diags Raw Data'!$U$6:$U$4731,'Diags Raw Data'!$D$6:$D$4731,$A32,'Diags Raw Data'!$M$6:$M$4731,"Legacy")</f>
        <v>0</v>
      </c>
      <c r="J32" s="213">
        <f>SUMIFS('Diags Raw Data'!$V$6:$V$4731,'Diags Raw Data'!$D$6:$D$4731,$A32,'Diags Raw Data'!$M$6:$M$4731,"Legacy")</f>
        <v>0</v>
      </c>
      <c r="K32" s="214">
        <f>SUMIFS('Diags Raw Data'!$W$6:$W$4731,'Diags Raw Data'!$D$6:$D$4731,$A32,'Diags Raw Data'!$M$6:$M$4731,"Legacy")</f>
        <v>0</v>
      </c>
      <c r="L32" s="230">
        <f t="shared" ref="L32:L33" si="44">IF(NOT($C32=0), G32/$C32, "---")</f>
        <v>0</v>
      </c>
      <c r="M32" s="215" t="str">
        <f t="shared" ref="M32:M33" si="45">IF(NOT($G32=0), (H32+I32)/$G32, "---")</f>
        <v>---</v>
      </c>
      <c r="N32" s="224">
        <f t="shared" ref="N32:N33" si="46">IF(NOT($C32=0), (H32+I32)/$C32, "---")</f>
        <v>0</v>
      </c>
      <c r="O32" s="200">
        <f>SUMIFS('Diags Raw Data'!$Z$6:$Z$4731,'Diags Raw Data'!$D$6:$D$4731,$A32,'Diags Raw Data'!$M$6:$M$4731,"Legacy")</f>
        <v>0</v>
      </c>
      <c r="P32" s="190">
        <f>SUMIFS('Diags Raw Data'!$AA$6:$AA$4731,'Diags Raw Data'!$D$6:$D$4731,$A32,'Diags Raw Data'!$M$6:$M$4731,"Legacy")</f>
        <v>0</v>
      </c>
      <c r="Q32" s="192">
        <f>SUMIFS('Diags Raw Data'!$AB$6:$AB$4731,'Diags Raw Data'!$D$6:$D$4731,$A32,'Diags Raw Data'!$M$6:$M$4731,"Legacy")</f>
        <v>0</v>
      </c>
      <c r="R32" s="190">
        <f>SUMIFS('Diags Raw Data'!$AC$6:$AC$4731,'Diags Raw Data'!$D$6:$D$4731,$A32,'Diags Raw Data'!$M$6:$M$4731,"Legacy")</f>
        <v>0</v>
      </c>
      <c r="S32" s="192">
        <f>SUMIFS('Diags Raw Data'!$AD$6:$AD$4731,'Diags Raw Data'!$D$6:$D$4731,$A32,'Diags Raw Data'!$M$6:$M$4731,"Legacy")</f>
        <v>0</v>
      </c>
      <c r="T32" s="191">
        <f t="shared" ref="T32:T33" si="47">IF(NOT($B32=0), O32/$B32, "---")</f>
        <v>0</v>
      </c>
      <c r="U32" s="216" t="str">
        <f t="shared" ref="U32:U33" si="48">IF(NOT($O32=0), (P32+Q32)/$O32, "---")</f>
        <v>---</v>
      </c>
      <c r="V32" s="218">
        <f t="shared" ref="V32:V33" si="49">IF(NOT($B32=0), (P32+Q32)/$B32, "---")</f>
        <v>0</v>
      </c>
    </row>
    <row r="33" spans="1:22" x14ac:dyDescent="0.25">
      <c r="A33" s="318" t="s">
        <v>604</v>
      </c>
      <c r="B33" s="239">
        <f>SUMIFS('Diags Raw Data'!$L$6:$L$4731,'Diags Raw Data'!$D$6:$D$4731,$A33,'Diags Raw Data'!$M$6:$M$4731,"Legacy")</f>
        <v>40</v>
      </c>
      <c r="C33" s="229">
        <f>SUMIFS('Diags Raw Data'!$R$6:$R$4731,'Diags Raw Data'!$D$6:$D$4731,$A33,'Diags Raw Data'!$M$6:$M$4731,"Legacy")</f>
        <v>40</v>
      </c>
      <c r="D33" s="229">
        <f>SUMIFS('Diags Raw Data'!$K$6:$K$4731,'Diags Raw Data'!$D$6:$D$4731,$A33,'Diags Raw Data'!$M$6:$M$4731,"Legacy")</f>
        <v>3</v>
      </c>
      <c r="E33" s="229">
        <f>SUMIFS('Diags Raw Data'!$O$6:$O$4731,'Diags Raw Data'!$D$6:$D$4731,$A33,'Diags Raw Data'!$M$6:$M$4731,"Legacy")</f>
        <v>38</v>
      </c>
      <c r="F33" s="235">
        <f t="shared" si="43"/>
        <v>0.95</v>
      </c>
      <c r="G33" s="217">
        <f>SUMIFS('Diags Raw Data'!$S$6:$S$4731,'Diags Raw Data'!$D$6:$D$4731,$A33,'Diags Raw Data'!$M$6:$M$4731,"Legacy")</f>
        <v>0</v>
      </c>
      <c r="H33" s="213">
        <f>SUMIFS('Diags Raw Data'!$T$6:$T$4731,'Diags Raw Data'!$D$6:$D$4731,$A33,'Diags Raw Data'!$M$6:$M$4731,"Legacy")</f>
        <v>0</v>
      </c>
      <c r="I33" s="214">
        <f>SUMIFS('Diags Raw Data'!$U$6:$U$4731,'Diags Raw Data'!$D$6:$D$4731,$A33,'Diags Raw Data'!$M$6:$M$4731,"Legacy")</f>
        <v>0</v>
      </c>
      <c r="J33" s="213">
        <f>SUMIFS('Diags Raw Data'!$V$6:$V$4731,'Diags Raw Data'!$D$6:$D$4731,$A33,'Diags Raw Data'!$M$6:$M$4731,"Legacy")</f>
        <v>0</v>
      </c>
      <c r="K33" s="214">
        <f>SUMIFS('Diags Raw Data'!$W$6:$W$4731,'Diags Raw Data'!$D$6:$D$4731,$A33,'Diags Raw Data'!$M$6:$M$4731,"Legacy")</f>
        <v>0</v>
      </c>
      <c r="L33" s="230">
        <f t="shared" si="44"/>
        <v>0</v>
      </c>
      <c r="M33" s="215" t="str">
        <f t="shared" si="45"/>
        <v>---</v>
      </c>
      <c r="N33" s="224">
        <f t="shared" si="46"/>
        <v>0</v>
      </c>
      <c r="O33" s="200">
        <f>SUMIFS('Diags Raw Data'!$Z$6:$Z$4731,'Diags Raw Data'!$D$6:$D$4731,$A33,'Diags Raw Data'!$M$6:$M$4731,"Legacy")</f>
        <v>0</v>
      </c>
      <c r="P33" s="190">
        <f>SUMIFS('Diags Raw Data'!$AA$6:$AA$4731,'Diags Raw Data'!$D$6:$D$4731,$A33,'Diags Raw Data'!$M$6:$M$4731,"Legacy")</f>
        <v>0</v>
      </c>
      <c r="Q33" s="192">
        <f>SUMIFS('Diags Raw Data'!$AB$6:$AB$4731,'Diags Raw Data'!$D$6:$D$4731,$A33,'Diags Raw Data'!$M$6:$M$4731,"Legacy")</f>
        <v>0</v>
      </c>
      <c r="R33" s="190">
        <f>SUMIFS('Diags Raw Data'!$AC$6:$AC$4731,'Diags Raw Data'!$D$6:$D$4731,$A33,'Diags Raw Data'!$M$6:$M$4731,"Legacy")</f>
        <v>0</v>
      </c>
      <c r="S33" s="192">
        <f>SUMIFS('Diags Raw Data'!$AD$6:$AD$4731,'Diags Raw Data'!$D$6:$D$4731,$A33,'Diags Raw Data'!$M$6:$M$4731,"Legacy")</f>
        <v>0</v>
      </c>
      <c r="T33" s="191">
        <f t="shared" si="47"/>
        <v>0</v>
      </c>
      <c r="U33" s="216" t="str">
        <f t="shared" si="48"/>
        <v>---</v>
      </c>
      <c r="V33" s="218">
        <f t="shared" si="49"/>
        <v>0</v>
      </c>
    </row>
    <row r="34" spans="1:22" x14ac:dyDescent="0.25">
      <c r="A34" s="318" t="s">
        <v>276</v>
      </c>
      <c r="B34" s="239">
        <f>SUMIFS('Diags Raw Data'!$L$6:$L$4731,'Diags Raw Data'!$D$6:$D$4731,$A34,'Diags Raw Data'!$M$6:$M$4731,"Legacy")</f>
        <v>1</v>
      </c>
      <c r="C34" s="229">
        <f>SUMIFS('Diags Raw Data'!$R$6:$R$4731,'Diags Raw Data'!$D$6:$D$4731,$A34,'Diags Raw Data'!$M$6:$M$4731,"Legacy")</f>
        <v>1</v>
      </c>
      <c r="D34" s="229">
        <f>SUMIFS('Diags Raw Data'!$K$6:$K$4731,'Diags Raw Data'!$D$6:$D$4731,$A34,'Diags Raw Data'!$M$6:$M$4731,"Legacy")</f>
        <v>1</v>
      </c>
      <c r="E34" s="229">
        <f>SUMIFS('Diags Raw Data'!$O$6:$O$4731,'Diags Raw Data'!$D$6:$D$4731,$A34,'Diags Raw Data'!$M$6:$M$4731,"Legacy")</f>
        <v>0</v>
      </c>
      <c r="F34" s="235">
        <f t="shared" si="36"/>
        <v>0</v>
      </c>
      <c r="G34" s="217">
        <f>SUMIFS('Diags Raw Data'!$S$6:$S$4731,'Diags Raw Data'!$D$6:$D$4731,$A34,'Diags Raw Data'!$M$6:$M$4731,"Legacy")</f>
        <v>0</v>
      </c>
      <c r="H34" s="213">
        <f>SUMIFS('Diags Raw Data'!$T$6:$T$4731,'Diags Raw Data'!$D$6:$D$4731,$A34,'Diags Raw Data'!$M$6:$M$4731,"Legacy")</f>
        <v>0</v>
      </c>
      <c r="I34" s="214">
        <f>SUMIFS('Diags Raw Data'!$U$6:$U$4731,'Diags Raw Data'!$D$6:$D$4731,$A34,'Diags Raw Data'!$M$6:$M$4731,"Legacy")</f>
        <v>0</v>
      </c>
      <c r="J34" s="213">
        <f>SUMIFS('Diags Raw Data'!$V$6:$V$4731,'Diags Raw Data'!$D$6:$D$4731,$A34,'Diags Raw Data'!$M$6:$M$4731,"Legacy")</f>
        <v>0</v>
      </c>
      <c r="K34" s="214">
        <f>SUMIFS('Diags Raw Data'!$W$6:$W$4731,'Diags Raw Data'!$D$6:$D$4731,$A34,'Diags Raw Data'!$M$6:$M$4731,"Legacy")</f>
        <v>0</v>
      </c>
      <c r="L34" s="230">
        <f t="shared" si="37"/>
        <v>0</v>
      </c>
      <c r="M34" s="215" t="str">
        <f t="shared" si="38"/>
        <v>---</v>
      </c>
      <c r="N34" s="224">
        <f t="shared" si="39"/>
        <v>0</v>
      </c>
      <c r="O34" s="200">
        <f>SUMIFS('Diags Raw Data'!$Z$6:$Z$4731,'Diags Raw Data'!$D$6:$D$4731,$A34,'Diags Raw Data'!$M$6:$M$4731,"Legacy")</f>
        <v>0</v>
      </c>
      <c r="P34" s="190">
        <f>SUMIFS('Diags Raw Data'!$AA$6:$AA$4731,'Diags Raw Data'!$D$6:$D$4731,$A34,'Diags Raw Data'!$M$6:$M$4731,"Legacy")</f>
        <v>0</v>
      </c>
      <c r="Q34" s="192">
        <f>SUMIFS('Diags Raw Data'!$AB$6:$AB$4731,'Diags Raw Data'!$D$6:$D$4731,$A34,'Diags Raw Data'!$M$6:$M$4731,"Legacy")</f>
        <v>0</v>
      </c>
      <c r="R34" s="190">
        <f>SUMIFS('Diags Raw Data'!$AC$6:$AC$4731,'Diags Raw Data'!$D$6:$D$4731,$A34,'Diags Raw Data'!$M$6:$M$4731,"Legacy")</f>
        <v>0</v>
      </c>
      <c r="S34" s="192">
        <f>SUMIFS('Diags Raw Data'!$AD$6:$AD$4731,'Diags Raw Data'!$D$6:$D$4731,$A34,'Diags Raw Data'!$M$6:$M$4731,"Legacy")</f>
        <v>0</v>
      </c>
      <c r="T34" s="191">
        <f t="shared" si="40"/>
        <v>0</v>
      </c>
      <c r="U34" s="216" t="str">
        <f t="shared" si="41"/>
        <v>---</v>
      </c>
      <c r="V34" s="218">
        <f t="shared" si="42"/>
        <v>0</v>
      </c>
    </row>
    <row r="35" spans="1:22" x14ac:dyDescent="0.25">
      <c r="A35" s="318" t="s">
        <v>605</v>
      </c>
      <c r="B35" s="239">
        <f>SUMIFS('Diags Raw Data'!$L$6:$L$4731,'Diags Raw Data'!$D$6:$D$4731,$A35,'Diags Raw Data'!$M$6:$M$4731,"Legacy")</f>
        <v>5</v>
      </c>
      <c r="C35" s="229">
        <f>SUMIFS('Diags Raw Data'!$R$6:$R$4731,'Diags Raw Data'!$D$6:$D$4731,$A35,'Diags Raw Data'!$M$6:$M$4731,"Legacy")</f>
        <v>5</v>
      </c>
      <c r="D35" s="229">
        <f>SUMIFS('Diags Raw Data'!$K$6:$K$4731,'Diags Raw Data'!$D$6:$D$4731,$A35,'Diags Raw Data'!$M$6:$M$4731,"Legacy")</f>
        <v>3</v>
      </c>
      <c r="E35" s="229">
        <f>SUMIFS('Diags Raw Data'!$O$6:$O$4731,'Diags Raw Data'!$D$6:$D$4731,$A35,'Diags Raw Data'!$M$6:$M$4731,"Legacy")</f>
        <v>0</v>
      </c>
      <c r="F35" s="235">
        <f t="shared" si="36"/>
        <v>0</v>
      </c>
      <c r="G35" s="217">
        <f>SUMIFS('Diags Raw Data'!$S$6:$S$4731,'Diags Raw Data'!$D$6:$D$4731,$A35,'Diags Raw Data'!$M$6:$M$4731,"Legacy")</f>
        <v>0</v>
      </c>
      <c r="H35" s="213">
        <f>SUMIFS('Diags Raw Data'!$T$6:$T$4731,'Diags Raw Data'!$D$6:$D$4731,$A35,'Diags Raw Data'!$M$6:$M$4731,"Legacy")</f>
        <v>0</v>
      </c>
      <c r="I35" s="214">
        <f>SUMIFS('Diags Raw Data'!$U$6:$U$4731,'Diags Raw Data'!$D$6:$D$4731,$A35,'Diags Raw Data'!$M$6:$M$4731,"Legacy")</f>
        <v>0</v>
      </c>
      <c r="J35" s="213">
        <f>SUMIFS('Diags Raw Data'!$V$6:$V$4731,'Diags Raw Data'!$D$6:$D$4731,$A35,'Diags Raw Data'!$M$6:$M$4731,"Legacy")</f>
        <v>0</v>
      </c>
      <c r="K35" s="214">
        <f>SUMIFS('Diags Raw Data'!$W$6:$W$4731,'Diags Raw Data'!$D$6:$D$4731,$A35,'Diags Raw Data'!$M$6:$M$4731,"Legacy")</f>
        <v>0</v>
      </c>
      <c r="L35" s="230">
        <f t="shared" si="37"/>
        <v>0</v>
      </c>
      <c r="M35" s="215" t="str">
        <f t="shared" si="38"/>
        <v>---</v>
      </c>
      <c r="N35" s="224">
        <f t="shared" si="39"/>
        <v>0</v>
      </c>
      <c r="O35" s="200">
        <f>SUMIFS('Diags Raw Data'!$Z$6:$Z$4731,'Diags Raw Data'!$D$6:$D$4731,$A35,'Diags Raw Data'!$M$6:$M$4731,"Legacy")</f>
        <v>0</v>
      </c>
      <c r="P35" s="190">
        <f>SUMIFS('Diags Raw Data'!$AA$6:$AA$4731,'Diags Raw Data'!$D$6:$D$4731,$A35,'Diags Raw Data'!$M$6:$M$4731,"Legacy")</f>
        <v>0</v>
      </c>
      <c r="Q35" s="192">
        <f>SUMIFS('Diags Raw Data'!$AB$6:$AB$4731,'Diags Raw Data'!$D$6:$D$4731,$A35,'Diags Raw Data'!$M$6:$M$4731,"Legacy")</f>
        <v>0</v>
      </c>
      <c r="R35" s="190">
        <f>SUMIFS('Diags Raw Data'!$AC$6:$AC$4731,'Diags Raw Data'!$D$6:$D$4731,$A35,'Diags Raw Data'!$M$6:$M$4731,"Legacy")</f>
        <v>0</v>
      </c>
      <c r="S35" s="192">
        <f>SUMIFS('Diags Raw Data'!$AD$6:$AD$4731,'Diags Raw Data'!$D$6:$D$4731,$A35,'Diags Raw Data'!$M$6:$M$4731,"Legacy")</f>
        <v>0</v>
      </c>
      <c r="T35" s="191">
        <f t="shared" si="40"/>
        <v>0</v>
      </c>
      <c r="U35" s="216" t="str">
        <f t="shared" si="41"/>
        <v>---</v>
      </c>
      <c r="V35" s="218">
        <f t="shared" si="42"/>
        <v>0</v>
      </c>
    </row>
    <row r="36" spans="1:22" ht="15.75" thickBot="1" x14ac:dyDescent="0.3">
      <c r="A36" s="319" t="s">
        <v>346</v>
      </c>
      <c r="B36" s="240">
        <f>SUMIFS('Diags Raw Data'!$L$6:$L$4731,'Diags Raw Data'!$D$6:$D$4731,$A36,'Diags Raw Data'!$M$6:$M$4731,"Legacy")</f>
        <v>0</v>
      </c>
      <c r="C36" s="231">
        <f>SUMIFS('Diags Raw Data'!$R$6:$R$4731,'Diags Raw Data'!$D$6:$D$4731,$A36,'Diags Raw Data'!$M$6:$M$4731,"Legacy")</f>
        <v>0</v>
      </c>
      <c r="D36" s="231">
        <f>SUMIFS('Diags Raw Data'!$K$6:$K$4731,'Diags Raw Data'!$D$6:$D$4731,$A36,'Diags Raw Data'!$M$6:$M$4731,"Legacy")</f>
        <v>0</v>
      </c>
      <c r="E36" s="231">
        <f>SUMIFS('Diags Raw Data'!$O$6:$O$4731,'Diags Raw Data'!$D$6:$D$4731,$A36,'Diags Raw Data'!$M$6:$M$4731,"Legacy")</f>
        <v>0</v>
      </c>
      <c r="F36" s="236" t="str">
        <f t="shared" si="36"/>
        <v>---</v>
      </c>
      <c r="G36" s="219">
        <f>SUMIFS('Diags Raw Data'!$S$6:$S$4731,'Diags Raw Data'!$D$6:$D$4731,$A36,'Diags Raw Data'!$M$6:$M$4731,"Legacy")</f>
        <v>0</v>
      </c>
      <c r="H36" s="220">
        <f>SUMIFS('Diags Raw Data'!$T$6:$T$4731,'Diags Raw Data'!$D$6:$D$4731,$A36,'Diags Raw Data'!$M$6:$M$4731,"Legacy")</f>
        <v>0</v>
      </c>
      <c r="I36" s="221">
        <f>SUMIFS('Diags Raw Data'!$U$6:$U$4731,'Diags Raw Data'!$D$6:$D$4731,$A36,'Diags Raw Data'!$M$6:$M$4731,"Legacy")</f>
        <v>0</v>
      </c>
      <c r="J36" s="220">
        <f>SUMIFS('Diags Raw Data'!$V$6:$V$4731,'Diags Raw Data'!$D$6:$D$4731,$A36,'Diags Raw Data'!$M$6:$M$4731,"Legacy")</f>
        <v>0</v>
      </c>
      <c r="K36" s="221">
        <f>SUMIFS('Diags Raw Data'!$W$6:$W$4731,'Diags Raw Data'!$D$6:$D$4731,$A36,'Diags Raw Data'!$M$6:$M$4731,"Legacy")</f>
        <v>0</v>
      </c>
      <c r="L36" s="232" t="str">
        <f t="shared" si="37"/>
        <v>---</v>
      </c>
      <c r="M36" s="222" t="str">
        <f t="shared" si="38"/>
        <v>---</v>
      </c>
      <c r="N36" s="225" t="str">
        <f t="shared" si="39"/>
        <v>---</v>
      </c>
      <c r="O36" s="201">
        <f>SUMIFS('Diags Raw Data'!$Z$6:$Z$4731,'Diags Raw Data'!$D$6:$D$4731,$A36,'Diags Raw Data'!$M$6:$M$4731,"Legacy")</f>
        <v>0</v>
      </c>
      <c r="P36" s="193">
        <f>SUMIFS('Diags Raw Data'!$AA$6:$AA$4731,'Diags Raw Data'!$D$6:$D$4731,$A36,'Diags Raw Data'!$M$6:$M$4731,"Legacy")</f>
        <v>0</v>
      </c>
      <c r="Q36" s="195">
        <f>SUMIFS('Diags Raw Data'!$AB$6:$AB$4731,'Diags Raw Data'!$D$6:$D$4731,$A36,'Diags Raw Data'!$M$6:$M$4731,"Legacy")</f>
        <v>0</v>
      </c>
      <c r="R36" s="193">
        <f>SUMIFS('Diags Raw Data'!$AC$6:$AC$4731,'Diags Raw Data'!$D$6:$D$4731,$A36,'Diags Raw Data'!$M$6:$M$4731,"Legacy")</f>
        <v>0</v>
      </c>
      <c r="S36" s="195">
        <f>SUMIFS('Diags Raw Data'!$AD$6:$AD$4731,'Diags Raw Data'!$D$6:$D$4731,$A36,'Diags Raw Data'!$M$6:$M$4731,"Legacy")</f>
        <v>0</v>
      </c>
      <c r="T36" s="194" t="str">
        <f t="shared" si="40"/>
        <v>---</v>
      </c>
      <c r="U36" s="226" t="str">
        <f t="shared" si="41"/>
        <v>---</v>
      </c>
      <c r="V36" s="223" t="str">
        <f t="shared" si="42"/>
        <v>---</v>
      </c>
    </row>
    <row r="37" spans="1:22" ht="16.5" thickBot="1" x14ac:dyDescent="0.3">
      <c r="A37" s="258" t="s">
        <v>371</v>
      </c>
      <c r="B37" s="243">
        <f>SUM(B29:B36)</f>
        <v>1143</v>
      </c>
      <c r="C37" s="244">
        <f>SUM(C29:C36)</f>
        <v>1143</v>
      </c>
      <c r="D37" s="244">
        <f>SUM(D29:D36)</f>
        <v>75</v>
      </c>
      <c r="E37" s="244">
        <f>SUM(E29:E36)</f>
        <v>809</v>
      </c>
      <c r="F37" s="245" cm="1">
        <f t="array" ref="F37">SUMPRODUCT(--(ISNUMBER(SEARCH("Legacy",'Diags Raw Data'!$M$6:$M$4731))),'Diags Raw Data'!$K$6:$K$4731,'Diags Raw Data'!$P$6:$P$4731)/D37</f>
        <v>0.66666666666666663</v>
      </c>
      <c r="G37" s="246">
        <f>SUM(G29:G36)</f>
        <v>4</v>
      </c>
      <c r="H37" s="247">
        <f>SUM(H29:H36)</f>
        <v>4</v>
      </c>
      <c r="I37" s="248">
        <f>SUM(I29:I36)</f>
        <v>0</v>
      </c>
      <c r="J37" s="247">
        <f>SUM(J29:J36)</f>
        <v>0</v>
      </c>
      <c r="K37" s="248">
        <f>SUM(K29:K36)</f>
        <v>0</v>
      </c>
      <c r="L37" s="249">
        <f>IF(NOT($C37=0), G37/$C37, "---")</f>
        <v>3.499562554680665E-3</v>
      </c>
      <c r="M37" s="250">
        <f t="shared" si="38"/>
        <v>1</v>
      </c>
      <c r="N37" s="251">
        <f t="shared" si="39"/>
        <v>3.499562554680665E-3</v>
      </c>
      <c r="O37" s="252">
        <f>SUM(O29:O36)</f>
        <v>0</v>
      </c>
      <c r="P37" s="253">
        <f>SUM(P29:P36)</f>
        <v>0</v>
      </c>
      <c r="Q37" s="254">
        <f>SUM(Q29:Q36)</f>
        <v>0</v>
      </c>
      <c r="R37" s="253">
        <f>SUM(R29:R36)</f>
        <v>0</v>
      </c>
      <c r="S37" s="254">
        <f>SUM(S29:S36)</f>
        <v>0</v>
      </c>
      <c r="T37" s="255">
        <f>IF(NOT($B37=0), O37/$B37, "---")</f>
        <v>0</v>
      </c>
      <c r="U37" s="256" t="str">
        <f t="shared" si="41"/>
        <v>---</v>
      </c>
      <c r="V37" s="257">
        <f>IF(NOT($B37=0), (P37+Q37)/$B37, "---")</f>
        <v>0</v>
      </c>
    </row>
    <row r="38" spans="1:22" x14ac:dyDescent="0.25">
      <c r="A38" s="233"/>
      <c r="B38" s="233"/>
      <c r="C38" s="233"/>
      <c r="D38" s="233"/>
      <c r="E38" s="233"/>
      <c r="F38" s="233"/>
      <c r="G38" s="233"/>
      <c r="H38" s="233"/>
      <c r="I38" s="233"/>
      <c r="J38" s="233"/>
      <c r="K38" s="233"/>
      <c r="L38" s="233"/>
      <c r="M38" s="233"/>
      <c r="N38" s="233"/>
      <c r="O38" s="233"/>
      <c r="P38" s="233"/>
      <c r="Q38" s="233"/>
      <c r="R38" s="233"/>
      <c r="S38" s="233"/>
      <c r="T38" s="233"/>
      <c r="U38" s="233"/>
      <c r="V38" s="233"/>
    </row>
    <row r="40" spans="1:22" x14ac:dyDescent="0.25">
      <c r="F40" s="130"/>
    </row>
    <row r="43" spans="1:22" x14ac:dyDescent="0.25">
      <c r="F43" s="357"/>
    </row>
    <row r="44" spans="1:22" x14ac:dyDescent="0.25">
      <c r="F44" s="356"/>
    </row>
    <row r="45" spans="1:22" x14ac:dyDescent="0.25">
      <c r="F45" s="356"/>
    </row>
  </sheetData>
  <mergeCells count="10">
    <mergeCell ref="A1:V1"/>
    <mergeCell ref="B15:F15"/>
    <mergeCell ref="B27:F27"/>
    <mergeCell ref="G27:N27"/>
    <mergeCell ref="O27:V27"/>
    <mergeCell ref="G15:N15"/>
    <mergeCell ref="O15:V15"/>
    <mergeCell ref="B2:F2"/>
    <mergeCell ref="G2:N2"/>
    <mergeCell ref="O2:V2"/>
  </mergeCells>
  <phoneticPr fontId="30" type="noConversion"/>
  <conditionalFormatting sqref="F7">
    <cfRule type="colorScale" priority="275">
      <colorScale>
        <cfvo type="percent" val="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4">
      <colorScale>
        <cfvo type="percent" val="0"/>
        <cfvo type="percent" val="50"/>
        <cfvo type="percent" val="100"/>
        <color rgb="FFF8696B"/>
        <color rgb="FFFFEB84"/>
        <color rgb="FF63BE7B"/>
      </colorScale>
    </cfRule>
  </conditionalFormatting>
  <conditionalFormatting sqref="F8:F9">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F10:F12 F4:F6">
    <cfRule type="colorScale" priority="138">
      <colorScale>
        <cfvo type="min"/>
        <cfvo type="percentile" val="50"/>
        <cfvo type="max"/>
        <color rgb="FFF8696B"/>
        <color rgb="FFFFEB84"/>
        <color rgb="FF63BE7B"/>
      </colorScale>
    </cfRule>
    <cfRule type="colorScale" priority="137">
      <colorScale>
        <cfvo type="percent" val="2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4">
      <colorScale>
        <cfvo type="percentile" val="10"/>
        <cfvo type="percentile" val="50"/>
        <cfvo type="percentile" val="90"/>
        <color rgb="FFF8696B"/>
        <color rgb="FFFFEB84"/>
        <color rgb="FF63BE7B"/>
      </colorScale>
    </cfRule>
    <cfRule type="colorScale" priority="132">
      <colorScale>
        <cfvo type="percent" val="0"/>
        <cfvo type="percent" val="50"/>
        <cfvo type="percent" val="100"/>
        <color rgb="FFF8696B"/>
        <color rgb="FFFFEB84"/>
        <color rgb="FF63BE7B"/>
      </colorScale>
    </cfRule>
    <cfRule type="colorScale" priority="133">
      <colorScale>
        <cfvo type="percent" val="0"/>
        <cfvo type="percent" val="50"/>
        <cfvo type="percent" val="100"/>
        <color rgb="FFF8696B"/>
        <color rgb="FFFFEB84"/>
        <color rgb="FF63BE7B"/>
      </colorScale>
    </cfRule>
  </conditionalFormatting>
  <conditionalFormatting sqref="F20:F21">
    <cfRule type="colorScale" priority="22">
      <colorScale>
        <cfvo type="percent" val="0"/>
        <cfvo type="percent" val="50"/>
        <cfvo type="percent" val="100"/>
        <color rgb="FFF8696B"/>
        <color rgb="FFFFEB84"/>
        <color rgb="FF63BE7B"/>
      </colorScale>
    </cfRule>
    <cfRule type="colorScale" priority="23">
      <colorScale>
        <cfvo type="percentile" val="10"/>
        <cfvo type="percentile" val="50"/>
        <cfvo type="percentile" val="9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ile" val="10"/>
        <cfvo type="percentile" val="50"/>
        <cfvo type="percentile" val="90"/>
        <color rgb="FFF8696B"/>
        <color rgb="FFFFEB84"/>
        <color rgb="FF63BE7B"/>
      </colorScale>
    </cfRule>
    <cfRule type="colorScale" priority="26">
      <colorScale>
        <cfvo type="percent" val="20"/>
        <cfvo type="percent" val="50"/>
        <cfvo type="percent" val="100"/>
        <color rgb="FFF8696B"/>
        <color rgb="FFFFEB84"/>
        <color rgb="FF63BE7B"/>
      </colorScale>
    </cfRule>
    <cfRule type="colorScale" priority="27">
      <colorScale>
        <cfvo type="min"/>
        <cfvo type="percentile" val="50"/>
        <cfvo type="max"/>
        <color rgb="FFF8696B"/>
        <color rgb="FFFFEB84"/>
        <color rgb="FF63BE7B"/>
      </colorScale>
    </cfRule>
    <cfRule type="colorScale" priority="21">
      <colorScale>
        <cfvo type="percent" val="0"/>
        <cfvo type="percent" val="50"/>
        <cfvo type="percent" val="100"/>
        <color rgb="FFF8696B"/>
        <color rgb="FFFFEB84"/>
        <color rgb="FF63BE7B"/>
      </colorScale>
    </cfRule>
  </conditionalFormatting>
  <conditionalFormatting sqref="F22:F24 F17:F19">
    <cfRule type="colorScale" priority="291">
      <colorScale>
        <cfvo type="percent" val="0"/>
        <cfvo type="percent" val="50"/>
        <cfvo type="percent" val="100"/>
        <color rgb="FFF8696B"/>
        <color rgb="FFFFEB84"/>
        <color rgb="FF63BE7B"/>
      </colorScale>
    </cfRule>
    <cfRule type="colorScale" priority="293">
      <colorScale>
        <cfvo type="percentile" val="10"/>
        <cfvo type="percentile" val="50"/>
        <cfvo type="percentile"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ile" val="10"/>
        <cfvo type="percentile" val="50"/>
        <cfvo type="percentile" val="90"/>
        <color rgb="FFF8696B"/>
        <color rgb="FFFFEB84"/>
        <color rgb="FF63BE7B"/>
      </colorScale>
    </cfRule>
    <cfRule type="colorScale" priority="292">
      <colorScale>
        <cfvo type="percent" val="0"/>
        <cfvo type="percent" val="50"/>
        <cfvo type="percent" val="100"/>
        <color rgb="FFF8696B"/>
        <color rgb="FFFFEB84"/>
        <color rgb="FF63BE7B"/>
      </colorScale>
    </cfRule>
    <cfRule type="colorScale" priority="296">
      <colorScale>
        <cfvo type="percent" val="20"/>
        <cfvo type="percent" val="50"/>
        <cfvo type="percent" val="100"/>
        <color rgb="FFF8696B"/>
        <color rgb="FFFFEB84"/>
        <color rgb="FF63BE7B"/>
      </colorScale>
    </cfRule>
    <cfRule type="colorScale" priority="297">
      <colorScale>
        <cfvo type="min"/>
        <cfvo type="percentile" val="50"/>
        <cfvo type="max"/>
        <color rgb="FFF8696B"/>
        <color rgb="FFFFEB84"/>
        <color rgb="FF63BE7B"/>
      </colorScale>
    </cfRule>
  </conditionalFormatting>
  <conditionalFormatting sqref="F30">
    <cfRule type="colorScale" priority="393">
      <colorScale>
        <cfvo type="min"/>
        <cfvo type="percentile" val="50"/>
        <cfvo type="max"/>
        <color rgb="FFF8696B"/>
        <color rgb="FFFFEB84"/>
        <color rgb="FF63BE7B"/>
      </colorScale>
    </cfRule>
    <cfRule type="colorScale" priority="391">
      <colorScale>
        <cfvo type="percentile" val="10"/>
        <cfvo type="percentile" val="50"/>
        <cfvo type="percentile" val="90"/>
        <color rgb="FFF8696B"/>
        <color rgb="FFFFEB84"/>
        <color rgb="FF63BE7B"/>
      </colorScale>
    </cfRule>
    <cfRule type="colorScale" priority="390">
      <colorScale>
        <cfvo type="percent" val="0"/>
        <cfvo type="percent" val="50"/>
        <cfvo type="percent" val="100"/>
        <color rgb="FFF8696B"/>
        <color rgb="FFFFEB84"/>
        <color rgb="FF63BE7B"/>
      </colorScale>
    </cfRule>
    <cfRule type="colorScale" priority="389">
      <colorScale>
        <cfvo type="percentile" val="10"/>
        <cfvo type="percentile" val="50"/>
        <cfvo type="percentile" val="90"/>
        <color rgb="FFF8696B"/>
        <color rgb="FFFFEB84"/>
        <color rgb="FF63BE7B"/>
      </colorScale>
    </cfRule>
    <cfRule type="colorScale" priority="388">
      <colorScale>
        <cfvo type="percent" val="0"/>
        <cfvo type="percent" val="50"/>
        <cfvo type="percent" val="100"/>
        <color rgb="FFF8696B"/>
        <color rgb="FFFFEB84"/>
        <color rgb="FF63BE7B"/>
      </colorScale>
    </cfRule>
    <cfRule type="colorScale" priority="392">
      <colorScale>
        <cfvo type="percent" val="20"/>
        <cfvo type="percent" val="50"/>
        <cfvo type="percent" val="100"/>
        <color rgb="FFF8696B"/>
        <color rgb="FFFFEB84"/>
        <color rgb="FF63BE7B"/>
      </colorScale>
    </cfRule>
    <cfRule type="colorScale" priority="385">
      <colorScale>
        <cfvo type="percent" val="20"/>
        <cfvo type="percent" val="60"/>
        <cfvo type="percent" val="90"/>
        <color rgb="FFF8696B"/>
        <color rgb="FFFFEB84"/>
        <color rgb="FF63BE7B"/>
      </colorScale>
    </cfRule>
    <cfRule type="colorScale" priority="384">
      <colorScale>
        <cfvo type="percent" val="0"/>
        <cfvo type="percent" val="50"/>
        <cfvo type="percent" val="100"/>
        <color rgb="FFF8696B"/>
        <color rgb="FFFFEB84"/>
        <color rgb="FF63BE7B"/>
      </colorScale>
    </cfRule>
    <cfRule type="colorScale" priority="386">
      <colorScale>
        <cfvo type="percent" val="0"/>
        <cfvo type="percent" val="50"/>
        <cfvo type="percent" val="100"/>
        <color rgb="FFF8696B"/>
        <color rgb="FFFFEB84"/>
        <color rgb="FF63BE7B"/>
      </colorScale>
    </cfRule>
    <cfRule type="colorScale" priority="387">
      <colorScale>
        <cfvo type="percent" val="0"/>
        <cfvo type="percent" val="50"/>
        <cfvo type="percent" val="100"/>
        <color rgb="FFF8696B"/>
        <color rgb="FFFFEB84"/>
        <color rgb="FF63BE7B"/>
      </colorScale>
    </cfRule>
  </conditionalFormatting>
  <conditionalFormatting sqref="F31 F29 F34:F36">
    <cfRule type="colorScale" priority="348">
      <colorScale>
        <cfvo type="percent" val="0"/>
        <cfvo type="percent" val="50"/>
        <cfvo type="percent" val="100"/>
        <color rgb="FFF8696B"/>
        <color rgb="FFFFEB84"/>
        <color rgb="FF63BE7B"/>
      </colorScale>
    </cfRule>
    <cfRule type="colorScale" priority="350">
      <colorScale>
        <cfvo type="percent" val="0"/>
        <cfvo type="percent" val="50"/>
        <cfvo type="percent" val="100"/>
        <color rgb="FFF8696B"/>
        <color rgb="FFFFEB84"/>
        <color rgb="FF63BE7B"/>
      </colorScale>
    </cfRule>
    <cfRule type="colorScale" priority="351">
      <colorScale>
        <cfvo type="percentile" val="10"/>
        <cfvo type="percentile" val="50"/>
        <cfvo type="percentile" val="90"/>
        <color rgb="FFF8696B"/>
        <color rgb="FFFFEB84"/>
        <color rgb="FF63BE7B"/>
      </colorScale>
    </cfRule>
    <cfRule type="colorScale" priority="352">
      <colorScale>
        <cfvo type="percent" val="20"/>
        <cfvo type="percent" val="50"/>
        <cfvo type="percent" val="100"/>
        <color rgb="FFF8696B"/>
        <color rgb="FFFFEB84"/>
        <color rgb="FF63BE7B"/>
      </colorScale>
    </cfRule>
    <cfRule type="colorScale" priority="353">
      <colorScale>
        <cfvo type="min"/>
        <cfvo type="percentile" val="50"/>
        <cfvo type="max"/>
        <color rgb="FFF8696B"/>
        <color rgb="FFFFEB84"/>
        <color rgb="FF63BE7B"/>
      </colorScale>
    </cfRule>
    <cfRule type="colorScale" priority="349">
      <colorScale>
        <cfvo type="percentile" val="10"/>
        <cfvo type="percentile" val="50"/>
        <cfvo type="percentile" val="90"/>
        <color rgb="FFF8696B"/>
        <color rgb="FFFFEB84"/>
        <color rgb="FF63BE7B"/>
      </colorScale>
    </cfRule>
    <cfRule type="colorScale" priority="344">
      <colorScale>
        <cfvo type="percent" val="0"/>
        <cfvo type="percent" val="50"/>
        <cfvo type="percent" val="100"/>
        <color rgb="FFF8696B"/>
        <color rgb="FFFFEB84"/>
        <color rgb="FF63BE7B"/>
      </colorScale>
    </cfRule>
    <cfRule type="colorScale" priority="345">
      <colorScale>
        <cfvo type="percent" val="20"/>
        <cfvo type="percent" val="60"/>
        <cfvo type="percent" val="90"/>
        <color rgb="FFF8696B"/>
        <color rgb="FFFFEB84"/>
        <color rgb="FF63BE7B"/>
      </colorScale>
    </cfRule>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F32:F33">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L7">
    <cfRule type="colorScale" priority="281">
      <colorScale>
        <cfvo type="percent" val="0"/>
        <cfvo type="percent" val="50"/>
        <cfvo type="percent" val="100"/>
        <color rgb="FFF8696B"/>
        <color rgb="FFFFEB84"/>
        <color rgb="FF63BE7B"/>
      </colorScale>
    </cfRule>
  </conditionalFormatting>
  <conditionalFormatting sqref="L8:L9">
    <cfRule type="colorScale" priority="45">
      <colorScale>
        <cfvo type="percent" val="0"/>
        <cfvo type="percent" val="50"/>
        <cfvo type="percent" val="100"/>
        <color rgb="FFF8696B"/>
        <color rgb="FFFFEB84"/>
        <color rgb="FF63BE7B"/>
      </colorScale>
    </cfRule>
  </conditionalFormatting>
  <conditionalFormatting sqref="L10:L12 L4:L6">
    <cfRule type="colorScale" priority="131">
      <colorScale>
        <cfvo type="percent" val="0"/>
        <cfvo type="percent" val="50"/>
        <cfvo type="percent" val="100"/>
        <color rgb="FFF8696B"/>
        <color rgb="FFFFEB84"/>
        <color rgb="FF63BE7B"/>
      </colorScale>
    </cfRule>
  </conditionalFormatting>
  <conditionalFormatting sqref="L20:L21 N20:N2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L22:L24 N17:N19 L17:L19 N22:N24">
    <cfRule type="colorScale" priority="316">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onditionalFormatting>
  <conditionalFormatting sqref="L30">
    <cfRule type="colorScale" priority="394">
      <colorScale>
        <cfvo type="percent" val="0"/>
        <cfvo type="percent" val="50"/>
        <cfvo type="percent" val="100"/>
        <color rgb="FFF8696B"/>
        <color rgb="FFFFEB84"/>
        <color rgb="FF63BE7B"/>
      </colorScale>
    </cfRule>
  </conditionalFormatting>
  <conditionalFormatting sqref="L31 L29 L34:L36">
    <cfRule type="colorScale" priority="364">
      <colorScale>
        <cfvo type="percent" val="0"/>
        <cfvo type="percent" val="50"/>
        <cfvo type="percent" val="100"/>
        <color rgb="FFF8696B"/>
        <color rgb="FFFFEB84"/>
        <color rgb="FF63BE7B"/>
      </colorScale>
    </cfRule>
  </conditionalFormatting>
  <conditionalFormatting sqref="L32:L33">
    <cfRule type="colorScale" priority="11">
      <colorScale>
        <cfvo type="percent" val="0"/>
        <cfvo type="percent" val="50"/>
        <cfvo type="percent" val="100"/>
        <color rgb="FFF8696B"/>
        <color rgb="FFFFEB84"/>
        <color rgb="FF63BE7B"/>
      </colorScale>
    </cfRule>
  </conditionalFormatting>
  <conditionalFormatting sqref="L7:N7">
    <cfRule type="colorScale" priority="289">
      <colorScale>
        <cfvo type="percent" val="0"/>
        <cfvo type="percent" val="50"/>
        <cfvo type="percent" val="100"/>
        <color rgb="FFF8696B"/>
        <color rgb="FFFFEB84"/>
        <color rgb="FF63BE7B"/>
      </colorScale>
    </cfRule>
  </conditionalFormatting>
  <conditionalFormatting sqref="L8:N9">
    <cfRule type="colorScale" priority="37">
      <colorScale>
        <cfvo type="percent" val="0"/>
        <cfvo type="percent" val="50"/>
        <cfvo type="percent" val="100"/>
        <color rgb="FFF8696B"/>
        <color rgb="FFFFEB84"/>
        <color rgb="FF63BE7B"/>
      </colorScale>
    </cfRule>
  </conditionalFormatting>
  <conditionalFormatting sqref="L10:N12 L4:N6">
    <cfRule type="colorScale" priority="123">
      <colorScale>
        <cfvo type="percent" val="0"/>
        <cfvo type="percent" val="50"/>
        <cfvo type="percent" val="100"/>
        <color rgb="FFF8696B"/>
        <color rgb="FFFFEB84"/>
        <color rgb="FF63BE7B"/>
      </colorScale>
    </cfRule>
  </conditionalFormatting>
  <conditionalFormatting sqref="L20:N21">
    <cfRule type="colorScale" priority="34">
      <colorScale>
        <cfvo type="percent" val="0"/>
        <cfvo type="percentile" val="50"/>
        <cfvo type="percent" val="100"/>
        <color rgb="FFF8696B"/>
        <color rgb="FFFFEB84"/>
        <color rgb="FF63BE7B"/>
      </colorScale>
    </cfRule>
  </conditionalFormatting>
  <conditionalFormatting sqref="L22:N24 L17:N19">
    <cfRule type="colorScale" priority="341">
      <colorScale>
        <cfvo type="percent" val="0"/>
        <cfvo type="percentile" val="50"/>
        <cfvo type="percent" val="100"/>
        <color rgb="FFF8696B"/>
        <color rgb="FFFFEB84"/>
        <color rgb="FF63BE7B"/>
      </colorScale>
    </cfRule>
  </conditionalFormatting>
  <conditionalFormatting sqref="L30:N30">
    <cfRule type="colorScale" priority="402">
      <colorScale>
        <cfvo type="percent" val="0"/>
        <cfvo type="percent" val="50"/>
        <cfvo type="percent" val="100"/>
        <color rgb="FFF8696B"/>
        <color rgb="FFFFEB84"/>
        <color rgb="FF63BE7B"/>
      </colorScale>
    </cfRule>
  </conditionalFormatting>
  <conditionalFormatting sqref="L31:N31 L29:N29 L34:N36">
    <cfRule type="colorScale" priority="380">
      <colorScale>
        <cfvo type="percent" val="0"/>
        <cfvo type="percent" val="50"/>
        <cfvo type="percent" val="100"/>
        <color rgb="FFF8696B"/>
        <color rgb="FFFFEB84"/>
        <color rgb="FF63BE7B"/>
      </colorScale>
    </cfRule>
  </conditionalFormatting>
  <conditionalFormatting sqref="L32:N33">
    <cfRule type="colorScale" priority="19">
      <colorScale>
        <cfvo type="percent" val="0"/>
        <cfvo type="percent" val="50"/>
        <cfvo type="percent" val="100"/>
        <color rgb="FFF8696B"/>
        <color rgb="FFFFEB84"/>
        <color rgb="FF63BE7B"/>
      </colorScale>
    </cfRule>
  </conditionalFormatting>
  <conditionalFormatting sqref="M7">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M8:M9">
    <cfRule type="colorScale" priority="43">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onditionalFormatting>
  <conditionalFormatting sqref="M10:M12 M4:M6">
    <cfRule type="colorScale" priority="129">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onditionalFormatting>
  <conditionalFormatting sqref="M20:M21">
    <cfRule type="colorScale" priority="32">
      <colorScale>
        <cfvo type="percent" val="0"/>
        <cfvo type="percent" val="50"/>
        <cfvo type="percent" val="100"/>
        <color rgb="FFF8696B"/>
        <color rgb="FFFFEB84"/>
        <color rgb="FF63BE7B"/>
      </colorScale>
    </cfRule>
    <cfRule type="colorScale" priority="33">
      <colorScale>
        <cfvo type="percent" val="0"/>
        <cfvo type="percent" val="50"/>
        <cfvo type="percent" val="100"/>
        <color rgb="FFF8696B"/>
        <color rgb="FFFFEB84"/>
        <color rgb="FF63BE7B"/>
      </colorScale>
    </cfRule>
  </conditionalFormatting>
  <conditionalFormatting sqref="M22:M24 M17:M19">
    <cfRule type="colorScale" priority="331">
      <colorScale>
        <cfvo type="percent" val="0"/>
        <cfvo type="percent" val="50"/>
        <cfvo type="percent" val="100"/>
        <color rgb="FFF8696B"/>
        <color rgb="FFFFEB84"/>
        <color rgb="FF63BE7B"/>
      </colorScale>
    </cfRule>
    <cfRule type="colorScale" priority="332">
      <colorScale>
        <cfvo type="percent" val="0"/>
        <cfvo type="percent" val="50"/>
        <cfvo type="percent" val="100"/>
        <color rgb="FFF8696B"/>
        <color rgb="FFFFEB84"/>
        <color rgb="FF63BE7B"/>
      </colorScale>
    </cfRule>
  </conditionalFormatting>
  <conditionalFormatting sqref="M30">
    <cfRule type="colorScale" priority="396">
      <colorScale>
        <cfvo type="percent" val="0"/>
        <cfvo type="percent" val="50"/>
        <cfvo type="percent" val="100"/>
        <color rgb="FFF8696B"/>
        <color rgb="FFFFEB84"/>
        <color rgb="FF63BE7B"/>
      </colorScale>
    </cfRule>
    <cfRule type="colorScale" priority="397">
      <colorScale>
        <cfvo type="percent" val="0"/>
        <cfvo type="percent" val="50"/>
        <cfvo type="percent" val="100"/>
        <color rgb="FFF8696B"/>
        <color rgb="FFFFEB84"/>
        <color rgb="FF63BE7B"/>
      </colorScale>
    </cfRule>
  </conditionalFormatting>
  <conditionalFormatting sqref="M31 M29 M34:M36">
    <cfRule type="colorScale" priority="369">
      <colorScale>
        <cfvo type="percent" val="0"/>
        <cfvo type="percent" val="50"/>
        <cfvo type="percent" val="100"/>
        <color rgb="FFF8696B"/>
        <color rgb="FFFFEB84"/>
        <color rgb="FF63BE7B"/>
      </colorScale>
    </cfRule>
    <cfRule type="colorScale" priority="368">
      <colorScale>
        <cfvo type="percent" val="0"/>
        <cfvo type="percent" val="50"/>
        <cfvo type="percent" val="100"/>
        <color rgb="FFF8696B"/>
        <color rgb="FFFFEB84"/>
        <color rgb="FF63BE7B"/>
      </colorScale>
    </cfRule>
  </conditionalFormatting>
  <conditionalFormatting sqref="M32:M33">
    <cfRule type="colorScale" priority="14">
      <colorScale>
        <cfvo type="percent" val="0"/>
        <cfvo type="percent" val="50"/>
        <cfvo type="percent" val="100"/>
        <color rgb="FFF8696B"/>
        <color rgb="FFFFEB84"/>
        <color rgb="FF63BE7B"/>
      </colorScale>
    </cfRule>
    <cfRule type="colorScale" priority="13">
      <colorScale>
        <cfvo type="percent" val="0"/>
        <cfvo type="percent" val="50"/>
        <cfvo type="percent" val="100"/>
        <color rgb="FFF8696B"/>
        <color rgb="FFFFEB84"/>
        <color rgb="FF63BE7B"/>
      </colorScale>
    </cfRule>
  </conditionalFormatting>
  <conditionalFormatting sqref="N7">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N8:N9">
    <cfRule type="colorScale" priority="39">
      <colorScale>
        <cfvo type="percent" val="0"/>
        <cfvo type="percent" val="50"/>
        <cfvo type="percent" val="100"/>
        <color rgb="FFF8696B"/>
        <color rgb="FFFFEB84"/>
        <color rgb="FF63BE7B"/>
      </colorScale>
    </cfRule>
    <cfRule type="colorScale" priority="40">
      <colorScale>
        <cfvo type="percent" val="0"/>
        <cfvo type="percent" val="50"/>
        <cfvo type="percent" val="100"/>
        <color rgb="FFF8696B"/>
        <color rgb="FFFFEB84"/>
        <color rgb="FF63BE7B"/>
      </colorScale>
    </cfRule>
  </conditionalFormatting>
  <conditionalFormatting sqref="N10:N12 N4:N6">
    <cfRule type="colorScale" priority="126">
      <colorScale>
        <cfvo type="percent" val="0"/>
        <cfvo type="percent" val="50"/>
        <cfvo type="percent" val="100"/>
        <color rgb="FFF8696B"/>
        <color rgb="FFFFEB84"/>
        <color rgb="FF63BE7B"/>
      </colorScale>
    </cfRule>
    <cfRule type="colorScale" priority="125">
      <colorScale>
        <cfvo type="percent" val="0"/>
        <cfvo type="percent" val="50"/>
        <cfvo type="percent" val="100"/>
        <color rgb="FFF8696B"/>
        <color rgb="FFFFEB84"/>
        <color rgb="FF63BE7B"/>
      </colorScale>
    </cfRule>
  </conditionalFormatting>
  <conditionalFormatting sqref="N30">
    <cfRule type="colorScale" priority="399">
      <colorScale>
        <cfvo type="percent" val="0"/>
        <cfvo type="percent" val="50"/>
        <cfvo type="percent" val="100"/>
        <color rgb="FFF8696B"/>
        <color rgb="FFFFEB84"/>
        <color rgb="FF63BE7B"/>
      </colorScale>
    </cfRule>
    <cfRule type="colorScale" priority="400">
      <colorScale>
        <cfvo type="percent" val="0"/>
        <cfvo type="percent" val="50"/>
        <cfvo type="percent" val="100"/>
        <color rgb="FFF8696B"/>
        <color rgb="FFFFEB84"/>
        <color rgb="FF63BE7B"/>
      </colorScale>
    </cfRule>
  </conditionalFormatting>
  <conditionalFormatting sqref="N31 N29 N34:N36">
    <cfRule type="colorScale" priority="374">
      <colorScale>
        <cfvo type="percent" val="0"/>
        <cfvo type="percent" val="50"/>
        <cfvo type="percent" val="100"/>
        <color rgb="FFF8696B"/>
        <color rgb="FFFFEB84"/>
        <color rgb="FF63BE7B"/>
      </colorScale>
    </cfRule>
    <cfRule type="colorScale" priority="375">
      <colorScale>
        <cfvo type="percent" val="0"/>
        <cfvo type="percent" val="50"/>
        <cfvo type="percent" val="100"/>
        <color rgb="FFF8696B"/>
        <color rgb="FFFFEB84"/>
        <color rgb="FF63BE7B"/>
      </colorScale>
    </cfRule>
  </conditionalFormatting>
  <conditionalFormatting sqref="N32:N33">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onditionalFormatting>
  <conditionalFormatting sqref="T7">
    <cfRule type="colorScale" priority="282">
      <colorScale>
        <cfvo type="percent" val="0"/>
        <cfvo type="percent" val="50"/>
        <cfvo type="percent" val="100"/>
        <color rgb="FFF8696B"/>
        <color rgb="FFFFEB84"/>
        <color rgb="FF63BE7B"/>
      </colorScale>
    </cfRule>
  </conditionalFormatting>
  <conditionalFormatting sqref="T8:T9">
    <cfRule type="colorScale" priority="44">
      <colorScale>
        <cfvo type="percent" val="0"/>
        <cfvo type="percent" val="50"/>
        <cfvo type="percent" val="100"/>
        <color rgb="FFF8696B"/>
        <color rgb="FFFFEB84"/>
        <color rgb="FF63BE7B"/>
      </colorScale>
    </cfRule>
  </conditionalFormatting>
  <conditionalFormatting sqref="T10:T12 T4:T6">
    <cfRule type="colorScale" priority="130">
      <colorScale>
        <cfvo type="percent" val="0"/>
        <cfvo type="percent" val="50"/>
        <cfvo type="percent" val="100"/>
        <color rgb="FFF8696B"/>
        <color rgb="FFFFEB84"/>
        <color rgb="FF63BE7B"/>
      </colorScale>
    </cfRule>
  </conditionalFormatting>
  <conditionalFormatting sqref="T20:T21 V20:V21">
    <cfRule type="colorScale" priority="30">
      <colorScale>
        <cfvo type="percent" val="0"/>
        <cfvo type="percent" val="50"/>
        <cfvo type="percent" val="100"/>
        <color rgb="FFF8696B"/>
        <color rgb="FFFFEB84"/>
        <color rgb="FF63BE7B"/>
      </colorScale>
    </cfRule>
  </conditionalFormatting>
  <conditionalFormatting sqref="T22:T24 V17:V19 T17:T19 V22:V24">
    <cfRule type="colorScale" priority="323">
      <colorScale>
        <cfvo type="percent" val="0"/>
        <cfvo type="percent" val="50"/>
        <cfvo type="percent" val="100"/>
        <color rgb="FFF8696B"/>
        <color rgb="FFFFEB84"/>
        <color rgb="FF63BE7B"/>
      </colorScale>
    </cfRule>
  </conditionalFormatting>
  <conditionalFormatting sqref="T29 T31 T34:T36">
    <cfRule type="colorScale" priority="366">
      <colorScale>
        <cfvo type="percent" val="0"/>
        <cfvo type="percent" val="50"/>
        <cfvo type="percent" val="100"/>
        <color rgb="FFF8696B"/>
        <color rgb="FFFFEB84"/>
        <color rgb="FF63BE7B"/>
      </colorScale>
    </cfRule>
  </conditionalFormatting>
  <conditionalFormatting sqref="T30">
    <cfRule type="colorScale" priority="395">
      <colorScale>
        <cfvo type="percent" val="0"/>
        <cfvo type="percent" val="50"/>
        <cfvo type="percent" val="100"/>
        <color rgb="FFF8696B"/>
        <color rgb="FFFFEB84"/>
        <color rgb="FF63BE7B"/>
      </colorScale>
    </cfRule>
  </conditionalFormatting>
  <conditionalFormatting sqref="T32:T33">
    <cfRule type="colorScale" priority="12">
      <colorScale>
        <cfvo type="percent" val="0"/>
        <cfvo type="percent" val="50"/>
        <cfvo type="percent" val="100"/>
        <color rgb="FFF8696B"/>
        <color rgb="FFFFEB84"/>
        <color rgb="FF63BE7B"/>
      </colorScale>
    </cfRule>
  </conditionalFormatting>
  <conditionalFormatting sqref="T7:V7">
    <cfRule type="colorScale" priority="290">
      <colorScale>
        <cfvo type="percent" val="0"/>
        <cfvo type="percent" val="50"/>
        <cfvo type="percent" val="100"/>
        <color rgb="FFF8696B"/>
        <color rgb="FFFFEB84"/>
        <color rgb="FF63BE7B"/>
      </colorScale>
    </cfRule>
  </conditionalFormatting>
  <conditionalFormatting sqref="T8:V9">
    <cfRule type="colorScale" priority="36">
      <colorScale>
        <cfvo type="percent" val="0"/>
        <cfvo type="percent" val="50"/>
        <cfvo type="percent" val="100"/>
        <color rgb="FFF8696B"/>
        <color rgb="FFFFEB84"/>
        <color rgb="FF63BE7B"/>
      </colorScale>
    </cfRule>
  </conditionalFormatting>
  <conditionalFormatting sqref="T10:V12 T4:V6">
    <cfRule type="colorScale" priority="122">
      <colorScale>
        <cfvo type="percent" val="0"/>
        <cfvo type="percent" val="50"/>
        <cfvo type="percent" val="100"/>
        <color rgb="FFF8696B"/>
        <color rgb="FFFFEB84"/>
        <color rgb="FF63BE7B"/>
      </colorScale>
    </cfRule>
  </conditionalFormatting>
  <conditionalFormatting sqref="T20:V21">
    <cfRule type="colorScale" priority="35">
      <colorScale>
        <cfvo type="percent" val="0"/>
        <cfvo type="percent" val="50"/>
        <cfvo type="percent" val="100"/>
        <color rgb="FFF8696B"/>
        <color rgb="FFFFEB84"/>
        <color rgb="FF63BE7B"/>
      </colorScale>
    </cfRule>
  </conditionalFormatting>
  <conditionalFormatting sqref="T22:V24 T17:V19">
    <cfRule type="colorScale" priority="343">
      <colorScale>
        <cfvo type="percent" val="0"/>
        <cfvo type="percent" val="50"/>
        <cfvo type="percent" val="100"/>
        <color rgb="FFF8696B"/>
        <color rgb="FFFFEB84"/>
        <color rgb="FF63BE7B"/>
      </colorScale>
    </cfRule>
  </conditionalFormatting>
  <conditionalFormatting sqref="T30:V30">
    <cfRule type="colorScale" priority="403">
      <colorScale>
        <cfvo type="percent" val="0"/>
        <cfvo type="percent" val="50"/>
        <cfvo type="percent" val="100"/>
        <color rgb="FFF8696B"/>
        <color rgb="FFFFEB84"/>
        <color rgb="FF63BE7B"/>
      </colorScale>
    </cfRule>
  </conditionalFormatting>
  <conditionalFormatting sqref="T31:V31 T29:V29 T34:V36">
    <cfRule type="colorScale" priority="382">
      <colorScale>
        <cfvo type="percent" val="0"/>
        <cfvo type="percent" val="50"/>
        <cfvo type="percent" val="100"/>
        <color rgb="FFF8696B"/>
        <color rgb="FFFFEB84"/>
        <color rgb="FF63BE7B"/>
      </colorScale>
    </cfRule>
  </conditionalFormatting>
  <conditionalFormatting sqref="T32:V33">
    <cfRule type="colorScale" priority="20">
      <colorScale>
        <cfvo type="percent" val="0"/>
        <cfvo type="percent" val="50"/>
        <cfvo type="percent" val="100"/>
        <color rgb="FFF8696B"/>
        <color rgb="FFFFEB84"/>
        <color rgb="FF63BE7B"/>
      </colorScale>
    </cfRule>
  </conditionalFormatting>
  <conditionalFormatting sqref="U7">
    <cfRule type="colorScale" priority="285">
      <colorScale>
        <cfvo type="percent" val="0"/>
        <cfvo type="percent" val="50"/>
        <cfvo type="percent" val="100"/>
        <color rgb="FFF8696B"/>
        <color rgb="FFFFEB84"/>
        <color rgb="FF63BE7B"/>
      </colorScale>
    </cfRule>
  </conditionalFormatting>
  <conditionalFormatting sqref="U8:U9">
    <cfRule type="colorScale" priority="41">
      <colorScale>
        <cfvo type="percent" val="0"/>
        <cfvo type="percent" val="50"/>
        <cfvo type="percent" val="100"/>
        <color rgb="FFF8696B"/>
        <color rgb="FFFFEB84"/>
        <color rgb="FF63BE7B"/>
      </colorScale>
    </cfRule>
  </conditionalFormatting>
  <conditionalFormatting sqref="U10:U12 U4:U6">
    <cfRule type="colorScale" priority="127">
      <colorScale>
        <cfvo type="percent" val="0"/>
        <cfvo type="percent" val="50"/>
        <cfvo type="percent" val="100"/>
        <color rgb="FFF8696B"/>
        <color rgb="FFFFEB84"/>
        <color rgb="FF63BE7B"/>
      </colorScale>
    </cfRule>
  </conditionalFormatting>
  <conditionalFormatting sqref="U20:U21">
    <cfRule type="colorScale" priority="31">
      <colorScale>
        <cfvo type="percent" val="0"/>
        <cfvo type="percent" val="50"/>
        <cfvo type="percent" val="100"/>
        <color rgb="FFF8696B"/>
        <color rgb="FFFFEB84"/>
        <color rgb="FF63BE7B"/>
      </colorScale>
    </cfRule>
  </conditionalFormatting>
  <conditionalFormatting sqref="U22:U24 U17:U19">
    <cfRule type="colorScale" priority="329">
      <colorScale>
        <cfvo type="percent" val="0"/>
        <cfvo type="percent" val="50"/>
        <cfvo type="percent" val="100"/>
        <color rgb="FFF8696B"/>
        <color rgb="FFFFEB84"/>
        <color rgb="FF63BE7B"/>
      </colorScale>
    </cfRule>
  </conditionalFormatting>
  <conditionalFormatting sqref="U29 U31 U34:U36">
    <cfRule type="colorScale" priority="372">
      <colorScale>
        <cfvo type="percent" val="0"/>
        <cfvo type="percent" val="50"/>
        <cfvo type="percent" val="100"/>
        <color rgb="FFF8696B"/>
        <color rgb="FFFFEB84"/>
        <color rgb="FF63BE7B"/>
      </colorScale>
    </cfRule>
  </conditionalFormatting>
  <conditionalFormatting sqref="U30">
    <cfRule type="colorScale" priority="398">
      <colorScale>
        <cfvo type="percent" val="0"/>
        <cfvo type="percent" val="50"/>
        <cfvo type="percent" val="100"/>
        <color rgb="FFF8696B"/>
        <color rgb="FFFFEB84"/>
        <color rgb="FF63BE7B"/>
      </colorScale>
    </cfRule>
  </conditionalFormatting>
  <conditionalFormatting sqref="U32:U33">
    <cfRule type="colorScale" priority="15">
      <colorScale>
        <cfvo type="percent" val="0"/>
        <cfvo type="percent" val="50"/>
        <cfvo type="percent" val="100"/>
        <color rgb="FFF8696B"/>
        <color rgb="FFFFEB84"/>
        <color rgb="FF63BE7B"/>
      </colorScale>
    </cfRule>
  </conditionalFormatting>
  <conditionalFormatting sqref="V7">
    <cfRule type="colorScale" priority="288">
      <colorScale>
        <cfvo type="percent" val="0"/>
        <cfvo type="percent" val="50"/>
        <cfvo type="percent" val="100"/>
        <color rgb="FFF8696B"/>
        <color rgb="FFFFEB84"/>
        <color rgb="FF63BE7B"/>
      </colorScale>
    </cfRule>
  </conditionalFormatting>
  <conditionalFormatting sqref="V8:V9">
    <cfRule type="colorScale" priority="38">
      <colorScale>
        <cfvo type="percent" val="0"/>
        <cfvo type="percent" val="50"/>
        <cfvo type="percent" val="100"/>
        <color rgb="FFF8696B"/>
        <color rgb="FFFFEB84"/>
        <color rgb="FF63BE7B"/>
      </colorScale>
    </cfRule>
  </conditionalFormatting>
  <conditionalFormatting sqref="V10:V12 V4:V6">
    <cfRule type="colorScale" priority="124">
      <colorScale>
        <cfvo type="percent" val="0"/>
        <cfvo type="percent" val="50"/>
        <cfvo type="percent" val="100"/>
        <color rgb="FFF8696B"/>
        <color rgb="FFFFEB84"/>
        <color rgb="FF63BE7B"/>
      </colorScale>
    </cfRule>
  </conditionalFormatting>
  <conditionalFormatting sqref="V29 V31 V34:V36">
    <cfRule type="colorScale" priority="378">
      <colorScale>
        <cfvo type="percent" val="0"/>
        <cfvo type="percent" val="50"/>
        <cfvo type="percent" val="100"/>
        <color rgb="FFF8696B"/>
        <color rgb="FFFFEB84"/>
        <color rgb="FF63BE7B"/>
      </colorScale>
    </cfRule>
  </conditionalFormatting>
  <conditionalFormatting sqref="V30">
    <cfRule type="colorScale" priority="401">
      <colorScale>
        <cfvo type="percent" val="0"/>
        <cfvo type="percent" val="50"/>
        <cfvo type="percent" val="100"/>
        <color rgb="FFF8696B"/>
        <color rgb="FFFFEB84"/>
        <color rgb="FF63BE7B"/>
      </colorScale>
    </cfRule>
  </conditionalFormatting>
  <conditionalFormatting sqref="V32:V33">
    <cfRule type="colorScale" priority="1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96"/>
  <sheetViews>
    <sheetView workbookViewId="0">
      <pane ySplit="2" topLeftCell="A3" activePane="bottomLeft" state="frozen"/>
      <selection pane="bottomLeft" activeCell="A6" sqref="A6"/>
    </sheetView>
  </sheetViews>
  <sheetFormatPr defaultRowHeight="15" x14ac:dyDescent="0.25"/>
  <cols>
    <col min="1" max="1" width="20.5703125" customWidth="1"/>
    <col min="2" max="2" width="55.5703125" bestFit="1" customWidth="1"/>
    <col min="3" max="3" width="10" bestFit="1" customWidth="1"/>
    <col min="4" max="4" width="18.85546875" customWidth="1"/>
    <col min="5" max="5" width="11.140625" bestFit="1" customWidth="1"/>
    <col min="6" max="6" width="16.85546875" customWidth="1"/>
    <col min="7" max="7" width="18.85546875" customWidth="1"/>
    <col min="9" max="9" width="15.85546875" customWidth="1"/>
    <col min="10" max="10" width="20.5703125" customWidth="1"/>
  </cols>
  <sheetData>
    <row r="1" spans="1:11" ht="39" customHeight="1" thickBot="1" x14ac:dyDescent="0.35">
      <c r="A1" s="569" t="s">
        <v>372</v>
      </c>
      <c r="B1" s="570"/>
      <c r="C1" s="570"/>
      <c r="D1" s="570"/>
      <c r="E1" s="570"/>
      <c r="F1" s="570"/>
      <c r="G1" s="570"/>
      <c r="H1" s="570"/>
      <c r="I1" s="570"/>
      <c r="J1" s="570"/>
      <c r="K1" s="571"/>
    </row>
    <row r="2" spans="1:11" s="79" customFormat="1" ht="15.75" thickBot="1" x14ac:dyDescent="0.3">
      <c r="A2" s="411" t="s">
        <v>72</v>
      </c>
      <c r="B2" s="412" t="s">
        <v>76</v>
      </c>
      <c r="C2" s="413" t="s">
        <v>91</v>
      </c>
      <c r="D2" s="413" t="s">
        <v>197</v>
      </c>
      <c r="E2" s="414" t="s">
        <v>1</v>
      </c>
      <c r="F2" s="414" t="s">
        <v>373</v>
      </c>
      <c r="G2" s="414" t="s">
        <v>374</v>
      </c>
    </row>
    <row r="3" spans="1:11" ht="15.75" thickBot="1" x14ac:dyDescent="0.3">
      <c r="A3" s="459" t="s">
        <v>542</v>
      </c>
      <c r="B3" s="456" t="s">
        <v>596</v>
      </c>
      <c r="C3" s="418" t="s">
        <v>382</v>
      </c>
      <c r="D3" s="309" t="s">
        <v>576</v>
      </c>
      <c r="E3" s="418" t="s">
        <v>584</v>
      </c>
      <c r="F3" s="460" t="s">
        <v>377</v>
      </c>
      <c r="G3" s="468" t="s">
        <v>31</v>
      </c>
      <c r="I3" s="276" t="s">
        <v>72</v>
      </c>
      <c r="J3" s="277" t="s">
        <v>378</v>
      </c>
      <c r="K3" s="419">
        <f>COUNTA(A3:A3876)</f>
        <v>20</v>
      </c>
    </row>
    <row r="4" spans="1:11" x14ac:dyDescent="0.25">
      <c r="A4" s="459" t="s">
        <v>540</v>
      </c>
      <c r="B4" s="456" t="s">
        <v>592</v>
      </c>
      <c r="C4" s="418" t="s">
        <v>375</v>
      </c>
      <c r="D4" s="309" t="s">
        <v>574</v>
      </c>
      <c r="E4" s="418" t="s">
        <v>584</v>
      </c>
      <c r="F4" s="460" t="s">
        <v>377</v>
      </c>
      <c r="G4" s="468" t="s">
        <v>31</v>
      </c>
      <c r="I4" s="561" t="s">
        <v>91</v>
      </c>
      <c r="J4" s="278" t="s">
        <v>379</v>
      </c>
      <c r="K4" s="420">
        <f>COUNTIFS($C3:$C3876,"P1")</f>
        <v>14</v>
      </c>
    </row>
    <row r="5" spans="1:11" x14ac:dyDescent="0.25">
      <c r="A5" s="459" t="s">
        <v>543</v>
      </c>
      <c r="B5" s="456" t="s">
        <v>559</v>
      </c>
      <c r="C5" s="418" t="s">
        <v>375</v>
      </c>
      <c r="D5" s="309" t="s">
        <v>575</v>
      </c>
      <c r="E5" s="418" t="s">
        <v>585</v>
      </c>
      <c r="F5" s="460" t="s">
        <v>377</v>
      </c>
      <c r="G5" s="468" t="s">
        <v>31</v>
      </c>
      <c r="I5" s="562"/>
      <c r="J5" s="279" t="s">
        <v>380</v>
      </c>
      <c r="K5" s="421">
        <f>COUNTIFS($C3:$C3876,"P2")</f>
        <v>6</v>
      </c>
    </row>
    <row r="6" spans="1:11" ht="15.75" thickBot="1" x14ac:dyDescent="0.3">
      <c r="A6" s="459" t="s">
        <v>539</v>
      </c>
      <c r="B6" s="456" t="s">
        <v>595</v>
      </c>
      <c r="C6" s="418" t="s">
        <v>382</v>
      </c>
      <c r="D6" s="309" t="s">
        <v>573</v>
      </c>
      <c r="E6" s="418" t="s">
        <v>42</v>
      </c>
      <c r="F6" s="460" t="s">
        <v>377</v>
      </c>
      <c r="G6" s="468" t="s">
        <v>31</v>
      </c>
      <c r="I6" s="563"/>
      <c r="J6" s="280" t="s">
        <v>381</v>
      </c>
      <c r="K6" s="422">
        <f>COUNTIFS($C3:$C3876,"P3")</f>
        <v>0</v>
      </c>
    </row>
    <row r="7" spans="1:11" x14ac:dyDescent="0.25">
      <c r="A7" s="459" t="s">
        <v>544</v>
      </c>
      <c r="B7" s="456" t="s">
        <v>560</v>
      </c>
      <c r="C7" s="418" t="s">
        <v>375</v>
      </c>
      <c r="D7" s="309" t="s">
        <v>575</v>
      </c>
      <c r="E7" s="418" t="s">
        <v>584</v>
      </c>
      <c r="F7" s="460" t="s">
        <v>377</v>
      </c>
      <c r="G7" s="468" t="s">
        <v>31</v>
      </c>
      <c r="I7" s="564" t="s">
        <v>197</v>
      </c>
      <c r="J7" s="278" t="s">
        <v>383</v>
      </c>
      <c r="K7" s="420">
        <f>COUNTIFS($D3:$D3876,"Diagnostics")</f>
        <v>0</v>
      </c>
    </row>
    <row r="8" spans="1:11" x14ac:dyDescent="0.25">
      <c r="A8" s="459" t="s">
        <v>545</v>
      </c>
      <c r="B8" s="456" t="s">
        <v>561</v>
      </c>
      <c r="C8" s="418" t="s">
        <v>375</v>
      </c>
      <c r="D8" s="309" t="s">
        <v>577</v>
      </c>
      <c r="E8" s="418" t="s">
        <v>584</v>
      </c>
      <c r="F8" s="460" t="s">
        <v>377</v>
      </c>
      <c r="G8" s="468" t="s">
        <v>31</v>
      </c>
      <c r="I8" s="565"/>
      <c r="J8" s="279" t="s">
        <v>384</v>
      </c>
      <c r="K8" s="421">
        <f>COUNTIFS($D3:$D3876,"Driver")</f>
        <v>0</v>
      </c>
    </row>
    <row r="9" spans="1:11" x14ac:dyDescent="0.25">
      <c r="A9" s="459" t="s">
        <v>546</v>
      </c>
      <c r="B9" s="456" t="s">
        <v>562</v>
      </c>
      <c r="C9" s="418" t="s">
        <v>375</v>
      </c>
      <c r="D9" s="309" t="s">
        <v>577</v>
      </c>
      <c r="E9" s="418" t="s">
        <v>584</v>
      </c>
      <c r="F9" s="460" t="s">
        <v>377</v>
      </c>
      <c r="G9" s="468" t="s">
        <v>31</v>
      </c>
      <c r="I9" s="565"/>
      <c r="J9" s="279" t="s">
        <v>385</v>
      </c>
      <c r="K9" s="421">
        <f>COUNTIFS($D3:$D3876,"IPSE")</f>
        <v>0</v>
      </c>
    </row>
    <row r="10" spans="1:11" ht="15.75" thickBot="1" x14ac:dyDescent="0.3">
      <c r="A10" s="459" t="s">
        <v>547</v>
      </c>
      <c r="B10" s="456" t="s">
        <v>563</v>
      </c>
      <c r="C10" s="418" t="s">
        <v>375</v>
      </c>
      <c r="D10" s="309" t="s">
        <v>577</v>
      </c>
      <c r="E10" s="418" t="s">
        <v>584</v>
      </c>
      <c r="F10" s="460" t="s">
        <v>377</v>
      </c>
      <c r="G10" s="468" t="s">
        <v>31</v>
      </c>
      <c r="I10" s="566"/>
      <c r="J10" s="280" t="s">
        <v>386</v>
      </c>
      <c r="K10" s="422">
        <f>COUNTIFS($D3:$D3876,"N/A")</f>
        <v>0</v>
      </c>
    </row>
    <row r="11" spans="1:11" x14ac:dyDescent="0.25">
      <c r="A11" s="459" t="s">
        <v>548</v>
      </c>
      <c r="B11" s="456" t="s">
        <v>353</v>
      </c>
      <c r="C11" s="418" t="s">
        <v>375</v>
      </c>
      <c r="D11" s="309" t="s">
        <v>575</v>
      </c>
      <c r="E11" s="418" t="s">
        <v>585</v>
      </c>
      <c r="F11" s="460" t="s">
        <v>377</v>
      </c>
      <c r="G11" s="468" t="s">
        <v>31</v>
      </c>
      <c r="I11" s="564" t="s">
        <v>1</v>
      </c>
      <c r="J11" s="278" t="s">
        <v>387</v>
      </c>
      <c r="K11" s="420">
        <f>COUNTIFS($E3:$E3876,"Legacy")</f>
        <v>0</v>
      </c>
    </row>
    <row r="12" spans="1:11" x14ac:dyDescent="0.25">
      <c r="A12" s="459" t="s">
        <v>549</v>
      </c>
      <c r="B12" s="456" t="s">
        <v>564</v>
      </c>
      <c r="C12" s="418" t="s">
        <v>375</v>
      </c>
      <c r="D12" s="309" t="s">
        <v>578</v>
      </c>
      <c r="E12" s="418" t="s">
        <v>585</v>
      </c>
      <c r="F12" s="460" t="s">
        <v>377</v>
      </c>
      <c r="G12" s="468" t="s">
        <v>31</v>
      </c>
      <c r="I12" s="565"/>
      <c r="J12" s="279" t="s">
        <v>388</v>
      </c>
      <c r="K12" s="421">
        <f>COUNTIFS($E3:$E3876,"Delta")</f>
        <v>0</v>
      </c>
    </row>
    <row r="13" spans="1:11" ht="15.75" thickBot="1" x14ac:dyDescent="0.3">
      <c r="A13" s="459" t="s">
        <v>550</v>
      </c>
      <c r="B13" s="456" t="s">
        <v>565</v>
      </c>
      <c r="C13" s="418" t="s">
        <v>375</v>
      </c>
      <c r="D13" s="309" t="s">
        <v>575</v>
      </c>
      <c r="E13" s="418" t="s">
        <v>585</v>
      </c>
      <c r="F13" s="460" t="s">
        <v>377</v>
      </c>
      <c r="G13" s="468" t="s">
        <v>31</v>
      </c>
      <c r="I13" s="566"/>
      <c r="J13" s="280" t="s">
        <v>389</v>
      </c>
      <c r="K13" s="422">
        <f>COUNTIFS($E3:$E3876,"New")</f>
        <v>2</v>
      </c>
    </row>
    <row r="14" spans="1:11" ht="15.75" thickBot="1" x14ac:dyDescent="0.3">
      <c r="A14" s="459" t="s">
        <v>551</v>
      </c>
      <c r="B14" s="456" t="s">
        <v>593</v>
      </c>
      <c r="C14" s="418" t="s">
        <v>375</v>
      </c>
      <c r="D14" s="309" t="s">
        <v>575</v>
      </c>
      <c r="E14" s="418" t="s">
        <v>584</v>
      </c>
      <c r="F14" s="460" t="s">
        <v>377</v>
      </c>
      <c r="G14" s="468" t="s">
        <v>31</v>
      </c>
      <c r="I14" s="355" t="s">
        <v>202</v>
      </c>
      <c r="J14" s="567">
        <v>8.14</v>
      </c>
      <c r="K14" s="568"/>
    </row>
    <row r="15" spans="1:11" x14ac:dyDescent="0.25">
      <c r="A15" s="459" t="s">
        <v>552</v>
      </c>
      <c r="B15" s="456" t="s">
        <v>566</v>
      </c>
      <c r="C15" s="418" t="s">
        <v>382</v>
      </c>
      <c r="D15" s="309" t="s">
        <v>579</v>
      </c>
      <c r="E15" s="418" t="s">
        <v>584</v>
      </c>
      <c r="F15" s="460" t="s">
        <v>377</v>
      </c>
      <c r="G15" s="468" t="s">
        <v>31</v>
      </c>
    </row>
    <row r="16" spans="1:11" x14ac:dyDescent="0.25">
      <c r="A16" s="459" t="s">
        <v>553</v>
      </c>
      <c r="B16" s="456" t="s">
        <v>567</v>
      </c>
      <c r="C16" s="418" t="s">
        <v>382</v>
      </c>
      <c r="D16" s="309" t="s">
        <v>575</v>
      </c>
      <c r="E16" s="418" t="s">
        <v>584</v>
      </c>
      <c r="F16" s="460" t="s">
        <v>377</v>
      </c>
      <c r="G16" s="468" t="s">
        <v>31</v>
      </c>
    </row>
    <row r="17" spans="1:7" x14ac:dyDescent="0.25">
      <c r="A17" s="459" t="s">
        <v>541</v>
      </c>
      <c r="B17" s="456" t="s">
        <v>594</v>
      </c>
      <c r="C17" s="418" t="s">
        <v>375</v>
      </c>
      <c r="D17" s="309" t="s">
        <v>575</v>
      </c>
      <c r="E17" s="418" t="s">
        <v>585</v>
      </c>
      <c r="F17" s="460" t="s">
        <v>377</v>
      </c>
      <c r="G17" s="468"/>
    </row>
    <row r="18" spans="1:7" x14ac:dyDescent="0.25">
      <c r="A18" s="459" t="s">
        <v>554</v>
      </c>
      <c r="B18" s="456" t="s">
        <v>568</v>
      </c>
      <c r="C18" s="418" t="s">
        <v>382</v>
      </c>
      <c r="D18" s="309" t="s">
        <v>580</v>
      </c>
      <c r="E18" s="418" t="s">
        <v>42</v>
      </c>
      <c r="F18" s="460" t="s">
        <v>377</v>
      </c>
      <c r="G18" s="468"/>
    </row>
    <row r="19" spans="1:7" x14ac:dyDescent="0.25">
      <c r="A19" s="459" t="s">
        <v>555</v>
      </c>
      <c r="B19" s="456" t="s">
        <v>569</v>
      </c>
      <c r="C19" s="418" t="s">
        <v>375</v>
      </c>
      <c r="D19" s="309" t="s">
        <v>575</v>
      </c>
      <c r="E19" s="418" t="s">
        <v>584</v>
      </c>
      <c r="F19" s="460" t="s">
        <v>377</v>
      </c>
      <c r="G19" s="468" t="s">
        <v>31</v>
      </c>
    </row>
    <row r="20" spans="1:7" ht="13.9" customHeight="1" x14ac:dyDescent="0.25">
      <c r="A20" s="459" t="s">
        <v>556</v>
      </c>
      <c r="B20" s="456" t="s">
        <v>570</v>
      </c>
      <c r="C20" s="418" t="s">
        <v>382</v>
      </c>
      <c r="D20" s="309" t="s">
        <v>581</v>
      </c>
      <c r="E20" s="418" t="s">
        <v>585</v>
      </c>
      <c r="F20" s="460" t="s">
        <v>377</v>
      </c>
      <c r="G20" s="468"/>
    </row>
    <row r="21" spans="1:7" x14ac:dyDescent="0.25">
      <c r="A21" s="459" t="s">
        <v>557</v>
      </c>
      <c r="B21" s="456" t="s">
        <v>571</v>
      </c>
      <c r="C21" s="418" t="s">
        <v>375</v>
      </c>
      <c r="D21" s="309" t="s">
        <v>582</v>
      </c>
      <c r="E21" s="418" t="s">
        <v>585</v>
      </c>
      <c r="F21" s="460" t="s">
        <v>377</v>
      </c>
      <c r="G21" s="468" t="s">
        <v>31</v>
      </c>
    </row>
    <row r="22" spans="1:7" ht="30" x14ac:dyDescent="0.25">
      <c r="A22" s="459" t="s">
        <v>558</v>
      </c>
      <c r="B22" s="456" t="s">
        <v>572</v>
      </c>
      <c r="C22" s="418" t="s">
        <v>375</v>
      </c>
      <c r="D22" s="309" t="s">
        <v>583</v>
      </c>
      <c r="E22" s="418" t="s">
        <v>585</v>
      </c>
      <c r="F22" s="460" t="s">
        <v>377</v>
      </c>
      <c r="G22" s="468" t="s">
        <v>31</v>
      </c>
    </row>
    <row r="51" spans="8:8" x14ac:dyDescent="0.25">
      <c r="H51" s="473"/>
    </row>
    <row r="52" spans="8:8" x14ac:dyDescent="0.25">
      <c r="H52" s="473"/>
    </row>
    <row r="53" spans="8:8" x14ac:dyDescent="0.25">
      <c r="H53" s="473"/>
    </row>
    <row r="54" spans="8:8" x14ac:dyDescent="0.25">
      <c r="H54" s="473"/>
    </row>
    <row r="55" spans="8:8" x14ac:dyDescent="0.25">
      <c r="H55" s="473"/>
    </row>
    <row r="56" spans="8:8" x14ac:dyDescent="0.25">
      <c r="H56" s="473"/>
    </row>
    <row r="57" spans="8:8" x14ac:dyDescent="0.25">
      <c r="H57" s="473"/>
    </row>
    <row r="58" spans="8:8" x14ac:dyDescent="0.25">
      <c r="H58" s="473"/>
    </row>
    <row r="59" spans="8:8" x14ac:dyDescent="0.25">
      <c r="H59" s="473"/>
    </row>
    <row r="60" spans="8:8" x14ac:dyDescent="0.25">
      <c r="H60" s="473"/>
    </row>
    <row r="61" spans="8:8" x14ac:dyDescent="0.25">
      <c r="H61" s="473"/>
    </row>
    <row r="62" spans="8:8" x14ac:dyDescent="0.25">
      <c r="H62" s="473"/>
    </row>
    <row r="63" spans="8:8" x14ac:dyDescent="0.25">
      <c r="H63" s="473"/>
    </row>
    <row r="64" spans="8:8" x14ac:dyDescent="0.25">
      <c r="H64" s="473"/>
    </row>
    <row r="65" spans="8:8" x14ac:dyDescent="0.25">
      <c r="H65" s="473"/>
    </row>
    <row r="66" spans="8:8" x14ac:dyDescent="0.25">
      <c r="H66" s="473"/>
    </row>
    <row r="67" spans="8:8" x14ac:dyDescent="0.25">
      <c r="H67" s="473"/>
    </row>
    <row r="68" spans="8:8" x14ac:dyDescent="0.25">
      <c r="H68" s="473"/>
    </row>
    <row r="69" spans="8:8" x14ac:dyDescent="0.25">
      <c r="H69" s="473"/>
    </row>
    <row r="70" spans="8:8" x14ac:dyDescent="0.25">
      <c r="H70" s="473"/>
    </row>
    <row r="71" spans="8:8" x14ac:dyDescent="0.25">
      <c r="H71" s="473"/>
    </row>
    <row r="72" spans="8:8" x14ac:dyDescent="0.25">
      <c r="H72" s="473"/>
    </row>
    <row r="73" spans="8:8" x14ac:dyDescent="0.25">
      <c r="H73" s="473"/>
    </row>
    <row r="74" spans="8:8" x14ac:dyDescent="0.25">
      <c r="H74" s="473"/>
    </row>
    <row r="75" spans="8:8" x14ac:dyDescent="0.25">
      <c r="H75" s="473"/>
    </row>
    <row r="76" spans="8:8" x14ac:dyDescent="0.25">
      <c r="H76" s="473"/>
    </row>
    <row r="77" spans="8:8" x14ac:dyDescent="0.25">
      <c r="H77" s="473"/>
    </row>
    <row r="78" spans="8:8" x14ac:dyDescent="0.25">
      <c r="H78" s="473"/>
    </row>
    <row r="79" spans="8:8" x14ac:dyDescent="0.25">
      <c r="H79" s="473"/>
    </row>
    <row r="80" spans="8:8" x14ac:dyDescent="0.25">
      <c r="H80" s="473"/>
    </row>
    <row r="81" spans="8:8" x14ac:dyDescent="0.25">
      <c r="H81" s="473"/>
    </row>
    <row r="82" spans="8:8" x14ac:dyDescent="0.25">
      <c r="H82" s="473"/>
    </row>
    <row r="83" spans="8:8" x14ac:dyDescent="0.25">
      <c r="H83" s="473"/>
    </row>
    <row r="84" spans="8:8" x14ac:dyDescent="0.25">
      <c r="H84" s="473"/>
    </row>
    <row r="85" spans="8:8" x14ac:dyDescent="0.25">
      <c r="H85" s="473"/>
    </row>
    <row r="86" spans="8:8" x14ac:dyDescent="0.25">
      <c r="H86" s="473"/>
    </row>
    <row r="87" spans="8:8" x14ac:dyDescent="0.25">
      <c r="H87" s="473"/>
    </row>
    <row r="88" spans="8:8" x14ac:dyDescent="0.25">
      <c r="H88" s="473"/>
    </row>
    <row r="89" spans="8:8" x14ac:dyDescent="0.25">
      <c r="H89" s="473"/>
    </row>
    <row r="90" spans="8:8" x14ac:dyDescent="0.25">
      <c r="H90" s="473"/>
    </row>
    <row r="91" spans="8:8" x14ac:dyDescent="0.25">
      <c r="H91" s="473"/>
    </row>
    <row r="92" spans="8:8" x14ac:dyDescent="0.25">
      <c r="H92" s="473"/>
    </row>
    <row r="93" spans="8:8" x14ac:dyDescent="0.25">
      <c r="H93" s="473"/>
    </row>
    <row r="94" spans="8:8" x14ac:dyDescent="0.25">
      <c r="H94" s="473"/>
    </row>
    <row r="95" spans="8:8" x14ac:dyDescent="0.25">
      <c r="H95" s="473"/>
    </row>
    <row r="96" spans="8:8" x14ac:dyDescent="0.25">
      <c r="H96" s="473"/>
    </row>
  </sheetData>
  <autoFilter ref="A2:G22" xr:uid="{066AA753-A976-4821-8790-A9A552A672D5}"/>
  <mergeCells count="5">
    <mergeCell ref="I4:I6"/>
    <mergeCell ref="I7:I10"/>
    <mergeCell ref="I11:I13"/>
    <mergeCell ref="J14:K14"/>
    <mergeCell ref="A1:K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D3:D22</xm:sqref>
        </x14:dataValidation>
        <x14:dataValidation type="list" allowBlank="1" showInputMessage="1" showErrorMessage="1" xr:uid="{AA1AC074-A7B7-4C8D-9132-118B458773B2}">
          <x14:formula1>
            <xm:f>'List Options'!$G$1:$G$3</xm:f>
          </x14:formula1>
          <xm:sqref>E3:E22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32"/>
  <sheetViews>
    <sheetView workbookViewId="0">
      <selection activeCell="D8" sqref="D8"/>
    </sheetView>
  </sheetViews>
  <sheetFormatPr defaultColWidth="8.5703125" defaultRowHeight="15" x14ac:dyDescent="0.25"/>
  <cols>
    <col min="1" max="1" width="19.5703125" style="170" customWidth="1"/>
    <col min="2" max="2" width="20.85546875" style="177" customWidth="1"/>
    <col min="3" max="3" width="9.85546875" style="177" bestFit="1" customWidth="1"/>
    <col min="4" max="4" width="26.5703125" style="170" customWidth="1"/>
    <col min="5" max="5" width="14.140625" style="177" bestFit="1" customWidth="1"/>
    <col min="6" max="6" width="11.140625" style="177" bestFit="1" customWidth="1"/>
    <col min="7" max="7" width="11.28515625" style="177" bestFit="1" customWidth="1"/>
    <col min="8" max="8" width="14.28515625" style="177" bestFit="1" customWidth="1"/>
    <col min="9" max="9" width="8.28515625" style="179" bestFit="1" customWidth="1"/>
    <col min="10" max="10" width="20" style="179" bestFit="1" customWidth="1"/>
    <col min="11" max="11" width="13.140625" style="183" customWidth="1"/>
    <col min="12" max="12" width="10.8554687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0.7109375" style="188" customWidth="1"/>
    <col min="21" max="21" width="10.85546875" style="170" bestFit="1" customWidth="1"/>
    <col min="22" max="22" width="31.140625" style="170" customWidth="1"/>
    <col min="23" max="23" width="38.140625" style="170" customWidth="1"/>
    <col min="24" max="16384" width="8.5703125" style="170"/>
  </cols>
  <sheetData>
    <row r="1" spans="1:23" s="166" customFormat="1" ht="19.5" thickBot="1" x14ac:dyDescent="0.3">
      <c r="A1" s="595" t="s">
        <v>390</v>
      </c>
      <c r="B1" s="528"/>
      <c r="C1" s="528"/>
      <c r="D1" s="528"/>
      <c r="E1" s="528"/>
      <c r="F1" s="528"/>
      <c r="G1" s="528"/>
      <c r="H1" s="528"/>
      <c r="I1" s="528"/>
      <c r="J1" s="528"/>
      <c r="K1" s="528"/>
      <c r="L1" s="528"/>
      <c r="M1" s="528"/>
      <c r="N1" s="528"/>
      <c r="O1" s="528"/>
      <c r="P1" s="528"/>
      <c r="Q1" s="528"/>
      <c r="R1" s="528"/>
      <c r="S1" s="528"/>
      <c r="T1" s="528"/>
      <c r="U1" s="529"/>
      <c r="V1" s="165"/>
    </row>
    <row r="2" spans="1:23" s="174" customFormat="1" ht="18.75" x14ac:dyDescent="0.25">
      <c r="A2" s="598" t="s">
        <v>247</v>
      </c>
      <c r="B2" s="599"/>
      <c r="C2" s="599"/>
      <c r="D2" s="599"/>
      <c r="E2" s="599"/>
      <c r="F2" s="600"/>
      <c r="G2" s="353">
        <f>COUNTIF(G7:G26,"Yes")</f>
        <v>18</v>
      </c>
      <c r="H2" s="353">
        <f>COUNTIF(H7:H24,"Yes")</f>
        <v>18</v>
      </c>
      <c r="I2" s="596">
        <f>'Diags Raw Data'!K117</f>
        <v>108</v>
      </c>
      <c r="J2" s="610">
        <f>'Diags Raw Data'!L117</f>
        <v>1230</v>
      </c>
      <c r="K2" s="612">
        <f>'Diags Raw Data'!N117</f>
        <v>1</v>
      </c>
      <c r="L2" s="614">
        <f>'Diags Raw Data'!P117</f>
        <v>0.71626016260162606</v>
      </c>
      <c r="M2" s="616">
        <f>'Diags Raw Data'!R117</f>
        <v>1230</v>
      </c>
      <c r="N2" s="593">
        <f>SUM('Diags Raw Data'!T117+'Diags Raw Data'!U117)</f>
        <v>5</v>
      </c>
      <c r="O2" s="604">
        <f>IF((M30=0),0,N30/M30)</f>
        <v>4.0650406504065045E-3</v>
      </c>
      <c r="P2" s="606">
        <f>'Diags Raw Data'!Z117</f>
        <v>0</v>
      </c>
      <c r="Q2" s="608">
        <f>SUM('Diags Raw Data'!AA117+'Diags Raw Data'!AB117)</f>
        <v>0</v>
      </c>
      <c r="R2" s="578">
        <f>IF((J30=0),0,P30/J30)</f>
        <v>0</v>
      </c>
      <c r="S2" s="578">
        <f>IF((P30=0),0,Q30/P30)</f>
        <v>0</v>
      </c>
      <c r="T2" s="578">
        <f>R30*S30</f>
        <v>0</v>
      </c>
      <c r="U2" s="580"/>
      <c r="V2" s="173"/>
    </row>
    <row r="3" spans="1:23" ht="19.5" thickBot="1" x14ac:dyDescent="0.3">
      <c r="A3" s="601"/>
      <c r="B3" s="602"/>
      <c r="C3" s="602"/>
      <c r="D3" s="602"/>
      <c r="E3" s="602"/>
      <c r="F3" s="603"/>
      <c r="G3" s="354">
        <f>COUNTIF(G7:G26,"Yes")/COUNTA(A7:A26)</f>
        <v>0.9</v>
      </c>
      <c r="H3" s="354">
        <f>(COUNTIF(H7:H26,"Yes")/G30)</f>
        <v>1</v>
      </c>
      <c r="I3" s="597"/>
      <c r="J3" s="611"/>
      <c r="K3" s="613"/>
      <c r="L3" s="615"/>
      <c r="M3" s="617"/>
      <c r="N3" s="594"/>
      <c r="O3" s="605"/>
      <c r="P3" s="607"/>
      <c r="Q3" s="609"/>
      <c r="R3" s="579"/>
      <c r="S3" s="579"/>
      <c r="T3" s="579"/>
      <c r="U3" s="581"/>
      <c r="V3" s="169"/>
    </row>
    <row r="4" spans="1:23" ht="19.5" thickBot="1" x14ac:dyDescent="0.3">
      <c r="A4" s="530" t="s">
        <v>391</v>
      </c>
      <c r="B4" s="531"/>
      <c r="C4" s="531"/>
      <c r="D4" s="531"/>
      <c r="E4" s="531"/>
      <c r="F4" s="531"/>
      <c r="G4" s="531"/>
      <c r="H4" s="531"/>
      <c r="I4" s="531"/>
      <c r="J4" s="531"/>
      <c r="K4" s="531"/>
      <c r="L4" s="531"/>
      <c r="M4" s="531"/>
      <c r="N4" s="531"/>
      <c r="O4" s="531"/>
      <c r="P4" s="531"/>
      <c r="Q4" s="531"/>
      <c r="R4" s="531"/>
      <c r="S4" s="531"/>
      <c r="T4" s="531"/>
      <c r="U4" s="532"/>
      <c r="V4" s="169"/>
    </row>
    <row r="5" spans="1:23" s="166" customFormat="1" ht="31.5" customHeight="1" thickBot="1" x14ac:dyDescent="0.3">
      <c r="A5" s="584" t="s">
        <v>71</v>
      </c>
      <c r="B5" s="585"/>
      <c r="C5" s="585"/>
      <c r="D5" s="585"/>
      <c r="E5" s="585"/>
      <c r="F5" s="585"/>
      <c r="G5" s="585"/>
      <c r="H5" s="585"/>
      <c r="I5" s="585"/>
      <c r="J5" s="586"/>
      <c r="K5" s="582" t="s">
        <v>108</v>
      </c>
      <c r="L5" s="583"/>
      <c r="M5" s="587" t="s">
        <v>119</v>
      </c>
      <c r="N5" s="588"/>
      <c r="O5" s="589"/>
      <c r="P5" s="590" t="s">
        <v>139</v>
      </c>
      <c r="Q5" s="591"/>
      <c r="R5" s="591"/>
      <c r="S5" s="591"/>
      <c r="T5" s="591"/>
      <c r="U5" s="592"/>
      <c r="V5" s="165"/>
    </row>
    <row r="6" spans="1:23" s="167" customFormat="1" ht="14.1" customHeight="1" thickBot="1" x14ac:dyDescent="0.3">
      <c r="A6" s="328" t="s">
        <v>72</v>
      </c>
      <c r="B6" s="342" t="s">
        <v>76</v>
      </c>
      <c r="C6" s="342" t="s">
        <v>91</v>
      </c>
      <c r="D6" s="342" t="s">
        <v>207</v>
      </c>
      <c r="E6" s="342" t="s">
        <v>83</v>
      </c>
      <c r="F6" s="342" t="s">
        <v>1</v>
      </c>
      <c r="G6" s="343" t="s">
        <v>210</v>
      </c>
      <c r="H6" s="343" t="s">
        <v>213</v>
      </c>
      <c r="I6" s="344" t="s">
        <v>100</v>
      </c>
      <c r="J6" s="344" t="s">
        <v>216</v>
      </c>
      <c r="K6" s="332" t="s">
        <v>109</v>
      </c>
      <c r="L6" s="333" t="s">
        <v>116</v>
      </c>
      <c r="M6" s="325" t="s">
        <v>222</v>
      </c>
      <c r="N6" s="326" t="s">
        <v>224</v>
      </c>
      <c r="O6" s="324" t="s">
        <v>182</v>
      </c>
      <c r="P6" s="463" t="s">
        <v>227</v>
      </c>
      <c r="Q6" s="464" t="s">
        <v>224</v>
      </c>
      <c r="R6" s="465" t="s">
        <v>179</v>
      </c>
      <c r="S6" s="465" t="s">
        <v>135</v>
      </c>
      <c r="T6" s="466" t="s">
        <v>182</v>
      </c>
      <c r="U6" s="467" t="s">
        <v>152</v>
      </c>
      <c r="V6" s="471" t="s">
        <v>392</v>
      </c>
      <c r="W6" s="472" t="s">
        <v>393</v>
      </c>
    </row>
    <row r="7" spans="1:23" ht="27" customHeight="1" x14ac:dyDescent="0.25">
      <c r="A7" s="458" t="s">
        <v>540</v>
      </c>
      <c r="B7" s="371" t="str">
        <f>VLOOKUP(A7,'Feature Raw Data'!$A$3:$B$3876,2,FALSE)</f>
        <v>DRAM Error Injection</v>
      </c>
      <c r="C7" s="329" t="str">
        <f>VLOOKUP(A7,'Feature Raw Data'!$A$3:$C$3876,3,FALSE)</f>
        <v>P1</v>
      </c>
      <c r="D7" s="94" t="str" cm="1">
        <f t="array" ref="D7">_xlfn.TEXTJOIN("",TRUE,IF(ISNUMBER(SEARCH($A7,'Diags Raw Data'!$A$6:$A$3727)),CONCATENATE('Diags Raw Data'!$H$6:$H$3727,", "),""))</f>
        <v xml:space="preserve">umc751.2,umc751.3, </v>
      </c>
      <c r="E7" s="330" t="str">
        <f>VLOOKUP(A7,'Diags Raw Data'!$A$6:$D$3727,4,FALSE)</f>
        <v>MCA</v>
      </c>
      <c r="F7" s="330" t="str">
        <f>VLOOKUP(A7,'Feature Raw Data'!$A$3:$E$3876,5,FALSE)</f>
        <v>Existing</v>
      </c>
      <c r="G7" s="330" t="str">
        <f t="shared" ref="G7:G13" si="0">IF(D7="","No","Yes")</f>
        <v>Yes</v>
      </c>
      <c r="H7" s="330" t="str">
        <f t="shared" ref="H7:H13" si="1">IF(D7="","No","Yes")</f>
        <v>Yes</v>
      </c>
      <c r="I7" s="329">
        <f>SUMIF('Diags Raw Data'!$A$6:$A$3727,"*"&amp;$A7&amp;"*",'Diags Raw Data'!$K$6:$K$3727)</f>
        <v>1</v>
      </c>
      <c r="J7" s="331">
        <f>SUMIF('Diags Raw Data'!$A$6:$A$3727,"*"&amp;$A7&amp;"*",'Diags Raw Data'!$L$6:$L$3727)</f>
        <v>2</v>
      </c>
      <c r="K7" s="423" cm="1">
        <f t="array" ref="K7">IF(D7="",0, SUMPRODUCT(--(ISNUMBER(SEARCH($A7,'Diags Raw Data'!$A$6:$A$3727))),'Diags Raw Data'!$L$6:$L$3727,'Diags Raw Data'!$N$6:$N$3727)/J7)</f>
        <v>1</v>
      </c>
      <c r="L7" s="424" cm="1">
        <f t="array" ref="L7">IF(D7="",0, SUMPRODUCT(--(ISNUMBER(SEARCH($A7,'Diags Raw Data'!$A$6:$A$3727))),'Diags Raw Data'!$L$6:$L$3727,'Diags Raw Data'!$P$6:$P$3727)/J7)</f>
        <v>0</v>
      </c>
      <c r="M7" s="425" cm="1">
        <f t="array" ref="M7">SUMPRODUCT(--(ISNUMBER(SEARCH($A7,'Diags Raw Data'!$A$6:$A$3727))),--('Diags Raw Data'!$Q$6:$Q$3727&lt;&gt;"N/A"),'Diags Raw Data'!$R$6:$R$3727)</f>
        <v>2</v>
      </c>
      <c r="N7" s="426" cm="1">
        <f t="array" ref="N7">SUMPRODUCT(--(ISNUMBER(SEARCH($A7,'Diags Raw Data'!$A$6:$A$3727))),--('Diags Raw Data'!$Q$6:$Q$3727&lt;&gt;"N/A"),'Diags Raw Data'!$T$6:$T$3727)+SUMPRODUCT(--(ISNUMBER(SEARCH($A7,'Diags Raw Data'!$A$6:$A$3727))),--('Diags Raw Data'!$Q$6:$Q$3727&lt;&gt;"N/A"),'Diags Raw Data'!$U$6:$U$3727)</f>
        <v>0</v>
      </c>
      <c r="O7" s="427">
        <f>IF((M7=0),0,N7/M7)</f>
        <v>0</v>
      </c>
      <c r="P7" s="428">
        <f>SUMIF('Diags Raw Data'!$A$6:$A$3727,"*"&amp;$A7&amp;"*",'Diags Raw Data'!$Z$6:$Z$3727)</f>
        <v>0</v>
      </c>
      <c r="Q7" s="429">
        <f>SUM(SUMIF('Diags Raw Data'!$A$6:$A$3727,"*"&amp;$A7&amp;"*",'Diags Raw Data'!$AA$6:$AA$3727),SUMIF('Diags Raw Data'!$A$6:$A$3727,"*"&amp;$A7&amp;"*",'Diags Raw Data'!$AB$6:$AB$3727))</f>
        <v>0</v>
      </c>
      <c r="R7" s="430">
        <f>IF((J7=0),0,P7/J7)</f>
        <v>0</v>
      </c>
      <c r="S7" s="430">
        <f>IF((P7=0),0,Q7/P7)</f>
        <v>0</v>
      </c>
      <c r="T7" s="431">
        <f>R7*S7</f>
        <v>0</v>
      </c>
      <c r="U7" s="462" t="s">
        <v>394</v>
      </c>
      <c r="V7" s="169"/>
    </row>
    <row r="8" spans="1:23" ht="57" customHeight="1" x14ac:dyDescent="0.25">
      <c r="A8" s="459" t="s">
        <v>539</v>
      </c>
      <c r="B8" s="372" t="str">
        <f>VLOOKUP(A8,'Feature Raw Data'!$A$3:$B$3876,2,FALSE)</f>
        <v xml:space="preserve">[GDDR6] DPM State support for UCLK </v>
      </c>
      <c r="C8" s="320" t="str">
        <f>VLOOKUP(A8,'Feature Raw Data'!$A$3:$C$3876,3,FALSE)</f>
        <v>P2</v>
      </c>
      <c r="D8" s="82" t="str" cm="1">
        <f t="array" ref="D8">_xlfn.TEXTJOIN("",TRUE,IF(ISNUMBER(SEARCH($A8,'Diags Raw Data'!$A$6:$A$3727)),CONCATENATE('Diags Raw Data'!$H$6:$H$3727,", "),""))</f>
        <v xml:space="preserve">umc302.2,umc302.3,umc302.5,umc302.6,umc302.7,umc302.9,umc302.11,umc302.12,umc302.13,umc302.21,umc302.22,umc302.24,umc302.25,umc302.101,umc302.102,umc302.103,umc302.104,umc302.105,umc302.501,umc302.502,umc302.503,umc302.504,umc302.505,umc302.511,umc302.512,umc302.513,umc302.514,umc302.515,umc302.551,umc302.552,umc302.553,umc302.554,umc302.555,umc302.561,umc302.562,umc302.563,umc302.564,umc302.565, </v>
      </c>
      <c r="E8" s="168" t="str">
        <f>VLOOKUP(A8,'Diags Raw Data'!$A$6:$D$3727,4,FALSE)</f>
        <v>SPAZ</v>
      </c>
      <c r="F8" s="168" t="str">
        <f>VLOOKUP(A8,'Feature Raw Data'!$A$3:$E$3876,5,FALSE)</f>
        <v>New</v>
      </c>
      <c r="G8" s="168" t="str">
        <f t="shared" si="0"/>
        <v>Yes</v>
      </c>
      <c r="H8" s="168" t="str">
        <f t="shared" si="1"/>
        <v>Yes</v>
      </c>
      <c r="I8" s="320">
        <f>SUMIF('Diags Raw Data'!$A$6:$A$3727,"*"&amp;$A8&amp;"*",'Diags Raw Data'!$K$6:$K$3727)</f>
        <v>1</v>
      </c>
      <c r="J8" s="180">
        <f>SUMIF('Diags Raw Data'!$A$6:$A$3727,"*"&amp;$A8&amp;"*",'Diags Raw Data'!$L$6:$L$3727)</f>
        <v>38</v>
      </c>
      <c r="K8" s="432" cm="1">
        <f t="array" ref="K8">IF(D8="",0, SUMPRODUCT(--(ISNUMBER(SEARCH($A8,'Diags Raw Data'!$A$6:$A$3727))),'Diags Raw Data'!$L$6:$L$3727,'Diags Raw Data'!$N$6:$N$3727)/J8)</f>
        <v>1</v>
      </c>
      <c r="L8" s="433" cm="1">
        <f t="array" ref="L8">IF(D8="",0, SUMPRODUCT(--(ISNUMBER(SEARCH($A8,'Diags Raw Data'!$A$6:$A$3727))),'Diags Raw Data'!$L$6:$L$3727,'Diags Raw Data'!$P$6:$P$3727)/J8)</f>
        <v>1</v>
      </c>
      <c r="M8" s="434" cm="1">
        <f t="array" ref="M8">SUMPRODUCT(--(ISNUMBER(SEARCH($A8,'Diags Raw Data'!$A$6:$A$3727))),--('Diags Raw Data'!$Q$6:$Q$3727&lt;&gt;"N/A"),'Diags Raw Data'!$R$6:$R$3727)</f>
        <v>38</v>
      </c>
      <c r="N8" s="435" cm="1">
        <f t="array" ref="N8">SUMPRODUCT(--(ISNUMBER(SEARCH($A8,'Diags Raw Data'!$A$6:$A$3727))),--('Diags Raw Data'!$Q$6:$Q$3727&lt;&gt;"N/A"),'Diags Raw Data'!$T$6:$T$3727)+SUMPRODUCT(--(ISNUMBER(SEARCH($A8,'Diags Raw Data'!$A$6:$A$3727))),--('Diags Raw Data'!$Q$6:$Q$3727&lt;&gt;"N/A"),'Diags Raw Data'!$U$6:$U$3727)</f>
        <v>0</v>
      </c>
      <c r="O8" s="436">
        <f t="shared" ref="O8:O13" si="2">IF((M8=0),0,N8/M8)</f>
        <v>0</v>
      </c>
      <c r="P8" s="437">
        <f>SUMIF('Diags Raw Data'!$A$6:$A$3727,"*"&amp;$A8&amp;"*",'Diags Raw Data'!$Z$6:$Z$3727)</f>
        <v>0</v>
      </c>
      <c r="Q8" s="438">
        <f>SUM(SUMIF('Diags Raw Data'!$A$6:$A$3727,"*"&amp;$A8&amp;"*",'Diags Raw Data'!$AA$6:$AA$3727),SUMIF('Diags Raw Data'!$A$6:$A$3727,"*"&amp;$A8&amp;"*",'Diags Raw Data'!$AB$6:$AB$3727))</f>
        <v>0</v>
      </c>
      <c r="R8" s="439">
        <f t="shared" ref="R8:R13" si="3">IF((J8=0),0,P8/J8)</f>
        <v>0</v>
      </c>
      <c r="S8" s="439">
        <f t="shared" ref="S8:S13" si="4">IF((P8=0),0,Q8/P8)</f>
        <v>0</v>
      </c>
      <c r="T8" s="440">
        <f t="shared" ref="T8:T13" si="5">R8*S8</f>
        <v>0</v>
      </c>
      <c r="U8" s="461" t="s">
        <v>395</v>
      </c>
      <c r="V8" s="169"/>
    </row>
    <row r="9" spans="1:23" ht="45.6" customHeight="1" x14ac:dyDescent="0.25">
      <c r="A9" s="459" t="s">
        <v>542</v>
      </c>
      <c r="B9" s="372" t="str">
        <f>VLOOKUP(A9,'Feature Raw Data'!$A$3:$B$3876,2,FALSE)</f>
        <v>DF4.0 MemClear</v>
      </c>
      <c r="C9" s="320" t="str">
        <f>VLOOKUP(A9,'Feature Raw Data'!$A$3:$C$3876,3,FALSE)</f>
        <v>P2</v>
      </c>
      <c r="D9" s="82" t="str" cm="1">
        <f t="array" ref="D9">_xlfn.TEXTJOIN("",TRUE,IF(ISNUMBER(SEARCH($A9,'Diags Raw Data'!$A$6:$A$3727)),CONCATENATE('Diags Raw Data'!$H$6:$H$3727,", "),""))</f>
        <v xml:space="preserve">umc1.1,umc1.1.2, </v>
      </c>
      <c r="E9" s="168" t="str">
        <f>VLOOKUP(A9,'Diags Raw Data'!$A$6:$D$3727,4,FALSE)</f>
        <v>DCQ</v>
      </c>
      <c r="F9" s="168" t="str">
        <f>VLOOKUP(A9,'Feature Raw Data'!$A$3:$E$3876,5,FALSE)</f>
        <v>Existing</v>
      </c>
      <c r="G9" s="168" t="str">
        <f t="shared" si="0"/>
        <v>Yes</v>
      </c>
      <c r="H9" s="168" t="str">
        <f t="shared" si="1"/>
        <v>Yes</v>
      </c>
      <c r="I9" s="320">
        <f>SUMIF('Diags Raw Data'!$A$6:$A$3727,"*"&amp;$A9&amp;"*",'Diags Raw Data'!$K$6:$K$3727)</f>
        <v>1</v>
      </c>
      <c r="J9" s="180">
        <f>SUMIF('Diags Raw Data'!$A$6:$A$3727,"*"&amp;$A9&amp;"*",'Diags Raw Data'!$L$6:$L$3727)</f>
        <v>2</v>
      </c>
      <c r="K9" s="432" cm="1">
        <f t="array" ref="K9">IF(D9="",0, SUMPRODUCT(--(ISNUMBER(SEARCH($A9,'Diags Raw Data'!$A$6:$A$3727))),'Diags Raw Data'!$L$6:$L$3727,'Diags Raw Data'!$N$6:$N$3727)/J9)</f>
        <v>1</v>
      </c>
      <c r="L9" s="433" cm="1">
        <f t="array" ref="L9">IF(D9="",0, SUMPRODUCT(--(ISNUMBER(SEARCH($A9,'Diags Raw Data'!$A$6:$A$3727))),'Diags Raw Data'!$L$6:$L$3727,'Diags Raw Data'!$P$6:$P$3727)/J9)</f>
        <v>1</v>
      </c>
      <c r="M9" s="434" cm="1">
        <f t="array" ref="M9">SUMPRODUCT(--(ISNUMBER(SEARCH($A9,'Diags Raw Data'!$A$6:$A$3727))),--('Diags Raw Data'!$Q$6:$Q$3727&lt;&gt;"N/A"),'Diags Raw Data'!$R$6:$R$3727)</f>
        <v>2</v>
      </c>
      <c r="N9" s="435" cm="1">
        <f t="array" ref="N9">SUMPRODUCT(--(ISNUMBER(SEARCH($A9,'Diags Raw Data'!$A$6:$A$3727))),--('Diags Raw Data'!$Q$6:$Q$3727&lt;&gt;"N/A"),'Diags Raw Data'!$T$6:$T$3727)+SUMPRODUCT(--(ISNUMBER(SEARCH($A9,'Diags Raw Data'!$A$6:$A$3727))),--('Diags Raw Data'!$Q$6:$Q$3727&lt;&gt;"N/A"),'Diags Raw Data'!$U$6:$U$3727)</f>
        <v>2</v>
      </c>
      <c r="O9" s="436">
        <f t="shared" si="2"/>
        <v>1</v>
      </c>
      <c r="P9" s="437">
        <f>SUMIF('Diags Raw Data'!$A$6:$A$3727,"*"&amp;$A9&amp;"*",'Diags Raw Data'!$Z$6:$Z$3727)</f>
        <v>0</v>
      </c>
      <c r="Q9" s="438">
        <f>SUM(SUMIF('Diags Raw Data'!$A$6:$A$3727,"*"&amp;$A9&amp;"*",'Diags Raw Data'!$AA$6:$AA$3727),SUMIF('Diags Raw Data'!$A$6:$A$3727,"*"&amp;$A9&amp;"*",'Diags Raw Data'!$AB$6:$AB$3727))</f>
        <v>0</v>
      </c>
      <c r="R9" s="439">
        <f t="shared" si="3"/>
        <v>0</v>
      </c>
      <c r="S9" s="439">
        <f t="shared" si="4"/>
        <v>0</v>
      </c>
      <c r="T9" s="440">
        <f t="shared" si="5"/>
        <v>0</v>
      </c>
      <c r="U9" s="461" t="s">
        <v>396</v>
      </c>
      <c r="V9" s="169"/>
    </row>
    <row r="10" spans="1:23" ht="30" x14ac:dyDescent="0.25">
      <c r="A10" s="459" t="s">
        <v>543</v>
      </c>
      <c r="B10" s="372" t="str">
        <f>VLOOKUP(A10,'Feature Raw Data'!$A$3:$B$3876,2,FALSE)</f>
        <v>Bank Grouping</v>
      </c>
      <c r="C10" s="320" t="str">
        <f>VLOOKUP(A10,'Feature Raw Data'!$A$3:$C$3876,3,FALSE)</f>
        <v>P1</v>
      </c>
      <c r="D10" s="82" t="str" cm="1">
        <f t="array" ref="D10">_xlfn.TEXTJOIN("",TRUE,IF(ISNUMBER(SEARCH($A10,'Diags Raw Data'!$A$6:$A$3727)),CONCATENATE('Diags Raw Data'!$H$6:$H$3727,", "),""))</f>
        <v xml:space="preserve">umc70.1,umc70.2, </v>
      </c>
      <c r="E10" s="168" t="str">
        <f>VLOOKUP(A10,'Diags Raw Data'!$A$6:$D$3727,4,FALSE)</f>
        <v>FEI</v>
      </c>
      <c r="F10" s="168" t="str">
        <f>VLOOKUP(A10,'Feature Raw Data'!$A$3:$E$3876,5,FALSE)</f>
        <v>Incremental</v>
      </c>
      <c r="G10" s="168" t="str">
        <f t="shared" si="0"/>
        <v>Yes</v>
      </c>
      <c r="H10" s="168" t="str">
        <f t="shared" si="1"/>
        <v>Yes</v>
      </c>
      <c r="I10" s="320">
        <f>SUMIF('Diags Raw Data'!$A$6:$A$3727,"*"&amp;$A10&amp;"*",'Diags Raw Data'!$K$6:$K$3727)</f>
        <v>1</v>
      </c>
      <c r="J10" s="180">
        <f>SUMIF('Diags Raw Data'!$A$6:$A$3727,"*"&amp;$A10&amp;"*",'Diags Raw Data'!$L$6:$L$3727)</f>
        <v>2</v>
      </c>
      <c r="K10" s="432" cm="1">
        <f t="array" ref="K10">IF(D10="",0, SUMPRODUCT(--(ISNUMBER(SEARCH($A10,'Diags Raw Data'!$A$6:$A$3727))),'Diags Raw Data'!$L$6:$L$3727,'Diags Raw Data'!$N$6:$N$3727)/J10)</f>
        <v>1</v>
      </c>
      <c r="L10" s="433" cm="1">
        <f t="array" ref="L10">IF(D10="",0, SUMPRODUCT(--(ISNUMBER(SEARCH($A10,'Diags Raw Data'!$A$6:$A$3727))),'Diags Raw Data'!$L$6:$L$3727,'Diags Raw Data'!$P$6:$P$3727)/J10)</f>
        <v>0</v>
      </c>
      <c r="M10" s="434" cm="1">
        <f t="array" ref="M10">SUMPRODUCT(--(ISNUMBER(SEARCH($A10,'Diags Raw Data'!$A$6:$A$3727))),--('Diags Raw Data'!$Q$6:$Q$3727&lt;&gt;"N/A"),'Diags Raw Data'!$R$6:$R$3727)</f>
        <v>2</v>
      </c>
      <c r="N10" s="435" cm="1">
        <f t="array" ref="N10">SUMPRODUCT(--(ISNUMBER(SEARCH($A10,'Diags Raw Data'!$A$6:$A$3727))),--('Diags Raw Data'!$Q$6:$Q$3727&lt;&gt;"N/A"),'Diags Raw Data'!$T$6:$T$3727)+SUMPRODUCT(--(ISNUMBER(SEARCH($A10,'Diags Raw Data'!$A$6:$A$3727))),--('Diags Raw Data'!$Q$6:$Q$3727&lt;&gt;"N/A"),'Diags Raw Data'!$U$6:$U$3727)</f>
        <v>0</v>
      </c>
      <c r="O10" s="436">
        <f t="shared" si="2"/>
        <v>0</v>
      </c>
      <c r="P10" s="437">
        <f>SUMIF('Diags Raw Data'!$A$6:$A$3727,"*"&amp;$A10&amp;"*",'Diags Raw Data'!$Z$6:$Z$3727)</f>
        <v>0</v>
      </c>
      <c r="Q10" s="438">
        <f>SUM(SUMIF('Diags Raw Data'!$A$6:$A$3727,"*"&amp;$A10&amp;"*",'Diags Raw Data'!$AA$6:$AA$3727),SUMIF('Diags Raw Data'!$A$6:$A$3727,"*"&amp;$A10&amp;"*",'Diags Raw Data'!$AB$6:$AB$3727))</f>
        <v>0</v>
      </c>
      <c r="R10" s="439">
        <f t="shared" si="3"/>
        <v>0</v>
      </c>
      <c r="S10" s="439">
        <f t="shared" si="4"/>
        <v>0</v>
      </c>
      <c r="T10" s="440">
        <f t="shared" si="5"/>
        <v>0</v>
      </c>
      <c r="U10" s="461" t="s">
        <v>398</v>
      </c>
      <c r="V10" s="169"/>
    </row>
    <row r="11" spans="1:23" ht="30" x14ac:dyDescent="0.25">
      <c r="A11" s="459" t="s">
        <v>544</v>
      </c>
      <c r="B11" s="372" t="str">
        <f>VLOOKUP(A11,'Feature Raw Data'!$A$3:$B$3876,2,FALSE)</f>
        <v>Clock Gating</v>
      </c>
      <c r="C11" s="320" t="str">
        <f>VLOOKUP(A11,'Feature Raw Data'!$A$3:$C$3876,3,FALSE)</f>
        <v>P1</v>
      </c>
      <c r="D11" s="82" t="str" cm="1">
        <f t="array" ref="D11">_xlfn.TEXTJOIN("",TRUE,IF(ISNUMBER(SEARCH($A11,'Diags Raw Data'!$A$6:$A$3727)),CONCATENATE('Diags Raw Data'!$H$6:$H$3727,", "),""))</f>
        <v xml:space="preserve">umc49.1, umc.umcch_pg_test, </v>
      </c>
      <c r="E11" s="168" t="str">
        <f>VLOOKUP(A11,'Diags Raw Data'!$A$6:$D$3727,4,FALSE)</f>
        <v>SPAZ</v>
      </c>
      <c r="F11" s="168" t="str">
        <f>VLOOKUP(A11,'Feature Raw Data'!$A$3:$E$3876,5,FALSE)</f>
        <v>Existing</v>
      </c>
      <c r="G11" s="321" t="str">
        <f t="shared" si="0"/>
        <v>Yes</v>
      </c>
      <c r="H11" s="168" t="str">
        <f t="shared" si="1"/>
        <v>Yes</v>
      </c>
      <c r="I11" s="320">
        <f>SUMIF('Diags Raw Data'!$A$6:$A$3727,"*"&amp;$A11&amp;"*",'Diags Raw Data'!$K$6:$K$3727)</f>
        <v>2</v>
      </c>
      <c r="J11" s="180">
        <f>SUMIF('Diags Raw Data'!$A$6:$A$3727,"*"&amp;$A11&amp;"*",'Diags Raw Data'!$L$6:$L$3727)</f>
        <v>2</v>
      </c>
      <c r="K11" s="432" cm="1">
        <f t="array" ref="K11">IF(D11="",0, SUMPRODUCT(--(ISNUMBER(SEARCH($A11,'Diags Raw Data'!$A$6:$A$3727))),'Diags Raw Data'!$L$6:$L$3727,'Diags Raw Data'!$N$6:$N$3727)/J11)</f>
        <v>1</v>
      </c>
      <c r="L11" s="433" cm="1">
        <f t="array" ref="L11">IF(D11="",0, SUMPRODUCT(--(ISNUMBER(SEARCH($A11,'Diags Raw Data'!$A$6:$A$3727))),'Diags Raw Data'!$L$6:$L$3727,'Diags Raw Data'!$P$6:$P$3727)/J11)</f>
        <v>0</v>
      </c>
      <c r="M11" s="434" cm="1">
        <f t="array" ref="M11">SUMPRODUCT(--(ISNUMBER(SEARCH($A11,'Diags Raw Data'!$A$6:$A$3727))),--('Diags Raw Data'!$Q$6:$Q$3727&lt;&gt;"N/A"),'Diags Raw Data'!$R$6:$R$3727)</f>
        <v>2</v>
      </c>
      <c r="N11" s="435" cm="1">
        <f t="array" ref="N11">SUMPRODUCT(--(ISNUMBER(SEARCH($A11,'Diags Raw Data'!$A$6:$A$3727))),--('Diags Raw Data'!$Q$6:$Q$3727&lt;&gt;"N/A"),'Diags Raw Data'!$T$6:$T$3727)+SUMPRODUCT(--(ISNUMBER(SEARCH($A11,'Diags Raw Data'!$A$6:$A$3727))),--('Diags Raw Data'!$Q$6:$Q$3727&lt;&gt;"N/A"),'Diags Raw Data'!$U$6:$U$3727)</f>
        <v>0</v>
      </c>
      <c r="O11" s="436">
        <f t="shared" si="2"/>
        <v>0</v>
      </c>
      <c r="P11" s="437">
        <f>SUMIF('Diags Raw Data'!$A$6:$A$3727,"*"&amp;$A11&amp;"*",'Diags Raw Data'!$Z$6:$Z$3727)</f>
        <v>0</v>
      </c>
      <c r="Q11" s="438">
        <f>SUM(SUMIF('Diags Raw Data'!$A$6:$A$3727,"*"&amp;$A11&amp;"*",'Diags Raw Data'!$AA$6:$AA$3727),SUMIF('Diags Raw Data'!$A$6:$A$3727,"*"&amp;$A11&amp;"*",'Diags Raw Data'!$AB$6:$AB$3727))</f>
        <v>0</v>
      </c>
      <c r="R11" s="439">
        <f t="shared" si="3"/>
        <v>0</v>
      </c>
      <c r="S11" s="439">
        <f t="shared" si="4"/>
        <v>0</v>
      </c>
      <c r="T11" s="440">
        <f t="shared" si="5"/>
        <v>0</v>
      </c>
      <c r="U11" s="461" t="s">
        <v>399</v>
      </c>
      <c r="V11" s="169"/>
    </row>
    <row r="12" spans="1:23" ht="43.15" customHeight="1" x14ac:dyDescent="0.25">
      <c r="A12" s="459" t="s">
        <v>545</v>
      </c>
      <c r="B12" s="372" t="str">
        <f>VLOOKUP(A12,'Feature Raw Data'!$A$3:$B$3876,2,FALSE)</f>
        <v>[GDDR6] Masked/Partial Writes</v>
      </c>
      <c r="C12" s="320" t="str">
        <f>VLOOKUP(A12,'Feature Raw Data'!$A$3:$C$3876,3,FALSE)</f>
        <v>P1</v>
      </c>
      <c r="D12" s="82" t="str" cm="1">
        <f t="array" ref="D12">_xlfn.TEXTJOIN("",TRUE,IF(ISNUMBER(SEARCH($A12,'Diags Raw Data'!$A$6:$A$3727)),CONCATENATE('Diags Raw Data'!$H$6:$H$3727,", "),""))</f>
        <v xml:space="preserve">umc9.1,umc9.2,umc9.3, umc10.1,umc10.2,umc10.3, umc11.1,umc11.2,umc11.3, umc12.1,umc12.2,umc12.3, umc13.1,umc13.2,umc13.3, </v>
      </c>
      <c r="E12" s="168" t="str">
        <f>VLOOKUP(A12,'Diags Raw Data'!$A$6:$D$3727,4,FALSE)</f>
        <v>ARB</v>
      </c>
      <c r="F12" s="168" t="str">
        <f>VLOOKUP(A12,'Feature Raw Data'!$A$3:$E$3876,5,FALSE)</f>
        <v>Existing</v>
      </c>
      <c r="G12" s="168" t="str">
        <f t="shared" si="0"/>
        <v>Yes</v>
      </c>
      <c r="H12" s="168" t="str">
        <f t="shared" si="1"/>
        <v>Yes</v>
      </c>
      <c r="I12" s="320">
        <f>SUMIF('Diags Raw Data'!$A$6:$A$3727,"*"&amp;$A12&amp;"*",'Diags Raw Data'!$K$6:$K$3727)</f>
        <v>5</v>
      </c>
      <c r="J12" s="180">
        <f>SUMIF('Diags Raw Data'!$A$6:$A$3727,"*"&amp;$A12&amp;"*",'Diags Raw Data'!$L$6:$L$3727)</f>
        <v>15</v>
      </c>
      <c r="K12" s="432" cm="1">
        <f t="array" ref="K12">IF(D12="",0, SUMPRODUCT(--(ISNUMBER(SEARCH($A12,'Diags Raw Data'!$A$6:$A$3727))),'Diags Raw Data'!$L$6:$L$3727,'Diags Raw Data'!$N$6:$N$3727)/J12)</f>
        <v>1</v>
      </c>
      <c r="L12" s="433" cm="1">
        <f t="array" ref="L12">IF(D12="",0, SUMPRODUCT(--(ISNUMBER(SEARCH($A12,'Diags Raw Data'!$A$6:$A$3727))),'Diags Raw Data'!$L$6:$L$3727,'Diags Raw Data'!$P$6:$P$3727)/J12)</f>
        <v>0</v>
      </c>
      <c r="M12" s="434" cm="1">
        <f t="array" ref="M12">SUMPRODUCT(--(ISNUMBER(SEARCH($A12,'Diags Raw Data'!$A$6:$A$3727))),--('Diags Raw Data'!$Q$6:$Q$3727&lt;&gt;"N/A"),'Diags Raw Data'!$R$6:$R$3727)</f>
        <v>15</v>
      </c>
      <c r="N12" s="435" cm="1">
        <f t="array" ref="N12">SUMPRODUCT(--(ISNUMBER(SEARCH($A12,'Diags Raw Data'!$A$6:$A$3727))),--('Diags Raw Data'!$Q$6:$Q$3727&lt;&gt;"N/A"),'Diags Raw Data'!$T$6:$T$3727)+SUMPRODUCT(--(ISNUMBER(SEARCH($A12,'Diags Raw Data'!$A$6:$A$3727))),--('Diags Raw Data'!$Q$6:$Q$3727&lt;&gt;"N/A"),'Diags Raw Data'!$U$6:$U$3727)</f>
        <v>0</v>
      </c>
      <c r="O12" s="436">
        <f>IF((M12=0),0,N12/M12)</f>
        <v>0</v>
      </c>
      <c r="P12" s="437">
        <f>SUMIF('Diags Raw Data'!$A$6:$A$3727,"*"&amp;$A12&amp;"*",'Diags Raw Data'!$Z$6:$Z$3727)</f>
        <v>0</v>
      </c>
      <c r="Q12" s="438">
        <f>SUM(SUMIF('Diags Raw Data'!$A$6:$A$3727,"*"&amp;$A12&amp;"*",'Diags Raw Data'!$AA$6:$AA$3727),SUMIF('Diags Raw Data'!$A$6:$A$3727,"*"&amp;$A12&amp;"*",'Diags Raw Data'!$AB$6:$AB$3727))</f>
        <v>0</v>
      </c>
      <c r="R12" s="439">
        <f t="shared" si="3"/>
        <v>0</v>
      </c>
      <c r="S12" s="439">
        <f t="shared" si="4"/>
        <v>0</v>
      </c>
      <c r="T12" s="440">
        <f t="shared" si="5"/>
        <v>0</v>
      </c>
      <c r="U12" s="461" t="s">
        <v>398</v>
      </c>
      <c r="V12" s="169"/>
    </row>
    <row r="13" spans="1:23" ht="27.6" customHeight="1" x14ac:dyDescent="0.25">
      <c r="A13" s="459" t="s">
        <v>546</v>
      </c>
      <c r="B13" s="372" t="str">
        <f>VLOOKUP(A13,'Feature Raw Data'!$A$3:$B$3876,2,FALSE)</f>
        <v>[GDDR6] Supported DRAM density</v>
      </c>
      <c r="C13" s="320" t="str">
        <f>VLOOKUP(A13,'Feature Raw Data'!$A$3:$C$3876,3,FALSE)</f>
        <v>P1</v>
      </c>
      <c r="D13" s="82" t="str" cm="1">
        <f t="array" ref="D13">_xlfn.TEXTJOIN("",TRUE,IF(ISNUMBER(SEARCH($A13,'Diags Raw Data'!$A$6:$A$3727)),CONCATENATE('Diags Raw Data'!$H$6:$H$3727,", "),""))</f>
        <v xml:space="preserve">umc1.4,umc1.5, </v>
      </c>
      <c r="E13" s="168" t="str">
        <f>VLOOKUP(A13,'Diags Raw Data'!$A$6:$D$3727,4,FALSE)</f>
        <v>DCQ</v>
      </c>
      <c r="F13" s="168" t="str">
        <f>VLOOKUP(A13,'Feature Raw Data'!$A$3:$E$3876,5,FALSE)</f>
        <v>Existing</v>
      </c>
      <c r="G13" s="168" t="str">
        <f t="shared" si="0"/>
        <v>Yes</v>
      </c>
      <c r="H13" s="168" t="str">
        <f t="shared" si="1"/>
        <v>Yes</v>
      </c>
      <c r="I13" s="320">
        <f>SUMIF('Diags Raw Data'!$A$6:$A$3727,"*"&amp;$A13&amp;"*",'Diags Raw Data'!$K$6:$K$3727)</f>
        <v>1</v>
      </c>
      <c r="J13" s="180">
        <f>SUMIF('Diags Raw Data'!$A$6:$A$3727,"*"&amp;$A13&amp;"*",'Diags Raw Data'!$L$6:$L$3727)</f>
        <v>2</v>
      </c>
      <c r="K13" s="432" cm="1">
        <f t="array" ref="K13">IF(D13="",0, SUMPRODUCT(--(ISNUMBER(SEARCH($A13,'Diags Raw Data'!$A$6:$A$3727))),'Diags Raw Data'!$L$6:$L$3727,'Diags Raw Data'!$N$6:$N$3727)/J13)</f>
        <v>1</v>
      </c>
      <c r="L13" s="433" cm="1">
        <f t="array" ref="L13">IF(D13="",0, SUMPRODUCT(--(ISNUMBER(SEARCH($A13,'Diags Raw Data'!$A$6:$A$3727))),'Diags Raw Data'!$L$6:$L$3727,'Diags Raw Data'!$P$6:$P$3727)/J13)</f>
        <v>1</v>
      </c>
      <c r="M13" s="434" cm="1">
        <f t="array" ref="M13">SUMPRODUCT(--(ISNUMBER(SEARCH($A13,'Diags Raw Data'!$A$6:$A$3727))),--('Diags Raw Data'!$Q$6:$Q$3727&lt;&gt;"N/A"),'Diags Raw Data'!$R$6:$R$3727)</f>
        <v>2</v>
      </c>
      <c r="N13" s="435" cm="1">
        <f t="array" ref="N13">SUMPRODUCT(--(ISNUMBER(SEARCH($A13,'Diags Raw Data'!$A$6:$A$3727))),--('Diags Raw Data'!$Q$6:$Q$3727&lt;&gt;"N/A"),'Diags Raw Data'!$T$6:$T$3727)+SUMPRODUCT(--(ISNUMBER(SEARCH($A13,'Diags Raw Data'!$A$6:$A$3727))),--('Diags Raw Data'!$Q$6:$Q$3727&lt;&gt;"N/A"),'Diags Raw Data'!$U$6:$U$3727)</f>
        <v>2</v>
      </c>
      <c r="O13" s="436">
        <f t="shared" si="2"/>
        <v>1</v>
      </c>
      <c r="P13" s="437">
        <f>SUMIF('Diags Raw Data'!$A$6:$A$3727,"*"&amp;$A13&amp;"*",'Diags Raw Data'!$Z$6:$Z$3727)</f>
        <v>0</v>
      </c>
      <c r="Q13" s="438">
        <f>SUM(SUMIF('Diags Raw Data'!$A$6:$A$3727,"*"&amp;$A13&amp;"*",'Diags Raw Data'!$AA$6:$AA$3727),SUMIF('Diags Raw Data'!$A$6:$A$3727,"*"&amp;$A13&amp;"*",'Diags Raw Data'!$AB$6:$AB$3727))</f>
        <v>0</v>
      </c>
      <c r="R13" s="439">
        <f t="shared" si="3"/>
        <v>0</v>
      </c>
      <c r="S13" s="439">
        <f t="shared" si="4"/>
        <v>0</v>
      </c>
      <c r="T13" s="440">
        <f t="shared" si="5"/>
        <v>0</v>
      </c>
      <c r="U13" s="461" t="s">
        <v>400</v>
      </c>
      <c r="V13" s="169"/>
    </row>
    <row r="14" spans="1:23" ht="27.6" customHeight="1" x14ac:dyDescent="0.25">
      <c r="A14" s="459" t="s">
        <v>547</v>
      </c>
      <c r="B14" s="372" t="str">
        <f>VLOOKUP(A14,'Feature Raw Data'!$A$3:$B$3876,2,FALSE)</f>
        <v>[GDDR6] Supported transfer rate</v>
      </c>
      <c r="C14" s="320" t="str">
        <f>VLOOKUP(A14,'Feature Raw Data'!$A$3:$C$3876,3,FALSE)</f>
        <v>P1</v>
      </c>
      <c r="D14" s="82" t="str" cm="1">
        <f t="array" ref="D14">_xlfn.TEXTJOIN("",TRUE,IF(ISNUMBER(SEARCH($A14,'Diags Raw Data'!$A$6:$A$3727)),CONCATENATE('Diags Raw Data'!$H$6:$H$3727,", "),""))</f>
        <v xml:space="preserve">umc1.820,umc1.822, umc1.821,umc1.823, umc.full_fb_rw_only/write_only.1-3, umc.full_fb_rw_only/read_only.1-3, </v>
      </c>
      <c r="E14" s="168" t="str">
        <f>VLOOKUP(A14,'Diags Raw Data'!$A$6:$D$3727,4,FALSE)</f>
        <v>DCQ</v>
      </c>
      <c r="F14" s="168" t="str">
        <f>VLOOKUP(A14,'Feature Raw Data'!$A$3:$E$3876,5,FALSE)</f>
        <v>Existing</v>
      </c>
      <c r="G14" s="168" t="s">
        <v>31</v>
      </c>
      <c r="H14" s="168" t="str">
        <f t="shared" ref="H14:H22" si="6">IF(D14="","No","Yes")</f>
        <v>Yes</v>
      </c>
      <c r="I14" s="320">
        <f>SUMIF('Diags Raw Data'!$A$6:$A$3727,"*"&amp;$A14&amp;"*",'Diags Raw Data'!$K$6:$K$3727)</f>
        <v>4</v>
      </c>
      <c r="J14" s="180">
        <f>SUMIF('Diags Raw Data'!$A$6:$A$3727,"*"&amp;$A14&amp;"*",'Diags Raw Data'!$L$6:$L$3727)</f>
        <v>10</v>
      </c>
      <c r="K14" s="432" cm="1">
        <f t="array" ref="K14">IF(D14="",0, SUMPRODUCT(--(ISNUMBER(SEARCH($A14,'Diags Raw Data'!$A$6:$A$3727))),'Diags Raw Data'!$L$6:$L$3727,'Diags Raw Data'!$N$6:$N$3727)/J14)</f>
        <v>1</v>
      </c>
      <c r="L14" s="433" cm="1">
        <f t="array" ref="L14">IF(D14="",0, SUMPRODUCT(--(ISNUMBER(SEARCH($A14,'Diags Raw Data'!$A$6:$A$3727))),'Diags Raw Data'!$L$6:$L$3727,'Diags Raw Data'!$P$6:$P$3727)/J14)</f>
        <v>1</v>
      </c>
      <c r="M14" s="434" cm="1">
        <f t="array" ref="M14">SUMPRODUCT(--(ISNUMBER(SEARCH($A14,'Diags Raw Data'!$A$6:$A$3727))),--('Diags Raw Data'!$Q$6:$Q$3727&lt;&gt;"N/A"),'Diags Raw Data'!$R$6:$R$3727)</f>
        <v>10</v>
      </c>
      <c r="N14" s="435" cm="1">
        <f t="array" ref="N14">SUMPRODUCT(--(ISNUMBER(SEARCH($A14,'Diags Raw Data'!$A$6:$A$3727))),--('Diags Raw Data'!$Q$6:$Q$3727&lt;&gt;"N/A"),'Diags Raw Data'!$T$6:$T$3727)+SUMPRODUCT(--(ISNUMBER(SEARCH($A14,'Diags Raw Data'!$A$6:$A$3727))),--('Diags Raw Data'!$Q$6:$Q$3727&lt;&gt;"N/A"),'Diags Raw Data'!$U$6:$U$3727)</f>
        <v>0</v>
      </c>
      <c r="O14" s="436">
        <f t="shared" ref="O14:O22" si="7">IF((M14=0),0,N14/M14)</f>
        <v>0</v>
      </c>
      <c r="P14" s="437">
        <f>SUMIF('Diags Raw Data'!$A$6:$A$3727,"*"&amp;$A14&amp;"*",'Diags Raw Data'!$Z$6:$Z$3727)</f>
        <v>0</v>
      </c>
      <c r="Q14" s="438">
        <f>SUM(SUMIF('Diags Raw Data'!$A$6:$A$3727,"*"&amp;$A14&amp;"*",'Diags Raw Data'!$AA$6:$AA$3727),SUMIF('Diags Raw Data'!$A$6:$A$3727,"*"&amp;$A14&amp;"*",'Diags Raw Data'!$AB$6:$AB$3727))</f>
        <v>0</v>
      </c>
      <c r="R14" s="439">
        <f t="shared" ref="R14:R22" si="8">IF((J14=0),0,P14/J14)</f>
        <v>0</v>
      </c>
      <c r="S14" s="439">
        <f t="shared" ref="S14:S22" si="9">IF((P14=0),0,Q14/P14)</f>
        <v>0</v>
      </c>
      <c r="T14" s="440">
        <f t="shared" ref="T14:T22" si="10">R14*S14</f>
        <v>0</v>
      </c>
      <c r="U14" s="461" t="s">
        <v>398</v>
      </c>
      <c r="V14" s="169"/>
    </row>
    <row r="15" spans="1:23" ht="30" x14ac:dyDescent="0.25">
      <c r="A15" s="459" t="s">
        <v>548</v>
      </c>
      <c r="B15" s="372" t="str">
        <f>VLOOKUP(A15,'Feature Raw Data'!$A$3:$B$3876,2,FALSE)</f>
        <v>Patrol Scrubber</v>
      </c>
      <c r="C15" s="320" t="str">
        <f>VLOOKUP(A15,'Feature Raw Data'!$A$3:$C$3876,3,FALSE)</f>
        <v>P1</v>
      </c>
      <c r="D15" s="82" t="str" cm="1">
        <f t="array" ref="D15">_xlfn.TEXTJOIN("",TRUE,IF(ISNUMBER(SEARCH($A15,'Diags Raw Data'!$A$6:$A$3727)),CONCATENATE('Diags Raw Data'!$H$6:$H$3727,", "),""))</f>
        <v xml:space="preserve">umc753.1,umc753.2, </v>
      </c>
      <c r="E15" s="168" t="str">
        <f>VLOOKUP(A15,'Diags Raw Data'!$A$6:$D$3727,4,FALSE)</f>
        <v>MCA</v>
      </c>
      <c r="F15" s="168" t="str">
        <f>VLOOKUP(A15,'Feature Raw Data'!$A$3:$E$3876,5,FALSE)</f>
        <v>Incremental</v>
      </c>
      <c r="G15" s="168" t="str">
        <f t="shared" ref="G15:G22" si="11">IF(D15="","No","Yes")</f>
        <v>Yes</v>
      </c>
      <c r="H15" s="168" t="str">
        <f t="shared" si="6"/>
        <v>Yes</v>
      </c>
      <c r="I15" s="320">
        <f>SUMIF('Diags Raw Data'!$A$6:$A$3727,"*"&amp;$A15&amp;"*",'Diags Raw Data'!$K$6:$K$3727)</f>
        <v>1</v>
      </c>
      <c r="J15" s="180">
        <f>SUMIF('Diags Raw Data'!$A$6:$A$3727,"*"&amp;$A15&amp;"*",'Diags Raw Data'!$L$6:$L$3727)</f>
        <v>2</v>
      </c>
      <c r="K15" s="432" cm="1">
        <f t="array" ref="K15">IF(D15="",0, SUMPRODUCT(--(ISNUMBER(SEARCH($A15,'Diags Raw Data'!$A$6:$A$3727))),'Diags Raw Data'!$L$6:$L$3727,'Diags Raw Data'!$N$6:$N$3727)/J15)</f>
        <v>1</v>
      </c>
      <c r="L15" s="433" cm="1">
        <f t="array" ref="L15">IF(D15="",0, SUMPRODUCT(--(ISNUMBER(SEARCH($A15,'Diags Raw Data'!$A$6:$A$3727))),'Diags Raw Data'!$L$6:$L$3727,'Diags Raw Data'!$P$6:$P$3727)/J15)</f>
        <v>0</v>
      </c>
      <c r="M15" s="434" cm="1">
        <f t="array" ref="M15">SUMPRODUCT(--(ISNUMBER(SEARCH($A15,'Diags Raw Data'!$A$6:$A$3727))),--('Diags Raw Data'!$Q$6:$Q$3727&lt;&gt;"N/A"),'Diags Raw Data'!$R$6:$R$3727)</f>
        <v>2</v>
      </c>
      <c r="N15" s="435" cm="1">
        <f t="array" ref="N15">SUMPRODUCT(--(ISNUMBER(SEARCH($A15,'Diags Raw Data'!$A$6:$A$3727))),--('Diags Raw Data'!$Q$6:$Q$3727&lt;&gt;"N/A"),'Diags Raw Data'!$T$6:$T$3727)+SUMPRODUCT(--(ISNUMBER(SEARCH($A15,'Diags Raw Data'!$A$6:$A$3727))),--('Diags Raw Data'!$Q$6:$Q$3727&lt;&gt;"N/A"),'Diags Raw Data'!$U$6:$U$3727)</f>
        <v>0</v>
      </c>
      <c r="O15" s="436">
        <f t="shared" si="7"/>
        <v>0</v>
      </c>
      <c r="P15" s="437">
        <f>SUMIF('Diags Raw Data'!$A$6:$A$3727,"*"&amp;$A15&amp;"*",'Diags Raw Data'!$Z$6:$Z$3727)</f>
        <v>0</v>
      </c>
      <c r="Q15" s="438">
        <f>SUM(SUMIF('Diags Raw Data'!$A$6:$A$3727,"*"&amp;$A15&amp;"*",'Diags Raw Data'!$AA$6:$AA$3727),SUMIF('Diags Raw Data'!$A$6:$A$3727,"*"&amp;$A15&amp;"*",'Diags Raw Data'!$AB$6:$AB$3727))</f>
        <v>0</v>
      </c>
      <c r="R15" s="439">
        <f t="shared" si="8"/>
        <v>0</v>
      </c>
      <c r="S15" s="439">
        <f t="shared" si="9"/>
        <v>0</v>
      </c>
      <c r="T15" s="440">
        <f t="shared" si="10"/>
        <v>0</v>
      </c>
      <c r="U15" s="461" t="s">
        <v>397</v>
      </c>
      <c r="V15" s="169"/>
    </row>
    <row r="16" spans="1:23" s="172" customFormat="1" ht="24.6" customHeight="1" x14ac:dyDescent="0.25">
      <c r="A16" s="459" t="s">
        <v>549</v>
      </c>
      <c r="B16" s="372" t="str">
        <f>VLOOKUP(A16,'Feature Raw Data'!$A$3:$B$3876,2,FALSE)</f>
        <v>Poor Man's GECC Support</v>
      </c>
      <c r="C16" s="320" t="str">
        <f>VLOOKUP(A16,'Feature Raw Data'!$A$3:$C$3876,3,FALSE)</f>
        <v>P1</v>
      </c>
      <c r="D16" s="82" t="str" cm="1">
        <f t="array" ref="D16">_xlfn.TEXTJOIN("",TRUE,IF(ISNUMBER(SEARCH($A16,'Diags Raw Data'!$A$6:$A$3727)),CONCATENATE('Diags Raw Data'!$H$6:$H$3727,", "),""))</f>
        <v xml:space="preserve">event_handler_3, umc751.1, umc.checkedc, umc.umc.edc_error_injection, umc.gecc_error_injection, </v>
      </c>
      <c r="E16" s="168" t="str">
        <f>VLOOKUP(A16,'Diags Raw Data'!$A$6:$D$3727,4,FALSE)</f>
        <v>REC</v>
      </c>
      <c r="F16" s="168" t="str">
        <f>VLOOKUP(A16,'Feature Raw Data'!$A$3:$E$3876,5,FALSE)</f>
        <v>Incremental</v>
      </c>
      <c r="G16" s="168" t="str">
        <f t="shared" si="11"/>
        <v>Yes</v>
      </c>
      <c r="H16" s="168" t="str">
        <f t="shared" si="6"/>
        <v>Yes</v>
      </c>
      <c r="I16" s="320">
        <f>SUMIF('Diags Raw Data'!$A$6:$A$3727,"*"&amp;$A16&amp;"*",'Diags Raw Data'!$K$6:$K$3727)</f>
        <v>5</v>
      </c>
      <c r="J16" s="180">
        <f>SUMIF('Diags Raw Data'!$A$6:$A$3727,"*"&amp;$A16&amp;"*",'Diags Raw Data'!$L$6:$L$3727)</f>
        <v>5</v>
      </c>
      <c r="K16" s="432" cm="1">
        <f t="array" ref="K16">IF(D16="",0, SUMPRODUCT(--(ISNUMBER(SEARCH($A16,'Diags Raw Data'!$A$6:$A$3727))),'Diags Raw Data'!$L$6:$L$3727,'Diags Raw Data'!$N$6:$N$3727)/J16)</f>
        <v>1</v>
      </c>
      <c r="L16" s="433" cm="1">
        <f t="array" ref="L16">IF(D16="",0, SUMPRODUCT(--(ISNUMBER(SEARCH($A16,'Diags Raw Data'!$A$6:$A$3727))),'Diags Raw Data'!$L$6:$L$3727,'Diags Raw Data'!$P$6:$P$3727)/J16)</f>
        <v>0.4</v>
      </c>
      <c r="M16" s="434" cm="1">
        <f t="array" ref="M16">SUMPRODUCT(--(ISNUMBER(SEARCH($A16,'Diags Raw Data'!$A$6:$A$3727))),--('Diags Raw Data'!$Q$6:$Q$3727&lt;&gt;"N/A"),'Diags Raw Data'!$R$6:$R$3727)</f>
        <v>5</v>
      </c>
      <c r="N16" s="435" cm="1">
        <f t="array" ref="N16">SUMPRODUCT(--(ISNUMBER(SEARCH($A16,'Diags Raw Data'!$A$6:$A$3727))),--('Diags Raw Data'!$Q$6:$Q$3727&lt;&gt;"N/A"),'Diags Raw Data'!$T$6:$T$3727)+SUMPRODUCT(--(ISNUMBER(SEARCH($A16,'Diags Raw Data'!$A$6:$A$3727))),--('Diags Raw Data'!$Q$6:$Q$3727&lt;&gt;"N/A"),'Diags Raw Data'!$U$6:$U$3727)</f>
        <v>0</v>
      </c>
      <c r="O16" s="436">
        <f t="shared" si="7"/>
        <v>0</v>
      </c>
      <c r="P16" s="437">
        <f>SUMIF('Diags Raw Data'!$A$6:$A$3727,"*"&amp;$A16&amp;"*",'Diags Raw Data'!$Z$6:$Z$3727)</f>
        <v>0</v>
      </c>
      <c r="Q16" s="438">
        <f>SUM(SUMIF('Diags Raw Data'!$A$6:$A$3727,"*"&amp;$A16&amp;"*",'Diags Raw Data'!$AA$6:$AA$3727),SUMIF('Diags Raw Data'!$A$6:$A$3727,"*"&amp;$A16&amp;"*",'Diags Raw Data'!$AB$6:$AB$3727))</f>
        <v>0</v>
      </c>
      <c r="R16" s="439">
        <f t="shared" si="8"/>
        <v>0</v>
      </c>
      <c r="S16" s="441">
        <f t="shared" si="9"/>
        <v>0</v>
      </c>
      <c r="T16" s="442">
        <f t="shared" si="10"/>
        <v>0</v>
      </c>
      <c r="U16" s="461" t="s">
        <v>401</v>
      </c>
      <c r="V16" s="171"/>
    </row>
    <row r="17" spans="1:22" ht="19.899999999999999" customHeight="1" x14ac:dyDescent="0.25">
      <c r="A17" s="315" t="s">
        <v>550</v>
      </c>
      <c r="B17" s="372" t="str">
        <f>VLOOKUP(A17,'Feature Raw Data'!$A$3:$B$3876,2,FALSE)</f>
        <v>Redirect scrubber</v>
      </c>
      <c r="C17" s="320" t="str">
        <f>VLOOKUP(A17,'Feature Raw Data'!$A$3:$C$3876,3,FALSE)</f>
        <v>P1</v>
      </c>
      <c r="D17" s="82" t="str" cm="1">
        <f t="array" ref="D17">_xlfn.TEXTJOIN("",TRUE,IF(ISNUMBER(SEARCH($A17,'Diags Raw Data'!$A$6:$A$3727)),CONCATENATE('Diags Raw Data'!$H$6:$H$3727,", "),""))</f>
        <v xml:space="preserve">umc753.3,umc753.4, </v>
      </c>
      <c r="E17" s="168" t="str">
        <f>VLOOKUP(A17,'Diags Raw Data'!$A$6:$D$3727,4,FALSE)</f>
        <v>MCA</v>
      </c>
      <c r="F17" s="168" t="str">
        <f>VLOOKUP(A17,'Feature Raw Data'!$A$3:$E$3876,5,FALSE)</f>
        <v>Incremental</v>
      </c>
      <c r="G17" s="168" t="str">
        <f t="shared" si="11"/>
        <v>Yes</v>
      </c>
      <c r="H17" s="168" t="str">
        <f t="shared" si="6"/>
        <v>Yes</v>
      </c>
      <c r="I17" s="320">
        <f>SUMIF('Diags Raw Data'!$A$6:$A$3727,"*"&amp;$A17&amp;"*",'Diags Raw Data'!$K$6:$K$3727)</f>
        <v>1</v>
      </c>
      <c r="J17" s="180">
        <f>SUMIF('Diags Raw Data'!$A$6:$A$3727,"*"&amp;$A17&amp;"*",'Diags Raw Data'!$L$6:$L$3727)</f>
        <v>2</v>
      </c>
      <c r="K17" s="432" cm="1">
        <f t="array" ref="K17">IF(D17="",0, SUMPRODUCT(--(ISNUMBER(SEARCH($A17,'Diags Raw Data'!$A$6:$A$3727))),'Diags Raw Data'!$L$6:$L$3727,'Diags Raw Data'!$N$6:$N$3727)/J17)</f>
        <v>1</v>
      </c>
      <c r="L17" s="433" cm="1">
        <f t="array" ref="L17">IF(D17="",0, SUMPRODUCT(--(ISNUMBER(SEARCH($A17,'Diags Raw Data'!$A$6:$A$3727))),'Diags Raw Data'!$L$6:$L$3727,'Diags Raw Data'!$P$6:$P$3727)/J17)</f>
        <v>0</v>
      </c>
      <c r="M17" s="434" cm="1">
        <f t="array" ref="M17">SUMPRODUCT(--(ISNUMBER(SEARCH($A17,'Diags Raw Data'!$A$6:$A$3727))),--('Diags Raw Data'!$Q$6:$Q$3727&lt;&gt;"N/A"),'Diags Raw Data'!$R$6:$R$3727)</f>
        <v>2</v>
      </c>
      <c r="N17" s="435" cm="1">
        <f t="array" ref="N17">SUMPRODUCT(--(ISNUMBER(SEARCH($A17,'Diags Raw Data'!$A$6:$A$3727))),--('Diags Raw Data'!$Q$6:$Q$3727&lt;&gt;"N/A"),'Diags Raw Data'!$T$6:$T$3727)+SUMPRODUCT(--(ISNUMBER(SEARCH($A17,'Diags Raw Data'!$A$6:$A$3727))),--('Diags Raw Data'!$Q$6:$Q$3727&lt;&gt;"N/A"),'Diags Raw Data'!$U$6:$U$3727)</f>
        <v>0</v>
      </c>
      <c r="O17" s="436">
        <f t="shared" si="7"/>
        <v>0</v>
      </c>
      <c r="P17" s="437">
        <f>SUMIF('Diags Raw Data'!$A$6:$A$3727,"*"&amp;$A17&amp;"*",'Diags Raw Data'!$Z$6:$Z$3727)</f>
        <v>0</v>
      </c>
      <c r="Q17" s="438">
        <f>SUM(SUMIF('Diags Raw Data'!$A$6:$A$3727,"*"&amp;$A17&amp;"*",'Diags Raw Data'!$AA$6:$AA$3727),SUMIF('Diags Raw Data'!$A$6:$A$3727,"*"&amp;$A17&amp;"*",'Diags Raw Data'!$AB$6:$AB$3727))</f>
        <v>0</v>
      </c>
      <c r="R17" s="439">
        <f t="shared" si="8"/>
        <v>0</v>
      </c>
      <c r="S17" s="439">
        <f t="shared" si="9"/>
        <v>0</v>
      </c>
      <c r="T17" s="440">
        <f t="shared" si="10"/>
        <v>0</v>
      </c>
      <c r="U17" s="461" t="s">
        <v>402</v>
      </c>
      <c r="V17" s="169"/>
    </row>
    <row r="18" spans="1:22" x14ac:dyDescent="0.25">
      <c r="A18" s="459" t="s">
        <v>551</v>
      </c>
      <c r="B18" s="372" t="str">
        <f>VLOOKUP(A18,'Feature Raw Data'!$A$3:$B$3876,2,FALSE)</f>
        <v>UER is Fatal</v>
      </c>
      <c r="C18" s="320" t="str">
        <f>VLOOKUP(A18,'Feature Raw Data'!$A$3:$C$3876,3,FALSE)</f>
        <v>P1</v>
      </c>
      <c r="D18" s="82" t="str" cm="1">
        <f t="array" ref="D18">_xlfn.TEXTJOIN("",TRUE,IF(ISNUMBER(SEARCH($A18,'Diags Raw Data'!$A$6:$A$3727)),CONCATENATE('Diags Raw Data'!$H$6:$H$3727,", "),""))</f>
        <v xml:space="preserve">umc752.5, </v>
      </c>
      <c r="E18" s="168" t="str">
        <f>VLOOKUP(A18,'Diags Raw Data'!$A$6:$D$3727,4,FALSE)</f>
        <v>MCA</v>
      </c>
      <c r="F18" s="168" t="str">
        <f>VLOOKUP(A18,'Feature Raw Data'!$A$3:$E$3876,5,FALSE)</f>
        <v>Existing</v>
      </c>
      <c r="G18" s="168" t="str">
        <f t="shared" si="11"/>
        <v>Yes</v>
      </c>
      <c r="H18" s="168" t="str">
        <f t="shared" si="6"/>
        <v>Yes</v>
      </c>
      <c r="I18" s="320">
        <f>SUMIF('Diags Raw Data'!$A$6:$A$3727,"*"&amp;$A18&amp;"*",'Diags Raw Data'!$K$6:$K$3727)</f>
        <v>1</v>
      </c>
      <c r="J18" s="180">
        <f>SUMIF('Diags Raw Data'!$A$6:$A$3727,"*"&amp;$A18&amp;"*",'Diags Raw Data'!$L$6:$L$3727)</f>
        <v>1</v>
      </c>
      <c r="K18" s="432" cm="1">
        <f t="array" ref="K18">IF(D18="",0, SUMPRODUCT(--(ISNUMBER(SEARCH($A18,'Diags Raw Data'!$A$6:$A$3727))),'Diags Raw Data'!$L$6:$L$3727,'Diags Raw Data'!$N$6:$N$3727)/J18)</f>
        <v>1</v>
      </c>
      <c r="L18" s="433" cm="1">
        <f t="array" ref="L18">IF(D18="",0, SUMPRODUCT(--(ISNUMBER(SEARCH($A18,'Diags Raw Data'!$A$6:$A$3727))),'Diags Raw Data'!$L$6:$L$3727,'Diags Raw Data'!$P$6:$P$3727)/J18)</f>
        <v>0</v>
      </c>
      <c r="M18" s="434" cm="1">
        <f t="array" ref="M18">SUMPRODUCT(--(ISNUMBER(SEARCH($A18,'Diags Raw Data'!$A$6:$A$3727))),--('Diags Raw Data'!$Q$6:$Q$3727&lt;&gt;"N/A"),'Diags Raw Data'!$R$6:$R$3727)</f>
        <v>1</v>
      </c>
      <c r="N18" s="435" cm="1">
        <f t="array" ref="N18">SUMPRODUCT(--(ISNUMBER(SEARCH($A18,'Diags Raw Data'!$A$6:$A$3727))),--('Diags Raw Data'!$Q$6:$Q$3727&lt;&gt;"N/A"),'Diags Raw Data'!$T$6:$T$3727)+SUMPRODUCT(--(ISNUMBER(SEARCH($A18,'Diags Raw Data'!$A$6:$A$3727))),--('Diags Raw Data'!$Q$6:$Q$3727&lt;&gt;"N/A"),'Diags Raw Data'!$U$6:$U$3727)</f>
        <v>0</v>
      </c>
      <c r="O18" s="436">
        <f t="shared" si="7"/>
        <v>0</v>
      </c>
      <c r="P18" s="437">
        <f>SUMIF('Diags Raw Data'!$A$6:$A$3727,"*"&amp;$A18&amp;"*",'Diags Raw Data'!$Z$6:$Z$3727)</f>
        <v>0</v>
      </c>
      <c r="Q18" s="438">
        <f>SUM(SUMIF('Diags Raw Data'!$A$6:$A$3727,"*"&amp;$A18&amp;"*",'Diags Raw Data'!$AA$6:$AA$3727),SUMIF('Diags Raw Data'!$A$6:$A$3727,"*"&amp;$A18&amp;"*",'Diags Raw Data'!$AB$6:$AB$3727))</f>
        <v>0</v>
      </c>
      <c r="R18" s="439">
        <f t="shared" si="8"/>
        <v>0</v>
      </c>
      <c r="S18" s="439">
        <f t="shared" si="9"/>
        <v>0</v>
      </c>
      <c r="T18" s="440">
        <f t="shared" si="10"/>
        <v>0</v>
      </c>
      <c r="U18" s="461" t="s">
        <v>394</v>
      </c>
      <c r="V18" s="169"/>
    </row>
    <row r="19" spans="1:22" ht="31.9" customHeight="1" x14ac:dyDescent="0.25">
      <c r="A19" s="315" t="s">
        <v>552</v>
      </c>
      <c r="B19" s="372" t="str">
        <f>VLOOKUP(A19,'Feature Raw Data'!$A$3:$B$3876,2,FALSE)</f>
        <v>PG (Power Gating)</v>
      </c>
      <c r="C19" s="320" t="str">
        <f>VLOOKUP(A19,'Feature Raw Data'!$A$3:$C$3876,3,FALSE)</f>
        <v>P2</v>
      </c>
      <c r="D19" s="82" t="str" cm="1">
        <f t="array" ref="D19">_xlfn.TEXTJOIN("",TRUE,IF(ISNUMBER(SEARCH($A19,'Diags Raw Data'!$A$6:$A$3727)),CONCATENATE('Diags Raw Data'!$H$6:$H$3727,", "),""))</f>
        <v xml:space="preserve">umc1.50, umc.full_fb_test/stutter, </v>
      </c>
      <c r="E19" s="168" t="str">
        <f>VLOOKUP(A19,'Diags Raw Data'!$A$6:$D$3727,4,FALSE)</f>
        <v>SPAZ</v>
      </c>
      <c r="F19" s="168" t="str">
        <f>VLOOKUP(A19,'Feature Raw Data'!$A$3:$E$3876,5,FALSE)</f>
        <v>Existing</v>
      </c>
      <c r="G19" s="168" t="str">
        <f t="shared" si="11"/>
        <v>Yes</v>
      </c>
      <c r="H19" s="168" t="str">
        <f t="shared" si="6"/>
        <v>Yes</v>
      </c>
      <c r="I19" s="320">
        <f>SUMIF('Diags Raw Data'!$A$6:$A$3727,"*"&amp;$A19&amp;"*",'Diags Raw Data'!$K$6:$K$3727)</f>
        <v>2</v>
      </c>
      <c r="J19" s="180">
        <f>SUMIF('Diags Raw Data'!$A$6:$A$3727,"*"&amp;$A19&amp;"*",'Diags Raw Data'!$L$6:$L$3727)</f>
        <v>2</v>
      </c>
      <c r="K19" s="432" cm="1">
        <f t="array" ref="K19">IF(D19="",0, SUMPRODUCT(--(ISNUMBER(SEARCH($A19,'Diags Raw Data'!$A$6:$A$3727))),'Diags Raw Data'!$L$6:$L$3727,'Diags Raw Data'!$N$6:$N$3727)/J19)</f>
        <v>1</v>
      </c>
      <c r="L19" s="433" cm="1">
        <f t="array" ref="L19">IF(D19="",0, SUMPRODUCT(--(ISNUMBER(SEARCH($A19,'Diags Raw Data'!$A$6:$A$3727))),'Diags Raw Data'!$L$6:$L$3727,'Diags Raw Data'!$P$6:$P$3727)/J19)</f>
        <v>0.5</v>
      </c>
      <c r="M19" s="434" cm="1">
        <f t="array" ref="M19">SUMPRODUCT(--(ISNUMBER(SEARCH($A19,'Diags Raw Data'!$A$6:$A$3727))),--('Diags Raw Data'!$Q$6:$Q$3727&lt;&gt;"N/A"),'Diags Raw Data'!$R$6:$R$3727)</f>
        <v>2</v>
      </c>
      <c r="N19" s="435" cm="1">
        <f t="array" ref="N19">SUMPRODUCT(--(ISNUMBER(SEARCH($A19,'Diags Raw Data'!$A$6:$A$3727))),--('Diags Raw Data'!$Q$6:$Q$3727&lt;&gt;"N/A"),'Diags Raw Data'!$T$6:$T$3727)+SUMPRODUCT(--(ISNUMBER(SEARCH($A19,'Diags Raw Data'!$A$6:$A$3727))),--('Diags Raw Data'!$Q$6:$Q$3727&lt;&gt;"N/A"),'Diags Raw Data'!$U$6:$U$3727)</f>
        <v>0</v>
      </c>
      <c r="O19" s="436">
        <f t="shared" si="7"/>
        <v>0</v>
      </c>
      <c r="P19" s="437">
        <f>SUMIF('Diags Raw Data'!$A$6:$A$3727,"*"&amp;$A19&amp;"*",'Diags Raw Data'!$Z$6:$Z$3727)</f>
        <v>0</v>
      </c>
      <c r="Q19" s="438">
        <f>SUM(SUMIF('Diags Raw Data'!$A$6:$A$3727,"*"&amp;$A19&amp;"*",'Diags Raw Data'!$AA$6:$AA$3727),SUMIF('Diags Raw Data'!$A$6:$A$3727,"*"&amp;$A19&amp;"*",'Diags Raw Data'!$AB$6:$AB$3727))</f>
        <v>0</v>
      </c>
      <c r="R19" s="439">
        <f t="shared" si="8"/>
        <v>0</v>
      </c>
      <c r="S19" s="439">
        <f t="shared" si="9"/>
        <v>0</v>
      </c>
      <c r="T19" s="440">
        <f t="shared" si="10"/>
        <v>0</v>
      </c>
      <c r="U19" s="461" t="s">
        <v>403</v>
      </c>
      <c r="V19" s="169"/>
    </row>
    <row r="20" spans="1:22" ht="30" x14ac:dyDescent="0.25">
      <c r="A20" s="459" t="s">
        <v>553</v>
      </c>
      <c r="B20" s="372" t="str">
        <f>VLOOKUP(A20,'Feature Raw Data'!$A$3:$B$3876,2,FALSE)</f>
        <v>Parity check on MP sram</v>
      </c>
      <c r="C20" s="320" t="str">
        <f>VLOOKUP(A20,'Feature Raw Data'!$A$3:$C$3876,3,FALSE)</f>
        <v>P2</v>
      </c>
      <c r="D20" s="82" t="str" cm="1">
        <f t="array" ref="D20">_xlfn.TEXTJOIN("",TRUE,IF(ISNUMBER(SEARCH($A20,'Diags Raw Data'!$A$6:$A$3727)),CONCATENATE('Diags Raw Data'!$H$6:$H$3727,", "),""))</f>
        <v xml:space="preserve">umc764.1,umc764.2, </v>
      </c>
      <c r="E20" s="168" t="str">
        <f>VLOOKUP(A20,'Diags Raw Data'!$A$6:$D$3727,4,FALSE)</f>
        <v>MCA</v>
      </c>
      <c r="F20" s="168" t="str">
        <f>VLOOKUP(A20,'Feature Raw Data'!$A$3:$E$3876,5,FALSE)</f>
        <v>Existing</v>
      </c>
      <c r="G20" s="168" t="str">
        <f t="shared" si="11"/>
        <v>Yes</v>
      </c>
      <c r="H20" s="168" t="str">
        <f t="shared" si="6"/>
        <v>Yes</v>
      </c>
      <c r="I20" s="320">
        <f>SUMIF('Diags Raw Data'!$A$6:$A$3727,"*"&amp;$A20&amp;"*",'Diags Raw Data'!$K$6:$K$3727)</f>
        <v>1</v>
      </c>
      <c r="J20" s="180">
        <f>SUMIF('Diags Raw Data'!$A$6:$A$3727,"*"&amp;$A20&amp;"*",'Diags Raw Data'!$L$6:$L$3727)</f>
        <v>2</v>
      </c>
      <c r="K20" s="432" cm="1">
        <f t="array" ref="K20">IF(D20="",0, SUMPRODUCT(--(ISNUMBER(SEARCH($A20,'Diags Raw Data'!$A$6:$A$3727))),'Diags Raw Data'!$L$6:$L$3727,'Diags Raw Data'!$N$6:$N$3727)/J20)</f>
        <v>1</v>
      </c>
      <c r="L20" s="433" cm="1">
        <f t="array" ref="L20">IF(D20="",0, SUMPRODUCT(--(ISNUMBER(SEARCH($A20,'Diags Raw Data'!$A$6:$A$3727))),'Diags Raw Data'!$L$6:$L$3727,'Diags Raw Data'!$P$6:$P$3727)/J20)</f>
        <v>0</v>
      </c>
      <c r="M20" s="434" cm="1">
        <f t="array" ref="M20">SUMPRODUCT(--(ISNUMBER(SEARCH($A20,'Diags Raw Data'!$A$6:$A$3727))),--('Diags Raw Data'!$Q$6:$Q$3727&lt;&gt;"N/A"),'Diags Raw Data'!$R$6:$R$3727)</f>
        <v>2</v>
      </c>
      <c r="N20" s="435" cm="1">
        <f t="array" ref="N20">SUMPRODUCT(--(ISNUMBER(SEARCH($A20,'Diags Raw Data'!$A$6:$A$3727))),--('Diags Raw Data'!$Q$6:$Q$3727&lt;&gt;"N/A"),'Diags Raw Data'!$T$6:$T$3727)+SUMPRODUCT(--(ISNUMBER(SEARCH($A20,'Diags Raw Data'!$A$6:$A$3727))),--('Diags Raw Data'!$Q$6:$Q$3727&lt;&gt;"N/A"),'Diags Raw Data'!$U$6:$U$3727)</f>
        <v>0</v>
      </c>
      <c r="O20" s="436">
        <f t="shared" si="7"/>
        <v>0</v>
      </c>
      <c r="P20" s="437">
        <f>SUMIF('Diags Raw Data'!$A$6:$A$3727,"*"&amp;$A20&amp;"*",'Diags Raw Data'!$Z$6:$Z$3727)</f>
        <v>0</v>
      </c>
      <c r="Q20" s="438">
        <f>SUM(SUMIF('Diags Raw Data'!$A$6:$A$3727,"*"&amp;$A20&amp;"*",'Diags Raw Data'!$AA$6:$AA$3727),SUMIF('Diags Raw Data'!$A$6:$A$3727,"*"&amp;$A20&amp;"*",'Diags Raw Data'!$AB$6:$AB$3727))</f>
        <v>0</v>
      </c>
      <c r="R20" s="439">
        <f t="shared" si="8"/>
        <v>0</v>
      </c>
      <c r="S20" s="439">
        <f t="shared" si="9"/>
        <v>0</v>
      </c>
      <c r="T20" s="440">
        <f t="shared" si="10"/>
        <v>0</v>
      </c>
      <c r="U20" s="461" t="s">
        <v>404</v>
      </c>
      <c r="V20" s="169"/>
    </row>
    <row r="21" spans="1:22" ht="36" customHeight="1" x14ac:dyDescent="0.25">
      <c r="A21" s="459" t="s">
        <v>555</v>
      </c>
      <c r="B21" s="372" t="str">
        <f>VLOOKUP(A21,'Feature Raw Data'!$A$3:$B$3876,2,FALSE)</f>
        <v>DPM (Dynamic Power Management) on UCLK</v>
      </c>
      <c r="C21" s="320" t="str">
        <f>VLOOKUP(A21,'Feature Raw Data'!$A$3:$C$3876,3,FALSE)</f>
        <v>P1</v>
      </c>
      <c r="D21" s="82" t="str" cm="1">
        <f t="array" ref="D21">_xlfn.TEXTJOIN("",TRUE,IF(ISNUMBER(SEARCH($A21,'Diags Raw Data'!$A$6:$A$3727)),CONCATENATE('Diags Raw Data'!$H$6:$H$3727,", "),""))</f>
        <v xml:space="preserve">umc301.2,umc301.3,umc301.5-7,umc301.9,umc301.11-13,umc301.21,umc301.22,umc301.24,umc301.25, </v>
      </c>
      <c r="E21" s="168" t="str">
        <f>VLOOKUP(A21,'Diags Raw Data'!$A$6:$D$3727,4,FALSE)</f>
        <v>SPAZ</v>
      </c>
      <c r="F21" s="168" t="str">
        <f>VLOOKUP(A21,'Feature Raw Data'!$A$3:$E$3876,5,FALSE)</f>
        <v>Existing</v>
      </c>
      <c r="G21" s="168" t="str">
        <f t="shared" si="11"/>
        <v>Yes</v>
      </c>
      <c r="H21" s="168" t="str">
        <f t="shared" si="6"/>
        <v>Yes</v>
      </c>
      <c r="I21" s="320">
        <f>SUMIF('Diags Raw Data'!$A$6:$A$3727,"*"&amp;$A21&amp;"*",'Diags Raw Data'!$K$6:$K$3727)</f>
        <v>1</v>
      </c>
      <c r="J21" s="180">
        <f>SUMIF('Diags Raw Data'!$A$6:$A$3727,"*"&amp;$A21&amp;"*",'Diags Raw Data'!$L$6:$L$3727)</f>
        <v>13</v>
      </c>
      <c r="K21" s="432" cm="1">
        <f t="array" ref="K21">IF(D21="",0, SUMPRODUCT(--(ISNUMBER(SEARCH($A21,'Diags Raw Data'!$A$6:$A$3727))),'Diags Raw Data'!$L$6:$L$3727,'Diags Raw Data'!$N$6:$N$3727)/J21)</f>
        <v>1</v>
      </c>
      <c r="L21" s="433" cm="1">
        <f t="array" ref="L21">IF(D21="",0, SUMPRODUCT(--(ISNUMBER(SEARCH($A21,'Diags Raw Data'!$A$6:$A$3727))),'Diags Raw Data'!$L$6:$L$3727,'Diags Raw Data'!$P$6:$P$3727)/J21)</f>
        <v>1</v>
      </c>
      <c r="M21" s="434" cm="1">
        <f t="array" ref="M21">SUMPRODUCT(--(ISNUMBER(SEARCH($A21,'Diags Raw Data'!$A$6:$A$3727))),--('Diags Raw Data'!$Q$6:$Q$3727&lt;&gt;"N/A"),'Diags Raw Data'!$R$6:$R$3727)</f>
        <v>13</v>
      </c>
      <c r="N21" s="435" cm="1">
        <f t="array" ref="N21">SUMPRODUCT(--(ISNUMBER(SEARCH($A21,'Diags Raw Data'!$A$6:$A$3727))),--('Diags Raw Data'!$Q$6:$Q$3727&lt;&gt;"N/A"),'Diags Raw Data'!$T$6:$T$3727)+SUMPRODUCT(--(ISNUMBER(SEARCH($A21,'Diags Raw Data'!$A$6:$A$3727))),--('Diags Raw Data'!$Q$6:$Q$3727&lt;&gt;"N/A"),'Diags Raw Data'!$U$6:$U$3727)</f>
        <v>0</v>
      </c>
      <c r="O21" s="436">
        <f t="shared" si="7"/>
        <v>0</v>
      </c>
      <c r="P21" s="437">
        <f>SUMIF('Diags Raw Data'!$A$6:$A$3727,"*"&amp;$A21&amp;"*",'Diags Raw Data'!$Z$6:$Z$3727)</f>
        <v>0</v>
      </c>
      <c r="Q21" s="438">
        <f>SUM(SUMIF('Diags Raw Data'!$A$6:$A$3727,"*"&amp;$A21&amp;"*",'Diags Raw Data'!$AA$6:$AA$3727),SUMIF('Diags Raw Data'!$A$6:$A$3727,"*"&amp;$A21&amp;"*",'Diags Raw Data'!$AB$6:$AB$3727))</f>
        <v>0</v>
      </c>
      <c r="R21" s="439">
        <f t="shared" si="8"/>
        <v>0</v>
      </c>
      <c r="S21" s="439">
        <f t="shared" si="9"/>
        <v>0</v>
      </c>
      <c r="T21" s="440">
        <f t="shared" si="10"/>
        <v>0</v>
      </c>
      <c r="U21" s="461" t="s">
        <v>405</v>
      </c>
      <c r="V21" s="169"/>
    </row>
    <row r="22" spans="1:22" ht="66.599999999999994" customHeight="1" x14ac:dyDescent="0.25">
      <c r="A22" s="459" t="s">
        <v>558</v>
      </c>
      <c r="B22" s="372" t="str">
        <f>VLOOKUP(A22,'Feature Raw Data'!$A$3:$B$3876,2,FALSE)</f>
        <v>SOC and DF team support for each single MCD (or PHY) configuration.</v>
      </c>
      <c r="C22" s="320" t="str">
        <f>VLOOKUP(A22,'Feature Raw Data'!$A$3:$C$3876,3,FALSE)</f>
        <v>P1</v>
      </c>
      <c r="D22" s="82" t="str" cm="1">
        <f t="array" ref="D22">_xlfn.TEXTJOIN("",TRUE,IF(ISNUMBER(SEARCH($A22,'Diags Raw Data'!$A$6:$A$3727)),CONCATENATE('Diags Raw Data'!$H$6:$H$3727,", "),""))</f>
        <v xml:space="preserve">event_handler_5, </v>
      </c>
      <c r="E22" s="168" t="str">
        <f>VLOOKUP(A22,'Diags Raw Data'!$A$6:$D$3727,4,FALSE)</f>
        <v>PMC</v>
      </c>
      <c r="F22" s="168" t="str">
        <f>VLOOKUP(A22,'Feature Raw Data'!$A$3:$E$3876,5,FALSE)</f>
        <v>Incremental</v>
      </c>
      <c r="G22" s="168" t="str">
        <f t="shared" si="11"/>
        <v>Yes</v>
      </c>
      <c r="H22" s="168" t="str">
        <f t="shared" si="6"/>
        <v>Yes</v>
      </c>
      <c r="I22" s="320">
        <f>SUMIF('Diags Raw Data'!$A$6:$A$3727,"*"&amp;$A22&amp;"*",'Diags Raw Data'!$K$6:$K$3727)</f>
        <v>1</v>
      </c>
      <c r="J22" s="180">
        <f>SUMIF('Diags Raw Data'!$A$6:$A$3727,"*"&amp;$A22&amp;"*",'Diags Raw Data'!$L$6:$L$3727)</f>
        <v>1</v>
      </c>
      <c r="K22" s="432" cm="1">
        <f t="array" ref="K22">IF(D22="",0, SUMPRODUCT(--(ISNUMBER(SEARCH($A22,'Diags Raw Data'!$A$6:$A$3727))),'Diags Raw Data'!$L$6:$L$3727,'Diags Raw Data'!$N$6:$N$3727)/J22)</f>
        <v>1</v>
      </c>
      <c r="L22" s="433" cm="1">
        <f t="array" ref="L22">IF(D22="",0, SUMPRODUCT(--(ISNUMBER(SEARCH($A22,'Diags Raw Data'!$A$6:$A$3727))),'Diags Raw Data'!$L$6:$L$3727,'Diags Raw Data'!$P$6:$P$3727)/J22)</f>
        <v>1</v>
      </c>
      <c r="M22" s="434" cm="1">
        <f t="array" ref="M22">SUMPRODUCT(--(ISNUMBER(SEARCH($A22,'Diags Raw Data'!$A$6:$A$3727))),--('Diags Raw Data'!$Q$6:$Q$3727&lt;&gt;"N/A"),'Diags Raw Data'!$R$6:$R$3727)</f>
        <v>1</v>
      </c>
      <c r="N22" s="435" cm="1">
        <f t="array" ref="N22">SUMPRODUCT(--(ISNUMBER(SEARCH($A22,'Diags Raw Data'!$A$6:$A$3727))),--('Diags Raw Data'!$Q$6:$Q$3727&lt;&gt;"N/A"),'Diags Raw Data'!$T$6:$T$3727)+SUMPRODUCT(--(ISNUMBER(SEARCH($A22,'Diags Raw Data'!$A$6:$A$3727))),--('Diags Raw Data'!$Q$6:$Q$3727&lt;&gt;"N/A"),'Diags Raw Data'!$U$6:$U$3727)</f>
        <v>0</v>
      </c>
      <c r="O22" s="436">
        <f t="shared" si="7"/>
        <v>0</v>
      </c>
      <c r="P22" s="437">
        <f>SUMIF('Diags Raw Data'!$A$6:$A$3727,"*"&amp;$A22&amp;"*",'Diags Raw Data'!$Z$6:$Z$3727)</f>
        <v>0</v>
      </c>
      <c r="Q22" s="438">
        <f>SUM(SUMIF('Diags Raw Data'!$A$6:$A$3727,"*"&amp;$A22&amp;"*",'Diags Raw Data'!$AA$6:$AA$3727),SUMIF('Diags Raw Data'!$A$6:$A$3727,"*"&amp;$A22&amp;"*",'Diags Raw Data'!$AB$6:$AB$3727))</f>
        <v>0</v>
      </c>
      <c r="R22" s="439">
        <f t="shared" si="8"/>
        <v>0</v>
      </c>
      <c r="S22" s="439">
        <f t="shared" si="9"/>
        <v>0</v>
      </c>
      <c r="T22" s="440">
        <f t="shared" si="10"/>
        <v>0</v>
      </c>
      <c r="U22" s="461" t="s">
        <v>406</v>
      </c>
      <c r="V22" s="169"/>
    </row>
    <row r="23" spans="1:22" ht="360" customHeight="1" x14ac:dyDescent="0.25">
      <c r="A23" s="459" t="s">
        <v>557</v>
      </c>
      <c r="B23" s="372" t="str">
        <f>VLOOKUP(A23,'Feature Raw Data'!$A$3:$B$3876,2,FALSE)</f>
        <v>Capability and Performance of FB DRAM</v>
      </c>
      <c r="C23" s="320" t="str">
        <f>VLOOKUP(A23,'Feature Raw Data'!$A$3:$C$3876,3,FALSE)</f>
        <v>P1</v>
      </c>
      <c r="D23" s="82" t="str" cm="1">
        <f t="array" ref="D23">_xlfn.TEXTJOIN("",TRUE,IF(ISNUMBER(SEARCH($A23,'Diags Raw Data'!$A$6:$A$3727)),CONCATENATE('Diags Raw Data'!$H$6:$H$3727,", "),""))</f>
        <v xml:space="preserve">umc1.3, umc1.825, umc375.1, umc381.1, umc3.1,umc3.2,umc3.3, umc5.1,umc5.2,umc5.3, umc6.1,umc6.2,umc6.3, umc7.1,umc7.2,umc7.3, umc8.1,umc8.2,umc8.3, umc24.1, umc25.1, umc369.2,umc369.3,umc369.5,umc369.6,umc369.8,umc369.9,umc369.11,umc369.12, umc370.2,umc370.3,umc370.5,umc370.6,umc370.8,umc370.9,umc370.11,umc370.12, umc371.2,umc371.3,umc371.5,umc371.6,umc371.8,umc371.9,umc371.11,umc371.12, umc376.6-15, umc382.1-90, umc378.1-60, umc379.1-124, umc372, umc380, umc383.1-4,umc383.10-19, umc303.2,umc303.3,umc303.5,umc303.6,umc303.7,umc303.9,umc303.11,umc303.12,umc303.13,umc303.21,umc303.22,umc303.24,umc303.25,umc303.101,umc303.102,umc303.103,umc303.104,umc303.105,umc303.301,umc303.302,umc303.303,umc303.304,umc303.305, umc304.2,umc304.3,umc304.5,umc304.6,umc304.8,umc304.9,umc304.11,umc304.12,umc304.101,umc304.201,umc304.301,umc304.401, umc305.2,umc305.3,umc305.5,umc305.6,umc305.7,umc305.9,umc305.11,umc305.12,umc305.13,umc305.21,umc305.22,umc305.24,umc305.25,umc305.101,umc305.102,umc305.103,umc305.104,umc305.105,umc305.201,umc305.202,umc305.203,umc305.204,umc305.205,umc305.301,umc305.302,umc305.303,umc305.304,umc305.305,umc305.401,umc305.402,umc305.403,umc305.404,umc305.405,umc305.501,umc305.502,umc305.503,umc305.504,umc305.505,umc305.511,umc305.512,umc305.513,umc305.514,umc305.515,umc305.551,umc305.552,umc305.553,umc305.554,umc305.555,umc305.561,umc305.562,umc305.563,umc305.564,umc305.565, umc306.2,umc306.3,umc306.5,umc306.6,umc306.8,umc306.9,umc306.11,umc306.12,umc306.101,umc306.201,umc306.301,umc306.401, umc307.2,umc307.3,umc307.5,umc307.6,umc307.7,umc307.9,umc307.11,umc307.12,umc307.13,umc307.21,umc307.22,umc307.24,umc307.25, umc308.2,umc308.3,umc308.5,umc308.6,umc308.7,umc308.9,umc308.11,umc308.12,umc308.13,umc308.21,umc308.22,umc308.24,umc308.25,umc308.101,umc308.102,umc308.103,umc308.104,umc308.105,umc308.501,umc308.502,umc308.503,umc308.504,umc308.505,umc308.511,umc308.512,umc308.513,umc308.514,umc308.515,umc308.551,umc308.552,umc308.553,umc308.554,umc308.555,umc308.561,umc308.562,umc308.563,umc308.564,umc308.565, umc309.2,umc309.3,umc309.5,umc309.6,umc309.7,umc309.9,umc309.11,umc309.12,umc309.13,umc309.21,umc309.22,umc309.24,umc309.25,umc309.101,umc309.102,umc309.103,umc309.104,umc309.105,umc309.301,umc309.302,umc309.303,umc309.304,umc309.305, umc310.2,umc310.3,umc310.5,umc310.6,umc310.8,umc310.9,umc310.11,umc310.12,umc310.101,umc310.201,umc310.301,umc310.401, umc311.2,umc311.3,umc311.5,umc311.6,umc311.7,umc311.9,umc311.11,umc311.12,umc311.13,umc311.21,umc311.22,umc311.24,umc311.25,umc311.101,umc311.102,umc311.103,umc311.104,umc311.105,umc311.201,umc311.202,umc311.203,umc311.204,umc311.205,umc311.301,umc311.302,umc311.303,umc311.304,umc311.305,umc311.401,umc311.402,umc311.403,umc311.404,umc311.405,umc311.501,umc311.502,umc311.503,umc311.504,umc311.505,umc311.511,umc311.512,umc311.513,umc311.514,umc311.515,umc311.551,umc311.552,umc311.553,umc311.554,umc311.555,umc311.561,umc311.562,umc311.563,umc311.564,umc311.565, umc312.2,umc312.3,umc312.5,umc312.6,umc312.8,umc312.9,umc312.11,umc312.12,umc312.101,umc312.201,umc312.301,umc312.401, umc313.2,umc313.3,umc313.5,umc313.6,umc313.7,umc313.9,umc313.11,umc313.12,umc313.13,umc313.21,umc313.22,umc313.24,umc313.25, umc314.2,umc314.3,umc314.5,umc314.6,umc314.7,umc314.9,umc314.11,umc314.12,umc314.13,umc314.21,umc314.22,umc314.24,umc314.25,umc314.101,umc314.102,umc314.103,umc314.104,umc314.105,umc314.501,umc314.502,umc314.503,umc314.504,umc314.505,umc314.511,umc314.512,umc314.513,umc314.514,umc314.515,umc314.551,umc314.552,umc314.553,umc314.554,umc314.555,umc314.561,umc314.562,umc314.563,umc314.564,umc314.565, umc315.2,umc315.3,umc315.5,umc315.6,umc315.7,umc315.9,umc315.11,umc315.12,umc315.13,umc315.21,umc315.22,umc315.24,umc315.25,umc315.101,umc315.102,umc315.103,umc315.104,umc315.105,umc315.301,umc315.302,umc315.303,umc315.304,umc315.305, umc316.2,umc316.3,umc316.5,umc316.6,umc316.8,umc316.9,umc316.11,umc316.12,umc316.101,umc316.201,umc316.301,umc316.401, umc317.2,umc317.3,umc317.5,umc317.6,umc317.7,umc317.9,umc317.11,umc317.12,umc317.13,umc317.21,umc317.22,umc317.24,umc317.25,umc317.101,umc317.102,umc317.103,umc317.104,umc317.105,umc317.201,umc317.202,umc317.203,umc317.204,umc317.205,umc317.301,umc317.302,umc317.303,umc317.304,umc317.305,umc317.401,umc317.402,umc317.403,umc317.404,umc317.405,umc317.501,umc317.502,umc317.503,umc317.504,umc317.505,umc317.511,umc317.512,umc317.513,umc317.514,umc317.515,umc317.551,umc317.552,umc317.553,umc317.554,umc317.555,umc317.561,umc317.562,umc317.563,umc317.564,umc317.565, umc318.2,umc318.3,umc318.5,umc318.6,umc318.8,umc318.9,umc318.11,umc318.12,umc318.101,umc318.201,umc318.301,umc318.401, umc319.2,umc319.3,umc319.5,umc319.6,umc319.7,umc319.9,umc319.11,umc319.12,umc319.13,umc319.21,umc319.22,umc319.24,umc319.25, umc320.2,umc320.3,umc320.5,umc320.6,umc320.7,umc320.9,umc320.11,umc320.12,umc320.13,umc320.21,umc320.22,umc320.24,umc320.25,umc320.101,umc320.102,umc320.103,umc320.104,umc320.105,umc320.501,umc320.502,umc320.503,umc320.504,umc320.505,umc320.511,umc320.512,umc320.513,umc320.514,umc320.515,umc320.551,umc320.552,umc320.553,umc320.554,umc320.555,umc320.561,umc320.562,umc320.563,umc320.564,umc320.565, umc321.2,umc321.3,umc321.5,umc321.6,umc321.7,umc321.9,umc321.11,umc321.12,umc321.13,umc321.21,umc321.22,umc321.24,umc321.25,umc321.101,umc321.102,umc321.103,umc321.104,umc321.105,umc321.301,umc321.302,umc321.303,umc321.304,umc321.305, umc322.2,umc322.3,umc322.5,umc322.6,umc322.8,umc322.9,umc322.11,umc322.12,umc322.101,umc322.201,umc322.301,umc322.401, umc323.2,umc323.3,umc323.5,umc323.6,umc323.7,umc323.9,umc323.11,umc323.12,umc323.13,umc323.21,umc323.22,umc323.24,umc323.25,umc323.101,umc323.102,umc323.103,umc323.104,umc323.105,umc323.201,umc323.202,umc323.203,umc323.204,umc323.205,umc323.301,umc323.302,umc323.303,umc323.304,umc323.305,umc323.401,umc323.402,umc323.403,umc323.404,umc323.405,umc323.501,umc323.502,umc323.503,umc323.504,umc323.505,umc323.511,umc323.512,umc323.513,umc323.514,umc323.515,umc323.551,umc323.552,umc323.553,umc323.554,umc323.555,umc323.561,umc323.562,umc323.563,umc323.564,umc323.565, umc324.2,umc324.3,umc324.5,umc324.6,umc324.8,umc324.9,umc324.11,umc324.12,umc324.101,umc324.201,umc324.301,umc324.401, umc210.2,umc210.3,umc210.5,umc210.6,umc210.7,umc210.9,umc210.11,umc210.12,umc210.13,umc210.21,umc210.22,umc210.24,umc210.25, umc211.2,umc211.3,umc211.5,umc211.6,umc211.7,umc211.9,umc211.11,umc211.12,umc211.13,umc211.21,umc211.22,umc211.24,umc211.25,umc211.101,umc211.102,umc211.103,umc211.104,umc211.105,umc211.501,umc211.502,umc211.503,umc211.504,umc211.505,umc211.511,umc211.512,umc211.513,umc211.514,umc211.515,umc211.551,umc211.552,umc211.553,umc211.554,umc211.555,umc211.561,umc211.562,umc211.563,umc211.564,umc211.565, umc212.2,umc212.3,umc212.5,umc212.6,umc212.7,umc212.9,umc212.11,umc212.12,umc212.13,umc212.21,umc212.22,umc212.24,umc212.25,umc212.101,umc212.102,umc212.103,umc212.104,umc212.105,umc212.301,umc212.302,umc212.303,umc212.304,umc212.305, umc213.2,umc213.3,umc213.5,umc213.6,umc213.8,umc213.9,umc213.11,umc213.12, umc214.2,umc214.3,umc214.5,umc214.6,umc214.7,umc214.9,umc214.11,umc214.12,umc214.13,umc214.21,umc214.22,umc214.24,umc214.25,umc214.101,umc214.102,umc214.103,umc214.104,umc214.105,umc214.201,umc214.202,umc214.203,umc214.204,umc214.205,umc214.301,umc214.302,umc214.303,umc214.304,umc214.305,umc214.401,umc214.402,umc214.403,umc214.404,umc214.405,umc214.501,umc214.502,umc214.503,umc214.504,umc214.505,umc214.511,umc214.512,umc214.513,umc214.514,umc214.515,umc214.551,umc214.552,umc214.553,umc214.554,umc214.555,umc214.561,umc214.562,umc214.563,umc214.564,umc214.565, umc215.2,umc215.3,umc215.5,umc215.6,umc215.8,umc215.9,umc215.11,umc215.12, umc216.2,umc216.3,umc216.5,umc216.6,umc216.8,umc216.9,umc216.11,umc216.12, umc56.153,umc56.154,umc56.155,umc56.156,umc56.157,umc56.158,umc56.159, umc681.1, umc681.2, umc683.1, umc684.1, umc401.1, umc413.1,umc413.2,umc413.3, umc404.1-3,umc404.11-13, umc405.1-5,umc405.11-15, umc600.1, umc601.1, umc.power_virus_combo_composite.1-8, umc.stress_blt_composite.1-9, umc.full_fb_test/fill, umc.full_fb_rw_only/read_check.1-3, umc.blt_composite/classic, umc.blt_composite/random, umc.rect_toggle_composite, umc.dram_stress_march01, umc.dram_stress_knaizuk_hartman_test, umc.dram_stress_mod3_test, umc.dram_stress_xmarch_test, umc.memfa_test, </v>
      </c>
      <c r="E23" s="168" t="str">
        <f>VLOOKUP(A23,'Diags Raw Data'!$A$6:$D$3727,4,FALSE)</f>
        <v>DCQ</v>
      </c>
      <c r="F23" s="168" t="str">
        <f>VLOOKUP(A23,'Feature Raw Data'!$A$3:$E$3876,5,FALSE)</f>
        <v>Incremental</v>
      </c>
      <c r="G23" s="168" t="str">
        <f t="shared" ref="G23" si="12">IF(D23="","No","Yes")</f>
        <v>Yes</v>
      </c>
      <c r="H23" s="168" t="str">
        <f t="shared" ref="H23" si="13">IF(D23="","No","Yes")</f>
        <v>Yes</v>
      </c>
      <c r="I23" s="320">
        <f>SUMIF('Diags Raw Data'!$A$6:$A$3727,"*"&amp;$A23&amp;"*",'Diags Raw Data'!$K$6:$K$3727)</f>
        <v>73</v>
      </c>
      <c r="J23" s="180">
        <f>SUMIF('Diags Raw Data'!$A$6:$A$3727,"*"&amp;$A23&amp;"*",'Diags Raw Data'!$L$6:$L$3727)</f>
        <v>1111</v>
      </c>
      <c r="K23" s="432" cm="1">
        <f t="array" ref="K23">IF(D23="",0, SUMPRODUCT(--(ISNUMBER(SEARCH($A23,'Diags Raw Data'!$A$6:$A$3727))),'Diags Raw Data'!$L$6:$L$3727,'Diags Raw Data'!$N$6:$N$3727)/J23)</f>
        <v>1</v>
      </c>
      <c r="L23" s="433" cm="1">
        <f t="array" ref="L23">IF(D23="",0, SUMPRODUCT(--(ISNUMBER(SEARCH($A23,'Diags Raw Data'!$A$6:$A$3727))),'Diags Raw Data'!$L$6:$L$3727,'Diags Raw Data'!$P$6:$P$3727)/J23)</f>
        <v>0.71647164716471645</v>
      </c>
      <c r="M23" s="434" cm="1">
        <f t="array" ref="M23">SUMPRODUCT(--(ISNUMBER(SEARCH($A23,'Diags Raw Data'!$A$6:$A$3727))),--('Diags Raw Data'!$Q$6:$Q$3727&lt;&gt;"N/A"),'Diags Raw Data'!$R$6:$R$3727)</f>
        <v>1111</v>
      </c>
      <c r="N23" s="435" cm="1">
        <f t="array" ref="N23">SUMPRODUCT(--(ISNUMBER(SEARCH($A23,'Diags Raw Data'!$A$6:$A$3727))),--('Diags Raw Data'!$Q$6:$Q$3727&lt;&gt;"N/A"),'Diags Raw Data'!$T$6:$T$3727)+SUMPRODUCT(--(ISNUMBER(SEARCH($A23,'Diags Raw Data'!$A$6:$A$3727))),--('Diags Raw Data'!$Q$6:$Q$3727&lt;&gt;"N/A"),'Diags Raw Data'!$U$6:$U$3727)</f>
        <v>0</v>
      </c>
      <c r="O23" s="436">
        <f t="shared" ref="O23" si="14">IF((M23=0),0,N23/M23)</f>
        <v>0</v>
      </c>
      <c r="P23" s="437">
        <f>SUMIF('Diags Raw Data'!$A$6:$A$3727,"*"&amp;$A23&amp;"*",'Diags Raw Data'!$Z$6:$Z$3727)</f>
        <v>0</v>
      </c>
      <c r="Q23" s="438">
        <f>SUM(SUMIF('Diags Raw Data'!$A$6:$A$3727,"*"&amp;$A23&amp;"*",'Diags Raw Data'!$AA$6:$AA$3727),SUMIF('Diags Raw Data'!$A$6:$A$3727,"*"&amp;$A23&amp;"*",'Diags Raw Data'!$AB$6:$AB$3727))</f>
        <v>0</v>
      </c>
      <c r="R23" s="439">
        <f t="shared" ref="R23" si="15">IF((J23=0),0,P23/J23)</f>
        <v>0</v>
      </c>
      <c r="S23" s="439">
        <f t="shared" ref="S23" si="16">IF((P23=0),0,Q23/P23)</f>
        <v>0</v>
      </c>
      <c r="T23" s="440">
        <f t="shared" ref="T23" si="17">R23*S23</f>
        <v>0</v>
      </c>
      <c r="U23" s="461" t="s">
        <v>406</v>
      </c>
      <c r="V23" s="169"/>
    </row>
    <row r="24" spans="1:22" ht="255" x14ac:dyDescent="0.25">
      <c r="A24" s="459" t="s">
        <v>539</v>
      </c>
      <c r="B24" s="372" t="str">
        <f>VLOOKUP(A24,'Feature Raw Data'!$A$3:$B$3876,2,FALSE)</f>
        <v xml:space="preserve">[GDDR6] DPM State support for UCLK </v>
      </c>
      <c r="C24" s="320" t="str">
        <f>VLOOKUP(A24,'Feature Raw Data'!$A$3:$C$3876,3,FALSE)</f>
        <v>P2</v>
      </c>
      <c r="D24" s="82" t="str" cm="1">
        <f t="array" ref="D24">_xlfn.TEXTJOIN("",TRUE,IF(ISNUMBER(SEARCH($A24,'Diags Raw Data'!$A$6:$A$3727)),CONCATENATE('Diags Raw Data'!$H$6:$H$3727,", "),""))</f>
        <v xml:space="preserve">umc302.2,umc302.3,umc302.5,umc302.6,umc302.7,umc302.9,umc302.11,umc302.12,umc302.13,umc302.21,umc302.22,umc302.24,umc302.25,umc302.101,umc302.102,umc302.103,umc302.104,umc302.105,umc302.501,umc302.502,umc302.503,umc302.504,umc302.505,umc302.511,umc302.512,umc302.513,umc302.514,umc302.515,umc302.551,umc302.552,umc302.553,umc302.554,umc302.555,umc302.561,umc302.562,umc302.563,umc302.564,umc302.565, </v>
      </c>
      <c r="E24" s="168" t="str">
        <f>VLOOKUP(A24,'Diags Raw Data'!$A$6:$D$3727,4,FALSE)</f>
        <v>SPAZ</v>
      </c>
      <c r="F24" s="168" t="str">
        <f>VLOOKUP(A24,'Feature Raw Data'!$A$3:$E$3876,5,FALSE)</f>
        <v>New</v>
      </c>
      <c r="G24" s="168" t="str">
        <f t="shared" ref="G24" si="18">IF(D24="","No","Yes")</f>
        <v>Yes</v>
      </c>
      <c r="H24" s="168" t="str">
        <f t="shared" ref="H24" si="19">IF(D24="","No","Yes")</f>
        <v>Yes</v>
      </c>
      <c r="I24" s="320">
        <f>SUMIF('Diags Raw Data'!$A$6:$A$3727,"*"&amp;$A24&amp;"*",'Diags Raw Data'!$K$6:$K$3727)</f>
        <v>1</v>
      </c>
      <c r="J24" s="180">
        <f>SUMIF('Diags Raw Data'!$A$6:$A$3727,"*"&amp;$A24&amp;"*",'Diags Raw Data'!$L$6:$L$3727)</f>
        <v>38</v>
      </c>
      <c r="K24" s="432" cm="1">
        <f t="array" ref="K24">IF(D24="",0, SUMPRODUCT(--(ISNUMBER(SEARCH($A24,'Diags Raw Data'!$A$6:$A$3727))),'Diags Raw Data'!$L$6:$L$3727,'Diags Raw Data'!$N$6:$N$3727)/J24)</f>
        <v>1</v>
      </c>
      <c r="L24" s="433" cm="1">
        <f t="array" ref="L24">IF(D24="",0, SUMPRODUCT(--(ISNUMBER(SEARCH($A24,'Diags Raw Data'!$A$6:$A$3727))),'Diags Raw Data'!$L$6:$L$3727,'Diags Raw Data'!$P$6:$P$3727)/J24)</f>
        <v>1</v>
      </c>
      <c r="M24" s="434" cm="1">
        <f t="array" ref="M24">SUMPRODUCT(--(ISNUMBER(SEARCH($A24,'Diags Raw Data'!$A$6:$A$3727))),--('Diags Raw Data'!$Q$6:$Q$3727&lt;&gt;"N/A"),'Diags Raw Data'!$R$6:$R$3727)</f>
        <v>38</v>
      </c>
      <c r="N24" s="435" cm="1">
        <f t="array" ref="N24">SUMPRODUCT(--(ISNUMBER(SEARCH($A24,'Diags Raw Data'!$A$6:$A$3727))),--('Diags Raw Data'!$Q$6:$Q$3727&lt;&gt;"N/A"),'Diags Raw Data'!$T$6:$T$3727)+SUMPRODUCT(--(ISNUMBER(SEARCH($A24,'Diags Raw Data'!$A$6:$A$3727))),--('Diags Raw Data'!$Q$6:$Q$3727&lt;&gt;"N/A"),'Diags Raw Data'!$U$6:$U$3727)</f>
        <v>0</v>
      </c>
      <c r="O24" s="436">
        <f t="shared" ref="O24" si="20">IF((M24=0),0,N24/M24)</f>
        <v>0</v>
      </c>
      <c r="P24" s="437">
        <f>SUMIF('Diags Raw Data'!$A$6:$A$3727,"*"&amp;$A24&amp;"*",'Diags Raw Data'!$Z$6:$Z$3727)</f>
        <v>0</v>
      </c>
      <c r="Q24" s="438">
        <f>SUM(SUMIF('Diags Raw Data'!$A$6:$A$3727,"*"&amp;$A24&amp;"*",'Diags Raw Data'!$AA$6:$AA$3727),SUMIF('Diags Raw Data'!$A$6:$A$3727,"*"&amp;$A24&amp;"*",'Diags Raw Data'!$AB$6:$AB$3727))</f>
        <v>0</v>
      </c>
      <c r="R24" s="439">
        <f t="shared" ref="R24" si="21">IF((J24=0),0,P24/J24)</f>
        <v>0</v>
      </c>
      <c r="S24" s="439">
        <f t="shared" ref="S24" si="22">IF((P24=0),0,Q24/P24)</f>
        <v>0</v>
      </c>
      <c r="T24" s="440">
        <f t="shared" ref="T24" si="23">R24*S24</f>
        <v>0</v>
      </c>
      <c r="U24" s="461"/>
      <c r="V24" s="169" t="s">
        <v>606</v>
      </c>
    </row>
    <row r="25" spans="1:22" ht="30" x14ac:dyDescent="0.25">
      <c r="A25" s="457" t="s">
        <v>554</v>
      </c>
      <c r="B25" s="372" t="str">
        <f>VLOOKUP(A25,'Feature Raw Data'!$A$3:$B$3876,2,FALSE)</f>
        <v>MVDD voltage reduction during HSR</v>
      </c>
      <c r="C25" s="320" t="str">
        <f>VLOOKUP(A25,'Feature Raw Data'!$A$3:$C$3876,3,FALSE)</f>
        <v>P2</v>
      </c>
      <c r="D25" s="82" t="str" cm="1">
        <f t="array" ref="D25">_xlfn.TEXTJOIN("",TRUE,IF(ISNUMBER(SEARCH($A25,'Diags Raw Data'!$A$6:$A$3727)),CONCATENATE('Diags Raw Data'!$H$6:$H$3727,", "),""))</f>
        <v/>
      </c>
      <c r="E25" s="168" t="e">
        <f>VLOOKUP(A25,'Diags Raw Data'!$A$6:$D$3727,4,FALSE)</f>
        <v>#N/A</v>
      </c>
      <c r="F25" s="168" t="str">
        <f>VLOOKUP(A25,'Feature Raw Data'!$A$3:$E$3876,5,FALSE)</f>
        <v>New</v>
      </c>
      <c r="G25" s="168" t="str">
        <f t="shared" ref="G25:G26" si="24">IF(D25="","No","Yes")</f>
        <v>No</v>
      </c>
      <c r="H25" s="168" t="str">
        <f t="shared" ref="H25:H26" si="25">IF(D25="","No","Yes")</f>
        <v>No</v>
      </c>
      <c r="I25" s="320">
        <f>SUMIF('Diags Raw Data'!$A$6:$A$3727,"*"&amp;$A25&amp;"*",'Diags Raw Data'!$K$6:$K$3727)</f>
        <v>0</v>
      </c>
      <c r="J25" s="180">
        <f>SUMIF('Diags Raw Data'!$A$6:$A$3727,"*"&amp;$A25&amp;"*",'Diags Raw Data'!$L$6:$L$3727)</f>
        <v>0</v>
      </c>
      <c r="K25" s="432" cm="1">
        <f t="array" ref="K25">IF(D25="",0, SUMPRODUCT(--(ISNUMBER(SEARCH($A25,'Diags Raw Data'!$A$6:$A$3727))),'Diags Raw Data'!$L$6:$L$3727,'Diags Raw Data'!$N$6:$N$3727)/J25)</f>
        <v>0</v>
      </c>
      <c r="L25" s="433" cm="1">
        <f t="array" ref="L25">IF(D25="",0, SUMPRODUCT(--(ISNUMBER(SEARCH($A25,'Diags Raw Data'!$A$6:$A$3727))),'Diags Raw Data'!$L$6:$L$3727,'Diags Raw Data'!$P$6:$P$3727)/J25)</f>
        <v>0</v>
      </c>
      <c r="M25" s="434" cm="1">
        <f t="array" ref="M25">SUMPRODUCT(--(ISNUMBER(SEARCH($A25,'Diags Raw Data'!$A$6:$A$3727))),--('Diags Raw Data'!$Q$6:$Q$3727&lt;&gt;"N/A"),'Diags Raw Data'!$R$6:$R$3727)</f>
        <v>0</v>
      </c>
      <c r="N25" s="435" cm="1">
        <f t="array" ref="N25">SUMPRODUCT(--(ISNUMBER(SEARCH($A25,'Diags Raw Data'!$A$6:$A$3727))),--('Diags Raw Data'!$Q$6:$Q$3727&lt;&gt;"N/A"),'Diags Raw Data'!$T$6:$T$3727)+SUMPRODUCT(--(ISNUMBER(SEARCH($A25,'Diags Raw Data'!$A$6:$A$3727))),--('Diags Raw Data'!$Q$6:$Q$3727&lt;&gt;"N/A"),'Diags Raw Data'!$U$6:$U$3727)</f>
        <v>0</v>
      </c>
      <c r="O25" s="436">
        <f t="shared" ref="O25:O26" si="26">IF((M25=0),0,N25/M25)</f>
        <v>0</v>
      </c>
      <c r="P25" s="437">
        <f>SUMIF('Diags Raw Data'!$A$6:$A$3727,"*"&amp;$A25&amp;"*",'Diags Raw Data'!$Z$6:$Z$3727)</f>
        <v>0</v>
      </c>
      <c r="Q25" s="438">
        <f>SUM(SUMIF('Diags Raw Data'!$A$6:$A$3727,"*"&amp;$A25&amp;"*",'Diags Raw Data'!$AA$6:$AA$3727),SUMIF('Diags Raw Data'!$A$6:$A$3727,"*"&amp;$A25&amp;"*",'Diags Raw Data'!$AB$6:$AB$3727))</f>
        <v>0</v>
      </c>
      <c r="R25" s="439">
        <f t="shared" ref="R25:R26" si="27">IF((J25=0),0,P25/J25)</f>
        <v>0</v>
      </c>
      <c r="S25" s="439">
        <f t="shared" ref="S25:S26" si="28">IF((P25=0),0,Q25/P25)</f>
        <v>0</v>
      </c>
      <c r="T25" s="440">
        <f t="shared" ref="T25:T26" si="29">R25*S25</f>
        <v>0</v>
      </c>
      <c r="U25" s="461"/>
      <c r="V25" s="169" t="s">
        <v>597</v>
      </c>
    </row>
    <row r="26" spans="1:22" ht="30" x14ac:dyDescent="0.25">
      <c r="A26" s="457" t="s">
        <v>556</v>
      </c>
      <c r="B26" s="372" t="str">
        <f>VLOOKUP(A26,'Feature Raw Data'!$A$3:$B$3876,2,FALSE)</f>
        <v>Dram/Phy Low Power mode support</v>
      </c>
      <c r="C26" s="320" t="str">
        <f>VLOOKUP(A26,'Feature Raw Data'!$A$3:$C$3876,3,FALSE)</f>
        <v>P2</v>
      </c>
      <c r="D26" s="82" t="str" cm="1">
        <f t="array" ref="D26">_xlfn.TEXTJOIN("",TRUE,IF(ISNUMBER(SEARCH($A26,'Diags Raw Data'!$A$6:$A$3727)),CONCATENATE('Diags Raw Data'!$H$6:$H$3727,", "),""))</f>
        <v/>
      </c>
      <c r="E26" s="168" t="e">
        <f>VLOOKUP(A26,'Diags Raw Data'!$A$6:$D$3727,4,FALSE)</f>
        <v>#N/A</v>
      </c>
      <c r="F26" s="168" t="str">
        <f>VLOOKUP(A26,'Feature Raw Data'!$A$3:$E$3876,5,FALSE)</f>
        <v>Incremental</v>
      </c>
      <c r="G26" s="168" t="str">
        <f t="shared" si="24"/>
        <v>No</v>
      </c>
      <c r="H26" s="168" t="str">
        <f t="shared" si="25"/>
        <v>No</v>
      </c>
      <c r="I26" s="320">
        <f>SUMIF('Diags Raw Data'!$A$6:$A$3727,"*"&amp;$A26&amp;"*",'Diags Raw Data'!$K$6:$K$3727)</f>
        <v>0</v>
      </c>
      <c r="J26" s="180">
        <f>SUMIF('Diags Raw Data'!$A$6:$A$3727,"*"&amp;$A26&amp;"*",'Diags Raw Data'!$L$6:$L$3727)</f>
        <v>0</v>
      </c>
      <c r="K26" s="432" cm="1">
        <f t="array" ref="K26">IF(D26="",0, SUMPRODUCT(--(ISNUMBER(SEARCH($A26,'Diags Raw Data'!$A$6:$A$3727))),'Diags Raw Data'!$L$6:$L$3727,'Diags Raw Data'!$N$6:$N$3727)/J26)</f>
        <v>0</v>
      </c>
      <c r="L26" s="433" cm="1">
        <f t="array" ref="L26">IF(D26="",0, SUMPRODUCT(--(ISNUMBER(SEARCH($A26,'Diags Raw Data'!$A$6:$A$3727))),'Diags Raw Data'!$L$6:$L$3727,'Diags Raw Data'!$P$6:$P$3727)/J26)</f>
        <v>0</v>
      </c>
      <c r="M26" s="434" cm="1">
        <f t="array" ref="M26">SUMPRODUCT(--(ISNUMBER(SEARCH($A26,'Diags Raw Data'!$A$6:$A$3727))),--('Diags Raw Data'!$Q$6:$Q$3727&lt;&gt;"N/A"),'Diags Raw Data'!$R$6:$R$3727)</f>
        <v>0</v>
      </c>
      <c r="N26" s="435" cm="1">
        <f t="array" ref="N26">SUMPRODUCT(--(ISNUMBER(SEARCH($A26,'Diags Raw Data'!$A$6:$A$3727))),--('Diags Raw Data'!$Q$6:$Q$3727&lt;&gt;"N/A"),'Diags Raw Data'!$T$6:$T$3727)+SUMPRODUCT(--(ISNUMBER(SEARCH($A26,'Diags Raw Data'!$A$6:$A$3727))),--('Diags Raw Data'!$Q$6:$Q$3727&lt;&gt;"N/A"),'Diags Raw Data'!$U$6:$U$3727)</f>
        <v>0</v>
      </c>
      <c r="O26" s="436">
        <f t="shared" si="26"/>
        <v>0</v>
      </c>
      <c r="P26" s="437">
        <f>SUMIF('Diags Raw Data'!$A$6:$A$3727,"*"&amp;$A26&amp;"*",'Diags Raw Data'!$Z$6:$Z$3727)</f>
        <v>0</v>
      </c>
      <c r="Q26" s="438">
        <f>SUM(SUMIF('Diags Raw Data'!$A$6:$A$3727,"*"&amp;$A26&amp;"*",'Diags Raw Data'!$AA$6:$AA$3727),SUMIF('Diags Raw Data'!$A$6:$A$3727,"*"&amp;$A26&amp;"*",'Diags Raw Data'!$AB$6:$AB$3727))</f>
        <v>0</v>
      </c>
      <c r="R26" s="439">
        <f t="shared" si="27"/>
        <v>0</v>
      </c>
      <c r="S26" s="439">
        <f t="shared" si="28"/>
        <v>0</v>
      </c>
      <c r="T26" s="440">
        <f t="shared" si="29"/>
        <v>0</v>
      </c>
      <c r="U26" s="461"/>
      <c r="V26" s="169" t="s">
        <v>597</v>
      </c>
    </row>
    <row r="27" spans="1:22" ht="66" customHeight="1" thickBot="1" x14ac:dyDescent="0.3">
      <c r="A27" s="457" t="s">
        <v>356</v>
      </c>
      <c r="B27" s="372" t="e">
        <f>VLOOKUP(A27,'Feature Raw Data'!$A$3:$B$3876,2,FALSE)</f>
        <v>#N/A</v>
      </c>
      <c r="C27" s="320" t="e">
        <f>VLOOKUP(A27,'Feature Raw Data'!$A$3:$C$3876,3,FALSE)</f>
        <v>#N/A</v>
      </c>
      <c r="D27" s="82" t="str" cm="1">
        <f t="array" ref="D27">_xlfn.TEXTJOIN("",TRUE,IF(ISNUMBER(SEARCH($A27,'Diags Raw Data'!$A$6:$A$3727)),CONCATENATE('Diags Raw Data'!$H$6:$H$3727,", "),""))</f>
        <v/>
      </c>
      <c r="E27" s="168" t="e">
        <f>VLOOKUP(A27,'Diags Raw Data'!$A$6:$D$3727,4,FALSE)</f>
        <v>#N/A</v>
      </c>
      <c r="F27" s="168" t="e">
        <f>VLOOKUP(A27,'Feature Raw Data'!$A$3:$E$3876,5,FALSE)</f>
        <v>#N/A</v>
      </c>
      <c r="G27" s="168" t="str">
        <f t="shared" ref="G27" si="30">IF(D27="","No","Yes")</f>
        <v>No</v>
      </c>
      <c r="H27" s="168" t="e">
        <f t="shared" ref="H27" si="31">IF(E27="","No","Yes")</f>
        <v>#N/A</v>
      </c>
      <c r="I27" s="320">
        <f>SUMIF('Diags Raw Data'!$A$6:$A$3727,"*"&amp;$A27&amp;"*",'Diags Raw Data'!$K$6:$K$3727)</f>
        <v>0</v>
      </c>
      <c r="J27" s="180">
        <f>SUMIF('Diags Raw Data'!$A$6:$A$3727,"*"&amp;$A27&amp;"*",'Diags Raw Data'!$L$6:$L$3727)</f>
        <v>0</v>
      </c>
      <c r="K27" s="432" cm="1">
        <f t="array" ref="K27">IF(D27="",0, SUMPRODUCT(--(ISNUMBER(SEARCH($A27,'Diags Raw Data'!$A$6:$A$3727))),'Diags Raw Data'!$L$6:$L$3727,'Diags Raw Data'!$N$6:$N$3727)/J27)</f>
        <v>0</v>
      </c>
      <c r="L27" s="433" cm="1">
        <f t="array" ref="L27">IF(D27="",0, SUMPRODUCT(--(ISNUMBER(SEARCH($A27,'Diags Raw Data'!$A$6:$A$3727))),'Diags Raw Data'!$L$6:$L$3727,'Diags Raw Data'!$P$6:$P$3727)/J27)</f>
        <v>0</v>
      </c>
      <c r="M27" s="434" cm="1">
        <f t="array" ref="M27">SUMPRODUCT(--(ISNUMBER(SEARCH($A27,'Diags Raw Data'!$A$6:$A$3727))),--('Diags Raw Data'!$Q$6:$Q$3727&lt;&gt;"N/A"),'Diags Raw Data'!$R$6:$R$3727)</f>
        <v>0</v>
      </c>
      <c r="N27" s="435" cm="1">
        <f t="array" ref="N27">SUMPRODUCT(--(ISNUMBER(SEARCH($A27,'Diags Raw Data'!$A$6:$A$3727))),--('Diags Raw Data'!$Q$6:$Q$3727&lt;&gt;"N/A"),'Diags Raw Data'!$T$6:$T$3727)+SUMPRODUCT(--(ISNUMBER(SEARCH($A27,'Diags Raw Data'!$A$6:$A$3727))),--('Diags Raw Data'!$Q$6:$Q$3727&lt;&gt;"N/A"),'Diags Raw Data'!$U$6:$U$3727)</f>
        <v>0</v>
      </c>
      <c r="O27" s="436">
        <f t="shared" ref="O27" si="32">IF((M27=0),0,N27/M27)</f>
        <v>0</v>
      </c>
      <c r="P27" s="437">
        <f>SUMIF('Diags Raw Data'!$A$6:$A$3727,"*"&amp;$A27&amp;"*",'Diags Raw Data'!$Z$6:$Z$3727)</f>
        <v>0</v>
      </c>
      <c r="Q27" s="438">
        <f>SUM(SUMIF('Diags Raw Data'!$A$6:$A$3727,"*"&amp;$A27&amp;"*",'Diags Raw Data'!$AA$6:$AA$3727),SUMIF('Diags Raw Data'!$A$6:$A$3727,"*"&amp;$A27&amp;"*",'Diags Raw Data'!$AB$6:$AB$3727))</f>
        <v>0</v>
      </c>
      <c r="R27" s="439">
        <f t="shared" ref="R27" si="33">IF((J27=0),0,P27/J27)</f>
        <v>0</v>
      </c>
      <c r="S27" s="439">
        <f t="shared" ref="S27" si="34">IF((P27=0),0,Q27/P27)</f>
        <v>0</v>
      </c>
      <c r="T27" s="440">
        <f t="shared" ref="T27" si="35">R27*S27</f>
        <v>0</v>
      </c>
      <c r="U27" s="461" t="s">
        <v>406</v>
      </c>
      <c r="V27" s="169"/>
    </row>
    <row r="28" spans="1:22" x14ac:dyDescent="0.25">
      <c r="A28" s="526" t="s">
        <v>412</v>
      </c>
      <c r="B28" s="618"/>
      <c r="C28" s="618"/>
      <c r="D28" s="618"/>
      <c r="E28" s="618"/>
      <c r="F28" s="618"/>
      <c r="G28" s="618"/>
      <c r="H28" s="618"/>
      <c r="I28" s="618"/>
      <c r="J28" s="618"/>
      <c r="K28" s="619"/>
      <c r="L28" s="619"/>
      <c r="M28" s="619"/>
      <c r="N28" s="619"/>
      <c r="O28" s="619"/>
      <c r="P28" s="619"/>
      <c r="Q28" s="619"/>
      <c r="R28" s="619"/>
      <c r="S28" s="619"/>
      <c r="T28" s="619"/>
      <c r="U28" s="620"/>
      <c r="V28" s="169"/>
    </row>
    <row r="29" spans="1:22" s="174" customFormat="1" ht="16.5" thickBot="1" x14ac:dyDescent="0.3">
      <c r="A29" s="621"/>
      <c r="B29" s="618"/>
      <c r="C29" s="618"/>
      <c r="D29" s="618"/>
      <c r="E29" s="618"/>
      <c r="F29" s="618"/>
      <c r="G29" s="618"/>
      <c r="H29" s="618"/>
      <c r="I29" s="618"/>
      <c r="J29" s="618"/>
      <c r="K29" s="618"/>
      <c r="L29" s="618"/>
      <c r="M29" s="618"/>
      <c r="N29" s="618"/>
      <c r="O29" s="618"/>
      <c r="P29" s="618"/>
      <c r="Q29" s="618"/>
      <c r="R29" s="618"/>
      <c r="S29" s="618"/>
      <c r="T29" s="618"/>
      <c r="U29" s="622"/>
      <c r="V29" s="173"/>
    </row>
    <row r="30" spans="1:22" ht="21" customHeight="1" x14ac:dyDescent="0.25">
      <c r="A30" s="598" t="s">
        <v>247</v>
      </c>
      <c r="B30" s="599"/>
      <c r="C30" s="599"/>
      <c r="D30" s="599"/>
      <c r="E30" s="599"/>
      <c r="F30" s="600"/>
      <c r="G30" s="353">
        <f>COUNTIF(G7:G26,"Yes")</f>
        <v>18</v>
      </c>
      <c r="H30" s="353">
        <f>COUNTIF(H7:H26,"Yes")</f>
        <v>18</v>
      </c>
      <c r="I30" s="596">
        <f>'Diags Raw Data'!K117</f>
        <v>108</v>
      </c>
      <c r="J30" s="627">
        <f>'Diags Raw Data'!L117</f>
        <v>1230</v>
      </c>
      <c r="K30" s="572">
        <f>'Diags Raw Data'!N117</f>
        <v>1</v>
      </c>
      <c r="L30" s="574">
        <f>'Diags Raw Data'!P117</f>
        <v>0.71626016260162606</v>
      </c>
      <c r="M30" s="576">
        <f>'Diags Raw Data'!R117</f>
        <v>1230</v>
      </c>
      <c r="N30" s="593">
        <f>SUM('Diags Raw Data'!T117+'Diags Raw Data'!U117)</f>
        <v>5</v>
      </c>
      <c r="O30" s="623">
        <f>IF((M30=0),0,N30/M30)</f>
        <v>4.0650406504065045E-3</v>
      </c>
      <c r="P30" s="625">
        <f>'Diags Raw Data'!Z117</f>
        <v>0</v>
      </c>
      <c r="Q30" s="608">
        <f>SUM('Diags Raw Data'!AA117+'Diags Raw Data'!AB117)</f>
        <v>0</v>
      </c>
      <c r="R30" s="578">
        <f>IF((J30=0),0,P30/J30)</f>
        <v>0</v>
      </c>
      <c r="S30" s="578">
        <f>IF((P30=0),0,Q30/P30)</f>
        <v>0</v>
      </c>
      <c r="T30" s="578">
        <f>R30*S30</f>
        <v>0</v>
      </c>
      <c r="U30" s="580"/>
      <c r="V30" s="169"/>
    </row>
    <row r="31" spans="1:22" ht="19.5" thickBot="1" x14ac:dyDescent="0.3">
      <c r="A31" s="601"/>
      <c r="B31" s="602"/>
      <c r="C31" s="602"/>
      <c r="D31" s="602"/>
      <c r="E31" s="602"/>
      <c r="F31" s="603"/>
      <c r="G31" s="354">
        <f>COUNTIF(G7:G26,"Yes")/COUNTA(A7:A26)</f>
        <v>0.9</v>
      </c>
      <c r="H31" s="354">
        <f>(COUNTIF(H7:H26,"Yes")/G30)</f>
        <v>1</v>
      </c>
      <c r="I31" s="597"/>
      <c r="J31" s="628"/>
      <c r="K31" s="573"/>
      <c r="L31" s="575"/>
      <c r="M31" s="577"/>
      <c r="N31" s="594"/>
      <c r="O31" s="624"/>
      <c r="P31" s="626"/>
      <c r="Q31" s="609"/>
      <c r="R31" s="579"/>
      <c r="S31" s="579"/>
      <c r="T31" s="579"/>
      <c r="U31" s="581"/>
    </row>
    <row r="32" spans="1:22" x14ac:dyDescent="0.25">
      <c r="A32" s="175"/>
      <c r="B32" s="176"/>
      <c r="C32" s="176"/>
      <c r="D32" s="175"/>
      <c r="E32" s="176"/>
      <c r="F32" s="176"/>
      <c r="G32" s="341"/>
      <c r="H32" s="176"/>
      <c r="I32" s="345"/>
      <c r="J32" s="345"/>
      <c r="K32" s="181"/>
      <c r="L32" s="181"/>
      <c r="M32" s="182"/>
      <c r="N32" s="182"/>
      <c r="O32" s="181"/>
      <c r="P32" s="178"/>
      <c r="Q32" s="178"/>
      <c r="R32" s="185"/>
      <c r="S32" s="185"/>
      <c r="T32" s="186"/>
      <c r="U32" s="175"/>
    </row>
  </sheetData>
  <sheetProtection insertColumns="0" insertRows="0" deleteRows="0" sort="0"/>
  <autoFilter ref="A6:U31" xr:uid="{00000000-0009-0000-0000-000004000000}"/>
  <mergeCells count="35">
    <mergeCell ref="A30:F31"/>
    <mergeCell ref="A28:U29"/>
    <mergeCell ref="O30:O31"/>
    <mergeCell ref="P30:P31"/>
    <mergeCell ref="Q30:Q31"/>
    <mergeCell ref="R30:R31"/>
    <mergeCell ref="I30:I31"/>
    <mergeCell ref="J30:J31"/>
    <mergeCell ref="A1:U1"/>
    <mergeCell ref="I2:I3"/>
    <mergeCell ref="A2:F3"/>
    <mergeCell ref="O2:O3"/>
    <mergeCell ref="P2:P3"/>
    <mergeCell ref="Q2:Q3"/>
    <mergeCell ref="J2:J3"/>
    <mergeCell ref="K2:K3"/>
    <mergeCell ref="L2:L3"/>
    <mergeCell ref="M2:M3"/>
    <mergeCell ref="N2:N3"/>
    <mergeCell ref="A4:U4"/>
    <mergeCell ref="K30:K31"/>
    <mergeCell ref="L30:L31"/>
    <mergeCell ref="M30:M31"/>
    <mergeCell ref="T2:T3"/>
    <mergeCell ref="U2:U3"/>
    <mergeCell ref="R2:R3"/>
    <mergeCell ref="S2:S3"/>
    <mergeCell ref="S30:S31"/>
    <mergeCell ref="T30:T31"/>
    <mergeCell ref="U30:U31"/>
    <mergeCell ref="K5:L5"/>
    <mergeCell ref="A5:J5"/>
    <mergeCell ref="M5:O5"/>
    <mergeCell ref="P5:U5"/>
    <mergeCell ref="N30:N31"/>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413</v>
      </c>
      <c r="C1" s="36" t="s">
        <v>414</v>
      </c>
      <c r="D1" s="36" t="s">
        <v>415</v>
      </c>
      <c r="E1" s="36" t="s">
        <v>416</v>
      </c>
      <c r="F1" s="36" t="s">
        <v>417</v>
      </c>
      <c r="G1" s="37" t="s">
        <v>418</v>
      </c>
      <c r="H1" s="12"/>
      <c r="I1" s="12"/>
      <c r="J1" s="12"/>
      <c r="K1" s="12"/>
      <c r="L1" s="13"/>
      <c r="M1" s="1"/>
      <c r="N1" s="11"/>
      <c r="X1" s="11"/>
      <c r="AB1" s="629" t="s">
        <v>419</v>
      </c>
      <c r="AM1" s="629" t="s">
        <v>420</v>
      </c>
    </row>
    <row r="2" spans="1:40" s="14" customFormat="1" ht="12" x14ac:dyDescent="0.2">
      <c r="A2" s="35" t="s">
        <v>421</v>
      </c>
      <c r="B2" s="15">
        <v>42994</v>
      </c>
      <c r="C2" s="15">
        <v>43190</v>
      </c>
      <c r="D2" s="16" t="e">
        <f>#REF!</f>
        <v>#REF!</v>
      </c>
      <c r="E2" s="16" t="e">
        <f>#REF!</f>
        <v>#REF!</v>
      </c>
      <c r="F2" s="16">
        <f>(C2-B2)/7</f>
        <v>28</v>
      </c>
      <c r="G2" s="17" t="e">
        <f>E2/F2</f>
        <v>#REF!</v>
      </c>
      <c r="H2" s="18"/>
      <c r="I2" s="18"/>
      <c r="J2" s="18"/>
      <c r="K2" s="18"/>
      <c r="L2" s="19"/>
      <c r="M2" s="20"/>
      <c r="N2" s="21"/>
      <c r="X2" s="21"/>
      <c r="AB2" s="630"/>
      <c r="AM2" s="630"/>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31" t="s">
        <v>422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32"/>
      <c r="B5" s="47" t="s">
        <v>423</v>
      </c>
      <c r="C5" s="47" t="s">
        <v>424</v>
      </c>
      <c r="D5" s="47" t="s">
        <v>425</v>
      </c>
      <c r="E5" s="47" t="s">
        <v>426</v>
      </c>
      <c r="F5" s="47" t="s">
        <v>427</v>
      </c>
      <c r="G5" s="47" t="s">
        <v>428</v>
      </c>
      <c r="H5" s="47" t="s">
        <v>429</v>
      </c>
      <c r="I5" s="47" t="s">
        <v>430</v>
      </c>
      <c r="J5" s="47" t="s">
        <v>431</v>
      </c>
      <c r="K5" s="47" t="s">
        <v>432</v>
      </c>
      <c r="L5" s="47" t="s">
        <v>433</v>
      </c>
      <c r="M5" s="47" t="s">
        <v>434</v>
      </c>
      <c r="N5" s="47" t="s">
        <v>435</v>
      </c>
      <c r="O5" s="47" t="s">
        <v>436</v>
      </c>
      <c r="P5" s="47" t="s">
        <v>437</v>
      </c>
      <c r="Q5" s="47" t="s">
        <v>438</v>
      </c>
      <c r="R5" s="47" t="s">
        <v>439</v>
      </c>
      <c r="S5" s="47" t="s">
        <v>440</v>
      </c>
      <c r="T5" s="47" t="s">
        <v>441</v>
      </c>
      <c r="U5" s="47" t="s">
        <v>442</v>
      </c>
      <c r="V5" s="47" t="s">
        <v>443</v>
      </c>
      <c r="W5" s="47" t="s">
        <v>444</v>
      </c>
      <c r="X5" s="47" t="s">
        <v>445</v>
      </c>
      <c r="Y5" s="47" t="s">
        <v>446</v>
      </c>
      <c r="Z5" s="47" t="s">
        <v>447</v>
      </c>
      <c r="AA5" s="47" t="s">
        <v>448</v>
      </c>
      <c r="AB5" s="47" t="s">
        <v>449</v>
      </c>
      <c r="AC5" s="47" t="s">
        <v>450</v>
      </c>
      <c r="AD5" s="47" t="s">
        <v>451</v>
      </c>
      <c r="AE5" s="47" t="s">
        <v>452</v>
      </c>
      <c r="AF5" s="47" t="s">
        <v>453</v>
      </c>
      <c r="AG5" s="47" t="s">
        <v>454</v>
      </c>
      <c r="AH5" s="47" t="s">
        <v>455</v>
      </c>
      <c r="AI5" s="47" t="s">
        <v>456</v>
      </c>
      <c r="AJ5" s="47" t="s">
        <v>457</v>
      </c>
      <c r="AK5" s="47" t="s">
        <v>458</v>
      </c>
      <c r="AL5" s="66" t="s">
        <v>459</v>
      </c>
      <c r="AM5" s="65" t="s">
        <v>460</v>
      </c>
      <c r="AN5" s="50"/>
    </row>
    <row r="6" spans="1:40" ht="12" x14ac:dyDescent="0.2">
      <c r="A6" s="48" t="s">
        <v>461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462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31" t="s">
        <v>463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33"/>
      <c r="B10" s="32" t="s">
        <v>423</v>
      </c>
      <c r="C10" s="32" t="s">
        <v>424</v>
      </c>
      <c r="D10" s="32" t="s">
        <v>425</v>
      </c>
      <c r="E10" s="32" t="s">
        <v>426</v>
      </c>
      <c r="F10" s="32" t="s">
        <v>427</v>
      </c>
      <c r="G10" s="32" t="s">
        <v>428</v>
      </c>
      <c r="H10" s="32" t="s">
        <v>429</v>
      </c>
      <c r="I10" s="32" t="s">
        <v>430</v>
      </c>
      <c r="J10" s="32" t="s">
        <v>431</v>
      </c>
      <c r="K10" s="32" t="s">
        <v>432</v>
      </c>
      <c r="L10" s="32" t="s">
        <v>433</v>
      </c>
      <c r="M10" s="32" t="s">
        <v>434</v>
      </c>
      <c r="N10" s="32" t="s">
        <v>435</v>
      </c>
      <c r="O10" s="32" t="s">
        <v>436</v>
      </c>
      <c r="P10" s="32" t="s">
        <v>437</v>
      </c>
      <c r="Q10" s="32" t="s">
        <v>438</v>
      </c>
      <c r="R10" s="32" t="s">
        <v>439</v>
      </c>
      <c r="S10" s="32" t="s">
        <v>440</v>
      </c>
      <c r="T10" s="32" t="s">
        <v>441</v>
      </c>
      <c r="U10" s="32" t="s">
        <v>442</v>
      </c>
      <c r="V10" s="32" t="s">
        <v>443</v>
      </c>
      <c r="W10" s="32" t="s">
        <v>444</v>
      </c>
      <c r="X10" s="32" t="s">
        <v>445</v>
      </c>
      <c r="Y10" s="32" t="s">
        <v>446</v>
      </c>
      <c r="Z10" s="32" t="s">
        <v>447</v>
      </c>
      <c r="AA10" s="32" t="s">
        <v>448</v>
      </c>
      <c r="AB10" s="32" t="s">
        <v>449</v>
      </c>
      <c r="AC10" s="32" t="s">
        <v>450</v>
      </c>
      <c r="AD10" s="32" t="s">
        <v>451</v>
      </c>
      <c r="AE10" s="32" t="s">
        <v>452</v>
      </c>
      <c r="AF10" s="32" t="s">
        <v>453</v>
      </c>
      <c r="AG10" s="32" t="s">
        <v>454</v>
      </c>
      <c r="AH10" s="32" t="s">
        <v>455</v>
      </c>
      <c r="AI10" s="32" t="s">
        <v>456</v>
      </c>
      <c r="AJ10" s="64" t="s">
        <v>457</v>
      </c>
      <c r="AK10" s="63" t="s">
        <v>458</v>
      </c>
      <c r="AL10" s="47" t="s">
        <v>459</v>
      </c>
      <c r="AM10" s="72" t="s">
        <v>460</v>
      </c>
      <c r="AN10" s="68"/>
    </row>
    <row r="11" spans="1:40" x14ac:dyDescent="0.25">
      <c r="A11" s="42" t="s">
        <v>461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462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464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465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DE20E-5BDE-46F5-8689-B39F25CBDA85}">
  <dimension ref="A1:K48"/>
  <sheetViews>
    <sheetView topLeftCell="A10" workbookViewId="0">
      <selection activeCell="H50" sqref="H50"/>
    </sheetView>
  </sheetViews>
  <sheetFormatPr defaultRowHeight="15" x14ac:dyDescent="0.25"/>
  <cols>
    <col min="1" max="1" width="17" bestFit="1" customWidth="1"/>
    <col min="2" max="2" width="16.28515625" bestFit="1" customWidth="1"/>
    <col min="3" max="3" width="9.28515625" bestFit="1" customWidth="1"/>
    <col min="4" max="4" width="8.5703125" customWidth="1"/>
    <col min="5" max="5" width="11.28515625" bestFit="1" customWidth="1"/>
    <col min="8" max="8" width="12.42578125" customWidth="1"/>
  </cols>
  <sheetData>
    <row r="1" spans="1:5" x14ac:dyDescent="0.25">
      <c r="A1" s="129" t="s">
        <v>213</v>
      </c>
      <c r="B1" t="s">
        <v>31</v>
      </c>
    </row>
    <row r="3" spans="1:5" x14ac:dyDescent="0.25">
      <c r="A3" s="129" t="s">
        <v>466</v>
      </c>
      <c r="B3" s="129" t="s">
        <v>467</v>
      </c>
    </row>
    <row r="4" spans="1:5" x14ac:dyDescent="0.25">
      <c r="A4" s="129" t="s">
        <v>468</v>
      </c>
      <c r="B4" t="s">
        <v>33</v>
      </c>
      <c r="C4" t="s">
        <v>376</v>
      </c>
      <c r="D4" t="s">
        <v>42</v>
      </c>
      <c r="E4" t="s">
        <v>368</v>
      </c>
    </row>
    <row r="5" spans="1:5" x14ac:dyDescent="0.25">
      <c r="A5" s="79" t="s">
        <v>395</v>
      </c>
      <c r="B5">
        <v>4</v>
      </c>
      <c r="C5">
        <v>6</v>
      </c>
      <c r="D5">
        <v>1</v>
      </c>
      <c r="E5">
        <v>11</v>
      </c>
    </row>
    <row r="6" spans="1:5" x14ac:dyDescent="0.25">
      <c r="A6" s="79" t="s">
        <v>409</v>
      </c>
      <c r="C6">
        <v>2</v>
      </c>
      <c r="E6">
        <v>2</v>
      </c>
    </row>
    <row r="7" spans="1:5" x14ac:dyDescent="0.25">
      <c r="A7" s="79" t="s">
        <v>408</v>
      </c>
      <c r="B7">
        <v>2</v>
      </c>
      <c r="C7">
        <v>1</v>
      </c>
      <c r="E7">
        <v>3</v>
      </c>
    </row>
    <row r="8" spans="1:5" x14ac:dyDescent="0.25">
      <c r="A8" s="79" t="s">
        <v>410</v>
      </c>
      <c r="C8">
        <v>1</v>
      </c>
      <c r="E8">
        <v>1</v>
      </c>
    </row>
    <row r="9" spans="1:5" x14ac:dyDescent="0.25">
      <c r="A9" s="79" t="s">
        <v>396</v>
      </c>
      <c r="D9">
        <v>1</v>
      </c>
      <c r="E9">
        <v>1</v>
      </c>
    </row>
    <row r="10" spans="1:5" x14ac:dyDescent="0.25">
      <c r="A10" s="79" t="s">
        <v>411</v>
      </c>
      <c r="B10">
        <v>1</v>
      </c>
      <c r="E10">
        <v>1</v>
      </c>
    </row>
    <row r="11" spans="1:5" x14ac:dyDescent="0.25">
      <c r="A11" s="79" t="s">
        <v>402</v>
      </c>
      <c r="B11">
        <v>1</v>
      </c>
      <c r="E11">
        <v>1</v>
      </c>
    </row>
    <row r="12" spans="1:5" x14ac:dyDescent="0.25">
      <c r="A12" s="79" t="s">
        <v>403</v>
      </c>
      <c r="B12">
        <v>1</v>
      </c>
      <c r="E12">
        <v>1</v>
      </c>
    </row>
    <row r="13" spans="1:5" x14ac:dyDescent="0.25">
      <c r="A13" s="79" t="s">
        <v>394</v>
      </c>
      <c r="B13">
        <v>5</v>
      </c>
      <c r="C13">
        <v>7</v>
      </c>
      <c r="E13">
        <v>12</v>
      </c>
    </row>
    <row r="14" spans="1:5" x14ac:dyDescent="0.25">
      <c r="A14" s="79" t="s">
        <v>404</v>
      </c>
      <c r="C14">
        <v>1</v>
      </c>
      <c r="E14">
        <v>1</v>
      </c>
    </row>
    <row r="15" spans="1:5" x14ac:dyDescent="0.25">
      <c r="A15" s="79" t="s">
        <v>401</v>
      </c>
      <c r="B15">
        <v>1</v>
      </c>
      <c r="C15">
        <v>5</v>
      </c>
      <c r="E15">
        <v>6</v>
      </c>
    </row>
    <row r="16" spans="1:5" x14ac:dyDescent="0.25">
      <c r="A16" s="79" t="s">
        <v>405</v>
      </c>
      <c r="C16">
        <v>1</v>
      </c>
      <c r="E16">
        <v>1</v>
      </c>
    </row>
    <row r="17" spans="1:11" x14ac:dyDescent="0.25">
      <c r="A17" s="79" t="s">
        <v>400</v>
      </c>
      <c r="B17">
        <v>2</v>
      </c>
      <c r="C17">
        <v>6</v>
      </c>
      <c r="E17">
        <v>8</v>
      </c>
    </row>
    <row r="18" spans="1:11" x14ac:dyDescent="0.25">
      <c r="A18" s="79" t="s">
        <v>399</v>
      </c>
      <c r="C18">
        <v>4</v>
      </c>
      <c r="D18">
        <v>1</v>
      </c>
      <c r="E18">
        <v>5</v>
      </c>
    </row>
    <row r="19" spans="1:11" x14ac:dyDescent="0.25">
      <c r="A19" s="79" t="s">
        <v>397</v>
      </c>
      <c r="C19">
        <v>10</v>
      </c>
      <c r="E19">
        <v>10</v>
      </c>
    </row>
    <row r="20" spans="1:11" x14ac:dyDescent="0.25">
      <c r="A20" s="79" t="s">
        <v>406</v>
      </c>
      <c r="B20">
        <v>1</v>
      </c>
      <c r="E20">
        <v>1</v>
      </c>
    </row>
    <row r="21" spans="1:11" x14ac:dyDescent="0.25">
      <c r="A21" s="79" t="s">
        <v>398</v>
      </c>
      <c r="C21">
        <v>4</v>
      </c>
      <c r="D21">
        <v>2</v>
      </c>
      <c r="E21">
        <v>6</v>
      </c>
    </row>
    <row r="22" spans="1:11" x14ac:dyDescent="0.25">
      <c r="A22" s="79" t="s">
        <v>407</v>
      </c>
      <c r="B22">
        <v>1</v>
      </c>
      <c r="C22">
        <v>5</v>
      </c>
      <c r="D22">
        <v>1</v>
      </c>
      <c r="E22">
        <v>7</v>
      </c>
    </row>
    <row r="23" spans="1:11" x14ac:dyDescent="0.25">
      <c r="A23" s="79" t="s">
        <v>44</v>
      </c>
      <c r="D23">
        <v>1</v>
      </c>
      <c r="E23">
        <v>1</v>
      </c>
    </row>
    <row r="24" spans="1:11" x14ac:dyDescent="0.25">
      <c r="A24" s="79" t="s">
        <v>368</v>
      </c>
      <c r="B24">
        <v>19</v>
      </c>
      <c r="C24">
        <v>53</v>
      </c>
      <c r="D24">
        <v>7</v>
      </c>
      <c r="E24">
        <v>79</v>
      </c>
    </row>
    <row r="28" spans="1:11" x14ac:dyDescent="0.25">
      <c r="A28" t="s">
        <v>468</v>
      </c>
      <c r="B28" t="s">
        <v>33</v>
      </c>
      <c r="C28" t="s">
        <v>376</v>
      </c>
      <c r="D28" t="s">
        <v>42</v>
      </c>
      <c r="E28" t="s">
        <v>368</v>
      </c>
      <c r="F28" t="s">
        <v>469</v>
      </c>
      <c r="G28" t="s">
        <v>470</v>
      </c>
      <c r="H28" t="s">
        <v>471</v>
      </c>
      <c r="I28" t="s">
        <v>470</v>
      </c>
      <c r="J28" t="s">
        <v>472</v>
      </c>
      <c r="K28" t="s">
        <v>470</v>
      </c>
    </row>
    <row r="29" spans="1:11" x14ac:dyDescent="0.25">
      <c r="A29" t="s">
        <v>411</v>
      </c>
      <c r="B29">
        <v>1</v>
      </c>
      <c r="E29">
        <v>1</v>
      </c>
      <c r="F29">
        <f>E29</f>
        <v>1</v>
      </c>
      <c r="G29" s="357">
        <f>F29/$E$48</f>
        <v>1.2658227848101266E-2</v>
      </c>
      <c r="H29">
        <f>C29+D29</f>
        <v>0</v>
      </c>
      <c r="I29" s="357">
        <f>H29/$H$47</f>
        <v>0</v>
      </c>
      <c r="J29">
        <f>B29</f>
        <v>1</v>
      </c>
      <c r="K29" s="357">
        <f>J29/$J$47</f>
        <v>5.2631578947368418E-2</v>
      </c>
    </row>
    <row r="30" spans="1:11" x14ac:dyDescent="0.25">
      <c r="A30" t="s">
        <v>403</v>
      </c>
      <c r="B30">
        <v>1</v>
      </c>
      <c r="E30">
        <v>1</v>
      </c>
      <c r="F30">
        <f>F29+E30</f>
        <v>2</v>
      </c>
      <c r="G30" s="357">
        <f t="shared" ref="G30:G47" si="0">F30/$E$48</f>
        <v>2.5316455696202531E-2</v>
      </c>
      <c r="H30">
        <f>C30+D30+H29</f>
        <v>0</v>
      </c>
      <c r="I30" s="357">
        <f t="shared" ref="I30:I47" si="1">H30/$H$47</f>
        <v>0</v>
      </c>
      <c r="J30">
        <f>B30+J29</f>
        <v>2</v>
      </c>
      <c r="K30" s="357">
        <f t="shared" ref="K30:K47" si="2">J30/$J$47</f>
        <v>0.10526315789473684</v>
      </c>
    </row>
    <row r="31" spans="1:11" x14ac:dyDescent="0.25">
      <c r="A31" t="s">
        <v>394</v>
      </c>
      <c r="B31">
        <v>5</v>
      </c>
      <c r="C31">
        <v>7</v>
      </c>
      <c r="E31">
        <v>12</v>
      </c>
      <c r="F31">
        <f t="shared" ref="F31:F47" si="3">F30+E31</f>
        <v>14</v>
      </c>
      <c r="G31" s="357">
        <f t="shared" si="0"/>
        <v>0.17721518987341772</v>
      </c>
      <c r="H31">
        <f t="shared" ref="H31:H47" si="4">C31+D31+H30</f>
        <v>7</v>
      </c>
      <c r="I31" s="357">
        <f t="shared" si="1"/>
        <v>0.11666666666666667</v>
      </c>
      <c r="J31">
        <f t="shared" ref="J31:J47" si="5">B31+J30</f>
        <v>7</v>
      </c>
      <c r="K31" s="357">
        <f t="shared" si="2"/>
        <v>0.36842105263157893</v>
      </c>
    </row>
    <row r="32" spans="1:11" x14ac:dyDescent="0.25">
      <c r="A32" t="s">
        <v>401</v>
      </c>
      <c r="B32">
        <v>1</v>
      </c>
      <c r="C32">
        <v>5</v>
      </c>
      <c r="E32">
        <f>SUM(B32:C33)</f>
        <v>7</v>
      </c>
      <c r="F32">
        <f t="shared" si="3"/>
        <v>21</v>
      </c>
      <c r="G32" s="357">
        <f t="shared" si="0"/>
        <v>0.26582278481012656</v>
      </c>
      <c r="H32">
        <f t="shared" si="4"/>
        <v>12</v>
      </c>
      <c r="I32" s="357">
        <f t="shared" si="1"/>
        <v>0.2</v>
      </c>
      <c r="J32">
        <f t="shared" si="5"/>
        <v>8</v>
      </c>
      <c r="K32" s="357">
        <f t="shared" si="2"/>
        <v>0.42105263157894735</v>
      </c>
    </row>
    <row r="33" spans="1:11" x14ac:dyDescent="0.25">
      <c r="A33" t="s">
        <v>402</v>
      </c>
      <c r="B33">
        <v>1</v>
      </c>
      <c r="F33">
        <f t="shared" si="3"/>
        <v>21</v>
      </c>
      <c r="G33" s="357">
        <f t="shared" si="0"/>
        <v>0.26582278481012656</v>
      </c>
      <c r="H33">
        <f t="shared" si="4"/>
        <v>12</v>
      </c>
      <c r="I33" s="357">
        <f t="shared" si="1"/>
        <v>0.2</v>
      </c>
      <c r="J33">
        <v>8</v>
      </c>
      <c r="K33" s="357">
        <f t="shared" si="2"/>
        <v>0.42105263157894735</v>
      </c>
    </row>
    <row r="34" spans="1:11" x14ac:dyDescent="0.25">
      <c r="A34" t="s">
        <v>400</v>
      </c>
      <c r="B34">
        <v>2</v>
      </c>
      <c r="C34">
        <v>6</v>
      </c>
      <c r="E34">
        <v>8</v>
      </c>
      <c r="F34">
        <f t="shared" si="3"/>
        <v>29</v>
      </c>
      <c r="G34" s="357">
        <f t="shared" si="0"/>
        <v>0.36708860759493672</v>
      </c>
      <c r="H34">
        <f t="shared" si="4"/>
        <v>18</v>
      </c>
      <c r="I34" s="357">
        <f t="shared" si="1"/>
        <v>0.3</v>
      </c>
      <c r="J34">
        <v>11</v>
      </c>
      <c r="K34" s="357">
        <f t="shared" si="2"/>
        <v>0.57894736842105265</v>
      </c>
    </row>
    <row r="35" spans="1:11" x14ac:dyDescent="0.25">
      <c r="A35" t="s">
        <v>404</v>
      </c>
      <c r="C35">
        <v>1</v>
      </c>
      <c r="F35">
        <f t="shared" si="3"/>
        <v>29</v>
      </c>
      <c r="G35" s="357">
        <f t="shared" si="0"/>
        <v>0.36708860759493672</v>
      </c>
      <c r="H35">
        <v>18</v>
      </c>
      <c r="I35" s="357">
        <f t="shared" si="1"/>
        <v>0.3</v>
      </c>
      <c r="J35">
        <f t="shared" si="5"/>
        <v>11</v>
      </c>
      <c r="K35" s="357">
        <f t="shared" si="2"/>
        <v>0.57894736842105265</v>
      </c>
    </row>
    <row r="36" spans="1:11" x14ac:dyDescent="0.25">
      <c r="A36" t="s">
        <v>399</v>
      </c>
      <c r="C36">
        <v>4</v>
      </c>
      <c r="D36">
        <v>1</v>
      </c>
      <c r="E36">
        <f>SUM(B35:D36)</f>
        <v>6</v>
      </c>
      <c r="F36">
        <f t="shared" si="3"/>
        <v>35</v>
      </c>
      <c r="G36" s="357">
        <f t="shared" si="0"/>
        <v>0.44303797468354428</v>
      </c>
      <c r="H36">
        <v>24</v>
      </c>
      <c r="I36" s="357">
        <f t="shared" si="1"/>
        <v>0.4</v>
      </c>
      <c r="J36">
        <f t="shared" si="5"/>
        <v>11</v>
      </c>
      <c r="K36" s="357">
        <f t="shared" si="2"/>
        <v>0.57894736842105265</v>
      </c>
    </row>
    <row r="37" spans="1:11" x14ac:dyDescent="0.25">
      <c r="A37" t="s">
        <v>405</v>
      </c>
      <c r="C37">
        <v>1</v>
      </c>
      <c r="F37">
        <f t="shared" si="3"/>
        <v>35</v>
      </c>
      <c r="G37" s="357">
        <f t="shared" si="0"/>
        <v>0.44303797468354428</v>
      </c>
      <c r="H37">
        <v>24</v>
      </c>
      <c r="I37" s="357">
        <f t="shared" si="1"/>
        <v>0.4</v>
      </c>
      <c r="J37">
        <f t="shared" si="5"/>
        <v>11</v>
      </c>
      <c r="K37" s="357">
        <f t="shared" si="2"/>
        <v>0.57894736842105265</v>
      </c>
    </row>
    <row r="38" spans="1:11" x14ac:dyDescent="0.25">
      <c r="A38" t="s">
        <v>397</v>
      </c>
      <c r="C38">
        <v>10</v>
      </c>
      <c r="E38">
        <f>SUM(C37:D38)</f>
        <v>11</v>
      </c>
      <c r="F38">
        <f t="shared" si="3"/>
        <v>46</v>
      </c>
      <c r="G38" s="357">
        <f t="shared" si="0"/>
        <v>0.58227848101265822</v>
      </c>
      <c r="H38">
        <v>35</v>
      </c>
      <c r="I38" s="357">
        <f t="shared" si="1"/>
        <v>0.58333333333333337</v>
      </c>
      <c r="J38">
        <f t="shared" si="5"/>
        <v>11</v>
      </c>
      <c r="K38" s="357">
        <f t="shared" si="2"/>
        <v>0.57894736842105265</v>
      </c>
    </row>
    <row r="39" spans="1:11" x14ac:dyDescent="0.25">
      <c r="A39" t="s">
        <v>398</v>
      </c>
      <c r="C39">
        <v>4</v>
      </c>
      <c r="D39">
        <v>2</v>
      </c>
      <c r="E39">
        <v>6</v>
      </c>
      <c r="F39">
        <f t="shared" si="3"/>
        <v>52</v>
      </c>
      <c r="G39" s="357">
        <f t="shared" si="0"/>
        <v>0.65822784810126578</v>
      </c>
      <c r="H39">
        <f t="shared" si="4"/>
        <v>41</v>
      </c>
      <c r="I39" s="357">
        <f t="shared" si="1"/>
        <v>0.68333333333333335</v>
      </c>
      <c r="J39">
        <f t="shared" si="5"/>
        <v>11</v>
      </c>
      <c r="K39" s="357">
        <f t="shared" si="2"/>
        <v>0.57894736842105265</v>
      </c>
    </row>
    <row r="40" spans="1:11" x14ac:dyDescent="0.25">
      <c r="A40" t="s">
        <v>406</v>
      </c>
      <c r="B40">
        <v>1</v>
      </c>
      <c r="F40">
        <f t="shared" si="3"/>
        <v>52</v>
      </c>
      <c r="G40" s="357">
        <f t="shared" si="0"/>
        <v>0.65822784810126578</v>
      </c>
      <c r="H40">
        <f t="shared" si="4"/>
        <v>41</v>
      </c>
      <c r="I40" s="357">
        <f t="shared" si="1"/>
        <v>0.68333333333333335</v>
      </c>
      <c r="J40">
        <v>11</v>
      </c>
      <c r="K40" s="357">
        <f t="shared" si="2"/>
        <v>0.57894736842105265</v>
      </c>
    </row>
    <row r="41" spans="1:11" x14ac:dyDescent="0.25">
      <c r="A41" t="s">
        <v>407</v>
      </c>
      <c r="B41">
        <v>1</v>
      </c>
      <c r="C41">
        <v>5</v>
      </c>
      <c r="D41">
        <v>1</v>
      </c>
      <c r="E41">
        <f>SUM(B40:D41)</f>
        <v>8</v>
      </c>
      <c r="F41">
        <f t="shared" si="3"/>
        <v>60</v>
      </c>
      <c r="G41" s="357">
        <f t="shared" si="0"/>
        <v>0.759493670886076</v>
      </c>
      <c r="H41">
        <f t="shared" si="4"/>
        <v>47</v>
      </c>
      <c r="I41" s="357">
        <f t="shared" si="1"/>
        <v>0.78333333333333333</v>
      </c>
      <c r="J41">
        <v>13</v>
      </c>
      <c r="K41" s="357">
        <f t="shared" si="2"/>
        <v>0.68421052631578949</v>
      </c>
    </row>
    <row r="42" spans="1:11" x14ac:dyDescent="0.25">
      <c r="A42" t="s">
        <v>395</v>
      </c>
      <c r="B42">
        <v>4</v>
      </c>
      <c r="C42">
        <v>6</v>
      </c>
      <c r="D42">
        <v>1</v>
      </c>
      <c r="E42">
        <v>11</v>
      </c>
      <c r="F42">
        <f t="shared" si="3"/>
        <v>71</v>
      </c>
      <c r="G42" s="357">
        <f t="shared" si="0"/>
        <v>0.89873417721518989</v>
      </c>
      <c r="H42">
        <f t="shared" si="4"/>
        <v>54</v>
      </c>
      <c r="I42" s="357">
        <f t="shared" si="1"/>
        <v>0.9</v>
      </c>
      <c r="J42">
        <f t="shared" si="5"/>
        <v>17</v>
      </c>
      <c r="K42" s="357">
        <f t="shared" si="2"/>
        <v>0.89473684210526316</v>
      </c>
    </row>
    <row r="43" spans="1:11" x14ac:dyDescent="0.25">
      <c r="A43" t="s">
        <v>409</v>
      </c>
      <c r="C43">
        <v>2</v>
      </c>
      <c r="E43">
        <v>2</v>
      </c>
      <c r="F43">
        <f t="shared" si="3"/>
        <v>73</v>
      </c>
      <c r="G43" s="357">
        <f t="shared" si="0"/>
        <v>0.92405063291139244</v>
      </c>
      <c r="H43">
        <f t="shared" si="4"/>
        <v>56</v>
      </c>
      <c r="I43" s="357">
        <f t="shared" si="1"/>
        <v>0.93333333333333335</v>
      </c>
      <c r="J43">
        <f t="shared" si="5"/>
        <v>17</v>
      </c>
      <c r="K43" s="357">
        <f t="shared" si="2"/>
        <v>0.89473684210526316</v>
      </c>
    </row>
    <row r="44" spans="1:11" x14ac:dyDescent="0.25">
      <c r="A44" t="s">
        <v>408</v>
      </c>
      <c r="B44">
        <v>2</v>
      </c>
      <c r="C44">
        <v>1</v>
      </c>
      <c r="E44">
        <v>3</v>
      </c>
      <c r="F44">
        <f t="shared" si="3"/>
        <v>76</v>
      </c>
      <c r="G44" s="357">
        <f t="shared" si="0"/>
        <v>0.96202531645569622</v>
      </c>
      <c r="H44">
        <f t="shared" si="4"/>
        <v>57</v>
      </c>
      <c r="I44" s="357">
        <f t="shared" si="1"/>
        <v>0.95</v>
      </c>
      <c r="J44">
        <f t="shared" si="5"/>
        <v>19</v>
      </c>
      <c r="K44" s="357">
        <f t="shared" si="2"/>
        <v>1</v>
      </c>
    </row>
    <row r="45" spans="1:11" x14ac:dyDescent="0.25">
      <c r="A45" t="s">
        <v>410</v>
      </c>
      <c r="C45">
        <v>1</v>
      </c>
      <c r="E45">
        <v>1</v>
      </c>
      <c r="F45">
        <f t="shared" si="3"/>
        <v>77</v>
      </c>
      <c r="G45" s="357">
        <f t="shared" si="0"/>
        <v>0.97468354430379744</v>
      </c>
      <c r="H45">
        <f t="shared" si="4"/>
        <v>58</v>
      </c>
      <c r="I45" s="357">
        <f t="shared" si="1"/>
        <v>0.96666666666666667</v>
      </c>
      <c r="J45">
        <f t="shared" si="5"/>
        <v>19</v>
      </c>
      <c r="K45" s="357">
        <f t="shared" si="2"/>
        <v>1</v>
      </c>
    </row>
    <row r="46" spans="1:11" x14ac:dyDescent="0.25">
      <c r="A46" t="s">
        <v>396</v>
      </c>
      <c r="D46">
        <v>1</v>
      </c>
      <c r="E46">
        <v>1</v>
      </c>
      <c r="F46">
        <f t="shared" si="3"/>
        <v>78</v>
      </c>
      <c r="G46" s="357">
        <f t="shared" si="0"/>
        <v>0.98734177215189878</v>
      </c>
      <c r="H46">
        <f t="shared" si="4"/>
        <v>59</v>
      </c>
      <c r="I46" s="357">
        <f t="shared" si="1"/>
        <v>0.98333333333333328</v>
      </c>
      <c r="J46">
        <f t="shared" si="5"/>
        <v>19</v>
      </c>
      <c r="K46" s="357">
        <f t="shared" si="2"/>
        <v>1</v>
      </c>
    </row>
    <row r="47" spans="1:11" x14ac:dyDescent="0.25">
      <c r="A47" t="s">
        <v>44</v>
      </c>
      <c r="D47">
        <v>1</v>
      </c>
      <c r="E47">
        <v>1</v>
      </c>
      <c r="F47">
        <f t="shared" si="3"/>
        <v>79</v>
      </c>
      <c r="G47" s="357">
        <f t="shared" si="0"/>
        <v>1</v>
      </c>
      <c r="H47">
        <f t="shared" si="4"/>
        <v>60</v>
      </c>
      <c r="I47" s="357">
        <f t="shared" si="1"/>
        <v>1</v>
      </c>
      <c r="J47">
        <f t="shared" si="5"/>
        <v>19</v>
      </c>
      <c r="K47" s="357">
        <f t="shared" si="2"/>
        <v>1</v>
      </c>
    </row>
    <row r="48" spans="1:11" x14ac:dyDescent="0.25">
      <c r="A48" t="s">
        <v>368</v>
      </c>
      <c r="B48">
        <v>19</v>
      </c>
      <c r="C48">
        <v>53</v>
      </c>
      <c r="D48">
        <v>7</v>
      </c>
      <c r="E48">
        <v>79</v>
      </c>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EDEB2-75D3-4AB2-A004-8BDF626ED7F1}">
  <dimension ref="A3:E46"/>
  <sheetViews>
    <sheetView workbookViewId="0">
      <selection activeCell="J41" sqref="J41"/>
    </sheetView>
  </sheetViews>
  <sheetFormatPr defaultRowHeight="15" x14ac:dyDescent="0.25"/>
  <cols>
    <col min="1" max="1" width="13.140625" bestFit="1" customWidth="1"/>
    <col min="2" max="2" width="21.85546875" bestFit="1" customWidth="1"/>
  </cols>
  <sheetData>
    <row r="3" spans="1:2" x14ac:dyDescent="0.25">
      <c r="A3" s="129" t="s">
        <v>468</v>
      </c>
      <c r="B3" t="s">
        <v>473</v>
      </c>
    </row>
    <row r="4" spans="1:2" x14ac:dyDescent="0.25">
      <c r="A4" s="79">
        <v>0</v>
      </c>
      <c r="B4">
        <v>5</v>
      </c>
    </row>
    <row r="5" spans="1:2" x14ac:dyDescent="0.25">
      <c r="A5" s="79" t="s">
        <v>395</v>
      </c>
      <c r="B5">
        <v>107</v>
      </c>
    </row>
    <row r="6" spans="1:2" x14ac:dyDescent="0.25">
      <c r="A6" s="79" t="s">
        <v>409</v>
      </c>
      <c r="B6">
        <v>14</v>
      </c>
    </row>
    <row r="7" spans="1:2" x14ac:dyDescent="0.25">
      <c r="A7" s="79" t="s">
        <v>408</v>
      </c>
      <c r="B7">
        <v>5</v>
      </c>
    </row>
    <row r="8" spans="1:2" x14ac:dyDescent="0.25">
      <c r="A8" s="79" t="s">
        <v>410</v>
      </c>
      <c r="B8">
        <v>1</v>
      </c>
    </row>
    <row r="9" spans="1:2" x14ac:dyDescent="0.25">
      <c r="A9" s="79" t="s">
        <v>396</v>
      </c>
      <c r="B9">
        <v>11</v>
      </c>
    </row>
    <row r="10" spans="1:2" x14ac:dyDescent="0.25">
      <c r="A10" s="79" t="s">
        <v>403</v>
      </c>
      <c r="B10">
        <v>1</v>
      </c>
    </row>
    <row r="11" spans="1:2" x14ac:dyDescent="0.25">
      <c r="A11" s="79" t="s">
        <v>394</v>
      </c>
      <c r="B11">
        <v>336</v>
      </c>
    </row>
    <row r="12" spans="1:2" x14ac:dyDescent="0.25">
      <c r="A12" s="79" t="s">
        <v>401</v>
      </c>
      <c r="B12">
        <v>82</v>
      </c>
    </row>
    <row r="13" spans="1:2" x14ac:dyDescent="0.25">
      <c r="A13" s="79" t="s">
        <v>400</v>
      </c>
      <c r="B13">
        <v>89</v>
      </c>
    </row>
    <row r="14" spans="1:2" x14ac:dyDescent="0.25">
      <c r="A14" s="79" t="s">
        <v>399</v>
      </c>
      <c r="B14">
        <v>70</v>
      </c>
    </row>
    <row r="15" spans="1:2" x14ac:dyDescent="0.25">
      <c r="A15" s="79" t="s">
        <v>397</v>
      </c>
      <c r="B15">
        <v>139</v>
      </c>
    </row>
    <row r="16" spans="1:2" x14ac:dyDescent="0.25">
      <c r="A16" s="79" t="s">
        <v>398</v>
      </c>
      <c r="B16">
        <v>153</v>
      </c>
    </row>
    <row r="17" spans="1:4" x14ac:dyDescent="0.25">
      <c r="A17" s="79" t="s">
        <v>407</v>
      </c>
      <c r="B17">
        <v>105</v>
      </c>
    </row>
    <row r="18" spans="1:4" x14ac:dyDescent="0.25">
      <c r="A18" s="79" t="s">
        <v>44</v>
      </c>
      <c r="B18">
        <v>23</v>
      </c>
    </row>
    <row r="19" spans="1:4" x14ac:dyDescent="0.25">
      <c r="A19" s="79" t="s">
        <v>402</v>
      </c>
      <c r="B19">
        <v>4</v>
      </c>
    </row>
    <row r="20" spans="1:4" x14ac:dyDescent="0.25">
      <c r="A20" s="79" t="s">
        <v>406</v>
      </c>
      <c r="B20">
        <v>3</v>
      </c>
    </row>
    <row r="21" spans="1:4" x14ac:dyDescent="0.25">
      <c r="A21" s="79" t="s">
        <v>404</v>
      </c>
      <c r="B21">
        <v>8</v>
      </c>
    </row>
    <row r="22" spans="1:4" x14ac:dyDescent="0.25">
      <c r="A22" s="79" t="s">
        <v>405</v>
      </c>
      <c r="B22">
        <v>8</v>
      </c>
    </row>
    <row r="23" spans="1:4" x14ac:dyDescent="0.25">
      <c r="A23" s="79" t="s">
        <v>411</v>
      </c>
      <c r="B23">
        <v>5</v>
      </c>
    </row>
    <row r="24" spans="1:4" x14ac:dyDescent="0.25">
      <c r="A24" s="79" t="s">
        <v>368</v>
      </c>
      <c r="B24">
        <v>1169</v>
      </c>
    </row>
    <row r="29" spans="1:4" x14ac:dyDescent="0.25">
      <c r="A29" t="s">
        <v>468</v>
      </c>
      <c r="B29" t="s">
        <v>473</v>
      </c>
      <c r="C29" t="s">
        <v>469</v>
      </c>
      <c r="D29" t="s">
        <v>474</v>
      </c>
    </row>
    <row r="30" spans="1:4" x14ac:dyDescent="0.25">
      <c r="A30">
        <v>0</v>
      </c>
      <c r="B30">
        <v>5</v>
      </c>
      <c r="C30">
        <f>B30</f>
        <v>5</v>
      </c>
      <c r="D30" s="357">
        <f t="shared" ref="D30:D45" si="0">C30/$B$46</f>
        <v>4.2771599657827203E-3</v>
      </c>
    </row>
    <row r="31" spans="1:4" x14ac:dyDescent="0.25">
      <c r="A31" t="s">
        <v>411</v>
      </c>
      <c r="B31">
        <v>5</v>
      </c>
      <c r="C31">
        <f>B31+C30</f>
        <v>10</v>
      </c>
      <c r="D31" s="357">
        <f t="shared" si="0"/>
        <v>8.5543199315654406E-3</v>
      </c>
    </row>
    <row r="32" spans="1:4" x14ac:dyDescent="0.25">
      <c r="A32" s="79" t="s">
        <v>403</v>
      </c>
      <c r="B32">
        <v>1</v>
      </c>
      <c r="C32">
        <f t="shared" ref="C32:C45" si="1">B32+C31</f>
        <v>11</v>
      </c>
      <c r="D32" s="357">
        <f t="shared" si="0"/>
        <v>9.4097519247219839E-3</v>
      </c>
    </row>
    <row r="33" spans="1:5" x14ac:dyDescent="0.25">
      <c r="A33" s="79" t="s">
        <v>394</v>
      </c>
      <c r="B33">
        <v>336</v>
      </c>
      <c r="C33">
        <f t="shared" si="1"/>
        <v>347</v>
      </c>
      <c r="D33" s="357">
        <f t="shared" si="0"/>
        <v>0.29683490162532078</v>
      </c>
    </row>
    <row r="34" spans="1:5" x14ac:dyDescent="0.25">
      <c r="A34" s="79" t="s">
        <v>401</v>
      </c>
      <c r="B34">
        <v>86</v>
      </c>
      <c r="C34">
        <f t="shared" si="1"/>
        <v>433</v>
      </c>
      <c r="D34" s="357">
        <f t="shared" si="0"/>
        <v>0.37040205303678359</v>
      </c>
    </row>
    <row r="35" spans="1:5" x14ac:dyDescent="0.25">
      <c r="A35" s="79" t="s">
        <v>400</v>
      </c>
      <c r="B35">
        <v>89</v>
      </c>
      <c r="C35">
        <f t="shared" si="1"/>
        <v>522</v>
      </c>
      <c r="D35" s="357">
        <f t="shared" si="0"/>
        <v>0.446535500427716</v>
      </c>
    </row>
    <row r="36" spans="1:5" x14ac:dyDescent="0.25">
      <c r="A36" s="79" t="s">
        <v>399</v>
      </c>
      <c r="B36">
        <v>78</v>
      </c>
      <c r="C36">
        <f t="shared" si="1"/>
        <v>600</v>
      </c>
      <c r="D36" s="357">
        <f t="shared" si="0"/>
        <v>0.51325919589392643</v>
      </c>
    </row>
    <row r="37" spans="1:5" x14ac:dyDescent="0.25">
      <c r="A37" s="79" t="s">
        <v>397</v>
      </c>
      <c r="B37">
        <v>147</v>
      </c>
      <c r="C37">
        <f t="shared" si="1"/>
        <v>747</v>
      </c>
      <c r="D37" s="357">
        <f t="shared" si="0"/>
        <v>0.6390076988879384</v>
      </c>
    </row>
    <row r="38" spans="1:5" x14ac:dyDescent="0.25">
      <c r="A38" s="79" t="s">
        <v>398</v>
      </c>
      <c r="B38">
        <v>153</v>
      </c>
      <c r="C38">
        <f t="shared" si="1"/>
        <v>900</v>
      </c>
      <c r="D38" s="357">
        <f t="shared" si="0"/>
        <v>0.7698887938408896</v>
      </c>
    </row>
    <row r="39" spans="1:5" x14ac:dyDescent="0.25">
      <c r="A39" s="79" t="s">
        <v>407</v>
      </c>
      <c r="B39">
        <v>108</v>
      </c>
      <c r="C39">
        <f t="shared" si="1"/>
        <v>1008</v>
      </c>
      <c r="D39" s="357">
        <f t="shared" si="0"/>
        <v>0.86227544910179643</v>
      </c>
    </row>
    <row r="40" spans="1:5" x14ac:dyDescent="0.25">
      <c r="A40" t="s">
        <v>395</v>
      </c>
      <c r="B40">
        <v>107</v>
      </c>
      <c r="C40">
        <f t="shared" si="1"/>
        <v>1115</v>
      </c>
      <c r="D40" s="357">
        <f t="shared" si="0"/>
        <v>0.95380667236954664</v>
      </c>
    </row>
    <row r="41" spans="1:5" x14ac:dyDescent="0.25">
      <c r="A41" t="s">
        <v>409</v>
      </c>
      <c r="B41">
        <v>14</v>
      </c>
      <c r="C41">
        <f t="shared" si="1"/>
        <v>1129</v>
      </c>
      <c r="D41" s="357">
        <f t="shared" si="0"/>
        <v>0.96578272027373824</v>
      </c>
    </row>
    <row r="42" spans="1:5" x14ac:dyDescent="0.25">
      <c r="A42" t="s">
        <v>408</v>
      </c>
      <c r="B42">
        <v>5</v>
      </c>
      <c r="C42">
        <f t="shared" si="1"/>
        <v>1134</v>
      </c>
      <c r="D42" s="357">
        <f t="shared" si="0"/>
        <v>0.97005988023952094</v>
      </c>
    </row>
    <row r="43" spans="1:5" x14ac:dyDescent="0.25">
      <c r="A43" t="s">
        <v>410</v>
      </c>
      <c r="B43">
        <v>1</v>
      </c>
      <c r="C43">
        <f t="shared" si="1"/>
        <v>1135</v>
      </c>
      <c r="D43" s="357">
        <f t="shared" si="0"/>
        <v>0.97091531223267746</v>
      </c>
    </row>
    <row r="44" spans="1:5" x14ac:dyDescent="0.25">
      <c r="A44" t="s">
        <v>396</v>
      </c>
      <c r="B44">
        <v>11</v>
      </c>
      <c r="C44">
        <f t="shared" si="1"/>
        <v>1146</v>
      </c>
      <c r="D44" s="357">
        <f t="shared" si="0"/>
        <v>0.98032506415739951</v>
      </c>
    </row>
    <row r="45" spans="1:5" x14ac:dyDescent="0.25">
      <c r="A45" t="s">
        <v>44</v>
      </c>
      <c r="B45">
        <v>23</v>
      </c>
      <c r="C45">
        <f t="shared" si="1"/>
        <v>1169</v>
      </c>
      <c r="D45" s="357">
        <f t="shared" si="0"/>
        <v>1</v>
      </c>
      <c r="E45" t="s">
        <v>475</v>
      </c>
    </row>
    <row r="46" spans="1:5" x14ac:dyDescent="0.25">
      <c r="A46" t="s">
        <v>368</v>
      </c>
      <c r="B46">
        <v>1169</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Q3" sqref="Q3"/>
    </sheetView>
  </sheetViews>
  <sheetFormatPr defaultColWidth="15" defaultRowHeight="12.75" x14ac:dyDescent="0.2"/>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476</v>
      </c>
      <c r="B1" s="150" t="s">
        <v>477</v>
      </c>
      <c r="C1" s="151" t="s">
        <v>478</v>
      </c>
      <c r="D1" s="151" t="s">
        <v>479</v>
      </c>
      <c r="E1" s="151" t="s">
        <v>480</v>
      </c>
      <c r="F1" s="151" t="s">
        <v>481</v>
      </c>
      <c r="G1" s="151" t="s">
        <v>482</v>
      </c>
      <c r="H1" s="151" t="s">
        <v>483</v>
      </c>
      <c r="I1" s="151" t="s">
        <v>484</v>
      </c>
      <c r="J1" s="151" t="s">
        <v>485</v>
      </c>
      <c r="K1" s="151" t="s">
        <v>486</v>
      </c>
      <c r="L1" s="151" t="s">
        <v>487</v>
      </c>
      <c r="M1" s="151" t="s">
        <v>488</v>
      </c>
      <c r="N1" s="151" t="s">
        <v>489</v>
      </c>
      <c r="O1" s="151" t="s">
        <v>490</v>
      </c>
      <c r="P1" s="151" t="s">
        <v>491</v>
      </c>
      <c r="Q1" s="151" t="s">
        <v>492</v>
      </c>
      <c r="R1" s="151" t="s">
        <v>493</v>
      </c>
      <c r="S1" s="151" t="s">
        <v>494</v>
      </c>
      <c r="T1" s="151" t="s">
        <v>495</v>
      </c>
      <c r="U1" s="151" t="s">
        <v>496</v>
      </c>
      <c r="V1" s="151" t="s">
        <v>497</v>
      </c>
      <c r="W1" s="151" t="s">
        <v>498</v>
      </c>
      <c r="X1" s="151" t="s">
        <v>499</v>
      </c>
      <c r="Y1" s="151" t="s">
        <v>500</v>
      </c>
      <c r="Z1" s="151" t="s">
        <v>501</v>
      </c>
      <c r="AA1" s="151" t="s">
        <v>502</v>
      </c>
      <c r="AB1" s="151" t="s">
        <v>503</v>
      </c>
      <c r="AC1" s="151" t="s">
        <v>504</v>
      </c>
      <c r="AD1" s="151" t="s">
        <v>505</v>
      </c>
      <c r="AE1" s="151" t="s">
        <v>506</v>
      </c>
      <c r="AF1" s="151" t="s">
        <v>507</v>
      </c>
      <c r="AG1" s="151" t="s">
        <v>508</v>
      </c>
      <c r="AH1" s="151" t="s">
        <v>509</v>
      </c>
      <c r="AI1" s="151" t="s">
        <v>510</v>
      </c>
      <c r="AJ1" s="151" t="s">
        <v>511</v>
      </c>
      <c r="AK1" s="151" t="s">
        <v>512</v>
      </c>
      <c r="AL1" s="151" t="s">
        <v>513</v>
      </c>
      <c r="AM1" s="151" t="s">
        <v>514</v>
      </c>
      <c r="AN1" s="151" t="s">
        <v>515</v>
      </c>
      <c r="AO1" s="151" t="s">
        <v>516</v>
      </c>
      <c r="AP1" s="151" t="s">
        <v>517</v>
      </c>
      <c r="AQ1" s="151" t="s">
        <v>518</v>
      </c>
      <c r="AR1" s="151" t="s">
        <v>519</v>
      </c>
      <c r="AS1" s="151" t="s">
        <v>520</v>
      </c>
      <c r="AT1" s="151" t="s">
        <v>521</v>
      </c>
      <c r="AU1" s="151" t="s">
        <v>522</v>
      </c>
      <c r="AV1" s="151" t="s">
        <v>523</v>
      </c>
      <c r="AW1" s="151" t="s">
        <v>524</v>
      </c>
      <c r="AX1" s="151" t="s">
        <v>525</v>
      </c>
      <c r="AY1" s="151" t="s">
        <v>526</v>
      </c>
      <c r="AZ1" s="151" t="s">
        <v>527</v>
      </c>
      <c r="BA1" s="151" t="s">
        <v>528</v>
      </c>
      <c r="BB1" s="152" t="s">
        <v>529</v>
      </c>
    </row>
    <row r="2" spans="1:54" s="134" customFormat="1" x14ac:dyDescent="0.2">
      <c r="A2" s="146" t="s">
        <v>462</v>
      </c>
      <c r="B2" s="445">
        <v>0.1</v>
      </c>
      <c r="C2" s="446">
        <v>0.15</v>
      </c>
      <c r="D2" s="446">
        <v>0.17</v>
      </c>
      <c r="E2" s="446">
        <v>0.23</v>
      </c>
      <c r="F2" s="446">
        <v>0.28000000000000003</v>
      </c>
      <c r="G2" s="446">
        <v>0.35</v>
      </c>
      <c r="H2" s="446">
        <v>0.4</v>
      </c>
      <c r="I2" s="446">
        <v>0.45</v>
      </c>
      <c r="J2" s="446">
        <v>0.5</v>
      </c>
      <c r="K2" s="446">
        <v>0.57999999999999996</v>
      </c>
      <c r="L2" s="446">
        <v>0.62</v>
      </c>
      <c r="M2" s="446">
        <v>0.68</v>
      </c>
      <c r="N2" s="446">
        <v>0.71000000000000008</v>
      </c>
      <c r="O2" s="446">
        <v>0.7400000000000001</v>
      </c>
      <c r="P2" s="446">
        <v>0.75000000000000011</v>
      </c>
      <c r="Q2" s="446">
        <v>0.76000000000000012</v>
      </c>
      <c r="R2" s="446">
        <v>0.79000000000000015</v>
      </c>
      <c r="S2" s="446">
        <v>0.82000000000000017</v>
      </c>
      <c r="T2" s="446">
        <v>0.8500000000000002</v>
      </c>
      <c r="U2" s="446">
        <v>0.88000000000000023</v>
      </c>
      <c r="V2" s="446">
        <v>0.91000000000000025</v>
      </c>
      <c r="W2" s="446">
        <v>0.94000000000000028</v>
      </c>
      <c r="X2" s="446">
        <v>0.97000000000000031</v>
      </c>
      <c r="Y2" s="446">
        <v>1.0000000000000002</v>
      </c>
      <c r="Z2" s="446"/>
      <c r="AA2" s="446"/>
      <c r="AB2" s="446"/>
      <c r="AC2" s="446"/>
      <c r="AD2" s="446"/>
      <c r="AE2" s="446"/>
      <c r="AF2" s="446"/>
      <c r="AG2" s="446"/>
      <c r="AH2" s="446"/>
      <c r="AI2" s="446"/>
      <c r="AJ2" s="446"/>
      <c r="AK2" s="446"/>
      <c r="AL2" s="446"/>
      <c r="AM2" s="147"/>
      <c r="AN2" s="147"/>
      <c r="AO2" s="147"/>
      <c r="AP2" s="147"/>
      <c r="AQ2" s="147"/>
      <c r="AR2" s="147"/>
      <c r="AS2" s="147"/>
      <c r="AT2" s="147"/>
      <c r="AU2" s="147"/>
      <c r="AV2" s="147"/>
      <c r="AW2" s="147"/>
      <c r="AX2" s="147"/>
      <c r="AY2" s="147"/>
      <c r="AZ2" s="147"/>
      <c r="BA2" s="147"/>
      <c r="BB2" s="148"/>
    </row>
    <row r="3" spans="1:54" s="134" customFormat="1" x14ac:dyDescent="0.2">
      <c r="A3" s="143" t="s">
        <v>465</v>
      </c>
      <c r="B3" s="447"/>
      <c r="C3" s="448"/>
      <c r="D3" s="448"/>
      <c r="E3" s="448"/>
      <c r="F3" s="448"/>
      <c r="G3" s="448"/>
      <c r="H3" s="448"/>
      <c r="I3" s="448"/>
      <c r="J3" s="448"/>
      <c r="K3" s="448"/>
      <c r="L3" s="448">
        <v>0.1</v>
      </c>
      <c r="M3" s="448">
        <v>0.15</v>
      </c>
      <c r="N3" s="448">
        <v>0.2</v>
      </c>
      <c r="O3" s="448">
        <v>0.3</v>
      </c>
      <c r="P3" s="448">
        <v>0.35</v>
      </c>
      <c r="Q3" s="448">
        <v>0.4</v>
      </c>
      <c r="R3" s="448">
        <v>0.4</v>
      </c>
      <c r="S3" s="448">
        <v>0.4</v>
      </c>
      <c r="T3" s="448">
        <v>0.4</v>
      </c>
      <c r="U3" s="448">
        <v>0.4</v>
      </c>
      <c r="V3" s="448">
        <v>0.5</v>
      </c>
      <c r="W3" s="448">
        <v>0.6</v>
      </c>
      <c r="X3" s="448">
        <v>0.65</v>
      </c>
      <c r="Y3" s="448">
        <v>0.7</v>
      </c>
      <c r="Z3" s="448">
        <v>0.8</v>
      </c>
      <c r="AA3" s="448">
        <v>0.9</v>
      </c>
      <c r="AB3" s="448">
        <v>1</v>
      </c>
      <c r="AC3" s="448"/>
      <c r="AD3" s="448"/>
      <c r="AE3" s="448"/>
      <c r="AF3" s="448"/>
      <c r="AG3" s="448"/>
      <c r="AH3" s="448"/>
      <c r="AI3" s="448"/>
      <c r="AJ3" s="448"/>
      <c r="AK3" s="448"/>
      <c r="AL3" s="448"/>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449"/>
      <c r="C4" s="450"/>
      <c r="D4" s="450"/>
      <c r="E4" s="450"/>
      <c r="F4" s="450"/>
      <c r="G4" s="450"/>
      <c r="H4" s="450"/>
      <c r="I4" s="450"/>
      <c r="J4" s="450"/>
      <c r="K4" s="450"/>
      <c r="L4" s="450"/>
      <c r="M4" s="450"/>
      <c r="N4" s="450"/>
      <c r="O4" s="450"/>
      <c r="P4" s="450"/>
      <c r="Q4" s="450"/>
      <c r="R4" s="450"/>
      <c r="S4" s="450"/>
      <c r="T4" s="450"/>
      <c r="U4" s="450"/>
      <c r="V4" s="450"/>
      <c r="W4" s="450"/>
      <c r="X4" s="450"/>
      <c r="Y4" s="450"/>
      <c r="Z4" s="450"/>
      <c r="AA4" s="450"/>
      <c r="AB4" s="450">
        <v>0.05</v>
      </c>
      <c r="AC4" s="450">
        <v>0.2</v>
      </c>
      <c r="AD4" s="450">
        <v>0.3</v>
      </c>
      <c r="AE4" s="450">
        <v>0.5</v>
      </c>
      <c r="AF4" s="450">
        <v>0.6</v>
      </c>
      <c r="AG4" s="450">
        <v>0.65</v>
      </c>
      <c r="AH4" s="450">
        <v>0.7</v>
      </c>
      <c r="AI4" s="450">
        <v>0.85</v>
      </c>
      <c r="AJ4" s="450">
        <v>0.9</v>
      </c>
      <c r="AK4" s="450">
        <v>0.95</v>
      </c>
      <c r="AL4" s="450">
        <v>1</v>
      </c>
      <c r="AM4" s="138"/>
      <c r="AN4" s="138"/>
      <c r="AO4" s="138"/>
      <c r="AP4" s="138"/>
      <c r="AQ4" s="138"/>
      <c r="AR4" s="138"/>
      <c r="AS4" s="138"/>
      <c r="AT4" s="138"/>
      <c r="AU4" s="138"/>
      <c r="AV4" s="138"/>
      <c r="AW4" s="138"/>
      <c r="AX4" s="138"/>
      <c r="AY4" s="138"/>
      <c r="AZ4" s="138"/>
      <c r="BA4" s="138"/>
      <c r="BB4" s="139"/>
    </row>
    <row r="5" spans="1:54" x14ac:dyDescent="0.2">
      <c r="A5" s="153" t="s">
        <v>463</v>
      </c>
      <c r="B5" s="451">
        <v>5</v>
      </c>
      <c r="C5" s="452">
        <v>6</v>
      </c>
      <c r="D5" s="452">
        <v>7</v>
      </c>
      <c r="E5" s="452">
        <v>8</v>
      </c>
      <c r="F5" s="452">
        <v>9</v>
      </c>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3"/>
      <c r="AG5" s="454"/>
      <c r="AH5" s="453"/>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462</v>
      </c>
      <c r="B6" s="447">
        <v>0.08</v>
      </c>
      <c r="C6" s="448">
        <v>0.12</v>
      </c>
      <c r="D6" s="448">
        <v>0.15</v>
      </c>
      <c r="E6" s="448">
        <v>0.18</v>
      </c>
      <c r="F6" s="448">
        <v>0.24</v>
      </c>
      <c r="G6" s="448">
        <v>0.3</v>
      </c>
      <c r="H6" s="448">
        <v>0.35</v>
      </c>
      <c r="I6" s="448">
        <v>0.4</v>
      </c>
      <c r="J6" s="448">
        <v>0.45</v>
      </c>
      <c r="K6" s="448">
        <v>0.5</v>
      </c>
      <c r="L6" s="448">
        <v>0.57999999999999996</v>
      </c>
      <c r="M6" s="448">
        <v>0.59</v>
      </c>
      <c r="N6" s="448">
        <v>0.6</v>
      </c>
      <c r="O6" s="448">
        <v>0.65</v>
      </c>
      <c r="P6" s="448">
        <v>0.68</v>
      </c>
      <c r="Q6" s="448">
        <v>0.7</v>
      </c>
      <c r="R6" s="448">
        <v>0.72</v>
      </c>
      <c r="S6" s="448">
        <v>0.74</v>
      </c>
      <c r="T6" s="448">
        <v>0.76</v>
      </c>
      <c r="U6" s="448">
        <v>0.78</v>
      </c>
      <c r="V6" s="448">
        <v>0.8</v>
      </c>
      <c r="W6" s="448">
        <v>0.85</v>
      </c>
      <c r="X6" s="448">
        <v>0.88</v>
      </c>
      <c r="Y6" s="448">
        <v>0.9</v>
      </c>
      <c r="Z6" s="448"/>
      <c r="AA6" s="448"/>
      <c r="AB6" s="448"/>
      <c r="AC6" s="448"/>
      <c r="AD6" s="448"/>
      <c r="AE6" s="448"/>
      <c r="AF6" s="448"/>
      <c r="AG6" s="448"/>
      <c r="AH6" s="44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464</v>
      </c>
      <c r="B7" s="447"/>
      <c r="C7" s="448"/>
      <c r="D7" s="448"/>
      <c r="E7" s="448"/>
      <c r="F7" s="448"/>
      <c r="G7" s="448"/>
      <c r="H7" s="448"/>
      <c r="I7" s="448"/>
      <c r="J7" s="448"/>
      <c r="K7" s="448"/>
      <c r="L7" s="448"/>
      <c r="M7" s="448">
        <v>7.0000000000000007E-2</v>
      </c>
      <c r="N7" s="448">
        <v>0.12</v>
      </c>
      <c r="O7" s="448">
        <v>0.17</v>
      </c>
      <c r="P7" s="448">
        <v>0.27</v>
      </c>
      <c r="Q7" s="448">
        <v>0.31999999999999995</v>
      </c>
      <c r="R7" s="448">
        <v>0.37</v>
      </c>
      <c r="S7" s="448">
        <v>0.37</v>
      </c>
      <c r="T7" s="448">
        <v>0.37</v>
      </c>
      <c r="U7" s="448">
        <v>0.37</v>
      </c>
      <c r="V7" s="448">
        <v>0.37</v>
      </c>
      <c r="W7" s="448">
        <v>0.47</v>
      </c>
      <c r="X7" s="448">
        <v>0.56999999999999995</v>
      </c>
      <c r="Y7" s="448">
        <v>0.62</v>
      </c>
      <c r="Z7" s="448">
        <v>0.66999999999999993</v>
      </c>
      <c r="AA7" s="448">
        <v>0.77</v>
      </c>
      <c r="AB7" s="448">
        <v>0.87</v>
      </c>
      <c r="AC7" s="448">
        <v>0.97</v>
      </c>
      <c r="AD7" s="448"/>
      <c r="AE7" s="448"/>
      <c r="AF7" s="455"/>
      <c r="AG7" s="448"/>
      <c r="AH7" s="455"/>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449"/>
      <c r="C8" s="450"/>
      <c r="D8" s="450"/>
      <c r="E8" s="450"/>
      <c r="F8" s="450"/>
      <c r="G8" s="450"/>
      <c r="H8" s="450"/>
      <c r="I8" s="450"/>
      <c r="J8" s="450"/>
      <c r="K8" s="450"/>
      <c r="L8" s="450"/>
      <c r="M8" s="450"/>
      <c r="N8" s="450"/>
      <c r="O8" s="450"/>
      <c r="P8" s="450"/>
      <c r="Q8" s="450"/>
      <c r="R8" s="450"/>
      <c r="S8" s="450"/>
      <c r="T8" s="450"/>
      <c r="U8" s="450"/>
      <c r="V8" s="450"/>
      <c r="W8" s="450"/>
      <c r="X8" s="450"/>
      <c r="Y8" s="450"/>
      <c r="Z8" s="450"/>
      <c r="AA8" s="450"/>
      <c r="AB8" s="450">
        <v>0.08</v>
      </c>
      <c r="AC8" s="450">
        <v>0.15</v>
      </c>
      <c r="AD8" s="450">
        <v>0.26</v>
      </c>
      <c r="AE8" s="450">
        <v>0.4</v>
      </c>
      <c r="AF8" s="450">
        <v>0.5</v>
      </c>
      <c r="AG8" s="450">
        <v>0.55000000000000004</v>
      </c>
      <c r="AH8" s="45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468</v>
      </c>
      <c r="B3" s="129" t="s">
        <v>530</v>
      </c>
      <c r="C3" s="129"/>
      <c r="D3" s="205"/>
      <c r="E3" s="129"/>
    </row>
    <row r="4" spans="1:5" x14ac:dyDescent="0.25">
      <c r="A4" s="79" t="s">
        <v>44</v>
      </c>
      <c r="B4">
        <v>0</v>
      </c>
    </row>
    <row r="5" spans="1:5" x14ac:dyDescent="0.25">
      <c r="A5" s="79" t="s">
        <v>531</v>
      </c>
      <c r="B5">
        <v>85</v>
      </c>
      <c r="D5" s="130">
        <f>GETPIVOTDATA("#Tests",$A$3,"ETA","wk-1")/GETPIVOTDATA("#Tests",$A$3)</f>
        <v>0.17</v>
      </c>
      <c r="E5" s="131">
        <f>D5</f>
        <v>0.17</v>
      </c>
    </row>
    <row r="6" spans="1:5" x14ac:dyDescent="0.25">
      <c r="A6" s="79" t="s">
        <v>532</v>
      </c>
      <c r="B6">
        <v>48</v>
      </c>
      <c r="D6" s="130">
        <f>GETPIVOTDATA("#Tests",$A$3,"ETA","wk-2")/GETPIVOTDATA("#Tests",$A$3)</f>
        <v>9.6000000000000002E-2</v>
      </c>
      <c r="E6" s="131">
        <f t="shared" ref="E6:E12" si="0">E5+D6</f>
        <v>0.26600000000000001</v>
      </c>
    </row>
    <row r="7" spans="1:5" x14ac:dyDescent="0.25">
      <c r="A7" s="79" t="s">
        <v>533</v>
      </c>
      <c r="B7">
        <v>96</v>
      </c>
      <c r="D7" s="130">
        <f>GETPIVOTDATA("#Tests",$A$3,"ETA","wk-3")/GETPIVOTDATA("#Tests",$A$3)</f>
        <v>0.192</v>
      </c>
      <c r="E7" s="131">
        <f t="shared" si="0"/>
        <v>0.45800000000000002</v>
      </c>
    </row>
    <row r="8" spans="1:5" x14ac:dyDescent="0.25">
      <c r="A8" s="79" t="s">
        <v>534</v>
      </c>
      <c r="B8">
        <v>79</v>
      </c>
      <c r="D8" s="130">
        <f>GETPIVOTDATA("#Tests",$A$3,"ETA","wk-4")/GETPIVOTDATA("#Tests",$A$3)</f>
        <v>0.158</v>
      </c>
      <c r="E8" s="131">
        <f t="shared" si="0"/>
        <v>0.61599999999999999</v>
      </c>
    </row>
    <row r="9" spans="1:5" x14ac:dyDescent="0.25">
      <c r="A9" s="79" t="s">
        <v>535</v>
      </c>
      <c r="B9">
        <v>82</v>
      </c>
      <c r="D9" s="130">
        <f>GETPIVOTDATA("#Tests",$A$3,"ETA","wk-5")/GETPIVOTDATA("#Tests",$A$3)</f>
        <v>0.16400000000000001</v>
      </c>
      <c r="E9" s="131">
        <f t="shared" si="0"/>
        <v>0.78</v>
      </c>
    </row>
    <row r="10" spans="1:5" x14ac:dyDescent="0.25">
      <c r="A10" s="79" t="s">
        <v>536</v>
      </c>
      <c r="B10">
        <v>60</v>
      </c>
      <c r="D10" s="130">
        <f>GETPIVOTDATA("#Tests",$A$3,"ETA","wk-6")/GETPIVOTDATA("#Tests",$A$3)</f>
        <v>0.12</v>
      </c>
      <c r="E10" s="131">
        <f t="shared" si="0"/>
        <v>0.9</v>
      </c>
    </row>
    <row r="11" spans="1:5" x14ac:dyDescent="0.25">
      <c r="A11" s="79" t="s">
        <v>537</v>
      </c>
      <c r="B11">
        <v>30</v>
      </c>
      <c r="D11" s="130">
        <f>GETPIVOTDATA("#Tests",$A$3,"ETA","wk-7")/GETPIVOTDATA("#Tests",$A$3)</f>
        <v>0.06</v>
      </c>
      <c r="E11" s="131">
        <f t="shared" si="0"/>
        <v>0.96</v>
      </c>
    </row>
    <row r="12" spans="1:5" x14ac:dyDescent="0.25">
      <c r="A12" s="79" t="s">
        <v>538</v>
      </c>
      <c r="B12">
        <v>20</v>
      </c>
      <c r="D12" s="130">
        <f>GETPIVOTDATA("#Tests",$A$3,"ETA","wk-8")/GETPIVOTDATA("#Tests",$A$3)</f>
        <v>0.04</v>
      </c>
      <c r="E12" s="131">
        <f t="shared" si="0"/>
        <v>1</v>
      </c>
    </row>
    <row r="13" spans="1:5" x14ac:dyDescent="0.25">
      <c r="A13" s="79" t="s">
        <v>368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286D6FE-D2A1-4462-80B6-3A16FE3AF6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www.w3.org/XML/1998/namespace"/>
    <ds:schemaRef ds:uri="6d5e1dd9-3d6d-4d57-aaa4-c6398f910d60"/>
    <ds:schemaRef ds:uri="http://purl.org/dc/terms/"/>
    <ds:schemaRef ds:uri="ec5a97c5-2653-49c6-b3a5-07f7dd96f613"/>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purl.org/dc/dcmitype/"/>
    <ds:schemaRef ds:uri="http://purl.org/dc/elements/1.1/"/>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Diags Raw Data</vt:lpstr>
      <vt:lpstr>Sub-IP Block Summary</vt:lpstr>
      <vt:lpstr>Feature Raw Data</vt:lpstr>
      <vt:lpstr>Feature Summary</vt:lpstr>
      <vt:lpstr>Progress (WIP)</vt:lpstr>
      <vt:lpstr>FeatureSHR</vt:lpstr>
      <vt:lpstr>TestSHR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2023-09-29T15:02:03Z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2021-11-19T07:10:16Z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0ef23a45-4982-4790-8ab6-40cd6b519545</vt:lpwstr>
  </property>
  <property fmtid="{D5CDD505-2E9C-101B-9397-08002B2CF9AE}" pid="9" name="MSIP_Label_88914ebd-7e6c-4e12-a031-a9906be2db14_ContentBits">
    <vt:lpwstr>1</vt:lpwstr>
  </property>
</Properties>
</file>