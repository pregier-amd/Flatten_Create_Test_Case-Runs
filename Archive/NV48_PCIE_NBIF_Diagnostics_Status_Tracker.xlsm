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hidePivotFieldList="1"/>
  <mc:AlternateContent xmlns:mc="http://schemas.openxmlformats.org/markup-compatibility/2006">
    <mc:Choice Requires="x15">
      <x15ac:absPath xmlns:x15ac="http://schemas.microsoft.com/office/spreadsheetml/2010/11/ac" url="C:\Users\pregier\Documents\qTest\python\flatten\flatten\Archive\"/>
    </mc:Choice>
  </mc:AlternateContent>
  <xr:revisionPtr revIDLastSave="0" documentId="13_ncr:1_{6C4C9CF2-BCD2-4764-86EA-1100B60D95FC}" xr6:coauthVersionLast="47" xr6:coauthVersionMax="47" xr10:uidLastSave="{00000000-0000-0000-0000-000000000000}"/>
  <bookViews>
    <workbookView xWindow="-28515" yWindow="375" windowWidth="26370" windowHeight="13185" firstSheet="4"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Progress (WIP)" sheetId="26" state="hidden" r:id="rId8"/>
    <sheet name="Feature Summary" sheetId="55" r:id="rId9"/>
    <sheet name="FeatureSHR" sheetId="61" r:id="rId10"/>
    <sheet name="TestSHR" sheetId="60" r:id="rId11"/>
    <sheet name="Progress" sheetId="51" r:id="rId12"/>
    <sheet name="Coverage Plan" sheetId="57" state="hidden" r:id="rId13"/>
  </sheets>
  <definedNames>
    <definedName name="_xlnm._FilterDatabase" localSheetId="4" hidden="1">'Diags Raw Data'!$A$5:$AH$288</definedName>
    <definedName name="_xlnm._FilterDatabase" localSheetId="6" hidden="1">'Feature Raw Data'!$A$2:$E$106</definedName>
    <definedName name="_xlnm._FilterDatabase" localSheetId="8" hidden="1">'Feature Summary'!$A$6:$W$110</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9" r:id="rId14"/>
    <pivotCache cacheId="30"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1" i="55" l="1"/>
  <c r="C111" i="55"/>
  <c r="D111" i="55" a="1"/>
  <c r="D111" i="55" s="1"/>
  <c r="E111" i="55"/>
  <c r="F111" i="55"/>
  <c r="I111" i="55"/>
  <c r="J111" i="55"/>
  <c r="R288" i="53"/>
  <c r="M111" i="55" a="1"/>
  <c r="M111" i="55"/>
  <c r="T288" i="53"/>
  <c r="N111" i="55" a="1"/>
  <c r="U288" i="53"/>
  <c r="N72" i="55" s="1"/>
  <c r="O72" i="55" s="1"/>
  <c r="P72" i="55"/>
  <c r="P93" i="55"/>
  <c r="S93" i="55" s="1"/>
  <c r="P95" i="55"/>
  <c r="S95" i="55" s="1"/>
  <c r="Q111" i="55"/>
  <c r="L288" i="53"/>
  <c r="K288" i="53"/>
  <c r="N288" i="53" s="1"/>
  <c r="D32" i="55" a="1"/>
  <c r="D32" i="55" s="1"/>
  <c r="K32" i="55" s="1" a="1"/>
  <c r="K32" i="55" s="1"/>
  <c r="B80" i="55"/>
  <c r="D80" i="55" a="1"/>
  <c r="D80" i="55" s="1"/>
  <c r="D78" i="55" a="1"/>
  <c r="D78" i="55" s="1"/>
  <c r="B78" i="55"/>
  <c r="D15" i="55" a="1"/>
  <c r="D15" i="55" s="1"/>
  <c r="D14" i="55" a="1"/>
  <c r="D14" i="55" s="1"/>
  <c r="D13" i="55" a="1"/>
  <c r="D13" i="55" s="1"/>
  <c r="D12" i="55" a="1"/>
  <c r="D12" i="55" s="1"/>
  <c r="H12" i="55" s="1"/>
  <c r="D11" i="55" a="1"/>
  <c r="D11" i="55" s="1"/>
  <c r="D10" i="55" a="1"/>
  <c r="D10" i="55" s="1"/>
  <c r="H10" i="55" s="1"/>
  <c r="D18" i="55" a="1"/>
  <c r="D18" i="55" s="1"/>
  <c r="D19" i="55" a="1"/>
  <c r="D19" i="55" s="1"/>
  <c r="D20" i="55" a="1"/>
  <c r="D20" i="55" s="1"/>
  <c r="D21" i="55" a="1"/>
  <c r="D21" i="55" s="1"/>
  <c r="G21" i="55" s="1"/>
  <c r="D47" i="55" a="1"/>
  <c r="D47" i="55" s="1"/>
  <c r="D48" i="55" a="1"/>
  <c r="D48" i="55" s="1"/>
  <c r="D49" i="55" a="1"/>
  <c r="D49" i="55"/>
  <c r="D16" i="55" a="1"/>
  <c r="D16" i="55" s="1"/>
  <c r="E16" i="55"/>
  <c r="D7" i="55" a="1"/>
  <c r="D7" i="55" s="1"/>
  <c r="H7" i="55" s="1"/>
  <c r="D8" i="55" a="1"/>
  <c r="D8" i="55" s="1"/>
  <c r="D9" i="55" a="1"/>
  <c r="D9" i="55" s="1"/>
  <c r="E9" i="55"/>
  <c r="Q110" i="55"/>
  <c r="J110" i="55"/>
  <c r="I110" i="55"/>
  <c r="F110" i="55"/>
  <c r="E110" i="55"/>
  <c r="D110" i="55" a="1"/>
  <c r="D110" i="55" s="1"/>
  <c r="C110" i="55"/>
  <c r="B110" i="55"/>
  <c r="Q109" i="55"/>
  <c r="J109" i="55"/>
  <c r="I109" i="55"/>
  <c r="F109" i="55"/>
  <c r="E109" i="55"/>
  <c r="D109" i="55" a="1"/>
  <c r="D109" i="55" s="1"/>
  <c r="C109" i="55"/>
  <c r="B109" i="55"/>
  <c r="Q108" i="55"/>
  <c r="J108" i="55"/>
  <c r="I108" i="55"/>
  <c r="F108" i="55"/>
  <c r="E108" i="55"/>
  <c r="D108" i="55" a="1"/>
  <c r="D108" i="55" s="1"/>
  <c r="C108" i="55"/>
  <c r="B108" i="55"/>
  <c r="Q107" i="55"/>
  <c r="J107" i="55"/>
  <c r="I107" i="55"/>
  <c r="F107" i="55"/>
  <c r="E107" i="55"/>
  <c r="D107" i="55" a="1"/>
  <c r="D107" i="55" s="1"/>
  <c r="C107" i="55"/>
  <c r="B107" i="55"/>
  <c r="Q106" i="55"/>
  <c r="J106" i="55"/>
  <c r="I106" i="55"/>
  <c r="F106" i="55"/>
  <c r="E106" i="55"/>
  <c r="D106" i="55" a="1"/>
  <c r="D106" i="55" s="1"/>
  <c r="C106" i="55"/>
  <c r="B106" i="55"/>
  <c r="Q105" i="55"/>
  <c r="J105" i="55"/>
  <c r="I105" i="55"/>
  <c r="F105" i="55"/>
  <c r="E105" i="55"/>
  <c r="D105" i="55" a="1"/>
  <c r="D105" i="55" s="1"/>
  <c r="H105" i="55" s="1"/>
  <c r="C105" i="55"/>
  <c r="B105" i="55"/>
  <c r="Q104" i="55"/>
  <c r="J104" i="55"/>
  <c r="I104" i="55"/>
  <c r="F104" i="55"/>
  <c r="E104" i="55"/>
  <c r="D104" i="55" a="1"/>
  <c r="D104" i="55" s="1"/>
  <c r="C104" i="55"/>
  <c r="B104" i="55"/>
  <c r="Q103" i="55"/>
  <c r="J103" i="55"/>
  <c r="I103" i="55"/>
  <c r="F103" i="55"/>
  <c r="E103" i="55"/>
  <c r="D103" i="55" a="1"/>
  <c r="D103" i="55"/>
  <c r="G103" i="55" s="1"/>
  <c r="C103" i="55"/>
  <c r="B103" i="55"/>
  <c r="Q102" i="55"/>
  <c r="J102" i="55"/>
  <c r="I102" i="55"/>
  <c r="F102" i="55"/>
  <c r="E102" i="55"/>
  <c r="D102" i="55" a="1"/>
  <c r="D102" i="55" s="1"/>
  <c r="C102" i="55"/>
  <c r="B102" i="55"/>
  <c r="Q101" i="55"/>
  <c r="P101" i="55"/>
  <c r="S101" i="55" s="1"/>
  <c r="T101" i="55" s="1"/>
  <c r="J101" i="55"/>
  <c r="R101" i="55" s="1"/>
  <c r="I101" i="55"/>
  <c r="F101" i="55"/>
  <c r="E101" i="55"/>
  <c r="D101" i="55" a="1"/>
  <c r="D101" i="55"/>
  <c r="C101" i="55"/>
  <c r="B101" i="55"/>
  <c r="Q100" i="55"/>
  <c r="J100" i="55"/>
  <c r="I100" i="55"/>
  <c r="F100" i="55"/>
  <c r="E100" i="55"/>
  <c r="D100" i="55" a="1"/>
  <c r="D100" i="55" s="1"/>
  <c r="C100" i="55"/>
  <c r="B100" i="55"/>
  <c r="Q99" i="55"/>
  <c r="J99" i="55"/>
  <c r="I99" i="55"/>
  <c r="F99" i="55"/>
  <c r="E99" i="55"/>
  <c r="D99" i="55" a="1"/>
  <c r="D99" i="55" s="1"/>
  <c r="C99" i="55"/>
  <c r="B99" i="55"/>
  <c r="Q98" i="55"/>
  <c r="P98" i="55"/>
  <c r="S98" i="55" s="1"/>
  <c r="J98" i="55"/>
  <c r="R98" i="55" s="1"/>
  <c r="T98" i="55" s="1"/>
  <c r="I98" i="55"/>
  <c r="F98" i="55"/>
  <c r="E98" i="55"/>
  <c r="D98" i="55" a="1"/>
  <c r="D98" i="55"/>
  <c r="C98" i="55"/>
  <c r="B98" i="55"/>
  <c r="Q97" i="55"/>
  <c r="P97" i="55"/>
  <c r="S97" i="55"/>
  <c r="J97" i="55"/>
  <c r="R97" i="55" s="1"/>
  <c r="T97" i="55" s="1"/>
  <c r="I97" i="55"/>
  <c r="F97" i="55"/>
  <c r="E97" i="55"/>
  <c r="D97" i="55" a="1"/>
  <c r="D97" i="55" s="1"/>
  <c r="H97" i="55" s="1"/>
  <c r="C97" i="55"/>
  <c r="B97" i="55"/>
  <c r="Q96" i="55"/>
  <c r="J96" i="55"/>
  <c r="I96" i="55"/>
  <c r="F96" i="55"/>
  <c r="E96" i="55"/>
  <c r="D96" i="55" a="1"/>
  <c r="D96" i="55"/>
  <c r="H96" i="55" s="1"/>
  <c r="C96" i="55"/>
  <c r="C54" i="55"/>
  <c r="B96" i="55"/>
  <c r="Q95" i="55"/>
  <c r="J95" i="55"/>
  <c r="R95" i="55" s="1"/>
  <c r="T95" i="55" s="1"/>
  <c r="I95" i="55"/>
  <c r="F95" i="55"/>
  <c r="E95" i="55"/>
  <c r="D95" i="55" a="1"/>
  <c r="D95" i="55"/>
  <c r="C95" i="55"/>
  <c r="B95" i="55"/>
  <c r="Q94" i="55"/>
  <c r="J94" i="55"/>
  <c r="I94" i="55"/>
  <c r="F94" i="55"/>
  <c r="E94" i="55"/>
  <c r="D94" i="55" a="1"/>
  <c r="D94" i="55" s="1"/>
  <c r="C94" i="55"/>
  <c r="B94" i="55"/>
  <c r="Q93" i="55"/>
  <c r="J93" i="55"/>
  <c r="I93" i="55"/>
  <c r="F93" i="55"/>
  <c r="E93" i="55"/>
  <c r="D93" i="55" a="1"/>
  <c r="D93" i="55" s="1"/>
  <c r="C93" i="55"/>
  <c r="B93" i="55"/>
  <c r="Q92" i="55"/>
  <c r="J92" i="55"/>
  <c r="I92" i="55"/>
  <c r="F92" i="55"/>
  <c r="E92" i="55"/>
  <c r="D92" i="55" a="1"/>
  <c r="D92" i="55" s="1"/>
  <c r="C92" i="55"/>
  <c r="B92" i="55"/>
  <c r="Q91" i="55"/>
  <c r="P91" i="55"/>
  <c r="S91" i="55" s="1"/>
  <c r="J91" i="55"/>
  <c r="R91" i="55" s="1"/>
  <c r="I91" i="55"/>
  <c r="F91" i="55"/>
  <c r="E91" i="55"/>
  <c r="D91" i="55" a="1"/>
  <c r="D91" i="55" s="1"/>
  <c r="C91" i="55"/>
  <c r="B91" i="55"/>
  <c r="Q90" i="55"/>
  <c r="P90" i="55"/>
  <c r="S90" i="55" s="1"/>
  <c r="J90" i="55"/>
  <c r="R90" i="55" s="1"/>
  <c r="T90" i="55" s="1"/>
  <c r="I90" i="55"/>
  <c r="F90" i="55"/>
  <c r="E90" i="55"/>
  <c r="D90" i="55" a="1"/>
  <c r="D90" i="55" s="1"/>
  <c r="G90" i="55" s="1"/>
  <c r="C90" i="55"/>
  <c r="B90" i="55"/>
  <c r="Q89" i="55"/>
  <c r="J89" i="55"/>
  <c r="I89" i="55"/>
  <c r="F89" i="55"/>
  <c r="E89" i="55"/>
  <c r="D89" i="55" a="1"/>
  <c r="D89" i="55" s="1"/>
  <c r="C89" i="55"/>
  <c r="B89" i="55"/>
  <c r="Q88" i="55"/>
  <c r="J88" i="55"/>
  <c r="I88" i="55"/>
  <c r="F88" i="55"/>
  <c r="E88" i="55"/>
  <c r="D88" i="55" a="1"/>
  <c r="D88" i="55" s="1"/>
  <c r="C88" i="55"/>
  <c r="B88" i="55"/>
  <c r="Q87" i="55"/>
  <c r="J87" i="55"/>
  <c r="I87" i="55"/>
  <c r="F87" i="55"/>
  <c r="E87" i="55"/>
  <c r="D87" i="55" a="1"/>
  <c r="D87" i="55"/>
  <c r="H87" i="55" s="1"/>
  <c r="C87" i="55"/>
  <c r="B87" i="55"/>
  <c r="Q86" i="55"/>
  <c r="P86" i="55"/>
  <c r="S86" i="55"/>
  <c r="J86" i="55"/>
  <c r="R86" i="55" s="1"/>
  <c r="I86" i="55"/>
  <c r="F86" i="55"/>
  <c r="E86" i="55"/>
  <c r="D86" i="55" a="1"/>
  <c r="D86" i="55" s="1"/>
  <c r="C86" i="55"/>
  <c r="B86" i="55"/>
  <c r="Q85" i="55"/>
  <c r="J85" i="55"/>
  <c r="I85" i="55"/>
  <c r="F85" i="55"/>
  <c r="E85" i="55"/>
  <c r="D85" i="55" a="1"/>
  <c r="D85" i="55" s="1"/>
  <c r="C85" i="55"/>
  <c r="B85" i="55"/>
  <c r="Q84" i="55"/>
  <c r="P84" i="55"/>
  <c r="S84" i="55" s="1"/>
  <c r="M79" i="55" a="1"/>
  <c r="M79" i="55" s="1"/>
  <c r="O79" i="55" s="1"/>
  <c r="J84" i="55"/>
  <c r="R84" i="55" s="1"/>
  <c r="T84" i="55" s="1"/>
  <c r="I84" i="55"/>
  <c r="F84" i="55"/>
  <c r="E84" i="55"/>
  <c r="D84" i="55" a="1"/>
  <c r="D84" i="55" s="1"/>
  <c r="C84" i="55"/>
  <c r="B84" i="55"/>
  <c r="Q83" i="55"/>
  <c r="J83" i="55"/>
  <c r="I83" i="55"/>
  <c r="F83" i="55"/>
  <c r="E83" i="55"/>
  <c r="D83" i="55" a="1"/>
  <c r="D83" i="55" s="1"/>
  <c r="H83" i="55" s="1"/>
  <c r="C83" i="55"/>
  <c r="B83" i="55"/>
  <c r="Q82" i="55"/>
  <c r="P82" i="55"/>
  <c r="S82" i="55"/>
  <c r="J82" i="55"/>
  <c r="R82" i="55" s="1"/>
  <c r="T82" i="55" s="1"/>
  <c r="I82" i="55"/>
  <c r="F82" i="55"/>
  <c r="E82" i="55"/>
  <c r="D82" i="55" a="1"/>
  <c r="D82" i="55" s="1"/>
  <c r="C82" i="55"/>
  <c r="B82" i="55"/>
  <c r="Q81" i="55"/>
  <c r="J81" i="55"/>
  <c r="I81" i="55"/>
  <c r="F81" i="55"/>
  <c r="E81" i="55"/>
  <c r="D81" i="55" a="1"/>
  <c r="D81" i="55" s="1"/>
  <c r="C81" i="55"/>
  <c r="B81" i="55"/>
  <c r="Q80" i="55"/>
  <c r="P80" i="55"/>
  <c r="S80" i="55" s="1"/>
  <c r="J80" i="55"/>
  <c r="I80" i="55"/>
  <c r="F80" i="55"/>
  <c r="E80" i="55"/>
  <c r="C80" i="55"/>
  <c r="Q79" i="55"/>
  <c r="P79" i="55"/>
  <c r="S79" i="55" s="1"/>
  <c r="T79" i="55" s="1"/>
  <c r="J79" i="55"/>
  <c r="R79" i="55"/>
  <c r="I79" i="55"/>
  <c r="F79" i="55"/>
  <c r="E79" i="55"/>
  <c r="D79" i="55" a="1"/>
  <c r="D79" i="55" s="1"/>
  <c r="C79" i="55"/>
  <c r="B79" i="55"/>
  <c r="Q78" i="55"/>
  <c r="P78" i="55"/>
  <c r="S78" i="55" s="1"/>
  <c r="T78" i="55" s="1"/>
  <c r="J78" i="55"/>
  <c r="R78" i="55" s="1"/>
  <c r="I78" i="55"/>
  <c r="F78" i="55"/>
  <c r="E78" i="55"/>
  <c r="C78" i="55"/>
  <c r="Q77" i="55"/>
  <c r="J77" i="55"/>
  <c r="I77" i="55"/>
  <c r="F77" i="55"/>
  <c r="E77" i="55"/>
  <c r="D77" i="55" a="1"/>
  <c r="D77" i="55" s="1"/>
  <c r="C77" i="55"/>
  <c r="B77" i="55"/>
  <c r="Q76" i="55"/>
  <c r="J76" i="55"/>
  <c r="R76" i="55" s="1"/>
  <c r="I76" i="55"/>
  <c r="F76" i="55"/>
  <c r="E76" i="55"/>
  <c r="D76" i="55" a="1"/>
  <c r="D76" i="55"/>
  <c r="C76" i="55"/>
  <c r="B76" i="55"/>
  <c r="P107" i="55"/>
  <c r="S107" i="55" s="1"/>
  <c r="P94" i="55"/>
  <c r="E75" i="55"/>
  <c r="J75" i="55"/>
  <c r="P106" i="55"/>
  <c r="J74" i="55"/>
  <c r="Q75" i="55"/>
  <c r="D75" i="55" a="1"/>
  <c r="D75" i="55" s="1"/>
  <c r="H75" i="55" s="1"/>
  <c r="J115" i="55"/>
  <c r="I75" i="55"/>
  <c r="F75" i="55"/>
  <c r="C75" i="55"/>
  <c r="B75" i="55"/>
  <c r="Q7" i="59"/>
  <c r="P7" i="59"/>
  <c r="O22" i="59"/>
  <c r="U22" i="59" s="1"/>
  <c r="P108" i="55"/>
  <c r="G22" i="59"/>
  <c r="M22" i="59" s="1"/>
  <c r="H5" i="59"/>
  <c r="H6" i="59"/>
  <c r="I4" i="59"/>
  <c r="I5" i="59"/>
  <c r="I6" i="59"/>
  <c r="J4" i="59"/>
  <c r="J8" i="59" s="1"/>
  <c r="J5" i="59"/>
  <c r="J6" i="59"/>
  <c r="K4" i="59"/>
  <c r="K5" i="59"/>
  <c r="K6" i="59"/>
  <c r="P4" i="59"/>
  <c r="P5" i="59"/>
  <c r="P6" i="59"/>
  <c r="Q4" i="59"/>
  <c r="Q5" i="59"/>
  <c r="Q6" i="59"/>
  <c r="B4" i="59"/>
  <c r="B5" i="59"/>
  <c r="B6" i="59"/>
  <c r="B7" i="59"/>
  <c r="R4" i="59"/>
  <c r="R8" i="59" s="1"/>
  <c r="R5" i="59"/>
  <c r="R6" i="59"/>
  <c r="S4" i="59"/>
  <c r="S5" i="59"/>
  <c r="S6" i="59"/>
  <c r="E4" i="59"/>
  <c r="E5" i="59"/>
  <c r="E6" i="59"/>
  <c r="E7" i="59"/>
  <c r="C7" i="59"/>
  <c r="D7" i="59"/>
  <c r="D4" i="59"/>
  <c r="D5" i="59"/>
  <c r="D6" i="59"/>
  <c r="H7" i="59"/>
  <c r="I7" i="59"/>
  <c r="J7" i="59"/>
  <c r="K7" i="59"/>
  <c r="R7" i="59"/>
  <c r="S7" i="59"/>
  <c r="B22" i="59"/>
  <c r="C22" i="59"/>
  <c r="D22" i="59"/>
  <c r="E22" i="59"/>
  <c r="H22" i="59"/>
  <c r="I22" i="59"/>
  <c r="J22" i="59"/>
  <c r="K22" i="59"/>
  <c r="P22" i="59"/>
  <c r="Q22" i="59"/>
  <c r="R22" i="59"/>
  <c r="S22" i="59"/>
  <c r="L2" i="53"/>
  <c r="B30" i="55"/>
  <c r="D59" i="55" a="1"/>
  <c r="D59" i="55" s="1"/>
  <c r="D53" i="55" a="1"/>
  <c r="D53" i="55" s="1"/>
  <c r="D54" i="55" a="1"/>
  <c r="D54" i="55" s="1"/>
  <c r="D57" i="55" a="1"/>
  <c r="D57" i="55" s="1"/>
  <c r="E56" i="55"/>
  <c r="F56" i="55"/>
  <c r="E25" i="61"/>
  <c r="E26" i="61"/>
  <c r="F26" i="61" s="1"/>
  <c r="G26" i="61" s="1"/>
  <c r="E27" i="61"/>
  <c r="E28" i="61"/>
  <c r="E29" i="61"/>
  <c r="E30" i="61"/>
  <c r="E31" i="61"/>
  <c r="E32" i="61"/>
  <c r="E24" i="61"/>
  <c r="F24" i="61"/>
  <c r="B50" i="55"/>
  <c r="C50" i="55"/>
  <c r="D50" i="55" a="1"/>
  <c r="D50" i="55" s="1"/>
  <c r="H50" i="55" s="1"/>
  <c r="E50" i="55"/>
  <c r="F50" i="55"/>
  <c r="I50" i="55"/>
  <c r="J50" i="55"/>
  <c r="Q50" i="55"/>
  <c r="B12" i="60"/>
  <c r="C4" i="60"/>
  <c r="C33" i="61"/>
  <c r="E33" i="61"/>
  <c r="G24" i="61" s="1"/>
  <c r="B53" i="61"/>
  <c r="B54" i="61"/>
  <c r="B55" i="61"/>
  <c r="B56" i="61"/>
  <c r="B57" i="61"/>
  <c r="B58" i="61"/>
  <c r="B59" i="61"/>
  <c r="B60" i="61"/>
  <c r="B52" i="61"/>
  <c r="C52" i="61"/>
  <c r="B66" i="55"/>
  <c r="C39" i="61"/>
  <c r="E39" i="61" s="1"/>
  <c r="Q59" i="55"/>
  <c r="J59" i="55"/>
  <c r="I59" i="55"/>
  <c r="F59" i="55"/>
  <c r="E59" i="55"/>
  <c r="C59" i="55"/>
  <c r="B59" i="55"/>
  <c r="Q16" i="55"/>
  <c r="J16" i="55"/>
  <c r="I16" i="55"/>
  <c r="F16" i="55"/>
  <c r="C16" i="55"/>
  <c r="B16" i="55"/>
  <c r="Q73" i="55"/>
  <c r="J73" i="55"/>
  <c r="I73" i="55"/>
  <c r="F73" i="55"/>
  <c r="E73" i="55"/>
  <c r="D73" i="55" a="1"/>
  <c r="D73" i="55"/>
  <c r="C73" i="55"/>
  <c r="B73" i="55"/>
  <c r="Q15" i="55"/>
  <c r="J15" i="55"/>
  <c r="I15" i="55"/>
  <c r="F15" i="55"/>
  <c r="E15" i="55"/>
  <c r="C15" i="55"/>
  <c r="B15" i="55"/>
  <c r="Q66" i="55"/>
  <c r="J66" i="55"/>
  <c r="I66" i="55"/>
  <c r="F66" i="55"/>
  <c r="E66" i="55"/>
  <c r="D66" i="55" a="1"/>
  <c r="D66" i="55" s="1"/>
  <c r="C66" i="55"/>
  <c r="Q52" i="55"/>
  <c r="J52" i="55"/>
  <c r="I52" i="55"/>
  <c r="F52" i="55"/>
  <c r="E52" i="55"/>
  <c r="D52" i="55" a="1"/>
  <c r="D52" i="55" s="1"/>
  <c r="C52" i="55"/>
  <c r="B52" i="55"/>
  <c r="Q13" i="55"/>
  <c r="J13" i="55"/>
  <c r="I13" i="55"/>
  <c r="F13" i="55"/>
  <c r="E13" i="55"/>
  <c r="C13" i="55"/>
  <c r="B13" i="55"/>
  <c r="B12" i="55"/>
  <c r="C12" i="55"/>
  <c r="E12" i="55"/>
  <c r="F12" i="55"/>
  <c r="I12" i="55"/>
  <c r="J12" i="55"/>
  <c r="Q12" i="55"/>
  <c r="J47" i="55"/>
  <c r="R47" i="55" s="1"/>
  <c r="Q47" i="55"/>
  <c r="J48" i="55"/>
  <c r="Q48" i="55"/>
  <c r="B47" i="55"/>
  <c r="C47" i="55"/>
  <c r="E47" i="55"/>
  <c r="F47" i="55"/>
  <c r="I47" i="55"/>
  <c r="B48" i="55"/>
  <c r="C48" i="55"/>
  <c r="E48" i="55"/>
  <c r="F48" i="55"/>
  <c r="I48" i="55"/>
  <c r="I7" i="52"/>
  <c r="I3" i="52"/>
  <c r="I4" i="52"/>
  <c r="I5" i="52"/>
  <c r="I6" i="52"/>
  <c r="I8" i="52"/>
  <c r="O288" i="53"/>
  <c r="V288" i="53"/>
  <c r="W288" i="53"/>
  <c r="AA288" i="53"/>
  <c r="Q2" i="55" s="1"/>
  <c r="AB288" i="53"/>
  <c r="AC288" i="53"/>
  <c r="AD288" i="53"/>
  <c r="B23" i="55"/>
  <c r="B10" i="55"/>
  <c r="B67" i="55"/>
  <c r="B53" i="55"/>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7" i="26"/>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E2" i="26"/>
  <c r="T12" i="26" s="1"/>
  <c r="D2" i="26"/>
  <c r="Q74" i="55"/>
  <c r="I74" i="55"/>
  <c r="F74" i="55"/>
  <c r="E74" i="55"/>
  <c r="C74" i="55"/>
  <c r="B74" i="55"/>
  <c r="Q72" i="55"/>
  <c r="J72" i="55"/>
  <c r="I72" i="55"/>
  <c r="F72" i="55"/>
  <c r="E72" i="55"/>
  <c r="C72" i="55"/>
  <c r="B72" i="55"/>
  <c r="Q71" i="55"/>
  <c r="J71" i="55"/>
  <c r="I71" i="55"/>
  <c r="F71" i="55"/>
  <c r="E71" i="55"/>
  <c r="C71" i="55"/>
  <c r="B71" i="55"/>
  <c r="Q70" i="55"/>
  <c r="J70" i="55"/>
  <c r="I70" i="55"/>
  <c r="F70" i="55"/>
  <c r="E70" i="55"/>
  <c r="C70" i="55"/>
  <c r="B70" i="55"/>
  <c r="Q69" i="55"/>
  <c r="J69" i="55"/>
  <c r="I69" i="55"/>
  <c r="F69" i="55"/>
  <c r="E69" i="55"/>
  <c r="C69" i="55"/>
  <c r="B69" i="55"/>
  <c r="Q68" i="55"/>
  <c r="J68" i="55"/>
  <c r="I68" i="55"/>
  <c r="F68" i="55"/>
  <c r="E68" i="55"/>
  <c r="C68" i="55"/>
  <c r="B68" i="55"/>
  <c r="Q67" i="55"/>
  <c r="J67" i="55"/>
  <c r="I67" i="55"/>
  <c r="F67" i="55"/>
  <c r="E67" i="55"/>
  <c r="C67" i="55"/>
  <c r="Q65" i="55"/>
  <c r="J65" i="55"/>
  <c r="D65" i="55" a="1"/>
  <c r="D65" i="55" s="1"/>
  <c r="L65" i="55" s="1" a="1"/>
  <c r="I65" i="55"/>
  <c r="F65" i="55"/>
  <c r="E65" i="55"/>
  <c r="C65" i="55"/>
  <c r="B65" i="55"/>
  <c r="Q64" i="55"/>
  <c r="J64" i="55"/>
  <c r="D64" i="55" a="1"/>
  <c r="D64" i="55" s="1"/>
  <c r="I64" i="55"/>
  <c r="F64" i="55"/>
  <c r="E64" i="55"/>
  <c r="C64" i="55"/>
  <c r="B64" i="55"/>
  <c r="Q63" i="55"/>
  <c r="J63" i="55"/>
  <c r="I63" i="55"/>
  <c r="F63" i="55"/>
  <c r="E63" i="55"/>
  <c r="C63" i="55"/>
  <c r="B63" i="55"/>
  <c r="Q62" i="55"/>
  <c r="J62" i="55"/>
  <c r="I62" i="55"/>
  <c r="F62" i="55"/>
  <c r="E62" i="55"/>
  <c r="C62" i="55"/>
  <c r="B62" i="55"/>
  <c r="Q61" i="55"/>
  <c r="J61" i="55"/>
  <c r="I61" i="55"/>
  <c r="F61" i="55"/>
  <c r="E61" i="55"/>
  <c r="C61" i="55"/>
  <c r="B61" i="55"/>
  <c r="Q60" i="55"/>
  <c r="J60" i="55"/>
  <c r="I60" i="55"/>
  <c r="F60" i="55"/>
  <c r="E60" i="55"/>
  <c r="C60" i="55"/>
  <c r="B60" i="55"/>
  <c r="Q58" i="55"/>
  <c r="J58" i="55"/>
  <c r="I58" i="55"/>
  <c r="F58" i="55"/>
  <c r="E58" i="55"/>
  <c r="C58" i="55"/>
  <c r="B58" i="55"/>
  <c r="Q57" i="55"/>
  <c r="J57" i="55"/>
  <c r="I57" i="55"/>
  <c r="F57" i="55"/>
  <c r="E57" i="55"/>
  <c r="C57" i="55"/>
  <c r="B57" i="55"/>
  <c r="Q56" i="55"/>
  <c r="J56" i="55"/>
  <c r="I56" i="55"/>
  <c r="C56" i="55"/>
  <c r="B56" i="55"/>
  <c r="Q55" i="55"/>
  <c r="J55" i="55"/>
  <c r="I55" i="55"/>
  <c r="F55" i="55"/>
  <c r="E55" i="55"/>
  <c r="C55" i="55"/>
  <c r="B55" i="55"/>
  <c r="Q54" i="55"/>
  <c r="J54" i="55"/>
  <c r="I54" i="55"/>
  <c r="F54" i="55"/>
  <c r="E54" i="55"/>
  <c r="B54" i="55"/>
  <c r="Q53" i="55"/>
  <c r="J53" i="55"/>
  <c r="I53" i="55"/>
  <c r="F53" i="55"/>
  <c r="E53" i="55"/>
  <c r="C53" i="55"/>
  <c r="Q51" i="55"/>
  <c r="J51" i="55"/>
  <c r="R51" i="55" s="1"/>
  <c r="I51" i="55"/>
  <c r="F51" i="55"/>
  <c r="E51" i="55"/>
  <c r="C51" i="55"/>
  <c r="B51" i="55"/>
  <c r="Q49" i="55"/>
  <c r="J49" i="55"/>
  <c r="I49" i="55"/>
  <c r="F49" i="55"/>
  <c r="E49" i="55"/>
  <c r="C49" i="55"/>
  <c r="B49" i="55"/>
  <c r="Q46" i="55"/>
  <c r="J46" i="55"/>
  <c r="I46" i="55"/>
  <c r="F46" i="55"/>
  <c r="E46" i="55"/>
  <c r="C46" i="55"/>
  <c r="B46" i="55"/>
  <c r="Q45" i="55"/>
  <c r="J45" i="55"/>
  <c r="I45" i="55"/>
  <c r="F45" i="55"/>
  <c r="E45" i="55"/>
  <c r="C45" i="55"/>
  <c r="B45" i="55"/>
  <c r="Q44" i="55"/>
  <c r="J44" i="55"/>
  <c r="I44" i="55"/>
  <c r="F44" i="55"/>
  <c r="E44" i="55"/>
  <c r="C44" i="55"/>
  <c r="B44" i="55"/>
  <c r="Q43" i="55"/>
  <c r="J43" i="55"/>
  <c r="I43" i="55"/>
  <c r="F43" i="55"/>
  <c r="E43" i="55"/>
  <c r="C43" i="55"/>
  <c r="B43" i="55"/>
  <c r="Q42" i="55"/>
  <c r="J42" i="55"/>
  <c r="I42" i="55"/>
  <c r="F42" i="55"/>
  <c r="E42" i="55"/>
  <c r="C42" i="55"/>
  <c r="B42" i="55"/>
  <c r="Q41" i="55"/>
  <c r="J41" i="55"/>
  <c r="I41" i="55"/>
  <c r="F41" i="55"/>
  <c r="E41" i="55"/>
  <c r="C41" i="55"/>
  <c r="B41" i="55"/>
  <c r="Q40" i="55"/>
  <c r="J40" i="55"/>
  <c r="I40" i="55"/>
  <c r="F40" i="55"/>
  <c r="E40" i="55"/>
  <c r="C40" i="55"/>
  <c r="B40" i="55"/>
  <c r="Q39" i="55"/>
  <c r="J39" i="55"/>
  <c r="I39" i="55"/>
  <c r="F39" i="55"/>
  <c r="E39" i="55"/>
  <c r="C39" i="55"/>
  <c r="B39" i="55"/>
  <c r="Q38" i="55"/>
  <c r="J38" i="55"/>
  <c r="I38" i="55"/>
  <c r="F38" i="55"/>
  <c r="E38" i="55"/>
  <c r="C38" i="55"/>
  <c r="B38" i="55"/>
  <c r="Q37" i="55"/>
  <c r="J37" i="55"/>
  <c r="I37" i="55"/>
  <c r="F37" i="55"/>
  <c r="E37" i="55"/>
  <c r="C37" i="55"/>
  <c r="B37" i="55"/>
  <c r="Q36" i="55"/>
  <c r="J36" i="55"/>
  <c r="I36" i="55"/>
  <c r="F36" i="55"/>
  <c r="E36" i="55"/>
  <c r="C36" i="55"/>
  <c r="B36" i="55"/>
  <c r="Q35" i="55"/>
  <c r="J35" i="55"/>
  <c r="I35" i="55"/>
  <c r="F35" i="55"/>
  <c r="E35" i="55"/>
  <c r="C35" i="55"/>
  <c r="B35" i="55"/>
  <c r="Q34" i="55"/>
  <c r="J34" i="55"/>
  <c r="I34" i="55"/>
  <c r="F34" i="55"/>
  <c r="E34" i="55"/>
  <c r="C34" i="55"/>
  <c r="B34" i="55"/>
  <c r="Q33" i="55"/>
  <c r="J33" i="55"/>
  <c r="R33" i="55"/>
  <c r="I33" i="55"/>
  <c r="F33" i="55"/>
  <c r="E33" i="55"/>
  <c r="C33" i="55"/>
  <c r="B33" i="55"/>
  <c r="Q32" i="55"/>
  <c r="J32" i="55"/>
  <c r="I32" i="55"/>
  <c r="F32" i="55"/>
  <c r="E32" i="55"/>
  <c r="C32" i="55"/>
  <c r="B32" i="55"/>
  <c r="Q31" i="55"/>
  <c r="J31" i="55"/>
  <c r="D31" i="55" a="1"/>
  <c r="D31" i="55"/>
  <c r="L31" i="55" s="1" a="1"/>
  <c r="L31" i="55" s="1"/>
  <c r="I31" i="55"/>
  <c r="F31" i="55"/>
  <c r="E31" i="55"/>
  <c r="C31" i="55"/>
  <c r="B31" i="55"/>
  <c r="Q30" i="55"/>
  <c r="J30" i="55"/>
  <c r="I30" i="55"/>
  <c r="F30" i="55"/>
  <c r="E30" i="55"/>
  <c r="C30" i="55"/>
  <c r="Q29" i="55"/>
  <c r="J29" i="55"/>
  <c r="I29" i="55"/>
  <c r="F29" i="55"/>
  <c r="E29" i="55"/>
  <c r="C29" i="55"/>
  <c r="B29" i="55"/>
  <c r="Q28" i="55"/>
  <c r="J28" i="55"/>
  <c r="I28" i="55"/>
  <c r="F28" i="55"/>
  <c r="E28" i="55"/>
  <c r="C28" i="55"/>
  <c r="B28" i="55"/>
  <c r="Q27" i="55"/>
  <c r="J27" i="55"/>
  <c r="R27" i="55" s="1"/>
  <c r="I27" i="55"/>
  <c r="F27" i="55"/>
  <c r="E27" i="55"/>
  <c r="C27" i="55"/>
  <c r="B27" i="55"/>
  <c r="Q26" i="55"/>
  <c r="J26" i="55"/>
  <c r="I26" i="55"/>
  <c r="F26" i="55"/>
  <c r="E26" i="55"/>
  <c r="C26" i="55"/>
  <c r="B26" i="55"/>
  <c r="Q25" i="55"/>
  <c r="J25" i="55"/>
  <c r="I25" i="55"/>
  <c r="F25" i="55"/>
  <c r="E25" i="55"/>
  <c r="C25" i="55"/>
  <c r="B25" i="55"/>
  <c r="Q24" i="55"/>
  <c r="J24" i="55"/>
  <c r="I24" i="55"/>
  <c r="F24" i="55"/>
  <c r="E24" i="55"/>
  <c r="C24" i="55"/>
  <c r="B24" i="55"/>
  <c r="Q23" i="55"/>
  <c r="J23" i="55"/>
  <c r="I23" i="55"/>
  <c r="F23" i="55"/>
  <c r="E23" i="55"/>
  <c r="C23" i="55"/>
  <c r="Q22" i="55"/>
  <c r="J22" i="55"/>
  <c r="I22" i="55"/>
  <c r="F22" i="55"/>
  <c r="E22" i="55"/>
  <c r="C22" i="55"/>
  <c r="B22" i="55"/>
  <c r="Q21" i="55"/>
  <c r="J21" i="55"/>
  <c r="I21" i="55"/>
  <c r="F21" i="55"/>
  <c r="E21" i="55"/>
  <c r="C21" i="55"/>
  <c r="B21" i="55"/>
  <c r="Q20" i="55"/>
  <c r="J20" i="55"/>
  <c r="I20" i="55"/>
  <c r="F20" i="55"/>
  <c r="E20" i="55"/>
  <c r="C20" i="55"/>
  <c r="B20" i="55"/>
  <c r="Q19" i="55"/>
  <c r="J19" i="55"/>
  <c r="R19" i="55" s="1"/>
  <c r="I19" i="55"/>
  <c r="F19" i="55"/>
  <c r="E19" i="55"/>
  <c r="C19" i="55"/>
  <c r="B19" i="55"/>
  <c r="Q18" i="55"/>
  <c r="J18" i="55"/>
  <c r="I18" i="55"/>
  <c r="F18" i="55"/>
  <c r="E18" i="55"/>
  <c r="C18" i="55"/>
  <c r="B18" i="55"/>
  <c r="Q17" i="55"/>
  <c r="J17" i="55"/>
  <c r="I17" i="55"/>
  <c r="F17" i="55"/>
  <c r="E17" i="55"/>
  <c r="C17" i="55"/>
  <c r="B17" i="55"/>
  <c r="Q14" i="55"/>
  <c r="J14" i="55"/>
  <c r="P14" i="55"/>
  <c r="S14" i="55" s="1"/>
  <c r="I14" i="55"/>
  <c r="F14" i="55"/>
  <c r="E14" i="55"/>
  <c r="C14" i="55"/>
  <c r="B14" i="55"/>
  <c r="Q11" i="55"/>
  <c r="J11" i="55"/>
  <c r="R11" i="55" s="1"/>
  <c r="I11" i="55"/>
  <c r="F11" i="55"/>
  <c r="E11" i="55"/>
  <c r="C11" i="55"/>
  <c r="B11" i="55"/>
  <c r="Q10" i="55"/>
  <c r="J10" i="55"/>
  <c r="P10" i="55"/>
  <c r="S10" i="55" s="1"/>
  <c r="I10" i="55"/>
  <c r="F10" i="55"/>
  <c r="E10" i="55"/>
  <c r="C10" i="55"/>
  <c r="Q9" i="55"/>
  <c r="J9" i="55"/>
  <c r="I9" i="55"/>
  <c r="F9" i="55"/>
  <c r="C9" i="55"/>
  <c r="B9" i="55"/>
  <c r="Q8" i="55"/>
  <c r="J8" i="55"/>
  <c r="R8" i="55" s="1"/>
  <c r="T8" i="55" s="1"/>
  <c r="I8" i="55"/>
  <c r="F8" i="55"/>
  <c r="E8" i="55"/>
  <c r="C8" i="55"/>
  <c r="B8" i="55"/>
  <c r="Q7" i="55"/>
  <c r="J7" i="55"/>
  <c r="I7" i="55"/>
  <c r="F7" i="55"/>
  <c r="E7" i="55"/>
  <c r="C7" i="55"/>
  <c r="B7" i="55"/>
  <c r="P21" i="59"/>
  <c r="H21" i="59"/>
  <c r="H19" i="59"/>
  <c r="C19" i="59"/>
  <c r="N19" i="59" s="1"/>
  <c r="I19" i="59"/>
  <c r="H20" i="59"/>
  <c r="Q20" i="59"/>
  <c r="Q19" i="59"/>
  <c r="Q21" i="59"/>
  <c r="I20" i="59"/>
  <c r="I23" i="59"/>
  <c r="B20" i="59"/>
  <c r="V20" i="59" s="1"/>
  <c r="P19" i="59"/>
  <c r="D19" i="59"/>
  <c r="D23" i="59" s="1"/>
  <c r="D20" i="59"/>
  <c r="D21" i="59"/>
  <c r="S14" i="59"/>
  <c r="S12" i="59"/>
  <c r="S13" i="59"/>
  <c r="J14" i="59"/>
  <c r="J15" i="59" s="1"/>
  <c r="P13" i="59"/>
  <c r="B13" i="59"/>
  <c r="V13" i="59" s="1"/>
  <c r="C13" i="59"/>
  <c r="L13" i="59" s="1"/>
  <c r="P12" i="59"/>
  <c r="Q12" i="59"/>
  <c r="J12" i="59"/>
  <c r="J13" i="59"/>
  <c r="D12" i="59"/>
  <c r="D13" i="59"/>
  <c r="D15" i="59" s="1"/>
  <c r="D14" i="59"/>
  <c r="K21" i="59"/>
  <c r="S20" i="59"/>
  <c r="S19" i="59"/>
  <c r="S21" i="59"/>
  <c r="E21" i="59"/>
  <c r="K20" i="59"/>
  <c r="K19" i="59"/>
  <c r="K23" i="59" s="1"/>
  <c r="E19" i="59"/>
  <c r="B19" i="59"/>
  <c r="B23" i="59" s="1"/>
  <c r="B21" i="59"/>
  <c r="O19" i="59"/>
  <c r="O23" i="59" s="1"/>
  <c r="O20" i="59"/>
  <c r="O21" i="59"/>
  <c r="E20" i="59"/>
  <c r="C14" i="59"/>
  <c r="N14" i="59" s="1"/>
  <c r="K13" i="59"/>
  <c r="R14" i="59"/>
  <c r="R12" i="59"/>
  <c r="R13" i="59"/>
  <c r="R15" i="59" s="1"/>
  <c r="E14" i="59"/>
  <c r="B14" i="59"/>
  <c r="V14" i="59" s="1"/>
  <c r="B12" i="59"/>
  <c r="F12" i="59" s="1"/>
  <c r="P14" i="59"/>
  <c r="Q14" i="59"/>
  <c r="Q13" i="59"/>
  <c r="I12" i="59"/>
  <c r="C21" i="59"/>
  <c r="N21" i="59" s="1"/>
  <c r="J19" i="59"/>
  <c r="J23" i="59" s="1"/>
  <c r="J20" i="59"/>
  <c r="J21" i="59"/>
  <c r="C6" i="59"/>
  <c r="L6" i="59" s="1"/>
  <c r="C5" i="59"/>
  <c r="C4" i="59"/>
  <c r="R21" i="59"/>
  <c r="T21" i="59"/>
  <c r="F21" i="59"/>
  <c r="I13" i="59"/>
  <c r="I14" i="59"/>
  <c r="H13" i="59"/>
  <c r="R20" i="59"/>
  <c r="R19" i="59"/>
  <c r="C20" i="59"/>
  <c r="L20" i="59" s="1"/>
  <c r="K14" i="59"/>
  <c r="E12" i="59"/>
  <c r="E13" i="59"/>
  <c r="P20" i="59"/>
  <c r="H14" i="59"/>
  <c r="C12" i="59"/>
  <c r="H12" i="59"/>
  <c r="H15" i="59" s="1"/>
  <c r="I21" i="59"/>
  <c r="K12" i="59"/>
  <c r="D72" i="55" a="1"/>
  <c r="D72" i="55" s="1"/>
  <c r="D74" i="55" a="1"/>
  <c r="D74" i="55"/>
  <c r="G74" i="55" s="1"/>
  <c r="D71" i="55" a="1"/>
  <c r="D71" i="55" s="1"/>
  <c r="D55" i="55" a="1"/>
  <c r="D55" i="55" s="1"/>
  <c r="D45" i="55" a="1"/>
  <c r="D45" i="55"/>
  <c r="H45" i="55" s="1"/>
  <c r="D38" i="55" a="1"/>
  <c r="D38" i="55" s="1"/>
  <c r="H38" i="55" s="1"/>
  <c r="D30" i="55" a="1"/>
  <c r="D30" i="55" s="1"/>
  <c r="D68" i="55" a="1"/>
  <c r="D68" i="55" s="1"/>
  <c r="D63" i="55" a="1"/>
  <c r="D63" i="55" s="1"/>
  <c r="D58" i="55" a="1"/>
  <c r="D58" i="55" s="1"/>
  <c r="D44" i="55" a="1"/>
  <c r="D44" i="55" s="1"/>
  <c r="D40" i="55" a="1"/>
  <c r="D40" i="55" s="1"/>
  <c r="D33" i="55" a="1"/>
  <c r="D33" i="55"/>
  <c r="G33" i="55" s="1"/>
  <c r="D27" i="55" a="1"/>
  <c r="D27" i="55" s="1"/>
  <c r="D24" i="55" a="1"/>
  <c r="D24" i="55"/>
  <c r="D17" i="55" a="1"/>
  <c r="D17" i="55" s="1"/>
  <c r="D46" i="55" a="1"/>
  <c r="D46" i="55" s="1"/>
  <c r="D39" i="55" a="1"/>
  <c r="D39" i="55" s="1"/>
  <c r="D22" i="55" a="1"/>
  <c r="D22" i="55" s="1"/>
  <c r="D69" i="55" a="1"/>
  <c r="D69" i="55"/>
  <c r="D62" i="55" a="1"/>
  <c r="D62" i="55" s="1"/>
  <c r="D51" i="55" a="1"/>
  <c r="D51" i="55" s="1"/>
  <c r="D41" i="55" a="1"/>
  <c r="D41" i="55" s="1"/>
  <c r="D34" i="55" a="1"/>
  <c r="D34" i="55" s="1"/>
  <c r="D25" i="55" a="1"/>
  <c r="D25" i="55" s="1"/>
  <c r="G25" i="55" s="1"/>
  <c r="D23" i="55" a="1"/>
  <c r="D23" i="55" s="1"/>
  <c r="D60" i="55" a="1"/>
  <c r="D60" i="55" s="1"/>
  <c r="D36" i="55" a="1"/>
  <c r="D36" i="55" s="1"/>
  <c r="D28" i="55" a="1"/>
  <c r="D28" i="55" s="1"/>
  <c r="D70" i="55" a="1"/>
  <c r="D70" i="55" s="1"/>
  <c r="G70" i="55" s="1"/>
  <c r="D67" i="55" a="1"/>
  <c r="D67" i="55"/>
  <c r="D61" i="55" a="1"/>
  <c r="D61" i="55" s="1"/>
  <c r="D42" i="55" a="1"/>
  <c r="D42" i="55" s="1"/>
  <c r="H42" i="55" s="1"/>
  <c r="D56" i="55" a="1"/>
  <c r="D56" i="55" s="1"/>
  <c r="D37" i="55" a="1"/>
  <c r="D37" i="55"/>
  <c r="G37" i="55" s="1"/>
  <c r="D29" i="55" a="1"/>
  <c r="D29" i="55"/>
  <c r="G29" i="55" s="1"/>
  <c r="D43" i="55" a="1"/>
  <c r="D43" i="55" s="1"/>
  <c r="D35" i="55" a="1"/>
  <c r="D35" i="55" s="1"/>
  <c r="D26" i="55" a="1"/>
  <c r="D26" i="55" s="1"/>
  <c r="K2" i="53"/>
  <c r="O2" i="53"/>
  <c r="R2" i="53"/>
  <c r="M49" i="55" a="1"/>
  <c r="M49" i="55"/>
  <c r="M8" i="55" a="1"/>
  <c r="M8" i="55"/>
  <c r="M37" i="55" a="1"/>
  <c r="M37" i="55" s="1"/>
  <c r="O37" i="55" s="1"/>
  <c r="M25" i="55" a="1"/>
  <c r="M25" i="55"/>
  <c r="M69" i="55" a="1"/>
  <c r="M69" i="55" s="1"/>
  <c r="M23" i="55" a="1"/>
  <c r="M23" i="55" s="1"/>
  <c r="M38" i="55" a="1"/>
  <c r="M38" i="55" s="1"/>
  <c r="O38" i="55" s="1"/>
  <c r="U2" i="53"/>
  <c r="V2" i="53"/>
  <c r="W2" i="53"/>
  <c r="AA2" i="53"/>
  <c r="AB2" i="53"/>
  <c r="AC2" i="53"/>
  <c r="AD2" i="53"/>
  <c r="P67" i="55"/>
  <c r="S67" i="55" s="1"/>
  <c r="Y12" i="26"/>
  <c r="M12" i="26"/>
  <c r="M30" i="55" a="1"/>
  <c r="M30" i="55"/>
  <c r="M61" i="55" a="1"/>
  <c r="M61" i="55"/>
  <c r="M19" i="55" a="1"/>
  <c r="M19" i="55" s="1"/>
  <c r="O19" i="55" s="1"/>
  <c r="M26" i="55" a="1"/>
  <c r="M26" i="55"/>
  <c r="O26" i="55" s="1"/>
  <c r="M20" i="55" a="1"/>
  <c r="M20" i="55" s="1"/>
  <c r="O20" i="55" s="1"/>
  <c r="M40" i="55" a="1"/>
  <c r="M40" i="55" s="1"/>
  <c r="O40" i="55" s="1"/>
  <c r="M70" i="55" a="1"/>
  <c r="M70" i="55"/>
  <c r="O70" i="55" s="1"/>
  <c r="M39" i="55" a="1"/>
  <c r="M39" i="55"/>
  <c r="O39" i="55" s="1"/>
  <c r="M54" i="55" a="1"/>
  <c r="M54" i="55" s="1"/>
  <c r="M29" i="55" a="1"/>
  <c r="M29" i="55" s="1"/>
  <c r="M24" i="55" a="1"/>
  <c r="M24" i="55" s="1"/>
  <c r="M55" i="55" a="1"/>
  <c r="M55" i="55"/>
  <c r="M32" i="55" a="1"/>
  <c r="M32" i="55"/>
  <c r="P45" i="55"/>
  <c r="S45" i="55" s="1"/>
  <c r="M44" i="55" a="1"/>
  <c r="M44" i="55"/>
  <c r="M11" i="55" a="1"/>
  <c r="M11" i="55" s="1"/>
  <c r="O11" i="55" s="1"/>
  <c r="M42" i="55" a="1"/>
  <c r="M42" i="55"/>
  <c r="M62" i="55" a="1"/>
  <c r="M62" i="55"/>
  <c r="M10" i="55" a="1"/>
  <c r="M10" i="55" s="1"/>
  <c r="O10" i="55" s="1"/>
  <c r="M21" i="55" a="1"/>
  <c r="M21" i="55"/>
  <c r="M64" i="55" a="1"/>
  <c r="M64" i="55"/>
  <c r="M33" i="55" a="1"/>
  <c r="M33" i="55"/>
  <c r="M68" i="55" a="1"/>
  <c r="M68" i="55" s="1"/>
  <c r="M51" i="55" a="1"/>
  <c r="M51" i="55" s="1"/>
  <c r="M14" i="55" a="1"/>
  <c r="M14" i="55" s="1"/>
  <c r="O14" i="55" s="1"/>
  <c r="M72" i="55" a="1"/>
  <c r="M72" i="55" s="1"/>
  <c r="M45" i="55" a="1"/>
  <c r="M45" i="55" s="1"/>
  <c r="M58" i="55" a="1"/>
  <c r="M58" i="55" s="1"/>
  <c r="M46" i="55" a="1"/>
  <c r="M46" i="55" s="1"/>
  <c r="M18" i="55" a="1"/>
  <c r="M18" i="55"/>
  <c r="O18" i="55" s="1"/>
  <c r="M74" i="55" a="1"/>
  <c r="M74" i="55" s="1"/>
  <c r="M56" i="55" a="1"/>
  <c r="M56" i="55" s="1"/>
  <c r="M71" i="55" a="1"/>
  <c r="M71" i="55" s="1"/>
  <c r="O71" i="55" s="1"/>
  <c r="M36" i="55" a="1"/>
  <c r="M36" i="55" s="1"/>
  <c r="O36" i="55" s="1"/>
  <c r="M9" i="55" a="1"/>
  <c r="M9" i="55"/>
  <c r="O9" i="55" s="1"/>
  <c r="N9" i="55" a="1"/>
  <c r="AK14" i="26"/>
  <c r="D12" i="26"/>
  <c r="I12" i="26"/>
  <c r="M34" i="55" a="1"/>
  <c r="M34" i="55" s="1"/>
  <c r="O34" i="55" s="1"/>
  <c r="M67" i="55" a="1"/>
  <c r="M67" i="55"/>
  <c r="P54" i="55"/>
  <c r="S54" i="55"/>
  <c r="P18" i="55"/>
  <c r="S18" i="55"/>
  <c r="P61" i="55"/>
  <c r="S61" i="55" s="1"/>
  <c r="M41" i="55" a="1"/>
  <c r="M41" i="55" s="1"/>
  <c r="M28" i="55" a="1"/>
  <c r="M28" i="55" s="1"/>
  <c r="M43" i="55" a="1"/>
  <c r="M43" i="55" s="1"/>
  <c r="M53" i="55" a="1"/>
  <c r="M53" i="55" s="1"/>
  <c r="M60" i="55" a="1"/>
  <c r="M60" i="55"/>
  <c r="M27" i="55" a="1"/>
  <c r="M27" i="55"/>
  <c r="O27" i="55" s="1"/>
  <c r="M65" i="55" a="1"/>
  <c r="M65" i="55" s="1"/>
  <c r="O65" i="55" s="1"/>
  <c r="M22" i="55" a="1"/>
  <c r="M22" i="55" s="1"/>
  <c r="M63" i="55" a="1"/>
  <c r="M63" i="55" s="1"/>
  <c r="P9" i="55"/>
  <c r="S9" i="55" s="1"/>
  <c r="S14" i="26"/>
  <c r="N2" i="53"/>
  <c r="M12" i="55" a="1"/>
  <c r="M12" i="55" s="1"/>
  <c r="O12" i="55" s="1"/>
  <c r="M48" i="55" a="1"/>
  <c r="M48" i="55"/>
  <c r="M47" i="55" a="1"/>
  <c r="M47" i="55"/>
  <c r="O47" i="55"/>
  <c r="M13" i="55" a="1"/>
  <c r="M13" i="55" s="1"/>
  <c r="M15" i="55" a="1"/>
  <c r="M15" i="55"/>
  <c r="M52" i="55" a="1"/>
  <c r="M52" i="55"/>
  <c r="O52" i="55" s="1"/>
  <c r="M16" i="55" a="1"/>
  <c r="M16" i="55"/>
  <c r="M66" i="55" a="1"/>
  <c r="M66" i="55"/>
  <c r="M59" i="55" a="1"/>
  <c r="M59" i="55"/>
  <c r="U21" i="59"/>
  <c r="P13" i="55"/>
  <c r="S13" i="55"/>
  <c r="P12" i="55"/>
  <c r="S12" i="55" s="1"/>
  <c r="J2" i="55"/>
  <c r="P8" i="55"/>
  <c r="P39" i="55"/>
  <c r="S39" i="55" s="1"/>
  <c r="L14" i="26"/>
  <c r="AC12" i="26"/>
  <c r="P31" i="55"/>
  <c r="S31" i="55"/>
  <c r="P55" i="55"/>
  <c r="S55" i="55"/>
  <c r="P27" i="55"/>
  <c r="S27" i="55" s="1"/>
  <c r="P40" i="55"/>
  <c r="S40" i="55" s="1"/>
  <c r="B61" i="61"/>
  <c r="G21" i="59"/>
  <c r="M21" i="59"/>
  <c r="P32" i="55"/>
  <c r="S32" i="55" s="1"/>
  <c r="T32" i="55" s="1"/>
  <c r="M2" i="55"/>
  <c r="C40" i="61"/>
  <c r="C41" i="61"/>
  <c r="D4" i="60"/>
  <c r="C5" i="60"/>
  <c r="D5" i="60" s="1"/>
  <c r="D7" i="26"/>
  <c r="C6" i="26"/>
  <c r="M73" i="55" a="1"/>
  <c r="M73" i="55" s="1"/>
  <c r="M50" i="55" a="1"/>
  <c r="M50" i="55"/>
  <c r="G2" i="26"/>
  <c r="H14" i="26"/>
  <c r="P70" i="55"/>
  <c r="R70" i="55" s="1"/>
  <c r="AH12" i="26"/>
  <c r="AA12" i="26"/>
  <c r="W12" i="26"/>
  <c r="P12" i="26"/>
  <c r="N22" i="59"/>
  <c r="O14" i="59"/>
  <c r="U14" i="59" s="1"/>
  <c r="P11" i="55"/>
  <c r="S11" i="55" s="1"/>
  <c r="P25" i="55"/>
  <c r="P51" i="55"/>
  <c r="I14" i="26"/>
  <c r="J14" i="26"/>
  <c r="N14" i="26"/>
  <c r="O14" i="26"/>
  <c r="K14" i="26"/>
  <c r="AG12" i="26"/>
  <c r="AJ14" i="26"/>
  <c r="R14" i="26"/>
  <c r="V14" i="26"/>
  <c r="W14" i="26"/>
  <c r="AA14" i="26"/>
  <c r="P14" i="26"/>
  <c r="F12" i="26"/>
  <c r="G6" i="59"/>
  <c r="M6" i="59" s="1"/>
  <c r="V6" i="59"/>
  <c r="V22" i="59"/>
  <c r="N5" i="59"/>
  <c r="F25" i="61"/>
  <c r="AI14" i="26"/>
  <c r="G14" i="26"/>
  <c r="O12" i="26"/>
  <c r="AG14" i="26"/>
  <c r="V12" i="26"/>
  <c r="AC14" i="26"/>
  <c r="H12" i="26"/>
  <c r="Z14" i="26"/>
  <c r="M35" i="55" a="1"/>
  <c r="M35" i="55" s="1"/>
  <c r="O35" i="55" s="1"/>
  <c r="M31" i="55" a="1"/>
  <c r="M31" i="55" s="1"/>
  <c r="O31" i="55" s="1"/>
  <c r="M7" i="55" a="1"/>
  <c r="M7" i="55" s="1"/>
  <c r="M57" i="55" a="1"/>
  <c r="M57" i="55"/>
  <c r="M17" i="55" a="1"/>
  <c r="M17" i="55" s="1"/>
  <c r="T22" i="59"/>
  <c r="B12" i="26"/>
  <c r="AH14" i="26"/>
  <c r="AF14" i="26"/>
  <c r="AD14" i="26"/>
  <c r="Y14" i="26"/>
  <c r="Q12" i="26"/>
  <c r="F14" i="26"/>
  <c r="Z12" i="26"/>
  <c r="AL12" i="26"/>
  <c r="AD12" i="26"/>
  <c r="G12" i="26"/>
  <c r="T14" i="26"/>
  <c r="N12" i="26"/>
  <c r="AI12" i="26"/>
  <c r="U12" i="26"/>
  <c r="L12" i="26"/>
  <c r="X12" i="26"/>
  <c r="K12" i="26"/>
  <c r="R12" i="26"/>
  <c r="AL14" i="26"/>
  <c r="U14" i="26"/>
  <c r="AE12" i="26"/>
  <c r="AK12" i="26"/>
  <c r="S12" i="26"/>
  <c r="M81" i="55" a="1"/>
  <c r="M81" i="55" s="1"/>
  <c r="O81" i="55" s="1"/>
  <c r="M89" i="55" a="1"/>
  <c r="M89" i="55" s="1"/>
  <c r="O89" i="55" s="1"/>
  <c r="M97" i="55" a="1"/>
  <c r="M97" i="55"/>
  <c r="O97" i="55" s="1"/>
  <c r="M105" i="55" a="1"/>
  <c r="M105" i="55" s="1"/>
  <c r="M108" i="55" a="1"/>
  <c r="M108" i="55"/>
  <c r="O108" i="55" s="1"/>
  <c r="M115" i="55"/>
  <c r="P81" i="55"/>
  <c r="M87" i="55" a="1"/>
  <c r="M87" i="55" s="1"/>
  <c r="O87" i="55" s="1"/>
  <c r="P89" i="55"/>
  <c r="S89" i="55" s="1"/>
  <c r="M95" i="55" a="1"/>
  <c r="M95" i="55" s="1"/>
  <c r="M103" i="55" a="1"/>
  <c r="M103" i="55" s="1"/>
  <c r="O103" i="55" s="1"/>
  <c r="P105" i="55"/>
  <c r="P76" i="55"/>
  <c r="S76" i="55" s="1"/>
  <c r="M82" i="55" a="1"/>
  <c r="M82" i="55"/>
  <c r="O82" i="55" s="1"/>
  <c r="M90" i="55" a="1"/>
  <c r="M90" i="55" s="1"/>
  <c r="O90" i="55" s="1"/>
  <c r="M98" i="55" a="1"/>
  <c r="M98" i="55" s="1"/>
  <c r="O98" i="55" s="1"/>
  <c r="M106" i="55" a="1"/>
  <c r="M106" i="55"/>
  <c r="P35" i="55"/>
  <c r="R35" i="55"/>
  <c r="M85" i="55" a="1"/>
  <c r="M85" i="55" s="1"/>
  <c r="O85" i="55" s="1"/>
  <c r="P87" i="55"/>
  <c r="S87" i="55"/>
  <c r="M93" i="55" a="1"/>
  <c r="M93" i="55" s="1"/>
  <c r="O93" i="55" s="1"/>
  <c r="M101" i="55" a="1"/>
  <c r="M101" i="55"/>
  <c r="O101" i="55" s="1"/>
  <c r="P103" i="55"/>
  <c r="S103" i="55" s="1"/>
  <c r="M109" i="55" a="1"/>
  <c r="M109" i="55" s="1"/>
  <c r="O109" i="55" s="1"/>
  <c r="M104" i="55" a="1"/>
  <c r="M104" i="55" s="1"/>
  <c r="I115" i="55"/>
  <c r="M83" i="55" a="1"/>
  <c r="M83" i="55"/>
  <c r="P85" i="55"/>
  <c r="S85" i="55" s="1"/>
  <c r="M91" i="55" a="1"/>
  <c r="M91" i="55"/>
  <c r="O91" i="55"/>
  <c r="M99" i="55" a="1"/>
  <c r="M99" i="55" s="1"/>
  <c r="O99" i="55" s="1"/>
  <c r="M107" i="55" a="1"/>
  <c r="M107" i="55" s="1"/>
  <c r="O107" i="55" s="1"/>
  <c r="P109" i="55"/>
  <c r="S109" i="55" s="1"/>
  <c r="P30" i="55"/>
  <c r="M78" i="55" a="1"/>
  <c r="M78" i="55"/>
  <c r="O78" i="55" s="1"/>
  <c r="M86" i="55" a="1"/>
  <c r="M86" i="55" s="1"/>
  <c r="O86" i="55" s="1"/>
  <c r="P88" i="55"/>
  <c r="R88" i="55" s="1"/>
  <c r="M94" i="55" a="1"/>
  <c r="M94" i="55" s="1"/>
  <c r="O94" i="55" s="1"/>
  <c r="P96" i="55"/>
  <c r="M102" i="55" a="1"/>
  <c r="M102" i="55" s="1"/>
  <c r="O102" i="55" s="1"/>
  <c r="M110" i="55" a="1"/>
  <c r="M110" i="55" s="1"/>
  <c r="O110" i="55" s="1"/>
  <c r="R107" i="55"/>
  <c r="H103" i="55"/>
  <c r="G86" i="55"/>
  <c r="R80" i="55"/>
  <c r="P53" i="55"/>
  <c r="S53" i="55" s="1"/>
  <c r="T53" i="55" s="1"/>
  <c r="P17" i="55"/>
  <c r="P33" i="55"/>
  <c r="S33" i="55" s="1"/>
  <c r="T33" i="55" s="1"/>
  <c r="P38" i="55"/>
  <c r="R14" i="55"/>
  <c r="T14" i="55" s="1"/>
  <c r="P23" i="55"/>
  <c r="S23" i="55" s="1"/>
  <c r="P20" i="55"/>
  <c r="P19" i="55"/>
  <c r="S19" i="55" s="1"/>
  <c r="P48" i="55"/>
  <c r="S48" i="55" s="1"/>
  <c r="T48" i="55" s="1"/>
  <c r="P74" i="55"/>
  <c r="S74" i="55" s="1"/>
  <c r="R40" i="55"/>
  <c r="R39" i="55"/>
  <c r="T39" i="55" s="1"/>
  <c r="R12" i="55"/>
  <c r="P41" i="55"/>
  <c r="S41" i="55"/>
  <c r="F6" i="59"/>
  <c r="P49" i="55"/>
  <c r="P36" i="55"/>
  <c r="R36" i="55" s="1"/>
  <c r="P29" i="55"/>
  <c r="S29" i="55"/>
  <c r="P37" i="55"/>
  <c r="R37" i="55" s="1"/>
  <c r="P28" i="55"/>
  <c r="R28" i="55"/>
  <c r="P62" i="55"/>
  <c r="S62" i="55" s="1"/>
  <c r="U20" i="59"/>
  <c r="P50" i="55"/>
  <c r="R50" i="55"/>
  <c r="O5" i="59"/>
  <c r="U5" i="59" s="1"/>
  <c r="T5" i="59"/>
  <c r="P52" i="55"/>
  <c r="S52" i="55" s="1"/>
  <c r="P71" i="55"/>
  <c r="S71" i="55" s="1"/>
  <c r="R71" i="55"/>
  <c r="N20" i="59"/>
  <c r="G20" i="59"/>
  <c r="M20" i="59" s="1"/>
  <c r="O13" i="59"/>
  <c r="U13" i="59" s="1"/>
  <c r="G7" i="59"/>
  <c r="M7" i="59"/>
  <c r="P63" i="55"/>
  <c r="P26" i="55"/>
  <c r="S26" i="55"/>
  <c r="P47" i="55"/>
  <c r="S47" i="55"/>
  <c r="P75" i="55"/>
  <c r="S75" i="55" s="1"/>
  <c r="O6" i="59"/>
  <c r="T6" i="59"/>
  <c r="G14" i="59"/>
  <c r="M14" i="59"/>
  <c r="L14" i="59"/>
  <c r="P69" i="55"/>
  <c r="R69" i="55"/>
  <c r="P58" i="55"/>
  <c r="G5" i="59"/>
  <c r="M5" i="59"/>
  <c r="L5" i="59"/>
  <c r="P65" i="55"/>
  <c r="S65" i="55"/>
  <c r="R65" i="55"/>
  <c r="T65" i="55" s="1"/>
  <c r="G13" i="59"/>
  <c r="M13" i="59" s="1"/>
  <c r="P56" i="55"/>
  <c r="S56" i="55" s="1"/>
  <c r="P16" i="55"/>
  <c r="I8" i="59"/>
  <c r="R18" i="55"/>
  <c r="R31" i="55"/>
  <c r="T31" i="55" s="1"/>
  <c r="F7" i="59"/>
  <c r="V5" i="59"/>
  <c r="V7" i="59"/>
  <c r="F22" i="59"/>
  <c r="AE14" i="26"/>
  <c r="J12" i="26"/>
  <c r="AF12" i="26"/>
  <c r="X14" i="26"/>
  <c r="E12" i="26"/>
  <c r="R52" i="55"/>
  <c r="T52" i="55" s="1"/>
  <c r="T20" i="59"/>
  <c r="R26" i="55"/>
  <c r="G94" i="55"/>
  <c r="P110" i="55"/>
  <c r="S110" i="55" s="1"/>
  <c r="P21" i="55"/>
  <c r="R21" i="55" s="1"/>
  <c r="M92" i="55" a="1"/>
  <c r="M92" i="55" s="1"/>
  <c r="M88" i="55" a="1"/>
  <c r="M88" i="55"/>
  <c r="O88" i="55" s="1"/>
  <c r="M96" i="55" a="1"/>
  <c r="M96" i="55"/>
  <c r="O96" i="55" s="1"/>
  <c r="M76" i="55" a="1"/>
  <c r="M76" i="55"/>
  <c r="E40" i="61"/>
  <c r="F5" i="59"/>
  <c r="M80" i="55" a="1"/>
  <c r="M80" i="55" s="1"/>
  <c r="O80" i="55" s="1"/>
  <c r="I2" i="55"/>
  <c r="M84" i="55" a="1"/>
  <c r="M84" i="55" s="1"/>
  <c r="O84" i="55" s="1"/>
  <c r="P102" i="55"/>
  <c r="R102" i="55" s="1"/>
  <c r="P15" i="55"/>
  <c r="S15" i="55" s="1"/>
  <c r="G96" i="55"/>
  <c r="H49" i="55"/>
  <c r="G49" i="55"/>
  <c r="E8" i="59"/>
  <c r="P2" i="53"/>
  <c r="C6" i="60"/>
  <c r="C7" i="60" s="1"/>
  <c r="D7" i="60" s="1"/>
  <c r="M100" i="55" a="1"/>
  <c r="M100" i="55"/>
  <c r="M77" i="55" a="1"/>
  <c r="M77" i="55" s="1"/>
  <c r="P104" i="55"/>
  <c r="S104" i="55" s="1"/>
  <c r="H4" i="59"/>
  <c r="N24" i="55" a="1"/>
  <c r="T2" i="53"/>
  <c r="H52" i="55"/>
  <c r="N89" i="55" a="1"/>
  <c r="N45" i="55" a="1"/>
  <c r="S106" i="55"/>
  <c r="T106" i="55" s="1"/>
  <c r="R106" i="55"/>
  <c r="G72" i="55"/>
  <c r="N47" i="55" a="1"/>
  <c r="N29" i="55" a="1"/>
  <c r="N102" i="55" a="1"/>
  <c r="L22" i="59"/>
  <c r="R67" i="55"/>
  <c r="N17" i="55" a="1"/>
  <c r="N94" i="55" a="1"/>
  <c r="N70" i="55" a="1"/>
  <c r="N35" i="55" a="1"/>
  <c r="N81" i="55" a="1"/>
  <c r="N93" i="55" a="1"/>
  <c r="N86" i="55" a="1"/>
  <c r="N79" i="55" a="1"/>
  <c r="N83" i="55" a="1"/>
  <c r="N76" i="55" a="1"/>
  <c r="N76" i="55"/>
  <c r="O76" i="55" s="1"/>
  <c r="N98" i="55" a="1"/>
  <c r="N27" i="55" a="1"/>
  <c r="R108" i="55"/>
  <c r="S108" i="55"/>
  <c r="N88" i="55" a="1"/>
  <c r="N26" i="55" a="1"/>
  <c r="N91" i="55" a="1"/>
  <c r="N95" i="55" a="1"/>
  <c r="N78" i="55" a="1"/>
  <c r="N57" i="55" a="1"/>
  <c r="N72" i="55" a="1"/>
  <c r="N53" i="55" a="1"/>
  <c r="H70" i="55"/>
  <c r="N65" i="55" a="1"/>
  <c r="N21" i="55" a="1"/>
  <c r="N51" i="55" a="1"/>
  <c r="N38" i="55" a="1"/>
  <c r="N61" i="55" a="1"/>
  <c r="N61" i="55"/>
  <c r="O61" i="55" s="1"/>
  <c r="N105" i="55" a="1"/>
  <c r="N22" i="55" a="1"/>
  <c r="N18" i="55" a="1"/>
  <c r="N106" i="55" a="1"/>
  <c r="N101" i="55" a="1"/>
  <c r="N25" i="55" a="1"/>
  <c r="N34" i="55" a="1"/>
  <c r="N58" i="55" a="1"/>
  <c r="N15" i="55" a="1"/>
  <c r="N15" i="55"/>
  <c r="O15" i="55" s="1"/>
  <c r="N49" i="55" a="1"/>
  <c r="N96" i="55" a="1"/>
  <c r="N87" i="55" a="1"/>
  <c r="N64" i="55" a="1"/>
  <c r="N68" i="55" a="1"/>
  <c r="N92" i="55" a="1"/>
  <c r="N107" i="55" a="1"/>
  <c r="N42" i="55" a="1"/>
  <c r="N63" i="55" a="1"/>
  <c r="N97" i="55" a="1"/>
  <c r="N59" i="55" a="1"/>
  <c r="N41" i="55" a="1"/>
  <c r="N41" i="55" s="1"/>
  <c r="N104" i="55" a="1"/>
  <c r="N104" i="55"/>
  <c r="O104" i="55" s="1"/>
  <c r="N75" i="55" a="1"/>
  <c r="N52" i="55" a="1"/>
  <c r="N14" i="55" a="1"/>
  <c r="N82" i="55" a="1"/>
  <c r="N40" i="55" a="1"/>
  <c r="N36" i="55" a="1"/>
  <c r="N100" i="55" a="1"/>
  <c r="N28" i="55" a="1"/>
  <c r="N31" i="55" a="1"/>
  <c r="N31" i="55"/>
  <c r="N74" i="55" a="1"/>
  <c r="N69" i="55" a="1"/>
  <c r="N69" i="55" s="1"/>
  <c r="N12" i="55" a="1"/>
  <c r="N90" i="55" a="1"/>
  <c r="N23" i="55" a="1"/>
  <c r="N110" i="55" a="1"/>
  <c r="N109" i="55" a="1"/>
  <c r="N39" i="55" a="1"/>
  <c r="N67" i="55" a="1"/>
  <c r="N80" i="55" a="1"/>
  <c r="S28" i="55"/>
  <c r="G69" i="55"/>
  <c r="H69" i="55"/>
  <c r="N11" i="55" a="1"/>
  <c r="N46" i="55" a="1"/>
  <c r="S50" i="55"/>
  <c r="N99" i="55" a="1"/>
  <c r="N62" i="55" a="1"/>
  <c r="R63" i="55"/>
  <c r="S63" i="55"/>
  <c r="H90" i="55"/>
  <c r="L90" i="55" a="1"/>
  <c r="L90" i="55" s="1"/>
  <c r="N50" i="55" a="1"/>
  <c r="S16" i="55"/>
  <c r="R16" i="55"/>
  <c r="T16" i="55" s="1"/>
  <c r="H74" i="55"/>
  <c r="G4" i="59"/>
  <c r="M4" i="59" s="1"/>
  <c r="T18" i="55"/>
  <c r="S25" i="55"/>
  <c r="R32" i="55"/>
  <c r="R29" i="55"/>
  <c r="R23" i="55"/>
  <c r="T23" i="55" s="1"/>
  <c r="R55" i="55"/>
  <c r="T55" i="55"/>
  <c r="P59" i="55"/>
  <c r="R62" i="55"/>
  <c r="R45" i="55"/>
  <c r="T45" i="55" s="1"/>
  <c r="S49" i="55"/>
  <c r="R103" i="55"/>
  <c r="T103" i="55" s="1"/>
  <c r="N43" i="55" a="1"/>
  <c r="G42" i="55"/>
  <c r="H101" i="55"/>
  <c r="L101" i="55" a="1"/>
  <c r="L101" i="55" s="1"/>
  <c r="K101" i="55" a="1"/>
  <c r="K101" i="55" s="1"/>
  <c r="N44" i="55" a="1"/>
  <c r="N44" i="55"/>
  <c r="O44" i="55" s="1"/>
  <c r="H108" i="55"/>
  <c r="G108" i="55"/>
  <c r="S94" i="55"/>
  <c r="R94" i="55"/>
  <c r="N73" i="55" a="1"/>
  <c r="N7" i="55" a="1"/>
  <c r="N71" i="55" a="1"/>
  <c r="N60" i="55" a="1"/>
  <c r="N77" i="55" a="1"/>
  <c r="N30" i="55" a="1"/>
  <c r="N16" i="55" a="1"/>
  <c r="N16" i="55"/>
  <c r="O16" i="55" s="1"/>
  <c r="N85" i="55" a="1"/>
  <c r="N108" i="55" a="1"/>
  <c r="N10" i="55" a="1"/>
  <c r="N37" i="55" a="1"/>
  <c r="N20" i="55" a="1"/>
  <c r="N84" i="55" a="1"/>
  <c r="N8" i="55" a="1"/>
  <c r="K79" i="55" a="1"/>
  <c r="K79" i="55" s="1"/>
  <c r="H79" i="55"/>
  <c r="G79" i="55"/>
  <c r="L79" i="55" a="1"/>
  <c r="L79" i="55"/>
  <c r="N55" i="55" a="1"/>
  <c r="N55" i="55" s="1"/>
  <c r="O55" i="55" s="1"/>
  <c r="N103" i="55" a="1"/>
  <c r="N56" i="55" a="1"/>
  <c r="G97" i="55"/>
  <c r="L97" i="55" a="1"/>
  <c r="L97" i="55" s="1"/>
  <c r="K97" i="55" a="1"/>
  <c r="K97" i="55" s="1"/>
  <c r="L84" i="55" a="1"/>
  <c r="L84" i="55" s="1"/>
  <c r="K84" i="55" a="1"/>
  <c r="K84" i="55" s="1"/>
  <c r="H84" i="55"/>
  <c r="R85" i="55"/>
  <c r="T85" i="55" s="1"/>
  <c r="U6" i="59"/>
  <c r="Q8" i="59"/>
  <c r="M75" i="55" a="1"/>
  <c r="M75" i="55"/>
  <c r="P83" i="55"/>
  <c r="R83" i="55" s="1"/>
  <c r="R89" i="55"/>
  <c r="T89" i="55" s="1"/>
  <c r="H33" i="55"/>
  <c r="N13" i="55" a="1"/>
  <c r="N54" i="55" a="1"/>
  <c r="N66" i="55" a="1"/>
  <c r="N66" i="55" s="1"/>
  <c r="O66" i="55" s="1"/>
  <c r="N33" i="55" a="1"/>
  <c r="N33" i="55"/>
  <c r="O33" i="55"/>
  <c r="R75" i="55"/>
  <c r="T75" i="55"/>
  <c r="H37" i="55"/>
  <c r="H39" i="55"/>
  <c r="L39" i="55" a="1"/>
  <c r="L39" i="55" s="1"/>
  <c r="K39" i="55" a="1"/>
  <c r="K39" i="55" s="1"/>
  <c r="S21" i="55"/>
  <c r="T21" i="55" s="1"/>
  <c r="S38" i="55"/>
  <c r="R38" i="55"/>
  <c r="N48" i="55" a="1"/>
  <c r="N48" i="55"/>
  <c r="O48" i="55" s="1"/>
  <c r="N32" i="55" a="1"/>
  <c r="N32" i="55" s="1"/>
  <c r="N19" i="55" a="1"/>
  <c r="R15" i="55"/>
  <c r="R96" i="55"/>
  <c r="S96" i="55"/>
  <c r="S17" i="55"/>
  <c r="R17" i="55"/>
  <c r="T17" i="55"/>
  <c r="S58" i="55"/>
  <c r="R58" i="55"/>
  <c r="T58" i="55" s="1"/>
  <c r="H24" i="55"/>
  <c r="G24" i="55"/>
  <c r="T108" i="55"/>
  <c r="S59" i="55"/>
  <c r="H25" i="55"/>
  <c r="G67" i="55"/>
  <c r="H67" i="55"/>
  <c r="V4" i="59"/>
  <c r="H8" i="59"/>
  <c r="O32" i="55"/>
  <c r="R74" i="55"/>
  <c r="T74" i="55"/>
  <c r="H8" i="55"/>
  <c r="G8" i="55"/>
  <c r="H21" i="55"/>
  <c r="K27" i="55" a="1"/>
  <c r="K27" i="55" s="1"/>
  <c r="G23" i="55"/>
  <c r="H23" i="55"/>
  <c r="G45" i="55"/>
  <c r="K26" i="55" a="1"/>
  <c r="K26" i="55" s="1"/>
  <c r="R87" i="55"/>
  <c r="T87" i="55" s="1"/>
  <c r="F4" i="59"/>
  <c r="T14" i="59"/>
  <c r="R54" i="55"/>
  <c r="T54" i="55"/>
  <c r="R61" i="55"/>
  <c r="O7" i="59"/>
  <c r="U7" i="59" s="1"/>
  <c r="P66" i="55"/>
  <c r="S66" i="55" s="1"/>
  <c r="R93" i="55"/>
  <c r="T93" i="55" s="1"/>
  <c r="P73" i="55"/>
  <c r="S73" i="55" s="1"/>
  <c r="P34" i="55"/>
  <c r="R34" i="55"/>
  <c r="P64" i="55"/>
  <c r="R64" i="55" s="1"/>
  <c r="P22" i="55"/>
  <c r="R22" i="55"/>
  <c r="P42" i="55"/>
  <c r="S42" i="55" s="1"/>
  <c r="P7" i="55"/>
  <c r="S7" i="55" s="1"/>
  <c r="O12" i="59"/>
  <c r="U12" i="59" s="1"/>
  <c r="P68" i="55"/>
  <c r="S68" i="55" s="1"/>
  <c r="U19" i="59"/>
  <c r="R49" i="55"/>
  <c r="T49" i="55" s="1"/>
  <c r="R104" i="55"/>
  <c r="T104" i="55" s="1"/>
  <c r="B15" i="59"/>
  <c r="G46" i="55"/>
  <c r="F14" i="59"/>
  <c r="R56" i="55"/>
  <c r="T56" i="55"/>
  <c r="S70" i="55"/>
  <c r="B8" i="59"/>
  <c r="S88" i="55"/>
  <c r="T88" i="55" s="1"/>
  <c r="R109" i="55"/>
  <c r="T109" i="55" s="1"/>
  <c r="D8" i="59"/>
  <c r="S8" i="59"/>
  <c r="K8" i="59"/>
  <c r="S35" i="55"/>
  <c r="T35" i="55" s="1"/>
  <c r="R25" i="55"/>
  <c r="T25" i="55" s="1"/>
  <c r="S34" i="55"/>
  <c r="T34" i="55" s="1"/>
  <c r="R72" i="55"/>
  <c r="T72" i="55" s="1"/>
  <c r="S72" i="55"/>
  <c r="T7" i="59"/>
  <c r="S8" i="55"/>
  <c r="H110" i="55"/>
  <c r="G110" i="55"/>
  <c r="S30" i="55"/>
  <c r="R30" i="55"/>
  <c r="T30" i="55" s="1"/>
  <c r="K11" i="55" a="1"/>
  <c r="K11" i="55" s="1"/>
  <c r="S105" i="55"/>
  <c r="T105" i="55" s="1"/>
  <c r="R105" i="55"/>
  <c r="R20" i="55"/>
  <c r="S20" i="55"/>
  <c r="T20" i="55" s="1"/>
  <c r="S81" i="55"/>
  <c r="R81" i="55"/>
  <c r="S51" i="55"/>
  <c r="H35" i="55"/>
  <c r="G38" i="55"/>
  <c r="H31" i="55"/>
  <c r="G31" i="55"/>
  <c r="K31" i="55" a="1"/>
  <c r="K31" i="55" s="1"/>
  <c r="L65" i="55"/>
  <c r="K65" i="55" a="1"/>
  <c r="K65" i="55" s="1"/>
  <c r="H65" i="55"/>
  <c r="K20" i="55" a="1"/>
  <c r="K20" i="55"/>
  <c r="K33" i="55" a="1"/>
  <c r="K33" i="55" s="1"/>
  <c r="S2" i="53"/>
  <c r="L7" i="59"/>
  <c r="G12" i="59"/>
  <c r="G15" i="59" s="1"/>
  <c r="P43" i="55"/>
  <c r="R43" i="55" s="1"/>
  <c r="O4" i="59"/>
  <c r="O8" i="59" s="1"/>
  <c r="P100" i="55"/>
  <c r="S100" i="55" s="1"/>
  <c r="P24" i="55"/>
  <c r="R24" i="55" s="1"/>
  <c r="R9" i="55"/>
  <c r="T9" i="55" s="1"/>
  <c r="Z288" i="53"/>
  <c r="AE2" i="53" s="1"/>
  <c r="P92" i="55"/>
  <c r="S92" i="55" s="1"/>
  <c r="P46" i="55"/>
  <c r="R46" i="55" s="1"/>
  <c r="P60" i="55"/>
  <c r="R60" i="55" s="1"/>
  <c r="Z2" i="53"/>
  <c r="P44" i="55"/>
  <c r="S44" i="55"/>
  <c r="P57" i="55"/>
  <c r="R57" i="55" s="1"/>
  <c r="P77" i="55"/>
  <c r="R77" i="55" s="1"/>
  <c r="P99" i="55"/>
  <c r="S99" i="55" s="1"/>
  <c r="T99" i="55" s="1"/>
  <c r="R110" i="55"/>
  <c r="T110" i="55" s="1"/>
  <c r="R41" i="55"/>
  <c r="T41" i="55" s="1"/>
  <c r="T27" i="55"/>
  <c r="T47" i="55"/>
  <c r="T19" i="55"/>
  <c r="S69" i="55"/>
  <c r="T69" i="55"/>
  <c r="H58" i="55"/>
  <c r="R48" i="55"/>
  <c r="D52" i="61"/>
  <c r="C53" i="61"/>
  <c r="C54" i="61" s="1"/>
  <c r="C55" i="61" s="1"/>
  <c r="C56" i="61" s="1"/>
  <c r="G25" i="61"/>
  <c r="F27" i="61"/>
  <c r="G27" i="61" s="1"/>
  <c r="F28" i="61"/>
  <c r="S64" i="55"/>
  <c r="G83" i="55"/>
  <c r="D6" i="60"/>
  <c r="D6" i="26"/>
  <c r="E7" i="26"/>
  <c r="E6" i="26" s="1"/>
  <c r="P111" i="55"/>
  <c r="R111" i="55" s="1"/>
  <c r="C12" i="26"/>
  <c r="P288" i="53"/>
  <c r="L69" i="55" s="1" a="1"/>
  <c r="L69" i="55" s="1"/>
  <c r="G111" i="55"/>
  <c r="S22" i="55"/>
  <c r="T19" i="59"/>
  <c r="R7" i="55"/>
  <c r="L74" i="55" a="1"/>
  <c r="L74" i="55" s="1"/>
  <c r="L33" i="55" a="1"/>
  <c r="L33" i="55"/>
  <c r="L8" i="55" a="1"/>
  <c r="L8" i="55" s="1"/>
  <c r="L70" i="55" a="1"/>
  <c r="L70" i="55" s="1"/>
  <c r="F8" i="59" a="1"/>
  <c r="L20" i="55" a="1"/>
  <c r="L20" i="55" s="1"/>
  <c r="L57" i="55" a="1"/>
  <c r="L57" i="55" s="1"/>
  <c r="L32" i="55" a="1"/>
  <c r="L32" i="55" s="1"/>
  <c r="F23" i="59" a="1"/>
  <c r="L49" i="55" a="1"/>
  <c r="L49" i="55" s="1"/>
  <c r="L56" i="55" a="1"/>
  <c r="L56" i="55" s="1"/>
  <c r="D53" i="61"/>
  <c r="D54" i="61"/>
  <c r="N7" i="59"/>
  <c r="N13" i="59"/>
  <c r="F19" i="59"/>
  <c r="V21" i="59"/>
  <c r="N4" i="59"/>
  <c r="F20" i="59"/>
  <c r="C15" i="59"/>
  <c r="F13" i="59"/>
  <c r="T13" i="59"/>
  <c r="V12" i="59"/>
  <c r="S23" i="59"/>
  <c r="S15" i="59"/>
  <c r="Q23" i="59"/>
  <c r="E15" i="59"/>
  <c r="V19" i="59"/>
  <c r="L21" i="59"/>
  <c r="S288" i="53"/>
  <c r="N94" i="55"/>
  <c r="N29" i="55"/>
  <c r="N47" i="55"/>
  <c r="N53" i="55"/>
  <c r="O53" i="55" s="1"/>
  <c r="N35" i="55"/>
  <c r="H60" i="55"/>
  <c r="G60" i="55"/>
  <c r="H80" i="55"/>
  <c r="L80" i="55" a="1"/>
  <c r="L80" i="55"/>
  <c r="K80" i="55" a="1"/>
  <c r="K80" i="55" s="1"/>
  <c r="U4" i="59"/>
  <c r="H40" i="55"/>
  <c r="L40" i="55" a="1"/>
  <c r="L40" i="55" s="1"/>
  <c r="G40" i="55"/>
  <c r="T64" i="55"/>
  <c r="G13" i="55"/>
  <c r="H13" i="55"/>
  <c r="L50" i="55" a="1"/>
  <c r="L50" i="55" s="1"/>
  <c r="G58" i="55"/>
  <c r="G105" i="55"/>
  <c r="L75" i="55" a="1"/>
  <c r="L75" i="55" s="1"/>
  <c r="S60" i="55"/>
  <c r="T60" i="55" s="1"/>
  <c r="T81" i="55"/>
  <c r="K40" i="55" a="1"/>
  <c r="K40" i="55" s="1"/>
  <c r="F15" i="59" a="1"/>
  <c r="F15" i="59"/>
  <c r="L105" i="55" a="1"/>
  <c r="L105" i="55" s="1"/>
  <c r="R92" i="55"/>
  <c r="T92" i="55" s="1"/>
  <c r="G73" i="55"/>
  <c r="H73" i="55"/>
  <c r="L77" i="55" a="1"/>
  <c r="L77" i="55" s="1"/>
  <c r="S83" i="55"/>
  <c r="H98" i="55"/>
  <c r="L98" i="55" a="1"/>
  <c r="L98" i="55" s="1"/>
  <c r="K98" i="55" a="1"/>
  <c r="K98" i="55" s="1"/>
  <c r="G98" i="55"/>
  <c r="C8" i="59"/>
  <c r="R53" i="55"/>
  <c r="T38" i="55"/>
  <c r="T63" i="55"/>
  <c r="T28" i="55"/>
  <c r="T50" i="55"/>
  <c r="T71" i="55"/>
  <c r="R10" i="55"/>
  <c r="G19" i="59"/>
  <c r="M19" i="59"/>
  <c r="R100" i="55"/>
  <c r="R44" i="55"/>
  <c r="E41" i="61"/>
  <c r="C42" i="61"/>
  <c r="E42" i="61" s="1"/>
  <c r="T4" i="59"/>
  <c r="P2" i="55"/>
  <c r="R99" i="55"/>
  <c r="R73" i="55"/>
  <c r="T73" i="55" s="1"/>
  <c r="L21" i="55" a="1"/>
  <c r="L21" i="55" s="1"/>
  <c r="G76" i="55"/>
  <c r="H76" i="55"/>
  <c r="X288" i="53"/>
  <c r="N8" i="59"/>
  <c r="G23" i="59"/>
  <c r="L4" i="59"/>
  <c r="H23" i="59"/>
  <c r="M12" i="59"/>
  <c r="G8" i="59"/>
  <c r="M8" i="59" s="1"/>
  <c r="D56" i="61"/>
  <c r="C57" i="61"/>
  <c r="T46" i="55"/>
  <c r="G28" i="61"/>
  <c r="F29" i="61"/>
  <c r="S46" i="55"/>
  <c r="D55" i="61"/>
  <c r="L26" i="55" a="1"/>
  <c r="L26" i="55"/>
  <c r="H26" i="55"/>
  <c r="R13" i="55"/>
  <c r="T13" i="55"/>
  <c r="C8" i="60"/>
  <c r="G50" i="55"/>
  <c r="D57" i="61"/>
  <c r="C58" i="61"/>
  <c r="D58" i="61" s="1"/>
  <c r="D8" i="60"/>
  <c r="C9" i="60"/>
  <c r="F30" i="61"/>
  <c r="G29" i="61"/>
  <c r="G30" i="61"/>
  <c r="F31" i="61"/>
  <c r="F32" i="61" s="1"/>
  <c r="G32" i="61" s="1"/>
  <c r="D9" i="60"/>
  <c r="C10" i="60"/>
  <c r="C11" i="60" s="1"/>
  <c r="D11" i="60" s="1"/>
  <c r="G31" i="61"/>
  <c r="D6" i="57"/>
  <c r="D11" i="57"/>
  <c r="D8" i="57"/>
  <c r="D5" i="57"/>
  <c r="D10" i="57"/>
  <c r="D9" i="57"/>
  <c r="D12" i="57"/>
  <c r="D7" i="57"/>
  <c r="K62" i="55" l="1" a="1"/>
  <c r="K62" i="55" s="1"/>
  <c r="L62" i="55" a="1"/>
  <c r="L62" i="55" s="1"/>
  <c r="G62" i="55"/>
  <c r="H62" i="55"/>
  <c r="G68" i="55"/>
  <c r="H68" i="55"/>
  <c r="K68" i="55" a="1"/>
  <c r="K68" i="55" s="1"/>
  <c r="L68" i="55" a="1"/>
  <c r="L68" i="55" s="1"/>
  <c r="K19" i="55" a="1"/>
  <c r="K19" i="55" s="1"/>
  <c r="H19" i="55"/>
  <c r="L19" i="55" a="1"/>
  <c r="L19" i="55" s="1"/>
  <c r="T23" i="59"/>
  <c r="U23" i="59"/>
  <c r="H88" i="55"/>
  <c r="L88" i="55" a="1"/>
  <c r="L88" i="55" s="1"/>
  <c r="K88" i="55" a="1"/>
  <c r="K88" i="55" s="1"/>
  <c r="G88" i="55"/>
  <c r="G61" i="55"/>
  <c r="L61" i="55" a="1"/>
  <c r="L61" i="55" s="1"/>
  <c r="K61" i="55" a="1"/>
  <c r="K61" i="55" s="1"/>
  <c r="H61" i="55"/>
  <c r="K92" i="55" a="1"/>
  <c r="K92" i="55" s="1"/>
  <c r="H92" i="55"/>
  <c r="G92" i="55"/>
  <c r="L92" i="55" a="1"/>
  <c r="L92" i="55" s="1"/>
  <c r="H55" i="55"/>
  <c r="G55" i="55"/>
  <c r="L55" i="55" a="1"/>
  <c r="L55" i="55" s="1"/>
  <c r="K55" i="55" a="1"/>
  <c r="K55" i="55" s="1"/>
  <c r="H9" i="55"/>
  <c r="L9" i="55" a="1"/>
  <c r="L9" i="55" s="1"/>
  <c r="K9" i="55" a="1"/>
  <c r="K9" i="55" s="1"/>
  <c r="H22" i="55"/>
  <c r="L22" i="55" a="1"/>
  <c r="L22" i="55" s="1"/>
  <c r="G22" i="55"/>
  <c r="K22" i="55" a="1"/>
  <c r="K22" i="55" s="1"/>
  <c r="L107" i="55" a="1"/>
  <c r="L107" i="55" s="1"/>
  <c r="G107" i="55"/>
  <c r="H107" i="55"/>
  <c r="K107" i="55" a="1"/>
  <c r="K107" i="55" s="1"/>
  <c r="H81" i="55"/>
  <c r="L81" i="55" a="1"/>
  <c r="L81" i="55" s="1"/>
  <c r="G81" i="55"/>
  <c r="K81" i="55" a="1"/>
  <c r="K81" i="55" s="1"/>
  <c r="L99" i="55" a="1"/>
  <c r="L99" i="55" s="1"/>
  <c r="K99" i="55" a="1"/>
  <c r="K99" i="55" s="1"/>
  <c r="H99" i="55"/>
  <c r="G99" i="55"/>
  <c r="H28" i="55"/>
  <c r="G28" i="55"/>
  <c r="L28" i="55" a="1"/>
  <c r="L28" i="55" s="1"/>
  <c r="K28" i="55" a="1"/>
  <c r="K28" i="55" s="1"/>
  <c r="L36" i="55" a="1"/>
  <c r="L36" i="55" s="1"/>
  <c r="G36" i="55"/>
  <c r="K36" i="55" a="1"/>
  <c r="K36" i="55" s="1"/>
  <c r="H36" i="55"/>
  <c r="K16" i="55" a="1"/>
  <c r="K16" i="55" s="1"/>
  <c r="L16" i="55" a="1"/>
  <c r="L16" i="55" s="1"/>
  <c r="H16" i="55"/>
  <c r="H89" i="55"/>
  <c r="G89" i="55"/>
  <c r="K89" i="55" a="1"/>
  <c r="K89" i="55" s="1"/>
  <c r="L89" i="55" a="1"/>
  <c r="L89" i="55" s="1"/>
  <c r="L54" i="55" a="1"/>
  <c r="L54" i="55" s="1"/>
  <c r="H54" i="55"/>
  <c r="K54" i="55" a="1"/>
  <c r="K54" i="55" s="1"/>
  <c r="G54" i="55"/>
  <c r="L100" i="55" a="1"/>
  <c r="L100" i="55" s="1"/>
  <c r="K100" i="55" a="1"/>
  <c r="K100" i="55" s="1"/>
  <c r="H100" i="55"/>
  <c r="G100" i="55"/>
  <c r="H53" i="55"/>
  <c r="L53" i="55" a="1"/>
  <c r="L53" i="55" s="1"/>
  <c r="K53" i="55" a="1"/>
  <c r="K53" i="55" s="1"/>
  <c r="K93" i="55" a="1"/>
  <c r="K93" i="55" s="1"/>
  <c r="H93" i="55"/>
  <c r="G93" i="55"/>
  <c r="L93" i="55" a="1"/>
  <c r="L93" i="55" s="1"/>
  <c r="H48" i="55"/>
  <c r="G48" i="55"/>
  <c r="L48" i="55" a="1"/>
  <c r="L48" i="55" s="1"/>
  <c r="K48" i="55" a="1"/>
  <c r="K48" i="55" s="1"/>
  <c r="H43" i="55"/>
  <c r="L43" i="55" a="1"/>
  <c r="L43" i="55" s="1"/>
  <c r="K43" i="55" a="1"/>
  <c r="K43" i="55" s="1"/>
  <c r="G43" i="55"/>
  <c r="G34" i="55"/>
  <c r="H34" i="55"/>
  <c r="K34" i="55" a="1"/>
  <c r="K34" i="55" s="1"/>
  <c r="L34" i="55" a="1"/>
  <c r="L34" i="55" s="1"/>
  <c r="H44" i="55"/>
  <c r="K44" i="55" a="1"/>
  <c r="K44" i="55" s="1"/>
  <c r="G44" i="55"/>
  <c r="L44" i="55" a="1"/>
  <c r="L44" i="55" s="1"/>
  <c r="L102" i="55" a="1"/>
  <c r="L102" i="55" s="1"/>
  <c r="K102" i="55" a="1"/>
  <c r="K102" i="55" s="1"/>
  <c r="K47" i="55" a="1"/>
  <c r="K47" i="55" s="1"/>
  <c r="L47" i="55" a="1"/>
  <c r="L47" i="55" s="1"/>
  <c r="K10" i="55" a="1"/>
  <c r="K10" i="55" s="1"/>
  <c r="K74" i="55" a="1"/>
  <c r="K74" i="55" s="1"/>
  <c r="K46" i="55" a="1"/>
  <c r="K46" i="55" s="1"/>
  <c r="K13" i="55" a="1"/>
  <c r="K13" i="55" s="1"/>
  <c r="K45" i="55" a="1"/>
  <c r="K45" i="55" s="1"/>
  <c r="K23" i="55" a="1"/>
  <c r="K23" i="55" s="1"/>
  <c r="K96" i="55" a="1"/>
  <c r="K96" i="55" s="1"/>
  <c r="K76" i="55" a="1"/>
  <c r="K76" i="55" s="1"/>
  <c r="K25" i="55" a="1"/>
  <c r="K25" i="55" s="1"/>
  <c r="K50" i="55" a="1"/>
  <c r="K50" i="55" s="1"/>
  <c r="K57" i="55" a="1"/>
  <c r="K57" i="55" s="1"/>
  <c r="K59" i="55" a="1"/>
  <c r="K59" i="55" s="1"/>
  <c r="K38" i="55" a="1"/>
  <c r="K38" i="55" s="1"/>
  <c r="K7" i="55" a="1"/>
  <c r="K7" i="55" s="1"/>
  <c r="K77" i="55" a="1"/>
  <c r="K77" i="55" s="1"/>
  <c r="K85" i="55" a="1"/>
  <c r="K85" i="55" s="1"/>
  <c r="K115" i="55"/>
  <c r="K110" i="55" a="1"/>
  <c r="K110" i="55" s="1"/>
  <c r="K109" i="55" a="1"/>
  <c r="K109" i="55" s="1"/>
  <c r="K66" i="55" a="1"/>
  <c r="K66" i="55" s="1"/>
  <c r="K42" i="55" a="1"/>
  <c r="K42" i="55" s="1"/>
  <c r="K60" i="55" a="1"/>
  <c r="K60" i="55" s="1"/>
  <c r="K104" i="55" a="1"/>
  <c r="K104" i="55" s="1"/>
  <c r="K105" i="55" a="1"/>
  <c r="K105" i="55" s="1"/>
  <c r="K73" i="55" a="1"/>
  <c r="K73" i="55" s="1"/>
  <c r="K17" i="55" a="1"/>
  <c r="K17" i="55" s="1"/>
  <c r="K56" i="55" a="1"/>
  <c r="K56" i="55" s="1"/>
  <c r="K83" i="55" a="1"/>
  <c r="K83" i="55" s="1"/>
  <c r="K95" i="55" a="1"/>
  <c r="K95" i="55" s="1"/>
  <c r="K24" i="55" a="1"/>
  <c r="K24" i="55" s="1"/>
  <c r="K64" i="55" a="1"/>
  <c r="K64" i="55" s="1"/>
  <c r="K108" i="55" a="1"/>
  <c r="K108" i="55" s="1"/>
  <c r="K8" i="55" a="1"/>
  <c r="K8" i="55" s="1"/>
  <c r="K37" i="55" a="1"/>
  <c r="K37" i="55" s="1"/>
  <c r="K103" i="55" a="1"/>
  <c r="K103" i="55" s="1"/>
  <c r="K67" i="55" a="1"/>
  <c r="K67" i="55" s="1"/>
  <c r="K70" i="55" a="1"/>
  <c r="K70" i="55" s="1"/>
  <c r="K15" i="55" a="1"/>
  <c r="K15" i="55" s="1"/>
  <c r="K69" i="55" a="1"/>
  <c r="K69" i="55" s="1"/>
  <c r="K87" i="55" a="1"/>
  <c r="K87" i="55" s="1"/>
  <c r="K2" i="55"/>
  <c r="K35" i="55" a="1"/>
  <c r="K35" i="55" s="1"/>
  <c r="K21" i="55" a="1"/>
  <c r="K21" i="55" s="1"/>
  <c r="K49" i="55" a="1"/>
  <c r="K49" i="55" s="1"/>
  <c r="K41" i="55" a="1"/>
  <c r="K41" i="55" s="1"/>
  <c r="G41" i="55"/>
  <c r="L41" i="55" a="1"/>
  <c r="L41" i="55" s="1"/>
  <c r="H41" i="55"/>
  <c r="K106" i="55" a="1"/>
  <c r="K106" i="55" s="1"/>
  <c r="G106" i="55"/>
  <c r="H106" i="55"/>
  <c r="L106" i="55" a="1"/>
  <c r="L106" i="55" s="1"/>
  <c r="T8" i="59"/>
  <c r="U8" i="59"/>
  <c r="K51" i="55" a="1"/>
  <c r="K51" i="55" s="1"/>
  <c r="G51" i="55"/>
  <c r="L51" i="55" a="1"/>
  <c r="L51" i="55" s="1"/>
  <c r="H51" i="55"/>
  <c r="G63" i="55"/>
  <c r="K63" i="55" a="1"/>
  <c r="K63" i="55" s="1"/>
  <c r="H63" i="55"/>
  <c r="L63" i="55" a="1"/>
  <c r="L63" i="55" s="1"/>
  <c r="T76" i="55"/>
  <c r="T91" i="55"/>
  <c r="L66" i="55" a="1"/>
  <c r="L66" i="55" s="1"/>
  <c r="T12" i="59"/>
  <c r="S43" i="55"/>
  <c r="T43" i="55" s="1"/>
  <c r="R68" i="55"/>
  <c r="T61" i="55"/>
  <c r="N85" i="55"/>
  <c r="N75" i="55"/>
  <c r="O75" i="55" s="1"/>
  <c r="N96" i="55"/>
  <c r="N102" i="55"/>
  <c r="N49" i="55"/>
  <c r="O49" i="55" s="1"/>
  <c r="N57" i="55"/>
  <c r="O57" i="55" s="1"/>
  <c r="N9" i="55"/>
  <c r="K58" i="55" a="1"/>
  <c r="K58" i="55" s="1"/>
  <c r="T68" i="55"/>
  <c r="N105" i="55"/>
  <c r="O105" i="55" s="1"/>
  <c r="N27" i="55"/>
  <c r="L104" i="55" a="1"/>
  <c r="L104" i="55" s="1"/>
  <c r="S57" i="55"/>
  <c r="T57" i="55" s="1"/>
  <c r="L59" i="55" a="1"/>
  <c r="L59" i="55" s="1"/>
  <c r="L76" i="55" a="1"/>
  <c r="L76" i="55" s="1"/>
  <c r="L12" i="59"/>
  <c r="O15" i="59"/>
  <c r="U15" i="59" s="1"/>
  <c r="N74" i="55"/>
  <c r="O74" i="55" s="1"/>
  <c r="N78" i="55"/>
  <c r="N98" i="55"/>
  <c r="T12" i="55"/>
  <c r="H29" i="55"/>
  <c r="T51" i="55"/>
  <c r="L60" i="55" a="1"/>
  <c r="L60" i="55" s="1"/>
  <c r="N24" i="55"/>
  <c r="O24" i="55" s="1"/>
  <c r="L29" i="55" a="1"/>
  <c r="L29" i="55" s="1"/>
  <c r="L103" i="55" a="1"/>
  <c r="L103" i="55" s="1"/>
  <c r="N111" i="55"/>
  <c r="O111" i="55" s="1"/>
  <c r="T7" i="55"/>
  <c r="N54" i="55"/>
  <c r="O54" i="55" s="1"/>
  <c r="N30" i="55"/>
  <c r="O30" i="55" s="1"/>
  <c r="T62" i="55"/>
  <c r="N50" i="55"/>
  <c r="O50" i="55" s="1"/>
  <c r="N59" i="55"/>
  <c r="O59" i="55" s="1"/>
  <c r="N95" i="55"/>
  <c r="O95" i="55" s="1"/>
  <c r="L13" i="55" a="1"/>
  <c r="L13" i="55" s="1"/>
  <c r="N12" i="59"/>
  <c r="L23" i="59"/>
  <c r="L73" i="55" a="1"/>
  <c r="L73" i="55" s="1"/>
  <c r="N81" i="55"/>
  <c r="K29" i="55" a="1"/>
  <c r="K29" i="55" s="1"/>
  <c r="C23" i="59"/>
  <c r="N23" i="59" s="1"/>
  <c r="L35" i="55" a="1"/>
  <c r="L35" i="55" s="1"/>
  <c r="L109" i="55" a="1"/>
  <c r="L109" i="55" s="1"/>
  <c r="L25" i="55" a="1"/>
  <c r="L25" i="55" s="1"/>
  <c r="S111" i="55"/>
  <c r="Q115" i="55"/>
  <c r="K12" i="55" a="1"/>
  <c r="K12" i="55" s="1"/>
  <c r="N13" i="55"/>
  <c r="O13" i="55" s="1"/>
  <c r="R59" i="55"/>
  <c r="N80" i="55"/>
  <c r="N28" i="55"/>
  <c r="O28" i="55" s="1"/>
  <c r="N58" i="55"/>
  <c r="N38" i="55"/>
  <c r="N91" i="55"/>
  <c r="L15" i="55" a="1"/>
  <c r="L15" i="55" s="1"/>
  <c r="L2" i="55"/>
  <c r="T111" i="55"/>
  <c r="T22" i="55"/>
  <c r="N8" i="55"/>
  <c r="O8" i="55" s="1"/>
  <c r="N77" i="55"/>
  <c r="N97" i="55"/>
  <c r="N34" i="55"/>
  <c r="N79" i="55"/>
  <c r="T70" i="55"/>
  <c r="T15" i="59"/>
  <c r="L96" i="55" a="1"/>
  <c r="L96" i="55" s="1"/>
  <c r="N60" i="55"/>
  <c r="O60" i="55" s="1"/>
  <c r="N67" i="55"/>
  <c r="O67" i="55" s="1"/>
  <c r="N100" i="55"/>
  <c r="O100" i="55" s="1"/>
  <c r="N63" i="55"/>
  <c r="O63" i="55" s="1"/>
  <c r="N51" i="55"/>
  <c r="O51" i="55" s="1"/>
  <c r="N26" i="55"/>
  <c r="N45" i="55"/>
  <c r="O45" i="55" s="1"/>
  <c r="T80" i="55"/>
  <c r="O29" i="55"/>
  <c r="N86" i="55"/>
  <c r="X2" i="53"/>
  <c r="N56" i="55"/>
  <c r="O56" i="55" s="1"/>
  <c r="N36" i="55"/>
  <c r="N42" i="55"/>
  <c r="O42" i="55" s="1"/>
  <c r="N25" i="55"/>
  <c r="O25" i="55" s="1"/>
  <c r="N21" i="55"/>
  <c r="O21" i="55" s="1"/>
  <c r="N88" i="55"/>
  <c r="N93" i="55"/>
  <c r="L87" i="55" a="1"/>
  <c r="L87" i="55" s="1"/>
  <c r="L115" i="55"/>
  <c r="L45" i="55" a="1"/>
  <c r="L45" i="55" s="1"/>
  <c r="N71" i="55"/>
  <c r="L42" i="55" a="1"/>
  <c r="L42" i="55" s="1"/>
  <c r="T44" i="55"/>
  <c r="L37" i="55" a="1"/>
  <c r="L37" i="55" s="1"/>
  <c r="L23" i="55" a="1"/>
  <c r="L23" i="55" s="1"/>
  <c r="S36" i="55"/>
  <c r="T36" i="55" s="1"/>
  <c r="T29" i="55"/>
  <c r="N62" i="55"/>
  <c r="O62" i="55" s="1"/>
  <c r="N39" i="55"/>
  <c r="N107" i="55"/>
  <c r="K15" i="59"/>
  <c r="L7" i="55" a="1"/>
  <c r="L7" i="55" s="1"/>
  <c r="L110" i="55" a="1"/>
  <c r="L110" i="55" s="1"/>
  <c r="L24" i="55" a="1"/>
  <c r="L24" i="55" s="1"/>
  <c r="N84" i="55"/>
  <c r="L67" i="55" a="1"/>
  <c r="L67" i="55" s="1"/>
  <c r="T100" i="55"/>
  <c r="N89" i="55"/>
  <c r="L95" i="55" a="1"/>
  <c r="L95" i="55" s="1"/>
  <c r="L12" i="55" a="1"/>
  <c r="L12" i="55" s="1"/>
  <c r="S24" i="55"/>
  <c r="T83" i="55"/>
  <c r="N20" i="55"/>
  <c r="N7" i="55"/>
  <c r="O7" i="55" s="1"/>
  <c r="S102" i="55"/>
  <c r="T102" i="55" s="1"/>
  <c r="N109" i="55"/>
  <c r="N40" i="55"/>
  <c r="N101" i="55"/>
  <c r="N65" i="55"/>
  <c r="P23" i="59"/>
  <c r="L94" i="55" a="1"/>
  <c r="L94" i="55" s="1"/>
  <c r="T24" i="55"/>
  <c r="N73" i="55"/>
  <c r="O73" i="55" s="1"/>
  <c r="N110" i="55"/>
  <c r="N92" i="55"/>
  <c r="O92" i="55" s="1"/>
  <c r="N2" i="55"/>
  <c r="N115" i="55"/>
  <c r="N70" i="55"/>
  <c r="T26" i="55"/>
  <c r="T107" i="55"/>
  <c r="I15" i="59"/>
  <c r="N15" i="59" s="1"/>
  <c r="L58" i="55" a="1"/>
  <c r="L58" i="55" s="1"/>
  <c r="L8" i="59"/>
  <c r="L85" i="55" a="1"/>
  <c r="L85" i="55" s="1"/>
  <c r="N37" i="55"/>
  <c r="N99" i="55"/>
  <c r="N82" i="55"/>
  <c r="M23" i="59"/>
  <c r="L19" i="59"/>
  <c r="L108" i="55" a="1"/>
  <c r="L108" i="55" s="1"/>
  <c r="F23" i="59"/>
  <c r="S77" i="55"/>
  <c r="T77" i="55" s="1"/>
  <c r="T96" i="55"/>
  <c r="N43" i="55"/>
  <c r="O43" i="55" s="1"/>
  <c r="N23" i="55"/>
  <c r="O23" i="55" s="1"/>
  <c r="N68" i="55"/>
  <c r="O68" i="55" s="1"/>
  <c r="N106" i="55"/>
  <c r="O106" i="55" s="1"/>
  <c r="R23" i="59"/>
  <c r="L72" i="55" a="1"/>
  <c r="L72" i="55" s="1"/>
  <c r="L10" i="55" a="1"/>
  <c r="L10" i="55" s="1"/>
  <c r="L111" i="55" a="1"/>
  <c r="L111" i="55" s="1"/>
  <c r="N83" i="55"/>
  <c r="O83" i="55" s="1"/>
  <c r="V23" i="59"/>
  <c r="N10" i="55"/>
  <c r="G87" i="55"/>
  <c r="N14" i="55"/>
  <c r="N64" i="55"/>
  <c r="O64" i="55" s="1"/>
  <c r="N17" i="55"/>
  <c r="O17" i="55" s="1"/>
  <c r="Q15" i="59"/>
  <c r="P8" i="59"/>
  <c r="V8" i="59" s="1"/>
  <c r="T86" i="55"/>
  <c r="T10" i="55"/>
  <c r="L64" i="55" a="1"/>
  <c r="L64" i="55" s="1"/>
  <c r="L83" i="55" a="1"/>
  <c r="L83" i="55" s="1"/>
  <c r="K75" i="55" a="1"/>
  <c r="K75" i="55" s="1"/>
  <c r="L38" i="55" a="1"/>
  <c r="L38" i="55" s="1"/>
  <c r="F8" i="59"/>
  <c r="T59" i="55"/>
  <c r="T15" i="55"/>
  <c r="N46" i="55"/>
  <c r="O46" i="55" s="1"/>
  <c r="N90" i="55"/>
  <c r="N52" i="55"/>
  <c r="N18" i="55"/>
  <c r="T67" i="55"/>
  <c r="T11" i="55"/>
  <c r="P15" i="59"/>
  <c r="V15" i="59" s="1"/>
  <c r="G75" i="55"/>
  <c r="N19" i="55"/>
  <c r="N103" i="55"/>
  <c r="N108" i="55"/>
  <c r="T94" i="55"/>
  <c r="N11" i="55"/>
  <c r="N12" i="55"/>
  <c r="N87" i="55"/>
  <c r="N22" i="55"/>
  <c r="O22" i="55" s="1"/>
  <c r="E23" i="59"/>
  <c r="D13" i="57"/>
  <c r="E5" i="57"/>
  <c r="E6" i="57" s="1"/>
  <c r="E7" i="57" s="1"/>
  <c r="E8" i="57" s="1"/>
  <c r="E9" i="57" s="1"/>
  <c r="E10" i="57" s="1"/>
  <c r="E11" i="57" s="1"/>
  <c r="E12" i="57" s="1"/>
  <c r="T40" i="55"/>
  <c r="H78" i="55"/>
  <c r="K78" i="55" a="1"/>
  <c r="K78" i="55" s="1"/>
  <c r="L78" i="55" a="1"/>
  <c r="L78" i="55" s="1"/>
  <c r="K111" i="55" a="1"/>
  <c r="K111" i="55" s="1"/>
  <c r="H111" i="55"/>
  <c r="F7" i="26"/>
  <c r="H72" i="55"/>
  <c r="K72" i="55" a="1"/>
  <c r="K72" i="55" s="1"/>
  <c r="O41" i="55"/>
  <c r="L15" i="59"/>
  <c r="R66" i="55"/>
  <c r="T66" i="55" s="1"/>
  <c r="K90" i="55" a="1"/>
  <c r="K90" i="55" s="1"/>
  <c r="O69" i="55"/>
  <c r="H59" i="55"/>
  <c r="G59" i="55"/>
  <c r="H85" i="55"/>
  <c r="G85" i="55"/>
  <c r="G20" i="55"/>
  <c r="H20" i="55"/>
  <c r="L82" i="55" a="1"/>
  <c r="L82" i="55" s="1"/>
  <c r="H82" i="55"/>
  <c r="G82" i="55"/>
  <c r="K82" i="55" a="1"/>
  <c r="K82" i="55" s="1"/>
  <c r="H109" i="55"/>
  <c r="G109" i="55"/>
  <c r="D10" i="60"/>
  <c r="R42" i="55"/>
  <c r="T42" i="55" s="1"/>
  <c r="H30" i="55"/>
  <c r="L30" i="55" a="1"/>
  <c r="L30" i="55" s="1"/>
  <c r="K30" i="55" a="1"/>
  <c r="K30" i="55" s="1"/>
  <c r="K18" i="55" a="1"/>
  <c r="K18" i="55" s="1"/>
  <c r="L18" i="55" a="1"/>
  <c r="L18" i="55" s="1"/>
  <c r="H18" i="55"/>
  <c r="H46" i="55"/>
  <c r="L46" i="55" a="1"/>
  <c r="L46" i="55" s="1"/>
  <c r="AE288" i="53"/>
  <c r="H56" i="55"/>
  <c r="G56" i="55"/>
  <c r="H17" i="55"/>
  <c r="L17" i="55" a="1"/>
  <c r="L17" i="55" s="1"/>
  <c r="H77" i="55"/>
  <c r="G77" i="55"/>
  <c r="L11" i="55" a="1"/>
  <c r="L11" i="55" s="1"/>
  <c r="H11" i="55"/>
  <c r="C43" i="61"/>
  <c r="O77" i="55"/>
  <c r="K94" i="55" a="1"/>
  <c r="K94" i="55" s="1"/>
  <c r="H94" i="55"/>
  <c r="C59" i="61"/>
  <c r="H64" i="55"/>
  <c r="G64" i="55"/>
  <c r="H104" i="55"/>
  <c r="G104" i="55"/>
  <c r="P115" i="55"/>
  <c r="O58" i="55"/>
  <c r="L27" i="55" a="1"/>
  <c r="L27" i="55" s="1"/>
  <c r="H27" i="55"/>
  <c r="H86" i="55"/>
  <c r="L86" i="55" a="1"/>
  <c r="L86" i="55" s="1"/>
  <c r="K86" i="55" a="1"/>
  <c r="K86" i="55" s="1"/>
  <c r="K14" i="55" a="1"/>
  <c r="K14" i="55" s="1"/>
  <c r="H14" i="55"/>
  <c r="L14" i="55" a="1"/>
  <c r="L14" i="55" s="1"/>
  <c r="H91" i="55"/>
  <c r="G91" i="55"/>
  <c r="L91" i="55" a="1"/>
  <c r="L91" i="55" s="1"/>
  <c r="K91" i="55" a="1"/>
  <c r="K91" i="55" s="1"/>
  <c r="G15" i="55"/>
  <c r="H15" i="55"/>
  <c r="L71" i="55" a="1"/>
  <c r="L71" i="55" s="1"/>
  <c r="H71" i="55"/>
  <c r="K71" i="55" a="1"/>
  <c r="K71" i="55" s="1"/>
  <c r="K52" i="55" a="1"/>
  <c r="K52" i="55" s="1"/>
  <c r="L52" i="55" a="1"/>
  <c r="L52" i="55" s="1"/>
  <c r="G57" i="55"/>
  <c r="H57" i="55"/>
  <c r="B6" i="26"/>
  <c r="AB12" i="26"/>
  <c r="Q14" i="26"/>
  <c r="M14" i="26"/>
  <c r="AB14" i="26"/>
  <c r="AJ12" i="26"/>
  <c r="N6" i="59"/>
  <c r="S37" i="55"/>
  <c r="T37" i="55" s="1"/>
  <c r="M15" i="59" l="1"/>
  <c r="O2" i="55"/>
  <c r="O115" i="55"/>
  <c r="H115" i="55"/>
  <c r="R115" i="55"/>
  <c r="R2" i="55"/>
  <c r="S115" i="55"/>
  <c r="S2" i="55"/>
  <c r="F6" i="26"/>
  <c r="G7" i="26"/>
  <c r="G116" i="55"/>
  <c r="G115" i="55"/>
  <c r="G3" i="55"/>
  <c r="G2" i="55"/>
  <c r="D59" i="61"/>
  <c r="C60" i="61"/>
  <c r="D60" i="61" s="1"/>
  <c r="C44" i="61"/>
  <c r="E43" i="61"/>
  <c r="H2" i="55"/>
  <c r="G117" i="55"/>
  <c r="E44" i="61" l="1"/>
  <c r="C45" i="61"/>
  <c r="H3" i="55"/>
  <c r="H116" i="55"/>
  <c r="G6" i="26"/>
  <c r="H7" i="26"/>
  <c r="T115" i="55"/>
  <c r="T2" i="55"/>
  <c r="I7" i="26" l="1"/>
  <c r="H6" i="26"/>
  <c r="E45" i="61"/>
  <c r="C46" i="61"/>
  <c r="E46" i="61" l="1"/>
  <c r="C47" i="61"/>
  <c r="E47" i="61" s="1"/>
  <c r="J7" i="26"/>
  <c r="I6" i="26"/>
  <c r="J6" i="26" l="1"/>
  <c r="K7" i="26"/>
  <c r="L7" i="26" l="1"/>
  <c r="K6" i="26"/>
  <c r="L6" i="26" l="1"/>
  <c r="M7" i="26"/>
  <c r="N7" i="26" l="1"/>
  <c r="M6" i="26"/>
  <c r="N6" i="26" l="1"/>
  <c r="O7" i="26"/>
  <c r="O6" i="26" l="1"/>
  <c r="P7" i="26"/>
  <c r="Q7" i="26" l="1"/>
  <c r="P6" i="26"/>
  <c r="R7" i="26" l="1"/>
  <c r="Q6" i="26"/>
  <c r="R6" i="26" l="1"/>
  <c r="S7" i="26"/>
  <c r="S6" i="26" l="1"/>
  <c r="T7" i="26"/>
  <c r="U7" i="26" l="1"/>
  <c r="T6" i="26"/>
  <c r="V7" i="26" l="1"/>
  <c r="U6" i="26"/>
  <c r="V6" i="26" l="1"/>
  <c r="W7" i="26"/>
  <c r="W6" i="26" l="1"/>
  <c r="X7" i="26"/>
  <c r="Y7" i="26" l="1"/>
  <c r="X6" i="26"/>
  <c r="Z7" i="26" l="1"/>
  <c r="Y6" i="26"/>
  <c r="Z6" i="26" l="1"/>
  <c r="AA7" i="26"/>
  <c r="AA6" i="26" l="1"/>
  <c r="AB7" i="26"/>
  <c r="AB6" i="26" l="1"/>
  <c r="AC7" i="26"/>
  <c r="AC6" i="26" l="1"/>
  <c r="AD7" i="26"/>
  <c r="AD6" i="26" l="1"/>
  <c r="AE7" i="26"/>
  <c r="AF7" i="26" l="1"/>
  <c r="AE6" i="26"/>
  <c r="AF6" i="26" l="1"/>
  <c r="AG7" i="26"/>
  <c r="AH7" i="26" l="1"/>
  <c r="AG6" i="26"/>
  <c r="AH6" i="26" l="1"/>
  <c r="AI7" i="26"/>
  <c r="AJ7" i="26" l="1"/>
  <c r="AI6"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rFont val="Tahoma"/>
            <family val="2"/>
          </rPr>
          <t>Saeed:</t>
        </r>
        <r>
          <rPr>
            <sz val="9"/>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00000000-0006-0000-0500-000001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1" authorId="0" shapeId="0" xr:uid="{00000000-0006-0000-0500-000002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8" authorId="0" shapeId="0" xr:uid="{00000000-0006-0000-0500-000003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tc={F1D64B33-ECD3-4357-AFA5-8352F0DB6158}</author>
  </authors>
  <commentList>
    <comment ref="A2" authorId="0" shapeId="0" xr:uid="{00000000-0006-0000-0600-000001000000}">
      <text>
        <r>
          <rPr>
            <b/>
            <sz val="9"/>
            <rFont val="Tahoma"/>
            <family val="2"/>
          </rPr>
          <t>All unique 'Feature Task ID' per 'Feature Name / Description' MUST be listed in 'Feature Raw Data' tab</t>
        </r>
        <r>
          <rPr>
            <sz val="9"/>
            <rFont val="Tahoma"/>
            <family val="2"/>
          </rPr>
          <t xml:space="preserve">
</t>
        </r>
      </text>
    </comment>
    <comment ref="B2" authorId="0" shapeId="0" xr:uid="{00000000-0006-0000-0600-000002000000}">
      <text>
        <r>
          <rPr>
            <b/>
            <sz val="9"/>
            <rFont val="Tahoma"/>
            <family val="2"/>
          </rPr>
          <t>All IP Features, including those not supported by Diags, must be provided and present in this column</t>
        </r>
        <r>
          <rPr>
            <sz val="9"/>
            <rFont val="Tahoma"/>
            <family val="2"/>
          </rPr>
          <t xml:space="preserve">
</t>
        </r>
      </text>
    </comment>
    <comment ref="B161" authorId="1" shapeId="0" xr:uid="{F1D64B33-ECD3-4357-AFA5-8352F0DB6158}">
      <text>
        <t>[Threaded comment]
Your version of Excel allows you to read this threaded comment; however, any edits to it will get removed if the file is opened in a newer version of Excel. Learn more: https://go.microsoft.com/fwlink/?linkid=870924
Comment:
    Only supported in the DMA direction into root ports targeting system memory. Intended for use only with HPE/Cray NIC only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<sst xmlns="http://schemas.openxmlformats.org/spreadsheetml/2006/main" count="8276" uniqueCount="1212">
  <si>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</si>
  <si>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</si>
  <si>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</si>
  <si>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</si>
  <si>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</si>
  <si>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</si>
  <si>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</si>
  <si>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</si>
  <si>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</si>
  <si>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</si>
  <si>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</si>
  <si>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</si>
  <si>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</si>
  <si>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</si>
  <si>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</si>
  <si>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</si>
  <si>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</si>
  <si>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</si>
  <si>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</si>
  <si>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</si>
  <si>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</si>
  <si>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</si>
  <si>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</si>
  <si>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</si>
  <si>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</si>
  <si>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</si>
  <si>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</si>
  <si>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</si>
  <si>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</si>
  <si>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</si>
  <si>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</si>
  <si>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</si>
  <si>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</si>
  <si>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</si>
  <si>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</si>
  <si>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</si>
  <si>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</si>
  <si>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</si>
  <si>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</si>
  <si>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</si>
  <si>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</si>
  <si>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</si>
  <si>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</si>
  <si>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</si>
  <si>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</si>
  <si>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</si>
  <si>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</si>
  <si>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</si>
  <si>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</si>
  <si>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</si>
  <si>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</si>
  <si>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</si>
  <si>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</si>
  <si>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</si>
  <si>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</si>
  <si>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</si>
  <si>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</si>
  <si>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</si>
  <si>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</si>
  <si>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</si>
  <si>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</si>
  <si>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</si>
  <si>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</si>
  <si>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</si>
  <si>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</si>
  <si>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</si>
  <si>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</si>
  <si>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</si>
  <si>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</si>
  <si>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</si>
  <si>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</si>
  <si>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</si>
  <si>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</si>
  <si>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</si>
  <si>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</si>
  <si>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</si>
  <si>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</si>
  <si>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</si>
  <si>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</si>
  <si>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</si>
  <si>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</si>
  <si>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</si>
  <si>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</si>
  <si>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</si>
  <si>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</si>
  <si>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</si>
  <si>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</si>
  <si>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</si>
  <si>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</si>
  <si>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</si>
  <si>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</si>
  <si>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</si>
  <si>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</si>
  <si>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</si>
  <si>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</si>
  <si>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</si>
  <si>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</si>
  <si>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</si>
  <si>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</si>
  <si>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</si>
  <si>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</si>
  <si>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</si>
  <si>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</si>
  <si>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</si>
  <si>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</si>
  <si>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</si>
  <si>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</si>
  <si>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</si>
  <si>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</si>
  <si>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</si>
  <si>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</si>
  <si>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</si>
  <si>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</si>
  <si>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</si>
  <si>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</si>
  <si>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</si>
  <si>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</si>
  <si>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</si>
  <si>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</si>
  <si>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</si>
  <si>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</si>
  <si>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</si>
  <si>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</si>
  <si>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</si>
  <si>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</si>
  <si>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</si>
  <si>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</si>
  <si>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</si>
  <si>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</si>
  <si>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</si>
  <si>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</si>
  <si>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</si>
  <si>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</si>
  <si>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</si>
  <si>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</si>
  <si>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</si>
  <si>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</si>
  <si>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</si>
  <si>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</si>
  <si>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</si>
  <si>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</si>
  <si>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</si>
  <si>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</si>
  <si>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</si>
  <si>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</si>
  <si>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</si>
  <si>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</si>
  <si>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</si>
  <si>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</si>
  <si>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</si>
  <si>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</si>
  <si>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</si>
  <si>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</si>
  <si>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</si>
  <si>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</si>
  <si>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</si>
  <si>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</si>
  <si>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</si>
  <si>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</si>
  <si>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</si>
  <si>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</si>
  <si>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</si>
  <si>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</si>
  <si>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</si>
  <si>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</si>
  <si>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</si>
  <si>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</si>
  <si>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</si>
  <si>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</si>
  <si>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</si>
  <si>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</si>
  <si>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</si>
  <si>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</si>
  <si>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</si>
  <si>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rPr>
        <sz val="11"/>
        <color theme="1"/>
        <rFont val="Calibri"/>
        <family val="2"/>
        <scheme val="minor"/>
      </rP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</si>
  <si>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</si>
  <si>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</si>
  <si>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</si>
  <si>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</si>
  <si>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</si>
  <si>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</si>
  <si>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</si>
  <si>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</si>
  <si>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</si>
  <si>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</si>
  <si>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</si>
  <si>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</si>
  <si>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</si>
  <si>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</si>
  <si>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</si>
  <si>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</si>
  <si>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</si>
  <si>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</si>
  <si>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</si>
  <si>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</si>
  <si>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</si>
  <si>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</si>
  <si>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</si>
  <si>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</si>
  <si>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</si>
  <si>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</si>
  <si>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</si>
  <si>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</si>
  <si>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</si>
  <si>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</si>
  <si>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</si>
  <si>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</si>
  <si>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</si>
  <si>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</si>
  <si>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</si>
  <si>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</si>
  <si>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</si>
  <si>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</si>
  <si>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</si>
  <si>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</si>
  <si>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</si>
  <si>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</si>
  <si>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</si>
  <si>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</si>
  <si>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</si>
  <si>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</si>
  <si>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</si>
  <si>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</si>
  <si>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</si>
  <si>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</si>
  <si>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</si>
  <si>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</si>
  <si>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</si>
  <si>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</si>
  <si>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</si>
  <si>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</si>
  <si>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</si>
  <si>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</si>
  <si>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</si>
  <si>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</si>
  <si>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</si>
  <si>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</si>
  <si>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</si>
  <si>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</si>
  <si>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</si>
  <si>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</si>
  <si>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</si>
  <si>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</si>
  <si>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</si>
  <si>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</si>
  <si>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</si>
  <si>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rPr>
        <b/>
        <sz val="14"/>
        <color theme="1"/>
        <rFont val="Calibri"/>
        <family val="2"/>
        <scheme val="minor"/>
      </rP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</si>
  <si>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</si>
  <si>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rPr>
        <b/>
        <sz val="14"/>
        <color theme="1"/>
        <rFont val="Calibri"/>
        <family val="2"/>
        <scheme val="minor"/>
      </rP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</si>
  <si>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</si>
  <si>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</si>
  <si>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</si>
  <si>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</si>
  <si>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NV48-PCIe-nBIF-038</t>
  </si>
  <si>
    <t>Memory access control</t>
  </si>
  <si>
    <t>Fanny</t>
  </si>
  <si>
    <t>nBIF</t>
  </si>
  <si>
    <t>AG-PCIE Traffic Test</t>
  </si>
  <si>
    <t>Wr max size Rx (WC)</t>
  </si>
  <si>
    <t>AG002.001</t>
  </si>
  <si>
    <t>TServer</t>
  </si>
  <si>
    <t>Wr max size Rx (WB)</t>
  </si>
  <si>
    <t>AG002.002</t>
  </si>
  <si>
    <t>Wr min size Rx</t>
  </si>
  <si>
    <t>AG002.003</t>
  </si>
  <si>
    <t>Wr rand size Rx (WC)</t>
  </si>
  <si>
    <t>AG002.004</t>
  </si>
  <si>
    <t>Wr rand size Rx (WB)</t>
  </si>
  <si>
    <t>AG002.005</t>
  </si>
  <si>
    <t>Wr rand size Rx 128B</t>
  </si>
  <si>
    <t>AG002.006</t>
  </si>
  <si>
    <t>Rd max size Rx (WB)</t>
  </si>
  <si>
    <t>AG002.007</t>
  </si>
  <si>
    <t>Rd min size Rx</t>
  </si>
  <si>
    <t>AG002.008</t>
  </si>
  <si>
    <t>NV48-PCIe-nBIF-063</t>
  </si>
  <si>
    <t>Basic PCI Configuration Space Access Tests</t>
  </si>
  <si>
    <t>Validate Basic PCI Configuration Space Access with 32b Writes and 32b Reads</t>
  </si>
  <si>
    <t>AG003.001</t>
  </si>
  <si>
    <t>TNG</t>
  </si>
  <si>
    <t>Simnow</t>
  </si>
  <si>
    <t>Validate Basic PCI Configuration Space Access with 16b Writes and 32b Reads</t>
  </si>
  <si>
    <t>AG003.002</t>
  </si>
  <si>
    <t>NV48-PCIe-nBIF-016</t>
  </si>
  <si>
    <t>Validate Basic PCI Configuration Space Access with 8b Writes and 32b Reads</t>
  </si>
  <si>
    <t>AG003.003</t>
  </si>
  <si>
    <t>Validate Basic PCI Configuration Space Access with 32b Writes and 16b Reads</t>
  </si>
  <si>
    <t>AG003.004</t>
  </si>
  <si>
    <t>NV48-PCIe-nBIF-072</t>
  </si>
  <si>
    <t>Validate Basic PCI Configuration Space Access with 16b Writes and 16b Reads</t>
  </si>
  <si>
    <t>AG003.005</t>
  </si>
  <si>
    <t>Validate Basic PCI Configuration Space Access with 8b Writes and 16b Reads</t>
  </si>
  <si>
    <t>AG003.006</t>
  </si>
  <si>
    <t>Validate Basic PCI Configuration Space Access with 32b Writes and 8b Reads</t>
  </si>
  <si>
    <t>AG003.007</t>
  </si>
  <si>
    <t>Validate Basic PCI Configuration Space Access with 16b Writes and 8b Reads</t>
  </si>
  <si>
    <t>AG003.008</t>
  </si>
  <si>
    <t>Validate Basic PCI Configuration Space Access with 8b Writes and 8b Reads</t>
  </si>
  <si>
    <t>AG003.009</t>
  </si>
  <si>
    <t>Validate Basic PCI Configuration Space Access with Random Access Sizes and Offsets</t>
  </si>
  <si>
    <t>AG003.010</t>
  </si>
  <si>
    <t>NV48-PCIe-nBIF-058</t>
  </si>
  <si>
    <t>PCIe Capability</t>
  </si>
  <si>
    <t>PCI Standard Capabilities Block Tests</t>
  </si>
  <si>
    <t>List PCI Standard Capabilities Blocks</t>
  </si>
  <si>
    <t>AG004.001</t>
  </si>
  <si>
    <t>Validate Power Management Interface Capability Block</t>
  </si>
  <si>
    <t>AG004.002</t>
  </si>
  <si>
    <t>Validate PCI Express Capability Block</t>
  </si>
  <si>
    <t>AG004.003</t>
  </si>
  <si>
    <t>NV48-PCIe-nBIF-059</t>
  </si>
  <si>
    <t>MSI and MSI-X</t>
  </si>
  <si>
    <t>Validate Message Signaled Interrupts Capability Block</t>
  </si>
  <si>
    <t>AG004.004</t>
  </si>
  <si>
    <t>Validate Vendor Specific Capability Block</t>
  </si>
  <si>
    <t>AG004.005</t>
  </si>
  <si>
    <t>PCIE Extended Capabilities Block Tests</t>
  </si>
  <si>
    <t>List PCIE Extended Capabilities Blocks</t>
  </si>
  <si>
    <t>AG005.001</t>
  </si>
  <si>
    <t>NV48-PCIe-nBIF-055</t>
  </si>
  <si>
    <t>Validate Advanced Error Reporting Capability Block</t>
  </si>
  <si>
    <t>AG005.002</t>
  </si>
  <si>
    <t>NV48-PCIe-nBIF-057</t>
  </si>
  <si>
    <t>Vendor Specific Capability</t>
  </si>
  <si>
    <t>AG005.003</t>
  </si>
  <si>
    <t>Validate Resizable BAR Block</t>
  </si>
  <si>
    <t>AG005.004</t>
  </si>
  <si>
    <t>Validate Virtual Channel Capability Block</t>
  </si>
  <si>
    <t>AG005.005</t>
  </si>
  <si>
    <t>NV48-PCIe-nBIF-053</t>
  </si>
  <si>
    <t>PWR budgeting</t>
  </si>
  <si>
    <t>Validate Power Budgeting Capability Block</t>
  </si>
  <si>
    <t>AG005.006</t>
  </si>
  <si>
    <t>NV48-PCIe-nBIF-051</t>
  </si>
  <si>
    <t>Secondary PCIe Capability</t>
  </si>
  <si>
    <t>Validate Secondary PCI Express Capability Block</t>
  </si>
  <si>
    <t>AG005.007</t>
  </si>
  <si>
    <t>NV48-PCIe-nBIF-056</t>
  </si>
  <si>
    <t>DSN</t>
  </si>
  <si>
    <t>Validate Device Serial Number Capability Block</t>
  </si>
  <si>
    <t>AG005.008</t>
  </si>
  <si>
    <t>NV48-PCIe-nBIF-050</t>
  </si>
  <si>
    <t>ACS</t>
  </si>
  <si>
    <t>Validate Access Control Services Capability Block</t>
  </si>
  <si>
    <t>AG005.009</t>
  </si>
  <si>
    <t>NV48-PCIe-nBIF-052</t>
  </si>
  <si>
    <t>DPA</t>
  </si>
  <si>
    <t>Validate Dynamic Power Allocation Block</t>
  </si>
  <si>
    <t>AG005.012</t>
  </si>
  <si>
    <t>Validate Process Address Space ID Block</t>
  </si>
  <si>
    <t>AG005.013</t>
  </si>
  <si>
    <t>NV48-PCIe-nBIF-008</t>
  </si>
  <si>
    <t>Validate All PCIE Extended Capabilities Blocks</t>
  </si>
  <si>
    <t>AG005.014</t>
  </si>
  <si>
    <t>Validate Single Root IO Virtualization Extended capabilities block</t>
  </si>
  <si>
    <t>AG005.015</t>
  </si>
  <si>
    <t>NV48-PCIe-nBIF-048</t>
  </si>
  <si>
    <t>ARI</t>
  </si>
  <si>
    <t>Validate Alternative Routing Interpretation Extended capabilities block</t>
  </si>
  <si>
    <t>AG005.016</t>
  </si>
  <si>
    <t>NV48-PCIe-nBIF-071</t>
  </si>
  <si>
    <t>GPUIOV</t>
  </si>
  <si>
    <t>Validate GPU IO Virtualization Enhanced Extended capabilities block</t>
  </si>
  <si>
    <t>AG005.017</t>
  </si>
  <si>
    <t>NV48-PCIe-nBIF-100</t>
  </si>
  <si>
    <t>Validate L1 PM Substates Extended capabilities block</t>
  </si>
  <si>
    <t>AG005.018</t>
  </si>
  <si>
    <t>NV48-PCIe-nBIF-046</t>
  </si>
  <si>
    <t>data link feature extended capability</t>
  </si>
  <si>
    <t>Validate data link feature Extended capabilities block</t>
  </si>
  <si>
    <t>AG005.019</t>
  </si>
  <si>
    <t>NV48-PCIe-nBIF-045</t>
  </si>
  <si>
    <t>physical layer 16GT extended capability</t>
  </si>
  <si>
    <t>Validate Physical Layer 16GT/S Extended capabilities block</t>
  </si>
  <si>
    <t>AG005.020</t>
  </si>
  <si>
    <t>NV48-PCIe-nBIF-044</t>
  </si>
  <si>
    <t>Validate Lane Margining Extended capabilities block</t>
  </si>
  <si>
    <t>AG005.021</t>
  </si>
  <si>
    <t>NV48-PCIe-nBIF-049</t>
  </si>
  <si>
    <t>Validate Physical Layer 32GT/S Extended capabilities block</t>
  </si>
  <si>
    <t>AG005.023</t>
  </si>
  <si>
    <t>Validate Readiness Time Report Extended capabilities block</t>
  </si>
  <si>
    <t>AG005.024</t>
  </si>
  <si>
    <t>NV48-PCIe-nBIF-040</t>
  </si>
  <si>
    <t>PCI configuration space memory mapped mirror address tests</t>
  </si>
  <si>
    <t>PCI config space memory mapped mirror select test with write disabled</t>
  </si>
  <si>
    <t>AG006.001</t>
  </si>
  <si>
    <t>PCI config space memory mapped mirror select test with write enabled</t>
  </si>
  <si>
    <t>AG006.002</t>
  </si>
  <si>
    <t>Validate Basic PCI Configuration Space Access using Memory Mapped Mirror Address with Write Enabled</t>
  </si>
  <si>
    <t>AG006.003</t>
  </si>
  <si>
    <t>Validate Basic PCI Configuration Space Access using Memory Mapped Mirror Address with Write Disabled</t>
  </si>
  <si>
    <t>AG006.004</t>
  </si>
  <si>
    <t>PMCSR config space mirror test</t>
  </si>
  <si>
    <t>AG006.005</t>
  </si>
  <si>
    <t>NV48-PCIe-nBIF-039</t>
  </si>
  <si>
    <t>BAR allocation and Access</t>
  </si>
  <si>
    <t>PCI configuration space aperture size test</t>
  </si>
  <si>
    <t>List Base Addresses</t>
  </si>
  <si>
    <t>AG007.001</t>
  </si>
  <si>
    <t>NV48-PCIe-nBIF-018</t>
  </si>
  <si>
    <t>Validate Video Memory Aperture Sizes with 32b BAR</t>
  </si>
  <si>
    <t>AG007.002</t>
  </si>
  <si>
    <t>Validate Video Memory Aperture Sizes with 64b BAR</t>
  </si>
  <si>
    <t>AG007.003</t>
  </si>
  <si>
    <t>NV48-PCIe-nBIF-062</t>
  </si>
  <si>
    <t>Validate Register Aperture Sizes with 32b BAR</t>
  </si>
  <si>
    <t>AG007.004</t>
  </si>
  <si>
    <t>Validate ROM Aperture size</t>
  </si>
  <si>
    <t>AG007.006</t>
  </si>
  <si>
    <t>NV48-PCIe-nBIF-019</t>
  </si>
  <si>
    <t>Support Resizable for Doorbell Aper</t>
  </si>
  <si>
    <t>Validate Doorbell Aperture Sizes with 32b BAR</t>
  </si>
  <si>
    <t>AG007.007</t>
  </si>
  <si>
    <t>Validate Doorbell Aperture Sizes with 64b BAR</t>
  </si>
  <si>
    <t>AG007.008</t>
  </si>
  <si>
    <t>NV48-PCIe-nBIF-037</t>
  </si>
  <si>
    <t>PCI IO space BAR sanity check test</t>
  </si>
  <si>
    <t>AG007.009</t>
  </si>
  <si>
    <t>NV48-PCIe-nBIF-041</t>
  </si>
  <si>
    <t>PCI IO Mapped Register Read/Write tests</t>
  </si>
  <si>
    <t>PCI I/O Mapped Register Access with 32b Writes and 32b Reads</t>
  </si>
  <si>
    <t>AG008.001</t>
  </si>
  <si>
    <t>PCI I/O Mapped Register Access with 16b Writes and 32b Reads</t>
  </si>
  <si>
    <t>AG008.002</t>
  </si>
  <si>
    <t>PCI I/O Mapped Register Access with 8b Writes and 32b Reads</t>
  </si>
  <si>
    <t>AG008.003</t>
  </si>
  <si>
    <t>PCI I/O Mapped Register Access with 32b Writes and 16b Reads</t>
  </si>
  <si>
    <t>AG008.004</t>
  </si>
  <si>
    <t>PCI I/O Mapped Register Access with 16b Writes and 16b Reads</t>
  </si>
  <si>
    <t>AG008.005</t>
  </si>
  <si>
    <t>PCI I/O Mapped Register Access with 8b Writes and 16b Reads</t>
  </si>
  <si>
    <t>AG008.006</t>
  </si>
  <si>
    <t>PCI I/O Mapped Register Access with 32b Writes and 8b Reads</t>
  </si>
  <si>
    <t>AG008.007</t>
  </si>
  <si>
    <t>PCI I/O Mapped Register Access with 16b Writes and 8b Reads</t>
  </si>
  <si>
    <t>AG008.008</t>
  </si>
  <si>
    <t>PCI I/O Mapped Register Access with 8b Writes and 8b Reads</t>
  </si>
  <si>
    <t>AG008.009</t>
  </si>
  <si>
    <t>PCI IO Mapped Register Access with I/O Access Disabled</t>
  </si>
  <si>
    <t>AG008.010</t>
  </si>
  <si>
    <t>PCI Memory Mapped Register Read/Write tests</t>
  </si>
  <si>
    <t>PCI Memory Mapped Register Access with 32b Writes and 32b Reads</t>
  </si>
  <si>
    <t>AG009.001</t>
  </si>
  <si>
    <t>PCI Memory Mapped Register Access with 16b Writes and 32b Reads</t>
  </si>
  <si>
    <t>AG009.002</t>
  </si>
  <si>
    <t>PCI Memory Mapped Register Access with 8b Writes and 32b Reads</t>
  </si>
  <si>
    <t>AG009.003</t>
  </si>
  <si>
    <t>PCI Memory Mapped Register Access with 32b Writes and 16b Reads</t>
  </si>
  <si>
    <t>AG009.004</t>
  </si>
  <si>
    <t>PCI Memory Mapped Register Access with 16b Writes and 16b Reads</t>
  </si>
  <si>
    <t>AG009.005</t>
  </si>
  <si>
    <t>NV48-PCIe-nBIF-069</t>
  </si>
  <si>
    <t>PCI Memory Mapped Register Access with 8b Writes and 16b Reads</t>
  </si>
  <si>
    <t>AG009.006</t>
  </si>
  <si>
    <t>PCI Memory Mapped Register Access with 32b Writes and 8b Reads</t>
  </si>
  <si>
    <t>AG009.007</t>
  </si>
  <si>
    <t>PCI Memory Mapped Register Access with 16b Writes and 8b Reads</t>
  </si>
  <si>
    <t>AG009.008</t>
  </si>
  <si>
    <t>PCI Memory Mapped Register Access with 8b Writes and 8b Reads</t>
  </si>
  <si>
    <t>AG009.009</t>
  </si>
  <si>
    <t>PCI Memory Mapped register access with Memory Access Disabled</t>
  </si>
  <si>
    <t>AG009.010</t>
  </si>
  <si>
    <t>Memory Mapped register read/write with host aperture stresss test</t>
  </si>
  <si>
    <t>AG009.012</t>
  </si>
  <si>
    <t>PCI Memory Mapped Video Memory Read/Write tests</t>
  </si>
  <si>
    <t>PCI Memory Mapped Video Memory Access with 32b Writes and 32b Reads</t>
  </si>
  <si>
    <t>AG010.001</t>
  </si>
  <si>
    <t>PCI Memory Mapped Video Memory Access with 16b Writes and 32b Reads</t>
  </si>
  <si>
    <t>AG010.002</t>
  </si>
  <si>
    <t>PCI Memory Mapped Video Memory Access with 8b Writes and 32b Reads</t>
  </si>
  <si>
    <t>AG010.003</t>
  </si>
  <si>
    <t>PCI Memory Mapped Video Memory Access with 32b Writes and 16b Reads</t>
  </si>
  <si>
    <t>AG010.004</t>
  </si>
  <si>
    <t>PCI Memory Mapped Video Memory Access with 16b Writes and 16b Reads</t>
  </si>
  <si>
    <t>AG010.005</t>
  </si>
  <si>
    <t>PCI Memory Mapped Video Memory Access with 8b Writes and 16b Reads</t>
  </si>
  <si>
    <t>AG010.006</t>
  </si>
  <si>
    <t>PCI Memory Mapped Video Memory Access with 32b Writes and 8b Reads</t>
  </si>
  <si>
    <t>AG010.007</t>
  </si>
  <si>
    <t>PCI Memory Mapped Video Memory Access with 16b Writes and 8b Reads</t>
  </si>
  <si>
    <t>AG010.008</t>
  </si>
  <si>
    <t>PCI Memory Mapped Video Memory Access with 8b Writes and 8b Reads</t>
  </si>
  <si>
    <t>AG010.009</t>
  </si>
  <si>
    <t>NV48-PCIe-nBIF-001</t>
  </si>
  <si>
    <t>Common doorbell for SDMA</t>
  </si>
  <si>
    <t>PCI Memory Mapped Doorbell Read/Write tests</t>
  </si>
  <si>
    <t>PCI Memory Mapped Doorbell Access with 32b Reads</t>
  </si>
  <si>
    <t>AG011.001</t>
  </si>
  <si>
    <t>PCI Memory Mapped Doorbell Access with 32b Writes</t>
  </si>
  <si>
    <t>AG011.002</t>
  </si>
  <si>
    <t>NV48-PCIe-nBIF-002</t>
  </si>
  <si>
    <t>PCI Memory Mapped Doorbell Access with Self-ring 32b Read</t>
  </si>
  <si>
    <t>AG011.003</t>
  </si>
  <si>
    <t>PCI Memory Mapped Doorbell Access with Self-ring 32b Write</t>
  </si>
  <si>
    <t>AG011.004</t>
  </si>
  <si>
    <t>NV48-PCIe-nBIF-064</t>
  </si>
  <si>
    <t>PCI Memory Mapped Indirect Register Read/Write tests</t>
  </si>
  <si>
    <t>PCI Memory Mapped Indirect Register Access</t>
  </si>
  <si>
    <t>AG012.001</t>
  </si>
  <si>
    <t>Tserver</t>
  </si>
  <si>
    <t>PCI Memory Mapped Direct Register Write and Indirect Register Read</t>
  </si>
  <si>
    <t>AG012.002</t>
  </si>
  <si>
    <t>PCI Memory Mapped Indirect Register Write and Direct Register Read</t>
  </si>
  <si>
    <t>AG012.003</t>
  </si>
  <si>
    <t>I/O access control</t>
  </si>
  <si>
    <t>PCI I/O Mapped Indirect Register Read/Write tests</t>
  </si>
  <si>
    <t>PCI I/O Mapped Indirect Register Access</t>
  </si>
  <si>
    <t>AG013.001</t>
  </si>
  <si>
    <t>PCI I/O Mapped Direct Register Write and Indirect Register Read</t>
  </si>
  <si>
    <t>AG013.002</t>
  </si>
  <si>
    <t>PCI I/O Mapped Indirect Register Write and Memory Mapped Direct Register Read</t>
  </si>
  <si>
    <t>AG013.003</t>
  </si>
  <si>
    <t>PCI Memory Mapped Indirect Video Memory Read/Write tests</t>
  </si>
  <si>
    <t>PCI Memory Mapped Indirect Video Memory Access</t>
  </si>
  <si>
    <t>AG014.001</t>
  </si>
  <si>
    <t>PCI Memory Mapped Direct Video Memory Write and Indirect Video Memory Read</t>
  </si>
  <si>
    <t>AG014.002</t>
  </si>
  <si>
    <t>PCI Memory Mapped Indirect Video Memory Write and Memory Mapped Direct Video Memory Read</t>
  </si>
  <si>
    <t>AG014.003</t>
  </si>
  <si>
    <t>PCI I/O Mapped Indirect Video Memory Read/Write tests</t>
  </si>
  <si>
    <t>PCI I/O Mapped Indirect Video Memory Access</t>
  </si>
  <si>
    <t>AG015.001</t>
  </si>
  <si>
    <t>AG015.002</t>
  </si>
  <si>
    <t>PCI I/O Mapped Indirect Video Memory Write and Memory Mapped Direct Video Memory Read</t>
  </si>
  <si>
    <t>AG015.003</t>
  </si>
  <si>
    <t>PCI I/O Mapped PCIE Indirect Register Read/Write test</t>
  </si>
  <si>
    <t>PCI I/O Mapped PCIE Indirect Register Access</t>
  </si>
  <si>
    <t>AG016.001</t>
  </si>
  <si>
    <t>PCI Memory Mapped PCIE Indirect Register Read/Write test</t>
  </si>
  <si>
    <t>PCI Memory Mapped PCIE Indirect Register Access</t>
  </si>
  <si>
    <t>AG017.001</t>
  </si>
  <si>
    <t>NV48-PCIe-nBIF-010</t>
  </si>
  <si>
    <t>PCIE</t>
  </si>
  <si>
    <t>PCIE link quality tests</t>
  </si>
  <si>
    <t>PCIE Nak counter check initialize</t>
  </si>
  <si>
    <t>AG020.003</t>
  </si>
  <si>
    <t>NV48-PCIe-nBIF-043</t>
  </si>
  <si>
    <t>PCIE Nak counter check test</t>
  </si>
  <si>
    <t>AG020.004</t>
  </si>
  <si>
    <t>PCIE Link Quality check initialize</t>
  </si>
  <si>
    <t>AG020.005</t>
  </si>
  <si>
    <t>PCIE Link Quality check test</t>
  </si>
  <si>
    <t>AG020.006</t>
  </si>
  <si>
    <t>NV48-PCIe-nBIF-078</t>
  </si>
  <si>
    <t>PCIE Link Width Check</t>
  </si>
  <si>
    <t>AG020.008</t>
  </si>
  <si>
    <t>PCIE Link Speed Check</t>
  </si>
  <si>
    <t>AG020.010</t>
  </si>
  <si>
    <t>PCIE snoop tests</t>
  </si>
  <si>
    <t>PCIE snoop transaction test</t>
  </si>
  <si>
    <t>AG022.001</t>
  </si>
  <si>
    <t>PCIE snoop transaction test, snooped source /w TX_SNR_CLEAR</t>
  </si>
  <si>
    <t>AG022.004</t>
  </si>
  <si>
    <t>PCIE snoop transaction test, non-snooped source /w TX_SNR_CLEAR</t>
  </si>
  <si>
    <t>AG022.006</t>
  </si>
  <si>
    <t xml:space="preserve">AER </t>
  </si>
  <si>
    <t>Endpoint Uncorrectable Error Capabilities Test</t>
  </si>
  <si>
    <t>AG024.001</t>
  </si>
  <si>
    <t>Endpoint Correctable Error Capabilities Test</t>
  </si>
  <si>
    <t>AG024.002</t>
  </si>
  <si>
    <t>PCIE Error Reporting tests</t>
  </si>
  <si>
    <t>Single EP Basic Error Reporting Capabilities Test</t>
  </si>
  <si>
    <t>AG026.001</t>
  </si>
  <si>
    <t>Single EP Advanced Error Reporting Capabilities Test</t>
  </si>
  <si>
    <t>AG026.002</t>
  </si>
  <si>
    <t>Video Memory Read/Write Control tests</t>
  </si>
  <si>
    <t>Direct Video Memory Access with FB Always ON</t>
  </si>
  <si>
    <t>AG029.001</t>
  </si>
  <si>
    <t>Indirect Video Memory Access with FB Always ON</t>
  </si>
  <si>
    <t>AG029.002</t>
  </si>
  <si>
    <t>Direct Video Memory Access with FB Read and Write ON</t>
  </si>
  <si>
    <t>AG029.003</t>
  </si>
  <si>
    <t>Indirect Video Memory Access with FB Read and Write ON</t>
  </si>
  <si>
    <t>AG029.004</t>
  </si>
  <si>
    <t>Direct Video Memory Access with FB Read ON and FB Write OFF</t>
  </si>
  <si>
    <t>AG029.005</t>
  </si>
  <si>
    <t>Indirect Video Memory Access with FB Read ON and FB Write OFF</t>
  </si>
  <si>
    <t>AG029.006</t>
  </si>
  <si>
    <t>Direct Video Memory Access with FB Read OFF and Dummy Data</t>
  </si>
  <si>
    <t>AG029.007</t>
  </si>
  <si>
    <t>Indirect Video Memory Access with FB Read OFF and Dummy Data</t>
  </si>
  <si>
    <t>AG029.008</t>
  </si>
  <si>
    <t>PCIE Resizable BAR Capability tests</t>
  </si>
  <si>
    <t>List PCIE resizable BAR capability block information</t>
  </si>
  <si>
    <t>AG031.001</t>
  </si>
  <si>
    <t>BAR resizing</t>
  </si>
  <si>
    <t>PCIE resizable BAR size test (32b BAR)</t>
  </si>
  <si>
    <t>AG031.002</t>
  </si>
  <si>
    <t>PCIE resizable BAR size test (64b BAR)</t>
  </si>
  <si>
    <t>AG031.003</t>
  </si>
  <si>
    <t>List PCIE power budget capability block information</t>
  </si>
  <si>
    <t>AG032.001</t>
  </si>
  <si>
    <t>PCIE power budget data validation</t>
  </si>
  <si>
    <t>AG032.002</t>
  </si>
  <si>
    <t>PCIE power budget capability validation</t>
  </si>
  <si>
    <t>AG032.003</t>
  </si>
  <si>
    <t>NV48-PCIe-nBIF-023</t>
  </si>
  <si>
    <t>Multi-function support</t>
  </si>
  <si>
    <t>Multifunction tests</t>
  </si>
  <si>
    <t>PCI Multifunction Configuration Test</t>
  </si>
  <si>
    <t>AG033.001</t>
  </si>
  <si>
    <t>PCI Unmapped Function with Error Reporting Disabled Test</t>
  </si>
  <si>
    <t>AG033.003</t>
  </si>
  <si>
    <t>-use_kernel_driver=0</t>
  </si>
  <si>
    <t>NV48-PCIe-nBIF-032</t>
  </si>
  <si>
    <t>Hot Reset</t>
  </si>
  <si>
    <t>pcie_LinkResetTest</t>
  </si>
  <si>
    <t>ASIC Reset Disable on Hot Reset test</t>
  </si>
  <si>
    <t>AG038.004</t>
  </si>
  <si>
    <t>NV48-PCIe-nBIF-033</t>
  </si>
  <si>
    <t>Link Disable</t>
  </si>
  <si>
    <t>ASIC Reset Disable on Link Disable Reset test</t>
  </si>
  <si>
    <t>AG038.005</t>
  </si>
  <si>
    <t>NV48-PCIe-nBIF-065</t>
  </si>
  <si>
    <t>Link Down</t>
  </si>
  <si>
    <t>ASIC Reset Disable on Link Down Reset test</t>
  </si>
  <si>
    <t>AG038.006</t>
  </si>
  <si>
    <t>NV48-PCIe-nBIF-030</t>
  </si>
  <si>
    <t>Function Level Reset (FLR) tests</t>
  </si>
  <si>
    <t>FLR to function 0 (Video) with FLR enabled</t>
  </si>
  <si>
    <t>AG043.001</t>
  </si>
  <si>
    <t>NV48-PCIe-nBIF-011</t>
  </si>
  <si>
    <t>Doorbell Access Enable tests</t>
  </si>
  <si>
    <t>Doorbell aperture read test with Doorbell Access Disabled</t>
  </si>
  <si>
    <t>AG044.001</t>
  </si>
  <si>
    <t>Doorbell aperture read test with Doorbell Access Enabled</t>
  </si>
  <si>
    <t>AG044.002</t>
  </si>
  <si>
    <t>NV48-PCIe-nBIF-020</t>
  </si>
  <si>
    <t>Doorbell aperture write test with Doorbell Access Disabled</t>
  </si>
  <si>
    <t>AG044.003</t>
  </si>
  <si>
    <t>Doorbell aperture write test with Doorbell Access Enabled</t>
  </si>
  <si>
    <t>AG044.004</t>
  </si>
  <si>
    <t>NV48-PCIe-nBIF-036</t>
  </si>
  <si>
    <t>New RSMU_INDEX/DATA pair 0x50/0x54</t>
  </si>
  <si>
    <t>PCI SYSHUB Scratch Indirect Register Read/Write test</t>
  </si>
  <si>
    <t>PCI SYSHUB Indirect Register Access</t>
  </si>
  <si>
    <t>AG054.001</t>
  </si>
  <si>
    <t>NV48-PCIe-nBIF-067</t>
  </si>
  <si>
    <t>VBIOS ROM read performance tests</t>
  </si>
  <si>
    <t>ROM aperture read test (1 byte)</t>
  </si>
  <si>
    <t>AG055.001</t>
  </si>
  <si>
    <t>NV48-PCIe-nBIF-070</t>
  </si>
  <si>
    <t>ROM aperture read test (2 byte)</t>
  </si>
  <si>
    <t>AG055.002</t>
  </si>
  <si>
    <t>ROM aperture read test (4 byte)</t>
  </si>
  <si>
    <t>AG055.003</t>
  </si>
  <si>
    <t>NV48-PCIe-nBIF-031</t>
  </si>
  <si>
    <t>Switch Upstream Port Link reset test</t>
  </si>
  <si>
    <t>ASIC Reset via Hot Reset test</t>
  </si>
  <si>
    <t>AG056.001</t>
  </si>
  <si>
    <t>NV48-PCIe-nBIF-104</t>
  </si>
  <si>
    <t>ASIC Reset via Link Disable Reset test</t>
  </si>
  <si>
    <t>AG056.002</t>
  </si>
  <si>
    <t>NV48-PCIe-nBIF-105</t>
  </si>
  <si>
    <t>ASIC Reset via Link Down Reset test</t>
  </si>
  <si>
    <t>AG056.003</t>
  </si>
  <si>
    <t>NV48-PCIe-nBIF-103</t>
  </si>
  <si>
    <t>Switch Downstream Port Link reset test</t>
  </si>
  <si>
    <t>AG057.001</t>
  </si>
  <si>
    <t>NV48-PCIe-nBIF-017</t>
  </si>
  <si>
    <t>Perf Counters</t>
  </si>
  <si>
    <t>Slave Performance Counter test</t>
  </si>
  <si>
    <t>Frame Buffer Read (32-bit) test</t>
  </si>
  <si>
    <t>AG059.003</t>
  </si>
  <si>
    <t>Frame Buffer Write (32-bit) test</t>
  </si>
  <si>
    <t>AG059.004</t>
  </si>
  <si>
    <t>SMN Read test</t>
  </si>
  <si>
    <t>AG059.005</t>
  </si>
  <si>
    <t>SMN Write test</t>
  </si>
  <si>
    <t>AG059.006</t>
  </si>
  <si>
    <t>RSMU indirect register access test</t>
  </si>
  <si>
    <t>RSMU Indirect Scratch register reading and writing</t>
  </si>
  <si>
    <t>NV48-PCIe-nBIF-068</t>
  </si>
  <si>
    <t>PCIE doorbell client test</t>
  </si>
  <si>
    <t>PCI Memory Mapped Doorbell CP Write test</t>
  </si>
  <si>
    <t>AG064.001</t>
  </si>
  <si>
    <t>PCI Memory Mapped Doorbell SDMA Write test</t>
  </si>
  <si>
    <t>AG064.002</t>
  </si>
  <si>
    <t>NV48-PCIe-nBIF-024</t>
  </si>
  <si>
    <t>Bus_master_en control</t>
  </si>
  <si>
    <t>pcie_BusMasterEnableTest</t>
  </si>
  <si>
    <t>bus master enable test with SDMA</t>
  </si>
  <si>
    <t>AG065.001</t>
  </si>
  <si>
    <t>bus master disabled test with SDMA</t>
  </si>
  <si>
    <t>AG065.002</t>
  </si>
  <si>
    <t>NV48-PCIe-nBIF-012</t>
  </si>
  <si>
    <t>NBIF_GFX_DOORBELL_SENT</t>
  </si>
  <si>
    <t>GFX doorbell sent test</t>
  </si>
  <si>
    <t>AG101.000</t>
  </si>
  <si>
    <t>NV48-PCIe-nBIF-099</t>
  </si>
  <si>
    <t>ASPM L1</t>
  </si>
  <si>
    <t>ASPM</t>
  </si>
  <si>
    <t>AJ011.005</t>
  </si>
  <si>
    <t>NV48-PCIe-nBIF-101</t>
  </si>
  <si>
    <t>LC Performance Counter Test</t>
  </si>
  <si>
    <t>AJ013.001</t>
  </si>
  <si>
    <t>Training Check (only DL_Active status bit)</t>
  </si>
  <si>
    <t>PCIE PHY Dynamic Link Speed Switching Test (Bridge Initiated)</t>
  </si>
  <si>
    <t>Link speed change between Gen1 and Gen1</t>
  </si>
  <si>
    <t>AJ015.001</t>
  </si>
  <si>
    <t>NV48-PCIe-nBIF-095</t>
  </si>
  <si>
    <t>Link speed change between Gen1 and Gen2</t>
  </si>
  <si>
    <t>AJ015.002</t>
  </si>
  <si>
    <t>Link speed change between Gen1 and Gen3</t>
  </si>
  <si>
    <t>AJ015.003</t>
  </si>
  <si>
    <t>NV48-PCIe-nBIF-076</t>
  </si>
  <si>
    <t>Link speed change between Gen2 and Gen2</t>
  </si>
  <si>
    <t>AJ015.004</t>
  </si>
  <si>
    <t>Link speed change between Gen2 and Gen3</t>
  </si>
  <si>
    <t>AJ015.005</t>
  </si>
  <si>
    <t>Link speed change between Gen3 and Gen3</t>
  </si>
  <si>
    <t>AJ015.006</t>
  </si>
  <si>
    <t>PCIE standard Gen4 Link speed test</t>
  </si>
  <si>
    <t>Link speed change between Gen1 and Gen4 (Bridge Initiated)</t>
  </si>
  <si>
    <t>AJ015.007</t>
  </si>
  <si>
    <t>NV48-PCIe-nBIF-091</t>
  </si>
  <si>
    <t>Link speed change between Gen2 and Gen4 (Bridge Initiated)</t>
  </si>
  <si>
    <t>AJ015.008</t>
  </si>
  <si>
    <t>Link speed change between Gen3 and Gen4 (Bridge Initiated)</t>
  </si>
  <si>
    <t>AJ015.009</t>
  </si>
  <si>
    <t>Link speed change between Gen4 and Gen4 (Bridge Initiated)</t>
  </si>
  <si>
    <t>AJ015.010</t>
  </si>
  <si>
    <t>Link speed change between Gen1 and Gen4 (Endpoint Initiated)</t>
  </si>
  <si>
    <t>AJ016.007</t>
  </si>
  <si>
    <t>Link speed change between Gen2 and Gen4 (Endpoint Initiated)</t>
  </si>
  <si>
    <t>AJ016.008</t>
  </si>
  <si>
    <t>Link speed change between Gen3 and Gen4 (Endpoint Initiated)</t>
  </si>
  <si>
    <t>AJ016.009</t>
  </si>
  <si>
    <t>Link speed change between Gen4 and Gen4 (Endpoint Initiated)</t>
  </si>
  <si>
    <t>AJ016.010</t>
  </si>
  <si>
    <t>PCIE PHY Dynamic Link Speed Switching Test (Endpoint Initiated)</t>
  </si>
  <si>
    <t>EP initiated s/w link speed change between Gen1 and Gen1</t>
  </si>
  <si>
    <t>AJ016.001</t>
  </si>
  <si>
    <t>EP initiated s/w link speed change between Gen1 and Gen2</t>
  </si>
  <si>
    <t>AJ016.002</t>
  </si>
  <si>
    <t>EP initiated s/w link speed change between Gen1 and Gen3</t>
  </si>
  <si>
    <t>AJ016.003</t>
  </si>
  <si>
    <t>NV48-PCIe-nBIF-080</t>
  </si>
  <si>
    <t>EP initiated s/w link speed change between Gen2 and Gen2</t>
  </si>
  <si>
    <t>AJ016.004</t>
  </si>
  <si>
    <t>EP initiated s/w link speed change between Gen2 and Gen3</t>
  </si>
  <si>
    <t>AJ016.005</t>
  </si>
  <si>
    <t>EP initiated s/w link speed change between Gen3 and Gen3</t>
  </si>
  <si>
    <t>AJ016.006</t>
  </si>
  <si>
    <t>NV48-PCIe-nBIF-094</t>
  </si>
  <si>
    <t>Link width change between x1 and x2</t>
  </si>
  <si>
    <t>AJ018.002</t>
  </si>
  <si>
    <t>Link width change between x1 and x4</t>
  </si>
  <si>
    <t>AJ018.003</t>
  </si>
  <si>
    <t>Link width change between x1 and x8</t>
  </si>
  <si>
    <t>AJ018.004</t>
  </si>
  <si>
    <t>Link width change between x1 and x16</t>
  </si>
  <si>
    <t>AJ018.006</t>
  </si>
  <si>
    <t>Link width change between x2 and x4</t>
  </si>
  <si>
    <t>AJ018.008</t>
  </si>
  <si>
    <t>Link width change between x2 and x8</t>
  </si>
  <si>
    <t>AJ018.009</t>
  </si>
  <si>
    <t>Link width change between x2 and x16</t>
  </si>
  <si>
    <t>AJ018.011</t>
  </si>
  <si>
    <t>NV48-PCIe-nBIF-097</t>
  </si>
  <si>
    <t>Link width change between x4 and x8</t>
  </si>
  <si>
    <t>AJ018.013</t>
  </si>
  <si>
    <t>Link width change between x4 and x16</t>
  </si>
  <si>
    <t>AJ018.015</t>
  </si>
  <si>
    <t>Link width change between x8 and x16</t>
  </si>
  <si>
    <t>AJ018.018</t>
  </si>
  <si>
    <t>NV48-PCIe-nBIF-082</t>
  </si>
  <si>
    <t>PCIE Equalization Test</t>
  </si>
  <si>
    <t>PCIE Gen3 Link Equalization Test</t>
  </si>
  <si>
    <t>AJ019.001</t>
  </si>
  <si>
    <t>NV48-PCIe-nBIF-083</t>
  </si>
  <si>
    <t>PCIE Gen4 Link Equalization Test</t>
  </si>
  <si>
    <t>AJ019.002</t>
  </si>
  <si>
    <t>NV48-PCIe-nBIF-089</t>
  </si>
  <si>
    <t>AJ019.003</t>
  </si>
  <si>
    <t>NV48-PCIe-nBIF-088</t>
  </si>
  <si>
    <t>AJ019.004</t>
  </si>
  <si>
    <t>NV48-PCIe-nBIF-084</t>
  </si>
  <si>
    <t>PCIE Gen5 Link Equalization Test</t>
  </si>
  <si>
    <t>AJ019.005</t>
  </si>
  <si>
    <t>NV48-PCIe-nBIF-090</t>
  </si>
  <si>
    <t>1 Symbol Per Clock / 2 Symbol Per Clock Switch</t>
  </si>
  <si>
    <t>SPC mode change between Gen1 1SPC and Gen2 1SPC</t>
  </si>
  <si>
    <t>AJ020.001</t>
  </si>
  <si>
    <t>NV48-PCIe-nBIF-098</t>
  </si>
  <si>
    <t>SPC mode change between Gen1 1SPC and Gen3 2SPC</t>
  </si>
  <si>
    <t>AJ020.005</t>
  </si>
  <si>
    <t>SPC mode change between Gen2 1SPC and Gen3 2SPC</t>
  </si>
  <si>
    <t>AJ020.008</t>
  </si>
  <si>
    <t>SPC mode change between Gen1 1SPC and Gen4 4SPC</t>
  </si>
  <si>
    <t>AJ020.015</t>
  </si>
  <si>
    <t>SPC mode change between Gen2 1SPC and Gen4 4SPC</t>
  </si>
  <si>
    <t>AJ020.017</t>
  </si>
  <si>
    <t>SPC mode change between Gen3 2SPC and Gen4 4SPC</t>
  </si>
  <si>
    <t>AJ020.019</t>
  </si>
  <si>
    <t>NV48-PCIe-nBIF-087</t>
  </si>
  <si>
    <t>Data Throughput</t>
  </si>
  <si>
    <t>PCIE transfer rate test using sDMA</t>
  </si>
  <si>
    <t>FB to FB</t>
  </si>
  <si>
    <t>CR001.001</t>
  </si>
  <si>
    <t>NV48-PCIe-nBIF-054</t>
  </si>
  <si>
    <t>AGP to FB</t>
  </si>
  <si>
    <t>CR001.002</t>
  </si>
  <si>
    <t>FB to AGP</t>
  </si>
  <si>
    <t>CR001.003</t>
  </si>
  <si>
    <t>AGP to AGP</t>
  </si>
  <si>
    <t>CR001.004</t>
  </si>
  <si>
    <t>PCI to FB</t>
  </si>
  <si>
    <t>CR001.005</t>
  </si>
  <si>
    <t>FB to PCI</t>
  </si>
  <si>
    <t>CR001.006</t>
  </si>
  <si>
    <t>PCI to PCI</t>
  </si>
  <si>
    <t>CR001.007</t>
  </si>
  <si>
    <t>Transfer Rate using DMA FILL operation</t>
  </si>
  <si>
    <t>Write to FB</t>
  </si>
  <si>
    <t>CR008.001</t>
  </si>
  <si>
    <t>Write to AGP</t>
  </si>
  <si>
    <t>CR008.002</t>
  </si>
  <si>
    <t>Write to PCI</t>
  </si>
  <si>
    <t>CR008.003</t>
  </si>
  <si>
    <t>Transfer Rate using CPDMA</t>
  </si>
  <si>
    <t>CR010.001</t>
  </si>
  <si>
    <t>CR010.002</t>
  </si>
  <si>
    <t>CR010.003</t>
  </si>
  <si>
    <t>CR010.004</t>
  </si>
  <si>
    <t>CR010.005</t>
  </si>
  <si>
    <t>CR010.006</t>
  </si>
  <si>
    <t>CR010.007</t>
  </si>
  <si>
    <t>Transfer Rate using sDMA0 and sDMA1 operations</t>
  </si>
  <si>
    <t>sDMA0 and sDMA1: FB to FB</t>
  </si>
  <si>
    <t>CR015.001</t>
  </si>
  <si>
    <t>sDMA0 and sDMA1: AGP to FB</t>
  </si>
  <si>
    <t>CR015.002</t>
  </si>
  <si>
    <t>sDMA0 and sDMA1: FB to AGP</t>
  </si>
  <si>
    <t>CR015.003</t>
  </si>
  <si>
    <t>sDMA0 and sDMA1: AGP to AGP</t>
  </si>
  <si>
    <t>CR015.004</t>
  </si>
  <si>
    <t>sDMA0 and sDMA1: PCI to FB</t>
  </si>
  <si>
    <t>CR015.005</t>
  </si>
  <si>
    <t>sDMA0 and sDMA1: FB to PCI</t>
  </si>
  <si>
    <t>CR015.006</t>
  </si>
  <si>
    <t>sDMA0 and sDMA1: PCI to PCI</t>
  </si>
  <si>
    <t>CR015.007</t>
  </si>
  <si>
    <t>sDMA0: FB to PCI, sDMA1: PCI to FB</t>
  </si>
  <si>
    <t>CR015.008</t>
  </si>
  <si>
    <t>sDMA0: FB to AGP, sDMA1: AGP to FB</t>
  </si>
  <si>
    <t>CR015.009</t>
  </si>
  <si>
    <t>NV48-PCIe-nBIF-025</t>
  </si>
  <si>
    <t>pcie atomic test</t>
  </si>
  <si>
    <t>AG902.1</t>
  </si>
  <si>
    <t>AG902.2</t>
  </si>
  <si>
    <t>AG902.3</t>
  </si>
  <si>
    <t>AG902.4</t>
  </si>
  <si>
    <t>AG902.5</t>
  </si>
  <si>
    <t>pcie atomic interrupt test</t>
  </si>
  <si>
    <t>AG904.1</t>
  </si>
  <si>
    <t>NV48-PCIe-nBIF-061</t>
  </si>
  <si>
    <t>USB in s5 domain</t>
  </si>
  <si>
    <t>AG901.1</t>
  </si>
  <si>
    <t>AG901.2</t>
  </si>
  <si>
    <t>NV48-PCIe-nBIF-106</t>
  </si>
  <si>
    <t>RAS</t>
  </si>
  <si>
    <t>RAS controller test inject PARITY error by PCIE debug bit for BIF Leaf0</t>
  </si>
  <si>
    <t>P2</t>
  </si>
  <si>
    <t>AG550.001</t>
  </si>
  <si>
    <t>WK-11</t>
  </si>
  <si>
    <t>RAS controller test inject POISON error by PCIE debug bit for BIF Leaf0</t>
  </si>
  <si>
    <t>AG550.002</t>
  </si>
  <si>
    <t>AG550.005</t>
  </si>
  <si>
    <t>AG550.006</t>
  </si>
  <si>
    <t>RAS controller test inject PARITY error by PCIE debug bit for BIF Leaf1</t>
  </si>
  <si>
    <t>AG551.001</t>
  </si>
  <si>
    <t>RAS controller test inject POISON error by PCIE debug bit for BIF Leaf1</t>
  </si>
  <si>
    <t>AG551.002</t>
  </si>
  <si>
    <t>AG551.005</t>
  </si>
  <si>
    <t>AG551.006</t>
  </si>
  <si>
    <t>RAS controller test inject PARITY error by PCIE debug bit for BIF Leaf2</t>
  </si>
  <si>
    <t>AG552.001</t>
  </si>
  <si>
    <t>RAS controller test inject POISON error by PCIE debug bit for BIF Leaf2</t>
  </si>
  <si>
    <t>AG552.002</t>
  </si>
  <si>
    <t>AG552.005</t>
  </si>
  <si>
    <t>AG552.006</t>
  </si>
  <si>
    <t>RAS controller test inject PARITY error by PCIE debug bit for BIF Leaf3</t>
  </si>
  <si>
    <t>AG563.001</t>
  </si>
  <si>
    <t>RAS controller test inject POISON error by PCIE debug bit for BIF Leaf3</t>
  </si>
  <si>
    <t>AG563.002</t>
  </si>
  <si>
    <t>AG563.005</t>
  </si>
  <si>
    <t>AG563.006</t>
  </si>
  <si>
    <t>RAS controller test inject PARITY error by PCIE debug bit for system Leaf0</t>
  </si>
  <si>
    <t>AG553.001</t>
  </si>
  <si>
    <t>RAS controller test inject POISON error by PCIE debug bit for system Leaf0</t>
  </si>
  <si>
    <t>AG553.002</t>
  </si>
  <si>
    <t>AG553.005</t>
  </si>
  <si>
    <t>AG553.006</t>
  </si>
  <si>
    <t>RAS controller test inject PARITY error by PCIE debug bit for system Leaf1</t>
  </si>
  <si>
    <t>AG554.001</t>
  </si>
  <si>
    <t>RAS controller test inject POISON error by PCIE debug bit for system Leaf1</t>
  </si>
  <si>
    <t>AG554.002</t>
  </si>
  <si>
    <t>AG554.005</t>
  </si>
  <si>
    <t>AG554.006</t>
  </si>
  <si>
    <t>RAS controller test inject PARITY error by PCIE debug bit for system Leaf2</t>
  </si>
  <si>
    <t>AG555.001</t>
  </si>
  <si>
    <t>RAS controller test inject POISON error by PCIE debug bit for system Leaf2</t>
  </si>
  <si>
    <t>AG555.002</t>
  </si>
  <si>
    <t>AG555.005</t>
  </si>
  <si>
    <t>AG555.006</t>
  </si>
  <si>
    <t>RAS controller test inject PARITY error by PCIE debug bit for system Leaf3</t>
  </si>
  <si>
    <t>AG556.001</t>
  </si>
  <si>
    <t>RAS controller test inject POISON error by PCIE debug bit for system Leaf3</t>
  </si>
  <si>
    <t>AG556.002</t>
  </si>
  <si>
    <t>AG556.005</t>
  </si>
  <si>
    <t>AG556.006</t>
  </si>
  <si>
    <t>RAS controller test inject PARITY error by PCIE debug bit for system Leaf4</t>
  </si>
  <si>
    <t>AG557.001</t>
  </si>
  <si>
    <t>RAS controller test inject POISON error by PCIE debug bit for system Leaf4</t>
  </si>
  <si>
    <t>AG557.002</t>
  </si>
  <si>
    <t>AG557.005</t>
  </si>
  <si>
    <t>AG557.006</t>
  </si>
  <si>
    <t>RAS controller test inject PARITY error by PCIE debug bit for system Leaf5</t>
  </si>
  <si>
    <t>AG558.001</t>
  </si>
  <si>
    <t>RAS controller test inject POISON error by PCIE debug bit for system Leaf5</t>
  </si>
  <si>
    <t>AG558.002</t>
  </si>
  <si>
    <t>AG558.005</t>
  </si>
  <si>
    <t>AG558.006</t>
  </si>
  <si>
    <t>NV48-PCIe-nBIF-003</t>
  </si>
  <si>
    <t>Hot-Plug Detect PME in D3 State for GFX Function</t>
  </si>
  <si>
    <t>Scandump Over MMIO Support</t>
  </si>
  <si>
    <t>AG120.001</t>
  </si>
  <si>
    <t>NV48-PCIe-nBIF-005</t>
  </si>
  <si>
    <t>GUI flush merge sequence</t>
  </si>
  <si>
    <t>AG121.001</t>
  </si>
  <si>
    <t xml:space="preserve">PLEASE DO NOT CROSS THIS LINE.   Insert New Rows OR Copied Cells "Above" The Last Known Good Row Only So Each Copied Cells &amp; Rows Still Contains The Right Formulas (Similar Concept for Removing or Deleting Rows)        </t>
  </si>
  <si>
    <t xml:space="preserve"> </t>
  </si>
  <si>
    <r>
      <rPr>
        <b/>
        <sz val="14"/>
        <rFont val="Calibri"/>
        <family val="2"/>
        <scheme val="minor"/>
      </rP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</si>
  <si>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</si>
  <si>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PHY</t>
  </si>
  <si>
    <t>Rate</t>
  </si>
  <si>
    <t>Grand Total</t>
  </si>
  <si>
    <t>New+Delta</t>
  </si>
  <si>
    <t>New+Delta Total</t>
  </si>
  <si>
    <t>Ras</t>
  </si>
  <si>
    <t>Legacy Total</t>
  </si>
  <si>
    <r>
      <rPr>
        <b/>
        <sz val="14"/>
        <color theme="1"/>
        <rFont val="Calibri"/>
        <family val="2"/>
        <scheme val="minor"/>
      </rP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</si>
  <si>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Remote doorbell and doorbell remapping</t>
  </si>
  <si>
    <t>P1</t>
  </si>
  <si>
    <t>Total # of Features</t>
  </si>
  <si>
    <t>Early response and block doorbell per client</t>
  </si>
  <si>
    <t>Total # of P1</t>
  </si>
  <si>
    <t>Total # of P3</t>
  </si>
  <si>
    <t>Total # of N/A</t>
  </si>
  <si>
    <t>NV48-PCIe-nBIF-006</t>
  </si>
  <si>
    <t>Total # of IPSE</t>
  </si>
  <si>
    <t>NV48-PCIe-nBIF-007</t>
  </si>
  <si>
    <t>DFV/Debug Bus Check</t>
  </si>
  <si>
    <t>Total # of Delta</t>
  </si>
  <si>
    <t>GFX Device ID Strap</t>
  </si>
  <si>
    <t>NV48-PCIe-nBIF-009</t>
  </si>
  <si>
    <t>SMN trust level assignment</t>
  </si>
  <si>
    <t>Link Quality check</t>
  </si>
  <si>
    <t>Doorbell fence for VDDGFX</t>
  </si>
  <si>
    <t>NV48-PCIe-nBIF-013</t>
  </si>
  <si>
    <t>Clock gating/Power gating</t>
  </si>
  <si>
    <t>NV48-PCIe-nBIF-014</t>
  </si>
  <si>
    <t>PME Support for AZ function</t>
  </si>
  <si>
    <t>NV48-PCIe-nBIF-015</t>
  </si>
  <si>
    <t>64 Bit Addressint test</t>
  </si>
  <si>
    <t>PCIe Register Accesses</t>
  </si>
  <si>
    <t>Resizable BAR enhancement for gfx's FB aperture</t>
  </si>
  <si>
    <t>Doorbell sub-decoding to avoid multicast for doorbell trans in SOC15</t>
  </si>
  <si>
    <t>NV48-PCIe-nBIF-021</t>
  </si>
  <si>
    <t>ACPI (D3 state)</t>
  </si>
  <si>
    <t>NV48-PCIe-nBIF-022</t>
  </si>
  <si>
    <t>Latency Tolerance Reporting</t>
  </si>
  <si>
    <t xml:space="preserve">Atomic Op </t>
  </si>
  <si>
    <t>NV48-PCIe-nBIF-026</t>
  </si>
  <si>
    <t>PCIECV (SI lab does execution)</t>
  </si>
  <si>
    <t>NV48-PCIe-nBIF-027</t>
  </si>
  <si>
    <t>Message Signal Interrupt</t>
  </si>
  <si>
    <t>NV48-PCIe-nBIF-028</t>
  </si>
  <si>
    <t>MSIX</t>
  </si>
  <si>
    <t>NV48-PCIe-nBIF-029</t>
  </si>
  <si>
    <t>Legacy interrupt</t>
  </si>
  <si>
    <t>FLR (Func 0/1/2/??)</t>
  </si>
  <si>
    <t>P3</t>
  </si>
  <si>
    <t>NV48-PCIe-nBIF-034</t>
  </si>
  <si>
    <t>Warm Reset/Cold Reset</t>
  </si>
  <si>
    <t>NV48-PCIe-nBIF-035</t>
  </si>
  <si>
    <t>Scalable FC</t>
  </si>
  <si>
    <t>Register Accesses</t>
  </si>
  <si>
    <t>NV48-PCIe-nBIF-042</t>
  </si>
  <si>
    <t>Link Bandwidth Management Status</t>
  </si>
  <si>
    <t>lane margining at the receiver extended capability</t>
  </si>
  <si>
    <t>NV48-PCIe-nBIF-047</t>
  </si>
  <si>
    <t>SSID</t>
  </si>
  <si>
    <t>PCIE Physical Layer 16GT/32GT </t>
  </si>
  <si>
    <t>NV48-PCIe-nBIF-060</t>
  </si>
  <si>
    <t>PME and PME_turn_off</t>
  </si>
  <si>
    <t>PCIE Function Aperture Size</t>
  </si>
  <si>
    <t>Vendor ID and Device ID</t>
  </si>
  <si>
    <t xml:space="preserve">HDP Flush and mmindex/data cross check </t>
  </si>
  <si>
    <t>GPU reset finish indication(delta, per VF)</t>
  </si>
  <si>
    <t>NV48-PCIe-nBIF-066</t>
  </si>
  <si>
    <t>TLP Prefix/Processing Hints</t>
  </si>
  <si>
    <t>Expansion ROM Validation ECN</t>
  </si>
  <si>
    <t>Add normal RW registers for scratch usage by sw/fw</t>
  </si>
  <si>
    <t>ROM_OFFSET</t>
  </si>
  <si>
    <t>PCIe CFG layout check</t>
  </si>
  <si>
    <t>NV48-PCIe-nBIF-073</t>
  </si>
  <si>
    <t>Fuse and rom strap check</t>
  </si>
  <si>
    <t>NV48-PCIe-nBIF-074</t>
  </si>
  <si>
    <t>GMI timeout</t>
  </si>
  <si>
    <t>NV48-PCIe-nBIF-075</t>
  </si>
  <si>
    <t>Surprise Down/TX/RX Powerdown (Modified)</t>
  </si>
  <si>
    <t>Forward Boot Gen1/2/3/4/5</t>
  </si>
  <si>
    <t>NV48-PCIe-nBIF-077</t>
  </si>
  <si>
    <t>Reverse Boot</t>
  </si>
  <si>
    <t>Training Check</t>
  </si>
  <si>
    <t>NV48-PCIe-nBIF-079</t>
  </si>
  <si>
    <t>Extended Tag</t>
  </si>
  <si>
    <t>Multi lane/port support  (Only 1 port supported for GPU)</t>
  </si>
  <si>
    <t>NV48-PCIe-nBIF-081</t>
  </si>
  <si>
    <t>Polarity Reversal</t>
  </si>
  <si>
    <t>Standard Gen3 Equalization</t>
  </si>
  <si>
    <t>Standard Gen4 Equalization</t>
  </si>
  <si>
    <t>Standard Gen5 Equalization</t>
  </si>
  <si>
    <t>NV48-PCIe-nBIF-085</t>
  </si>
  <si>
    <t>Preset Search/Mask</t>
  </si>
  <si>
    <t>NV48-PCIe-nBIF-086</t>
  </si>
  <si>
    <t>Coeﬀicient Search</t>
  </si>
  <si>
    <t>DMA Payload Size/Zero Byte Read</t>
  </si>
  <si>
    <t xml:space="preserve">equalization bypass to highest rate -- PCIe Compliant </t>
  </si>
  <si>
    <t>Equalization with Phase 2 and Phase 3</t>
  </si>
  <si>
    <t>Equalization with Phase 2 (USP) or Phase 3 (DSP) Bypassed  (3.17.2.15)</t>
  </si>
  <si>
    <t>Transmitter Precoding at 32.0 GT/s</t>
  </si>
  <si>
    <t>NV48-PCIe-nBIF-092</t>
  </si>
  <si>
    <t>LC Receiver Re-Lock</t>
  </si>
  <si>
    <t>NV48-PCIe-nBIF-093</t>
  </si>
  <si>
    <t>Retimer Support</t>
  </si>
  <si>
    <t>Link Width Reconfiguration</t>
  </si>
  <si>
    <t>Link Speed Renegotiation</t>
  </si>
  <si>
    <t>NV48-PCIe-nBIF-096</t>
  </si>
  <si>
    <t>Broken Lane Feature</t>
  </si>
  <si>
    <t>Link Bandwidth Management Status and Link Autonomous Bandwidth Status</t>
  </si>
  <si>
    <t>SPC tests</t>
  </si>
  <si>
    <t>L1 SS</t>
  </si>
  <si>
    <t>PCIE Performance counter</t>
  </si>
  <si>
    <t>NV48-PCIe-nBIF-102</t>
  </si>
  <si>
    <t>SWUS-DOE</t>
  </si>
  <si>
    <t>PCIE hot reset</t>
  </si>
  <si>
    <t>PCIE link disable reset</t>
  </si>
  <si>
    <t>PCIE link down reset</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</si>
  <si>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</si>
  <si>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</si>
  <si>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</si>
  <si>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</si>
  <si>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</si>
  <si>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</si>
  <si>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</si>
  <si>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</si>
  <si>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</si>
  <si>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</si>
  <si>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</si>
  <si>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</si>
  <si>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</si>
  <si>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</si>
  <si>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</si>
  <si>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</si>
  <si>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</si>
  <si>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</si>
  <si>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</si>
  <si>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</si>
  <si>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</si>
  <si>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</si>
  <si>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</si>
  <si>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</si>
  <si>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</si>
  <si>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</si>
  <si>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</si>
  <si>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</si>
  <si>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</si>
  <si>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</si>
  <si>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</si>
  <si>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</si>
  <si>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</si>
  <si>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</si>
  <si>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</si>
  <si>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</si>
  <si>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</si>
  <si>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</si>
  <si>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</si>
  <si>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</si>
  <si>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</si>
  <si>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</si>
  <si>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</si>
  <si>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</si>
  <si>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</si>
  <si>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</si>
  <si>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</si>
  <si>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</si>
  <si>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</si>
  <si>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</si>
  <si>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</si>
  <si>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</si>
  <si>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</si>
  <si>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</si>
  <si>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r>
      <rPr>
        <b/>
        <sz val="22"/>
        <color rgb="FFC00000"/>
        <rFont val="Calibri"/>
        <family val="2"/>
        <scheme val="minor"/>
      </rPr>
      <t>Enter Comments Here</t>
    </r>
    <r>
      <rPr>
        <b/>
        <sz val="12"/>
        <color rgb="FFC00000"/>
        <rFont val="Calibri"/>
        <family val="2"/>
        <scheme val="minor"/>
      </rPr>
      <t xml:space="preserve">
</t>
    </r>
  </si>
  <si>
    <r>
      <rPr>
        <b/>
        <sz val="14"/>
        <color theme="1"/>
        <rFont val="Calibri"/>
        <family val="2"/>
        <scheme val="minor"/>
      </rP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</si>
  <si>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Fetaure is not Entitled</t>
  </si>
  <si>
    <t>Why the Feature is Entitled, while not Commited</t>
  </si>
  <si>
    <t>Denpendence</t>
  </si>
  <si>
    <t>It can be executed manually, but can't in tserverlite automaticly.</t>
  </si>
  <si>
    <t>It can be executed manually with HDT and scandump, but can't in tserverlite automaticly.</t>
  </si>
  <si>
    <t>It can be executed by PCIe analyzer. But can't in tserverlite automatically.</t>
  </si>
  <si>
    <t>It needs to use PCIe analyzer and executed manually, but can't in tserverlite automaticly.</t>
  </si>
  <si>
    <t>It needs to use PCIe execiser and executed manually, but can't in tserverlite automaticly.</t>
  </si>
  <si>
    <t>It needs to use the Windows standard tool to test in System level in special environment.</t>
  </si>
  <si>
    <t>Cold reset only can be executed manually, can't in tserverlite automaticly.</t>
  </si>
  <si>
    <t>It can be executed by PCIe execuser. But can't in tserverlite automatically.</t>
  </si>
  <si>
    <t>It needs to be executed manually, but can't in tserverlite automaticly.</t>
  </si>
  <si>
    <t>It needs to be executed by PCIe analyzer manually, but can't in tserverlite automaticly.</t>
  </si>
  <si>
    <t>PLEASE DO NOT CROSS THIS LINE.   Insert New Rows OR Copied Cells "Above" The Last Known Good Row Only So Each Copied Cells &amp; Rows Still Contains The Right Formulas (Similar Concept for Removing or Deleting Rows)</t>
  </si>
  <si>
    <t>Count of Category</t>
  </si>
  <si>
    <t>Column Labels</t>
  </si>
  <si>
    <t>Row Labels</t>
  </si>
  <si>
    <t>WK-2</t>
  </si>
  <si>
    <t>WK-3</t>
  </si>
  <si>
    <t>WK-4</t>
  </si>
  <si>
    <t>WK-5</t>
  </si>
  <si>
    <t>WK-6</t>
  </si>
  <si>
    <t>WK-7</t>
  </si>
  <si>
    <t>WK-8</t>
  </si>
  <si>
    <t>WK-13</t>
  </si>
  <si>
    <t>#Accum</t>
  </si>
  <si>
    <t>%Coverage</t>
  </si>
  <si>
    <t>wk-11</t>
  </si>
  <si>
    <t>Accum #</t>
  </si>
  <si>
    <t>Accum#</t>
  </si>
  <si>
    <t>Sum of Total Variations</t>
  </si>
  <si>
    <t>wk2</t>
  </si>
  <si>
    <t>smu/psp fw dependency+wk-2</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</si>
  <si>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</si>
  <si>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</si>
  <si>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</si>
  <si>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</si>
  <si>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</si>
  <si>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</si>
  <si>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</si>
  <si>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</si>
  <si>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</si>
  <si>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</si>
  <si>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</si>
  <si>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</si>
  <si>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</si>
  <si>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</si>
  <si>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</si>
  <si>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</si>
  <si>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</si>
  <si>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</si>
  <si>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</si>
  <si>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</si>
  <si>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</si>
  <si>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</si>
  <si>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</si>
  <si>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</si>
  <si>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</si>
  <si>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</si>
  <si>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</si>
  <si>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</si>
  <si>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</si>
  <si>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</si>
  <si>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</si>
  <si>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</si>
  <si>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</si>
  <si>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</si>
  <si>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</si>
  <si>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</si>
  <si>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</si>
  <si>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</si>
  <si>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</si>
  <si>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</si>
  <si>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</si>
  <si>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</si>
  <si>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</si>
  <si>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</si>
  <si>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</si>
  <si>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</si>
  <si>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</si>
  <si>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</si>
  <si>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</si>
  <si>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</si>
  <si>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</si>
  <si>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</si>
  <si>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</si>
  <si>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</si>
  <si>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</si>
  <si>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</si>
  <si>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</si>
  <si>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</si>
  <si>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</si>
  <si>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</si>
  <si>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</si>
  <si>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</si>
  <si>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</si>
  <si>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Total Run.1</t>
  </si>
  <si>
    <t>Unnamed: 26</t>
  </si>
  <si>
    <t>Waived.1</t>
  </si>
  <si>
    <t>Fail.1</t>
  </si>
  <si>
    <t>Skip.1</t>
  </si>
  <si>
    <t>% Pass Rate.1</t>
  </si>
  <si>
    <t/>
  </si>
  <si>
    <t>AG060.001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</si>
</sst>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39">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0"/>
      <name val="Calibri"/>
      <family val="2"/>
      <scheme val="minor"/>
    </font>
    <font>
      <b/>
      <sz val="10"/>
      <name val="Calibri"/>
      <family val="2"/>
      <scheme val="minor"/>
    </font>
    <font>
      <b/>
      <sz val="10"/>
      <color theme="1"/>
      <name val="Calibri"/>
      <family val="2"/>
      <scheme val="minor"/>
    </font>
    <font>
      <b/>
      <sz val="9"/>
      <color theme="1"/>
      <name val="Calibri"/>
      <family val="2"/>
      <scheme val="minor"/>
    </font>
    <font>
      <sz val="9"/>
      <color theme="1"/>
      <name val="Calibri"/>
      <family val="2"/>
      <scheme val="minor"/>
    </font>
    <font>
      <sz val="9"/>
      <name val="Calibri"/>
      <family val="2"/>
      <scheme val="minor"/>
    </font>
    <font>
      <b/>
      <sz val="9"/>
      <name val="Calibri"/>
      <family val="2"/>
      <scheme val="minor"/>
    </font>
    <font>
      <b/>
      <sz val="9"/>
      <color rgb="FFFF0000"/>
      <name val="Calibri"/>
      <family val="2"/>
      <scheme val="minor"/>
    </font>
    <font>
      <b/>
      <sz val="9"/>
      <color rgb="FFC00000"/>
      <name val="Calibri"/>
      <family val="2"/>
      <scheme val="minor"/>
    </font>
    <font>
      <sz val="9"/>
      <color rgb="FFC00000"/>
      <name val="Calibri"/>
      <family val="2"/>
      <scheme val="minor"/>
    </font>
    <font>
      <sz val="12"/>
      <color theme="1"/>
      <name val="Calibri"/>
      <family val="2"/>
      <scheme val="minor"/>
    </font>
    <font>
      <b/>
      <sz val="12"/>
      <color rgb="FFC00000"/>
      <name val="Calibri"/>
      <family val="2"/>
      <scheme val="minor"/>
    </font>
    <font>
      <sz val="11"/>
      <name val="Calibri"/>
      <family val="2"/>
      <scheme val="minor"/>
    </font>
    <font>
      <sz val="11"/>
      <color rgb="FFFF0000"/>
      <name val="Calibri"/>
      <family val="2"/>
      <scheme val="minor"/>
    </font>
    <font>
      <b/>
      <sz val="14"/>
      <color theme="1"/>
      <name val="Calibri"/>
      <family val="2"/>
      <scheme val="minor"/>
    </font>
    <font>
      <b/>
      <sz val="14"/>
      <color rgb="FFC00000"/>
      <name val="Calibri"/>
      <family val="2"/>
      <scheme val="minor"/>
    </font>
    <font>
      <b/>
      <sz val="11"/>
      <name val="Calibri"/>
      <family val="2"/>
      <scheme val="minor"/>
    </font>
    <font>
      <b/>
      <sz val="11"/>
      <color theme="1"/>
      <name val="Calibri"/>
      <family val="2"/>
      <scheme val="minor"/>
    </font>
    <font>
      <b/>
      <sz val="11"/>
      <color rgb="FFFF0000"/>
      <name val="Calibri"/>
      <family val="2"/>
      <scheme val="minor"/>
    </font>
    <font>
      <sz val="14"/>
      <color theme="1"/>
      <name val="Calibri"/>
      <family val="2"/>
      <scheme val="minor"/>
    </font>
    <font>
      <b/>
      <sz val="11"/>
      <color rgb="FFC00000"/>
      <name val="Calibri"/>
      <family val="2"/>
      <scheme val="minor"/>
    </font>
    <font>
      <b/>
      <sz val="14"/>
      <name val="Calibri"/>
      <family val="2"/>
      <scheme val="minor"/>
    </font>
    <font>
      <sz val="10"/>
      <color indexed="8"/>
      <name val="Arial"/>
      <family val="2"/>
    </font>
    <font>
      <b/>
      <sz val="11"/>
      <color rgb="FFFA7D00"/>
      <name val="Calibri"/>
      <family val="2"/>
      <scheme val="minor"/>
    </font>
    <font>
      <b/>
      <sz val="14"/>
      <color rgb="FFFF0000"/>
      <name val="Calibri"/>
      <family val="2"/>
      <scheme val="minor"/>
    </font>
    <font>
      <b/>
      <sz val="14"/>
      <color rgb="FFFF96EB"/>
      <name val="Calibri"/>
      <family val="2"/>
      <scheme val="minor"/>
    </font>
    <font>
      <b/>
      <u/>
      <sz val="11"/>
      <color rgb="FFFF0000"/>
      <name val="Calibri"/>
      <family val="2"/>
      <scheme val="minor"/>
    </font>
    <font>
      <sz val="9"/>
      <name val="Tahoma"/>
      <family val="2"/>
    </font>
    <font>
      <b/>
      <sz val="9"/>
      <name val="Tahoma"/>
      <family val="2"/>
    </font>
    <font>
      <sz val="11"/>
      <color theme="1"/>
      <name val="Calibri"/>
      <family val="2"/>
      <scheme val="minor"/>
    </font>
    <font>
      <sz val="8"/>
      <name val="Calibri"/>
      <family val="2"/>
      <scheme val="minor"/>
    </font>
    <font>
      <sz val="8"/>
      <name val="Calibri"/>
      <family val="2"/>
      <scheme val="minor"/>
    </font>
    <font>
      <sz val="11"/>
      <color rgb="FF000000"/>
      <name val="Calibri"/>
      <family val="2"/>
      <scheme val="minor"/>
    </font>
    <font>
      <b/>
      <sz val="22"/>
      <color rgb="FFC00000"/>
      <name val="Calibri"/>
      <family val="2"/>
      <scheme val="minor"/>
    </font>
    <font>
      <b/>
      <sz val="11"/>
      <name val="Calibri"/>
      <family val="2"/>
    </font>
  </fonts>
  <fills count="25">
    <fill>
      <patternFill patternType="none"/>
    </fill>
    <fill>
      <patternFill patternType="gray125"/>
    </fill>
    <fill>
      <patternFill patternType="solid">
        <fgColor theme="3" tint="0.79995117038483843"/>
        <bgColor indexed="64"/>
      </patternFill>
    </fill>
    <fill>
      <patternFill patternType="solid">
        <fgColor rgb="FFC00000"/>
        <bgColor indexed="64"/>
      </patternFill>
    </fill>
    <fill>
      <patternFill patternType="solid">
        <fgColor theme="4" tint="0.59999389629810485"/>
        <bgColor indexed="64"/>
      </patternFill>
    </fill>
    <fill>
      <patternFill patternType="solid">
        <fgColor rgb="FF92D050"/>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4" tint="0.79995117038483843"/>
        <bgColor indexed="64"/>
      </patternFill>
    </fill>
    <fill>
      <patternFill patternType="solid">
        <fgColor theme="2" tint="-9.9978637043366805E-2"/>
        <bgColor indexed="64"/>
      </patternFill>
    </fill>
    <fill>
      <patternFill patternType="solid">
        <fgColor rgb="FFFF96EB"/>
        <bgColor indexed="64"/>
      </patternFill>
    </fill>
    <fill>
      <patternFill patternType="solid">
        <fgColor theme="5" tint="0.79995117038483843"/>
        <bgColor indexed="64"/>
      </patternFill>
    </fill>
    <fill>
      <patternFill patternType="solid">
        <fgColor theme="6" tint="0.79995117038483843"/>
        <bgColor indexed="64"/>
      </patternFill>
    </fill>
    <fill>
      <patternFill patternType="solid">
        <fgColor theme="9" tint="0.79995117038483843"/>
        <bgColor indexed="64"/>
      </patternFill>
    </fill>
    <fill>
      <patternFill patternType="solid">
        <fgColor rgb="FF00B0F0"/>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8" tint="0.79995117038483843"/>
        <bgColor indexed="64"/>
      </patternFill>
    </fill>
    <fill>
      <patternFill patternType="solid">
        <fgColor rgb="FFFFC000"/>
        <bgColor indexed="64"/>
      </patternFill>
    </fill>
    <fill>
      <patternFill patternType="solid">
        <fgColor theme="7" tint="0.39994506668294322"/>
        <bgColor indexed="64"/>
      </patternFill>
    </fill>
    <fill>
      <patternFill patternType="solid">
        <fgColor theme="7" tint="0.79995117038483843"/>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2F2F2"/>
        <bgColor indexed="64"/>
      </patternFill>
    </fill>
    <fill>
      <patternFill patternType="solid">
        <fgColor theme="3" tint="0.59999389629810485"/>
        <bgColor indexed="64"/>
      </patternFill>
    </fill>
  </fills>
  <borders count="73">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thin">
        <color auto="1"/>
      </right>
      <top style="thin">
        <color auto="1"/>
      </top>
      <bottom style="medium">
        <color auto="1"/>
      </bottom>
      <diagonal/>
    </border>
    <border>
      <left style="medium">
        <color auto="1"/>
      </left>
      <right style="thin">
        <color auto="1"/>
      </right>
      <top/>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thin">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thin">
        <color auto="1"/>
      </right>
      <top style="medium">
        <color auto="1"/>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diagonal/>
    </border>
    <border>
      <left style="thin">
        <color auto="1"/>
      </left>
      <right style="medium">
        <color auto="1"/>
      </right>
      <top style="medium">
        <color auto="1"/>
      </top>
      <bottom/>
      <diagonal/>
    </border>
    <border>
      <left style="thin">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thin">
        <color auto="1"/>
      </top>
      <bottom style="thin">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diagonal/>
    </border>
    <border>
      <left/>
      <right style="medium">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medium">
        <color auto="1"/>
      </top>
      <bottom style="medium">
        <color auto="1"/>
      </bottom>
      <diagonal/>
    </border>
    <border>
      <left style="thin">
        <color auto="1"/>
      </left>
      <right/>
      <top style="medium">
        <color auto="1"/>
      </top>
      <bottom/>
      <diagonal/>
    </border>
    <border>
      <left style="medium">
        <color auto="1"/>
      </left>
      <right style="thin">
        <color auto="1"/>
      </right>
      <top/>
      <bottom style="thin">
        <color auto="1"/>
      </bottom>
      <diagonal/>
    </border>
    <border>
      <left style="medium">
        <color auto="1"/>
      </left>
      <right style="medium">
        <color auto="1"/>
      </right>
      <top/>
      <bottom/>
      <diagonal/>
    </border>
    <border>
      <left style="thin">
        <color auto="1"/>
      </left>
      <right/>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top style="thin">
        <color auto="1"/>
      </top>
      <bottom style="thin">
        <color auto="1"/>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style="thin">
        <color rgb="FF7F7F7F"/>
      </left>
      <right style="thin">
        <color rgb="FF7F7F7F"/>
      </right>
      <top style="thin">
        <color rgb="FF7F7F7F"/>
      </top>
      <bottom style="thin">
        <color rgb="FF7F7F7F"/>
      </bottom>
      <diagonal/>
    </border>
    <border>
      <left style="medium">
        <color auto="1"/>
      </left>
      <right/>
      <top style="thin">
        <color auto="1"/>
      </top>
      <bottom/>
      <diagonal/>
    </border>
    <border>
      <left/>
      <right/>
      <top style="thin">
        <color auto="1"/>
      </top>
      <bottom/>
      <diagonal/>
    </border>
    <border>
      <left style="medium">
        <color auto="1"/>
      </left>
      <right/>
      <top/>
      <bottom style="thin">
        <color auto="1"/>
      </bottom>
      <diagonal/>
    </border>
    <border>
      <left/>
      <right/>
      <top/>
      <bottom style="thin">
        <color auto="1"/>
      </bottom>
      <diagonal/>
    </border>
  </borders>
  <cellStyleXfs count="8">
    <xf numFmtId="0" fontId="0" fillId="0" borderId="0"/>
    <xf numFmtId="43" fontId="33" fillId="0" borderId="0" applyFont="0" applyFill="0" applyBorder="0" applyAlignment="0" applyProtection="0"/>
    <xf numFmtId="9" fontId="33" fillId="0" borderId="0" applyFont="0" applyFill="0" applyBorder="0" applyAlignment="0" applyProtection="0"/>
    <xf numFmtId="0" fontId="27" fillId="23" borderId="68" applyNumberFormat="0" applyAlignment="0" applyProtection="0"/>
    <xf numFmtId="0" fontId="26" fillId="0" borderId="0"/>
    <xf numFmtId="0" fontId="3" fillId="0" borderId="0"/>
    <xf numFmtId="43" fontId="3" fillId="0" borderId="0" applyFont="0" applyFill="0" applyBorder="0" applyAlignment="0" applyProtection="0"/>
    <xf numFmtId="9" fontId="3" fillId="0" borderId="0" applyFont="0" applyFill="0" applyBorder="0" applyAlignment="0" applyProtection="0"/>
  </cellStyleXfs>
  <cellXfs count="665">
    <xf numFmtId="0" fontId="0" fillId="0" borderId="0" xfId="0"/>
    <xf numFmtId="9" fontId="0" fillId="0" borderId="0" xfId="2" applyFont="1"/>
    <xf numFmtId="0" fontId="0" fillId="0" borderId="0" xfId="0" applyAlignment="1">
      <alignment horizontal="left"/>
    </xf>
    <xf numFmtId="9" fontId="0" fillId="0" borderId="0" xfId="0" applyNumberFormat="1"/>
    <xf numFmtId="9" fontId="4" fillId="0" borderId="0" xfId="0" applyNumberFormat="1" applyFont="1"/>
    <xf numFmtId="9" fontId="4" fillId="0" borderId="0" xfId="2" applyFont="1"/>
    <xf numFmtId="0" fontId="5" fillId="0" borderId="0" xfId="0" applyFont="1"/>
    <xf numFmtId="0" fontId="4" fillId="0" borderId="0" xfId="0" applyFont="1"/>
    <xf numFmtId="0" fontId="5" fillId="2" borderId="1" xfId="0" applyFont="1" applyFill="1" applyBorder="1" applyAlignment="1">
      <alignment vertical="center" wrapText="1"/>
    </xf>
    <xf numFmtId="0" fontId="6" fillId="2" borderId="2" xfId="0" applyFont="1" applyFill="1" applyBorder="1"/>
    <xf numFmtId="0" fontId="6" fillId="2" borderId="3" xfId="0" applyFont="1" applyFill="1" applyBorder="1"/>
    <xf numFmtId="9" fontId="5" fillId="2" borderId="4" xfId="0" applyNumberFormat="1" applyFont="1" applyFill="1" applyBorder="1" applyAlignment="1">
      <alignment vertical="center"/>
    </xf>
    <xf numFmtId="9" fontId="4" fillId="0" borderId="5" xfId="2" applyFont="1" applyBorder="1" applyAlignment="1">
      <alignment horizontal="center" vertical="center"/>
    </xf>
    <xf numFmtId="9" fontId="4" fillId="0" borderId="6" xfId="2" applyFont="1" applyBorder="1" applyAlignment="1">
      <alignment horizontal="center" vertical="center"/>
    </xf>
    <xf numFmtId="9" fontId="5" fillId="2" borderId="7" xfId="0" applyNumberFormat="1" applyFont="1" applyFill="1" applyBorder="1" applyAlignment="1">
      <alignment vertical="center"/>
    </xf>
    <xf numFmtId="9" fontId="4" fillId="0" borderId="8" xfId="2" applyFont="1" applyBorder="1" applyAlignment="1">
      <alignment horizontal="center" vertical="center"/>
    </xf>
    <xf numFmtId="9" fontId="4" fillId="0" borderId="9" xfId="2" applyFont="1" applyBorder="1" applyAlignment="1">
      <alignment horizontal="center" vertical="center"/>
    </xf>
    <xf numFmtId="9" fontId="5" fillId="2" borderId="10" xfId="0" applyNumberFormat="1" applyFont="1" applyFill="1" applyBorder="1" applyAlignment="1">
      <alignment vertical="center"/>
    </xf>
    <xf numFmtId="9" fontId="4" fillId="0" borderId="11" xfId="2" applyFont="1" applyBorder="1" applyAlignment="1">
      <alignment horizontal="center" vertical="center"/>
    </xf>
    <xf numFmtId="9" fontId="4" fillId="0" borderId="12" xfId="2" applyFont="1" applyBorder="1" applyAlignment="1">
      <alignment horizontal="center" vertical="center"/>
    </xf>
    <xf numFmtId="0" fontId="5" fillId="2" borderId="4" xfId="0" applyFont="1" applyFill="1" applyBorder="1" applyAlignment="1">
      <alignment vertical="center"/>
    </xf>
    <xf numFmtId="1" fontId="4" fillId="0" borderId="5" xfId="0" applyNumberFormat="1" applyFont="1" applyBorder="1" applyAlignment="1">
      <alignment horizontal="center" vertical="center"/>
    </xf>
    <xf numFmtId="1" fontId="4" fillId="0" borderId="6" xfId="0" applyNumberFormat="1" applyFont="1" applyBorder="1" applyAlignment="1">
      <alignment horizontal="center" vertical="center"/>
    </xf>
    <xf numFmtId="9" fontId="5" fillId="2" borderId="7" xfId="2" applyFont="1" applyFill="1" applyBorder="1" applyAlignment="1">
      <alignment vertical="center"/>
    </xf>
    <xf numFmtId="165" fontId="4" fillId="0" borderId="0" xfId="0" applyNumberFormat="1" applyFont="1"/>
    <xf numFmtId="0" fontId="4" fillId="0" borderId="6" xfId="0" applyFont="1" applyBorder="1" applyAlignment="1">
      <alignment horizontal="center"/>
    </xf>
    <xf numFmtId="9" fontId="4" fillId="0" borderId="9" xfId="2" applyFont="1" applyBorder="1" applyAlignment="1">
      <alignment horizontal="center"/>
    </xf>
    <xf numFmtId="9" fontId="4" fillId="0" borderId="6" xfId="0" applyNumberFormat="1" applyFont="1" applyBorder="1"/>
    <xf numFmtId="9" fontId="4" fillId="0" borderId="9" xfId="0" applyNumberFormat="1" applyFont="1" applyBorder="1"/>
    <xf numFmtId="9" fontId="4" fillId="0" borderId="12" xfId="0" applyNumberFormat="1" applyFont="1" applyBorder="1"/>
    <xf numFmtId="0" fontId="4" fillId="0" borderId="6" xfId="0" applyFont="1" applyBorder="1" applyAlignment="1">
      <alignment horizontal="center" vertical="center"/>
    </xf>
    <xf numFmtId="0" fontId="4" fillId="0" borderId="6" xfId="0" applyFont="1" applyBorder="1"/>
    <xf numFmtId="9" fontId="4" fillId="0" borderId="9" xfId="2" applyFont="1" applyBorder="1"/>
    <xf numFmtId="0" fontId="6" fillId="2" borderId="13" xfId="0" applyFont="1" applyFill="1" applyBorder="1"/>
    <xf numFmtId="9" fontId="4" fillId="0" borderId="14" xfId="0" applyNumberFormat="1" applyFont="1" applyBorder="1"/>
    <xf numFmtId="9" fontId="4" fillId="0" borderId="15" xfId="0" applyNumberFormat="1" applyFont="1" applyBorder="1"/>
    <xf numFmtId="9" fontId="4" fillId="0" borderId="16" xfId="0" applyNumberFormat="1" applyFont="1" applyBorder="1"/>
    <xf numFmtId="0" fontId="4" fillId="0" borderId="14" xfId="0" applyFont="1" applyBorder="1"/>
    <xf numFmtId="9" fontId="4" fillId="0" borderId="15" xfId="2" applyFont="1" applyBorder="1"/>
    <xf numFmtId="0" fontId="7" fillId="0" borderId="9" xfId="0" applyFont="1" applyBorder="1"/>
    <xf numFmtId="0" fontId="8" fillId="0" borderId="9" xfId="0" applyFont="1" applyBorder="1" applyAlignment="1">
      <alignment horizontal="center"/>
    </xf>
    <xf numFmtId="0" fontId="8" fillId="3" borderId="9" xfId="0" applyFont="1" applyFill="1" applyBorder="1"/>
    <xf numFmtId="9" fontId="9" fillId="0" borderId="9" xfId="0" applyNumberFormat="1" applyFont="1" applyBorder="1"/>
    <xf numFmtId="9" fontId="8" fillId="0" borderId="9" xfId="0" applyNumberFormat="1" applyFont="1" applyBorder="1"/>
    <xf numFmtId="1" fontId="8" fillId="0" borderId="9" xfId="0" applyNumberFormat="1" applyFont="1" applyBorder="1"/>
    <xf numFmtId="0" fontId="8" fillId="0" borderId="9" xfId="0" applyFont="1" applyBorder="1"/>
    <xf numFmtId="0" fontId="0" fillId="0" borderId="9" xfId="0" applyBorder="1"/>
    <xf numFmtId="0" fontId="7" fillId="4" borderId="17" xfId="0" applyFont="1" applyFill="1" applyBorder="1"/>
    <xf numFmtId="0" fontId="7" fillId="4" borderId="18" xfId="0" applyFont="1" applyFill="1" applyBorder="1"/>
    <xf numFmtId="0" fontId="7" fillId="4" borderId="19" xfId="0" applyFont="1" applyFill="1" applyBorder="1"/>
    <xf numFmtId="0" fontId="7" fillId="0" borderId="18" xfId="0" applyFont="1" applyBorder="1"/>
    <xf numFmtId="0" fontId="7" fillId="4" borderId="20" xfId="0" applyFont="1" applyFill="1" applyBorder="1" applyAlignment="1">
      <alignment horizontal="center"/>
    </xf>
    <xf numFmtId="164" fontId="8" fillId="5" borderId="9" xfId="0" applyNumberFormat="1" applyFont="1" applyFill="1" applyBorder="1" applyAlignment="1">
      <alignment horizontal="center"/>
    </xf>
    <xf numFmtId="1" fontId="8" fillId="5" borderId="9" xfId="0" applyNumberFormat="1" applyFont="1" applyFill="1" applyBorder="1" applyAlignment="1">
      <alignment horizontal="center"/>
    </xf>
    <xf numFmtId="1" fontId="8" fillId="5" borderId="15" xfId="0" applyNumberFormat="1" applyFont="1" applyFill="1" applyBorder="1" applyAlignment="1">
      <alignment horizontal="center"/>
    </xf>
    <xf numFmtId="1" fontId="8" fillId="0" borderId="9" xfId="0" applyNumberFormat="1" applyFont="1" applyBorder="1" applyAlignment="1">
      <alignment horizontal="center"/>
    </xf>
    <xf numFmtId="0" fontId="7" fillId="3" borderId="21" xfId="0" applyFont="1" applyFill="1" applyBorder="1"/>
    <xf numFmtId="0" fontId="8" fillId="3" borderId="21" xfId="0" applyFont="1" applyFill="1" applyBorder="1"/>
    <xf numFmtId="164" fontId="7" fillId="4" borderId="18" xfId="0" applyNumberFormat="1" applyFont="1" applyFill="1" applyBorder="1" applyAlignment="1">
      <alignment horizontal="center" vertical="center"/>
    </xf>
    <xf numFmtId="0" fontId="7" fillId="4" borderId="9" xfId="0" applyFont="1" applyFill="1" applyBorder="1" applyAlignment="1">
      <alignment horizontal="center"/>
    </xf>
    <xf numFmtId="0" fontId="7" fillId="2" borderId="20" xfId="0" applyFont="1" applyFill="1" applyBorder="1" applyAlignment="1">
      <alignment vertical="center"/>
    </xf>
    <xf numFmtId="1" fontId="8" fillId="5" borderId="9" xfId="0" applyNumberFormat="1" applyFont="1" applyFill="1" applyBorder="1" applyAlignment="1">
      <alignment horizontal="center" vertical="center"/>
    </xf>
    <xf numFmtId="9" fontId="10" fillId="2" borderId="22" xfId="0" applyNumberFormat="1" applyFont="1" applyFill="1" applyBorder="1" applyAlignment="1">
      <alignment vertical="center"/>
    </xf>
    <xf numFmtId="9" fontId="9" fillId="5" borderId="12" xfId="2" applyFont="1" applyFill="1" applyBorder="1" applyAlignment="1">
      <alignment horizontal="center" vertical="center"/>
    </xf>
    <xf numFmtId="0" fontId="7" fillId="3" borderId="23" xfId="0" applyFont="1" applyFill="1" applyBorder="1"/>
    <xf numFmtId="0" fontId="7" fillId="4" borderId="25" xfId="0" applyFont="1" applyFill="1" applyBorder="1" applyAlignment="1">
      <alignment horizontal="center"/>
    </xf>
    <xf numFmtId="0" fontId="7" fillId="4" borderId="17" xfId="0" applyFont="1" applyFill="1" applyBorder="1" applyAlignment="1">
      <alignment vertical="center"/>
    </xf>
    <xf numFmtId="1" fontId="8" fillId="5" borderId="18" xfId="0" applyNumberFormat="1" applyFont="1" applyFill="1" applyBorder="1" applyAlignment="1">
      <alignment horizontal="center" vertical="center"/>
    </xf>
    <xf numFmtId="9" fontId="7" fillId="4" borderId="20" xfId="0" applyNumberFormat="1" applyFont="1" applyFill="1" applyBorder="1" applyAlignment="1">
      <alignment vertical="center"/>
    </xf>
    <xf numFmtId="9" fontId="8" fillId="5" borderId="9" xfId="2" applyFont="1" applyFill="1" applyBorder="1" applyAlignment="1">
      <alignment horizontal="center" vertical="center"/>
    </xf>
    <xf numFmtId="1" fontId="7" fillId="4" borderId="20" xfId="0" applyNumberFormat="1" applyFont="1" applyFill="1" applyBorder="1" applyAlignment="1">
      <alignment vertical="center"/>
    </xf>
    <xf numFmtId="1" fontId="8" fillId="6" borderId="9" xfId="2" applyNumberFormat="1" applyFont="1" applyFill="1" applyBorder="1" applyAlignment="1">
      <alignment horizontal="center" vertical="center"/>
    </xf>
    <xf numFmtId="9" fontId="7" fillId="4" borderId="22" xfId="0" applyNumberFormat="1" applyFont="1" applyFill="1" applyBorder="1" applyAlignment="1">
      <alignment vertical="center"/>
    </xf>
    <xf numFmtId="9" fontId="8" fillId="6" borderId="12" xfId="2" applyFont="1" applyFill="1" applyBorder="1" applyAlignment="1">
      <alignment horizontal="center" vertical="center"/>
    </xf>
    <xf numFmtId="0" fontId="7" fillId="0" borderId="6" xfId="0" applyFont="1" applyBorder="1"/>
    <xf numFmtId="0" fontId="8" fillId="0" borderId="6" xfId="0" applyFont="1" applyBorder="1"/>
    <xf numFmtId="0" fontId="7" fillId="0" borderId="19" xfId="0" applyFont="1" applyBorder="1"/>
    <xf numFmtId="0" fontId="7" fillId="0" borderId="8" xfId="0" applyFont="1" applyBorder="1"/>
    <xf numFmtId="0" fontId="11" fillId="0" borderId="9" xfId="0" applyFont="1" applyBorder="1" applyAlignment="1">
      <alignment vertical="center" wrapText="1"/>
    </xf>
    <xf numFmtId="1" fontId="8" fillId="0" borderId="15" xfId="0" applyNumberFormat="1" applyFont="1" applyBorder="1" applyAlignment="1">
      <alignment horizontal="center"/>
    </xf>
    <xf numFmtId="0" fontId="8" fillId="0" borderId="8" xfId="0" applyFont="1" applyBorder="1" applyAlignment="1">
      <alignment horizontal="center"/>
    </xf>
    <xf numFmtId="0" fontId="11" fillId="0" borderId="9" xfId="0" applyFont="1" applyBorder="1" applyAlignment="1">
      <alignment horizontal="center" vertical="center"/>
    </xf>
    <xf numFmtId="0" fontId="8" fillId="3" borderId="25" xfId="0" applyFont="1" applyFill="1" applyBorder="1"/>
    <xf numFmtId="164" fontId="10" fillId="4" borderId="18" xfId="0" applyNumberFormat="1" applyFont="1" applyFill="1" applyBorder="1" applyAlignment="1">
      <alignment horizontal="center" vertical="center"/>
    </xf>
    <xf numFmtId="165" fontId="8" fillId="0" borderId="9" xfId="0" applyNumberFormat="1" applyFont="1" applyBorder="1"/>
    <xf numFmtId="0" fontId="8" fillId="5" borderId="18" xfId="0" applyFont="1" applyFill="1" applyBorder="1" applyAlignment="1">
      <alignment horizontal="center"/>
    </xf>
    <xf numFmtId="1" fontId="8" fillId="6" borderId="9" xfId="0" applyNumberFormat="1" applyFont="1" applyFill="1" applyBorder="1" applyAlignment="1">
      <alignment horizontal="center"/>
    </xf>
    <xf numFmtId="164" fontId="10" fillId="4" borderId="26" xfId="0" applyNumberFormat="1" applyFont="1" applyFill="1" applyBorder="1" applyAlignment="1">
      <alignment horizontal="center" vertical="center"/>
    </xf>
    <xf numFmtId="164" fontId="12" fillId="3" borderId="27" xfId="0" applyNumberFormat="1" applyFont="1" applyFill="1" applyBorder="1" applyAlignment="1">
      <alignment horizontal="center" vertical="center"/>
    </xf>
    <xf numFmtId="0" fontId="7" fillId="4" borderId="21" xfId="0" applyFont="1" applyFill="1" applyBorder="1" applyAlignment="1">
      <alignment horizontal="center"/>
    </xf>
    <xf numFmtId="0" fontId="7" fillId="4" borderId="28" xfId="0" applyFont="1" applyFill="1" applyBorder="1" applyAlignment="1">
      <alignment horizontal="center"/>
    </xf>
    <xf numFmtId="0" fontId="12" fillId="3" borderId="29" xfId="0" applyFont="1" applyFill="1" applyBorder="1" applyAlignment="1">
      <alignment horizontal="center"/>
    </xf>
    <xf numFmtId="1" fontId="8" fillId="5" borderId="30" xfId="0" applyNumberFormat="1" applyFont="1" applyFill="1" applyBorder="1" applyAlignment="1">
      <alignment horizontal="center" vertical="center"/>
    </xf>
    <xf numFmtId="1" fontId="13" fillId="3" borderId="27" xfId="0" applyNumberFormat="1" applyFont="1" applyFill="1" applyBorder="1" applyAlignment="1">
      <alignment horizontal="center" vertical="center"/>
    </xf>
    <xf numFmtId="9" fontId="9" fillId="5" borderId="31" xfId="2" applyFont="1" applyFill="1" applyBorder="1" applyAlignment="1">
      <alignment horizontal="center" vertical="center"/>
    </xf>
    <xf numFmtId="9" fontId="13" fillId="3" borderId="11" xfId="2" applyFont="1" applyFill="1" applyBorder="1" applyAlignment="1">
      <alignment horizontal="center" vertical="center"/>
    </xf>
    <xf numFmtId="0" fontId="8" fillId="3" borderId="6" xfId="0" applyFont="1" applyFill="1" applyBorder="1"/>
    <xf numFmtId="0" fontId="8" fillId="3" borderId="30" xfId="0" applyFont="1" applyFill="1" applyBorder="1"/>
    <xf numFmtId="0" fontId="13" fillId="3" borderId="8" xfId="0" applyFont="1" applyFill="1" applyBorder="1"/>
    <xf numFmtId="164" fontId="10" fillId="4" borderId="27" xfId="0" applyNumberFormat="1" applyFont="1" applyFill="1" applyBorder="1" applyAlignment="1">
      <alignment horizontal="center" vertical="center"/>
    </xf>
    <xf numFmtId="164" fontId="12" fillId="3" borderId="26" xfId="0" applyNumberFormat="1" applyFont="1" applyFill="1" applyBorder="1" applyAlignment="1">
      <alignment horizontal="center" vertical="center"/>
    </xf>
    <xf numFmtId="0" fontId="7" fillId="4" borderId="12" xfId="0" applyFont="1" applyFill="1" applyBorder="1" applyAlignment="1">
      <alignment horizontal="center"/>
    </xf>
    <xf numFmtId="0" fontId="7" fillId="4" borderId="29" xfId="0" applyFont="1" applyFill="1" applyBorder="1" applyAlignment="1">
      <alignment horizontal="center"/>
    </xf>
    <xf numFmtId="0" fontId="7" fillId="4" borderId="30" xfId="0" applyFont="1" applyFill="1" applyBorder="1" applyAlignment="1">
      <alignment horizontal="center"/>
    </xf>
    <xf numFmtId="0" fontId="12" fillId="3" borderId="31" xfId="0" applyFont="1" applyFill="1" applyBorder="1" applyAlignment="1">
      <alignment horizontal="center"/>
    </xf>
    <xf numFmtId="0" fontId="8" fillId="5" borderId="18" xfId="0" applyFont="1" applyFill="1" applyBorder="1" applyAlignment="1">
      <alignment horizontal="center" vertical="center"/>
    </xf>
    <xf numFmtId="0" fontId="0" fillId="5" borderId="21" xfId="0" applyFill="1" applyBorder="1" applyAlignment="1">
      <alignment horizontal="center"/>
    </xf>
    <xf numFmtId="0" fontId="8" fillId="0" borderId="30" xfId="0" applyFont="1" applyBorder="1"/>
    <xf numFmtId="9" fontId="8" fillId="0" borderId="30" xfId="0" applyNumberFormat="1" applyFont="1" applyBorder="1"/>
    <xf numFmtId="9" fontId="13" fillId="3" borderId="8" xfId="0" applyNumberFormat="1" applyFont="1" applyFill="1" applyBorder="1"/>
    <xf numFmtId="1" fontId="8" fillId="6" borderId="9" xfId="0" applyNumberFormat="1" applyFont="1" applyFill="1" applyBorder="1" applyAlignment="1">
      <alignment horizontal="center" vertical="center"/>
    </xf>
    <xf numFmtId="1" fontId="8" fillId="0" borderId="30" xfId="0" applyNumberFormat="1" applyFont="1" applyBorder="1"/>
    <xf numFmtId="1" fontId="13" fillId="3" borderId="8" xfId="0" applyNumberFormat="1" applyFont="1" applyFill="1" applyBorder="1"/>
    <xf numFmtId="9" fontId="8" fillId="0" borderId="31" xfId="0" applyNumberFormat="1" applyFont="1" applyBorder="1"/>
    <xf numFmtId="0" fontId="8" fillId="0" borderId="6" xfId="0" applyFont="1" applyBorder="1" applyAlignment="1">
      <alignment horizontal="center"/>
    </xf>
    <xf numFmtId="0" fontId="0" fillId="0" borderId="6" xfId="0" applyBorder="1"/>
    <xf numFmtId="0" fontId="14" fillId="0" borderId="9" xfId="0" applyFont="1" applyBorder="1" applyAlignment="1" applyProtection="1">
      <alignment vertical="center" wrapText="1"/>
      <protection locked="0"/>
    </xf>
    <xf numFmtId="0" fontId="15" fillId="0" borderId="9" xfId="0" applyFont="1" applyBorder="1" applyAlignment="1" applyProtection="1">
      <alignment vertical="center" wrapText="1"/>
      <protection locked="0"/>
    </xf>
    <xf numFmtId="0" fontId="0" fillId="0" borderId="9" xfId="0" applyBorder="1" applyAlignment="1" applyProtection="1">
      <alignment horizontal="left" vertical="center" wrapText="1"/>
      <protection locked="0"/>
    </xf>
    <xf numFmtId="0" fontId="16" fillId="0" borderId="9" xfId="0" applyFont="1" applyBorder="1" applyAlignment="1" applyProtection="1">
      <alignment vertical="center" wrapText="1"/>
      <protection locked="0"/>
    </xf>
    <xf numFmtId="0" fontId="17" fillId="0" borderId="9" xfId="0" applyFont="1" applyBorder="1" applyAlignment="1" applyProtection="1">
      <alignment vertical="center" wrapText="1"/>
      <protection locked="0"/>
    </xf>
    <xf numFmtId="0" fontId="0" fillId="0" borderId="9" xfId="0" applyBorder="1" applyAlignment="1" applyProtection="1">
      <alignment vertical="center" wrapText="1"/>
      <protection locked="0"/>
    </xf>
    <xf numFmtId="0" fontId="0" fillId="0" borderId="9" xfId="0" applyBorder="1" applyAlignment="1" applyProtection="1">
      <alignment horizontal="center" vertical="center" wrapText="1"/>
      <protection locked="0"/>
    </xf>
    <xf numFmtId="0" fontId="0" fillId="0" borderId="9" xfId="0" applyBorder="1" applyAlignment="1">
      <alignment horizontal="center" vertical="center" wrapText="1"/>
    </xf>
    <xf numFmtId="9" fontId="0" fillId="0" borderId="9" xfId="2" applyFont="1" applyBorder="1" applyAlignment="1">
      <alignment vertical="center" wrapText="1"/>
    </xf>
    <xf numFmtId="1" fontId="0" fillId="0" borderId="9" xfId="2" applyNumberFormat="1" applyFont="1" applyBorder="1" applyAlignment="1">
      <alignment vertical="center" wrapText="1"/>
    </xf>
    <xf numFmtId="0" fontId="0" fillId="0" borderId="9" xfId="0" applyBorder="1" applyAlignment="1">
      <alignment vertical="center" wrapText="1"/>
    </xf>
    <xf numFmtId="166" fontId="0" fillId="0" borderId="9" xfId="0" applyNumberFormat="1" applyBorder="1" applyAlignment="1">
      <alignment vertical="center" wrapText="1"/>
    </xf>
    <xf numFmtId="166" fontId="0" fillId="0" borderId="9" xfId="2" applyNumberFormat="1" applyFont="1" applyBorder="1" applyAlignment="1">
      <alignment vertical="center" wrapText="1"/>
    </xf>
    <xf numFmtId="0" fontId="19" fillId="8" borderId="18" xfId="0" applyFont="1" applyFill="1" applyBorder="1" applyAlignment="1" applyProtection="1">
      <alignment horizontal="center" vertical="center" wrapText="1"/>
      <protection locked="0"/>
    </xf>
    <xf numFmtId="166" fontId="19" fillId="8" borderId="12" xfId="0" applyNumberFormat="1" applyFont="1" applyFill="1" applyBorder="1" applyAlignment="1" applyProtection="1">
      <alignment horizontal="center" vertical="center" wrapText="1"/>
      <protection locked="0"/>
    </xf>
    <xf numFmtId="0" fontId="20" fillId="9" borderId="38" xfId="0" applyFont="1" applyFill="1" applyBorder="1" applyAlignment="1" applyProtection="1">
      <alignment horizontal="left" vertical="center" wrapText="1"/>
      <protection locked="0"/>
    </xf>
    <xf numFmtId="0" fontId="21" fillId="9" borderId="39" xfId="0" applyFont="1" applyFill="1" applyBorder="1" applyAlignment="1" applyProtection="1">
      <alignment horizontal="left" vertical="center" wrapText="1"/>
      <protection locked="0"/>
    </xf>
    <xf numFmtId="0" fontId="22" fillId="9" borderId="39" xfId="0" applyFont="1" applyFill="1" applyBorder="1" applyAlignment="1" applyProtection="1">
      <alignment horizontal="left" vertical="center" wrapText="1"/>
      <protection locked="0"/>
    </xf>
    <xf numFmtId="0" fontId="0" fillId="10" borderId="17" xfId="0" applyFill="1" applyBorder="1" applyAlignment="1">
      <alignment vertical="center"/>
    </xf>
    <xf numFmtId="0" fontId="0" fillId="8" borderId="18" xfId="0" applyFill="1" applyBorder="1" applyAlignment="1">
      <alignment horizontal="left" vertical="center" wrapText="1"/>
    </xf>
    <xf numFmtId="0" fontId="0" fillId="8" borderId="18" xfId="0" applyFill="1" applyBorder="1" applyAlignment="1">
      <alignment horizontal="center" vertical="center" wrapText="1"/>
    </xf>
    <xf numFmtId="0" fontId="0" fillId="8" borderId="18" xfId="0" applyFill="1" applyBorder="1" applyAlignment="1">
      <alignment vertical="center" wrapText="1"/>
    </xf>
    <xf numFmtId="0" fontId="0" fillId="8" borderId="18" xfId="0" applyFill="1" applyBorder="1" applyAlignment="1" applyProtection="1">
      <alignment horizontal="center" vertical="center" wrapText="1"/>
      <protection locked="0"/>
    </xf>
    <xf numFmtId="0" fontId="0" fillId="8" borderId="9" xfId="0" applyFill="1" applyBorder="1" applyAlignment="1">
      <alignment horizontal="left" vertical="center" wrapText="1"/>
    </xf>
    <xf numFmtId="0" fontId="0" fillId="8" borderId="9" xfId="0" applyFill="1" applyBorder="1" applyAlignment="1">
      <alignment horizontal="center" vertical="center" wrapText="1"/>
    </xf>
    <xf numFmtId="0" fontId="0" fillId="8" borderId="9" xfId="0" applyFill="1" applyBorder="1" applyAlignment="1">
      <alignment vertical="center" wrapText="1"/>
    </xf>
    <xf numFmtId="0" fontId="0" fillId="8" borderId="9" xfId="0" applyFill="1" applyBorder="1" applyAlignment="1" applyProtection="1">
      <alignment horizontal="center" vertical="center" wrapText="1"/>
      <protection locked="0"/>
    </xf>
    <xf numFmtId="0" fontId="22" fillId="9" borderId="43" xfId="0" applyFont="1" applyFill="1" applyBorder="1" applyAlignment="1">
      <alignment horizontal="left" vertical="center" wrapText="1"/>
    </xf>
    <xf numFmtId="9" fontId="22" fillId="9" borderId="2" xfId="2" applyFont="1" applyFill="1" applyBorder="1" applyAlignment="1">
      <alignment horizontal="left" vertical="center" wrapText="1"/>
    </xf>
    <xf numFmtId="9" fontId="22" fillId="9" borderId="44" xfId="2" applyFont="1" applyFill="1" applyBorder="1" applyAlignment="1">
      <alignment horizontal="left" vertical="center" wrapText="1"/>
    </xf>
    <xf numFmtId="1" fontId="22" fillId="9" borderId="45" xfId="2" applyNumberFormat="1" applyFont="1" applyFill="1" applyBorder="1" applyAlignment="1">
      <alignment vertical="center" wrapText="1"/>
    </xf>
    <xf numFmtId="1" fontId="22" fillId="9" borderId="3" xfId="2" applyNumberFormat="1" applyFont="1" applyFill="1" applyBorder="1" applyAlignment="1">
      <alignment vertical="center" wrapText="1"/>
    </xf>
    <xf numFmtId="9" fontId="22" fillId="9" borderId="13" xfId="2" applyFont="1" applyFill="1" applyBorder="1" applyAlignment="1">
      <alignment horizontal="left" vertical="center" wrapText="1"/>
    </xf>
    <xf numFmtId="0" fontId="22" fillId="9" borderId="34" xfId="0" applyFont="1" applyFill="1" applyBorder="1" applyAlignment="1">
      <alignment horizontal="left" vertical="center" wrapText="1"/>
    </xf>
    <xf numFmtId="0" fontId="0" fillId="8" borderId="19" xfId="0" applyFill="1" applyBorder="1" applyAlignment="1">
      <alignment horizontal="center" vertical="center" wrapText="1"/>
    </xf>
    <xf numFmtId="166" fontId="0" fillId="11" borderId="27" xfId="2" applyNumberFormat="1" applyFont="1" applyFill="1" applyBorder="1" applyAlignment="1">
      <alignment horizontal="center" vertical="center" wrapText="1"/>
    </xf>
    <xf numFmtId="166" fontId="0" fillId="11" borderId="40" xfId="2" applyNumberFormat="1" applyFont="1" applyFill="1" applyBorder="1" applyAlignment="1">
      <alignment horizontal="center" vertical="center" wrapText="1"/>
    </xf>
    <xf numFmtId="1" fontId="0" fillId="12" borderId="17" xfId="2" applyNumberFormat="1" applyFont="1" applyFill="1" applyBorder="1" applyAlignment="1">
      <alignment horizontal="center" vertical="center" wrapText="1"/>
    </xf>
    <xf numFmtId="1" fontId="0" fillId="12" borderId="18" xfId="2" applyNumberFormat="1" applyFont="1" applyFill="1" applyBorder="1" applyAlignment="1">
      <alignment horizontal="center" vertical="center" wrapText="1"/>
    </xf>
    <xf numFmtId="166" fontId="0" fillId="12" borderId="40" xfId="2" applyNumberFormat="1" applyFont="1" applyFill="1" applyBorder="1" applyAlignment="1">
      <alignment horizontal="center" vertical="center" wrapText="1"/>
    </xf>
    <xf numFmtId="0" fontId="0" fillId="13" borderId="17" xfId="0" applyFill="1" applyBorder="1" applyAlignment="1">
      <alignment horizontal="center" vertical="center" wrapText="1"/>
    </xf>
    <xf numFmtId="0" fontId="0" fillId="8" borderId="15" xfId="0" applyFill="1" applyBorder="1" applyAlignment="1">
      <alignment horizontal="center" vertical="center" wrapText="1"/>
    </xf>
    <xf numFmtId="166" fontId="0" fillId="11" borderId="8" xfId="2" applyNumberFormat="1" applyFont="1" applyFill="1" applyBorder="1" applyAlignment="1">
      <alignment horizontal="center" vertical="center" wrapText="1"/>
    </xf>
    <xf numFmtId="166" fontId="0" fillId="11" borderId="46" xfId="2" applyNumberFormat="1" applyFont="1" applyFill="1" applyBorder="1" applyAlignment="1">
      <alignment horizontal="center" vertical="center" wrapText="1"/>
    </xf>
    <xf numFmtId="1" fontId="0" fillId="12" borderId="20" xfId="2" applyNumberFormat="1" applyFont="1" applyFill="1" applyBorder="1" applyAlignment="1">
      <alignment horizontal="center" vertical="center" wrapText="1"/>
    </xf>
    <xf numFmtId="1" fontId="0" fillId="12" borderId="9" xfId="2" applyNumberFormat="1" applyFont="1" applyFill="1" applyBorder="1" applyAlignment="1">
      <alignment horizontal="center" vertical="center" wrapText="1"/>
    </xf>
    <xf numFmtId="166" fontId="0" fillId="12" borderId="46" xfId="2" applyNumberFormat="1" applyFont="1" applyFill="1" applyBorder="1" applyAlignment="1">
      <alignment horizontal="center" vertical="center" wrapText="1"/>
    </xf>
    <xf numFmtId="0" fontId="0" fillId="13" borderId="20" xfId="0" applyFill="1" applyBorder="1" applyAlignment="1">
      <alignment horizontal="center" vertical="center" wrapText="1"/>
    </xf>
    <xf numFmtId="0" fontId="14" fillId="0" borderId="8" xfId="0" applyFont="1" applyBorder="1" applyAlignment="1" applyProtection="1">
      <alignment vertical="center" wrapText="1"/>
      <protection locked="0"/>
    </xf>
    <xf numFmtId="0" fontId="15" fillId="0" borderId="8" xfId="0" applyFont="1" applyBorder="1" applyAlignment="1" applyProtection="1">
      <alignment vertical="center" wrapText="1"/>
      <protection locked="0"/>
    </xf>
    <xf numFmtId="0" fontId="0" fillId="0" borderId="8" xfId="0" applyBorder="1" applyAlignment="1" applyProtection="1">
      <alignment vertical="center" wrapText="1"/>
      <protection locked="0"/>
    </xf>
    <xf numFmtId="0" fontId="22" fillId="9" borderId="39" xfId="0" applyFont="1" applyFill="1" applyBorder="1" applyAlignment="1">
      <alignment horizontal="left" vertical="center" wrapText="1"/>
    </xf>
    <xf numFmtId="166" fontId="22" fillId="9" borderId="39" xfId="0" applyNumberFormat="1" applyFont="1" applyFill="1" applyBorder="1" applyAlignment="1">
      <alignment horizontal="left" vertical="center" wrapText="1"/>
    </xf>
    <xf numFmtId="166" fontId="22" fillId="9" borderId="39" xfId="2" applyNumberFormat="1" applyFont="1" applyFill="1" applyBorder="1" applyAlignment="1">
      <alignment horizontal="left" vertical="center" wrapText="1"/>
    </xf>
    <xf numFmtId="0" fontId="21" fillId="9" borderId="43" xfId="0" applyFont="1" applyFill="1" applyBorder="1" applyAlignment="1" applyProtection="1">
      <alignment horizontal="left" vertical="center" wrapText="1"/>
      <protection locked="0"/>
    </xf>
    <xf numFmtId="0" fontId="0" fillId="13" borderId="18" xfId="0" applyFill="1" applyBorder="1" applyAlignment="1">
      <alignment horizontal="center" vertical="center" wrapText="1"/>
    </xf>
    <xf numFmtId="0" fontId="0" fillId="13" borderId="9" xfId="0" applyFill="1" applyBorder="1" applyAlignment="1">
      <alignment horizontal="center" vertical="center" wrapText="1"/>
    </xf>
    <xf numFmtId="166" fontId="0" fillId="13" borderId="9" xfId="0" applyNumberFormat="1" applyFill="1" applyBorder="1" applyAlignment="1">
      <alignment horizontal="center" vertical="center" wrapText="1"/>
    </xf>
    <xf numFmtId="166" fontId="0" fillId="13" borderId="9" xfId="2" applyNumberFormat="1" applyFont="1" applyFill="1" applyBorder="1" applyAlignment="1">
      <alignment horizontal="center" vertical="center" wrapText="1"/>
    </xf>
    <xf numFmtId="0" fontId="0" fillId="10" borderId="15" xfId="0" applyFill="1" applyBorder="1" applyAlignment="1">
      <alignment horizontal="left" vertical="center" wrapText="1"/>
    </xf>
    <xf numFmtId="166" fontId="16" fillId="13" borderId="9" xfId="0" applyNumberFormat="1" applyFont="1" applyFill="1" applyBorder="1" applyAlignment="1">
      <alignment horizontal="center" vertical="center" wrapText="1"/>
    </xf>
    <xf numFmtId="166" fontId="16" fillId="13" borderId="9" xfId="2" applyNumberFormat="1" applyFont="1" applyFill="1" applyBorder="1" applyAlignment="1">
      <alignment horizontal="center" vertical="center" wrapText="1"/>
    </xf>
    <xf numFmtId="0" fontId="16" fillId="0" borderId="8" xfId="0" applyFont="1" applyBorder="1" applyAlignment="1" applyProtection="1">
      <alignment vertical="center" wrapText="1"/>
      <protection locked="0"/>
    </xf>
    <xf numFmtId="0" fontId="17" fillId="0" borderId="8" xfId="0" applyFont="1" applyBorder="1" applyAlignment="1" applyProtection="1">
      <alignment vertical="center" wrapText="1"/>
      <protection locked="0"/>
    </xf>
    <xf numFmtId="0" fontId="0" fillId="8" borderId="22" xfId="0" applyFill="1" applyBorder="1" applyAlignment="1" applyProtection="1">
      <alignment vertical="center"/>
      <protection locked="0"/>
    </xf>
    <xf numFmtId="0" fontId="0" fillId="8" borderId="12" xfId="0" applyFill="1" applyBorder="1" applyAlignment="1">
      <alignment horizontal="left" vertical="center" wrapText="1"/>
    </xf>
    <xf numFmtId="0" fontId="0" fillId="8" borderId="12" xfId="0" applyFill="1" applyBorder="1" applyAlignment="1">
      <alignment horizontal="center" vertical="center" wrapText="1"/>
    </xf>
    <xf numFmtId="0" fontId="0" fillId="8" borderId="12" xfId="0" applyFill="1" applyBorder="1" applyAlignment="1">
      <alignment vertical="center" wrapText="1"/>
    </xf>
    <xf numFmtId="0" fontId="0" fillId="8" borderId="12" xfId="0" applyFill="1" applyBorder="1" applyAlignment="1" applyProtection="1">
      <alignment horizontal="center" vertical="center" wrapText="1"/>
      <protection locked="0"/>
    </xf>
    <xf numFmtId="0" fontId="0" fillId="8" borderId="16" xfId="0" applyFill="1" applyBorder="1" applyAlignment="1">
      <alignment horizontal="center" vertical="center" wrapText="1"/>
    </xf>
    <xf numFmtId="166" fontId="0" fillId="11" borderId="29" xfId="2" applyNumberFormat="1" applyFont="1" applyFill="1" applyBorder="1" applyAlignment="1">
      <alignment horizontal="center" vertical="center" wrapText="1"/>
    </xf>
    <xf numFmtId="166" fontId="0" fillId="11" borderId="49" xfId="2" applyNumberFormat="1" applyFont="1" applyFill="1" applyBorder="1" applyAlignment="1">
      <alignment horizontal="center" vertical="center" wrapText="1"/>
    </xf>
    <xf numFmtId="1" fontId="0" fillId="12" borderId="24" xfId="2" applyNumberFormat="1" applyFont="1" applyFill="1" applyBorder="1" applyAlignment="1">
      <alignment horizontal="center" vertical="center" wrapText="1"/>
    </xf>
    <xf numFmtId="1" fontId="0" fillId="12" borderId="25" xfId="2" applyNumberFormat="1" applyFont="1" applyFill="1" applyBorder="1" applyAlignment="1">
      <alignment horizontal="center" vertical="center" wrapText="1"/>
    </xf>
    <xf numFmtId="166" fontId="0" fillId="12" borderId="49" xfId="2" applyNumberFormat="1" applyFont="1" applyFill="1" applyBorder="1" applyAlignment="1">
      <alignment horizontal="center" vertical="center" wrapText="1"/>
    </xf>
    <xf numFmtId="0" fontId="0" fillId="13" borderId="22" xfId="0" applyFill="1" applyBorder="1" applyAlignment="1">
      <alignment horizontal="center" vertical="center" wrapText="1"/>
    </xf>
    <xf numFmtId="0" fontId="0" fillId="13" borderId="12" xfId="0" applyFill="1" applyBorder="1" applyAlignment="1">
      <alignment horizontal="center" vertical="center" wrapText="1"/>
    </xf>
    <xf numFmtId="166" fontId="0" fillId="13" borderId="12" xfId="0" applyNumberFormat="1" applyFill="1" applyBorder="1" applyAlignment="1">
      <alignment horizontal="center" vertical="center" wrapText="1"/>
    </xf>
    <xf numFmtId="166" fontId="0" fillId="13" borderId="12" xfId="2" applyNumberFormat="1" applyFont="1" applyFill="1" applyBorder="1" applyAlignment="1">
      <alignment horizontal="center" vertical="center" wrapText="1"/>
    </xf>
    <xf numFmtId="0" fontId="0" fillId="13" borderId="16" xfId="0" applyFill="1" applyBorder="1" applyAlignment="1" applyProtection="1">
      <alignment horizontal="left" vertical="center" wrapText="1"/>
      <protection locked="0"/>
    </xf>
    <xf numFmtId="0" fontId="20" fillId="9" borderId="23" xfId="0" applyFont="1" applyFill="1" applyBorder="1" applyAlignment="1">
      <alignment horizontal="left" vertical="center"/>
    </xf>
    <xf numFmtId="0" fontId="21" fillId="9" borderId="21" xfId="0" applyFont="1" applyFill="1" applyBorder="1" applyAlignment="1">
      <alignment horizontal="left"/>
    </xf>
    <xf numFmtId="0" fontId="20" fillId="9" borderId="21" xfId="0" applyFont="1" applyFill="1" applyBorder="1" applyAlignment="1">
      <alignment horizontal="left" vertical="center"/>
    </xf>
    <xf numFmtId="0" fontId="20" fillId="9" borderId="53" xfId="0" applyFont="1" applyFill="1" applyBorder="1" applyAlignment="1">
      <alignment horizontal="left" vertical="center"/>
    </xf>
    <xf numFmtId="0" fontId="0" fillId="10" borderId="18" xfId="0" applyFill="1" applyBorder="1" applyAlignment="1" applyProtection="1">
      <alignment horizontal="center" vertical="center"/>
      <protection locked="0"/>
    </xf>
    <xf numFmtId="0" fontId="0" fillId="10" borderId="19" xfId="0" applyFill="1" applyBorder="1" applyAlignment="1" applyProtection="1">
      <alignment horizontal="center" vertical="center"/>
      <protection locked="0"/>
    </xf>
    <xf numFmtId="0" fontId="21" fillId="9" borderId="32" xfId="0" applyFont="1" applyFill="1" applyBorder="1" applyAlignment="1">
      <alignment horizontal="center" vertical="center"/>
    </xf>
    <xf numFmtId="0" fontId="0" fillId="2" borderId="54" xfId="0" applyFill="1" applyBorder="1"/>
    <xf numFmtId="0" fontId="0" fillId="10" borderId="9" xfId="0" applyFill="1" applyBorder="1" applyAlignment="1">
      <alignment horizontal="center" vertical="center"/>
    </xf>
    <xf numFmtId="0" fontId="0" fillId="10" borderId="9" xfId="0" applyFill="1" applyBorder="1" applyAlignment="1" applyProtection="1">
      <alignment horizontal="center" vertical="center"/>
      <protection locked="0"/>
    </xf>
    <xf numFmtId="0" fontId="0" fillId="10" borderId="15" xfId="0" applyFill="1" applyBorder="1" applyAlignment="1" applyProtection="1">
      <alignment horizontal="center" vertical="center"/>
      <protection locked="0"/>
    </xf>
    <xf numFmtId="0" fontId="0" fillId="2" borderId="55" xfId="0" applyFill="1" applyBorder="1"/>
    <xf numFmtId="0" fontId="0" fillId="2" borderId="7" xfId="0" applyFill="1" applyBorder="1"/>
    <xf numFmtId="0" fontId="0" fillId="2" borderId="10" xfId="0" applyFill="1" applyBorder="1"/>
    <xf numFmtId="0" fontId="21" fillId="9" borderId="35" xfId="0" applyFont="1" applyFill="1" applyBorder="1" applyAlignment="1" applyProtection="1">
      <alignment horizontal="center" vertical="center"/>
      <protection locked="0"/>
    </xf>
    <xf numFmtId="0" fontId="24" fillId="2" borderId="42" xfId="0" applyFont="1" applyFill="1" applyBorder="1" applyAlignment="1">
      <alignment horizontal="center"/>
    </xf>
    <xf numFmtId="0" fontId="24" fillId="2" borderId="26" xfId="0" applyFont="1" applyFill="1" applyBorder="1" applyAlignment="1">
      <alignment horizontal="center"/>
    </xf>
    <xf numFmtId="0" fontId="24" fillId="2" borderId="30" xfId="0" applyFont="1" applyFill="1" applyBorder="1" applyAlignment="1">
      <alignment horizontal="center"/>
    </xf>
    <xf numFmtId="0" fontId="24" fillId="2" borderId="31" xfId="0" applyFont="1" applyFill="1" applyBorder="1" applyAlignment="1">
      <alignment horizontal="center"/>
    </xf>
    <xf numFmtId="0" fontId="0" fillId="10" borderId="12" xfId="0" applyFill="1" applyBorder="1" applyAlignment="1" applyProtection="1">
      <alignment horizontal="center" vertical="center"/>
      <protection locked="0"/>
    </xf>
    <xf numFmtId="0" fontId="0" fillId="10" borderId="16" xfId="0" applyFill="1" applyBorder="1" applyAlignment="1" applyProtection="1">
      <alignment horizontal="center" vertical="center"/>
      <protection locked="0"/>
    </xf>
    <xf numFmtId="0" fontId="0" fillId="0" borderId="0" xfId="0" applyAlignment="1">
      <alignment wrapText="1"/>
    </xf>
    <xf numFmtId="0" fontId="20" fillId="14" borderId="1" xfId="0" applyFont="1" applyFill="1" applyBorder="1" applyAlignment="1">
      <alignment horizontal="center" vertical="center"/>
    </xf>
    <xf numFmtId="0" fontId="20" fillId="9" borderId="1" xfId="0" applyFont="1" applyFill="1" applyBorder="1" applyAlignment="1">
      <alignment horizontal="center" vertical="center" wrapText="1"/>
    </xf>
    <xf numFmtId="0" fontId="22" fillId="15" borderId="34" xfId="0" applyFont="1" applyFill="1" applyBorder="1" applyAlignment="1">
      <alignment horizontal="center" vertical="center" wrapText="1"/>
    </xf>
    <xf numFmtId="0" fontId="22" fillId="15" borderId="39" xfId="0" applyFont="1" applyFill="1" applyBorder="1" applyAlignment="1">
      <alignment horizontal="center" vertical="center" wrapText="1"/>
    </xf>
    <xf numFmtId="1" fontId="22" fillId="15" borderId="39" xfId="0" applyNumberFormat="1" applyFont="1" applyFill="1" applyBorder="1" applyAlignment="1">
      <alignment horizontal="center" vertical="center" wrapText="1"/>
    </xf>
    <xf numFmtId="166" fontId="22" fillId="15" borderId="58" xfId="2" applyNumberFormat="1" applyFont="1" applyFill="1" applyBorder="1" applyAlignment="1">
      <alignment horizontal="center" vertical="center" wrapText="1"/>
    </xf>
    <xf numFmtId="0" fontId="22" fillId="16" borderId="45" xfId="0" applyFont="1" applyFill="1" applyBorder="1" applyAlignment="1">
      <alignment horizontal="center" vertical="center" wrapText="1"/>
    </xf>
    <xf numFmtId="0" fontId="22" fillId="16" borderId="3" xfId="0" applyFont="1" applyFill="1" applyBorder="1" applyAlignment="1">
      <alignment horizontal="center" vertical="center" wrapText="1"/>
    </xf>
    <xf numFmtId="0" fontId="16" fillId="10" borderId="4" xfId="0" applyFont="1" applyFill="1" applyBorder="1" applyAlignment="1" applyProtection="1">
      <alignment horizontal="center" vertical="center"/>
      <protection locked="0"/>
    </xf>
    <xf numFmtId="0" fontId="16" fillId="8" borderId="27" xfId="0" applyFont="1" applyFill="1" applyBorder="1" applyAlignment="1">
      <alignment horizontal="center" vertical="center"/>
    </xf>
    <xf numFmtId="0" fontId="16" fillId="8" borderId="18" xfId="0" applyFont="1" applyFill="1" applyBorder="1" applyAlignment="1">
      <alignment horizontal="center" vertical="center"/>
    </xf>
    <xf numFmtId="166" fontId="16" fillId="8" borderId="40" xfId="0" applyNumberFormat="1" applyFont="1" applyFill="1" applyBorder="1" applyAlignment="1">
      <alignment horizontal="center" vertical="center"/>
    </xf>
    <xf numFmtId="1" fontId="16" fillId="17" borderId="59" xfId="0" applyNumberFormat="1" applyFont="1" applyFill="1" applyBorder="1" applyAlignment="1">
      <alignment horizontal="center" vertical="center"/>
    </xf>
    <xf numFmtId="1" fontId="16" fillId="17" borderId="6" xfId="0" applyNumberFormat="1" applyFont="1" applyFill="1" applyBorder="1" applyAlignment="1">
      <alignment horizontal="center" vertical="center"/>
    </xf>
    <xf numFmtId="0" fontId="16" fillId="8" borderId="8" xfId="0" applyFont="1" applyFill="1" applyBorder="1" applyAlignment="1">
      <alignment horizontal="center" vertical="center"/>
    </xf>
    <xf numFmtId="0" fontId="16" fillId="8" borderId="9" xfId="0" applyFont="1" applyFill="1" applyBorder="1" applyAlignment="1">
      <alignment horizontal="center" vertical="center"/>
    </xf>
    <xf numFmtId="166" fontId="16" fillId="8" borderId="46" xfId="0" applyNumberFormat="1" applyFont="1" applyFill="1" applyBorder="1" applyAlignment="1">
      <alignment horizontal="center" vertical="center"/>
    </xf>
    <xf numFmtId="1" fontId="16" fillId="17" borderId="20" xfId="0" applyNumberFormat="1" applyFont="1" applyFill="1" applyBorder="1" applyAlignment="1">
      <alignment horizontal="center" vertical="center"/>
    </xf>
    <xf numFmtId="1" fontId="16" fillId="17" borderId="9" xfId="0" applyNumberFormat="1" applyFont="1" applyFill="1" applyBorder="1" applyAlignment="1">
      <alignment horizontal="center" vertical="center"/>
    </xf>
    <xf numFmtId="0" fontId="16" fillId="10" borderId="60" xfId="0" applyFont="1" applyFill="1" applyBorder="1" applyAlignment="1" applyProtection="1">
      <alignment horizontal="center" vertical="center"/>
      <protection locked="0"/>
    </xf>
    <xf numFmtId="0" fontId="16" fillId="8" borderId="11" xfId="0" applyFont="1" applyFill="1" applyBorder="1" applyAlignment="1">
      <alignment horizontal="center" vertical="center"/>
    </xf>
    <xf numFmtId="0" fontId="16" fillId="8" borderId="12" xfId="0" applyFont="1" applyFill="1" applyBorder="1" applyAlignment="1">
      <alignment horizontal="center" vertical="center"/>
    </xf>
    <xf numFmtId="166" fontId="16" fillId="8" borderId="41" xfId="0" applyNumberFormat="1" applyFont="1" applyFill="1" applyBorder="1" applyAlignment="1">
      <alignment horizontal="center" vertical="center"/>
    </xf>
    <xf numFmtId="1" fontId="16" fillId="17" borderId="22" xfId="0" applyNumberFormat="1" applyFont="1" applyFill="1" applyBorder="1" applyAlignment="1">
      <alignment horizontal="center" vertical="center"/>
    </xf>
    <xf numFmtId="1" fontId="16" fillId="17" borderId="12" xfId="0" applyNumberFormat="1" applyFont="1" applyFill="1" applyBorder="1" applyAlignment="1">
      <alignment horizontal="center" vertical="center"/>
    </xf>
    <xf numFmtId="0" fontId="15" fillId="14" borderId="1" xfId="0" applyFont="1" applyFill="1" applyBorder="1" applyAlignment="1">
      <alignment horizontal="center" vertical="center"/>
    </xf>
    <xf numFmtId="0" fontId="15" fillId="15" borderId="36" xfId="0" applyFont="1" applyFill="1" applyBorder="1" applyAlignment="1">
      <alignment horizontal="center" vertical="center"/>
    </xf>
    <xf numFmtId="166" fontId="15" fillId="15" borderId="61" xfId="2" applyNumberFormat="1" applyFont="1" applyFill="1" applyBorder="1" applyAlignment="1">
      <alignment horizontal="center" vertical="center"/>
    </xf>
    <xf numFmtId="1" fontId="15" fillId="16" borderId="62" xfId="0" applyNumberFormat="1" applyFont="1" applyFill="1" applyBorder="1" applyAlignment="1">
      <alignment horizontal="center" vertical="center"/>
    </xf>
    <xf numFmtId="0" fontId="20" fillId="5" borderId="1" xfId="0" applyFont="1" applyFill="1" applyBorder="1" applyAlignment="1">
      <alignment horizontal="center" vertical="center"/>
    </xf>
    <xf numFmtId="0" fontId="15" fillId="5" borderId="1" xfId="0" applyFont="1" applyFill="1" applyBorder="1" applyAlignment="1">
      <alignment horizontal="center" vertical="center"/>
    </xf>
    <xf numFmtId="0" fontId="16" fillId="0" borderId="0" xfId="0" applyFont="1" applyAlignment="1">
      <alignment horizontal="center" vertical="center"/>
    </xf>
    <xf numFmtId="0" fontId="20" fillId="18" borderId="1" xfId="0" applyFont="1" applyFill="1" applyBorder="1" applyAlignment="1">
      <alignment horizontal="center" vertical="center"/>
    </xf>
    <xf numFmtId="0" fontId="15" fillId="18" borderId="1" xfId="0" applyFont="1" applyFill="1" applyBorder="1" applyAlignment="1">
      <alignment horizontal="center" vertical="center"/>
    </xf>
    <xf numFmtId="166" fontId="0" fillId="0" borderId="0" xfId="0" applyNumberFormat="1"/>
    <xf numFmtId="166" fontId="0" fillId="0" borderId="0" xfId="2" applyNumberFormat="1" applyFont="1"/>
    <xf numFmtId="0" fontId="22" fillId="16" borderId="13" xfId="0" applyFont="1" applyFill="1" applyBorder="1" applyAlignment="1">
      <alignment horizontal="center" vertical="center" wrapText="1"/>
    </xf>
    <xf numFmtId="0" fontId="22" fillId="19" borderId="2" xfId="0" applyFont="1" applyFill="1" applyBorder="1" applyAlignment="1">
      <alignment horizontal="center" vertical="center" wrapText="1"/>
    </xf>
    <xf numFmtId="0" fontId="22" fillId="19" borderId="3" xfId="0" applyFont="1" applyFill="1" applyBorder="1" applyAlignment="1">
      <alignment horizontal="center" vertical="center" wrapText="1"/>
    </xf>
    <xf numFmtId="0" fontId="16" fillId="17" borderId="6" xfId="0" applyFont="1" applyFill="1" applyBorder="1" applyAlignment="1">
      <alignment horizontal="center" vertical="center"/>
    </xf>
    <xf numFmtId="166" fontId="16" fillId="17" borderId="6" xfId="2" applyNumberFormat="1" applyFont="1" applyFill="1" applyBorder="1" applyAlignment="1">
      <alignment horizontal="center" vertical="center"/>
    </xf>
    <xf numFmtId="166" fontId="16" fillId="17" borderId="6" xfId="0" applyNumberFormat="1" applyFont="1" applyFill="1" applyBorder="1" applyAlignment="1">
      <alignment horizontal="center" vertical="center"/>
    </xf>
    <xf numFmtId="166" fontId="16" fillId="17" borderId="14" xfId="0" applyNumberFormat="1" applyFont="1" applyFill="1" applyBorder="1" applyAlignment="1">
      <alignment horizontal="center" vertical="center"/>
    </xf>
    <xf numFmtId="1" fontId="16" fillId="20" borderId="5" xfId="0" applyNumberFormat="1" applyFont="1" applyFill="1" applyBorder="1" applyAlignment="1">
      <alignment horizontal="center" vertical="center"/>
    </xf>
    <xf numFmtId="1" fontId="16" fillId="20" borderId="6" xfId="0" applyNumberFormat="1" applyFont="1" applyFill="1" applyBorder="1" applyAlignment="1">
      <alignment horizontal="center" vertical="center"/>
    </xf>
    <xf numFmtId="0" fontId="16" fillId="17" borderId="9" xfId="0" applyFont="1" applyFill="1" applyBorder="1" applyAlignment="1">
      <alignment horizontal="center" vertical="center"/>
    </xf>
    <xf numFmtId="166" fontId="16" fillId="17" borderId="9" xfId="2" applyNumberFormat="1" applyFont="1" applyFill="1" applyBorder="1" applyAlignment="1">
      <alignment horizontal="center" vertical="center"/>
    </xf>
    <xf numFmtId="166" fontId="16" fillId="17" borderId="9" xfId="0" applyNumberFormat="1" applyFont="1" applyFill="1" applyBorder="1" applyAlignment="1">
      <alignment horizontal="center" vertical="center"/>
    </xf>
    <xf numFmtId="166" fontId="16" fillId="17" borderId="15" xfId="0" applyNumberFormat="1" applyFont="1" applyFill="1" applyBorder="1" applyAlignment="1">
      <alignment horizontal="center" vertical="center"/>
    </xf>
    <xf numFmtId="1" fontId="16" fillId="20" borderId="8" xfId="0" applyNumberFormat="1" applyFont="1" applyFill="1" applyBorder="1" applyAlignment="1">
      <alignment horizontal="center" vertical="center"/>
    </xf>
    <xf numFmtId="1" fontId="16" fillId="20" borderId="9" xfId="0" applyNumberFormat="1" applyFont="1" applyFill="1" applyBorder="1" applyAlignment="1">
      <alignment horizontal="center" vertical="center"/>
    </xf>
    <xf numFmtId="0" fontId="16" fillId="17" borderId="12" xfId="0" applyFont="1" applyFill="1" applyBorder="1" applyAlignment="1">
      <alignment horizontal="center" vertical="center"/>
    </xf>
    <xf numFmtId="166" fontId="16" fillId="17" borderId="12" xfId="2" applyNumberFormat="1" applyFont="1" applyFill="1" applyBorder="1" applyAlignment="1">
      <alignment horizontal="center" vertical="center"/>
    </xf>
    <xf numFmtId="166" fontId="16" fillId="17" borderId="12" xfId="0" applyNumberFormat="1" applyFont="1" applyFill="1" applyBorder="1" applyAlignment="1">
      <alignment horizontal="center" vertical="center"/>
    </xf>
    <xf numFmtId="166" fontId="16" fillId="17" borderId="16" xfId="0" applyNumberFormat="1" applyFont="1" applyFill="1" applyBorder="1" applyAlignment="1">
      <alignment horizontal="center" vertical="center"/>
    </xf>
    <xf numFmtId="1" fontId="16" fillId="20" borderId="11" xfId="0" applyNumberFormat="1" applyFont="1" applyFill="1" applyBorder="1" applyAlignment="1">
      <alignment horizontal="center" vertical="center"/>
    </xf>
    <xf numFmtId="1" fontId="16" fillId="20" borderId="12" xfId="0" applyNumberFormat="1" applyFont="1" applyFill="1" applyBorder="1" applyAlignment="1">
      <alignment horizontal="center" vertical="center"/>
    </xf>
    <xf numFmtId="0" fontId="15" fillId="16" borderId="63" xfId="0" applyFont="1" applyFill="1" applyBorder="1" applyAlignment="1">
      <alignment horizontal="center" vertical="center"/>
    </xf>
    <xf numFmtId="166" fontId="15" fillId="16" borderId="63" xfId="2" applyNumberFormat="1" applyFont="1" applyFill="1" applyBorder="1" applyAlignment="1">
      <alignment horizontal="center" vertical="center"/>
    </xf>
    <xf numFmtId="166" fontId="15" fillId="16" borderId="63" xfId="0" applyNumberFormat="1" applyFont="1" applyFill="1" applyBorder="1" applyAlignment="1">
      <alignment horizontal="center" vertical="center"/>
    </xf>
    <xf numFmtId="166" fontId="15" fillId="16" borderId="64" xfId="0" applyNumberFormat="1" applyFont="1" applyFill="1" applyBorder="1" applyAlignment="1">
      <alignment horizontal="center" vertical="center"/>
    </xf>
    <xf numFmtId="1" fontId="15" fillId="19" borderId="37" xfId="0" applyNumberFormat="1" applyFont="1" applyFill="1" applyBorder="1" applyAlignment="1">
      <alignment horizontal="center" vertical="center"/>
    </xf>
    <xf numFmtId="0" fontId="22" fillId="19" borderId="13" xfId="0" applyFont="1" applyFill="1" applyBorder="1" applyAlignment="1">
      <alignment horizontal="center" vertical="center" wrapText="1"/>
    </xf>
    <xf numFmtId="0" fontId="16" fillId="20" borderId="6" xfId="0" applyFont="1" applyFill="1" applyBorder="1" applyAlignment="1">
      <alignment horizontal="center" vertical="center"/>
    </xf>
    <xf numFmtId="166" fontId="16" fillId="20" borderId="6" xfId="2" applyNumberFormat="1" applyFont="1" applyFill="1" applyBorder="1" applyAlignment="1">
      <alignment horizontal="center" vertical="center"/>
    </xf>
    <xf numFmtId="166" fontId="16" fillId="20" borderId="6" xfId="0" applyNumberFormat="1" applyFont="1" applyFill="1" applyBorder="1" applyAlignment="1">
      <alignment horizontal="center" vertical="center"/>
    </xf>
    <xf numFmtId="166" fontId="16" fillId="20" borderId="14" xfId="0" applyNumberFormat="1" applyFont="1" applyFill="1" applyBorder="1" applyAlignment="1">
      <alignment horizontal="center" vertical="center"/>
    </xf>
    <xf numFmtId="0" fontId="16" fillId="20" borderId="9" xfId="0" applyFont="1" applyFill="1" applyBorder="1" applyAlignment="1">
      <alignment horizontal="center" vertical="center"/>
    </xf>
    <xf numFmtId="166" fontId="16" fillId="20" borderId="9" xfId="2" applyNumberFormat="1" applyFont="1" applyFill="1" applyBorder="1" applyAlignment="1">
      <alignment horizontal="center" vertical="center"/>
    </xf>
    <xf numFmtId="166" fontId="16" fillId="20" borderId="9" xfId="0" applyNumberFormat="1" applyFont="1" applyFill="1" applyBorder="1" applyAlignment="1">
      <alignment horizontal="center" vertical="center"/>
    </xf>
    <xf numFmtId="166" fontId="16" fillId="20" borderId="15" xfId="0" applyNumberFormat="1" applyFont="1" applyFill="1" applyBorder="1" applyAlignment="1">
      <alignment horizontal="center" vertical="center"/>
    </xf>
    <xf numFmtId="0" fontId="16" fillId="20" borderId="12" xfId="0" applyFont="1" applyFill="1" applyBorder="1" applyAlignment="1">
      <alignment horizontal="center" vertical="center"/>
    </xf>
    <xf numFmtId="166" fontId="16" fillId="20" borderId="12" xfId="2" applyNumberFormat="1" applyFont="1" applyFill="1" applyBorder="1" applyAlignment="1">
      <alignment horizontal="center" vertical="center"/>
    </xf>
    <xf numFmtId="166" fontId="16" fillId="20" borderId="12" xfId="0" applyNumberFormat="1" applyFont="1" applyFill="1" applyBorder="1" applyAlignment="1">
      <alignment horizontal="center" vertical="center"/>
    </xf>
    <xf numFmtId="166" fontId="16" fillId="20" borderId="16" xfId="0" applyNumberFormat="1" applyFont="1" applyFill="1" applyBorder="1" applyAlignment="1">
      <alignment horizontal="center" vertical="center"/>
    </xf>
    <xf numFmtId="166" fontId="15" fillId="19" borderId="63" xfId="2" applyNumberFormat="1" applyFont="1" applyFill="1" applyBorder="1" applyAlignment="1">
      <alignment horizontal="center" vertical="center"/>
    </xf>
    <xf numFmtId="166" fontId="15" fillId="19" borderId="63" xfId="0" applyNumberFormat="1" applyFont="1" applyFill="1" applyBorder="1" applyAlignment="1">
      <alignment horizontal="center" vertical="center"/>
    </xf>
    <xf numFmtId="166" fontId="15" fillId="19" borderId="64" xfId="0" applyNumberFormat="1" applyFont="1" applyFill="1" applyBorder="1" applyAlignment="1">
      <alignment horizontal="center" vertical="center"/>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 fontId="0" fillId="0" borderId="0" xfId="0" applyNumberFormat="1" applyAlignment="1">
      <alignment vertical="center"/>
    </xf>
    <xf numFmtId="1" fontId="0" fillId="0" borderId="0" xfId="0" applyNumberFormat="1" applyAlignment="1" applyProtection="1">
      <alignment vertical="center"/>
      <protection locked="0"/>
    </xf>
    <xf numFmtId="0" fontId="19" fillId="8" borderId="3" xfId="0" applyFont="1" applyFill="1" applyBorder="1" applyAlignment="1" applyProtection="1">
      <alignment horizontal="center" vertical="center"/>
      <protection locked="0"/>
    </xf>
    <xf numFmtId="0" fontId="19" fillId="8" borderId="13" xfId="0" applyFont="1" applyFill="1" applyBorder="1" applyAlignment="1" applyProtection="1">
      <alignment vertical="center"/>
      <protection locked="0"/>
    </xf>
    <xf numFmtId="166" fontId="19" fillId="11" borderId="2" xfId="0" applyNumberFormat="1" applyFont="1" applyFill="1" applyBorder="1" applyAlignment="1" applyProtection="1">
      <alignment horizontal="center" vertical="center"/>
      <protection locked="0"/>
    </xf>
    <xf numFmtId="0" fontId="19" fillId="11" borderId="3" xfId="0" applyFont="1" applyFill="1" applyBorder="1" applyAlignment="1" applyProtection="1">
      <alignment horizontal="center" vertical="center"/>
      <protection locked="0"/>
    </xf>
    <xf numFmtId="166" fontId="19" fillId="11" borderId="44" xfId="2" applyNumberFormat="1" applyFont="1" applyFill="1" applyBorder="1" applyAlignment="1" applyProtection="1">
      <alignment horizontal="center" vertical="center"/>
      <protection locked="0"/>
    </xf>
    <xf numFmtId="0" fontId="19" fillId="12" borderId="45" xfId="0" applyFont="1" applyFill="1" applyBorder="1" applyAlignment="1" applyProtection="1">
      <alignment vertical="center"/>
      <protection locked="0"/>
    </xf>
    <xf numFmtId="0" fontId="19" fillId="12" borderId="3" xfId="0" applyFont="1" applyFill="1" applyBorder="1" applyAlignment="1" applyProtection="1">
      <alignment horizontal="center" vertical="center"/>
      <protection locked="0"/>
    </xf>
    <xf numFmtId="1" fontId="19" fillId="12" borderId="3" xfId="0" applyNumberFormat="1" applyFont="1" applyFill="1" applyBorder="1" applyAlignment="1" applyProtection="1">
      <alignment horizontal="center" vertical="center"/>
      <protection locked="0"/>
    </xf>
    <xf numFmtId="166" fontId="19" fillId="12" borderId="3" xfId="0" applyNumberFormat="1" applyFont="1" applyFill="1" applyBorder="1" applyAlignment="1" applyProtection="1">
      <alignment horizontal="center" vertical="center"/>
      <protection locked="0"/>
    </xf>
    <xf numFmtId="1" fontId="19" fillId="12" borderId="13" xfId="0" applyNumberFormat="1" applyFont="1" applyFill="1" applyBorder="1" applyAlignment="1">
      <alignment vertical="center"/>
    </xf>
    <xf numFmtId="1" fontId="19" fillId="13" borderId="45" xfId="0" applyNumberFormat="1" applyFont="1" applyFill="1" applyBorder="1" applyAlignment="1" applyProtection="1">
      <alignment horizontal="center" vertical="center"/>
      <protection locked="0"/>
    </xf>
    <xf numFmtId="1" fontId="19" fillId="13" borderId="3" xfId="0" applyNumberFormat="1" applyFont="1" applyFill="1" applyBorder="1" applyAlignment="1" applyProtection="1">
      <alignment horizontal="center" vertical="center"/>
      <protection locked="0"/>
    </xf>
    <xf numFmtId="166" fontId="19" fillId="13" borderId="3" xfId="0" applyNumberFormat="1" applyFont="1" applyFill="1" applyBorder="1" applyAlignment="1" applyProtection="1">
      <alignment horizontal="center" vertical="center"/>
      <protection locked="0"/>
    </xf>
    <xf numFmtId="0" fontId="19" fillId="13" borderId="3" xfId="0" applyFont="1" applyFill="1" applyBorder="1" applyAlignment="1" applyProtection="1">
      <alignment vertical="center"/>
      <protection locked="0"/>
    </xf>
    <xf numFmtId="0" fontId="19" fillId="13" borderId="13" xfId="0" applyFont="1" applyFill="1" applyBorder="1" applyAlignment="1" applyProtection="1">
      <alignment vertical="center"/>
      <protection locked="0"/>
    </xf>
    <xf numFmtId="0" fontId="0" fillId="8" borderId="20" xfId="0" applyFill="1" applyBorder="1" applyAlignment="1" applyProtection="1">
      <alignment vertical="center" wrapText="1"/>
      <protection locked="0"/>
    </xf>
    <xf numFmtId="0" fontId="0" fillId="8" borderId="22" xfId="0" applyFill="1" applyBorder="1" applyAlignment="1" applyProtection="1">
      <alignment vertical="center" wrapText="1"/>
      <protection locked="0"/>
    </xf>
    <xf numFmtId="0" fontId="0" fillId="8" borderId="12" xfId="0" applyFill="1" applyBorder="1" applyAlignment="1" applyProtection="1">
      <alignment vertical="center"/>
      <protection locked="0"/>
    </xf>
    <xf numFmtId="0" fontId="0" fillId="8" borderId="12" xfId="0" applyFill="1" applyBorder="1" applyAlignment="1" applyProtection="1">
      <alignment horizontal="center" vertical="center"/>
      <protection locked="0"/>
    </xf>
    <xf numFmtId="0" fontId="0" fillId="8" borderId="12" xfId="0" applyFill="1" applyBorder="1" applyAlignment="1" applyProtection="1">
      <alignment horizontal="left" vertical="center"/>
      <protection locked="0"/>
    </xf>
    <xf numFmtId="0" fontId="16" fillId="8" borderId="12" xfId="0" applyFont="1" applyFill="1" applyBorder="1" applyAlignment="1" applyProtection="1">
      <alignment horizontal="center" vertical="center"/>
      <protection locked="0"/>
    </xf>
    <xf numFmtId="43" fontId="16" fillId="8" borderId="16" xfId="1" applyFont="1" applyFill="1" applyBorder="1" applyAlignment="1" applyProtection="1">
      <alignment vertical="center"/>
      <protection locked="0"/>
    </xf>
    <xf numFmtId="9" fontId="16" fillId="11" borderId="11" xfId="0" applyNumberFormat="1" applyFont="1" applyFill="1" applyBorder="1" applyAlignment="1" applyProtection="1">
      <alignment horizontal="center" vertical="center"/>
      <protection locked="0"/>
    </xf>
    <xf numFmtId="0" fontId="16" fillId="11" borderId="12" xfId="2" applyNumberFormat="1" applyFont="1" applyFill="1" applyBorder="1" applyAlignment="1" applyProtection="1">
      <alignment horizontal="center" vertical="center"/>
      <protection locked="0"/>
    </xf>
    <xf numFmtId="9" fontId="16" fillId="11" borderId="16" xfId="2" applyFont="1" applyFill="1" applyBorder="1" applyAlignment="1">
      <alignment horizontal="center" vertical="center"/>
    </xf>
    <xf numFmtId="0" fontId="0" fillId="12" borderId="22" xfId="0" applyFill="1" applyBorder="1" applyAlignment="1" applyProtection="1">
      <alignment vertical="center"/>
      <protection locked="0"/>
    </xf>
    <xf numFmtId="0" fontId="21" fillId="0" borderId="0" xfId="0" applyFont="1" applyAlignment="1">
      <alignment horizontal="left" vertical="center"/>
    </xf>
    <xf numFmtId="49" fontId="0" fillId="0" borderId="0" xfId="0" applyNumberFormat="1" applyAlignment="1">
      <alignment horizontal="left" vertical="center"/>
    </xf>
    <xf numFmtId="0" fontId="16" fillId="12" borderId="12" xfId="0" applyFont="1" applyFill="1" applyBorder="1" applyAlignment="1" applyProtection="1">
      <alignment horizontal="center" vertical="center"/>
      <protection locked="0"/>
    </xf>
    <xf numFmtId="1" fontId="0" fillId="12" borderId="12" xfId="0" applyNumberFormat="1" applyFill="1" applyBorder="1" applyAlignment="1">
      <alignment horizontal="center" vertical="center"/>
    </xf>
    <xf numFmtId="1" fontId="0" fillId="12" borderId="12" xfId="0" applyNumberFormat="1" applyFill="1" applyBorder="1" applyAlignment="1" applyProtection="1">
      <alignment horizontal="center" vertical="center"/>
      <protection locked="0"/>
    </xf>
    <xf numFmtId="166" fontId="0" fillId="12" borderId="12" xfId="0" applyNumberFormat="1" applyFill="1" applyBorder="1" applyAlignment="1">
      <alignment horizontal="center" vertical="center"/>
    </xf>
    <xf numFmtId="1" fontId="0" fillId="12" borderId="16" xfId="0" applyNumberFormat="1" applyFill="1" applyBorder="1" applyAlignment="1" applyProtection="1">
      <alignment vertical="center"/>
      <protection locked="0"/>
    </xf>
    <xf numFmtId="1" fontId="0" fillId="13" borderId="22" xfId="0" applyNumberFormat="1" applyFill="1" applyBorder="1" applyAlignment="1">
      <alignment horizontal="center" vertical="center"/>
    </xf>
    <xf numFmtId="1" fontId="0" fillId="13" borderId="12" xfId="0" applyNumberFormat="1" applyFill="1" applyBorder="1" applyAlignment="1" applyProtection="1">
      <alignment horizontal="center" vertical="center"/>
      <protection locked="0"/>
    </xf>
    <xf numFmtId="166" fontId="0" fillId="13" borderId="12" xfId="0" applyNumberFormat="1" applyFill="1" applyBorder="1" applyAlignment="1">
      <alignment horizontal="center" vertical="center"/>
    </xf>
    <xf numFmtId="0" fontId="0" fillId="13" borderId="12" xfId="0" applyFill="1" applyBorder="1" applyAlignment="1" applyProtection="1">
      <alignment vertical="center"/>
      <protection locked="0"/>
    </xf>
    <xf numFmtId="0" fontId="19" fillId="13" borderId="45" xfId="0" applyFont="1" applyFill="1" applyBorder="1" applyAlignment="1" applyProtection="1">
      <alignment horizontal="center" vertical="center"/>
      <protection locked="0"/>
    </xf>
    <xf numFmtId="0" fontId="19" fillId="13" borderId="3" xfId="0" applyFont="1" applyFill="1" applyBorder="1" applyAlignment="1" applyProtection="1">
      <alignment horizontal="center" vertical="center"/>
      <protection locked="0"/>
    </xf>
    <xf numFmtId="0" fontId="0" fillId="13" borderId="16" xfId="0" applyFill="1" applyBorder="1" applyAlignment="1" applyProtection="1">
      <alignment vertical="center"/>
      <protection locked="0"/>
    </xf>
    <xf numFmtId="164" fontId="0" fillId="0" borderId="0" xfId="0" applyNumberFormat="1" applyAlignment="1">
      <alignment horizontal="center" vertical="center"/>
    </xf>
    <xf numFmtId="0" fontId="0" fillId="0" borderId="0" xfId="0" applyAlignment="1">
      <alignment vertical="center"/>
    </xf>
    <xf numFmtId="164" fontId="21" fillId="15" borderId="32" xfId="0" applyNumberFormat="1" applyFont="1" applyFill="1" applyBorder="1" applyAlignment="1">
      <alignment horizontal="center" vertical="center"/>
    </xf>
    <xf numFmtId="0" fontId="21" fillId="15" borderId="32" xfId="0" applyFont="1" applyFill="1" applyBorder="1" applyAlignment="1">
      <alignment vertical="center"/>
    </xf>
    <xf numFmtId="0" fontId="21" fillId="15" borderId="54" xfId="0" applyFont="1" applyFill="1" applyBorder="1" applyAlignment="1">
      <alignment vertical="center"/>
    </xf>
    <xf numFmtId="164" fontId="0" fillId="0" borderId="17" xfId="0" applyNumberFormat="1" applyBorder="1" applyAlignment="1">
      <alignment horizontal="center" vertical="center"/>
    </xf>
    <xf numFmtId="0" fontId="0" fillId="0" borderId="40" xfId="0" applyBorder="1" applyAlignment="1">
      <alignment vertical="center"/>
    </xf>
    <xf numFmtId="0" fontId="0" fillId="0" borderId="55" xfId="0" applyBorder="1" applyAlignment="1">
      <alignment vertical="center"/>
    </xf>
    <xf numFmtId="164" fontId="0" fillId="0" borderId="20" xfId="0" applyNumberFormat="1" applyBorder="1" applyAlignment="1">
      <alignment horizontal="center" vertical="center"/>
    </xf>
    <xf numFmtId="0" fontId="0" fillId="0" borderId="46" xfId="0" applyBorder="1" applyAlignment="1">
      <alignment vertical="center" wrapText="1"/>
    </xf>
    <xf numFmtId="0" fontId="0" fillId="0" borderId="7" xfId="0" applyBorder="1" applyAlignment="1">
      <alignment vertical="center"/>
    </xf>
    <xf numFmtId="0" fontId="0" fillId="0" borderId="46" xfId="0" applyBorder="1" applyAlignment="1">
      <alignment vertical="center"/>
    </xf>
    <xf numFmtId="164" fontId="0" fillId="0" borderId="22" xfId="0" applyNumberFormat="1" applyBorder="1" applyAlignment="1">
      <alignment horizontal="center" vertical="center"/>
    </xf>
    <xf numFmtId="0" fontId="0" fillId="0" borderId="41" xfId="0" applyBorder="1" applyAlignment="1">
      <alignment vertical="center" wrapText="1"/>
    </xf>
    <xf numFmtId="0" fontId="0" fillId="0" borderId="10" xfId="0" applyBorder="1" applyAlignment="1">
      <alignment vertical="center"/>
    </xf>
    <xf numFmtId="0" fontId="21" fillId="0" borderId="0" xfId="0" applyFont="1" applyAlignment="1">
      <alignment vertical="center" wrapText="1"/>
    </xf>
    <xf numFmtId="0" fontId="0" fillId="0" borderId="0" xfId="0" applyAlignment="1">
      <alignment vertical="center" wrapText="1"/>
    </xf>
    <xf numFmtId="0" fontId="21" fillId="9" borderId="1" xfId="0" applyFont="1" applyFill="1" applyBorder="1" applyAlignment="1">
      <alignment vertical="center" wrapText="1"/>
    </xf>
    <xf numFmtId="0" fontId="21" fillId="9" borderId="2" xfId="0" applyFont="1" applyFill="1" applyBorder="1" applyAlignment="1">
      <alignment vertical="center" wrapText="1"/>
    </xf>
    <xf numFmtId="0" fontId="21" fillId="9" borderId="3" xfId="0" applyFont="1" applyFill="1" applyBorder="1" applyAlignment="1">
      <alignment vertical="center" wrapText="1"/>
    </xf>
    <xf numFmtId="0" fontId="21" fillId="9" borderId="13" xfId="0" applyFont="1" applyFill="1" applyBorder="1" applyAlignment="1">
      <alignment vertical="center" wrapText="1"/>
    </xf>
    <xf numFmtId="0" fontId="21" fillId="9" borderId="4" xfId="0" applyFont="1" applyFill="1" applyBorder="1" applyAlignment="1">
      <alignment vertical="center" wrapText="1"/>
    </xf>
    <xf numFmtId="0" fontId="0" fillId="0" borderId="18" xfId="0" applyBorder="1" applyAlignment="1">
      <alignment vertical="center" wrapText="1"/>
    </xf>
    <xf numFmtId="0" fontId="16" fillId="10" borderId="19" xfId="0" applyFont="1" applyFill="1" applyBorder="1" applyAlignment="1">
      <alignment vertical="center" wrapText="1"/>
    </xf>
    <xf numFmtId="0" fontId="21" fillId="9" borderId="7" xfId="0" applyFont="1" applyFill="1" applyBorder="1" applyAlignment="1">
      <alignment vertical="center"/>
    </xf>
    <xf numFmtId="0" fontId="16" fillId="10" borderId="14" xfId="0" applyFont="1" applyFill="1" applyBorder="1" applyAlignment="1">
      <alignment vertical="center" wrapText="1"/>
    </xf>
    <xf numFmtId="0" fontId="21" fillId="9" borderId="7" xfId="0" applyFont="1" applyFill="1" applyBorder="1" applyAlignment="1">
      <alignment vertical="center" wrapText="1"/>
    </xf>
    <xf numFmtId="0" fontId="0" fillId="0" borderId="15" xfId="0" applyBorder="1" applyAlignment="1">
      <alignment vertical="center" wrapText="1"/>
    </xf>
    <xf numFmtId="0" fontId="21" fillId="9" borderId="10" xfId="0" applyFont="1" applyFill="1" applyBorder="1" applyAlignment="1">
      <alignment vertical="center" wrapText="1"/>
    </xf>
    <xf numFmtId="0" fontId="0" fillId="0" borderId="12" xfId="0" applyBorder="1" applyAlignment="1">
      <alignment vertical="center" wrapText="1"/>
    </xf>
    <xf numFmtId="0" fontId="0" fillId="0" borderId="16" xfId="0" applyBorder="1" applyAlignment="1">
      <alignment vertical="center" wrapText="1"/>
    </xf>
    <xf numFmtId="0" fontId="0" fillId="10" borderId="27" xfId="0" applyFill="1" applyBorder="1" applyAlignment="1">
      <alignment vertical="center" wrapText="1"/>
    </xf>
    <xf numFmtId="0" fontId="17" fillId="8" borderId="19" xfId="0" applyFont="1" applyFill="1" applyBorder="1" applyAlignment="1">
      <alignment vertical="center" wrapText="1"/>
    </xf>
    <xf numFmtId="0" fontId="0" fillId="10" borderId="8" xfId="0" applyFill="1" applyBorder="1" applyAlignment="1">
      <alignment vertical="center" wrapText="1"/>
    </xf>
    <xf numFmtId="0" fontId="17" fillId="8" borderId="15" xfId="0" applyFont="1" applyFill="1" applyBorder="1" applyAlignment="1">
      <alignment vertical="center" wrapText="1"/>
    </xf>
    <xf numFmtId="0" fontId="0" fillId="8" borderId="15" xfId="0" applyFill="1" applyBorder="1" applyAlignment="1">
      <alignment vertical="center" wrapText="1"/>
    </xf>
    <xf numFmtId="0" fontId="0" fillId="21" borderId="9" xfId="0" applyFill="1" applyBorder="1" applyAlignment="1">
      <alignment vertical="center" wrapText="1"/>
    </xf>
    <xf numFmtId="0" fontId="0" fillId="8" borderId="8" xfId="0" applyFill="1" applyBorder="1" applyAlignment="1">
      <alignment vertical="center" wrapText="1"/>
    </xf>
    <xf numFmtId="0" fontId="0" fillId="10" borderId="29" xfId="0" applyFill="1" applyBorder="1" applyAlignment="1">
      <alignment vertical="center" wrapText="1"/>
    </xf>
    <xf numFmtId="0" fontId="0" fillId="21" borderId="25" xfId="0" applyFill="1" applyBorder="1" applyAlignment="1">
      <alignment vertical="center" wrapText="1"/>
    </xf>
    <xf numFmtId="0" fontId="0" fillId="8" borderId="25" xfId="0" applyFill="1" applyBorder="1" applyAlignment="1">
      <alignment vertical="center" wrapText="1"/>
    </xf>
    <xf numFmtId="0" fontId="17" fillId="8" borderId="67" xfId="0" applyFont="1" applyFill="1" applyBorder="1" applyAlignment="1">
      <alignment vertical="center" wrapText="1"/>
    </xf>
    <xf numFmtId="0" fontId="0" fillId="10" borderId="17" xfId="0" applyFill="1" applyBorder="1" applyAlignment="1">
      <alignment vertical="center" wrapText="1"/>
    </xf>
    <xf numFmtId="0" fontId="0" fillId="11" borderId="18" xfId="0" applyFill="1" applyBorder="1" applyAlignment="1">
      <alignment vertical="center" wrapText="1"/>
    </xf>
    <xf numFmtId="0" fontId="17" fillId="11" borderId="19" xfId="0" applyFont="1" applyFill="1" applyBorder="1" applyAlignment="1">
      <alignment vertical="center" wrapText="1"/>
    </xf>
    <xf numFmtId="0" fontId="0" fillId="10" borderId="20" xfId="0" applyFill="1" applyBorder="1" applyAlignment="1">
      <alignment vertical="center" wrapText="1"/>
    </xf>
    <xf numFmtId="0" fontId="0" fillId="11" borderId="9" xfId="0" applyFill="1" applyBorder="1" applyAlignment="1">
      <alignment vertical="center" wrapText="1"/>
    </xf>
    <xf numFmtId="0" fontId="0" fillId="11" borderId="15" xfId="0" applyFill="1" applyBorder="1" applyAlignment="1">
      <alignment vertical="center" wrapText="1"/>
    </xf>
    <xf numFmtId="0" fontId="0" fillId="11" borderId="22" xfId="0" applyFill="1" applyBorder="1" applyAlignment="1">
      <alignment vertical="center" wrapText="1"/>
    </xf>
    <xf numFmtId="0" fontId="0" fillId="11" borderId="12" xfId="0" applyFill="1" applyBorder="1" applyAlignment="1">
      <alignment vertical="center" wrapText="1"/>
    </xf>
    <xf numFmtId="0" fontId="0" fillId="11" borderId="16" xfId="0" applyFill="1" applyBorder="1" applyAlignment="1">
      <alignment vertical="center" wrapText="1"/>
    </xf>
    <xf numFmtId="0" fontId="0" fillId="10" borderId="59" xfId="0" applyFill="1" applyBorder="1" applyAlignment="1">
      <alignment vertical="center" wrapText="1"/>
    </xf>
    <xf numFmtId="0" fontId="0" fillId="12" borderId="6" xfId="0" applyFill="1" applyBorder="1" applyAlignment="1">
      <alignment vertical="center" wrapText="1"/>
    </xf>
    <xf numFmtId="0" fontId="0" fillId="12" borderId="14" xfId="0" applyFill="1" applyBorder="1" applyAlignment="1">
      <alignment vertical="center" wrapText="1"/>
    </xf>
    <xf numFmtId="0" fontId="0" fillId="12" borderId="9" xfId="0" applyFill="1" applyBorder="1" applyAlignment="1">
      <alignment vertical="center" wrapText="1"/>
    </xf>
    <xf numFmtId="0" fontId="0" fillId="12" borderId="20" xfId="0" applyFill="1" applyBorder="1" applyAlignment="1">
      <alignment vertical="center" wrapText="1"/>
    </xf>
    <xf numFmtId="0" fontId="0" fillId="10" borderId="22" xfId="0" applyFill="1" applyBorder="1" applyAlignment="1">
      <alignment vertical="center" wrapText="1"/>
    </xf>
    <xf numFmtId="0" fontId="0" fillId="12" borderId="12" xfId="0" applyFill="1" applyBorder="1" applyAlignment="1">
      <alignment vertical="center" wrapText="1"/>
    </xf>
    <xf numFmtId="0" fontId="0" fillId="13" borderId="5" xfId="0" applyFill="1" applyBorder="1" applyAlignment="1">
      <alignment vertical="center" wrapText="1"/>
    </xf>
    <xf numFmtId="0" fontId="0" fillId="13" borderId="6" xfId="0" applyFill="1" applyBorder="1" applyAlignment="1">
      <alignment vertical="center" wrapText="1"/>
    </xf>
    <xf numFmtId="0" fontId="0" fillId="13" borderId="14" xfId="0" applyFill="1" applyBorder="1" applyAlignment="1">
      <alignment vertical="center" wrapText="1"/>
    </xf>
    <xf numFmtId="0" fontId="0" fillId="13" borderId="9" xfId="0" applyFill="1" applyBorder="1" applyAlignment="1">
      <alignment vertical="center" wrapText="1"/>
    </xf>
    <xf numFmtId="0" fontId="0" fillId="13" borderId="15" xfId="0" applyFill="1" applyBorder="1" applyAlignment="1">
      <alignment vertical="center" wrapText="1"/>
    </xf>
    <xf numFmtId="0" fontId="0" fillId="13" borderId="50" xfId="0" applyFill="1" applyBorder="1" applyAlignment="1">
      <alignment vertical="center" wrapText="1"/>
    </xf>
    <xf numFmtId="0" fontId="0" fillId="13" borderId="20" xfId="0" applyFill="1" applyBorder="1" applyAlignment="1">
      <alignment vertical="center" wrapText="1"/>
    </xf>
    <xf numFmtId="0" fontId="0" fillId="10" borderId="11" xfId="0" applyFill="1" applyBorder="1" applyAlignment="1">
      <alignment vertical="center" wrapText="1"/>
    </xf>
    <xf numFmtId="0" fontId="0" fillId="13" borderId="12" xfId="0" applyFill="1" applyBorder="1" applyAlignment="1">
      <alignment vertical="center" wrapText="1"/>
    </xf>
    <xf numFmtId="0" fontId="0" fillId="13" borderId="16" xfId="0" applyFill="1" applyBorder="1" applyAlignment="1">
      <alignment vertical="center" wrapText="1"/>
    </xf>
    <xf numFmtId="0" fontId="21" fillId="14" borderId="54" xfId="0" applyFont="1" applyFill="1" applyBorder="1" applyAlignment="1">
      <alignment horizontal="center" vertical="center" wrapText="1"/>
    </xf>
    <xf numFmtId="0" fontId="0" fillId="14" borderId="18" xfId="0" applyFill="1" applyBorder="1" applyAlignment="1">
      <alignment vertical="center" wrapText="1"/>
    </xf>
    <xf numFmtId="0" fontId="17" fillId="14" borderId="19" xfId="0" applyFont="1" applyFill="1" applyBorder="1" applyAlignment="1">
      <alignment vertical="center" wrapText="1"/>
    </xf>
    <xf numFmtId="0" fontId="0" fillId="15" borderId="27" xfId="0" applyFill="1" applyBorder="1" applyAlignment="1">
      <alignment vertical="center" wrapText="1"/>
    </xf>
    <xf numFmtId="0" fontId="0" fillId="15" borderId="18" xfId="0" applyFill="1" applyBorder="1" applyAlignment="1">
      <alignment vertical="center" wrapText="1"/>
    </xf>
    <xf numFmtId="0" fontId="0" fillId="15" borderId="19" xfId="0" applyFill="1" applyBorder="1" applyAlignment="1">
      <alignment vertical="center" wrapText="1"/>
    </xf>
    <xf numFmtId="0" fontId="0" fillId="15" borderId="8" xfId="0" applyFill="1" applyBorder="1" applyAlignment="1">
      <alignment vertical="center" wrapText="1"/>
    </xf>
    <xf numFmtId="0" fontId="0" fillId="15" borderId="9" xfId="0" applyFill="1" applyBorder="1" applyAlignment="1">
      <alignment vertical="center" wrapText="1"/>
    </xf>
    <xf numFmtId="0" fontId="0" fillId="15" borderId="15" xfId="0" applyFill="1" applyBorder="1" applyAlignment="1">
      <alignment vertical="center" wrapText="1"/>
    </xf>
    <xf numFmtId="0" fontId="0" fillId="15" borderId="29" xfId="0" applyFill="1" applyBorder="1" applyAlignment="1">
      <alignment vertical="center" wrapText="1"/>
    </xf>
    <xf numFmtId="0" fontId="0" fillId="15" borderId="25" xfId="0" applyFill="1" applyBorder="1" applyAlignment="1">
      <alignment vertical="center" wrapText="1"/>
    </xf>
    <xf numFmtId="0" fontId="16" fillId="15" borderId="67" xfId="0" applyFont="1" applyFill="1" applyBorder="1" applyAlignment="1">
      <alignment vertical="center" wrapText="1"/>
    </xf>
    <xf numFmtId="0" fontId="0" fillId="16" borderId="17" xfId="0" applyFill="1" applyBorder="1" applyAlignment="1">
      <alignment vertical="center" wrapText="1"/>
    </xf>
    <xf numFmtId="0" fontId="0" fillId="16" borderId="18" xfId="0" applyFill="1" applyBorder="1" applyAlignment="1">
      <alignment vertical="center" wrapText="1"/>
    </xf>
    <xf numFmtId="0" fontId="0" fillId="16" borderId="20" xfId="0" applyFill="1" applyBorder="1" applyAlignment="1">
      <alignment vertical="center" wrapText="1"/>
    </xf>
    <xf numFmtId="0" fontId="0" fillId="16" borderId="9" xfId="0" applyFill="1" applyBorder="1" applyAlignment="1">
      <alignment vertical="center" wrapText="1"/>
    </xf>
    <xf numFmtId="0" fontId="0" fillId="16" borderId="22" xfId="0" applyFill="1" applyBorder="1" applyAlignment="1">
      <alignment vertical="center" wrapText="1"/>
    </xf>
    <xf numFmtId="0" fontId="0" fillId="16" borderId="12" xfId="0" applyFill="1" applyBorder="1" applyAlignment="1">
      <alignment vertical="center" wrapText="1"/>
    </xf>
    <xf numFmtId="0" fontId="0" fillId="19" borderId="17" xfId="0" applyFill="1" applyBorder="1" applyAlignment="1">
      <alignment vertical="center" wrapText="1"/>
    </xf>
    <xf numFmtId="0" fontId="0" fillId="19" borderId="18" xfId="0" applyFill="1" applyBorder="1" applyAlignment="1">
      <alignment vertical="center" wrapText="1"/>
    </xf>
    <xf numFmtId="0" fontId="0" fillId="19" borderId="19" xfId="0" applyFill="1" applyBorder="1" applyAlignment="1">
      <alignment vertical="center" wrapText="1"/>
    </xf>
    <xf numFmtId="0" fontId="0" fillId="19" borderId="20" xfId="0" applyFill="1" applyBorder="1" applyAlignment="1">
      <alignment vertical="center" wrapText="1"/>
    </xf>
    <xf numFmtId="0" fontId="0" fillId="19" borderId="9" xfId="0" applyFill="1" applyBorder="1" applyAlignment="1">
      <alignment vertical="center" wrapText="1"/>
    </xf>
    <xf numFmtId="0" fontId="0" fillId="19" borderId="15" xfId="0" applyFill="1" applyBorder="1" applyAlignment="1">
      <alignment vertical="center" wrapText="1"/>
    </xf>
    <xf numFmtId="0" fontId="0" fillId="19" borderId="24" xfId="0" applyFill="1" applyBorder="1" applyAlignment="1">
      <alignment vertical="center" wrapText="1"/>
    </xf>
    <xf numFmtId="0" fontId="0" fillId="19" borderId="25" xfId="0" applyFill="1" applyBorder="1" applyAlignment="1">
      <alignment vertical="center" wrapText="1"/>
    </xf>
    <xf numFmtId="0" fontId="0" fillId="19" borderId="67" xfId="0" applyFill="1" applyBorder="1" applyAlignment="1">
      <alignment vertical="center" wrapText="1"/>
    </xf>
    <xf numFmtId="0" fontId="0" fillId="2" borderId="18" xfId="0" applyFill="1" applyBorder="1" applyAlignment="1">
      <alignment vertical="center" wrapText="1"/>
    </xf>
    <xf numFmtId="0" fontId="17" fillId="2" borderId="19" xfId="0" applyFont="1" applyFill="1" applyBorder="1" applyAlignment="1">
      <alignment vertical="center" wrapText="1"/>
    </xf>
    <xf numFmtId="0" fontId="0" fillId="2" borderId="9" xfId="0" applyFill="1" applyBorder="1" applyAlignment="1">
      <alignment vertical="center" wrapText="1"/>
    </xf>
    <xf numFmtId="0" fontId="17" fillId="2" borderId="15" xfId="0" applyFont="1" applyFill="1" applyBorder="1" applyAlignment="1">
      <alignment vertical="center" wrapText="1"/>
    </xf>
    <xf numFmtId="0" fontId="0" fillId="2" borderId="15" xfId="0" applyFill="1" applyBorder="1" applyAlignment="1">
      <alignment vertical="center" wrapText="1"/>
    </xf>
    <xf numFmtId="0" fontId="0" fillId="2" borderId="12" xfId="0" applyFill="1" applyBorder="1" applyAlignment="1">
      <alignment vertical="center" wrapText="1"/>
    </xf>
    <xf numFmtId="0" fontId="0" fillId="2" borderId="16" xfId="0" applyFill="1" applyBorder="1" applyAlignment="1">
      <alignment vertical="center" wrapText="1"/>
    </xf>
    <xf numFmtId="0" fontId="0" fillId="10" borderId="5" xfId="0" applyFill="1" applyBorder="1" applyAlignment="1">
      <alignment vertical="center" wrapText="1"/>
    </xf>
    <xf numFmtId="0" fontId="0" fillId="8" borderId="6" xfId="0" applyFill="1" applyBorder="1" applyAlignment="1">
      <alignment vertical="center" wrapText="1"/>
    </xf>
    <xf numFmtId="0" fontId="17" fillId="8" borderId="14" xfId="0" applyFont="1" applyFill="1" applyBorder="1" applyAlignment="1">
      <alignment vertical="center" wrapText="1"/>
    </xf>
    <xf numFmtId="0" fontId="0" fillId="8" borderId="11" xfId="0" applyFill="1" applyBorder="1" applyAlignment="1">
      <alignment vertical="center" wrapText="1"/>
    </xf>
    <xf numFmtId="0" fontId="0" fillId="8" borderId="16" xfId="0" applyFill="1" applyBorder="1" applyAlignment="1">
      <alignment vertical="center" wrapText="1"/>
    </xf>
    <xf numFmtId="0" fontId="0" fillId="11" borderId="27" xfId="0" applyFill="1" applyBorder="1" applyAlignment="1">
      <alignment vertical="center" wrapText="1"/>
    </xf>
    <xf numFmtId="0" fontId="0" fillId="11" borderId="19" xfId="0" applyFill="1" applyBorder="1" applyAlignment="1">
      <alignment vertical="center" wrapText="1"/>
    </xf>
    <xf numFmtId="0" fontId="0" fillId="11" borderId="11" xfId="0" applyFill="1" applyBorder="1" applyAlignment="1">
      <alignment vertical="center" wrapText="1"/>
    </xf>
    <xf numFmtId="0" fontId="0" fillId="12" borderId="27" xfId="0" applyFill="1" applyBorder="1" applyAlignment="1">
      <alignment vertical="center" wrapText="1"/>
    </xf>
    <xf numFmtId="0" fontId="0" fillId="12" borderId="18" xfId="0" applyFill="1" applyBorder="1" applyAlignment="1">
      <alignment vertical="center" wrapText="1"/>
    </xf>
    <xf numFmtId="0" fontId="0" fillId="12" borderId="19" xfId="0" applyFill="1" applyBorder="1" applyAlignment="1">
      <alignment vertical="center" wrapText="1"/>
    </xf>
    <xf numFmtId="0" fontId="0" fillId="12" borderId="8" xfId="0" applyFill="1" applyBorder="1" applyAlignment="1">
      <alignment vertical="center" wrapText="1"/>
    </xf>
    <xf numFmtId="0" fontId="0" fillId="12" borderId="15" xfId="0" applyFill="1" applyBorder="1" applyAlignment="1">
      <alignment vertical="center" wrapText="1"/>
    </xf>
    <xf numFmtId="0" fontId="0" fillId="12" borderId="29" xfId="0" applyFill="1" applyBorder="1" applyAlignment="1">
      <alignment vertical="center" wrapText="1"/>
    </xf>
    <xf numFmtId="0" fontId="0" fillId="12" borderId="25" xfId="0" applyFill="1" applyBorder="1" applyAlignment="1">
      <alignment vertical="center" wrapText="1"/>
    </xf>
    <xf numFmtId="0" fontId="0" fillId="12" borderId="67" xfId="0" applyFill="1" applyBorder="1" applyAlignment="1">
      <alignment vertical="center" wrapText="1"/>
    </xf>
    <xf numFmtId="0" fontId="0" fillId="13" borderId="27" xfId="0" applyFill="1" applyBorder="1" applyAlignment="1">
      <alignment vertical="center" wrapText="1"/>
    </xf>
    <xf numFmtId="0" fontId="0" fillId="13" borderId="18" xfId="0" applyFill="1" applyBorder="1" applyAlignment="1">
      <alignment vertical="center" wrapText="1"/>
    </xf>
    <xf numFmtId="0" fontId="0" fillId="13" borderId="19" xfId="0" applyFill="1" applyBorder="1" applyAlignment="1">
      <alignment vertical="center" wrapText="1"/>
    </xf>
    <xf numFmtId="0" fontId="0" fillId="13" borderId="8" xfId="0" applyFill="1" applyBorder="1" applyAlignment="1">
      <alignment vertical="center" wrapText="1"/>
    </xf>
    <xf numFmtId="164" fontId="0" fillId="0" borderId="0" xfId="0" applyNumberFormat="1" applyAlignment="1">
      <alignment vertical="center"/>
    </xf>
    <xf numFmtId="164" fontId="21" fillId="0" borderId="0" xfId="0" applyNumberFormat="1" applyFont="1" applyAlignment="1">
      <alignment vertical="center"/>
    </xf>
    <xf numFmtId="0" fontId="21" fillId="0" borderId="0" xfId="0" applyFont="1" applyAlignment="1">
      <alignment vertical="center"/>
    </xf>
    <xf numFmtId="164" fontId="0" fillId="22" borderId="0" xfId="0" applyNumberFormat="1" applyFill="1" applyAlignment="1">
      <alignment vertical="center"/>
    </xf>
    <xf numFmtId="0" fontId="0" fillId="22" borderId="0" xfId="0" applyFill="1" applyAlignment="1">
      <alignment vertical="center"/>
    </xf>
    <xf numFmtId="0" fontId="0" fillId="22" borderId="0" xfId="0" applyFill="1" applyAlignment="1">
      <alignment vertical="center" wrapText="1"/>
    </xf>
    <xf numFmtId="0" fontId="19" fillId="8" borderId="51" xfId="0" applyFont="1" applyFill="1" applyBorder="1" applyAlignment="1" applyProtection="1">
      <alignment horizontal="center" vertical="center" wrapText="1"/>
      <protection locked="0"/>
    </xf>
    <xf numFmtId="0" fontId="19" fillId="8" borderId="52" xfId="0" applyFont="1" applyFill="1" applyBorder="1" applyAlignment="1" applyProtection="1">
      <alignment horizontal="center" vertical="center" wrapText="1"/>
      <protection locked="0"/>
    </xf>
    <xf numFmtId="0" fontId="19" fillId="8" borderId="2" xfId="0" applyFont="1" applyFill="1" applyBorder="1" applyAlignment="1" applyProtection="1">
      <alignment horizontal="center" vertical="center" wrapText="1"/>
      <protection locked="0"/>
    </xf>
    <xf numFmtId="0" fontId="18" fillId="7" borderId="48" xfId="0" applyFont="1" applyFill="1" applyBorder="1" applyAlignment="1" applyProtection="1">
      <alignment horizontal="center" vertical="center" wrapText="1"/>
      <protection locked="0"/>
    </xf>
    <xf numFmtId="0" fontId="18" fillId="7" borderId="0" xfId="0" applyFont="1" applyFill="1" applyAlignment="1" applyProtection="1">
      <alignment horizontal="center" vertical="center" wrapText="1"/>
      <protection locked="0"/>
    </xf>
    <xf numFmtId="0" fontId="18" fillId="7" borderId="33" xfId="0" applyFont="1" applyFill="1" applyBorder="1" applyAlignment="1" applyProtection="1">
      <alignment horizontal="center" vertical="center" wrapText="1"/>
      <protection locked="0"/>
    </xf>
    <xf numFmtId="0" fontId="18" fillId="7" borderId="42" xfId="0" applyFont="1" applyFill="1" applyBorder="1" applyAlignment="1" applyProtection="1">
      <alignment horizontal="center" vertical="center" wrapText="1"/>
      <protection locked="0"/>
    </xf>
    <xf numFmtId="0" fontId="18" fillId="7" borderId="35" xfId="0" applyFont="1" applyFill="1" applyBorder="1" applyAlignment="1" applyProtection="1">
      <alignment horizontal="center" vertical="center" wrapText="1"/>
      <protection locked="0"/>
    </xf>
    <xf numFmtId="0" fontId="18" fillId="7" borderId="36" xfId="0" applyFont="1" applyFill="1" applyBorder="1" applyAlignment="1" applyProtection="1">
      <alignment horizontal="center" vertical="center" wrapText="1"/>
      <protection locked="0"/>
    </xf>
    <xf numFmtId="0" fontId="18" fillId="7" borderId="47" xfId="0" applyFont="1" applyFill="1" applyBorder="1" applyAlignment="1" applyProtection="1">
      <alignment horizontal="center" vertical="center" wrapText="1"/>
      <protection locked="0"/>
    </xf>
    <xf numFmtId="0" fontId="18" fillId="7" borderId="51" xfId="0" applyFont="1" applyFill="1" applyBorder="1" applyAlignment="1" applyProtection="1">
      <alignment horizontal="center" vertical="center" wrapText="1"/>
      <protection locked="0"/>
    </xf>
    <xf numFmtId="0" fontId="18" fillId="7" borderId="52" xfId="0" applyFont="1" applyFill="1" applyBorder="1" applyAlignment="1" applyProtection="1">
      <alignment horizontal="center" vertical="center" wrapText="1"/>
      <protection locked="0"/>
    </xf>
    <xf numFmtId="0" fontId="18" fillId="7" borderId="57" xfId="0" applyFont="1" applyFill="1" applyBorder="1" applyAlignment="1" applyProtection="1">
      <alignment horizontal="center" vertical="center" wrapText="1"/>
      <protection locked="0"/>
    </xf>
    <xf numFmtId="0" fontId="21" fillId="9" borderId="8" xfId="0" applyFont="1" applyFill="1" applyBorder="1" applyAlignment="1" applyProtection="1">
      <alignment horizontal="left" vertical="center" wrapText="1"/>
      <protection locked="0"/>
    </xf>
    <xf numFmtId="0" fontId="21" fillId="9" borderId="9" xfId="0" applyFont="1" applyFill="1" applyBorder="1" applyAlignment="1" applyProtection="1">
      <alignment horizontal="left" vertical="center" wrapText="1"/>
      <protection locked="0"/>
    </xf>
    <xf numFmtId="0" fontId="0" fillId="0" borderId="0" xfId="0" pivotButton="1"/>
    <xf numFmtId="0" fontId="36" fillId="0" borderId="0" xfId="0" applyFont="1" applyAlignment="1">
      <alignment vertical="center"/>
    </xf>
    <xf numFmtId="0" fontId="36" fillId="0" borderId="0" xfId="0" applyFont="1"/>
    <xf numFmtId="166" fontId="0" fillId="13" borderId="18" xfId="0" applyNumberFormat="1" applyFill="1" applyBorder="1" applyAlignment="1">
      <alignment horizontal="center" vertical="center" wrapText="1"/>
    </xf>
    <xf numFmtId="166" fontId="0" fillId="13" borderId="18" xfId="2" applyNumberFormat="1" applyFont="1" applyFill="1" applyBorder="1" applyAlignment="1">
      <alignment horizontal="center" vertical="center" wrapText="1"/>
    </xf>
    <xf numFmtId="0" fontId="21" fillId="9" borderId="60" xfId="0" applyFont="1" applyFill="1" applyBorder="1" applyAlignment="1">
      <alignment horizontal="center" vertical="center"/>
    </xf>
    <xf numFmtId="0" fontId="16" fillId="0" borderId="9" xfId="0" applyFont="1" applyBorder="1" applyAlignment="1">
      <alignment wrapText="1"/>
    </xf>
    <xf numFmtId="0" fontId="0" fillId="0" borderId="9" xfId="0" applyBorder="1" applyAlignment="1">
      <alignment wrapText="1"/>
    </xf>
    <xf numFmtId="0" fontId="21" fillId="24" borderId="9" xfId="0" applyFont="1" applyFill="1" applyBorder="1" applyAlignment="1">
      <alignment wrapText="1"/>
    </xf>
    <xf numFmtId="0" fontId="0" fillId="21" borderId="9" xfId="0" applyFill="1" applyBorder="1" applyAlignment="1">
      <alignment wrapText="1"/>
    </xf>
    <xf numFmtId="0" fontId="2" fillId="10" borderId="17" xfId="0" applyFont="1" applyFill="1" applyBorder="1" applyAlignment="1">
      <alignment vertical="center"/>
    </xf>
    <xf numFmtId="0" fontId="2" fillId="10" borderId="18" xfId="0" applyFont="1" applyFill="1" applyBorder="1" applyAlignment="1">
      <alignment horizontal="center" vertical="center"/>
    </xf>
    <xf numFmtId="0" fontId="2" fillId="10" borderId="9" xfId="0" applyFont="1" applyFill="1" applyBorder="1" applyAlignment="1">
      <alignment horizontal="center" vertical="center"/>
    </xf>
    <xf numFmtId="0" fontId="2" fillId="2" borderId="10" xfId="0" applyFont="1" applyFill="1" applyBorder="1"/>
    <xf numFmtId="0" fontId="2" fillId="8" borderId="18" xfId="0" applyFont="1" applyFill="1" applyBorder="1" applyAlignment="1" applyProtection="1">
      <alignment horizontal="center" vertical="center" wrapText="1"/>
      <protection locked="0"/>
    </xf>
    <xf numFmtId="0" fontId="2" fillId="0" borderId="9" xfId="0" applyFont="1" applyBorder="1" applyAlignment="1" applyProtection="1">
      <alignment vertical="center" wrapText="1"/>
      <protection locked="0"/>
    </xf>
    <xf numFmtId="0" fontId="2" fillId="8" borderId="9" xfId="0" applyFont="1" applyFill="1" applyBorder="1" applyAlignment="1" applyProtection="1">
      <alignment horizontal="center" vertical="center" wrapText="1"/>
      <protection locked="0"/>
    </xf>
    <xf numFmtId="0" fontId="2" fillId="0" borderId="8" xfId="0" applyFont="1" applyBorder="1" applyAlignment="1" applyProtection="1">
      <alignment vertical="center" wrapText="1"/>
      <protection locked="0"/>
    </xf>
    <xf numFmtId="0" fontId="2" fillId="10" borderId="15" xfId="0" applyFont="1" applyFill="1" applyBorder="1" applyAlignment="1">
      <alignment horizontal="left" vertical="center" wrapText="1"/>
    </xf>
    <xf numFmtId="0" fontId="2" fillId="0" borderId="0" xfId="0" applyFont="1"/>
    <xf numFmtId="0" fontId="17" fillId="12" borderId="67" xfId="0" applyFont="1" applyFill="1" applyBorder="1" applyAlignment="1">
      <alignment horizontal="left" vertical="center" wrapText="1"/>
    </xf>
    <xf numFmtId="0" fontId="17" fillId="12" borderId="53" xfId="0" applyFont="1" applyFill="1" applyBorder="1" applyAlignment="1">
      <alignment horizontal="left" vertical="center" wrapText="1"/>
    </xf>
    <xf numFmtId="0" fontId="17" fillId="12" borderId="64" xfId="0" applyFont="1" applyFill="1" applyBorder="1" applyAlignment="1">
      <alignment horizontal="left" vertical="center" wrapText="1"/>
    </xf>
    <xf numFmtId="0" fontId="0" fillId="16" borderId="43" xfId="0" applyFill="1" applyBorder="1" applyAlignment="1">
      <alignment horizontal="left" vertical="center" wrapText="1"/>
    </xf>
    <xf numFmtId="0" fontId="0" fillId="16" borderId="53" xfId="0" applyFill="1" applyBorder="1" applyAlignment="1">
      <alignment horizontal="left" vertical="center" wrapText="1"/>
    </xf>
    <xf numFmtId="0" fontId="0" fillId="16" borderId="64" xfId="0" applyFill="1" applyBorder="1" applyAlignment="1">
      <alignment horizontal="left" vertical="center" wrapText="1"/>
    </xf>
    <xf numFmtId="0" fontId="21" fillId="9" borderId="54" xfId="0" applyFont="1" applyFill="1" applyBorder="1" applyAlignment="1">
      <alignment horizontal="center" vertical="center" wrapText="1"/>
    </xf>
    <xf numFmtId="0" fontId="21" fillId="9" borderId="60" xfId="0" applyFont="1" applyFill="1" applyBorder="1" applyAlignment="1">
      <alignment horizontal="center" vertical="center" wrapText="1"/>
    </xf>
    <xf numFmtId="0" fontId="21" fillId="9" borderId="66" xfId="0" applyFont="1" applyFill="1" applyBorder="1" applyAlignment="1">
      <alignment horizontal="center" vertical="center" wrapText="1"/>
    </xf>
    <xf numFmtId="0" fontId="21" fillId="8" borderId="54" xfId="0" applyFont="1" applyFill="1" applyBorder="1" applyAlignment="1">
      <alignment horizontal="center" vertical="center" wrapText="1"/>
    </xf>
    <xf numFmtId="0" fontId="21" fillId="8" borderId="60" xfId="0" applyFont="1" applyFill="1" applyBorder="1" applyAlignment="1">
      <alignment horizontal="center" vertical="center" wrapText="1"/>
    </xf>
    <xf numFmtId="0" fontId="21" fillId="8" borderId="66" xfId="0" applyFont="1" applyFill="1" applyBorder="1" applyAlignment="1">
      <alignment horizontal="center" vertical="center" wrapText="1"/>
    </xf>
    <xf numFmtId="0" fontId="21" fillId="11" borderId="32" xfId="0" applyFont="1" applyFill="1" applyBorder="1" applyAlignment="1">
      <alignment horizontal="center" vertical="center" wrapText="1"/>
    </xf>
    <xf numFmtId="0" fontId="21" fillId="11" borderId="48" xfId="0" applyFont="1" applyFill="1" applyBorder="1" applyAlignment="1">
      <alignment horizontal="center" vertical="center" wrapText="1"/>
    </xf>
    <xf numFmtId="0" fontId="21" fillId="11" borderId="35" xfId="0" applyFont="1" applyFill="1" applyBorder="1" applyAlignment="1">
      <alignment horizontal="center" vertical="center" wrapText="1"/>
    </xf>
    <xf numFmtId="0" fontId="21" fillId="12" borderId="32" xfId="0" applyFont="1" applyFill="1" applyBorder="1" applyAlignment="1">
      <alignment horizontal="center" vertical="center" wrapText="1"/>
    </xf>
    <xf numFmtId="0" fontId="21" fillId="12" borderId="48" xfId="0" applyFont="1" applyFill="1" applyBorder="1" applyAlignment="1">
      <alignment horizontal="center" vertical="center" wrapText="1"/>
    </xf>
    <xf numFmtId="0" fontId="21" fillId="12" borderId="35" xfId="0" applyFont="1" applyFill="1" applyBorder="1" applyAlignment="1">
      <alignment horizontal="center" vertical="center" wrapText="1"/>
    </xf>
    <xf numFmtId="0" fontId="21" fillId="13" borderId="54" xfId="0" applyFont="1" applyFill="1" applyBorder="1" applyAlignment="1">
      <alignment horizontal="center" vertical="center" wrapText="1"/>
    </xf>
    <xf numFmtId="0" fontId="21" fillId="13" borderId="60" xfId="0" applyFont="1" applyFill="1" applyBorder="1" applyAlignment="1">
      <alignment horizontal="center" vertical="center" wrapText="1"/>
    </xf>
    <xf numFmtId="0" fontId="21" fillId="13" borderId="66" xfId="0" applyFont="1" applyFill="1" applyBorder="1" applyAlignment="1">
      <alignment horizontal="center" vertical="center" wrapText="1"/>
    </xf>
    <xf numFmtId="0" fontId="21" fillId="15" borderId="54" xfId="0" applyFont="1" applyFill="1" applyBorder="1" applyAlignment="1">
      <alignment horizontal="center" vertical="center" wrapText="1"/>
    </xf>
    <xf numFmtId="0" fontId="21" fillId="15" borderId="60" xfId="0" applyFont="1" applyFill="1" applyBorder="1" applyAlignment="1">
      <alignment horizontal="center" vertical="center" wrapText="1"/>
    </xf>
    <xf numFmtId="0" fontId="21" fillId="15" borderId="66" xfId="0" applyFont="1" applyFill="1" applyBorder="1" applyAlignment="1">
      <alignment horizontal="center" vertical="center" wrapText="1"/>
    </xf>
    <xf numFmtId="0" fontId="21" fillId="16" borderId="48" xfId="0" applyFont="1" applyFill="1" applyBorder="1" applyAlignment="1">
      <alignment horizontal="center" vertical="center" wrapText="1"/>
    </xf>
    <xf numFmtId="0" fontId="21" fillId="16" borderId="35" xfId="0" applyFont="1" applyFill="1" applyBorder="1" applyAlignment="1">
      <alignment horizontal="center" vertical="center" wrapText="1"/>
    </xf>
    <xf numFmtId="0" fontId="21" fillId="19" borderId="54" xfId="0" applyFont="1" applyFill="1" applyBorder="1" applyAlignment="1">
      <alignment horizontal="center" vertical="center" wrapText="1"/>
    </xf>
    <xf numFmtId="0" fontId="21" fillId="19" borderId="60" xfId="0" applyFont="1" applyFill="1" applyBorder="1" applyAlignment="1">
      <alignment horizontal="center" vertical="center" wrapText="1"/>
    </xf>
    <xf numFmtId="0" fontId="21" fillId="19" borderId="66" xfId="0" applyFont="1" applyFill="1" applyBorder="1" applyAlignment="1">
      <alignment horizontal="center" vertical="center" wrapText="1"/>
    </xf>
    <xf numFmtId="0" fontId="21" fillId="2" borderId="32" xfId="0" applyFont="1" applyFill="1" applyBorder="1" applyAlignment="1">
      <alignment horizontal="center" vertical="center" wrapText="1"/>
    </xf>
    <xf numFmtId="0" fontId="21" fillId="2" borderId="48" xfId="0" applyFont="1" applyFill="1" applyBorder="1" applyAlignment="1">
      <alignment horizontal="center" vertical="center" wrapText="1"/>
    </xf>
    <xf numFmtId="0" fontId="21" fillId="2" borderId="35" xfId="0" applyFont="1" applyFill="1" applyBorder="1" applyAlignment="1">
      <alignment horizontal="center" vertical="center" wrapText="1"/>
    </xf>
    <xf numFmtId="0" fontId="21" fillId="11" borderId="54" xfId="0" applyFont="1" applyFill="1" applyBorder="1" applyAlignment="1">
      <alignment horizontal="center" vertical="center" wrapText="1"/>
    </xf>
    <xf numFmtId="0" fontId="21" fillId="11" borderId="66" xfId="0" applyFont="1" applyFill="1" applyBorder="1" applyAlignment="1">
      <alignment horizontal="center" vertical="center" wrapText="1"/>
    </xf>
    <xf numFmtId="0" fontId="21" fillId="12" borderId="54" xfId="0" applyFont="1" applyFill="1" applyBorder="1" applyAlignment="1">
      <alignment horizontal="center" vertical="center" wrapText="1"/>
    </xf>
    <xf numFmtId="0" fontId="21" fillId="12" borderId="60" xfId="0" applyFont="1" applyFill="1" applyBorder="1" applyAlignment="1">
      <alignment horizontal="center" vertical="center" wrapText="1"/>
    </xf>
    <xf numFmtId="0" fontId="21" fillId="12" borderId="66" xfId="0" applyFont="1" applyFill="1" applyBorder="1" applyAlignment="1">
      <alignment horizontal="center" vertical="center" wrapText="1"/>
    </xf>
    <xf numFmtId="0" fontId="21" fillId="13" borderId="55" xfId="0" applyFont="1" applyFill="1" applyBorder="1" applyAlignment="1">
      <alignment horizontal="center" vertical="center" wrapText="1"/>
    </xf>
    <xf numFmtId="0" fontId="21" fillId="13" borderId="7" xfId="0" applyFont="1" applyFill="1" applyBorder="1" applyAlignment="1">
      <alignment horizontal="center" vertical="center" wrapText="1"/>
    </xf>
    <xf numFmtId="0" fontId="21" fillId="13" borderId="10" xfId="0" applyFont="1" applyFill="1" applyBorder="1" applyAlignment="1">
      <alignment horizontal="center" vertical="center" wrapText="1"/>
    </xf>
    <xf numFmtId="0" fontId="0" fillId="0" borderId="56" xfId="0" applyBorder="1" applyAlignment="1">
      <alignment horizontal="left" vertical="center" wrapText="1"/>
    </xf>
    <xf numFmtId="0" fontId="0" fillId="0" borderId="65" xfId="0" applyBorder="1" applyAlignment="1">
      <alignment horizontal="left" vertical="center" wrapText="1"/>
    </xf>
    <xf numFmtId="0" fontId="0" fillId="0" borderId="8" xfId="0" applyBorder="1" applyAlignment="1">
      <alignment horizontal="left" vertical="center" wrapText="1"/>
    </xf>
    <xf numFmtId="0" fontId="0" fillId="0" borderId="22" xfId="0" applyBorder="1" applyAlignment="1">
      <alignment horizontal="left" vertical="center" wrapText="1"/>
    </xf>
    <xf numFmtId="0" fontId="0" fillId="0" borderId="12" xfId="0" applyBorder="1" applyAlignment="1">
      <alignment horizontal="left" vertical="center" wrapText="1"/>
    </xf>
    <xf numFmtId="0" fontId="21" fillId="9" borderId="2" xfId="0" applyFont="1" applyFill="1" applyBorder="1" applyAlignment="1">
      <alignment vertical="center" wrapText="1"/>
    </xf>
    <xf numFmtId="0" fontId="21" fillId="9" borderId="3" xfId="0" applyFont="1" applyFill="1" applyBorder="1" applyAlignment="1">
      <alignment vertical="center" wrapText="1"/>
    </xf>
    <xf numFmtId="0" fontId="0" fillId="0" borderId="17" xfId="0" applyBorder="1" applyAlignment="1">
      <alignment vertical="center" wrapText="1"/>
    </xf>
    <xf numFmtId="0" fontId="0" fillId="0" borderId="18" xfId="0" applyBorder="1" applyAlignment="1">
      <alignment vertical="center" wrapText="1"/>
    </xf>
    <xf numFmtId="0" fontId="0" fillId="0" borderId="56" xfId="0" applyBorder="1" applyAlignment="1">
      <alignment horizontal="left" vertical="center"/>
    </xf>
    <xf numFmtId="0" fontId="0" fillId="0" borderId="65" xfId="0" applyBorder="1" applyAlignment="1">
      <alignment horizontal="left" vertical="center"/>
    </xf>
    <xf numFmtId="0" fontId="0" fillId="0" borderId="8" xfId="0" applyBorder="1" applyAlignment="1">
      <alignment horizontal="left" vertical="center"/>
    </xf>
    <xf numFmtId="0" fontId="25" fillId="12" borderId="51" xfId="0" applyFont="1" applyFill="1" applyBorder="1" applyAlignment="1" applyProtection="1">
      <alignment horizontal="center" vertical="center"/>
      <protection locked="0"/>
    </xf>
    <xf numFmtId="0" fontId="25" fillId="12" borderId="52" xfId="0" applyFont="1" applyFill="1" applyBorder="1" applyAlignment="1" applyProtection="1">
      <alignment horizontal="center" vertical="center"/>
      <protection locked="0"/>
    </xf>
    <xf numFmtId="0" fontId="25" fillId="12" borderId="57" xfId="0" applyFont="1" applyFill="1" applyBorder="1" applyAlignment="1" applyProtection="1">
      <alignment horizontal="center" vertical="center"/>
      <protection locked="0"/>
    </xf>
    <xf numFmtId="0" fontId="25" fillId="13" borderId="51" xfId="0" applyFont="1" applyFill="1" applyBorder="1" applyAlignment="1" applyProtection="1">
      <alignment horizontal="center" vertical="center"/>
      <protection locked="0"/>
    </xf>
    <xf numFmtId="0" fontId="25" fillId="13" borderId="52" xfId="0" applyFont="1" applyFill="1" applyBorder="1" applyAlignment="1" applyProtection="1">
      <alignment horizontal="center" vertical="center"/>
      <protection locked="0"/>
    </xf>
    <xf numFmtId="0" fontId="25" fillId="13" borderId="57" xfId="0" applyFont="1" applyFill="1" applyBorder="1" applyAlignment="1" applyProtection="1">
      <alignment horizontal="center" vertical="center"/>
      <protection locked="0"/>
    </xf>
    <xf numFmtId="9" fontId="25" fillId="11" borderId="51" xfId="0" applyNumberFormat="1" applyFont="1" applyFill="1" applyBorder="1" applyAlignment="1" applyProtection="1">
      <alignment horizontal="center" vertical="center"/>
      <protection locked="0"/>
    </xf>
    <xf numFmtId="9" fontId="25" fillId="11" borderId="52" xfId="0" applyNumberFormat="1" applyFont="1" applyFill="1" applyBorder="1" applyAlignment="1" applyProtection="1">
      <alignment horizontal="center" vertical="center"/>
      <protection locked="0"/>
    </xf>
    <xf numFmtId="9" fontId="25" fillId="11" borderId="57" xfId="0" applyNumberFormat="1" applyFont="1" applyFill="1" applyBorder="1" applyAlignment="1" applyProtection="1">
      <alignment horizontal="center" vertical="center"/>
      <protection locked="0"/>
    </xf>
    <xf numFmtId="0" fontId="25" fillId="8" borderId="51" xfId="3" applyFont="1" applyFill="1" applyBorder="1" applyAlignment="1" applyProtection="1">
      <alignment horizontal="center" vertical="center" wrapText="1"/>
      <protection locked="0"/>
    </xf>
    <xf numFmtId="0" fontId="25" fillId="8" borderId="52" xfId="3" applyFont="1" applyFill="1" applyBorder="1" applyAlignment="1" applyProtection="1">
      <alignment horizontal="center" vertical="center" wrapText="1"/>
      <protection locked="0"/>
    </xf>
    <xf numFmtId="0" fontId="25" fillId="8" borderId="57" xfId="3" applyFont="1" applyFill="1" applyBorder="1" applyAlignment="1" applyProtection="1">
      <alignment horizontal="center" vertical="center" wrapText="1"/>
      <protection locked="0"/>
    </xf>
    <xf numFmtId="0" fontId="20" fillId="15" borderId="33" xfId="0" applyFont="1" applyFill="1" applyBorder="1" applyAlignment="1">
      <alignment horizontal="center" vertical="center"/>
    </xf>
    <xf numFmtId="1" fontId="20" fillId="16" borderId="38" xfId="0" applyNumberFormat="1" applyFont="1" applyFill="1" applyBorder="1" applyAlignment="1">
      <alignment horizontal="center" vertical="center"/>
    </xf>
    <xf numFmtId="1" fontId="20" fillId="16" borderId="39" xfId="0" applyNumberFormat="1" applyFont="1" applyFill="1" applyBorder="1" applyAlignment="1">
      <alignment horizontal="center" vertical="center"/>
    </xf>
    <xf numFmtId="1" fontId="20" fillId="16" borderId="43" xfId="0" applyNumberFormat="1" applyFont="1" applyFill="1" applyBorder="1" applyAlignment="1">
      <alignment horizontal="center" vertical="center"/>
    </xf>
    <xf numFmtId="0" fontId="20" fillId="19" borderId="34" xfId="0" applyFont="1" applyFill="1" applyBorder="1" applyAlignment="1">
      <alignment horizontal="center" vertical="center"/>
    </xf>
    <xf numFmtId="0" fontId="20" fillId="19" borderId="39" xfId="0" applyFont="1" applyFill="1" applyBorder="1" applyAlignment="1">
      <alignment horizontal="center" vertical="center"/>
    </xf>
    <xf numFmtId="0" fontId="20" fillId="19" borderId="43" xfId="0" applyFont="1" applyFill="1" applyBorder="1" applyAlignment="1">
      <alignment horizontal="center" vertical="center"/>
    </xf>
    <xf numFmtId="0" fontId="25" fillId="7" borderId="51" xfId="0" applyFont="1" applyFill="1" applyBorder="1" applyAlignment="1">
      <alignment horizontal="center" vertical="center" wrapText="1"/>
    </xf>
    <xf numFmtId="0" fontId="25" fillId="7" borderId="52" xfId="0" applyFont="1" applyFill="1" applyBorder="1" applyAlignment="1">
      <alignment horizontal="center" vertical="center"/>
    </xf>
    <xf numFmtId="0" fontId="25" fillId="7" borderId="57" xfId="0" applyFont="1" applyFill="1" applyBorder="1" applyAlignment="1">
      <alignment horizontal="center" vertical="center"/>
    </xf>
    <xf numFmtId="0" fontId="0" fillId="10" borderId="51" xfId="0" applyFill="1" applyBorder="1" applyAlignment="1">
      <alignment horizontal="center" vertical="center"/>
    </xf>
    <xf numFmtId="0" fontId="0" fillId="10" borderId="57" xfId="0" applyFill="1" applyBorder="1" applyAlignment="1">
      <alignment horizontal="center" vertical="center"/>
    </xf>
    <xf numFmtId="0" fontId="21" fillId="9" borderId="60" xfId="0" applyFont="1" applyFill="1" applyBorder="1" applyAlignment="1">
      <alignment horizontal="center" vertical="center"/>
    </xf>
    <xf numFmtId="0" fontId="21" fillId="9" borderId="66" xfId="0" applyFont="1" applyFill="1" applyBorder="1" applyAlignment="1">
      <alignment horizontal="center" vertical="center"/>
    </xf>
    <xf numFmtId="0" fontId="18" fillId="7" borderId="51" xfId="0" applyFont="1" applyFill="1" applyBorder="1" applyAlignment="1">
      <alignment horizontal="center" wrapText="1"/>
    </xf>
    <xf numFmtId="0" fontId="23" fillId="7" borderId="52" xfId="0" applyFont="1" applyFill="1" applyBorder="1" applyAlignment="1">
      <alignment horizontal="center" wrapText="1"/>
    </xf>
    <xf numFmtId="0" fontId="23" fillId="7" borderId="57" xfId="0" applyFont="1" applyFill="1" applyBorder="1" applyAlignment="1">
      <alignment horizontal="center" wrapText="1"/>
    </xf>
    <xf numFmtId="0" fontId="7" fillId="4" borderId="17" xfId="0" applyFont="1" applyFill="1" applyBorder="1" applyAlignment="1">
      <alignment horizontal="center" vertical="center" wrapText="1"/>
    </xf>
    <xf numFmtId="0" fontId="7" fillId="4" borderId="20" xfId="0" applyFont="1" applyFill="1" applyBorder="1" applyAlignment="1">
      <alignment horizontal="center" vertical="center"/>
    </xf>
    <xf numFmtId="0" fontId="7" fillId="4" borderId="24" xfId="0" applyFont="1" applyFill="1" applyBorder="1" applyAlignment="1">
      <alignment horizontal="center" vertical="center"/>
    </xf>
    <xf numFmtId="0" fontId="11" fillId="0" borderId="25" xfId="0" applyFont="1" applyBorder="1" applyAlignment="1">
      <alignment horizontal="center" vertical="center" wrapText="1"/>
    </xf>
    <xf numFmtId="0" fontId="11" fillId="0" borderId="21" xfId="0" applyFont="1" applyBorder="1" applyAlignment="1">
      <alignment horizontal="center" vertical="center"/>
    </xf>
    <xf numFmtId="0" fontId="19" fillId="13" borderId="43" xfId="0" applyFont="1" applyFill="1" applyBorder="1" applyAlignment="1" applyProtection="1">
      <alignment horizontal="center" vertical="center" wrapText="1"/>
      <protection locked="0"/>
    </xf>
    <xf numFmtId="0" fontId="19" fillId="13" borderId="64" xfId="0" applyFont="1" applyFill="1" applyBorder="1" applyAlignment="1" applyProtection="1">
      <alignment horizontal="center" vertical="center" wrapText="1"/>
      <protection locked="0"/>
    </xf>
    <xf numFmtId="0" fontId="19" fillId="8" borderId="32" xfId="0" applyFont="1" applyFill="1" applyBorder="1" applyAlignment="1">
      <alignment horizontal="center" vertical="center" wrapText="1"/>
    </xf>
    <xf numFmtId="0" fontId="19" fillId="8" borderId="33" xfId="0" applyFont="1" applyFill="1" applyBorder="1" applyAlignment="1">
      <alignment horizontal="center" vertical="center" wrapText="1"/>
    </xf>
    <xf numFmtId="0" fontId="19" fillId="8" borderId="34" xfId="0" applyFont="1" applyFill="1" applyBorder="1" applyAlignment="1">
      <alignment horizontal="center" vertical="center" wrapText="1"/>
    </xf>
    <xf numFmtId="0" fontId="19" fillId="8" borderId="35" xfId="0" applyFont="1" applyFill="1" applyBorder="1" applyAlignment="1">
      <alignment horizontal="center" vertical="center" wrapText="1"/>
    </xf>
    <xf numFmtId="0" fontId="19" fillId="8" borderId="36" xfId="0" applyFont="1" applyFill="1" applyBorder="1" applyAlignment="1">
      <alignment horizontal="center" vertical="center" wrapText="1"/>
    </xf>
    <xf numFmtId="0" fontId="19" fillId="8" borderId="37" xfId="0" applyFont="1" applyFill="1" applyBorder="1" applyAlignment="1">
      <alignment horizontal="center" vertical="center" wrapText="1"/>
    </xf>
    <xf numFmtId="0" fontId="18" fillId="7" borderId="32" xfId="0" applyFont="1" applyFill="1" applyBorder="1" applyAlignment="1" applyProtection="1">
      <alignment horizontal="center" vertical="center" wrapText="1"/>
      <protection locked="0"/>
    </xf>
    <xf numFmtId="0" fontId="18" fillId="7" borderId="33" xfId="0" applyFont="1" applyFill="1" applyBorder="1" applyAlignment="1" applyProtection="1">
      <alignment horizontal="center" vertical="center" wrapText="1"/>
      <protection locked="0"/>
    </xf>
    <xf numFmtId="0" fontId="18" fillId="7" borderId="42" xfId="0" applyFont="1" applyFill="1" applyBorder="1" applyAlignment="1" applyProtection="1">
      <alignment horizontal="center" vertical="center" wrapText="1"/>
      <protection locked="0"/>
    </xf>
    <xf numFmtId="0" fontId="18" fillId="7" borderId="35" xfId="0" applyFont="1" applyFill="1" applyBorder="1" applyAlignment="1" applyProtection="1">
      <alignment horizontal="center" vertical="center" wrapText="1"/>
      <protection locked="0"/>
    </xf>
    <xf numFmtId="0" fontId="18" fillId="7" borderId="36" xfId="0" applyFont="1" applyFill="1" applyBorder="1" applyAlignment="1" applyProtection="1">
      <alignment horizontal="center" vertical="center" wrapText="1"/>
      <protection locked="0"/>
    </xf>
    <xf numFmtId="0" fontId="18" fillId="7" borderId="47" xfId="0" applyFont="1" applyFill="1" applyBorder="1" applyAlignment="1" applyProtection="1">
      <alignment horizontal="center" vertical="center" wrapText="1"/>
      <protection locked="0"/>
    </xf>
    <xf numFmtId="166" fontId="19" fillId="13" borderId="39" xfId="2" applyNumberFormat="1" applyFont="1" applyFill="1" applyBorder="1" applyAlignment="1">
      <alignment horizontal="center" vertical="center" wrapText="1"/>
    </xf>
    <xf numFmtId="166" fontId="19" fillId="13" borderId="63" xfId="2" applyNumberFormat="1" applyFont="1" applyFill="1" applyBorder="1" applyAlignment="1">
      <alignment horizontal="center" vertical="center" wrapText="1"/>
    </xf>
    <xf numFmtId="166" fontId="19" fillId="13" borderId="18" xfId="2" applyNumberFormat="1" applyFont="1" applyFill="1" applyBorder="1" applyAlignment="1">
      <alignment horizontal="center" vertical="center" wrapText="1"/>
    </xf>
    <xf numFmtId="166" fontId="19" fillId="13" borderId="12" xfId="2" applyNumberFormat="1" applyFont="1" applyFill="1" applyBorder="1" applyAlignment="1">
      <alignment horizontal="center" vertical="center" wrapText="1"/>
    </xf>
    <xf numFmtId="166" fontId="19" fillId="12" borderId="43" xfId="2" applyNumberFormat="1" applyFont="1" applyFill="1" applyBorder="1" applyAlignment="1">
      <alignment horizontal="center" vertical="center" wrapText="1"/>
    </xf>
    <xf numFmtId="166" fontId="19" fillId="12" borderId="64" xfId="2" applyNumberFormat="1" applyFont="1" applyFill="1" applyBorder="1" applyAlignment="1">
      <alignment horizontal="center" vertical="center" wrapText="1"/>
    </xf>
    <xf numFmtId="1" fontId="19" fillId="13" borderId="17" xfId="0" applyNumberFormat="1" applyFont="1" applyFill="1" applyBorder="1" applyAlignment="1">
      <alignment horizontal="center" vertical="center" wrapText="1"/>
    </xf>
    <xf numFmtId="1" fontId="19" fillId="13" borderId="22" xfId="0" applyNumberFormat="1" applyFont="1" applyFill="1" applyBorder="1" applyAlignment="1">
      <alignment horizontal="center" vertical="center" wrapText="1"/>
    </xf>
    <xf numFmtId="1" fontId="19" fillId="13" borderId="38" xfId="0" applyNumberFormat="1" applyFont="1" applyFill="1" applyBorder="1" applyAlignment="1">
      <alignment horizontal="center" vertical="center" wrapText="1"/>
    </xf>
    <xf numFmtId="1" fontId="19" fillId="13" borderId="62" xfId="0" applyNumberFormat="1" applyFont="1" applyFill="1" applyBorder="1" applyAlignment="1">
      <alignment horizontal="center" vertical="center" wrapText="1"/>
    </xf>
    <xf numFmtId="0" fontId="19" fillId="13" borderId="18" xfId="0" applyFont="1" applyFill="1" applyBorder="1" applyAlignment="1">
      <alignment horizontal="center" vertical="center" wrapText="1"/>
    </xf>
    <xf numFmtId="0" fontId="19" fillId="13" borderId="12" xfId="0" applyFont="1" applyFill="1" applyBorder="1" applyAlignment="1">
      <alignment horizontal="center" vertical="center" wrapText="1"/>
    </xf>
    <xf numFmtId="0" fontId="19" fillId="13" borderId="39" xfId="0" applyFont="1" applyFill="1" applyBorder="1" applyAlignment="1">
      <alignment horizontal="center" vertical="center" wrapText="1"/>
    </xf>
    <xf numFmtId="0" fontId="19" fillId="13" borderId="63" xfId="0" applyFont="1" applyFill="1" applyBorder="1" applyAlignment="1">
      <alignment horizontal="center" vertical="center" wrapText="1"/>
    </xf>
    <xf numFmtId="166" fontId="19" fillId="11" borderId="43" xfId="2" applyNumberFormat="1" applyFont="1" applyFill="1" applyBorder="1" applyAlignment="1">
      <alignment horizontal="center" vertical="center" wrapText="1"/>
    </xf>
    <xf numFmtId="166" fontId="19" fillId="11" borderId="64" xfId="2" applyNumberFormat="1" applyFont="1" applyFill="1" applyBorder="1" applyAlignment="1">
      <alignment horizontal="center" vertical="center" wrapText="1"/>
    </xf>
    <xf numFmtId="1" fontId="19" fillId="12" borderId="27" xfId="0" applyNumberFormat="1" applyFont="1" applyFill="1" applyBorder="1" applyAlignment="1">
      <alignment horizontal="center" vertical="center" wrapText="1"/>
    </xf>
    <xf numFmtId="1" fontId="19" fillId="12" borderId="11" xfId="0" applyNumberFormat="1" applyFont="1" applyFill="1" applyBorder="1" applyAlignment="1">
      <alignment horizontal="center" vertical="center" wrapText="1"/>
    </xf>
    <xf numFmtId="1" fontId="19" fillId="12" borderId="38" xfId="0" applyNumberFormat="1" applyFont="1" applyFill="1" applyBorder="1" applyAlignment="1">
      <alignment horizontal="center" vertical="center" wrapText="1"/>
    </xf>
    <xf numFmtId="1" fontId="19" fillId="12" borderId="62" xfId="0" applyNumberFormat="1" applyFont="1" applyFill="1" applyBorder="1" applyAlignment="1">
      <alignment horizontal="center" vertical="center" wrapText="1"/>
    </xf>
    <xf numFmtId="1" fontId="19" fillId="12" borderId="18" xfId="0" applyNumberFormat="1" applyFont="1" applyFill="1" applyBorder="1" applyAlignment="1">
      <alignment horizontal="center" vertical="center" wrapText="1"/>
    </xf>
    <xf numFmtId="1" fontId="19" fillId="12" borderId="12" xfId="0" applyNumberFormat="1" applyFont="1" applyFill="1" applyBorder="1" applyAlignment="1">
      <alignment horizontal="center" vertical="center" wrapText="1"/>
    </xf>
    <xf numFmtId="1" fontId="19" fillId="12" borderId="39" xfId="0" applyNumberFormat="1" applyFont="1" applyFill="1" applyBorder="1" applyAlignment="1">
      <alignment horizontal="center" vertical="center" wrapText="1"/>
    </xf>
    <xf numFmtId="1" fontId="19" fillId="12" borderId="63" xfId="0" applyNumberFormat="1" applyFont="1" applyFill="1" applyBorder="1" applyAlignment="1">
      <alignment horizontal="center" vertical="center" wrapText="1"/>
    </xf>
    <xf numFmtId="0" fontId="19" fillId="8" borderId="39" xfId="0" applyFont="1" applyFill="1" applyBorder="1" applyAlignment="1">
      <alignment horizontal="center" vertical="center" wrapText="1"/>
    </xf>
    <xf numFmtId="0" fontId="19" fillId="8" borderId="63" xfId="0" applyFont="1" applyFill="1" applyBorder="1" applyAlignment="1">
      <alignment horizontal="center" vertical="center" wrapText="1"/>
    </xf>
    <xf numFmtId="0" fontId="19" fillId="8" borderId="40" xfId="0" applyFont="1" applyFill="1" applyBorder="1" applyAlignment="1">
      <alignment horizontal="center" vertical="center" wrapText="1"/>
    </xf>
    <xf numFmtId="0" fontId="19" fillId="8" borderId="41" xfId="0" applyFont="1" applyFill="1" applyBorder="1" applyAlignment="1">
      <alignment horizontal="center" vertical="center" wrapText="1"/>
    </xf>
    <xf numFmtId="0" fontId="19" fillId="8" borderId="43" xfId="0" applyFont="1" applyFill="1" applyBorder="1" applyAlignment="1">
      <alignment horizontal="center" vertical="center" wrapText="1"/>
    </xf>
    <xf numFmtId="0" fontId="19" fillId="8" borderId="64" xfId="0" applyFont="1" applyFill="1" applyBorder="1" applyAlignment="1">
      <alignment horizontal="center" vertical="center" wrapText="1"/>
    </xf>
    <xf numFmtId="166" fontId="19" fillId="11" borderId="17" xfId="2" applyNumberFormat="1" applyFont="1" applyFill="1" applyBorder="1" applyAlignment="1">
      <alignment horizontal="center" vertical="center" wrapText="1"/>
    </xf>
    <xf numFmtId="166" fontId="19" fillId="11" borderId="22" xfId="2" applyNumberFormat="1" applyFont="1" applyFill="1" applyBorder="1" applyAlignment="1">
      <alignment horizontal="center" vertical="center" wrapText="1"/>
    </xf>
    <xf numFmtId="166" fontId="19" fillId="11" borderId="38" xfId="2" applyNumberFormat="1" applyFont="1" applyFill="1" applyBorder="1" applyAlignment="1">
      <alignment horizontal="center" vertical="center" wrapText="1"/>
    </xf>
    <xf numFmtId="166" fontId="19" fillId="11" borderId="62" xfId="2" applyNumberFormat="1" applyFont="1" applyFill="1" applyBorder="1" applyAlignment="1">
      <alignment horizontal="center" vertical="center" wrapText="1"/>
    </xf>
    <xf numFmtId="0" fontId="15" fillId="0" borderId="69" xfId="0" applyFont="1" applyBorder="1" applyAlignment="1" applyProtection="1">
      <alignment horizontal="center" vertical="top" wrapText="1"/>
      <protection locked="0"/>
    </xf>
    <xf numFmtId="0" fontId="15" fillId="0" borderId="70" xfId="0" applyFont="1" applyBorder="1" applyAlignment="1" applyProtection="1">
      <alignment horizontal="center" vertical="top" wrapText="1"/>
      <protection locked="0"/>
    </xf>
    <xf numFmtId="0" fontId="15" fillId="0" borderId="29" xfId="0" applyFont="1" applyBorder="1" applyAlignment="1" applyProtection="1">
      <alignment horizontal="center" vertical="top" wrapText="1"/>
      <protection locked="0"/>
    </xf>
    <xf numFmtId="0" fontId="15" fillId="0" borderId="71" xfId="0" applyFont="1" applyBorder="1" applyAlignment="1" applyProtection="1">
      <alignment horizontal="center" vertical="top" wrapText="1"/>
      <protection locked="0"/>
    </xf>
    <xf numFmtId="0" fontId="15" fillId="0" borderId="72" xfId="0" applyFont="1" applyBorder="1" applyAlignment="1" applyProtection="1">
      <alignment horizontal="center" vertical="top" wrapText="1"/>
      <protection locked="0"/>
    </xf>
    <xf numFmtId="0" fontId="15" fillId="0" borderId="5" xfId="0" applyFont="1" applyBorder="1" applyAlignment="1" applyProtection="1">
      <alignment horizontal="center" vertical="top" wrapText="1"/>
      <protection locked="0"/>
    </xf>
    <xf numFmtId="0" fontId="18" fillId="8" borderId="32" xfId="0" applyFont="1" applyFill="1" applyBorder="1" applyAlignment="1" applyProtection="1">
      <alignment horizontal="center" vertical="center" wrapText="1"/>
      <protection locked="0"/>
    </xf>
    <xf numFmtId="0" fontId="18" fillId="8" borderId="33" xfId="0" applyFont="1" applyFill="1" applyBorder="1" applyAlignment="1" applyProtection="1">
      <alignment horizontal="center" vertical="center" wrapText="1"/>
      <protection locked="0"/>
    </xf>
    <xf numFmtId="0" fontId="18" fillId="8" borderId="42" xfId="0" applyFont="1" applyFill="1" applyBorder="1" applyAlignment="1" applyProtection="1">
      <alignment horizontal="center" vertical="center" wrapText="1"/>
      <protection locked="0"/>
    </xf>
    <xf numFmtId="0" fontId="18" fillId="11" borderId="38" xfId="0" applyFont="1" applyFill="1" applyBorder="1" applyAlignment="1" applyProtection="1">
      <alignment horizontal="center" vertical="center" wrapText="1"/>
      <protection locked="0"/>
    </xf>
    <xf numFmtId="0" fontId="18" fillId="11" borderId="43" xfId="0" applyFont="1" applyFill="1" applyBorder="1" applyAlignment="1" applyProtection="1">
      <alignment horizontal="center" vertical="center" wrapText="1"/>
      <protection locked="0"/>
    </xf>
    <xf numFmtId="0" fontId="18" fillId="12" borderId="32" xfId="0" applyFont="1" applyFill="1" applyBorder="1" applyAlignment="1" applyProtection="1">
      <alignment horizontal="center" vertical="center" wrapText="1"/>
      <protection locked="0"/>
    </xf>
    <xf numFmtId="0" fontId="18" fillId="12" borderId="33" xfId="0" applyFont="1" applyFill="1" applyBorder="1" applyAlignment="1" applyProtection="1">
      <alignment horizontal="center" vertical="center" wrapText="1"/>
      <protection locked="0"/>
    </xf>
    <xf numFmtId="0" fontId="18" fillId="12" borderId="42" xfId="0" applyFont="1" applyFill="1" applyBorder="1" applyAlignment="1" applyProtection="1">
      <alignment horizontal="center" vertical="center" wrapText="1"/>
      <protection locked="0"/>
    </xf>
    <xf numFmtId="0" fontId="18" fillId="13" borderId="32" xfId="0" applyFont="1" applyFill="1" applyBorder="1" applyAlignment="1" applyProtection="1">
      <alignment horizontal="center" vertical="center" wrapText="1"/>
      <protection locked="0"/>
    </xf>
    <xf numFmtId="0" fontId="18" fillId="13" borderId="33" xfId="0" applyFont="1" applyFill="1" applyBorder="1" applyAlignment="1" applyProtection="1">
      <alignment horizontal="center" vertical="center" wrapText="1"/>
      <protection locked="0"/>
    </xf>
    <xf numFmtId="0" fontId="18" fillId="13" borderId="42" xfId="0" applyFont="1" applyFill="1" applyBorder="1" applyAlignment="1" applyProtection="1">
      <alignment horizontal="center" vertical="center" wrapText="1"/>
      <protection locked="0"/>
    </xf>
    <xf numFmtId="0" fontId="19" fillId="8" borderId="18" xfId="0" applyFont="1" applyFill="1" applyBorder="1" applyAlignment="1">
      <alignment horizontal="center" vertical="center" wrapText="1"/>
    </xf>
    <xf numFmtId="0" fontId="19" fillId="8" borderId="12" xfId="0" applyFont="1" applyFill="1" applyBorder="1" applyAlignment="1">
      <alignment horizontal="center" vertical="center" wrapText="1"/>
    </xf>
    <xf numFmtId="166" fontId="19" fillId="11" borderId="19" xfId="2" applyNumberFormat="1" applyFont="1" applyFill="1" applyBorder="1" applyAlignment="1">
      <alignment horizontal="center" vertical="center" wrapText="1"/>
    </xf>
    <xf numFmtId="166" fontId="19" fillId="11" borderId="16" xfId="2" applyNumberFormat="1" applyFont="1" applyFill="1" applyBorder="1" applyAlignment="1">
      <alignment horizontal="center" vertical="center" wrapText="1"/>
    </xf>
    <xf numFmtId="166" fontId="19" fillId="12" borderId="40" xfId="2" applyNumberFormat="1" applyFont="1" applyFill="1" applyBorder="1" applyAlignment="1">
      <alignment horizontal="center" vertical="center" wrapText="1"/>
    </xf>
    <xf numFmtId="166" fontId="19" fillId="12" borderId="41" xfId="2" applyNumberFormat="1" applyFont="1" applyFill="1" applyBorder="1" applyAlignment="1">
      <alignment horizontal="center" vertical="center" wrapText="1"/>
    </xf>
    <xf numFmtId="0" fontId="19" fillId="13" borderId="19" xfId="0" applyFont="1" applyFill="1" applyBorder="1" applyAlignment="1" applyProtection="1">
      <alignment horizontal="center" vertical="center" wrapText="1"/>
      <protection locked="0"/>
    </xf>
    <xf numFmtId="0" fontId="19" fillId="13" borderId="16" xfId="0" applyFont="1" applyFill="1" applyBorder="1" applyAlignment="1" applyProtection="1">
      <alignment horizontal="center" vertical="center" wrapText="1"/>
      <protection locked="0"/>
    </xf>
    <xf numFmtId="0" fontId="38" fillId="0" borderId="9" xfId="0" applyFont="1" applyBorder="1" applyAlignment="1">
      <alignment horizontal="center" vertical="top"/>
    </xf>
  </cellXfs>
  <cellStyles count="8">
    <cellStyle name="Calculation" xfId="3" builtinId="22"/>
    <cellStyle name="Comma" xfId="1" builtinId="3"/>
    <cellStyle name="Comma 2" xfId="6" xr:uid="{7566573B-7960-4A35-B93E-449775D754B7}"/>
    <cellStyle name="Normal" xfId="0" builtinId="0"/>
    <cellStyle name="Normal 2" xfId="5" xr:uid="{3FB096AF-9520-4E4B-99A3-81BF6C9BE3B5}"/>
    <cellStyle name="Normal 5" xfId="4" xr:uid="{00000000-0005-0000-0000-000031000000}"/>
    <cellStyle name="Percent" xfId="2" builtinId="5"/>
    <cellStyle name="Percent 2" xfId="7" xr:uid="{114BF302-6E95-44DB-BA80-E8A5D2B6061B}"/>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9" defaultPivotStyle="PivotStyleLight16"/>
  <colors>
    <mruColors>
      <color rgb="FFFA64FA"/>
      <color rgb="FFFF96EB"/>
      <color rgb="FFFF7DD7"/>
      <color rgb="FFFFB9EB"/>
      <color rgb="FFFF66CC"/>
      <color rgb="FFFF66FF"/>
      <color rgb="FFFF99FF"/>
      <color rgb="FFFB8FFB"/>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AA12-4935-A9AC-7CA3E52BDF93}"/>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2-AA12-4935-A9AC-7CA3E52BDF93}"/>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3-AA12-4935-A9AC-7CA3E52BDF93}"/>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zh-CN"/>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202"/>
          <c:y val="1.8912529550827398E-2"/>
        </c:manualLayout>
      </c:layout>
      <c:overlay val="0"/>
      <c:spPr>
        <a:noFill/>
        <a:ln>
          <a:solidFill>
            <a:schemeClr val="bg1">
              <a:lumMod val="95000"/>
            </a:schemeClr>
          </a:solidFill>
        </a:ln>
        <a:effectLst/>
      </c:spPr>
      <c:txPr>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0.75</c:v>
                </c:pt>
                <c:pt idx="13">
                  <c:v>0.8</c:v>
                </c:pt>
                <c:pt idx="14">
                  <c:v>0.85</c:v>
                </c:pt>
                <c:pt idx="15">
                  <c:v>0.95</c:v>
                </c:pt>
                <c:pt idx="16">
                  <c:v>1</c:v>
                </c:pt>
              </c:numCache>
            </c:numRef>
          </c:val>
          <c:smooth val="0"/>
          <c:extLst>
            <c:ext xmlns:c16="http://schemas.microsoft.com/office/drawing/2014/chart" uri="{C3380CC4-5D6E-409C-BE32-E72D297353CC}">
              <c16:uniqueId val="{00000000-6D40-4998-832A-379EEF5178AC}"/>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0.5</c:v>
                </c:pt>
                <c:pt idx="18">
                  <c:v>0.7</c:v>
                </c:pt>
                <c:pt idx="19">
                  <c:v>0.9</c:v>
                </c:pt>
                <c:pt idx="20">
                  <c:v>1</c:v>
                </c:pt>
              </c:numCache>
            </c:numRef>
          </c:val>
          <c:smooth val="0"/>
          <c:extLst>
            <c:ext xmlns:c16="http://schemas.microsoft.com/office/drawing/2014/chart" uri="{C3380CC4-5D6E-409C-BE32-E72D297353CC}">
              <c16:uniqueId val="{00000001-6D40-4998-832A-379EEF5178AC}"/>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6D40-4998-832A-379EEF5178AC}"/>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0.75</c:v>
                </c:pt>
                <c:pt idx="13">
                  <c:v>0.8</c:v>
                </c:pt>
                <c:pt idx="14">
                  <c:v>0.85</c:v>
                </c:pt>
                <c:pt idx="15">
                  <c:v>0.95</c:v>
                </c:pt>
                <c:pt idx="16">
                  <c:v>1</c:v>
                </c:pt>
              </c:numCache>
            </c:numRef>
          </c:val>
          <c:smooth val="0"/>
          <c:extLst>
            <c:ext xmlns:c16="http://schemas.microsoft.com/office/drawing/2014/chart" uri="{C3380CC4-5D6E-409C-BE32-E72D297353CC}">
              <c16:uniqueId val="{00000003-6D40-4998-832A-379EEF5178AC}"/>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0">
                  <c:v>0.1</c:v>
                </c:pt>
                <c:pt idx="11">
                  <c:v>0.15</c:v>
                </c:pt>
                <c:pt idx="12">
                  <c:v>0.2</c:v>
                </c:pt>
                <c:pt idx="13">
                  <c:v>0.3</c:v>
                </c:pt>
                <c:pt idx="14">
                  <c:v>0.35</c:v>
                </c:pt>
                <c:pt idx="15">
                  <c:v>0.4</c:v>
                </c:pt>
                <c:pt idx="16">
                  <c:v>0.4</c:v>
                </c:pt>
                <c:pt idx="17">
                  <c:v>0.5</c:v>
                </c:pt>
                <c:pt idx="18">
                  <c:v>0.7</c:v>
                </c:pt>
                <c:pt idx="19">
                  <c:v>0.9</c:v>
                </c:pt>
                <c:pt idx="20">
                  <c:v>1</c:v>
                </c:pt>
              </c:numCache>
            </c:numRef>
          </c:val>
          <c:smooth val="0"/>
          <c:extLst>
            <c:ext xmlns:c16="http://schemas.microsoft.com/office/drawing/2014/chart" uri="{C3380CC4-5D6E-409C-BE32-E72D297353CC}">
              <c16:uniqueId val="{00000004-6D40-4998-832A-379EEF5178AC}"/>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5-6D40-4998-832A-379EEF5178AC}"/>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lang="zh-CN"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zh-CN"/>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Zhou, Mike" id="{0EEA6502-245C-49E8-A62A-EDE7EDCBEBD4}" userId="S::mizhou@amd.com::cbe685f2-795d-40eb-afa7-1ddce375383e"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51DA223D\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03" createdVersion="6" refreshedVersion="6" minRefreshableVersion="3" recordCount="100" xr:uid="{00000000-000A-0000-FFFF-FFFF00000000}">
  <cacheSource type="worksheet">
    <worksheetSource ref="A2:S102" sheet="FeatureSummary" r:id="rId2"/>
  </cacheSource>
  <cacheFields count="19">
    <cacheField name="Feature ID" numFmtId="0">
      <sharedItems containsNonDate="0"/>
    </cacheField>
    <cacheField name="Priority" numFmtId="0">
      <sharedItems containsNonDate="0"/>
    </cacheField>
    <cacheField name="Test Case IDs" numFmtId="0">
      <sharedItems containsNonDate="0" longText="1"/>
    </cacheField>
    <cacheField name="Effort" numFmtId="0">
      <sharedItems containsSemiMixedTypes="0" containsNonDate="0" containsString="0" containsNumber="1" containsInteger="1" minValue="0" maxValue="80"/>
    </cacheField>
    <cacheField name="Sub-Block" numFmtId="0">
      <sharedItems containsNonDate="0"/>
    </cacheField>
    <cacheField name="Entitled?" numFmtId="0">
      <sharedItems containsNonDate="0"/>
    </cacheField>
    <cacheField name="Committed?" numFmtId="0">
      <sharedItems containsNonDate="0"/>
    </cacheField>
    <cacheField name="#Tests" numFmtId="0">
      <sharedItems containsSemiMixedTypes="0" containsNonDate="0" containsString="0" containsNumber="1" containsInteger="1" minValue="0" maxValue="47"/>
    </cacheField>
    <cacheField name="%TP" numFmtId="9">
      <sharedItems containsSemiMixedTypes="0" containsNonDate="0" containsString="0" containsNumber="1" minValue="0" maxValue="1"/>
    </cacheField>
    <cacheField name="%Code" numFmtId="9">
      <sharedItems containsSemiMixedTypes="0" containsNonDate="0" containsString="0" containsNumber="1" minValue="0" maxValue="1"/>
    </cacheField>
    <cacheField name="Planned" numFmtId="1">
      <sharedItems containsSemiMixedTypes="0" containsNonDate="0" containsString="0" containsNumber="1" containsInteger="1" minValue="0" maxValue="39"/>
    </cacheField>
    <cacheField name="#Passed" numFmtId="1">
      <sharedItems containsSemiMixedTypes="0" containsNonDate="0" containsString="0" containsNumber="1" containsInteger="1" minValue="0" maxValue="26"/>
    </cacheField>
    <cacheField name="% Pass Rate" numFmtId="9">
      <sharedItems containsSemiMixedTypes="0" containsNonDate="0" containsString="0" containsNumber="1" minValue="0" maxValue="1"/>
    </cacheField>
    <cacheField name="#Executed" numFmtId="0">
      <sharedItems containsSemiMixedTypes="0" containsNonDate="0" containsString="0" containsNumber="1" containsInteger="1" minValue="0" maxValue="43"/>
    </cacheField>
    <cacheField name="#Passed2" numFmtId="0">
      <sharedItems containsSemiMixedTypes="0" containsNonDate="0" containsString="0" containsNumber="1" containsInteger="1" minValue="0" maxValue="33"/>
    </cacheField>
    <cacheField name="% Coverage" numFmtId="9">
      <sharedItems containsSemiMixedTypes="0" containsNonDate="0" containsString="0" containsNumber="1" minValue="0" maxValue="1"/>
    </cacheField>
    <cacheField name="% Pass Rate2" numFmtId="9">
      <sharedItems containsSemiMixedTypes="0" containsNonDate="0" containsString="0" containsNumber="1" minValue="0" maxValue="1"/>
    </cacheField>
    <cacheField name="% Validated" numFmtId="9">
      <sharedItems containsSemiMixedTypes="0" containsNonDate="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04.592816782409" createdVersion="7" refreshedVersion="7" minRefreshableVersion="3" recordCount="69" xr:uid="{8C76263A-6C47-47DA-BFBA-80E9DF9C1C3A}">
  <cacheSource type="worksheet">
    <worksheetSource ref="F6:U74" sheet="Feature Summary"/>
  </cacheSource>
  <cacheFields count="16">
    <cacheField name="Category" numFmtId="0">
      <sharedItems count="3">
        <s v="Legacy"/>
        <s v="New"/>
        <s v="Delta"/>
      </sharedItems>
    </cacheField>
    <cacheField name="Entitled?" numFmtId="0">
      <sharedItems/>
    </cacheField>
    <cacheField name="Committed?" numFmtId="0">
      <sharedItems count="2">
        <s v="No"/>
        <s v="Yes"/>
      </sharedItems>
    </cacheField>
    <cacheField name="Effort" numFmtId="0">
      <sharedItems containsSemiMixedTypes="0" containsString="0" containsNumber="1" containsInteger="1" minValue="0" maxValue="34"/>
    </cacheField>
    <cacheField name="# Tests Per Feature" numFmtId="0">
      <sharedItems containsSemiMixedTypes="0" containsString="0" containsNumber="1" containsInteger="1" minValue="0" maxValue="34"/>
    </cacheField>
    <cacheField name="% TP Done" numFmtId="166">
      <sharedItems containsMixedTypes="1" containsNumber="1" containsInteger="1" minValue="0" maxValue="1"/>
    </cacheField>
    <cacheField name="% Code Done" numFmtId="166">
      <sharedItems containsMixedTypes="1" containsNumber="1" containsInteger="1" minValue="0" maxValue="1"/>
    </cacheField>
    <cacheField name="# Planned" numFmtId="1">
      <sharedItems containsSemiMixedTypes="0" containsString="0" containsNumber="1" containsInteger="1" minValue="0" maxValue="34"/>
    </cacheField>
    <cacheField name="# Passed" numFmtId="1">
      <sharedItems containsSemiMixedTypes="0" containsString="0" containsNumber="1" containsInteger="1" minValue="0" maxValue="20"/>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15">
        <s v="WK-5"/>
        <s v="WK-6"/>
        <s v="WK-4"/>
        <s v="WK-3"/>
        <s v="WK-7"/>
        <s v="WK-13"/>
        <s v="WK-2"/>
        <s v="N/A"/>
        <s v="WK-11"/>
        <s v="WK-8"/>
        <m/>
        <s v="wk2" u="1"/>
        <s v="WK-1" u="1"/>
        <s v="smu/psp fw dependency+wk-2" u="1"/>
        <s v="HBM injection/FW dependency + WK-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s v="Yes"/>
    <x v="0"/>
    <n v="0"/>
    <n v="0"/>
    <n v="0"/>
    <n v="0"/>
    <n v="0"/>
    <n v="0"/>
    <n v="0"/>
    <n v="0"/>
    <n v="0"/>
    <n v="0"/>
    <n v="0"/>
    <n v="0"/>
    <x v="0"/>
  </r>
  <r>
    <x v="0"/>
    <s v="No"/>
    <x v="0"/>
    <n v="0"/>
    <n v="0"/>
    <n v="0"/>
    <n v="0"/>
    <n v="0"/>
    <n v="0"/>
    <n v="0"/>
    <n v="0"/>
    <n v="0"/>
    <n v="0"/>
    <n v="0"/>
    <n v="0"/>
    <x v="1"/>
  </r>
  <r>
    <x v="0"/>
    <s v="Yes"/>
    <x v="1"/>
    <n v="1"/>
    <n v="1"/>
    <n v="1"/>
    <n v="1"/>
    <n v="1"/>
    <n v="0"/>
    <n v="0"/>
    <n v="0"/>
    <n v="0"/>
    <n v="0"/>
    <n v="0"/>
    <n v="0"/>
    <x v="1"/>
  </r>
  <r>
    <x v="0"/>
    <s v="No"/>
    <x v="0"/>
    <n v="0"/>
    <n v="0"/>
    <n v="0"/>
    <n v="0"/>
    <n v="0"/>
    <n v="0"/>
    <n v="0"/>
    <n v="0"/>
    <n v="0"/>
    <n v="0"/>
    <n v="0"/>
    <n v="0"/>
    <x v="0"/>
  </r>
  <r>
    <x v="0"/>
    <s v="Yes"/>
    <x v="0"/>
    <n v="0"/>
    <n v="0"/>
    <n v="0"/>
    <n v="0"/>
    <n v="0"/>
    <n v="0"/>
    <n v="0"/>
    <n v="0"/>
    <n v="0"/>
    <n v="0"/>
    <n v="0"/>
    <n v="0"/>
    <x v="2"/>
  </r>
  <r>
    <x v="0"/>
    <s v="Yes"/>
    <x v="1"/>
    <n v="5"/>
    <n v="5"/>
    <n v="1"/>
    <n v="1"/>
    <n v="5"/>
    <n v="1"/>
    <n v="0.2"/>
    <n v="0"/>
    <n v="0"/>
    <n v="0"/>
    <n v="0"/>
    <n v="0"/>
    <x v="3"/>
  </r>
  <r>
    <x v="0"/>
    <s v="Yes"/>
    <x v="1"/>
    <n v="1"/>
    <n v="1"/>
    <n v="1"/>
    <n v="1"/>
    <n v="1"/>
    <n v="0"/>
    <n v="0"/>
    <n v="0"/>
    <n v="0"/>
    <n v="0"/>
    <n v="0"/>
    <n v="0"/>
    <x v="2"/>
  </r>
  <r>
    <x v="0"/>
    <s v="Yes"/>
    <x v="1"/>
    <n v="2"/>
    <n v="2"/>
    <n v="1"/>
    <n v="1"/>
    <n v="2"/>
    <n v="0"/>
    <n v="0"/>
    <n v="0"/>
    <n v="0"/>
    <n v="0"/>
    <n v="0"/>
    <n v="0"/>
    <x v="2"/>
  </r>
  <r>
    <x v="0"/>
    <s v="Yes"/>
    <x v="0"/>
    <n v="0"/>
    <n v="0"/>
    <n v="0"/>
    <n v="0"/>
    <n v="0"/>
    <n v="0"/>
    <n v="0"/>
    <n v="0"/>
    <n v="0"/>
    <n v="0"/>
    <n v="0"/>
    <n v="0"/>
    <x v="4"/>
  </r>
  <r>
    <x v="0"/>
    <s v="Yes"/>
    <x v="1"/>
    <n v="2"/>
    <n v="2"/>
    <n v="1"/>
    <n v="1"/>
    <n v="2"/>
    <n v="0"/>
    <n v="0"/>
    <n v="0"/>
    <n v="0"/>
    <n v="0"/>
    <n v="0"/>
    <n v="0"/>
    <x v="2"/>
  </r>
  <r>
    <x v="0"/>
    <s v="Yes"/>
    <x v="1"/>
    <n v="2"/>
    <n v="2"/>
    <n v="1"/>
    <n v="1"/>
    <n v="2"/>
    <n v="0"/>
    <n v="0"/>
    <n v="0"/>
    <n v="0"/>
    <n v="0"/>
    <n v="0"/>
    <n v="0"/>
    <x v="0"/>
  </r>
  <r>
    <x v="0"/>
    <s v="Yes"/>
    <x v="0"/>
    <n v="0"/>
    <n v="0"/>
    <n v="0"/>
    <n v="0"/>
    <n v="0"/>
    <n v="0"/>
    <n v="0"/>
    <n v="0"/>
    <n v="0"/>
    <n v="0"/>
    <n v="0"/>
    <n v="0"/>
    <x v="1"/>
  </r>
  <r>
    <x v="0"/>
    <s v="Yes"/>
    <x v="1"/>
    <n v="1"/>
    <n v="1"/>
    <n v="1"/>
    <n v="1"/>
    <n v="0"/>
    <n v="0"/>
    <n v="0"/>
    <n v="0"/>
    <n v="0"/>
    <n v="0"/>
    <n v="0"/>
    <n v="0"/>
    <x v="5"/>
  </r>
  <r>
    <x v="0"/>
    <s v="Yes"/>
    <x v="1"/>
    <n v="1"/>
    <n v="1"/>
    <n v="1"/>
    <n v="1"/>
    <n v="0"/>
    <n v="0"/>
    <n v="0"/>
    <n v="0"/>
    <n v="0"/>
    <n v="0"/>
    <n v="0"/>
    <n v="0"/>
    <x v="5"/>
  </r>
  <r>
    <x v="0"/>
    <s v="Yes"/>
    <x v="1"/>
    <n v="1"/>
    <n v="1"/>
    <n v="1"/>
    <n v="1"/>
    <n v="0"/>
    <n v="0"/>
    <n v="0"/>
    <n v="0"/>
    <n v="0"/>
    <n v="0"/>
    <n v="0"/>
    <n v="0"/>
    <x v="5"/>
  </r>
  <r>
    <x v="0"/>
    <s v="Yes"/>
    <x v="1"/>
    <n v="1"/>
    <n v="1"/>
    <n v="1"/>
    <n v="1"/>
    <n v="0"/>
    <n v="0"/>
    <n v="0"/>
    <n v="0"/>
    <n v="0"/>
    <n v="0"/>
    <n v="0"/>
    <n v="0"/>
    <x v="5"/>
  </r>
  <r>
    <x v="0"/>
    <s v="No"/>
    <x v="0"/>
    <n v="0"/>
    <n v="0"/>
    <n v="0"/>
    <n v="0"/>
    <n v="0"/>
    <n v="0"/>
    <n v="0"/>
    <n v="0"/>
    <n v="0"/>
    <n v="0"/>
    <n v="0"/>
    <n v="0"/>
    <x v="0"/>
  </r>
  <r>
    <x v="0"/>
    <s v="No"/>
    <x v="0"/>
    <n v="0"/>
    <n v="0"/>
    <n v="0"/>
    <n v="0"/>
    <n v="0"/>
    <n v="0"/>
    <n v="0"/>
    <n v="0"/>
    <n v="0"/>
    <n v="0"/>
    <n v="0"/>
    <n v="0"/>
    <x v="0"/>
  </r>
  <r>
    <x v="0"/>
    <s v="Yes"/>
    <x v="1"/>
    <n v="1"/>
    <n v="1"/>
    <n v="1"/>
    <n v="1"/>
    <n v="1"/>
    <n v="1"/>
    <n v="1"/>
    <n v="0"/>
    <n v="0"/>
    <n v="0"/>
    <n v="0"/>
    <n v="0"/>
    <x v="3"/>
  </r>
  <r>
    <x v="0"/>
    <s v="Yes"/>
    <x v="1"/>
    <n v="3"/>
    <n v="3"/>
    <n v="1"/>
    <n v="1"/>
    <n v="3"/>
    <n v="0"/>
    <n v="0"/>
    <n v="0"/>
    <n v="0"/>
    <n v="0"/>
    <n v="0"/>
    <n v="0"/>
    <x v="3"/>
  </r>
  <r>
    <x v="0"/>
    <s v="Yes"/>
    <x v="1"/>
    <n v="34"/>
    <n v="34"/>
    <n v="1"/>
    <n v="1"/>
    <n v="34"/>
    <n v="20"/>
    <n v="0.58823529411764708"/>
    <n v="0"/>
    <n v="0"/>
    <n v="0"/>
    <n v="0"/>
    <n v="0"/>
    <x v="3"/>
  </r>
  <r>
    <x v="0"/>
    <s v="Yes"/>
    <x v="1"/>
    <n v="2"/>
    <n v="2"/>
    <n v="1"/>
    <n v="1"/>
    <n v="2"/>
    <n v="0"/>
    <n v="0"/>
    <n v="0"/>
    <n v="0"/>
    <n v="0"/>
    <n v="0"/>
    <n v="0"/>
    <x v="2"/>
  </r>
  <r>
    <x v="0"/>
    <s v="Yes"/>
    <x v="1"/>
    <n v="7"/>
    <n v="7"/>
    <n v="1"/>
    <n v="1"/>
    <n v="7"/>
    <n v="0"/>
    <n v="0"/>
    <n v="0"/>
    <n v="0"/>
    <n v="0"/>
    <n v="0"/>
    <n v="0"/>
    <x v="2"/>
  </r>
  <r>
    <x v="0"/>
    <s v="Yes"/>
    <x v="1"/>
    <n v="25"/>
    <n v="25"/>
    <n v="1"/>
    <n v="1"/>
    <n v="25"/>
    <n v="12"/>
    <n v="0.48"/>
    <n v="0"/>
    <n v="0"/>
    <n v="0"/>
    <n v="0"/>
    <n v="0"/>
    <x v="6"/>
  </r>
  <r>
    <x v="0"/>
    <s v="Yes"/>
    <x v="0"/>
    <n v="0"/>
    <n v="0"/>
    <n v="0"/>
    <n v="0"/>
    <n v="0"/>
    <n v="0"/>
    <n v="0"/>
    <n v="0"/>
    <n v="0"/>
    <n v="0"/>
    <n v="0"/>
    <n v="0"/>
    <x v="6"/>
  </r>
  <r>
    <x v="0"/>
    <s v="Yes"/>
    <x v="1"/>
    <n v="2"/>
    <n v="2"/>
    <n v="1"/>
    <n v="1"/>
    <n v="2"/>
    <n v="0"/>
    <n v="0"/>
    <n v="0"/>
    <n v="0"/>
    <n v="0"/>
    <n v="0"/>
    <n v="0"/>
    <x v="3"/>
  </r>
  <r>
    <x v="0"/>
    <s v="Yes"/>
    <x v="1"/>
    <n v="1"/>
    <n v="1"/>
    <n v="1"/>
    <n v="1"/>
    <n v="1"/>
    <n v="0"/>
    <n v="0"/>
    <n v="0"/>
    <n v="0"/>
    <n v="0"/>
    <n v="0"/>
    <n v="0"/>
    <x v="2"/>
  </r>
  <r>
    <x v="0"/>
    <s v="Yes"/>
    <x v="1"/>
    <n v="1"/>
    <n v="1"/>
    <n v="1"/>
    <n v="1"/>
    <n v="1"/>
    <n v="0"/>
    <n v="0"/>
    <n v="0"/>
    <n v="0"/>
    <n v="0"/>
    <n v="0"/>
    <n v="0"/>
    <x v="2"/>
  </r>
  <r>
    <x v="0"/>
    <s v="Yes"/>
    <x v="1"/>
    <n v="1"/>
    <n v="1"/>
    <n v="1"/>
    <n v="1"/>
    <n v="1"/>
    <n v="0"/>
    <n v="0"/>
    <n v="0"/>
    <n v="0"/>
    <n v="0"/>
    <n v="0"/>
    <n v="0"/>
    <x v="2"/>
  </r>
  <r>
    <x v="0"/>
    <s v="Yes"/>
    <x v="0"/>
    <n v="0"/>
    <n v="0"/>
    <n v="0"/>
    <n v="0"/>
    <n v="0"/>
    <n v="0"/>
    <n v="0"/>
    <n v="0"/>
    <n v="0"/>
    <n v="0"/>
    <n v="0"/>
    <n v="0"/>
    <x v="3"/>
  </r>
  <r>
    <x v="0"/>
    <s v="Yes"/>
    <x v="1"/>
    <n v="1"/>
    <n v="1"/>
    <n v="1"/>
    <n v="1"/>
    <n v="1"/>
    <n v="0"/>
    <n v="0"/>
    <n v="0"/>
    <n v="0"/>
    <n v="0"/>
    <n v="0"/>
    <n v="0"/>
    <x v="2"/>
  </r>
  <r>
    <x v="0"/>
    <s v="Yes"/>
    <x v="1"/>
    <n v="1"/>
    <n v="1"/>
    <n v="1"/>
    <n v="1"/>
    <n v="1"/>
    <n v="0"/>
    <n v="0"/>
    <n v="0"/>
    <n v="0"/>
    <n v="0"/>
    <n v="0"/>
    <n v="0"/>
    <x v="3"/>
  </r>
  <r>
    <x v="0"/>
    <s v="No"/>
    <x v="0"/>
    <n v="0"/>
    <n v="0"/>
    <n v="0"/>
    <n v="0"/>
    <n v="0"/>
    <n v="0"/>
    <n v="0"/>
    <n v="0"/>
    <n v="0"/>
    <n v="0"/>
    <n v="0"/>
    <n v="0"/>
    <x v="7"/>
  </r>
  <r>
    <x v="0"/>
    <s v="Yes"/>
    <x v="1"/>
    <n v="1"/>
    <n v="1"/>
    <n v="1"/>
    <n v="1"/>
    <n v="1"/>
    <n v="0"/>
    <n v="0"/>
    <n v="0"/>
    <n v="0"/>
    <n v="0"/>
    <n v="0"/>
    <n v="0"/>
    <x v="3"/>
  </r>
  <r>
    <x v="0"/>
    <s v="Yes"/>
    <x v="1"/>
    <n v="1"/>
    <n v="1"/>
    <n v="1"/>
    <n v="1"/>
    <n v="1"/>
    <n v="1"/>
    <n v="1"/>
    <n v="0"/>
    <n v="0"/>
    <n v="0"/>
    <n v="0"/>
    <n v="0"/>
    <x v="3"/>
  </r>
  <r>
    <x v="0"/>
    <s v="Yes"/>
    <x v="1"/>
    <n v="2"/>
    <n v="2"/>
    <n v="1"/>
    <n v="1"/>
    <n v="2"/>
    <n v="0"/>
    <n v="0"/>
    <n v="0"/>
    <n v="0"/>
    <n v="0"/>
    <n v="0"/>
    <n v="0"/>
    <x v="2"/>
  </r>
  <r>
    <x v="0"/>
    <s v="Yes"/>
    <x v="1"/>
    <n v="3"/>
    <n v="3"/>
    <n v="1"/>
    <n v="1"/>
    <n v="3"/>
    <n v="0"/>
    <n v="0"/>
    <n v="0"/>
    <n v="0"/>
    <n v="0"/>
    <n v="0"/>
    <n v="0"/>
    <x v="3"/>
  </r>
  <r>
    <x v="0"/>
    <s v="Yes"/>
    <x v="1"/>
    <n v="1"/>
    <n v="1"/>
    <n v="1"/>
    <n v="1"/>
    <n v="1"/>
    <n v="0"/>
    <n v="0"/>
    <n v="0"/>
    <n v="0"/>
    <n v="0"/>
    <n v="0"/>
    <n v="0"/>
    <x v="2"/>
  </r>
  <r>
    <x v="0"/>
    <s v="Yes"/>
    <x v="1"/>
    <n v="5"/>
    <n v="5"/>
    <n v="1"/>
    <n v="1"/>
    <n v="5"/>
    <n v="3"/>
    <n v="0.6"/>
    <n v="0"/>
    <n v="0"/>
    <n v="0"/>
    <n v="0"/>
    <n v="0"/>
    <x v="3"/>
  </r>
  <r>
    <x v="0"/>
    <s v="Yes"/>
    <x v="1"/>
    <n v="1"/>
    <n v="1"/>
    <n v="1"/>
    <n v="1"/>
    <n v="1"/>
    <n v="0"/>
    <n v="0"/>
    <n v="0"/>
    <n v="0"/>
    <n v="0"/>
    <n v="0"/>
    <n v="0"/>
    <x v="3"/>
  </r>
  <r>
    <x v="0"/>
    <s v="Yes"/>
    <x v="1"/>
    <n v="1"/>
    <n v="1"/>
    <n v="1"/>
    <n v="1"/>
    <n v="1"/>
    <n v="0"/>
    <n v="0"/>
    <n v="0"/>
    <n v="0"/>
    <n v="0"/>
    <n v="0"/>
    <n v="0"/>
    <x v="3"/>
  </r>
  <r>
    <x v="0"/>
    <s v="Yes"/>
    <x v="1"/>
    <n v="11"/>
    <n v="11"/>
    <n v="1"/>
    <n v="1"/>
    <n v="11"/>
    <n v="4"/>
    <n v="0.36363636363636365"/>
    <n v="0"/>
    <n v="0"/>
    <n v="0"/>
    <n v="0"/>
    <n v="0"/>
    <x v="3"/>
  </r>
  <r>
    <x v="0"/>
    <s v="Yes"/>
    <x v="1"/>
    <n v="1"/>
    <n v="1"/>
    <n v="1"/>
    <n v="1"/>
    <n v="1"/>
    <n v="0"/>
    <n v="0"/>
    <n v="0"/>
    <n v="0"/>
    <n v="0"/>
    <n v="0"/>
    <n v="0"/>
    <x v="4"/>
  </r>
  <r>
    <x v="0"/>
    <s v="Yes"/>
    <x v="1"/>
    <n v="1"/>
    <n v="1"/>
    <n v="1"/>
    <n v="1"/>
    <n v="1"/>
    <n v="1"/>
    <n v="1"/>
    <n v="0"/>
    <n v="0"/>
    <n v="0"/>
    <n v="0"/>
    <n v="0"/>
    <x v="0"/>
  </r>
  <r>
    <x v="1"/>
    <s v="Yes"/>
    <x v="1"/>
    <n v="0"/>
    <n v="0"/>
    <e v="#DIV/0!"/>
    <e v="#DIV/0!"/>
    <n v="0"/>
    <n v="0"/>
    <n v="0"/>
    <n v="0"/>
    <n v="0"/>
    <n v="0"/>
    <n v="0"/>
    <n v="0"/>
    <x v="8"/>
  </r>
  <r>
    <x v="2"/>
    <s v="Yes"/>
    <x v="1"/>
    <n v="3"/>
    <n v="3"/>
    <n v="1"/>
    <n v="1"/>
    <n v="3"/>
    <n v="0"/>
    <n v="0"/>
    <n v="0"/>
    <n v="0"/>
    <n v="0"/>
    <n v="0"/>
    <n v="0"/>
    <x v="1"/>
  </r>
  <r>
    <x v="0"/>
    <s v="Yes"/>
    <x v="1"/>
    <n v="10"/>
    <n v="10"/>
    <n v="1"/>
    <n v="1"/>
    <n v="10"/>
    <n v="5"/>
    <n v="0.5"/>
    <n v="0"/>
    <n v="0"/>
    <n v="0"/>
    <n v="0"/>
    <n v="0"/>
    <x v="4"/>
  </r>
  <r>
    <x v="2"/>
    <s v="Yes"/>
    <x v="0"/>
    <n v="0"/>
    <n v="0"/>
    <n v="0"/>
    <n v="0"/>
    <n v="0"/>
    <n v="0"/>
    <n v="0"/>
    <n v="0"/>
    <n v="0"/>
    <n v="0"/>
    <n v="0"/>
    <n v="0"/>
    <x v="3"/>
  </r>
  <r>
    <x v="2"/>
    <s v="No"/>
    <x v="0"/>
    <n v="0"/>
    <n v="0"/>
    <n v="0"/>
    <n v="0"/>
    <n v="0"/>
    <n v="0"/>
    <n v="0"/>
    <n v="0"/>
    <n v="0"/>
    <n v="0"/>
    <n v="0"/>
    <n v="0"/>
    <x v="2"/>
  </r>
  <r>
    <x v="2"/>
    <s v="Yes"/>
    <x v="1"/>
    <n v="1"/>
    <n v="1"/>
    <n v="1"/>
    <n v="1"/>
    <n v="1"/>
    <n v="0"/>
    <n v="0"/>
    <n v="0"/>
    <n v="0"/>
    <n v="0"/>
    <n v="0"/>
    <n v="0"/>
    <x v="1"/>
  </r>
  <r>
    <x v="0"/>
    <s v="Yes"/>
    <x v="1"/>
    <n v="5"/>
    <n v="5"/>
    <n v="1"/>
    <n v="1"/>
    <n v="5"/>
    <n v="0"/>
    <n v="0"/>
    <n v="0"/>
    <n v="0"/>
    <n v="0"/>
    <n v="0"/>
    <n v="0"/>
    <x v="1"/>
  </r>
  <r>
    <x v="0"/>
    <s v="Yes"/>
    <x v="1"/>
    <n v="5"/>
    <n v="5"/>
    <n v="1"/>
    <n v="1"/>
    <n v="5"/>
    <n v="0"/>
    <n v="0"/>
    <n v="0"/>
    <n v="0"/>
    <n v="0"/>
    <n v="0"/>
    <n v="0"/>
    <x v="1"/>
  </r>
  <r>
    <x v="0"/>
    <s v="Yes"/>
    <x v="1"/>
    <n v="15"/>
    <n v="15"/>
    <n v="1"/>
    <n v="1"/>
    <n v="15"/>
    <n v="0"/>
    <n v="0"/>
    <n v="0"/>
    <n v="0"/>
    <n v="0"/>
    <n v="0"/>
    <n v="0"/>
    <x v="4"/>
  </r>
  <r>
    <x v="0"/>
    <s v="Yes"/>
    <x v="1"/>
    <n v="4"/>
    <n v="4"/>
    <n v="1"/>
    <n v="1"/>
    <n v="4"/>
    <n v="0"/>
    <n v="0"/>
    <n v="0"/>
    <n v="0"/>
    <n v="0"/>
    <n v="0"/>
    <n v="0"/>
    <x v="4"/>
  </r>
  <r>
    <x v="0"/>
    <s v="Yes"/>
    <x v="1"/>
    <n v="1"/>
    <n v="1"/>
    <n v="1"/>
    <n v="1"/>
    <n v="1"/>
    <n v="0"/>
    <n v="0"/>
    <n v="0"/>
    <n v="0"/>
    <n v="0"/>
    <n v="0"/>
    <n v="0"/>
    <x v="9"/>
  </r>
  <r>
    <x v="0"/>
    <s v="No"/>
    <x v="0"/>
    <n v="0"/>
    <n v="0"/>
    <n v="0"/>
    <n v="0"/>
    <n v="0"/>
    <n v="0"/>
    <n v="0"/>
    <n v="0"/>
    <n v="0"/>
    <n v="0"/>
    <n v="0"/>
    <n v="0"/>
    <x v="10"/>
  </r>
  <r>
    <x v="0"/>
    <s v="Yes"/>
    <x v="1"/>
    <n v="20"/>
    <n v="20"/>
    <n v="1"/>
    <n v="1"/>
    <n v="20"/>
    <n v="0"/>
    <n v="0"/>
    <n v="0"/>
    <n v="0"/>
    <n v="0"/>
    <n v="0"/>
    <n v="0"/>
    <x v="2"/>
  </r>
  <r>
    <x v="0"/>
    <s v="Yes"/>
    <x v="1"/>
    <n v="7"/>
    <n v="7"/>
    <n v="1"/>
    <n v="1"/>
    <n v="7"/>
    <n v="1"/>
    <n v="0.14285714285714285"/>
    <n v="0"/>
    <n v="0"/>
    <n v="0"/>
    <n v="0"/>
    <n v="0"/>
    <x v="9"/>
  </r>
  <r>
    <x v="0"/>
    <s v="Yes"/>
    <x v="1"/>
    <n v="2"/>
    <n v="2"/>
    <n v="1"/>
    <n v="1"/>
    <n v="2"/>
    <n v="0"/>
    <n v="0"/>
    <n v="0"/>
    <n v="0"/>
    <n v="0"/>
    <n v="0"/>
    <n v="0"/>
    <x v="9"/>
  </r>
  <r>
    <x v="0"/>
    <s v="Yes"/>
    <x v="1"/>
    <n v="19"/>
    <n v="19"/>
    <n v="1"/>
    <n v="1"/>
    <n v="19"/>
    <n v="0"/>
    <n v="0"/>
    <n v="0"/>
    <n v="0"/>
    <n v="0"/>
    <n v="0"/>
    <n v="0"/>
    <x v="6"/>
  </r>
  <r>
    <x v="0"/>
    <s v="Yes"/>
    <x v="1"/>
    <n v="6"/>
    <n v="6"/>
    <n v="1"/>
    <n v="1"/>
    <n v="6"/>
    <n v="4"/>
    <n v="0.66666666666666663"/>
    <n v="0"/>
    <n v="0"/>
    <n v="0"/>
    <n v="0"/>
    <n v="0"/>
    <x v="6"/>
  </r>
  <r>
    <x v="0"/>
    <s v="No"/>
    <x v="0"/>
    <n v="0"/>
    <n v="0"/>
    <n v="0"/>
    <n v="0"/>
    <n v="0"/>
    <n v="0"/>
    <n v="0"/>
    <n v="0"/>
    <n v="0"/>
    <n v="0"/>
    <n v="0"/>
    <n v="0"/>
    <x v="7"/>
  </r>
  <r>
    <x v="0"/>
    <s v="Yes"/>
    <x v="1"/>
    <n v="1"/>
    <n v="1"/>
    <n v="1"/>
    <n v="1"/>
    <n v="1"/>
    <n v="0"/>
    <n v="0"/>
    <n v="0"/>
    <n v="0"/>
    <n v="0"/>
    <n v="0"/>
    <n v="0"/>
    <x v="6"/>
  </r>
  <r>
    <x v="0"/>
    <s v="Yes"/>
    <x v="1"/>
    <n v="10"/>
    <n v="10"/>
    <n v="1"/>
    <n v="1"/>
    <n v="10"/>
    <n v="10"/>
    <n v="1"/>
    <n v="0"/>
    <n v="0"/>
    <n v="0"/>
    <n v="0"/>
    <n v="0"/>
    <x v="2"/>
  </r>
  <r>
    <x v="0"/>
    <s v="Yes"/>
    <x v="1"/>
    <n v="2"/>
    <n v="2"/>
    <n v="1"/>
    <n v="1"/>
    <n v="0"/>
    <n v="0"/>
    <n v="0"/>
    <n v="0"/>
    <n v="0"/>
    <n v="0"/>
    <n v="0"/>
    <n v="0"/>
    <x v="9"/>
  </r>
  <r>
    <x v="0"/>
    <s v="Yes"/>
    <x v="1"/>
    <n v="1"/>
    <n v="1"/>
    <n v="1"/>
    <n v="1"/>
    <n v="0"/>
    <n v="0"/>
    <n v="0"/>
    <n v="0"/>
    <n v="0"/>
    <n v="0"/>
    <n v="0"/>
    <n v="0"/>
    <x v="9"/>
  </r>
  <r>
    <x v="0"/>
    <s v="Yes"/>
    <x v="1"/>
    <n v="1"/>
    <n v="1"/>
    <n v="1"/>
    <n v="1"/>
    <n v="0"/>
    <n v="0"/>
    <n v="0"/>
    <n v="0"/>
    <n v="0"/>
    <n v="0"/>
    <n v="0"/>
    <n v="0"/>
    <x v="9"/>
  </r>
  <r>
    <x v="0"/>
    <s v="Yes"/>
    <x v="1"/>
    <n v="11"/>
    <n v="11"/>
    <n v="1"/>
    <n v="1"/>
    <n v="0"/>
    <n v="0"/>
    <n v="0"/>
    <n v="0"/>
    <n v="0"/>
    <n v="0"/>
    <n v="0"/>
    <n v="0"/>
    <x v="1"/>
  </r>
  <r>
    <x v="0"/>
    <s v="Yes"/>
    <x v="1"/>
    <n v="1"/>
    <n v="1"/>
    <n v="1"/>
    <n v="1"/>
    <n v="1"/>
    <n v="0"/>
    <n v="0"/>
    <n v="0"/>
    <n v="0"/>
    <n v="0"/>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E6A478-B8E3-4F65-B3F8-28DAFC149418}" name="PivotTable8" cacheId="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14" firstHeaderRow="1" firstDataRow="2" firstDataCol="1" rowPageCount="1" colPageCount="1"/>
  <pivotFields count="16">
    <pivotField axis="axisCol" dataField="1" showAll="0">
      <items count="4">
        <item x="2"/>
        <item x="0"/>
        <item x="1"/>
        <item t="default"/>
      </items>
    </pivotField>
    <pivotField showAll="0"/>
    <pivotField axis="axisPage" showAll="0">
      <items count="3">
        <item x="0"/>
        <item x="1"/>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16">
        <item m="1" x="14"/>
        <item x="7"/>
        <item m="1" x="13"/>
        <item m="1" x="12"/>
        <item m="1" x="11"/>
        <item x="6"/>
        <item x="3"/>
        <item x="2"/>
        <item x="0"/>
        <item x="1"/>
        <item x="4"/>
        <item x="9"/>
        <item x="10"/>
        <item x="5"/>
        <item x="8"/>
        <item t="default"/>
      </items>
    </pivotField>
  </pivotFields>
  <rowFields count="1">
    <field x="15"/>
  </rowFields>
  <rowItems count="10">
    <i>
      <x v="5"/>
    </i>
    <i>
      <x v="6"/>
    </i>
    <i>
      <x v="7"/>
    </i>
    <i>
      <x v="8"/>
    </i>
    <i>
      <x v="9"/>
    </i>
    <i>
      <x v="10"/>
    </i>
    <i>
      <x v="11"/>
    </i>
    <i>
      <x v="13"/>
    </i>
    <i>
      <x v="14"/>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29" applyNumberFormats="0" applyBorderFormats="0" applyFontFormats="0" applyPatternFormats="0" applyAlignmentFormats="0" applyWidthHeightFormats="1" dataCaption="Values" updatedVersion="6" minRefreshableVersion="3" useAutoFormatting="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61" dT="2022-11-14T05:56:57.70" personId="{0EEA6502-245C-49E8-A62A-EDE7EDCBEBD4}" id="{F1D64B33-ECD3-4357-AFA5-8352F0DB6158}">
    <text>Only supported in the DMA direction into root ports targeting system memory. Intended for use only with HPE/Cray NIC only</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cols>
    <col min="1" max="1" width="8.7109375" style="464" customWidth="1"/>
    <col min="2" max="2" width="10.7109375" style="343" customWidth="1"/>
    <col min="3" max="3" width="10.140625" style="343" customWidth="1"/>
    <col min="4" max="4" width="120.42578125" style="358" customWidth="1"/>
    <col min="5" max="5" width="40.140625" style="343" customWidth="1"/>
    <col min="6" max="6" width="35.42578125" style="343" customWidth="1"/>
    <col min="7" max="16384" width="9.140625" style="343"/>
  </cols>
  <sheetData>
    <row r="1" spans="1:6">
      <c r="A1" s="465" t="s">
        <v>0</v>
      </c>
      <c r="B1" s="466" t="s">
        <v>1</v>
      </c>
      <c r="C1" s="466" t="s">
        <v>2</v>
      </c>
      <c r="D1" s="357" t="s">
        <v>3</v>
      </c>
      <c r="E1" s="466" t="s">
        <v>4</v>
      </c>
      <c r="F1" s="466" t="s">
        <v>5</v>
      </c>
    </row>
    <row r="2" spans="1:6">
      <c r="A2" s="464">
        <v>43651</v>
      </c>
      <c r="B2" s="343" t="s">
        <v>6</v>
      </c>
      <c r="C2" s="343" t="s">
        <v>7</v>
      </c>
      <c r="D2" s="358" t="s">
        <v>8</v>
      </c>
      <c r="E2" s="343" t="s">
        <v>9</v>
      </c>
      <c r="F2" s="343" t="s">
        <v>10</v>
      </c>
    </row>
    <row r="3" spans="1:6">
      <c r="A3" s="464">
        <v>43697</v>
      </c>
      <c r="B3" s="343" t="s">
        <v>6</v>
      </c>
      <c r="C3" s="343" t="s">
        <v>11</v>
      </c>
      <c r="D3" s="358" t="s">
        <v>12</v>
      </c>
      <c r="E3" s="343" t="s">
        <v>13</v>
      </c>
      <c r="F3" s="343" t="s">
        <v>14</v>
      </c>
    </row>
    <row r="4" spans="1:6" ht="30">
      <c r="A4" s="464">
        <v>43651</v>
      </c>
      <c r="B4" s="343" t="s">
        <v>15</v>
      </c>
      <c r="C4" s="343" t="s">
        <v>7</v>
      </c>
      <c r="D4" s="358" t="s">
        <v>16</v>
      </c>
      <c r="F4" s="343" t="s">
        <v>17</v>
      </c>
    </row>
    <row r="5" spans="1:6">
      <c r="A5" s="464">
        <v>43651</v>
      </c>
      <c r="B5" s="343" t="s">
        <v>15</v>
      </c>
      <c r="C5" s="343" t="s">
        <v>7</v>
      </c>
      <c r="D5" s="358" t="s">
        <v>18</v>
      </c>
    </row>
    <row r="6" spans="1:6">
      <c r="A6" s="464">
        <v>43697</v>
      </c>
      <c r="B6" s="343" t="s">
        <v>15</v>
      </c>
      <c r="C6" s="343" t="s">
        <v>19</v>
      </c>
      <c r="D6" s="358" t="s">
        <v>20</v>
      </c>
      <c r="F6" s="343" t="s">
        <v>21</v>
      </c>
    </row>
    <row r="7" spans="1:6">
      <c r="A7" s="467">
        <v>43713</v>
      </c>
      <c r="B7" s="468" t="s">
        <v>6</v>
      </c>
      <c r="C7" s="468" t="s">
        <v>22</v>
      </c>
      <c r="D7" s="469" t="s">
        <v>23</v>
      </c>
      <c r="E7" s="468"/>
      <c r="F7" s="468"/>
    </row>
    <row r="8" spans="1:6">
      <c r="A8" s="464">
        <v>43713</v>
      </c>
      <c r="B8" s="343" t="s">
        <v>6</v>
      </c>
      <c r="C8" s="343" t="s">
        <v>22</v>
      </c>
      <c r="D8" s="358" t="s">
        <v>24</v>
      </c>
    </row>
    <row r="9" spans="1:6">
      <c r="A9" s="464">
        <v>43713</v>
      </c>
      <c r="B9" s="343" t="s">
        <v>6</v>
      </c>
      <c r="C9" s="343" t="s">
        <v>22</v>
      </c>
      <c r="D9" s="358" t="s">
        <v>25</v>
      </c>
    </row>
    <row r="10" spans="1:6">
      <c r="A10" s="464">
        <v>43713</v>
      </c>
      <c r="B10" s="343" t="s">
        <v>6</v>
      </c>
      <c r="C10" s="343" t="s">
        <v>22</v>
      </c>
      <c r="D10" s="358" t="s">
        <v>26</v>
      </c>
    </row>
    <row r="11" spans="1:6" ht="30">
      <c r="A11" s="464">
        <v>43713</v>
      </c>
      <c r="B11" s="343" t="s">
        <v>6</v>
      </c>
      <c r="C11" s="343" t="s">
        <v>22</v>
      </c>
      <c r="D11" s="358" t="s">
        <v>27</v>
      </c>
    </row>
    <row r="12" spans="1:6">
      <c r="A12" s="464">
        <v>43721</v>
      </c>
      <c r="B12" s="343" t="s">
        <v>6</v>
      </c>
      <c r="C12" s="343" t="s">
        <v>22</v>
      </c>
      <c r="D12" s="358" t="s">
        <v>28</v>
      </c>
    </row>
    <row r="15" spans="1:6" ht="45">
      <c r="D15" s="35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7"/>
  <sheetViews>
    <sheetView workbookViewId="0">
      <selection activeCell="E7" sqref="E7"/>
    </sheetView>
  </sheetViews>
  <sheetFormatPr defaultColWidth="8.42578125" defaultRowHeight="15"/>
  <cols>
    <col min="1" max="1" width="8.42578125" style="2"/>
    <col min="5" max="5" width="9" style="2" customWidth="1"/>
    <col min="9" max="9" width="11" customWidth="1"/>
  </cols>
  <sheetData>
    <row r="1" spans="1:9">
      <c r="A1" s="2" t="s">
        <v>30</v>
      </c>
      <c r="C1" t="s">
        <v>31</v>
      </c>
      <c r="E1" s="2" t="s">
        <v>32</v>
      </c>
      <c r="G1" t="s">
        <v>33</v>
      </c>
      <c r="I1" t="s">
        <v>34</v>
      </c>
    </row>
    <row r="2" spans="1:9">
      <c r="A2" s="2" t="s">
        <v>35</v>
      </c>
      <c r="C2" t="s">
        <v>36</v>
      </c>
      <c r="E2" s="2" t="s">
        <v>37</v>
      </c>
      <c r="G2" t="s">
        <v>38</v>
      </c>
      <c r="I2" t="s">
        <v>39</v>
      </c>
    </row>
    <row r="3" spans="1:9">
      <c r="A3" s="2" t="s">
        <v>40</v>
      </c>
      <c r="E3" s="2" t="s">
        <v>41</v>
      </c>
      <c r="G3" t="s">
        <v>42</v>
      </c>
      <c r="I3" t="s">
        <v>43</v>
      </c>
    </row>
    <row r="4" spans="1:9">
      <c r="A4" s="2" t="s">
        <v>44</v>
      </c>
      <c r="E4" s="2" t="s">
        <v>45</v>
      </c>
      <c r="I4" t="s">
        <v>44</v>
      </c>
    </row>
    <row r="5" spans="1:9">
      <c r="E5" s="2" t="s">
        <v>46</v>
      </c>
    </row>
    <row r="6" spans="1:9">
      <c r="E6" s="2" t="s">
        <v>47</v>
      </c>
    </row>
    <row r="7" spans="1:9">
      <c r="E7" s="2"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90"/>
  <sheetViews>
    <sheetView workbookViewId="0">
      <pane xSplit="3" ySplit="8" topLeftCell="D9" activePane="bottomRight" state="frozen"/>
      <selection pane="topRight"/>
      <selection pane="bottomLeft"/>
      <selection pane="bottomRight" activeCell="B9" sqref="B9:B20"/>
    </sheetView>
  </sheetViews>
  <sheetFormatPr defaultColWidth="26.28515625" defaultRowHeight="15"/>
  <cols>
    <col min="1" max="1" width="20.85546875" style="357" customWidth="1"/>
    <col min="2" max="2" width="27" style="358" customWidth="1"/>
    <col min="3" max="3" width="26" style="358" customWidth="1"/>
    <col min="4" max="4" width="83.42578125" style="358" customWidth="1"/>
    <col min="5" max="5" width="14.7109375" style="358" customWidth="1"/>
    <col min="6" max="6" width="28.140625" style="358" customWidth="1"/>
    <col min="7" max="7" width="66.7109375" style="358" customWidth="1"/>
    <col min="8" max="16384" width="26.28515625" style="358"/>
  </cols>
  <sheetData>
    <row r="1" spans="1:7" s="357" customFormat="1">
      <c r="A1" s="359" t="s">
        <v>48</v>
      </c>
      <c r="B1" s="550" t="s">
        <v>49</v>
      </c>
      <c r="C1" s="551"/>
      <c r="D1" s="551"/>
      <c r="E1" s="361" t="s">
        <v>50</v>
      </c>
      <c r="F1" s="361" t="s">
        <v>51</v>
      </c>
      <c r="G1" s="362" t="s">
        <v>52</v>
      </c>
    </row>
    <row r="2" spans="1:7">
      <c r="A2" s="363" t="s">
        <v>53</v>
      </c>
      <c r="B2" s="552" t="s">
        <v>54</v>
      </c>
      <c r="C2" s="553"/>
      <c r="D2" s="553"/>
      <c r="E2" s="364" t="s">
        <v>55</v>
      </c>
      <c r="F2" s="364" t="s">
        <v>56</v>
      </c>
      <c r="G2" s="365" t="s">
        <v>57</v>
      </c>
    </row>
    <row r="3" spans="1:7" s="343" customFormat="1">
      <c r="A3" s="366" t="s">
        <v>58</v>
      </c>
      <c r="B3" s="554" t="s">
        <v>59</v>
      </c>
      <c r="C3" s="555"/>
      <c r="D3" s="556"/>
      <c r="E3" s="126" t="s">
        <v>55</v>
      </c>
      <c r="F3" s="126" t="s">
        <v>56</v>
      </c>
      <c r="G3" s="367" t="s">
        <v>57</v>
      </c>
    </row>
    <row r="4" spans="1:7">
      <c r="A4" s="366" t="s">
        <v>60</v>
      </c>
      <c r="B4" s="545" t="s">
        <v>61</v>
      </c>
      <c r="C4" s="546"/>
      <c r="D4" s="547"/>
      <c r="E4" s="126" t="s">
        <v>62</v>
      </c>
      <c r="F4" s="126" t="s">
        <v>56</v>
      </c>
      <c r="G4" s="367" t="s">
        <v>57</v>
      </c>
    </row>
    <row r="5" spans="1:7">
      <c r="A5" s="368" t="s">
        <v>63</v>
      </c>
      <c r="B5" s="545" t="s">
        <v>64</v>
      </c>
      <c r="C5" s="546"/>
      <c r="D5" s="547"/>
      <c r="E5" s="126" t="s">
        <v>62</v>
      </c>
      <c r="F5" s="126" t="s">
        <v>56</v>
      </c>
      <c r="G5" s="367" t="s">
        <v>57</v>
      </c>
    </row>
    <row r="6" spans="1:7">
      <c r="A6" s="368" t="s">
        <v>65</v>
      </c>
      <c r="B6" s="545" t="s">
        <v>66</v>
      </c>
      <c r="C6" s="546"/>
      <c r="D6" s="547"/>
      <c r="E6" s="126" t="s">
        <v>67</v>
      </c>
      <c r="F6" s="126" t="s">
        <v>56</v>
      </c>
      <c r="G6" s="369"/>
    </row>
    <row r="7" spans="1:7">
      <c r="A7" s="370" t="s">
        <v>68</v>
      </c>
      <c r="B7" s="548" t="s">
        <v>69</v>
      </c>
      <c r="C7" s="549"/>
      <c r="D7" s="549"/>
      <c r="E7" s="371" t="s">
        <v>67</v>
      </c>
      <c r="F7" s="371"/>
      <c r="G7" s="372"/>
    </row>
    <row r="8" spans="1:7" s="357" customFormat="1">
      <c r="A8" s="359" t="s">
        <v>48</v>
      </c>
      <c r="B8" s="360" t="s">
        <v>1</v>
      </c>
      <c r="C8" s="361" t="s">
        <v>70</v>
      </c>
      <c r="D8" s="361" t="s">
        <v>49</v>
      </c>
      <c r="E8" s="361" t="s">
        <v>50</v>
      </c>
      <c r="F8" s="361" t="s">
        <v>51</v>
      </c>
      <c r="G8" s="362" t="s">
        <v>52</v>
      </c>
    </row>
    <row r="9" spans="1:7" ht="105">
      <c r="A9" s="511" t="s">
        <v>53</v>
      </c>
      <c r="B9" s="514" t="s">
        <v>71</v>
      </c>
      <c r="C9" s="373" t="s">
        <v>72</v>
      </c>
      <c r="D9" s="137" t="s">
        <v>73</v>
      </c>
      <c r="E9" s="137" t="s">
        <v>55</v>
      </c>
      <c r="F9" s="137" t="s">
        <v>74</v>
      </c>
      <c r="G9" s="374" t="s">
        <v>75</v>
      </c>
    </row>
    <row r="10" spans="1:7" ht="75">
      <c r="A10" s="512"/>
      <c r="B10" s="515"/>
      <c r="C10" s="375" t="s">
        <v>76</v>
      </c>
      <c r="D10" s="141" t="s">
        <v>77</v>
      </c>
      <c r="E10" s="141" t="s">
        <v>55</v>
      </c>
      <c r="F10" s="141" t="s">
        <v>74</v>
      </c>
      <c r="G10" s="376" t="s">
        <v>78</v>
      </c>
    </row>
    <row r="11" spans="1:7" ht="45">
      <c r="A11" s="512"/>
      <c r="B11" s="515"/>
      <c r="C11" s="375" t="s">
        <v>79</v>
      </c>
      <c r="D11" s="141" t="s">
        <v>80</v>
      </c>
      <c r="E11" s="141" t="s">
        <v>81</v>
      </c>
      <c r="F11" s="141" t="s">
        <v>74</v>
      </c>
      <c r="G11" s="377" t="s">
        <v>82</v>
      </c>
    </row>
    <row r="12" spans="1:7" ht="120">
      <c r="A12" s="512"/>
      <c r="B12" s="515"/>
      <c r="C12" s="375" t="s">
        <v>83</v>
      </c>
      <c r="D12" s="378" t="s">
        <v>84</v>
      </c>
      <c r="E12" s="141" t="s">
        <v>81</v>
      </c>
      <c r="F12" s="141" t="s">
        <v>74</v>
      </c>
      <c r="G12" s="376" t="s">
        <v>85</v>
      </c>
    </row>
    <row r="13" spans="1:7" ht="30">
      <c r="A13" s="512"/>
      <c r="B13" s="515"/>
      <c r="C13" s="375" t="s">
        <v>86</v>
      </c>
      <c r="D13" s="141" t="s">
        <v>87</v>
      </c>
      <c r="E13" s="141" t="s">
        <v>81</v>
      </c>
      <c r="F13" s="141" t="s">
        <v>74</v>
      </c>
      <c r="G13" s="377" t="s">
        <v>88</v>
      </c>
    </row>
    <row r="14" spans="1:7" ht="30">
      <c r="A14" s="512"/>
      <c r="B14" s="515"/>
      <c r="C14" s="375" t="s">
        <v>89</v>
      </c>
      <c r="D14" s="141" t="s">
        <v>90</v>
      </c>
      <c r="E14" s="141" t="s">
        <v>81</v>
      </c>
      <c r="F14" s="141" t="s">
        <v>74</v>
      </c>
      <c r="G14" s="377" t="s">
        <v>88</v>
      </c>
    </row>
    <row r="15" spans="1:7" ht="30">
      <c r="A15" s="512"/>
      <c r="B15" s="515"/>
      <c r="C15" s="379" t="s">
        <v>91</v>
      </c>
      <c r="D15" s="141" t="s">
        <v>92</v>
      </c>
      <c r="E15" s="141" t="s">
        <v>55</v>
      </c>
      <c r="F15" s="141" t="s">
        <v>74</v>
      </c>
      <c r="G15" s="377" t="s">
        <v>93</v>
      </c>
    </row>
    <row r="16" spans="1:7" ht="60">
      <c r="A16" s="512"/>
      <c r="B16" s="515"/>
      <c r="C16" s="375" t="s">
        <v>94</v>
      </c>
      <c r="D16" s="378" t="s">
        <v>95</v>
      </c>
      <c r="E16" s="141" t="s">
        <v>81</v>
      </c>
      <c r="F16" s="141" t="s">
        <v>74</v>
      </c>
      <c r="G16" s="376" t="s">
        <v>96</v>
      </c>
    </row>
    <row r="17" spans="1:7" ht="30">
      <c r="A17" s="512"/>
      <c r="B17" s="515"/>
      <c r="C17" s="375" t="s">
        <v>97</v>
      </c>
      <c r="D17" s="141" t="s">
        <v>98</v>
      </c>
      <c r="E17" s="141" t="s">
        <v>81</v>
      </c>
      <c r="F17" s="141" t="s">
        <v>74</v>
      </c>
      <c r="G17" s="377" t="s">
        <v>99</v>
      </c>
    </row>
    <row r="18" spans="1:7" ht="45">
      <c r="A18" s="512"/>
      <c r="B18" s="515"/>
      <c r="C18" s="375" t="s">
        <v>100</v>
      </c>
      <c r="D18" s="141" t="s">
        <v>101</v>
      </c>
      <c r="E18" s="141" t="s">
        <v>81</v>
      </c>
      <c r="F18" s="141" t="s">
        <v>74</v>
      </c>
      <c r="G18" s="377" t="s">
        <v>102</v>
      </c>
    </row>
    <row r="19" spans="1:7">
      <c r="A19" s="512"/>
      <c r="B19" s="515"/>
      <c r="C19" s="375" t="s">
        <v>103</v>
      </c>
      <c r="D19" s="141" t="s">
        <v>104</v>
      </c>
      <c r="E19" s="141" t="s">
        <v>81</v>
      </c>
      <c r="F19" s="141" t="s">
        <v>74</v>
      </c>
      <c r="G19" s="377" t="s">
        <v>105</v>
      </c>
    </row>
    <row r="20" spans="1:7" ht="105">
      <c r="A20" s="512"/>
      <c r="B20" s="516"/>
      <c r="C20" s="380" t="s">
        <v>1</v>
      </c>
      <c r="D20" s="381" t="s">
        <v>106</v>
      </c>
      <c r="E20" s="382" t="s">
        <v>81</v>
      </c>
      <c r="F20" s="382" t="s">
        <v>74</v>
      </c>
      <c r="G20" s="383" t="s">
        <v>107</v>
      </c>
    </row>
    <row r="21" spans="1:7" ht="45">
      <c r="A21" s="512"/>
      <c r="B21" s="517" t="s">
        <v>108</v>
      </c>
      <c r="C21" s="384" t="s">
        <v>109</v>
      </c>
      <c r="D21" s="385" t="s">
        <v>110</v>
      </c>
      <c r="E21" s="385" t="s">
        <v>81</v>
      </c>
      <c r="F21" s="385" t="s">
        <v>111</v>
      </c>
      <c r="G21" s="386" t="s">
        <v>112</v>
      </c>
    </row>
    <row r="22" spans="1:7" ht="30">
      <c r="A22" s="512"/>
      <c r="B22" s="518"/>
      <c r="C22" s="387" t="s">
        <v>113</v>
      </c>
      <c r="D22" s="388" t="s">
        <v>114</v>
      </c>
      <c r="E22" s="388" t="s">
        <v>81</v>
      </c>
      <c r="F22" s="388" t="s">
        <v>111</v>
      </c>
      <c r="G22" s="389" t="s">
        <v>115</v>
      </c>
    </row>
    <row r="23" spans="1:7">
      <c r="A23" s="512"/>
      <c r="B23" s="519"/>
      <c r="C23" s="390" t="s">
        <v>116</v>
      </c>
      <c r="D23" s="391" t="s">
        <v>117</v>
      </c>
      <c r="E23" s="391" t="s">
        <v>81</v>
      </c>
      <c r="F23" s="391" t="s">
        <v>111</v>
      </c>
      <c r="G23" s="392" t="s">
        <v>118</v>
      </c>
    </row>
    <row r="24" spans="1:7" ht="30" customHeight="1">
      <c r="A24" s="512"/>
      <c r="B24" s="520" t="s">
        <v>119</v>
      </c>
      <c r="C24" s="393" t="s">
        <v>120</v>
      </c>
      <c r="D24" s="394" t="s">
        <v>121</v>
      </c>
      <c r="E24" s="394" t="s">
        <v>81</v>
      </c>
      <c r="F24" s="394" t="s">
        <v>74</v>
      </c>
      <c r="G24" s="395" t="s">
        <v>122</v>
      </c>
    </row>
    <row r="25" spans="1:7" ht="30" customHeight="1">
      <c r="A25" s="512"/>
      <c r="B25" s="521"/>
      <c r="C25" s="387" t="s">
        <v>123</v>
      </c>
      <c r="D25" s="396" t="s">
        <v>124</v>
      </c>
      <c r="E25" s="396" t="s">
        <v>81</v>
      </c>
      <c r="F25" s="396" t="s">
        <v>125</v>
      </c>
      <c r="G25" s="505" t="s">
        <v>126</v>
      </c>
    </row>
    <row r="26" spans="1:7" ht="30">
      <c r="A26" s="512"/>
      <c r="B26" s="521"/>
      <c r="C26" s="397" t="s">
        <v>127</v>
      </c>
      <c r="D26" s="396" t="s">
        <v>128</v>
      </c>
      <c r="E26" s="396" t="s">
        <v>81</v>
      </c>
      <c r="F26" s="396" t="s">
        <v>125</v>
      </c>
      <c r="G26" s="506"/>
    </row>
    <row r="27" spans="1:7">
      <c r="A27" s="512"/>
      <c r="B27" s="521"/>
      <c r="C27" s="387" t="s">
        <v>30</v>
      </c>
      <c r="D27" s="396" t="s">
        <v>129</v>
      </c>
      <c r="E27" s="396" t="s">
        <v>81</v>
      </c>
      <c r="F27" s="396" t="s">
        <v>125</v>
      </c>
      <c r="G27" s="506"/>
    </row>
    <row r="28" spans="1:7">
      <c r="A28" s="512"/>
      <c r="B28" s="521"/>
      <c r="C28" s="387" t="s">
        <v>130</v>
      </c>
      <c r="D28" s="396" t="s">
        <v>131</v>
      </c>
      <c r="E28" s="396" t="s">
        <v>81</v>
      </c>
      <c r="F28" s="396" t="s">
        <v>125</v>
      </c>
      <c r="G28" s="506"/>
    </row>
    <row r="29" spans="1:7">
      <c r="A29" s="512"/>
      <c r="B29" s="521"/>
      <c r="C29" s="387" t="s">
        <v>35</v>
      </c>
      <c r="D29" s="396" t="s">
        <v>132</v>
      </c>
      <c r="E29" s="396" t="s">
        <v>81</v>
      </c>
      <c r="F29" s="396" t="s">
        <v>125</v>
      </c>
      <c r="G29" s="506"/>
    </row>
    <row r="30" spans="1:7">
      <c r="A30" s="512"/>
      <c r="B30" s="521"/>
      <c r="C30" s="387" t="s">
        <v>133</v>
      </c>
      <c r="D30" s="396" t="s">
        <v>134</v>
      </c>
      <c r="E30" s="396" t="s">
        <v>81</v>
      </c>
      <c r="F30" s="396" t="s">
        <v>125</v>
      </c>
      <c r="G30" s="506"/>
    </row>
    <row r="31" spans="1:7">
      <c r="A31" s="512"/>
      <c r="B31" s="521"/>
      <c r="C31" s="397" t="s">
        <v>135</v>
      </c>
      <c r="D31" s="396" t="s">
        <v>136</v>
      </c>
      <c r="E31" s="396" t="s">
        <v>81</v>
      </c>
      <c r="F31" s="396" t="s">
        <v>125</v>
      </c>
      <c r="G31" s="506"/>
    </row>
    <row r="32" spans="1:7" ht="30">
      <c r="A32" s="512"/>
      <c r="B32" s="522"/>
      <c r="C32" s="398" t="s">
        <v>137</v>
      </c>
      <c r="D32" s="399" t="s">
        <v>138</v>
      </c>
      <c r="E32" s="399" t="s">
        <v>81</v>
      </c>
      <c r="F32" s="399" t="s">
        <v>125</v>
      </c>
      <c r="G32" s="507"/>
    </row>
    <row r="33" spans="1:7" ht="30">
      <c r="A33" s="512"/>
      <c r="B33" s="523" t="s">
        <v>139</v>
      </c>
      <c r="C33" s="400" t="s">
        <v>127</v>
      </c>
      <c r="D33" s="401" t="s">
        <v>140</v>
      </c>
      <c r="E33" s="401" t="s">
        <v>81</v>
      </c>
      <c r="F33" s="401" t="s">
        <v>141</v>
      </c>
      <c r="G33" s="402" t="s">
        <v>142</v>
      </c>
    </row>
    <row r="34" spans="1:7">
      <c r="A34" s="512"/>
      <c r="B34" s="524"/>
      <c r="C34" s="375" t="s">
        <v>30</v>
      </c>
      <c r="D34" s="403" t="s">
        <v>143</v>
      </c>
      <c r="E34" s="403" t="s">
        <v>81</v>
      </c>
      <c r="F34" s="403" t="s">
        <v>141</v>
      </c>
      <c r="G34" s="404"/>
    </row>
    <row r="35" spans="1:7">
      <c r="A35" s="512"/>
      <c r="B35" s="524"/>
      <c r="C35" s="375" t="s">
        <v>130</v>
      </c>
      <c r="D35" s="403" t="s">
        <v>144</v>
      </c>
      <c r="E35" s="403" t="s">
        <v>81</v>
      </c>
      <c r="F35" s="403" t="s">
        <v>141</v>
      </c>
      <c r="G35" s="404" t="s">
        <v>145</v>
      </c>
    </row>
    <row r="36" spans="1:7">
      <c r="A36" s="512"/>
      <c r="B36" s="524"/>
      <c r="C36" s="375" t="s">
        <v>35</v>
      </c>
      <c r="D36" s="403" t="s">
        <v>146</v>
      </c>
      <c r="E36" s="403" t="s">
        <v>81</v>
      </c>
      <c r="F36" s="403" t="s">
        <v>141</v>
      </c>
      <c r="G36" s="405"/>
    </row>
    <row r="37" spans="1:7">
      <c r="A37" s="512"/>
      <c r="B37" s="524"/>
      <c r="C37" s="375" t="s">
        <v>133</v>
      </c>
      <c r="D37" s="403" t="s">
        <v>147</v>
      </c>
      <c r="E37" s="403" t="s">
        <v>81</v>
      </c>
      <c r="F37" s="403" t="s">
        <v>141</v>
      </c>
      <c r="G37" s="404" t="s">
        <v>148</v>
      </c>
    </row>
    <row r="38" spans="1:7">
      <c r="A38" s="512"/>
      <c r="B38" s="524"/>
      <c r="C38" s="406" t="s">
        <v>135</v>
      </c>
      <c r="D38" s="403" t="s">
        <v>149</v>
      </c>
      <c r="E38" s="403" t="s">
        <v>81</v>
      </c>
      <c r="F38" s="403" t="s">
        <v>141</v>
      </c>
      <c r="G38" s="404"/>
    </row>
    <row r="39" spans="1:7" ht="30">
      <c r="A39" s="512"/>
      <c r="B39" s="524"/>
      <c r="C39" s="387" t="s">
        <v>150</v>
      </c>
      <c r="D39" s="403" t="s">
        <v>151</v>
      </c>
      <c r="E39" s="403" t="s">
        <v>81</v>
      </c>
      <c r="F39" s="403" t="s">
        <v>141</v>
      </c>
      <c r="G39" s="404"/>
    </row>
    <row r="40" spans="1:7" ht="30">
      <c r="A40" s="512"/>
      <c r="B40" s="524"/>
      <c r="C40" s="406" t="s">
        <v>152</v>
      </c>
      <c r="D40" s="403" t="s">
        <v>153</v>
      </c>
      <c r="E40" s="403" t="s">
        <v>55</v>
      </c>
      <c r="F40" s="403" t="s">
        <v>141</v>
      </c>
      <c r="G40" s="404" t="s">
        <v>154</v>
      </c>
    </row>
    <row r="41" spans="1:7" ht="45">
      <c r="A41" s="512"/>
      <c r="B41" s="525"/>
      <c r="C41" s="407" t="s">
        <v>155</v>
      </c>
      <c r="D41" s="408" t="s">
        <v>156</v>
      </c>
      <c r="E41" s="408" t="s">
        <v>81</v>
      </c>
      <c r="F41" s="408" t="s">
        <v>141</v>
      </c>
      <c r="G41" s="409" t="s">
        <v>157</v>
      </c>
    </row>
    <row r="42" spans="1:7" ht="135">
      <c r="A42" s="511" t="s">
        <v>58</v>
      </c>
      <c r="B42" s="410" t="s">
        <v>158</v>
      </c>
      <c r="C42" s="373" t="s">
        <v>83</v>
      </c>
      <c r="D42" s="411" t="s">
        <v>159</v>
      </c>
      <c r="E42" s="411" t="s">
        <v>81</v>
      </c>
      <c r="F42" s="411" t="s">
        <v>74</v>
      </c>
      <c r="G42" s="412" t="s">
        <v>160</v>
      </c>
    </row>
    <row r="43" spans="1:7" ht="15" customHeight="1">
      <c r="A43" s="512"/>
      <c r="B43" s="526" t="s">
        <v>161</v>
      </c>
      <c r="C43" s="413" t="s">
        <v>162</v>
      </c>
      <c r="D43" s="414" t="s">
        <v>163</v>
      </c>
      <c r="E43" s="414" t="s">
        <v>62</v>
      </c>
      <c r="F43" s="414" t="s">
        <v>74</v>
      </c>
      <c r="G43" s="415" t="s">
        <v>164</v>
      </c>
    </row>
    <row r="44" spans="1:7" ht="30">
      <c r="A44" s="512"/>
      <c r="B44" s="527"/>
      <c r="C44" s="416" t="s">
        <v>123</v>
      </c>
      <c r="D44" s="417" t="s">
        <v>165</v>
      </c>
      <c r="E44" s="417" t="s">
        <v>62</v>
      </c>
      <c r="F44" s="417" t="s">
        <v>74</v>
      </c>
      <c r="G44" s="418" t="s">
        <v>164</v>
      </c>
    </row>
    <row r="45" spans="1:7" ht="30">
      <c r="A45" s="512"/>
      <c r="B45" s="527"/>
      <c r="C45" s="416" t="s">
        <v>100</v>
      </c>
      <c r="D45" s="417" t="s">
        <v>166</v>
      </c>
      <c r="E45" s="417" t="s">
        <v>62</v>
      </c>
      <c r="F45" s="417" t="s">
        <v>74</v>
      </c>
      <c r="G45" s="418" t="s">
        <v>167</v>
      </c>
    </row>
    <row r="46" spans="1:7">
      <c r="A46" s="512"/>
      <c r="B46" s="527"/>
      <c r="C46" s="416" t="s">
        <v>168</v>
      </c>
      <c r="D46" s="417" t="s">
        <v>169</v>
      </c>
      <c r="E46" s="417" t="s">
        <v>62</v>
      </c>
      <c r="F46" s="417" t="s">
        <v>74</v>
      </c>
      <c r="G46" s="418" t="s">
        <v>164</v>
      </c>
    </row>
    <row r="47" spans="1:7">
      <c r="A47" s="512"/>
      <c r="B47" s="528"/>
      <c r="C47" s="419" t="s">
        <v>170</v>
      </c>
      <c r="D47" s="420" t="s">
        <v>171</v>
      </c>
      <c r="E47" s="417" t="s">
        <v>62</v>
      </c>
      <c r="F47" s="420" t="s">
        <v>74</v>
      </c>
      <c r="G47" s="421" t="s">
        <v>164</v>
      </c>
    </row>
    <row r="48" spans="1:7" ht="30">
      <c r="A48" s="512"/>
      <c r="B48" s="529" t="s">
        <v>172</v>
      </c>
      <c r="C48" s="422" t="s">
        <v>127</v>
      </c>
      <c r="D48" s="423" t="s">
        <v>173</v>
      </c>
      <c r="E48" s="423" t="s">
        <v>62</v>
      </c>
      <c r="F48" s="423" t="s">
        <v>125</v>
      </c>
      <c r="G48" s="508" t="s">
        <v>174</v>
      </c>
    </row>
    <row r="49" spans="1:7" ht="30">
      <c r="A49" s="512"/>
      <c r="B49" s="529"/>
      <c r="C49" s="424" t="s">
        <v>30</v>
      </c>
      <c r="D49" s="425" t="s">
        <v>175</v>
      </c>
      <c r="E49" s="425" t="s">
        <v>62</v>
      </c>
      <c r="F49" s="425" t="s">
        <v>125</v>
      </c>
      <c r="G49" s="509"/>
    </row>
    <row r="50" spans="1:7" ht="30">
      <c r="A50" s="512"/>
      <c r="B50" s="529"/>
      <c r="C50" s="424" t="s">
        <v>130</v>
      </c>
      <c r="D50" s="425" t="s">
        <v>176</v>
      </c>
      <c r="E50" s="425" t="s">
        <v>62</v>
      </c>
      <c r="F50" s="425" t="s">
        <v>125</v>
      </c>
      <c r="G50" s="509"/>
    </row>
    <row r="51" spans="1:7" ht="30">
      <c r="A51" s="512"/>
      <c r="B51" s="529"/>
      <c r="C51" s="424" t="s">
        <v>35</v>
      </c>
      <c r="D51" s="425" t="s">
        <v>177</v>
      </c>
      <c r="E51" s="425" t="s">
        <v>62</v>
      </c>
      <c r="F51" s="425" t="s">
        <v>125</v>
      </c>
      <c r="G51" s="509"/>
    </row>
    <row r="52" spans="1:7" ht="30">
      <c r="A52" s="512"/>
      <c r="B52" s="529"/>
      <c r="C52" s="424" t="s">
        <v>133</v>
      </c>
      <c r="D52" s="425" t="s">
        <v>178</v>
      </c>
      <c r="E52" s="425" t="s">
        <v>62</v>
      </c>
      <c r="F52" s="425" t="s">
        <v>125</v>
      </c>
      <c r="G52" s="509"/>
    </row>
    <row r="53" spans="1:7" ht="30">
      <c r="A53" s="512"/>
      <c r="B53" s="529"/>
      <c r="C53" s="424" t="s">
        <v>179</v>
      </c>
      <c r="D53" s="425" t="s">
        <v>180</v>
      </c>
      <c r="E53" s="425" t="s">
        <v>62</v>
      </c>
      <c r="F53" s="425" t="s">
        <v>125</v>
      </c>
      <c r="G53" s="509"/>
    </row>
    <row r="54" spans="1:7">
      <c r="A54" s="512"/>
      <c r="B54" s="529"/>
      <c r="C54" s="424" t="s">
        <v>135</v>
      </c>
      <c r="D54" s="425" t="s">
        <v>181</v>
      </c>
      <c r="E54" s="425" t="s">
        <v>62</v>
      </c>
      <c r="F54" s="425" t="s">
        <v>125</v>
      </c>
      <c r="G54" s="509"/>
    </row>
    <row r="55" spans="1:7" ht="30">
      <c r="A55" s="512"/>
      <c r="B55" s="530"/>
      <c r="C55" s="426" t="s">
        <v>182</v>
      </c>
      <c r="D55" s="427" t="s">
        <v>183</v>
      </c>
      <c r="E55" s="427" t="s">
        <v>62</v>
      </c>
      <c r="F55" s="427" t="s">
        <v>125</v>
      </c>
      <c r="G55" s="510"/>
    </row>
    <row r="56" spans="1:7" ht="30">
      <c r="A56" s="512"/>
      <c r="B56" s="531" t="s">
        <v>139</v>
      </c>
      <c r="C56" s="428" t="s">
        <v>127</v>
      </c>
      <c r="D56" s="429" t="s">
        <v>184</v>
      </c>
      <c r="E56" s="429" t="s">
        <v>62</v>
      </c>
      <c r="F56" s="429" t="s">
        <v>141</v>
      </c>
      <c r="G56" s="430" t="s">
        <v>164</v>
      </c>
    </row>
    <row r="57" spans="1:7" ht="30">
      <c r="A57" s="512"/>
      <c r="B57" s="532"/>
      <c r="C57" s="431" t="s">
        <v>30</v>
      </c>
      <c r="D57" s="432" t="s">
        <v>185</v>
      </c>
      <c r="E57" s="432" t="s">
        <v>62</v>
      </c>
      <c r="F57" s="432" t="s">
        <v>141</v>
      </c>
      <c r="G57" s="433" t="s">
        <v>164</v>
      </c>
    </row>
    <row r="58" spans="1:7" ht="30">
      <c r="A58" s="512"/>
      <c r="B58" s="532"/>
      <c r="C58" s="431" t="s">
        <v>130</v>
      </c>
      <c r="D58" s="432" t="s">
        <v>186</v>
      </c>
      <c r="E58" s="432" t="s">
        <v>62</v>
      </c>
      <c r="F58" s="432" t="s">
        <v>141</v>
      </c>
      <c r="G58" s="433" t="s">
        <v>164</v>
      </c>
    </row>
    <row r="59" spans="1:7">
      <c r="A59" s="512"/>
      <c r="B59" s="532"/>
      <c r="C59" s="431" t="s">
        <v>35</v>
      </c>
      <c r="D59" s="432" t="s">
        <v>187</v>
      </c>
      <c r="E59" s="432" t="s">
        <v>62</v>
      </c>
      <c r="F59" s="432" t="s">
        <v>141</v>
      </c>
      <c r="G59" s="433" t="s">
        <v>164</v>
      </c>
    </row>
    <row r="60" spans="1:7" ht="30">
      <c r="A60" s="512"/>
      <c r="B60" s="532"/>
      <c r="C60" s="431" t="s">
        <v>133</v>
      </c>
      <c r="D60" s="432" t="s">
        <v>188</v>
      </c>
      <c r="E60" s="432" t="s">
        <v>62</v>
      </c>
      <c r="F60" s="432" t="s">
        <v>141</v>
      </c>
      <c r="G60" s="433" t="s">
        <v>164</v>
      </c>
    </row>
    <row r="61" spans="1:7">
      <c r="A61" s="512"/>
      <c r="B61" s="532"/>
      <c r="C61" s="431" t="s">
        <v>179</v>
      </c>
      <c r="D61" s="432" t="s">
        <v>189</v>
      </c>
      <c r="E61" s="432" t="s">
        <v>62</v>
      </c>
      <c r="F61" s="432" t="s">
        <v>141</v>
      </c>
      <c r="G61" s="433" t="s">
        <v>164</v>
      </c>
    </row>
    <row r="62" spans="1:7">
      <c r="A62" s="512"/>
      <c r="B62" s="532"/>
      <c r="C62" s="431" t="s">
        <v>135</v>
      </c>
      <c r="D62" s="432" t="s">
        <v>190</v>
      </c>
      <c r="E62" s="432" t="s">
        <v>62</v>
      </c>
      <c r="F62" s="432" t="s">
        <v>141</v>
      </c>
      <c r="G62" s="433" t="s">
        <v>164</v>
      </c>
    </row>
    <row r="63" spans="1:7">
      <c r="A63" s="513"/>
      <c r="B63" s="533"/>
      <c r="C63" s="434" t="s">
        <v>182</v>
      </c>
      <c r="D63" s="435" t="s">
        <v>191</v>
      </c>
      <c r="E63" s="435" t="s">
        <v>62</v>
      </c>
      <c r="F63" s="435" t="s">
        <v>141</v>
      </c>
      <c r="G63" s="436" t="s">
        <v>164</v>
      </c>
    </row>
    <row r="64" spans="1:7" ht="120">
      <c r="A64" s="512" t="s">
        <v>60</v>
      </c>
      <c r="B64" s="534" t="s">
        <v>192</v>
      </c>
      <c r="C64" s="384" t="s">
        <v>72</v>
      </c>
      <c r="D64" s="437" t="s">
        <v>193</v>
      </c>
      <c r="E64" s="437" t="s">
        <v>55</v>
      </c>
      <c r="F64" s="437" t="s">
        <v>74</v>
      </c>
      <c r="G64" s="438" t="s">
        <v>194</v>
      </c>
    </row>
    <row r="65" spans="1:7" ht="60">
      <c r="A65" s="512"/>
      <c r="B65" s="535"/>
      <c r="C65" s="387" t="s">
        <v>76</v>
      </c>
      <c r="D65" s="439" t="s">
        <v>77</v>
      </c>
      <c r="E65" s="439" t="s">
        <v>55</v>
      </c>
      <c r="F65" s="439" t="s">
        <v>74</v>
      </c>
      <c r="G65" s="440" t="s">
        <v>195</v>
      </c>
    </row>
    <row r="66" spans="1:7" ht="30">
      <c r="A66" s="512"/>
      <c r="B66" s="535"/>
      <c r="C66" s="387" t="s">
        <v>91</v>
      </c>
      <c r="D66" s="439" t="s">
        <v>92</v>
      </c>
      <c r="E66" s="439" t="s">
        <v>55</v>
      </c>
      <c r="F66" s="439" t="s">
        <v>74</v>
      </c>
      <c r="G66" s="441" t="s">
        <v>196</v>
      </c>
    </row>
    <row r="67" spans="1:7" ht="30">
      <c r="A67" s="512"/>
      <c r="B67" s="535"/>
      <c r="C67" s="387" t="s">
        <v>197</v>
      </c>
      <c r="D67" s="439" t="s">
        <v>198</v>
      </c>
      <c r="E67" s="439" t="s">
        <v>55</v>
      </c>
      <c r="F67" s="439" t="s">
        <v>74</v>
      </c>
      <c r="G67" s="441" t="s">
        <v>199</v>
      </c>
    </row>
    <row r="68" spans="1:7">
      <c r="A68" s="512"/>
      <c r="B68" s="535"/>
      <c r="C68" s="387" t="s">
        <v>1</v>
      </c>
      <c r="D68" s="439" t="s">
        <v>200</v>
      </c>
      <c r="E68" s="439" t="s">
        <v>55</v>
      </c>
      <c r="F68" s="439" t="s">
        <v>74</v>
      </c>
      <c r="G68" s="441" t="s">
        <v>201</v>
      </c>
    </row>
    <row r="69" spans="1:7">
      <c r="A69" s="512"/>
      <c r="B69" s="536"/>
      <c r="C69" s="398" t="s">
        <v>202</v>
      </c>
      <c r="D69" s="442" t="s">
        <v>203</v>
      </c>
      <c r="E69" s="442" t="s">
        <v>55</v>
      </c>
      <c r="F69" s="442" t="s">
        <v>74</v>
      </c>
      <c r="G69" s="443"/>
    </row>
    <row r="70" spans="1:7" ht="150">
      <c r="A70" s="511" t="s">
        <v>63</v>
      </c>
      <c r="B70" s="514" t="s">
        <v>71</v>
      </c>
      <c r="C70" s="444" t="s">
        <v>72</v>
      </c>
      <c r="D70" s="445" t="s">
        <v>204</v>
      </c>
      <c r="E70" s="445" t="s">
        <v>55</v>
      </c>
      <c r="F70" s="445" t="s">
        <v>74</v>
      </c>
      <c r="G70" s="446" t="s">
        <v>205</v>
      </c>
    </row>
    <row r="71" spans="1:7">
      <c r="A71" s="512"/>
      <c r="B71" s="515"/>
      <c r="C71" s="379" t="s">
        <v>76</v>
      </c>
      <c r="D71" s="141" t="s">
        <v>77</v>
      </c>
      <c r="E71" s="141" t="s">
        <v>55</v>
      </c>
      <c r="F71" s="141" t="s">
        <v>74</v>
      </c>
      <c r="G71" s="377" t="s">
        <v>164</v>
      </c>
    </row>
    <row r="72" spans="1:7" ht="30">
      <c r="A72" s="512"/>
      <c r="B72" s="515"/>
      <c r="C72" s="379" t="s">
        <v>91</v>
      </c>
      <c r="D72" s="141" t="s">
        <v>92</v>
      </c>
      <c r="E72" s="141" t="s">
        <v>55</v>
      </c>
      <c r="F72" s="141" t="s">
        <v>74</v>
      </c>
      <c r="G72" s="377" t="s">
        <v>206</v>
      </c>
    </row>
    <row r="73" spans="1:7">
      <c r="A73" s="512"/>
      <c r="B73" s="515"/>
      <c r="C73" s="379" t="s">
        <v>207</v>
      </c>
      <c r="D73" s="141" t="s">
        <v>208</v>
      </c>
      <c r="E73" s="141" t="s">
        <v>81</v>
      </c>
      <c r="F73" s="141" t="s">
        <v>74</v>
      </c>
      <c r="G73" s="377" t="s">
        <v>164</v>
      </c>
    </row>
    <row r="74" spans="1:7" ht="60" customHeight="1">
      <c r="A74" s="512"/>
      <c r="B74" s="515"/>
      <c r="C74" s="379" t="s">
        <v>83</v>
      </c>
      <c r="D74" s="141" t="s">
        <v>209</v>
      </c>
      <c r="E74" s="141" t="s">
        <v>81</v>
      </c>
      <c r="F74" s="141" t="s">
        <v>74</v>
      </c>
      <c r="G74" s="377" t="s">
        <v>164</v>
      </c>
    </row>
    <row r="75" spans="1:7">
      <c r="A75" s="512"/>
      <c r="B75" s="515"/>
      <c r="C75" s="379" t="s">
        <v>1</v>
      </c>
      <c r="D75" s="141" t="s">
        <v>200</v>
      </c>
      <c r="E75" s="141" t="s">
        <v>81</v>
      </c>
      <c r="F75" s="141" t="s">
        <v>74</v>
      </c>
      <c r="G75" s="377" t="s">
        <v>164</v>
      </c>
    </row>
    <row r="76" spans="1:7" ht="90">
      <c r="A76" s="512"/>
      <c r="B76" s="515"/>
      <c r="C76" s="379" t="s">
        <v>210</v>
      </c>
      <c r="D76" s="141" t="s">
        <v>211</v>
      </c>
      <c r="E76" s="141" t="s">
        <v>55</v>
      </c>
      <c r="F76" s="141" t="s">
        <v>74</v>
      </c>
      <c r="G76" s="376" t="s">
        <v>212</v>
      </c>
    </row>
    <row r="77" spans="1:7" ht="90">
      <c r="A77" s="512"/>
      <c r="B77" s="515"/>
      <c r="C77" s="379" t="s">
        <v>213</v>
      </c>
      <c r="D77" s="141" t="s">
        <v>214</v>
      </c>
      <c r="E77" s="141" t="s">
        <v>55</v>
      </c>
      <c r="F77" s="141" t="s">
        <v>74</v>
      </c>
      <c r="G77" s="376" t="s">
        <v>215</v>
      </c>
    </row>
    <row r="78" spans="1:7" ht="30">
      <c r="A78" s="512"/>
      <c r="B78" s="515"/>
      <c r="C78" s="379" t="s">
        <v>100</v>
      </c>
      <c r="D78" s="141" t="s">
        <v>166</v>
      </c>
      <c r="E78" s="141" t="s">
        <v>81</v>
      </c>
      <c r="F78" s="141" t="s">
        <v>74</v>
      </c>
      <c r="G78" s="377" t="s">
        <v>167</v>
      </c>
    </row>
    <row r="79" spans="1:7" ht="30">
      <c r="A79" s="512"/>
      <c r="B79" s="516"/>
      <c r="C79" s="447" t="s">
        <v>216</v>
      </c>
      <c r="D79" s="183" t="s">
        <v>217</v>
      </c>
      <c r="E79" s="183" t="s">
        <v>55</v>
      </c>
      <c r="F79" s="183" t="s">
        <v>74</v>
      </c>
      <c r="G79" s="448" t="s">
        <v>218</v>
      </c>
    </row>
    <row r="80" spans="1:7" ht="30">
      <c r="A80" s="512"/>
      <c r="B80" s="537" t="s">
        <v>108</v>
      </c>
      <c r="C80" s="449" t="s">
        <v>109</v>
      </c>
      <c r="D80" s="385" t="s">
        <v>219</v>
      </c>
      <c r="E80" s="385" t="s">
        <v>55</v>
      </c>
      <c r="F80" s="385" t="s">
        <v>220</v>
      </c>
      <c r="G80" s="450" t="s">
        <v>218</v>
      </c>
    </row>
    <row r="81" spans="1:7" ht="30">
      <c r="A81" s="512"/>
      <c r="B81" s="538"/>
      <c r="C81" s="451" t="s">
        <v>116</v>
      </c>
      <c r="D81" s="391" t="s">
        <v>221</v>
      </c>
      <c r="E81" s="391" t="s">
        <v>55</v>
      </c>
      <c r="F81" s="391" t="s">
        <v>220</v>
      </c>
      <c r="G81" s="392" t="s">
        <v>218</v>
      </c>
    </row>
    <row r="82" spans="1:7" ht="30">
      <c r="A82" s="512"/>
      <c r="B82" s="539" t="s">
        <v>119</v>
      </c>
      <c r="C82" s="452" t="s">
        <v>222</v>
      </c>
      <c r="D82" s="453" t="s">
        <v>223</v>
      </c>
      <c r="E82" s="453" t="s">
        <v>55</v>
      </c>
      <c r="F82" s="453" t="s">
        <v>74</v>
      </c>
      <c r="G82" s="454" t="s">
        <v>218</v>
      </c>
    </row>
    <row r="83" spans="1:7" ht="30">
      <c r="A83" s="512"/>
      <c r="B83" s="540"/>
      <c r="C83" s="455" t="s">
        <v>224</v>
      </c>
      <c r="D83" s="396" t="s">
        <v>225</v>
      </c>
      <c r="E83" s="396" t="s">
        <v>55</v>
      </c>
      <c r="F83" s="396" t="s">
        <v>220</v>
      </c>
      <c r="G83" s="456" t="s">
        <v>218</v>
      </c>
    </row>
    <row r="84" spans="1:7" ht="30">
      <c r="A84" s="512"/>
      <c r="B84" s="541"/>
      <c r="C84" s="457" t="s">
        <v>182</v>
      </c>
      <c r="D84" s="458" t="s">
        <v>226</v>
      </c>
      <c r="E84" s="458" t="s">
        <v>55</v>
      </c>
      <c r="F84" s="458" t="s">
        <v>220</v>
      </c>
      <c r="G84" s="459" t="s">
        <v>218</v>
      </c>
    </row>
    <row r="85" spans="1:7" ht="30">
      <c r="A85" s="512"/>
      <c r="B85" s="542" t="s">
        <v>139</v>
      </c>
      <c r="C85" s="460" t="s">
        <v>227</v>
      </c>
      <c r="D85" s="461" t="s">
        <v>228</v>
      </c>
      <c r="E85" s="461" t="s">
        <v>55</v>
      </c>
      <c r="F85" s="461" t="s">
        <v>220</v>
      </c>
      <c r="G85" s="462" t="s">
        <v>218</v>
      </c>
    </row>
    <row r="86" spans="1:7" ht="30">
      <c r="A86" s="512"/>
      <c r="B86" s="543"/>
      <c r="C86" s="463" t="s">
        <v>224</v>
      </c>
      <c r="D86" s="403" t="s">
        <v>229</v>
      </c>
      <c r="E86" s="403" t="s">
        <v>55</v>
      </c>
      <c r="F86" s="403" t="s">
        <v>220</v>
      </c>
      <c r="G86" s="404" t="s">
        <v>218</v>
      </c>
    </row>
    <row r="87" spans="1:7" ht="30">
      <c r="A87" s="512"/>
      <c r="B87" s="543"/>
      <c r="C87" s="463" t="s">
        <v>179</v>
      </c>
      <c r="D87" s="403" t="s">
        <v>230</v>
      </c>
      <c r="E87" s="403" t="s">
        <v>55</v>
      </c>
      <c r="F87" s="403" t="s">
        <v>220</v>
      </c>
      <c r="G87" s="404" t="s">
        <v>218</v>
      </c>
    </row>
    <row r="88" spans="1:7" ht="30">
      <c r="A88" s="512"/>
      <c r="B88" s="543"/>
      <c r="C88" s="463" t="s">
        <v>135</v>
      </c>
      <c r="D88" s="403" t="s">
        <v>231</v>
      </c>
      <c r="E88" s="403" t="s">
        <v>55</v>
      </c>
      <c r="F88" s="403" t="s">
        <v>220</v>
      </c>
      <c r="G88" s="404" t="s">
        <v>218</v>
      </c>
    </row>
    <row r="89" spans="1:7" ht="45" customHeight="1">
      <c r="A89" s="512"/>
      <c r="B89" s="543"/>
      <c r="C89" s="463" t="s">
        <v>182</v>
      </c>
      <c r="D89" s="403" t="s">
        <v>232</v>
      </c>
      <c r="E89" s="403" t="s">
        <v>55</v>
      </c>
      <c r="F89" s="403" t="s">
        <v>220</v>
      </c>
      <c r="G89" s="404" t="s">
        <v>218</v>
      </c>
    </row>
    <row r="90" spans="1:7" ht="30">
      <c r="A90" s="513"/>
      <c r="B90" s="544"/>
      <c r="C90" s="407" t="s">
        <v>152</v>
      </c>
      <c r="D90" s="408" t="s">
        <v>153</v>
      </c>
      <c r="E90" s="408" t="s">
        <v>55</v>
      </c>
      <c r="F90" s="408" t="s">
        <v>233</v>
      </c>
      <c r="G90" s="409" t="s">
        <v>234</v>
      </c>
    </row>
  </sheetData>
  <mergeCells count="25">
    <mergeCell ref="B1:D1"/>
    <mergeCell ref="B2:D2"/>
    <mergeCell ref="B3:D3"/>
    <mergeCell ref="B4:D4"/>
    <mergeCell ref="B5:D5"/>
    <mergeCell ref="B6:D6"/>
    <mergeCell ref="B7:D7"/>
    <mergeCell ref="A9:A41"/>
    <mergeCell ref="A42:A63"/>
    <mergeCell ref="A64:A69"/>
    <mergeCell ref="G25:G32"/>
    <mergeCell ref="G48:G55"/>
    <mergeCell ref="A70:A90"/>
    <mergeCell ref="B9:B20"/>
    <mergeCell ref="B21:B23"/>
    <mergeCell ref="B24:B32"/>
    <mergeCell ref="B33:B41"/>
    <mergeCell ref="B43:B47"/>
    <mergeCell ref="B48:B55"/>
    <mergeCell ref="B56:B63"/>
    <mergeCell ref="B64:B69"/>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9"/>
  <sheetViews>
    <sheetView workbookViewId="0">
      <pane xSplit="1" ySplit="1" topLeftCell="B9" activePane="bottomRight" state="frozen"/>
      <selection pane="topRight"/>
      <selection pane="bottomLeft"/>
      <selection pane="bottomRight" activeCell="B25" sqref="B25"/>
    </sheetView>
  </sheetViews>
  <sheetFormatPr defaultColWidth="9.140625" defaultRowHeight="15"/>
  <cols>
    <col min="1" max="1" width="9.7109375" style="342" customWidth="1"/>
    <col min="2" max="2" width="123" style="343" customWidth="1"/>
    <col min="3" max="3" width="7.140625" style="343" customWidth="1"/>
    <col min="4" max="16384" width="9.140625" style="343"/>
  </cols>
  <sheetData>
    <row r="1" spans="1:3">
      <c r="A1" s="344" t="s">
        <v>0</v>
      </c>
      <c r="B1" s="345" t="s">
        <v>235</v>
      </c>
      <c r="C1" s="346" t="s">
        <v>236</v>
      </c>
    </row>
    <row r="2" spans="1:3">
      <c r="A2" s="347">
        <v>43807</v>
      </c>
      <c r="B2" s="348" t="s">
        <v>237</v>
      </c>
      <c r="C2" s="349" t="s">
        <v>11</v>
      </c>
    </row>
    <row r="3" spans="1:3" ht="30">
      <c r="A3" s="350">
        <v>43937</v>
      </c>
      <c r="B3" s="351" t="s">
        <v>238</v>
      </c>
      <c r="C3" s="352" t="s">
        <v>11</v>
      </c>
    </row>
    <row r="4" spans="1:3">
      <c r="A4" s="350">
        <v>43941</v>
      </c>
      <c r="B4" s="353" t="s">
        <v>239</v>
      </c>
      <c r="C4" s="352" t="s">
        <v>11</v>
      </c>
    </row>
    <row r="5" spans="1:3">
      <c r="A5" s="350">
        <v>43942</v>
      </c>
      <c r="B5" s="353" t="s">
        <v>240</v>
      </c>
      <c r="C5" s="352" t="s">
        <v>11</v>
      </c>
    </row>
    <row r="6" spans="1:3">
      <c r="A6" s="350">
        <v>43963</v>
      </c>
      <c r="B6" s="353" t="s">
        <v>241</v>
      </c>
      <c r="C6" s="352" t="s">
        <v>11</v>
      </c>
    </row>
    <row r="7" spans="1:3">
      <c r="A7" s="350">
        <v>43990</v>
      </c>
      <c r="B7" s="353" t="s">
        <v>242</v>
      </c>
      <c r="C7" s="352" t="s">
        <v>11</v>
      </c>
    </row>
    <row r="8" spans="1:3" ht="30">
      <c r="A8" s="350">
        <v>44104</v>
      </c>
      <c r="B8" s="351" t="s">
        <v>243</v>
      </c>
      <c r="C8" s="352" t="s">
        <v>244</v>
      </c>
    </row>
    <row r="9" spans="1:3" ht="150">
      <c r="A9" s="354">
        <v>44128</v>
      </c>
      <c r="B9" s="355" t="s">
        <v>245</v>
      </c>
      <c r="C9" s="356"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304"/>
  <sheetViews>
    <sheetView tabSelected="1" zoomScale="80" zoomScaleNormal="80" workbookViewId="0">
      <pane xSplit="2" ySplit="5" topLeftCell="L268" activePane="bottomRight" state="frozen"/>
      <selection pane="topRight"/>
      <selection pane="bottomLeft"/>
      <selection pane="bottomRight" activeCell="AE292" sqref="AE292"/>
    </sheetView>
  </sheetViews>
  <sheetFormatPr defaultColWidth="9.140625" defaultRowHeight="15"/>
  <cols>
    <col min="1" max="1" width="21" style="297" customWidth="1"/>
    <col min="2" max="2" width="28.140625" style="298" customWidth="1"/>
    <col min="3" max="3" width="11" style="298" customWidth="1"/>
    <col min="4" max="4" width="5.85546875" style="299" customWidth="1"/>
    <col min="5" max="5" width="36.7109375" style="298" customWidth="1"/>
    <col min="6" max="6" width="66.28515625" style="298" customWidth="1"/>
    <col min="7" max="7" width="9.85546875" style="298" customWidth="1"/>
    <col min="8" max="8" width="15.42578125" style="299" customWidth="1"/>
    <col min="9" max="9" width="14.5703125" style="299" customWidth="1"/>
    <col min="10" max="10" width="14.140625" style="298" customWidth="1"/>
    <col min="11" max="11" width="8.28515625" style="298" customWidth="1"/>
    <col min="12" max="12" width="8.85546875" style="298" customWidth="1"/>
    <col min="13" max="13" width="11.140625" style="298" customWidth="1"/>
    <col min="14" max="14" width="12.42578125" style="298" customWidth="1"/>
    <col min="15" max="15" width="11.7109375" style="298" customWidth="1"/>
    <col min="16" max="16" width="9.85546875" style="298" customWidth="1"/>
    <col min="17" max="17" width="10.42578125" style="298" customWidth="1"/>
    <col min="18" max="18" width="9.5703125" style="300" customWidth="1"/>
    <col min="19" max="19" width="8.5703125" style="300" customWidth="1"/>
    <col min="20" max="20" width="7.140625" style="301" customWidth="1"/>
    <col min="21" max="21" width="10.140625" style="301" hidden="1" customWidth="1"/>
    <col min="22" max="22" width="6.42578125" style="301" customWidth="1"/>
    <col min="23" max="23" width="7" style="301" hidden="1" customWidth="1"/>
    <col min="24" max="24" width="11.7109375" style="301" customWidth="1"/>
    <col min="25" max="25" width="7.7109375" style="300" customWidth="1"/>
    <col min="26" max="26" width="7.140625" style="300" customWidth="1"/>
    <col min="27" max="27" width="7.140625" style="301" customWidth="1"/>
    <col min="28" max="28" width="10.140625" style="301" customWidth="1"/>
    <col min="29" max="29" width="6.42578125" style="301" customWidth="1"/>
    <col min="30" max="30" width="7" style="301" customWidth="1"/>
    <col min="31" max="31" width="13.42578125" style="301" customWidth="1"/>
    <col min="32" max="32" width="40.42578125" style="298" customWidth="1"/>
    <col min="33" max="33" width="10.85546875" style="298" customWidth="1"/>
    <col min="34" max="34" width="49.28515625" style="298" customWidth="1"/>
    <col min="35" max="16384" width="9.140625" style="298"/>
  </cols>
  <sheetData>
    <row r="1" spans="1:34" ht="19.5" customHeight="1">
      <c r="A1" s="480" t="s">
        <v>246</v>
      </c>
      <c r="B1" s="481"/>
      <c r="C1" s="481"/>
      <c r="D1" s="481"/>
      <c r="E1" s="481"/>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2"/>
    </row>
    <row r="2" spans="1:34" ht="19.5" customHeight="1" thickBot="1">
      <c r="A2" s="470" t="s">
        <v>247</v>
      </c>
      <c r="B2" s="471"/>
      <c r="C2" s="471"/>
      <c r="D2" s="471"/>
      <c r="E2" s="471"/>
      <c r="F2" s="471"/>
      <c r="G2" s="471"/>
      <c r="H2" s="471"/>
      <c r="I2" s="471"/>
      <c r="J2" s="472"/>
      <c r="K2" s="302">
        <f>SUM(K6:K285)</f>
        <v>279</v>
      </c>
      <c r="L2" s="302">
        <f>SUM(L6:L285)</f>
        <v>279</v>
      </c>
      <c r="M2" s="303"/>
      <c r="N2" s="304">
        <f>SUMPRODUCT(K6:K285,N6:N285)/K288</f>
        <v>0.97491039426523296</v>
      </c>
      <c r="O2" s="305">
        <f>SUM(O6:O285)</f>
        <v>230</v>
      </c>
      <c r="P2" s="306">
        <f>SUMPRODUCT(K6:K285,P6:P285)/K288</f>
        <v>0.82437275985663083</v>
      </c>
      <c r="Q2" s="307"/>
      <c r="R2" s="308">
        <f t="shared" ref="R2:W2" si="0">SUM(R6:R285)</f>
        <v>229</v>
      </c>
      <c r="S2" s="309">
        <f t="shared" si="0"/>
        <v>125</v>
      </c>
      <c r="T2" s="309">
        <f t="shared" si="0"/>
        <v>125</v>
      </c>
      <c r="U2" s="309">
        <f t="shared" si="0"/>
        <v>0</v>
      </c>
      <c r="V2" s="309">
        <f t="shared" si="0"/>
        <v>0</v>
      </c>
      <c r="W2" s="309">
        <f t="shared" si="0"/>
        <v>0</v>
      </c>
      <c r="X2" s="310">
        <f>IF((S288=0),0,((T288+U288)/S288*100%))</f>
        <v>1</v>
      </c>
      <c r="Y2" s="311"/>
      <c r="Z2" s="312">
        <f>SUM(Z6:Z285)</f>
        <v>0</v>
      </c>
      <c r="AA2" s="313">
        <f>SUM(AA6:AA285)</f>
        <v>0</v>
      </c>
      <c r="AB2" s="313">
        <f>SUM(AB6:AB285)</f>
        <v>0</v>
      </c>
      <c r="AC2" s="313">
        <f>SUM(AC6:AC285)</f>
        <v>0</v>
      </c>
      <c r="AD2" s="313">
        <f>SUM(AD6:AD285)</f>
        <v>0</v>
      </c>
      <c r="AE2" s="314">
        <f>IF((Z288=0),0,((AA288+AB288)/Z288*100%))</f>
        <v>0</v>
      </c>
      <c r="AF2" s="315"/>
      <c r="AG2" s="315"/>
      <c r="AH2" s="316"/>
    </row>
    <row r="3" spans="1:34" ht="19.5" customHeight="1" thickBot="1">
      <c r="A3" s="480" t="s">
        <v>248</v>
      </c>
      <c r="B3" s="481"/>
      <c r="C3" s="481"/>
      <c r="D3" s="481"/>
      <c r="E3" s="481"/>
      <c r="F3" s="481"/>
      <c r="G3" s="481"/>
      <c r="H3" s="481"/>
      <c r="I3" s="481"/>
      <c r="J3" s="481"/>
      <c r="K3" s="481"/>
      <c r="L3" s="481"/>
      <c r="M3" s="481"/>
      <c r="N3" s="481"/>
      <c r="O3" s="481"/>
      <c r="P3" s="481"/>
      <c r="Q3" s="481"/>
      <c r="R3" s="481"/>
      <c r="S3" s="481"/>
      <c r="T3" s="481"/>
      <c r="U3" s="481"/>
      <c r="V3" s="481"/>
      <c r="W3" s="481"/>
      <c r="X3" s="481"/>
      <c r="Y3" s="481"/>
      <c r="Z3" s="481"/>
      <c r="AA3" s="481"/>
      <c r="AB3" s="481"/>
      <c r="AC3" s="481"/>
      <c r="AD3" s="481"/>
      <c r="AE3" s="481"/>
      <c r="AF3" s="481"/>
      <c r="AG3" s="481"/>
      <c r="AH3" s="482"/>
    </row>
    <row r="4" spans="1:34" ht="31.5" customHeight="1" thickBot="1">
      <c r="A4" s="566" t="s">
        <v>71</v>
      </c>
      <c r="B4" s="567"/>
      <c r="C4" s="567"/>
      <c r="D4" s="567"/>
      <c r="E4" s="567"/>
      <c r="F4" s="567"/>
      <c r="G4" s="567"/>
      <c r="H4" s="567"/>
      <c r="I4" s="567"/>
      <c r="J4" s="567"/>
      <c r="K4" s="567"/>
      <c r="L4" s="567"/>
      <c r="M4" s="568"/>
      <c r="N4" s="563" t="s">
        <v>249</v>
      </c>
      <c r="O4" s="564"/>
      <c r="P4" s="565"/>
      <c r="Q4" s="557" t="s">
        <v>250</v>
      </c>
      <c r="R4" s="558"/>
      <c r="S4" s="558"/>
      <c r="T4" s="558"/>
      <c r="U4" s="558"/>
      <c r="V4" s="558"/>
      <c r="W4" s="558"/>
      <c r="X4" s="558"/>
      <c r="Y4" s="559"/>
      <c r="Z4" s="560" t="s">
        <v>251</v>
      </c>
      <c r="AA4" s="561"/>
      <c r="AB4" s="561"/>
      <c r="AC4" s="561"/>
      <c r="AD4" s="561"/>
      <c r="AE4" s="561"/>
      <c r="AF4" s="561"/>
      <c r="AG4" s="561"/>
      <c r="AH4" s="562"/>
    </row>
    <row r="5" spans="1:34" s="296" customFormat="1">
      <c r="A5" s="664" t="s">
        <v>72</v>
      </c>
      <c r="B5" s="664" t="s">
        <v>76</v>
      </c>
      <c r="C5" s="664" t="s">
        <v>79</v>
      </c>
      <c r="D5" s="664" t="s">
        <v>83</v>
      </c>
      <c r="E5" s="664" t="s">
        <v>86</v>
      </c>
      <c r="F5" s="664" t="s">
        <v>89</v>
      </c>
      <c r="G5" s="664" t="s">
        <v>91</v>
      </c>
      <c r="H5" s="664" t="s">
        <v>94</v>
      </c>
      <c r="I5" s="664" t="s">
        <v>252</v>
      </c>
      <c r="J5" s="664" t="s">
        <v>97</v>
      </c>
      <c r="K5" s="664" t="s">
        <v>100</v>
      </c>
      <c r="L5" s="664" t="s">
        <v>103</v>
      </c>
      <c r="M5" s="664" t="s">
        <v>1</v>
      </c>
      <c r="N5" s="664" t="s">
        <v>109</v>
      </c>
      <c r="O5" s="664" t="s">
        <v>113</v>
      </c>
      <c r="P5" s="664" t="s">
        <v>116</v>
      </c>
      <c r="Q5" s="664" t="s">
        <v>120</v>
      </c>
      <c r="R5" s="664" t="s">
        <v>123</v>
      </c>
      <c r="S5" s="664" t="s">
        <v>127</v>
      </c>
      <c r="T5" s="664" t="s">
        <v>30</v>
      </c>
      <c r="U5" s="664" t="s">
        <v>130</v>
      </c>
      <c r="V5" s="664" t="s">
        <v>35</v>
      </c>
      <c r="W5" s="664" t="s">
        <v>133</v>
      </c>
      <c r="X5" s="664" t="s">
        <v>135</v>
      </c>
      <c r="Y5" s="664" t="s">
        <v>137</v>
      </c>
      <c r="Z5" s="664" t="s">
        <v>1204</v>
      </c>
      <c r="AA5" s="664" t="s">
        <v>1205</v>
      </c>
      <c r="AB5" s="664" t="s">
        <v>1206</v>
      </c>
      <c r="AC5" s="664" t="s">
        <v>1207</v>
      </c>
      <c r="AD5" s="664" t="s">
        <v>1208</v>
      </c>
      <c r="AE5" s="664" t="s">
        <v>1209</v>
      </c>
      <c r="AF5" s="664" t="s">
        <v>150</v>
      </c>
      <c r="AG5" s="664" t="s">
        <v>152</v>
      </c>
      <c r="AH5" s="664" t="s">
        <v>155</v>
      </c>
    </row>
    <row r="6" spans="1:34">
      <c r="A6" t="s">
        <v>253</v>
      </c>
      <c r="B6" t="s">
        <v>254</v>
      </c>
      <c r="C6" t="s">
        <v>255</v>
      </c>
      <c r="D6" t="s">
        <v>256</v>
      </c>
      <c r="E6" t="s">
        <v>257</v>
      </c>
      <c r="F6" t="s">
        <v>258</v>
      </c>
      <c r="G6" t="s">
        <v>945</v>
      </c>
      <c r="H6" t="s">
        <v>259</v>
      </c>
      <c r="I6" t="s">
        <v>260</v>
      </c>
      <c r="J6" t="s">
        <v>1210</v>
      </c>
      <c r="K6">
        <v>1</v>
      </c>
      <c r="L6">
        <v>1</v>
      </c>
      <c r="M6" t="s">
        <v>33</v>
      </c>
      <c r="N6">
        <v>1</v>
      </c>
      <c r="O6">
        <v>1</v>
      </c>
      <c r="P6">
        <v>1</v>
      </c>
      <c r="Q6" t="s">
        <v>45</v>
      </c>
      <c r="R6">
        <v>1</v>
      </c>
      <c r="S6">
        <v>1</v>
      </c>
      <c r="T6">
        <v>1</v>
      </c>
      <c r="U6" t="s">
        <v>1210</v>
      </c>
      <c r="V6" t="s">
        <v>1210</v>
      </c>
      <c r="W6" t="s">
        <v>1210</v>
      </c>
      <c r="X6">
        <v>1</v>
      </c>
      <c r="Y6" t="s">
        <v>1210</v>
      </c>
      <c r="Z6">
        <v>0</v>
      </c>
      <c r="AA6" t="s">
        <v>1210</v>
      </c>
      <c r="AB6" t="s">
        <v>1210</v>
      </c>
      <c r="AC6" t="s">
        <v>1210</v>
      </c>
      <c r="AD6" t="s">
        <v>1210</v>
      </c>
      <c r="AE6">
        <v>0</v>
      </c>
      <c r="AF6" t="s">
        <v>1210</v>
      </c>
      <c r="AG6" t="s">
        <v>1210</v>
      </c>
      <c r="AH6" t="s">
        <v>1210</v>
      </c>
    </row>
    <row r="7" spans="1:34">
      <c r="A7" t="s">
        <v>253</v>
      </c>
      <c r="B7" t="s">
        <v>254</v>
      </c>
      <c r="C7" t="s">
        <v>255</v>
      </c>
      <c r="D7" t="s">
        <v>256</v>
      </c>
      <c r="E7" t="s">
        <v>1210</v>
      </c>
      <c r="F7" t="s">
        <v>261</v>
      </c>
      <c r="G7" t="s">
        <v>945</v>
      </c>
      <c r="H7" t="s">
        <v>262</v>
      </c>
      <c r="I7" t="s">
        <v>260</v>
      </c>
      <c r="J7" t="s">
        <v>1210</v>
      </c>
      <c r="K7">
        <v>1</v>
      </c>
      <c r="L7">
        <v>1</v>
      </c>
      <c r="M7" t="s">
        <v>33</v>
      </c>
      <c r="N7">
        <v>1</v>
      </c>
      <c r="O7">
        <v>1</v>
      </c>
      <c r="P7">
        <v>1</v>
      </c>
      <c r="Q7" t="s">
        <v>45</v>
      </c>
      <c r="R7">
        <v>1</v>
      </c>
      <c r="S7">
        <v>1</v>
      </c>
      <c r="T7">
        <v>1</v>
      </c>
      <c r="U7" t="s">
        <v>1210</v>
      </c>
      <c r="V7" t="s">
        <v>1210</v>
      </c>
      <c r="W7" t="s">
        <v>1210</v>
      </c>
      <c r="X7">
        <v>1</v>
      </c>
      <c r="Y7" t="s">
        <v>1210</v>
      </c>
      <c r="Z7">
        <v>0</v>
      </c>
      <c r="AA7" t="s">
        <v>1210</v>
      </c>
      <c r="AB7" t="s">
        <v>1210</v>
      </c>
      <c r="AC7" t="s">
        <v>1210</v>
      </c>
      <c r="AD7" t="s">
        <v>1210</v>
      </c>
      <c r="AE7">
        <v>0</v>
      </c>
      <c r="AF7" t="s">
        <v>1210</v>
      </c>
      <c r="AG7" t="s">
        <v>1210</v>
      </c>
      <c r="AH7" t="s">
        <v>1210</v>
      </c>
    </row>
    <row r="8" spans="1:34">
      <c r="A8" t="s">
        <v>253</v>
      </c>
      <c r="B8" t="s">
        <v>254</v>
      </c>
      <c r="C8" t="s">
        <v>255</v>
      </c>
      <c r="D8" t="s">
        <v>256</v>
      </c>
      <c r="E8" t="s">
        <v>1210</v>
      </c>
      <c r="F8" t="s">
        <v>263</v>
      </c>
      <c r="G8" t="s">
        <v>945</v>
      </c>
      <c r="H8" t="s">
        <v>264</v>
      </c>
      <c r="I8" t="s">
        <v>260</v>
      </c>
      <c r="J8" t="s">
        <v>1210</v>
      </c>
      <c r="K8">
        <v>1</v>
      </c>
      <c r="L8">
        <v>1</v>
      </c>
      <c r="M8" t="s">
        <v>33</v>
      </c>
      <c r="N8">
        <v>1</v>
      </c>
      <c r="O8">
        <v>1</v>
      </c>
      <c r="P8">
        <v>1</v>
      </c>
      <c r="Q8" t="s">
        <v>45</v>
      </c>
      <c r="R8">
        <v>1</v>
      </c>
      <c r="S8">
        <v>1</v>
      </c>
      <c r="T8">
        <v>1</v>
      </c>
      <c r="U8" t="s">
        <v>1210</v>
      </c>
      <c r="V8" t="s">
        <v>1210</v>
      </c>
      <c r="W8" t="s">
        <v>1210</v>
      </c>
      <c r="X8">
        <v>1</v>
      </c>
      <c r="Y8" t="s">
        <v>1210</v>
      </c>
      <c r="Z8">
        <v>0</v>
      </c>
      <c r="AA8" t="s">
        <v>1210</v>
      </c>
      <c r="AB8" t="s">
        <v>1210</v>
      </c>
      <c r="AC8" t="s">
        <v>1210</v>
      </c>
      <c r="AD8" t="s">
        <v>1210</v>
      </c>
      <c r="AE8">
        <v>0</v>
      </c>
      <c r="AF8" t="s">
        <v>1210</v>
      </c>
      <c r="AG8" t="s">
        <v>1210</v>
      </c>
      <c r="AH8" t="s">
        <v>1210</v>
      </c>
    </row>
    <row r="9" spans="1:34">
      <c r="A9" t="s">
        <v>253</v>
      </c>
      <c r="B9" t="s">
        <v>254</v>
      </c>
      <c r="C9" t="s">
        <v>255</v>
      </c>
      <c r="D9" t="s">
        <v>256</v>
      </c>
      <c r="E9" t="s">
        <v>1210</v>
      </c>
      <c r="F9" t="s">
        <v>265</v>
      </c>
      <c r="G9" t="s">
        <v>945</v>
      </c>
      <c r="H9" t="s">
        <v>266</v>
      </c>
      <c r="I9" t="s">
        <v>260</v>
      </c>
      <c r="J9" t="s">
        <v>1210</v>
      </c>
      <c r="K9">
        <v>1</v>
      </c>
      <c r="L9">
        <v>1</v>
      </c>
      <c r="M9" t="s">
        <v>33</v>
      </c>
      <c r="N9">
        <v>1</v>
      </c>
      <c r="O9">
        <v>1</v>
      </c>
      <c r="P9">
        <v>1</v>
      </c>
      <c r="Q9" t="s">
        <v>45</v>
      </c>
      <c r="R9">
        <v>1</v>
      </c>
      <c r="S9">
        <v>1</v>
      </c>
      <c r="T9">
        <v>1</v>
      </c>
      <c r="U9" t="s">
        <v>1210</v>
      </c>
      <c r="V9" t="s">
        <v>1210</v>
      </c>
      <c r="W9" t="s">
        <v>1210</v>
      </c>
      <c r="X9">
        <v>1</v>
      </c>
      <c r="Y9" t="s">
        <v>1210</v>
      </c>
      <c r="Z9">
        <v>0</v>
      </c>
      <c r="AA9" t="s">
        <v>1210</v>
      </c>
      <c r="AB9" t="s">
        <v>1210</v>
      </c>
      <c r="AC9" t="s">
        <v>1210</v>
      </c>
      <c r="AD9" t="s">
        <v>1210</v>
      </c>
      <c r="AE9">
        <v>0</v>
      </c>
      <c r="AF9" t="s">
        <v>1210</v>
      </c>
      <c r="AG9" t="s">
        <v>1210</v>
      </c>
      <c r="AH9" t="s">
        <v>1210</v>
      </c>
    </row>
    <row r="10" spans="1:34">
      <c r="A10" t="s">
        <v>253</v>
      </c>
      <c r="B10" t="s">
        <v>254</v>
      </c>
      <c r="C10" t="s">
        <v>255</v>
      </c>
      <c r="D10" t="s">
        <v>256</v>
      </c>
      <c r="E10" t="s">
        <v>1210</v>
      </c>
      <c r="F10" t="s">
        <v>267</v>
      </c>
      <c r="G10" t="s">
        <v>945</v>
      </c>
      <c r="H10" t="s">
        <v>268</v>
      </c>
      <c r="I10" t="s">
        <v>260</v>
      </c>
      <c r="J10" t="s">
        <v>1210</v>
      </c>
      <c r="K10">
        <v>1</v>
      </c>
      <c r="L10">
        <v>1</v>
      </c>
      <c r="M10" t="s">
        <v>33</v>
      </c>
      <c r="N10">
        <v>1</v>
      </c>
      <c r="O10">
        <v>1</v>
      </c>
      <c r="P10">
        <v>1</v>
      </c>
      <c r="Q10" t="s">
        <v>45</v>
      </c>
      <c r="R10">
        <v>1</v>
      </c>
      <c r="S10">
        <v>1</v>
      </c>
      <c r="T10">
        <v>1</v>
      </c>
      <c r="U10" t="s">
        <v>1210</v>
      </c>
      <c r="V10" t="s">
        <v>1210</v>
      </c>
      <c r="W10" t="s">
        <v>1210</v>
      </c>
      <c r="X10">
        <v>1</v>
      </c>
      <c r="Y10" t="s">
        <v>1210</v>
      </c>
      <c r="Z10">
        <v>0</v>
      </c>
      <c r="AA10" t="s">
        <v>1210</v>
      </c>
      <c r="AB10" t="s">
        <v>1210</v>
      </c>
      <c r="AC10" t="s">
        <v>1210</v>
      </c>
      <c r="AD10" t="s">
        <v>1210</v>
      </c>
      <c r="AE10">
        <v>0</v>
      </c>
      <c r="AF10" t="s">
        <v>1210</v>
      </c>
      <c r="AG10" t="s">
        <v>1210</v>
      </c>
      <c r="AH10" t="s">
        <v>1210</v>
      </c>
    </row>
    <row r="11" spans="1:34">
      <c r="A11" t="s">
        <v>253</v>
      </c>
      <c r="B11" t="s">
        <v>254</v>
      </c>
      <c r="C11" t="s">
        <v>255</v>
      </c>
      <c r="D11" t="s">
        <v>256</v>
      </c>
      <c r="E11" t="s">
        <v>1210</v>
      </c>
      <c r="F11" t="s">
        <v>269</v>
      </c>
      <c r="G11" t="s">
        <v>945</v>
      </c>
      <c r="H11" t="s">
        <v>270</v>
      </c>
      <c r="I11" t="s">
        <v>260</v>
      </c>
      <c r="J11" t="s">
        <v>1210</v>
      </c>
      <c r="K11">
        <v>1</v>
      </c>
      <c r="L11">
        <v>1</v>
      </c>
      <c r="M11" t="s">
        <v>33</v>
      </c>
      <c r="N11">
        <v>1</v>
      </c>
      <c r="O11">
        <v>1</v>
      </c>
      <c r="P11">
        <v>1</v>
      </c>
      <c r="Q11" t="s">
        <v>45</v>
      </c>
      <c r="R11">
        <v>1</v>
      </c>
      <c r="S11">
        <v>1</v>
      </c>
      <c r="T11">
        <v>1</v>
      </c>
      <c r="U11" t="s">
        <v>1210</v>
      </c>
      <c r="V11" t="s">
        <v>1210</v>
      </c>
      <c r="W11" t="s">
        <v>1210</v>
      </c>
      <c r="X11">
        <v>1</v>
      </c>
      <c r="Y11" t="s">
        <v>1210</v>
      </c>
      <c r="Z11">
        <v>0</v>
      </c>
      <c r="AA11" t="s">
        <v>1210</v>
      </c>
      <c r="AB11" t="s">
        <v>1210</v>
      </c>
      <c r="AC11" t="s">
        <v>1210</v>
      </c>
      <c r="AD11" t="s">
        <v>1210</v>
      </c>
      <c r="AE11">
        <v>0</v>
      </c>
      <c r="AF11" t="s">
        <v>1210</v>
      </c>
      <c r="AG11" t="s">
        <v>1210</v>
      </c>
      <c r="AH11" t="s">
        <v>1210</v>
      </c>
    </row>
    <row r="12" spans="1:34">
      <c r="A12" t="s">
        <v>253</v>
      </c>
      <c r="B12" t="s">
        <v>254</v>
      </c>
      <c r="C12" t="s">
        <v>255</v>
      </c>
      <c r="D12" t="s">
        <v>256</v>
      </c>
      <c r="E12" t="s">
        <v>1210</v>
      </c>
      <c r="F12" t="s">
        <v>271</v>
      </c>
      <c r="G12" t="s">
        <v>945</v>
      </c>
      <c r="H12" t="s">
        <v>272</v>
      </c>
      <c r="I12" t="s">
        <v>260</v>
      </c>
      <c r="J12" t="s">
        <v>1210</v>
      </c>
      <c r="K12">
        <v>1</v>
      </c>
      <c r="L12">
        <v>1</v>
      </c>
      <c r="M12" t="s">
        <v>33</v>
      </c>
      <c r="N12">
        <v>1</v>
      </c>
      <c r="O12">
        <v>1</v>
      </c>
      <c r="P12">
        <v>1</v>
      </c>
      <c r="Q12" t="s">
        <v>45</v>
      </c>
      <c r="R12">
        <v>1</v>
      </c>
      <c r="S12">
        <v>1</v>
      </c>
      <c r="T12">
        <v>1</v>
      </c>
      <c r="U12" t="s">
        <v>1210</v>
      </c>
      <c r="V12" t="s">
        <v>1210</v>
      </c>
      <c r="W12" t="s">
        <v>1210</v>
      </c>
      <c r="X12">
        <v>1</v>
      </c>
      <c r="Y12" t="s">
        <v>1210</v>
      </c>
      <c r="Z12">
        <v>0</v>
      </c>
      <c r="AA12" t="s">
        <v>1210</v>
      </c>
      <c r="AB12" t="s">
        <v>1210</v>
      </c>
      <c r="AC12" t="s">
        <v>1210</v>
      </c>
      <c r="AD12" t="s">
        <v>1210</v>
      </c>
      <c r="AE12">
        <v>0</v>
      </c>
      <c r="AF12" t="s">
        <v>1210</v>
      </c>
      <c r="AG12" t="s">
        <v>1210</v>
      </c>
      <c r="AH12" t="s">
        <v>1210</v>
      </c>
    </row>
    <row r="13" spans="1:34">
      <c r="A13" t="s">
        <v>253</v>
      </c>
      <c r="B13" t="s">
        <v>254</v>
      </c>
      <c r="C13" t="s">
        <v>255</v>
      </c>
      <c r="D13" t="s">
        <v>256</v>
      </c>
      <c r="E13" t="s">
        <v>1210</v>
      </c>
      <c r="F13" t="s">
        <v>273</v>
      </c>
      <c r="G13" t="s">
        <v>945</v>
      </c>
      <c r="H13" t="s">
        <v>274</v>
      </c>
      <c r="I13" t="s">
        <v>260</v>
      </c>
      <c r="J13" t="s">
        <v>1210</v>
      </c>
      <c r="K13">
        <v>1</v>
      </c>
      <c r="L13">
        <v>1</v>
      </c>
      <c r="M13" t="s">
        <v>33</v>
      </c>
      <c r="N13">
        <v>1</v>
      </c>
      <c r="O13">
        <v>1</v>
      </c>
      <c r="P13">
        <v>1</v>
      </c>
      <c r="Q13" t="s">
        <v>45</v>
      </c>
      <c r="R13">
        <v>1</v>
      </c>
      <c r="S13">
        <v>1</v>
      </c>
      <c r="T13">
        <v>1</v>
      </c>
      <c r="U13" t="s">
        <v>1210</v>
      </c>
      <c r="V13" t="s">
        <v>1210</v>
      </c>
      <c r="W13" t="s">
        <v>1210</v>
      </c>
      <c r="X13">
        <v>1</v>
      </c>
      <c r="Y13" t="s">
        <v>1210</v>
      </c>
      <c r="Z13">
        <v>0</v>
      </c>
      <c r="AA13" t="s">
        <v>1210</v>
      </c>
      <c r="AB13" t="s">
        <v>1210</v>
      </c>
      <c r="AC13" t="s">
        <v>1210</v>
      </c>
      <c r="AD13" t="s">
        <v>1210</v>
      </c>
      <c r="AE13">
        <v>0</v>
      </c>
      <c r="AF13" t="s">
        <v>1210</v>
      </c>
      <c r="AG13" t="s">
        <v>1210</v>
      </c>
      <c r="AH13" t="s">
        <v>1210</v>
      </c>
    </row>
    <row r="14" spans="1:34">
      <c r="A14" t="s">
        <v>275</v>
      </c>
      <c r="B14" t="s">
        <v>999</v>
      </c>
      <c r="C14" t="s">
        <v>255</v>
      </c>
      <c r="D14" t="s">
        <v>256</v>
      </c>
      <c r="E14" t="s">
        <v>276</v>
      </c>
      <c r="F14" t="s">
        <v>277</v>
      </c>
      <c r="G14" t="s">
        <v>864</v>
      </c>
      <c r="H14" t="s">
        <v>278</v>
      </c>
      <c r="I14" t="s">
        <v>279</v>
      </c>
      <c r="J14" t="s">
        <v>1210</v>
      </c>
      <c r="K14">
        <v>1</v>
      </c>
      <c r="L14">
        <v>1</v>
      </c>
      <c r="M14" t="s">
        <v>33</v>
      </c>
      <c r="N14">
        <v>1</v>
      </c>
      <c r="O14">
        <v>1</v>
      </c>
      <c r="P14">
        <v>1</v>
      </c>
      <c r="Q14" t="s">
        <v>280</v>
      </c>
      <c r="R14">
        <v>1</v>
      </c>
      <c r="S14">
        <v>1</v>
      </c>
      <c r="T14">
        <v>1</v>
      </c>
      <c r="U14" t="s">
        <v>1210</v>
      </c>
      <c r="V14" t="s">
        <v>1210</v>
      </c>
      <c r="W14" t="s">
        <v>1210</v>
      </c>
      <c r="X14">
        <v>1</v>
      </c>
      <c r="Y14" t="s">
        <v>1210</v>
      </c>
      <c r="Z14">
        <v>0</v>
      </c>
      <c r="AA14" t="s">
        <v>1210</v>
      </c>
      <c r="AB14" t="s">
        <v>1210</v>
      </c>
      <c r="AC14" t="s">
        <v>1210</v>
      </c>
      <c r="AD14" t="s">
        <v>1210</v>
      </c>
      <c r="AE14">
        <v>0</v>
      </c>
      <c r="AF14" t="s">
        <v>1210</v>
      </c>
      <c r="AG14" t="s">
        <v>1210</v>
      </c>
      <c r="AH14" t="s">
        <v>1210</v>
      </c>
    </row>
    <row r="15" spans="1:34">
      <c r="A15" t="s">
        <v>275</v>
      </c>
      <c r="B15" t="s">
        <v>999</v>
      </c>
      <c r="C15" t="s">
        <v>255</v>
      </c>
      <c r="D15" t="s">
        <v>256</v>
      </c>
      <c r="E15" t="s">
        <v>1210</v>
      </c>
      <c r="F15" t="s">
        <v>281</v>
      </c>
      <c r="G15" t="s">
        <v>864</v>
      </c>
      <c r="H15" t="s">
        <v>282</v>
      </c>
      <c r="I15" t="s">
        <v>279</v>
      </c>
      <c r="J15" t="s">
        <v>1210</v>
      </c>
      <c r="K15">
        <v>1</v>
      </c>
      <c r="L15">
        <v>1</v>
      </c>
      <c r="M15" t="s">
        <v>33</v>
      </c>
      <c r="N15">
        <v>1</v>
      </c>
      <c r="O15">
        <v>1</v>
      </c>
      <c r="P15">
        <v>1</v>
      </c>
      <c r="Q15" t="s">
        <v>280</v>
      </c>
      <c r="R15">
        <v>1</v>
      </c>
      <c r="S15">
        <v>1</v>
      </c>
      <c r="T15">
        <v>1</v>
      </c>
      <c r="U15" t="s">
        <v>1210</v>
      </c>
      <c r="V15" t="s">
        <v>1210</v>
      </c>
      <c r="W15" t="s">
        <v>1210</v>
      </c>
      <c r="X15">
        <v>1</v>
      </c>
      <c r="Y15" t="s">
        <v>1210</v>
      </c>
      <c r="Z15">
        <v>0</v>
      </c>
      <c r="AA15" t="s">
        <v>1210</v>
      </c>
      <c r="AB15" t="s">
        <v>1210</v>
      </c>
      <c r="AC15" t="s">
        <v>1210</v>
      </c>
      <c r="AD15" t="s">
        <v>1210</v>
      </c>
      <c r="AE15">
        <v>0</v>
      </c>
      <c r="AF15" t="s">
        <v>1210</v>
      </c>
      <c r="AG15" t="s">
        <v>1210</v>
      </c>
      <c r="AH15" t="s">
        <v>1210</v>
      </c>
    </row>
    <row r="16" spans="1:34">
      <c r="A16" t="s">
        <v>283</v>
      </c>
      <c r="B16" t="s">
        <v>967</v>
      </c>
      <c r="C16" t="s">
        <v>255</v>
      </c>
      <c r="D16" t="s">
        <v>256</v>
      </c>
      <c r="E16" t="s">
        <v>1210</v>
      </c>
      <c r="F16" t="s">
        <v>284</v>
      </c>
      <c r="G16" t="s">
        <v>864</v>
      </c>
      <c r="H16" t="s">
        <v>285</v>
      </c>
      <c r="I16" t="s">
        <v>279</v>
      </c>
      <c r="J16" t="s">
        <v>1210</v>
      </c>
      <c r="K16">
        <v>1</v>
      </c>
      <c r="L16">
        <v>1</v>
      </c>
      <c r="M16" t="s">
        <v>33</v>
      </c>
      <c r="N16">
        <v>1</v>
      </c>
      <c r="O16">
        <v>1</v>
      </c>
      <c r="P16">
        <v>1</v>
      </c>
      <c r="Q16" t="s">
        <v>280</v>
      </c>
      <c r="R16">
        <v>1</v>
      </c>
      <c r="S16">
        <v>1</v>
      </c>
      <c r="T16">
        <v>1</v>
      </c>
      <c r="U16" t="s">
        <v>1210</v>
      </c>
      <c r="V16" t="s">
        <v>1210</v>
      </c>
      <c r="W16" t="s">
        <v>1210</v>
      </c>
      <c r="X16">
        <v>1</v>
      </c>
      <c r="Y16" t="s">
        <v>1210</v>
      </c>
      <c r="Z16">
        <v>0</v>
      </c>
      <c r="AA16" t="s">
        <v>1210</v>
      </c>
      <c r="AB16" t="s">
        <v>1210</v>
      </c>
      <c r="AC16" t="s">
        <v>1210</v>
      </c>
      <c r="AD16" t="s">
        <v>1210</v>
      </c>
      <c r="AE16">
        <v>0</v>
      </c>
      <c r="AF16" t="s">
        <v>1210</v>
      </c>
      <c r="AG16" t="s">
        <v>1210</v>
      </c>
      <c r="AH16" t="s">
        <v>1210</v>
      </c>
    </row>
    <row r="17" spans="1:34">
      <c r="A17" t="s">
        <v>283</v>
      </c>
      <c r="B17" t="s">
        <v>967</v>
      </c>
      <c r="C17" t="s">
        <v>255</v>
      </c>
      <c r="D17" t="s">
        <v>256</v>
      </c>
      <c r="E17" t="s">
        <v>1210</v>
      </c>
      <c r="F17" t="s">
        <v>286</v>
      </c>
      <c r="G17" t="s">
        <v>864</v>
      </c>
      <c r="H17" t="s">
        <v>287</v>
      </c>
      <c r="I17" t="s">
        <v>279</v>
      </c>
      <c r="J17" t="s">
        <v>1210</v>
      </c>
      <c r="K17">
        <v>1</v>
      </c>
      <c r="L17">
        <v>1</v>
      </c>
      <c r="M17" t="s">
        <v>33</v>
      </c>
      <c r="N17">
        <v>1</v>
      </c>
      <c r="O17">
        <v>1</v>
      </c>
      <c r="P17">
        <v>1</v>
      </c>
      <c r="Q17" t="s">
        <v>280</v>
      </c>
      <c r="R17">
        <v>1</v>
      </c>
      <c r="S17">
        <v>1</v>
      </c>
      <c r="T17">
        <v>1</v>
      </c>
      <c r="U17" t="s">
        <v>1210</v>
      </c>
      <c r="V17" t="s">
        <v>1210</v>
      </c>
      <c r="W17" t="s">
        <v>1210</v>
      </c>
      <c r="X17">
        <v>1</v>
      </c>
      <c r="Y17" t="s">
        <v>1210</v>
      </c>
      <c r="Z17">
        <v>0</v>
      </c>
      <c r="AA17" t="s">
        <v>1210</v>
      </c>
      <c r="AB17" t="s">
        <v>1210</v>
      </c>
      <c r="AC17" t="s">
        <v>1210</v>
      </c>
      <c r="AD17" t="s">
        <v>1210</v>
      </c>
      <c r="AE17">
        <v>0</v>
      </c>
      <c r="AF17" t="s">
        <v>1210</v>
      </c>
      <c r="AG17" t="s">
        <v>1210</v>
      </c>
      <c r="AH17" t="s">
        <v>1210</v>
      </c>
    </row>
    <row r="18" spans="1:34">
      <c r="A18" t="s">
        <v>288</v>
      </c>
      <c r="B18" t="s">
        <v>1007</v>
      </c>
      <c r="C18" t="s">
        <v>255</v>
      </c>
      <c r="D18" t="s">
        <v>256</v>
      </c>
      <c r="E18" t="s">
        <v>1210</v>
      </c>
      <c r="F18" t="s">
        <v>289</v>
      </c>
      <c r="G18" t="s">
        <v>864</v>
      </c>
      <c r="H18" t="s">
        <v>290</v>
      </c>
      <c r="I18" t="s">
        <v>279</v>
      </c>
      <c r="J18" t="s">
        <v>1210</v>
      </c>
      <c r="K18">
        <v>1</v>
      </c>
      <c r="L18">
        <v>1</v>
      </c>
      <c r="M18" t="s">
        <v>33</v>
      </c>
      <c r="N18">
        <v>1</v>
      </c>
      <c r="O18">
        <v>1</v>
      </c>
      <c r="P18">
        <v>1</v>
      </c>
      <c r="Q18" t="s">
        <v>280</v>
      </c>
      <c r="R18">
        <v>1</v>
      </c>
      <c r="S18">
        <v>1</v>
      </c>
      <c r="T18">
        <v>1</v>
      </c>
      <c r="U18" t="s">
        <v>1210</v>
      </c>
      <c r="V18" t="s">
        <v>1210</v>
      </c>
      <c r="W18" t="s">
        <v>1210</v>
      </c>
      <c r="X18">
        <v>1</v>
      </c>
      <c r="Y18" t="s">
        <v>1210</v>
      </c>
      <c r="Z18">
        <v>0</v>
      </c>
      <c r="AA18" t="s">
        <v>1210</v>
      </c>
      <c r="AB18" t="s">
        <v>1210</v>
      </c>
      <c r="AC18" t="s">
        <v>1210</v>
      </c>
      <c r="AD18" t="s">
        <v>1210</v>
      </c>
      <c r="AE18">
        <v>0</v>
      </c>
      <c r="AF18" t="s">
        <v>1210</v>
      </c>
      <c r="AG18" t="s">
        <v>1210</v>
      </c>
      <c r="AH18" t="s">
        <v>1210</v>
      </c>
    </row>
    <row r="19" spans="1:34">
      <c r="A19" t="s">
        <v>288</v>
      </c>
      <c r="B19" t="s">
        <v>1007</v>
      </c>
      <c r="C19" t="s">
        <v>255</v>
      </c>
      <c r="D19" t="s">
        <v>256</v>
      </c>
      <c r="E19" t="s">
        <v>1210</v>
      </c>
      <c r="F19" t="s">
        <v>291</v>
      </c>
      <c r="G19" t="s">
        <v>864</v>
      </c>
      <c r="H19" t="s">
        <v>292</v>
      </c>
      <c r="I19" t="s">
        <v>279</v>
      </c>
      <c r="J19" t="s">
        <v>1210</v>
      </c>
      <c r="K19">
        <v>1</v>
      </c>
      <c r="L19">
        <v>1</v>
      </c>
      <c r="M19" t="s">
        <v>33</v>
      </c>
      <c r="N19">
        <v>1</v>
      </c>
      <c r="O19">
        <v>1</v>
      </c>
      <c r="P19">
        <v>1</v>
      </c>
      <c r="Q19" t="s">
        <v>280</v>
      </c>
      <c r="R19">
        <v>1</v>
      </c>
      <c r="S19">
        <v>1</v>
      </c>
      <c r="T19">
        <v>1</v>
      </c>
      <c r="U19" t="s">
        <v>1210</v>
      </c>
      <c r="V19" t="s">
        <v>1210</v>
      </c>
      <c r="W19" t="s">
        <v>1210</v>
      </c>
      <c r="X19">
        <v>1</v>
      </c>
      <c r="Y19" t="s">
        <v>1210</v>
      </c>
      <c r="Z19">
        <v>0</v>
      </c>
      <c r="AA19" t="s">
        <v>1210</v>
      </c>
      <c r="AB19" t="s">
        <v>1210</v>
      </c>
      <c r="AC19" t="s">
        <v>1210</v>
      </c>
      <c r="AD19" t="s">
        <v>1210</v>
      </c>
      <c r="AE19">
        <v>0</v>
      </c>
      <c r="AF19" t="s">
        <v>1210</v>
      </c>
      <c r="AG19" t="s">
        <v>1210</v>
      </c>
      <c r="AH19" t="s">
        <v>1210</v>
      </c>
    </row>
    <row r="20" spans="1:34">
      <c r="A20" t="s">
        <v>288</v>
      </c>
      <c r="B20" t="s">
        <v>1007</v>
      </c>
      <c r="C20" t="s">
        <v>255</v>
      </c>
      <c r="D20" t="s">
        <v>256</v>
      </c>
      <c r="E20" t="s">
        <v>1210</v>
      </c>
      <c r="F20" t="s">
        <v>293</v>
      </c>
      <c r="G20" t="s">
        <v>864</v>
      </c>
      <c r="H20" t="s">
        <v>294</v>
      </c>
      <c r="I20" t="s">
        <v>279</v>
      </c>
      <c r="J20" t="s">
        <v>1210</v>
      </c>
      <c r="K20">
        <v>1</v>
      </c>
      <c r="L20">
        <v>1</v>
      </c>
      <c r="M20" t="s">
        <v>33</v>
      </c>
      <c r="N20">
        <v>1</v>
      </c>
      <c r="O20">
        <v>1</v>
      </c>
      <c r="P20">
        <v>1</v>
      </c>
      <c r="Q20" t="s">
        <v>280</v>
      </c>
      <c r="R20">
        <v>1</v>
      </c>
      <c r="S20">
        <v>1</v>
      </c>
      <c r="T20">
        <v>1</v>
      </c>
      <c r="U20" t="s">
        <v>1210</v>
      </c>
      <c r="V20" t="s">
        <v>1210</v>
      </c>
      <c r="W20" t="s">
        <v>1210</v>
      </c>
      <c r="X20">
        <v>1</v>
      </c>
      <c r="Y20" t="s">
        <v>1210</v>
      </c>
      <c r="Z20">
        <v>0</v>
      </c>
      <c r="AA20" t="s">
        <v>1210</v>
      </c>
      <c r="AB20" t="s">
        <v>1210</v>
      </c>
      <c r="AC20" t="s">
        <v>1210</v>
      </c>
      <c r="AD20" t="s">
        <v>1210</v>
      </c>
      <c r="AE20">
        <v>0</v>
      </c>
      <c r="AF20" t="s">
        <v>1210</v>
      </c>
      <c r="AG20" t="s">
        <v>1210</v>
      </c>
      <c r="AH20" t="s">
        <v>1210</v>
      </c>
    </row>
    <row r="21" spans="1:34">
      <c r="A21" t="s">
        <v>288</v>
      </c>
      <c r="B21" t="s">
        <v>1007</v>
      </c>
      <c r="C21" t="s">
        <v>255</v>
      </c>
      <c r="D21" t="s">
        <v>256</v>
      </c>
      <c r="E21" t="s">
        <v>1210</v>
      </c>
      <c r="F21" t="s">
        <v>295</v>
      </c>
      <c r="G21" t="s">
        <v>864</v>
      </c>
      <c r="H21" t="s">
        <v>296</v>
      </c>
      <c r="I21" t="s">
        <v>279</v>
      </c>
      <c r="J21" t="s">
        <v>1210</v>
      </c>
      <c r="K21">
        <v>1</v>
      </c>
      <c r="L21">
        <v>1</v>
      </c>
      <c r="M21" t="s">
        <v>33</v>
      </c>
      <c r="N21">
        <v>1</v>
      </c>
      <c r="O21">
        <v>1</v>
      </c>
      <c r="P21">
        <v>1</v>
      </c>
      <c r="Q21" t="s">
        <v>280</v>
      </c>
      <c r="R21">
        <v>1</v>
      </c>
      <c r="S21">
        <v>1</v>
      </c>
      <c r="T21">
        <v>1</v>
      </c>
      <c r="U21" t="s">
        <v>1210</v>
      </c>
      <c r="V21" t="s">
        <v>1210</v>
      </c>
      <c r="W21" t="s">
        <v>1210</v>
      </c>
      <c r="X21">
        <v>1</v>
      </c>
      <c r="Y21" t="s">
        <v>1210</v>
      </c>
      <c r="Z21">
        <v>0</v>
      </c>
      <c r="AA21" t="s">
        <v>1210</v>
      </c>
      <c r="AB21" t="s">
        <v>1210</v>
      </c>
      <c r="AC21" t="s">
        <v>1210</v>
      </c>
      <c r="AD21" t="s">
        <v>1210</v>
      </c>
      <c r="AE21">
        <v>0</v>
      </c>
      <c r="AF21" t="s">
        <v>1210</v>
      </c>
      <c r="AG21" t="s">
        <v>1210</v>
      </c>
      <c r="AH21" t="s">
        <v>1210</v>
      </c>
    </row>
    <row r="22" spans="1:34">
      <c r="A22" t="s">
        <v>288</v>
      </c>
      <c r="B22" t="s">
        <v>1007</v>
      </c>
      <c r="C22" t="s">
        <v>255</v>
      </c>
      <c r="D22" t="s">
        <v>256</v>
      </c>
      <c r="E22" t="s">
        <v>1210</v>
      </c>
      <c r="F22" t="s">
        <v>297</v>
      </c>
      <c r="G22" t="s">
        <v>864</v>
      </c>
      <c r="H22" t="s">
        <v>298</v>
      </c>
      <c r="I22" t="s">
        <v>279</v>
      </c>
      <c r="J22" t="s">
        <v>1210</v>
      </c>
      <c r="K22">
        <v>1</v>
      </c>
      <c r="L22">
        <v>1</v>
      </c>
      <c r="M22" t="s">
        <v>33</v>
      </c>
      <c r="N22">
        <v>1</v>
      </c>
      <c r="O22">
        <v>1</v>
      </c>
      <c r="P22">
        <v>1</v>
      </c>
      <c r="Q22" t="s">
        <v>280</v>
      </c>
      <c r="R22">
        <v>1</v>
      </c>
      <c r="S22">
        <v>1</v>
      </c>
      <c r="T22">
        <v>1</v>
      </c>
      <c r="U22" t="s">
        <v>1210</v>
      </c>
      <c r="V22" t="s">
        <v>1210</v>
      </c>
      <c r="W22" t="s">
        <v>1210</v>
      </c>
      <c r="X22">
        <v>1</v>
      </c>
      <c r="Y22" t="s">
        <v>1210</v>
      </c>
      <c r="Z22">
        <v>0</v>
      </c>
      <c r="AA22" t="s">
        <v>1210</v>
      </c>
      <c r="AB22" t="s">
        <v>1210</v>
      </c>
      <c r="AC22" t="s">
        <v>1210</v>
      </c>
      <c r="AD22" t="s">
        <v>1210</v>
      </c>
      <c r="AE22">
        <v>0</v>
      </c>
      <c r="AF22" t="s">
        <v>1210</v>
      </c>
      <c r="AG22" t="s">
        <v>1210</v>
      </c>
      <c r="AH22" t="s">
        <v>1210</v>
      </c>
    </row>
    <row r="23" spans="1:34">
      <c r="A23" t="s">
        <v>288</v>
      </c>
      <c r="B23" t="s">
        <v>1007</v>
      </c>
      <c r="C23" t="s">
        <v>255</v>
      </c>
      <c r="D23" t="s">
        <v>256</v>
      </c>
      <c r="E23" t="s">
        <v>1210</v>
      </c>
      <c r="F23" t="s">
        <v>299</v>
      </c>
      <c r="G23" t="s">
        <v>864</v>
      </c>
      <c r="H23" t="s">
        <v>300</v>
      </c>
      <c r="I23" t="s">
        <v>279</v>
      </c>
      <c r="J23" t="s">
        <v>1210</v>
      </c>
      <c r="K23">
        <v>1</v>
      </c>
      <c r="L23">
        <v>1</v>
      </c>
      <c r="M23" t="s">
        <v>33</v>
      </c>
      <c r="N23">
        <v>1</v>
      </c>
      <c r="O23">
        <v>1</v>
      </c>
      <c r="P23">
        <v>1</v>
      </c>
      <c r="Q23" t="s">
        <v>280</v>
      </c>
      <c r="R23">
        <v>1</v>
      </c>
      <c r="S23">
        <v>1</v>
      </c>
      <c r="T23">
        <v>1</v>
      </c>
      <c r="U23" t="s">
        <v>1210</v>
      </c>
      <c r="V23" t="s">
        <v>1210</v>
      </c>
      <c r="W23" t="s">
        <v>1210</v>
      </c>
      <c r="X23">
        <v>1</v>
      </c>
      <c r="Y23" t="s">
        <v>1210</v>
      </c>
      <c r="Z23">
        <v>0</v>
      </c>
      <c r="AA23" t="s">
        <v>1210</v>
      </c>
      <c r="AB23" t="s">
        <v>1210</v>
      </c>
      <c r="AC23" t="s">
        <v>1210</v>
      </c>
      <c r="AD23" t="s">
        <v>1210</v>
      </c>
      <c r="AE23">
        <v>0</v>
      </c>
      <c r="AF23" t="s">
        <v>1210</v>
      </c>
      <c r="AG23" t="s">
        <v>1210</v>
      </c>
      <c r="AH23" t="s">
        <v>1210</v>
      </c>
    </row>
    <row r="24" spans="1:34">
      <c r="A24" t="s">
        <v>301</v>
      </c>
      <c r="B24" t="s">
        <v>302</v>
      </c>
      <c r="C24" t="s">
        <v>255</v>
      </c>
      <c r="D24" t="s">
        <v>256</v>
      </c>
      <c r="E24" t="s">
        <v>303</v>
      </c>
      <c r="F24" t="s">
        <v>304</v>
      </c>
      <c r="G24" t="s">
        <v>864</v>
      </c>
      <c r="H24" t="s">
        <v>305</v>
      </c>
      <c r="I24" t="s">
        <v>260</v>
      </c>
      <c r="J24" t="s">
        <v>1210</v>
      </c>
      <c r="K24">
        <v>1</v>
      </c>
      <c r="L24">
        <v>1</v>
      </c>
      <c r="M24" t="s">
        <v>33</v>
      </c>
      <c r="N24">
        <v>1</v>
      </c>
      <c r="O24">
        <v>1</v>
      </c>
      <c r="P24">
        <v>1</v>
      </c>
      <c r="Q24" t="s">
        <v>47</v>
      </c>
      <c r="R24">
        <v>1</v>
      </c>
      <c r="S24">
        <v>1</v>
      </c>
      <c r="T24">
        <v>1</v>
      </c>
      <c r="U24" t="s">
        <v>1210</v>
      </c>
      <c r="V24" t="s">
        <v>1210</v>
      </c>
      <c r="W24" t="s">
        <v>1210</v>
      </c>
      <c r="X24">
        <v>1</v>
      </c>
      <c r="Y24" t="s">
        <v>1210</v>
      </c>
      <c r="Z24">
        <v>0</v>
      </c>
      <c r="AA24" t="s">
        <v>1210</v>
      </c>
      <c r="AB24" t="s">
        <v>1210</v>
      </c>
      <c r="AC24" t="s">
        <v>1210</v>
      </c>
      <c r="AD24" t="s">
        <v>1210</v>
      </c>
      <c r="AE24">
        <v>0</v>
      </c>
      <c r="AF24" t="s">
        <v>1210</v>
      </c>
      <c r="AG24" t="s">
        <v>1210</v>
      </c>
      <c r="AH24" t="s">
        <v>1210</v>
      </c>
    </row>
    <row r="25" spans="1:34">
      <c r="A25" t="s">
        <v>301</v>
      </c>
      <c r="B25" t="s">
        <v>302</v>
      </c>
      <c r="C25" t="s">
        <v>255</v>
      </c>
      <c r="D25" t="s">
        <v>256</v>
      </c>
      <c r="E25" t="s">
        <v>1210</v>
      </c>
      <c r="F25" t="s">
        <v>306</v>
      </c>
      <c r="G25" t="s">
        <v>864</v>
      </c>
      <c r="H25" t="s">
        <v>307</v>
      </c>
      <c r="I25" t="s">
        <v>260</v>
      </c>
      <c r="J25" t="s">
        <v>1210</v>
      </c>
      <c r="K25">
        <v>1</v>
      </c>
      <c r="L25">
        <v>1</v>
      </c>
      <c r="M25" t="s">
        <v>33</v>
      </c>
      <c r="N25">
        <v>1</v>
      </c>
      <c r="O25">
        <v>1</v>
      </c>
      <c r="P25">
        <v>1</v>
      </c>
      <c r="Q25" t="s">
        <v>47</v>
      </c>
      <c r="R25">
        <v>1</v>
      </c>
      <c r="S25">
        <v>1</v>
      </c>
      <c r="T25">
        <v>1</v>
      </c>
      <c r="U25" t="s">
        <v>1210</v>
      </c>
      <c r="V25" t="s">
        <v>1210</v>
      </c>
      <c r="W25" t="s">
        <v>1210</v>
      </c>
      <c r="X25">
        <v>1</v>
      </c>
      <c r="Y25" t="s">
        <v>1210</v>
      </c>
      <c r="Z25">
        <v>0</v>
      </c>
      <c r="AA25" t="s">
        <v>1210</v>
      </c>
      <c r="AB25" t="s">
        <v>1210</v>
      </c>
      <c r="AC25" t="s">
        <v>1210</v>
      </c>
      <c r="AD25" t="s">
        <v>1210</v>
      </c>
      <c r="AE25">
        <v>0</v>
      </c>
      <c r="AF25" t="s">
        <v>1210</v>
      </c>
      <c r="AG25" t="s">
        <v>1210</v>
      </c>
      <c r="AH25" t="s">
        <v>1210</v>
      </c>
    </row>
    <row r="26" spans="1:34">
      <c r="A26" t="s">
        <v>301</v>
      </c>
      <c r="B26" t="s">
        <v>302</v>
      </c>
      <c r="C26" t="s">
        <v>255</v>
      </c>
      <c r="D26" t="s">
        <v>256</v>
      </c>
      <c r="E26" t="s">
        <v>1210</v>
      </c>
      <c r="F26" t="s">
        <v>308</v>
      </c>
      <c r="G26" t="s">
        <v>864</v>
      </c>
      <c r="H26" t="s">
        <v>309</v>
      </c>
      <c r="I26" t="s">
        <v>260</v>
      </c>
      <c r="J26" t="s">
        <v>1210</v>
      </c>
      <c r="K26">
        <v>1</v>
      </c>
      <c r="L26">
        <v>1</v>
      </c>
      <c r="M26" t="s">
        <v>33</v>
      </c>
      <c r="N26">
        <v>1</v>
      </c>
      <c r="O26">
        <v>1</v>
      </c>
      <c r="P26">
        <v>1</v>
      </c>
      <c r="Q26" t="s">
        <v>47</v>
      </c>
      <c r="R26">
        <v>1</v>
      </c>
      <c r="S26">
        <v>1</v>
      </c>
      <c r="T26">
        <v>1</v>
      </c>
      <c r="U26" t="s">
        <v>1210</v>
      </c>
      <c r="V26" t="s">
        <v>1210</v>
      </c>
      <c r="W26" t="s">
        <v>1210</v>
      </c>
      <c r="X26">
        <v>1</v>
      </c>
      <c r="Y26" t="s">
        <v>1210</v>
      </c>
      <c r="Z26">
        <v>0</v>
      </c>
      <c r="AA26" t="s">
        <v>1210</v>
      </c>
      <c r="AB26" t="s">
        <v>1210</v>
      </c>
      <c r="AC26" t="s">
        <v>1210</v>
      </c>
      <c r="AD26" t="s">
        <v>1210</v>
      </c>
      <c r="AE26">
        <v>0</v>
      </c>
      <c r="AF26" t="s">
        <v>1210</v>
      </c>
      <c r="AG26" t="s">
        <v>1210</v>
      </c>
      <c r="AH26" t="s">
        <v>1210</v>
      </c>
    </row>
    <row r="27" spans="1:34" ht="18" customHeight="1">
      <c r="A27" t="s">
        <v>310</v>
      </c>
      <c r="B27" t="s">
        <v>311</v>
      </c>
      <c r="C27" t="s">
        <v>255</v>
      </c>
      <c r="D27" t="s">
        <v>256</v>
      </c>
      <c r="E27" t="s">
        <v>1210</v>
      </c>
      <c r="F27" t="s">
        <v>312</v>
      </c>
      <c r="G27" t="s">
        <v>864</v>
      </c>
      <c r="H27" t="s">
        <v>313</v>
      </c>
      <c r="I27" t="s">
        <v>260</v>
      </c>
      <c r="J27" t="s">
        <v>1210</v>
      </c>
      <c r="K27">
        <v>1</v>
      </c>
      <c r="L27">
        <v>1</v>
      </c>
      <c r="M27" t="s">
        <v>33</v>
      </c>
      <c r="N27">
        <v>1</v>
      </c>
      <c r="O27">
        <v>1</v>
      </c>
      <c r="P27">
        <v>1</v>
      </c>
      <c r="Q27" t="s">
        <v>47</v>
      </c>
      <c r="R27">
        <v>1</v>
      </c>
      <c r="S27">
        <v>1</v>
      </c>
      <c r="T27">
        <v>1</v>
      </c>
      <c r="U27" t="s">
        <v>1210</v>
      </c>
      <c r="V27" t="s">
        <v>1210</v>
      </c>
      <c r="W27" t="s">
        <v>1210</v>
      </c>
      <c r="X27">
        <v>1</v>
      </c>
      <c r="Y27" t="s">
        <v>1210</v>
      </c>
      <c r="Z27">
        <v>0</v>
      </c>
      <c r="AA27" t="s">
        <v>1210</v>
      </c>
      <c r="AB27" t="s">
        <v>1210</v>
      </c>
      <c r="AC27" t="s">
        <v>1210</v>
      </c>
      <c r="AD27" t="s">
        <v>1210</v>
      </c>
      <c r="AE27">
        <v>0</v>
      </c>
      <c r="AF27" t="s">
        <v>1210</v>
      </c>
      <c r="AG27" t="s">
        <v>1210</v>
      </c>
      <c r="AH27" t="s">
        <v>1210</v>
      </c>
    </row>
    <row r="28" spans="1:34">
      <c r="A28" t="s">
        <v>301</v>
      </c>
      <c r="B28" t="s">
        <v>302</v>
      </c>
      <c r="C28" t="s">
        <v>255</v>
      </c>
      <c r="D28" t="s">
        <v>256</v>
      </c>
      <c r="E28" t="s">
        <v>1210</v>
      </c>
      <c r="F28" t="s">
        <v>314</v>
      </c>
      <c r="G28" t="s">
        <v>864</v>
      </c>
      <c r="H28" t="s">
        <v>315</v>
      </c>
      <c r="I28" t="s">
        <v>260</v>
      </c>
      <c r="J28" t="s">
        <v>1210</v>
      </c>
      <c r="K28">
        <v>1</v>
      </c>
      <c r="L28">
        <v>1</v>
      </c>
      <c r="M28" t="s">
        <v>33</v>
      </c>
      <c r="N28">
        <v>1</v>
      </c>
      <c r="O28">
        <v>1</v>
      </c>
      <c r="P28">
        <v>1</v>
      </c>
      <c r="Q28" t="s">
        <v>47</v>
      </c>
      <c r="R28">
        <v>1</v>
      </c>
      <c r="S28">
        <v>1</v>
      </c>
      <c r="T28">
        <v>1</v>
      </c>
      <c r="U28" t="s">
        <v>1210</v>
      </c>
      <c r="V28" t="s">
        <v>1210</v>
      </c>
      <c r="W28" t="s">
        <v>1210</v>
      </c>
      <c r="X28">
        <v>1</v>
      </c>
      <c r="Y28" t="s">
        <v>1210</v>
      </c>
      <c r="Z28">
        <v>0</v>
      </c>
      <c r="AA28" t="s">
        <v>1210</v>
      </c>
      <c r="AB28" t="s">
        <v>1210</v>
      </c>
      <c r="AC28" t="s">
        <v>1210</v>
      </c>
      <c r="AD28" t="s">
        <v>1210</v>
      </c>
      <c r="AE28">
        <v>0</v>
      </c>
      <c r="AF28" t="s">
        <v>1210</v>
      </c>
      <c r="AG28" t="s">
        <v>1210</v>
      </c>
      <c r="AH28" t="s">
        <v>1210</v>
      </c>
    </row>
    <row r="29" spans="1:34">
      <c r="A29" t="s">
        <v>301</v>
      </c>
      <c r="B29" t="s">
        <v>302</v>
      </c>
      <c r="C29" t="s">
        <v>255</v>
      </c>
      <c r="D29" t="s">
        <v>256</v>
      </c>
      <c r="E29" t="s">
        <v>316</v>
      </c>
      <c r="F29" t="s">
        <v>317</v>
      </c>
      <c r="G29" t="s">
        <v>864</v>
      </c>
      <c r="H29" t="s">
        <v>318</v>
      </c>
      <c r="I29" t="s">
        <v>260</v>
      </c>
      <c r="J29" t="s">
        <v>1210</v>
      </c>
      <c r="K29">
        <v>1</v>
      </c>
      <c r="L29">
        <v>1</v>
      </c>
      <c r="M29" t="s">
        <v>33</v>
      </c>
      <c r="N29">
        <v>1</v>
      </c>
      <c r="O29">
        <v>1</v>
      </c>
      <c r="P29">
        <v>1</v>
      </c>
      <c r="Q29" t="s">
        <v>47</v>
      </c>
      <c r="R29">
        <v>1</v>
      </c>
      <c r="S29">
        <v>1</v>
      </c>
      <c r="T29">
        <v>1</v>
      </c>
      <c r="U29" t="s">
        <v>1210</v>
      </c>
      <c r="V29" t="s">
        <v>1210</v>
      </c>
      <c r="W29" t="s">
        <v>1210</v>
      </c>
      <c r="X29">
        <v>1</v>
      </c>
      <c r="Y29" t="s">
        <v>1210</v>
      </c>
      <c r="Z29">
        <v>0</v>
      </c>
      <c r="AA29" t="s">
        <v>1210</v>
      </c>
      <c r="AB29" t="s">
        <v>1210</v>
      </c>
      <c r="AC29" t="s">
        <v>1210</v>
      </c>
      <c r="AD29" t="s">
        <v>1210</v>
      </c>
      <c r="AE29">
        <v>0</v>
      </c>
      <c r="AF29" t="s">
        <v>1210</v>
      </c>
      <c r="AG29" t="s">
        <v>1210</v>
      </c>
      <c r="AH29" t="s">
        <v>1210</v>
      </c>
    </row>
    <row r="30" spans="1:34">
      <c r="A30" t="s">
        <v>319</v>
      </c>
      <c r="B30" t="s">
        <v>556</v>
      </c>
      <c r="C30" t="s">
        <v>255</v>
      </c>
      <c r="D30" t="s">
        <v>256</v>
      </c>
      <c r="E30" t="s">
        <v>1210</v>
      </c>
      <c r="F30" t="s">
        <v>320</v>
      </c>
      <c r="G30" t="s">
        <v>864</v>
      </c>
      <c r="H30" t="s">
        <v>321</v>
      </c>
      <c r="I30" t="s">
        <v>279</v>
      </c>
      <c r="J30" t="s">
        <v>1210</v>
      </c>
      <c r="K30">
        <v>1</v>
      </c>
      <c r="L30">
        <v>1</v>
      </c>
      <c r="M30" t="s">
        <v>33</v>
      </c>
      <c r="N30">
        <v>1</v>
      </c>
      <c r="O30">
        <v>1</v>
      </c>
      <c r="P30">
        <v>1</v>
      </c>
      <c r="Q30" t="s">
        <v>47</v>
      </c>
      <c r="R30">
        <v>1</v>
      </c>
      <c r="S30">
        <v>1</v>
      </c>
      <c r="T30">
        <v>1</v>
      </c>
      <c r="U30" t="s">
        <v>1210</v>
      </c>
      <c r="V30" t="s">
        <v>1210</v>
      </c>
      <c r="W30" t="s">
        <v>1210</v>
      </c>
      <c r="X30">
        <v>1</v>
      </c>
      <c r="Y30" t="s">
        <v>1210</v>
      </c>
      <c r="Z30">
        <v>0</v>
      </c>
      <c r="AA30" t="s">
        <v>1210</v>
      </c>
      <c r="AB30" t="s">
        <v>1210</v>
      </c>
      <c r="AC30" t="s">
        <v>1210</v>
      </c>
      <c r="AD30" t="s">
        <v>1210</v>
      </c>
      <c r="AE30">
        <v>0</v>
      </c>
      <c r="AF30" t="s">
        <v>1210</v>
      </c>
      <c r="AG30" t="s">
        <v>1210</v>
      </c>
      <c r="AH30" t="s">
        <v>1210</v>
      </c>
    </row>
    <row r="31" spans="1:34">
      <c r="A31" t="s">
        <v>322</v>
      </c>
      <c r="B31" t="s">
        <v>323</v>
      </c>
      <c r="C31" t="s">
        <v>255</v>
      </c>
      <c r="D31" t="s">
        <v>256</v>
      </c>
      <c r="E31" t="s">
        <v>1210</v>
      </c>
      <c r="F31" t="s">
        <v>314</v>
      </c>
      <c r="G31" t="s">
        <v>864</v>
      </c>
      <c r="H31" t="s">
        <v>324</v>
      </c>
      <c r="I31" t="s">
        <v>260</v>
      </c>
      <c r="J31" t="s">
        <v>1210</v>
      </c>
      <c r="K31">
        <v>1</v>
      </c>
      <c r="L31">
        <v>1</v>
      </c>
      <c r="M31" t="s">
        <v>33</v>
      </c>
      <c r="N31">
        <v>1</v>
      </c>
      <c r="O31">
        <v>1</v>
      </c>
      <c r="P31">
        <v>1</v>
      </c>
      <c r="Q31" t="s">
        <v>47</v>
      </c>
      <c r="R31">
        <v>1</v>
      </c>
      <c r="S31">
        <v>1</v>
      </c>
      <c r="T31">
        <v>1</v>
      </c>
      <c r="U31" t="s">
        <v>1210</v>
      </c>
      <c r="V31" t="s">
        <v>1210</v>
      </c>
      <c r="W31" t="s">
        <v>1210</v>
      </c>
      <c r="X31">
        <v>1</v>
      </c>
      <c r="Y31" t="s">
        <v>1210</v>
      </c>
      <c r="Z31">
        <v>0</v>
      </c>
      <c r="AA31" t="s">
        <v>1210</v>
      </c>
      <c r="AB31" t="s">
        <v>1210</v>
      </c>
      <c r="AC31" t="s">
        <v>1210</v>
      </c>
      <c r="AD31" t="s">
        <v>1210</v>
      </c>
      <c r="AE31">
        <v>0</v>
      </c>
      <c r="AF31" t="s">
        <v>1210</v>
      </c>
      <c r="AG31" t="s">
        <v>1210</v>
      </c>
      <c r="AH31" t="s">
        <v>1210</v>
      </c>
    </row>
    <row r="32" spans="1:34">
      <c r="A32" t="s">
        <v>319</v>
      </c>
      <c r="B32" t="s">
        <v>556</v>
      </c>
      <c r="C32" t="s">
        <v>255</v>
      </c>
      <c r="D32" t="s">
        <v>256</v>
      </c>
      <c r="E32" t="s">
        <v>1210</v>
      </c>
      <c r="F32" t="s">
        <v>325</v>
      </c>
      <c r="G32" t="s">
        <v>864</v>
      </c>
      <c r="H32" t="s">
        <v>326</v>
      </c>
      <c r="I32" t="s">
        <v>279</v>
      </c>
      <c r="J32" t="s">
        <v>1210</v>
      </c>
      <c r="K32">
        <v>1</v>
      </c>
      <c r="L32">
        <v>1</v>
      </c>
      <c r="M32" t="s">
        <v>33</v>
      </c>
      <c r="N32">
        <v>1</v>
      </c>
      <c r="O32">
        <v>1</v>
      </c>
      <c r="P32">
        <v>1</v>
      </c>
      <c r="Q32" t="s">
        <v>47</v>
      </c>
      <c r="R32">
        <v>1</v>
      </c>
      <c r="S32">
        <v>1</v>
      </c>
      <c r="T32">
        <v>1</v>
      </c>
      <c r="U32" t="s">
        <v>1210</v>
      </c>
      <c r="V32" t="s">
        <v>1210</v>
      </c>
      <c r="W32" t="s">
        <v>1210</v>
      </c>
      <c r="X32">
        <v>1</v>
      </c>
      <c r="Y32" t="s">
        <v>1210</v>
      </c>
      <c r="Z32">
        <v>0</v>
      </c>
      <c r="AA32" t="s">
        <v>1210</v>
      </c>
      <c r="AB32" t="s">
        <v>1210</v>
      </c>
      <c r="AC32" t="s">
        <v>1210</v>
      </c>
      <c r="AD32" t="s">
        <v>1210</v>
      </c>
      <c r="AE32">
        <v>0</v>
      </c>
      <c r="AF32" t="s">
        <v>1210</v>
      </c>
      <c r="AG32" t="s">
        <v>1210</v>
      </c>
      <c r="AH32" t="s">
        <v>1210</v>
      </c>
    </row>
    <row r="33" spans="1:34">
      <c r="A33" t="s">
        <v>301</v>
      </c>
      <c r="B33" t="s">
        <v>302</v>
      </c>
      <c r="C33" t="s">
        <v>255</v>
      </c>
      <c r="D33" t="s">
        <v>256</v>
      </c>
      <c r="E33" t="s">
        <v>1210</v>
      </c>
      <c r="F33" t="s">
        <v>327</v>
      </c>
      <c r="G33" t="s">
        <v>864</v>
      </c>
      <c r="H33" t="s">
        <v>328</v>
      </c>
      <c r="I33" t="s">
        <v>279</v>
      </c>
      <c r="J33" t="s">
        <v>1210</v>
      </c>
      <c r="K33">
        <v>1</v>
      </c>
      <c r="L33">
        <v>1</v>
      </c>
      <c r="M33" t="s">
        <v>33</v>
      </c>
      <c r="N33">
        <v>1</v>
      </c>
      <c r="O33">
        <v>1</v>
      </c>
      <c r="P33">
        <v>1</v>
      </c>
      <c r="Q33" t="s">
        <v>47</v>
      </c>
      <c r="R33">
        <v>1</v>
      </c>
      <c r="S33">
        <v>1</v>
      </c>
      <c r="T33">
        <v>1</v>
      </c>
      <c r="U33" t="s">
        <v>1210</v>
      </c>
      <c r="V33" t="s">
        <v>1210</v>
      </c>
      <c r="W33" t="s">
        <v>1210</v>
      </c>
      <c r="X33">
        <v>1</v>
      </c>
      <c r="Y33" t="s">
        <v>1210</v>
      </c>
      <c r="Z33">
        <v>0</v>
      </c>
      <c r="AA33" t="s">
        <v>1210</v>
      </c>
      <c r="AB33" t="s">
        <v>1210</v>
      </c>
      <c r="AC33" t="s">
        <v>1210</v>
      </c>
      <c r="AD33" t="s">
        <v>1210</v>
      </c>
      <c r="AE33">
        <v>0</v>
      </c>
      <c r="AF33" t="s">
        <v>1210</v>
      </c>
      <c r="AG33" t="s">
        <v>1210</v>
      </c>
      <c r="AH33" t="s">
        <v>1210</v>
      </c>
    </row>
    <row r="34" spans="1:34">
      <c r="A34" t="s">
        <v>329</v>
      </c>
      <c r="B34" t="s">
        <v>330</v>
      </c>
      <c r="C34" t="s">
        <v>255</v>
      </c>
      <c r="D34" t="s">
        <v>256</v>
      </c>
      <c r="E34" t="s">
        <v>1210</v>
      </c>
      <c r="F34" t="s">
        <v>331</v>
      </c>
      <c r="G34" t="s">
        <v>864</v>
      </c>
      <c r="H34" t="s">
        <v>332</v>
      </c>
      <c r="I34" t="s">
        <v>279</v>
      </c>
      <c r="J34" t="s">
        <v>1210</v>
      </c>
      <c r="K34">
        <v>1</v>
      </c>
      <c r="L34">
        <v>1</v>
      </c>
      <c r="M34" t="s">
        <v>33</v>
      </c>
      <c r="N34">
        <v>1</v>
      </c>
      <c r="O34">
        <v>1</v>
      </c>
      <c r="P34">
        <v>1</v>
      </c>
      <c r="Q34" t="s">
        <v>47</v>
      </c>
      <c r="R34">
        <v>1</v>
      </c>
      <c r="S34">
        <v>1</v>
      </c>
      <c r="T34">
        <v>1</v>
      </c>
      <c r="U34" t="s">
        <v>1210</v>
      </c>
      <c r="V34" t="s">
        <v>1210</v>
      </c>
      <c r="W34" t="s">
        <v>1210</v>
      </c>
      <c r="X34">
        <v>1</v>
      </c>
      <c r="Y34" t="s">
        <v>1210</v>
      </c>
      <c r="Z34">
        <v>0</v>
      </c>
      <c r="AA34" t="s">
        <v>1210</v>
      </c>
      <c r="AB34" t="s">
        <v>1210</v>
      </c>
      <c r="AC34" t="s">
        <v>1210</v>
      </c>
      <c r="AD34" t="s">
        <v>1210</v>
      </c>
      <c r="AE34">
        <v>0</v>
      </c>
      <c r="AF34" t="s">
        <v>1210</v>
      </c>
      <c r="AG34" t="s">
        <v>1210</v>
      </c>
      <c r="AH34" t="s">
        <v>1210</v>
      </c>
    </row>
    <row r="35" spans="1:34">
      <c r="A35" t="s">
        <v>333</v>
      </c>
      <c r="B35" t="s">
        <v>334</v>
      </c>
      <c r="C35" t="s">
        <v>255</v>
      </c>
      <c r="D35" t="s">
        <v>256</v>
      </c>
      <c r="E35" t="s">
        <v>1210</v>
      </c>
      <c r="F35" t="s">
        <v>335</v>
      </c>
      <c r="G35" t="s">
        <v>864</v>
      </c>
      <c r="H35" t="s">
        <v>336</v>
      </c>
      <c r="I35" t="s">
        <v>279</v>
      </c>
      <c r="J35" t="s">
        <v>1210</v>
      </c>
      <c r="K35">
        <v>1</v>
      </c>
      <c r="L35">
        <v>1</v>
      </c>
      <c r="M35" t="s">
        <v>33</v>
      </c>
      <c r="N35">
        <v>1</v>
      </c>
      <c r="O35">
        <v>1</v>
      </c>
      <c r="P35">
        <v>1</v>
      </c>
      <c r="Q35" t="s">
        <v>47</v>
      </c>
      <c r="R35">
        <v>1</v>
      </c>
      <c r="S35">
        <v>1</v>
      </c>
      <c r="T35">
        <v>1</v>
      </c>
      <c r="U35" t="s">
        <v>1210</v>
      </c>
      <c r="V35" t="s">
        <v>1210</v>
      </c>
      <c r="W35" t="s">
        <v>1210</v>
      </c>
      <c r="X35">
        <v>1</v>
      </c>
      <c r="Y35" t="s">
        <v>1210</v>
      </c>
      <c r="Z35">
        <v>0</v>
      </c>
      <c r="AA35" t="s">
        <v>1210</v>
      </c>
      <c r="AB35" t="s">
        <v>1210</v>
      </c>
      <c r="AC35" t="s">
        <v>1210</v>
      </c>
      <c r="AD35" t="s">
        <v>1210</v>
      </c>
      <c r="AE35">
        <v>0</v>
      </c>
      <c r="AF35" t="s">
        <v>1210</v>
      </c>
      <c r="AG35" t="s">
        <v>1210</v>
      </c>
      <c r="AH35" t="s">
        <v>1210</v>
      </c>
    </row>
    <row r="36" spans="1:34">
      <c r="A36" t="s">
        <v>337</v>
      </c>
      <c r="B36" t="s">
        <v>338</v>
      </c>
      <c r="C36" t="s">
        <v>255</v>
      </c>
      <c r="D36" t="s">
        <v>256</v>
      </c>
      <c r="E36" t="s">
        <v>1210</v>
      </c>
      <c r="F36" t="s">
        <v>339</v>
      </c>
      <c r="G36" t="s">
        <v>864</v>
      </c>
      <c r="H36" t="s">
        <v>340</v>
      </c>
      <c r="I36" t="s">
        <v>279</v>
      </c>
      <c r="J36" t="s">
        <v>1210</v>
      </c>
      <c r="K36">
        <v>1</v>
      </c>
      <c r="L36">
        <v>1</v>
      </c>
      <c r="M36" t="s">
        <v>33</v>
      </c>
      <c r="N36">
        <v>1</v>
      </c>
      <c r="O36">
        <v>1</v>
      </c>
      <c r="P36">
        <v>1</v>
      </c>
      <c r="Q36" t="s">
        <v>47</v>
      </c>
      <c r="R36">
        <v>1</v>
      </c>
      <c r="S36">
        <v>1</v>
      </c>
      <c r="T36">
        <v>1</v>
      </c>
      <c r="U36" t="s">
        <v>1210</v>
      </c>
      <c r="V36" t="s">
        <v>1210</v>
      </c>
      <c r="W36" t="s">
        <v>1210</v>
      </c>
      <c r="X36">
        <v>1</v>
      </c>
      <c r="Y36" t="s">
        <v>1210</v>
      </c>
      <c r="Z36">
        <v>0</v>
      </c>
      <c r="AA36" t="s">
        <v>1210</v>
      </c>
      <c r="AB36" t="s">
        <v>1210</v>
      </c>
      <c r="AC36" t="s">
        <v>1210</v>
      </c>
      <c r="AD36" t="s">
        <v>1210</v>
      </c>
      <c r="AE36">
        <v>0</v>
      </c>
      <c r="AF36" t="s">
        <v>1210</v>
      </c>
      <c r="AG36" t="s">
        <v>1210</v>
      </c>
      <c r="AH36" t="s">
        <v>1210</v>
      </c>
    </row>
    <row r="37" spans="1:34">
      <c r="A37" t="s">
        <v>341</v>
      </c>
      <c r="B37" t="s">
        <v>342</v>
      </c>
      <c r="C37" t="s">
        <v>255</v>
      </c>
      <c r="D37" t="s">
        <v>256</v>
      </c>
      <c r="E37" t="s">
        <v>1210</v>
      </c>
      <c r="F37" t="s">
        <v>343</v>
      </c>
      <c r="G37" t="s">
        <v>864</v>
      </c>
      <c r="H37" t="s">
        <v>344</v>
      </c>
      <c r="I37" t="s">
        <v>260</v>
      </c>
      <c r="J37" t="s">
        <v>1210</v>
      </c>
      <c r="K37">
        <v>1</v>
      </c>
      <c r="L37">
        <v>1</v>
      </c>
      <c r="M37" t="s">
        <v>33</v>
      </c>
      <c r="N37">
        <v>1</v>
      </c>
      <c r="O37">
        <v>1</v>
      </c>
      <c r="P37">
        <v>1</v>
      </c>
      <c r="Q37" t="s">
        <v>47</v>
      </c>
      <c r="R37">
        <v>1</v>
      </c>
      <c r="S37">
        <v>1</v>
      </c>
      <c r="T37">
        <v>1</v>
      </c>
      <c r="U37" t="s">
        <v>1210</v>
      </c>
      <c r="V37" t="s">
        <v>1210</v>
      </c>
      <c r="W37" t="s">
        <v>1210</v>
      </c>
      <c r="X37">
        <v>1</v>
      </c>
      <c r="Y37" t="s">
        <v>1210</v>
      </c>
      <c r="Z37">
        <v>0</v>
      </c>
      <c r="AA37" t="s">
        <v>1210</v>
      </c>
      <c r="AB37" t="s">
        <v>1210</v>
      </c>
      <c r="AC37" t="s">
        <v>1210</v>
      </c>
      <c r="AD37" t="s">
        <v>1210</v>
      </c>
      <c r="AE37">
        <v>0</v>
      </c>
      <c r="AF37" t="s">
        <v>1210</v>
      </c>
      <c r="AG37" t="s">
        <v>1210</v>
      </c>
      <c r="AH37" t="s">
        <v>1210</v>
      </c>
    </row>
    <row r="38" spans="1:34">
      <c r="A38" t="s">
        <v>345</v>
      </c>
      <c r="B38" t="s">
        <v>346</v>
      </c>
      <c r="C38" t="s">
        <v>255</v>
      </c>
      <c r="D38" t="s">
        <v>256</v>
      </c>
      <c r="E38" t="s">
        <v>1210</v>
      </c>
      <c r="F38" t="s">
        <v>347</v>
      </c>
      <c r="G38" t="s">
        <v>864</v>
      </c>
      <c r="H38" t="s">
        <v>348</v>
      </c>
      <c r="I38" t="s">
        <v>260</v>
      </c>
      <c r="J38" t="s">
        <v>1210</v>
      </c>
      <c r="K38">
        <v>1</v>
      </c>
      <c r="L38">
        <v>1</v>
      </c>
      <c r="M38" t="s">
        <v>33</v>
      </c>
      <c r="N38">
        <v>1</v>
      </c>
      <c r="O38">
        <v>1</v>
      </c>
      <c r="P38">
        <v>1</v>
      </c>
      <c r="Q38" t="s">
        <v>47</v>
      </c>
      <c r="R38">
        <v>1</v>
      </c>
      <c r="S38">
        <v>1</v>
      </c>
      <c r="T38">
        <v>1</v>
      </c>
      <c r="U38" t="s">
        <v>1210</v>
      </c>
      <c r="V38" t="s">
        <v>1210</v>
      </c>
      <c r="W38" t="s">
        <v>1210</v>
      </c>
      <c r="X38">
        <v>1</v>
      </c>
      <c r="Y38" t="s">
        <v>1210</v>
      </c>
      <c r="Z38">
        <v>0</v>
      </c>
      <c r="AA38" t="s">
        <v>1210</v>
      </c>
      <c r="AB38" t="s">
        <v>1210</v>
      </c>
      <c r="AC38" t="s">
        <v>1210</v>
      </c>
      <c r="AD38" t="s">
        <v>1210</v>
      </c>
      <c r="AE38">
        <v>0</v>
      </c>
      <c r="AF38" t="s">
        <v>1210</v>
      </c>
      <c r="AG38" t="s">
        <v>1210</v>
      </c>
      <c r="AH38" t="s">
        <v>1210</v>
      </c>
    </row>
    <row r="39" spans="1:34">
      <c r="A39" t="s">
        <v>301</v>
      </c>
      <c r="B39" t="s">
        <v>302</v>
      </c>
      <c r="C39" t="s">
        <v>255</v>
      </c>
      <c r="D39" t="s">
        <v>256</v>
      </c>
      <c r="E39" t="s">
        <v>1210</v>
      </c>
      <c r="F39" t="s">
        <v>349</v>
      </c>
      <c r="G39" t="s">
        <v>864</v>
      </c>
      <c r="H39" t="s">
        <v>350</v>
      </c>
      <c r="I39" t="s">
        <v>260</v>
      </c>
      <c r="J39" t="s">
        <v>1210</v>
      </c>
      <c r="K39">
        <v>1</v>
      </c>
      <c r="L39">
        <v>1</v>
      </c>
      <c r="M39" t="s">
        <v>33</v>
      </c>
      <c r="N39">
        <v>1</v>
      </c>
      <c r="O39">
        <v>1</v>
      </c>
      <c r="P39">
        <v>1</v>
      </c>
      <c r="Q39" t="s">
        <v>47</v>
      </c>
      <c r="R39">
        <v>1</v>
      </c>
      <c r="S39">
        <v>1</v>
      </c>
      <c r="T39">
        <v>1</v>
      </c>
      <c r="U39" t="s">
        <v>1210</v>
      </c>
      <c r="V39" t="s">
        <v>1210</v>
      </c>
      <c r="W39" t="s">
        <v>1210</v>
      </c>
      <c r="X39">
        <v>1</v>
      </c>
      <c r="Y39" t="s">
        <v>1210</v>
      </c>
      <c r="Z39">
        <v>0</v>
      </c>
      <c r="AA39" t="s">
        <v>1210</v>
      </c>
      <c r="AB39" t="s">
        <v>1210</v>
      </c>
      <c r="AC39" t="s">
        <v>1210</v>
      </c>
      <c r="AD39" t="s">
        <v>1210</v>
      </c>
      <c r="AE39">
        <v>0</v>
      </c>
      <c r="AF39" t="s">
        <v>1210</v>
      </c>
      <c r="AG39" t="s">
        <v>1210</v>
      </c>
      <c r="AH39" t="s">
        <v>1210</v>
      </c>
    </row>
    <row r="40" spans="1:34">
      <c r="A40" t="s">
        <v>351</v>
      </c>
      <c r="B40" t="s">
        <v>956</v>
      </c>
      <c r="C40" t="s">
        <v>255</v>
      </c>
      <c r="D40" t="s">
        <v>256</v>
      </c>
      <c r="E40" t="s">
        <v>1210</v>
      </c>
      <c r="F40" t="s">
        <v>352</v>
      </c>
      <c r="G40" t="s">
        <v>864</v>
      </c>
      <c r="H40" t="s">
        <v>353</v>
      </c>
      <c r="I40" t="s">
        <v>260</v>
      </c>
      <c r="J40" t="s">
        <v>1210</v>
      </c>
      <c r="K40">
        <v>1</v>
      </c>
      <c r="L40">
        <v>1</v>
      </c>
      <c r="M40" t="s">
        <v>33</v>
      </c>
      <c r="N40">
        <v>1</v>
      </c>
      <c r="O40">
        <v>1</v>
      </c>
      <c r="P40">
        <v>1</v>
      </c>
      <c r="Q40" t="s">
        <v>47</v>
      </c>
      <c r="R40">
        <v>1</v>
      </c>
      <c r="S40">
        <v>1</v>
      </c>
      <c r="T40">
        <v>1</v>
      </c>
      <c r="U40" t="s">
        <v>1210</v>
      </c>
      <c r="V40" t="s">
        <v>1210</v>
      </c>
      <c r="W40" t="s">
        <v>1210</v>
      </c>
      <c r="X40">
        <v>1</v>
      </c>
      <c r="Y40" t="s">
        <v>1210</v>
      </c>
      <c r="Z40">
        <v>0</v>
      </c>
      <c r="AA40" t="s">
        <v>1210</v>
      </c>
      <c r="AB40" t="s">
        <v>1210</v>
      </c>
      <c r="AC40" t="s">
        <v>1210</v>
      </c>
      <c r="AD40" t="s">
        <v>1210</v>
      </c>
      <c r="AE40">
        <v>0</v>
      </c>
      <c r="AF40" t="s">
        <v>1210</v>
      </c>
      <c r="AG40" t="s">
        <v>1210</v>
      </c>
      <c r="AH40" t="s">
        <v>1210</v>
      </c>
    </row>
    <row r="41" spans="1:34">
      <c r="A41" t="s">
        <v>322</v>
      </c>
      <c r="B41" t="s">
        <v>323</v>
      </c>
      <c r="C41" t="s">
        <v>255</v>
      </c>
      <c r="D41" t="s">
        <v>256</v>
      </c>
      <c r="E41" t="s">
        <v>1210</v>
      </c>
      <c r="F41" t="s">
        <v>354</v>
      </c>
      <c r="G41" t="s">
        <v>864</v>
      </c>
      <c r="H41" t="s">
        <v>355</v>
      </c>
      <c r="I41" t="s">
        <v>260</v>
      </c>
      <c r="J41" t="s">
        <v>1210</v>
      </c>
      <c r="K41">
        <v>1</v>
      </c>
      <c r="L41">
        <v>1</v>
      </c>
      <c r="M41" t="s">
        <v>33</v>
      </c>
      <c r="N41">
        <v>1</v>
      </c>
      <c r="O41">
        <v>1</v>
      </c>
      <c r="P41">
        <v>1</v>
      </c>
      <c r="Q41" t="s">
        <v>47</v>
      </c>
      <c r="R41">
        <v>1</v>
      </c>
      <c r="S41">
        <v>1</v>
      </c>
      <c r="T41">
        <v>1</v>
      </c>
      <c r="U41" t="s">
        <v>1210</v>
      </c>
      <c r="V41" t="s">
        <v>1210</v>
      </c>
      <c r="W41" t="s">
        <v>1210</v>
      </c>
      <c r="X41">
        <v>1</v>
      </c>
      <c r="Y41" t="s">
        <v>1210</v>
      </c>
      <c r="Z41">
        <v>0</v>
      </c>
      <c r="AA41" t="s">
        <v>1210</v>
      </c>
      <c r="AB41" t="s">
        <v>1210</v>
      </c>
      <c r="AC41" t="s">
        <v>1210</v>
      </c>
      <c r="AD41" t="s">
        <v>1210</v>
      </c>
      <c r="AE41">
        <v>0</v>
      </c>
      <c r="AF41" t="s">
        <v>1210</v>
      </c>
      <c r="AG41" t="s">
        <v>1210</v>
      </c>
      <c r="AH41" t="s">
        <v>1210</v>
      </c>
    </row>
    <row r="42" spans="1:34">
      <c r="A42" t="s">
        <v>356</v>
      </c>
      <c r="B42" t="s">
        <v>357</v>
      </c>
      <c r="C42" t="s">
        <v>255</v>
      </c>
      <c r="D42" t="s">
        <v>256</v>
      </c>
      <c r="E42" t="s">
        <v>1210</v>
      </c>
      <c r="F42" t="s">
        <v>358</v>
      </c>
      <c r="G42" t="s">
        <v>864</v>
      </c>
      <c r="H42" t="s">
        <v>359</v>
      </c>
      <c r="I42" t="s">
        <v>260</v>
      </c>
      <c r="J42" t="s">
        <v>1210</v>
      </c>
      <c r="K42">
        <v>1</v>
      </c>
      <c r="L42">
        <v>1</v>
      </c>
      <c r="M42" t="s">
        <v>33</v>
      </c>
      <c r="N42">
        <v>1</v>
      </c>
      <c r="O42">
        <v>1</v>
      </c>
      <c r="P42">
        <v>1</v>
      </c>
      <c r="Q42" t="s">
        <v>47</v>
      </c>
      <c r="R42">
        <v>1</v>
      </c>
      <c r="S42">
        <v>1</v>
      </c>
      <c r="T42">
        <v>1</v>
      </c>
      <c r="U42" t="s">
        <v>1210</v>
      </c>
      <c r="V42" t="s">
        <v>1210</v>
      </c>
      <c r="W42" t="s">
        <v>1210</v>
      </c>
      <c r="X42">
        <v>1</v>
      </c>
      <c r="Y42" t="s">
        <v>1210</v>
      </c>
      <c r="Z42">
        <v>0</v>
      </c>
      <c r="AA42" t="s">
        <v>1210</v>
      </c>
      <c r="AB42" t="s">
        <v>1210</v>
      </c>
      <c r="AC42" t="s">
        <v>1210</v>
      </c>
      <c r="AD42" t="s">
        <v>1210</v>
      </c>
      <c r="AE42">
        <v>0</v>
      </c>
      <c r="AF42" t="s">
        <v>1210</v>
      </c>
      <c r="AG42" t="s">
        <v>1210</v>
      </c>
      <c r="AH42" t="s">
        <v>1210</v>
      </c>
    </row>
    <row r="43" spans="1:34">
      <c r="A43" t="s">
        <v>360</v>
      </c>
      <c r="B43" t="s">
        <v>361</v>
      </c>
      <c r="C43" t="s">
        <v>255</v>
      </c>
      <c r="D43" t="s">
        <v>256</v>
      </c>
      <c r="E43" t="s">
        <v>1210</v>
      </c>
      <c r="F43" t="s">
        <v>362</v>
      </c>
      <c r="G43" t="s">
        <v>864</v>
      </c>
      <c r="H43" t="s">
        <v>363</v>
      </c>
      <c r="I43" t="s">
        <v>260</v>
      </c>
      <c r="J43" t="s">
        <v>1210</v>
      </c>
      <c r="K43">
        <v>1</v>
      </c>
      <c r="L43">
        <v>1</v>
      </c>
      <c r="M43" t="s">
        <v>33</v>
      </c>
      <c r="N43">
        <v>1</v>
      </c>
      <c r="O43">
        <v>1</v>
      </c>
      <c r="P43">
        <v>1</v>
      </c>
      <c r="Q43" t="s">
        <v>47</v>
      </c>
      <c r="R43">
        <v>1</v>
      </c>
      <c r="S43">
        <v>1</v>
      </c>
      <c r="T43">
        <v>1</v>
      </c>
      <c r="U43" t="s">
        <v>1210</v>
      </c>
      <c r="V43" t="s">
        <v>1210</v>
      </c>
      <c r="W43" t="s">
        <v>1210</v>
      </c>
      <c r="X43">
        <v>1</v>
      </c>
      <c r="Y43" t="s">
        <v>1210</v>
      </c>
      <c r="Z43">
        <v>0</v>
      </c>
      <c r="AA43" t="s">
        <v>1210</v>
      </c>
      <c r="AB43" t="s">
        <v>1210</v>
      </c>
      <c r="AC43" t="s">
        <v>1210</v>
      </c>
      <c r="AD43" t="s">
        <v>1210</v>
      </c>
      <c r="AE43">
        <v>0</v>
      </c>
      <c r="AF43" t="s">
        <v>1210</v>
      </c>
      <c r="AG43" t="s">
        <v>1210</v>
      </c>
      <c r="AH43" t="s">
        <v>1210</v>
      </c>
    </row>
    <row r="44" spans="1:34">
      <c r="A44" t="s">
        <v>364</v>
      </c>
      <c r="B44" t="s">
        <v>1045</v>
      </c>
      <c r="C44" t="s">
        <v>255</v>
      </c>
      <c r="D44" t="s">
        <v>256</v>
      </c>
      <c r="E44" t="s">
        <v>1210</v>
      </c>
      <c r="F44" t="s">
        <v>365</v>
      </c>
      <c r="G44" t="s">
        <v>864</v>
      </c>
      <c r="H44" t="s">
        <v>366</v>
      </c>
      <c r="I44" t="s">
        <v>260</v>
      </c>
      <c r="J44" t="s">
        <v>1210</v>
      </c>
      <c r="K44">
        <v>1</v>
      </c>
      <c r="L44">
        <v>1</v>
      </c>
      <c r="M44" t="s">
        <v>33</v>
      </c>
      <c r="N44">
        <v>1</v>
      </c>
      <c r="O44">
        <v>1</v>
      </c>
      <c r="P44">
        <v>1</v>
      </c>
      <c r="Q44" t="s">
        <v>47</v>
      </c>
      <c r="R44">
        <v>1</v>
      </c>
      <c r="S44">
        <v>1</v>
      </c>
      <c r="T44">
        <v>1</v>
      </c>
      <c r="U44" t="s">
        <v>1210</v>
      </c>
      <c r="V44" t="s">
        <v>1210</v>
      </c>
      <c r="W44" t="s">
        <v>1210</v>
      </c>
      <c r="X44">
        <v>1</v>
      </c>
      <c r="Y44" t="s">
        <v>1210</v>
      </c>
      <c r="Z44">
        <v>0</v>
      </c>
      <c r="AA44" t="s">
        <v>1210</v>
      </c>
      <c r="AB44" t="s">
        <v>1210</v>
      </c>
      <c r="AC44" t="s">
        <v>1210</v>
      </c>
      <c r="AD44" t="s">
        <v>1210</v>
      </c>
      <c r="AE44">
        <v>0</v>
      </c>
      <c r="AF44" t="s">
        <v>1210</v>
      </c>
      <c r="AG44" t="s">
        <v>1210</v>
      </c>
      <c r="AH44" t="s">
        <v>1210</v>
      </c>
    </row>
    <row r="45" spans="1:34">
      <c r="A45" t="s">
        <v>367</v>
      </c>
      <c r="B45" t="s">
        <v>368</v>
      </c>
      <c r="C45" t="s">
        <v>255</v>
      </c>
      <c r="D45" t="s">
        <v>256</v>
      </c>
      <c r="E45" t="s">
        <v>1210</v>
      </c>
      <c r="F45" t="s">
        <v>369</v>
      </c>
      <c r="G45" t="s">
        <v>984</v>
      </c>
      <c r="H45" t="s">
        <v>370</v>
      </c>
      <c r="I45" t="s">
        <v>260</v>
      </c>
      <c r="J45" t="s">
        <v>1210</v>
      </c>
      <c r="K45">
        <v>1</v>
      </c>
      <c r="L45">
        <v>1</v>
      </c>
      <c r="M45" t="s">
        <v>38</v>
      </c>
      <c r="N45">
        <v>1</v>
      </c>
      <c r="O45">
        <v>1</v>
      </c>
      <c r="P45">
        <v>1</v>
      </c>
      <c r="Q45" t="s">
        <v>47</v>
      </c>
      <c r="R45">
        <v>1</v>
      </c>
      <c r="S45">
        <v>1</v>
      </c>
      <c r="T45">
        <v>1</v>
      </c>
      <c r="U45" t="s">
        <v>1210</v>
      </c>
      <c r="V45" t="s">
        <v>1210</v>
      </c>
      <c r="W45" t="s">
        <v>1210</v>
      </c>
      <c r="X45">
        <v>1</v>
      </c>
      <c r="Y45" t="s">
        <v>1210</v>
      </c>
      <c r="Z45">
        <v>0</v>
      </c>
      <c r="AA45" t="s">
        <v>1210</v>
      </c>
      <c r="AB45" t="s">
        <v>1210</v>
      </c>
      <c r="AC45" t="s">
        <v>1210</v>
      </c>
      <c r="AD45" t="s">
        <v>1210</v>
      </c>
      <c r="AE45">
        <v>0</v>
      </c>
      <c r="AF45" t="s">
        <v>1210</v>
      </c>
      <c r="AG45" t="s">
        <v>1210</v>
      </c>
      <c r="AH45" t="s">
        <v>1210</v>
      </c>
    </row>
    <row r="46" spans="1:34">
      <c r="A46" t="s">
        <v>371</v>
      </c>
      <c r="B46" t="s">
        <v>372</v>
      </c>
      <c r="C46" t="s">
        <v>255</v>
      </c>
      <c r="D46" t="s">
        <v>256</v>
      </c>
      <c r="E46" t="s">
        <v>1210</v>
      </c>
      <c r="F46" t="s">
        <v>373</v>
      </c>
      <c r="G46" t="s">
        <v>864</v>
      </c>
      <c r="H46" t="s">
        <v>374</v>
      </c>
      <c r="I46" t="s">
        <v>260</v>
      </c>
      <c r="J46" t="s">
        <v>1210</v>
      </c>
      <c r="K46">
        <v>1</v>
      </c>
      <c r="L46">
        <v>1</v>
      </c>
      <c r="M46" t="s">
        <v>38</v>
      </c>
      <c r="N46">
        <v>1</v>
      </c>
      <c r="O46">
        <v>1</v>
      </c>
      <c r="P46">
        <v>1</v>
      </c>
      <c r="Q46" t="s">
        <v>47</v>
      </c>
      <c r="R46">
        <v>1</v>
      </c>
      <c r="S46">
        <v>1</v>
      </c>
      <c r="T46">
        <v>1</v>
      </c>
      <c r="U46" t="s">
        <v>1210</v>
      </c>
      <c r="V46" t="s">
        <v>1210</v>
      </c>
      <c r="W46" t="s">
        <v>1210</v>
      </c>
      <c r="X46">
        <v>1</v>
      </c>
      <c r="Y46" t="s">
        <v>1210</v>
      </c>
      <c r="Z46">
        <v>0</v>
      </c>
      <c r="AA46" t="s">
        <v>1210</v>
      </c>
      <c r="AB46" t="s">
        <v>1210</v>
      </c>
      <c r="AC46" t="s">
        <v>1210</v>
      </c>
      <c r="AD46" t="s">
        <v>1210</v>
      </c>
      <c r="AE46">
        <v>0</v>
      </c>
      <c r="AF46" t="s">
        <v>1210</v>
      </c>
      <c r="AG46" t="s">
        <v>1210</v>
      </c>
      <c r="AH46" t="s">
        <v>1210</v>
      </c>
    </row>
    <row r="47" spans="1:34">
      <c r="A47" t="s">
        <v>375</v>
      </c>
      <c r="B47" t="s">
        <v>992</v>
      </c>
      <c r="C47" t="s">
        <v>255</v>
      </c>
      <c r="D47" t="s">
        <v>256</v>
      </c>
      <c r="E47" t="s">
        <v>1210</v>
      </c>
      <c r="F47" t="s">
        <v>376</v>
      </c>
      <c r="G47" t="s">
        <v>864</v>
      </c>
      <c r="H47" t="s">
        <v>377</v>
      </c>
      <c r="I47" t="s">
        <v>260</v>
      </c>
      <c r="J47" t="s">
        <v>1210</v>
      </c>
      <c r="K47">
        <v>1</v>
      </c>
      <c r="L47">
        <v>1</v>
      </c>
      <c r="M47" t="s">
        <v>38</v>
      </c>
      <c r="N47">
        <v>1</v>
      </c>
      <c r="O47">
        <v>1</v>
      </c>
      <c r="P47">
        <v>1</v>
      </c>
      <c r="Q47" t="s">
        <v>47</v>
      </c>
      <c r="R47">
        <v>1</v>
      </c>
      <c r="S47">
        <v>1</v>
      </c>
      <c r="T47">
        <v>1</v>
      </c>
      <c r="U47" t="s">
        <v>1210</v>
      </c>
      <c r="V47" t="s">
        <v>1210</v>
      </c>
      <c r="W47" t="s">
        <v>1210</v>
      </c>
      <c r="X47">
        <v>1</v>
      </c>
      <c r="Y47" t="s">
        <v>1210</v>
      </c>
      <c r="Z47">
        <v>0</v>
      </c>
      <c r="AA47" t="s">
        <v>1210</v>
      </c>
      <c r="AB47" t="s">
        <v>1210</v>
      </c>
      <c r="AC47" t="s">
        <v>1210</v>
      </c>
      <c r="AD47" t="s">
        <v>1210</v>
      </c>
      <c r="AE47">
        <v>0</v>
      </c>
      <c r="AF47" t="s">
        <v>1210</v>
      </c>
      <c r="AG47" t="s">
        <v>1210</v>
      </c>
      <c r="AH47" t="s">
        <v>1210</v>
      </c>
    </row>
    <row r="48" spans="1:34">
      <c r="A48" t="s">
        <v>378</v>
      </c>
      <c r="B48" t="s">
        <v>995</v>
      </c>
      <c r="C48" t="s">
        <v>255</v>
      </c>
      <c r="D48" t="s">
        <v>256</v>
      </c>
      <c r="E48" t="s">
        <v>1210</v>
      </c>
      <c r="F48" t="s">
        <v>379</v>
      </c>
      <c r="G48" t="s">
        <v>864</v>
      </c>
      <c r="H48" t="s">
        <v>380</v>
      </c>
      <c r="I48" t="s">
        <v>260</v>
      </c>
      <c r="J48" t="s">
        <v>1210</v>
      </c>
      <c r="K48">
        <v>1</v>
      </c>
      <c r="L48">
        <v>1</v>
      </c>
      <c r="M48" t="s">
        <v>38</v>
      </c>
      <c r="N48">
        <v>1</v>
      </c>
      <c r="O48">
        <v>1</v>
      </c>
      <c r="P48">
        <v>1</v>
      </c>
      <c r="Q48" t="s">
        <v>47</v>
      </c>
      <c r="R48">
        <v>1</v>
      </c>
      <c r="S48">
        <v>1</v>
      </c>
      <c r="T48">
        <v>1</v>
      </c>
      <c r="U48" t="s">
        <v>1210</v>
      </c>
      <c r="V48" t="s">
        <v>1210</v>
      </c>
      <c r="W48" t="s">
        <v>1210</v>
      </c>
      <c r="X48">
        <v>1</v>
      </c>
      <c r="Y48" t="s">
        <v>1210</v>
      </c>
      <c r="Z48">
        <v>0</v>
      </c>
      <c r="AA48" t="s">
        <v>1210</v>
      </c>
      <c r="AB48" t="s">
        <v>1210</v>
      </c>
      <c r="AC48" t="s">
        <v>1210</v>
      </c>
      <c r="AD48" t="s">
        <v>1210</v>
      </c>
      <c r="AE48">
        <v>0</v>
      </c>
      <c r="AF48" t="s">
        <v>1210</v>
      </c>
      <c r="AG48" t="s">
        <v>1210</v>
      </c>
      <c r="AH48" t="s">
        <v>1210</v>
      </c>
    </row>
    <row r="49" spans="1:34">
      <c r="A49" t="s">
        <v>301</v>
      </c>
      <c r="B49" t="s">
        <v>302</v>
      </c>
      <c r="C49" t="s">
        <v>255</v>
      </c>
      <c r="D49" t="s">
        <v>256</v>
      </c>
      <c r="E49" t="s">
        <v>1210</v>
      </c>
      <c r="F49" t="s">
        <v>381</v>
      </c>
      <c r="G49" t="s">
        <v>864</v>
      </c>
      <c r="H49" t="s">
        <v>382</v>
      </c>
      <c r="I49" t="s">
        <v>260</v>
      </c>
      <c r="J49" t="s">
        <v>1210</v>
      </c>
      <c r="K49">
        <v>1</v>
      </c>
      <c r="L49">
        <v>1</v>
      </c>
      <c r="M49" t="s">
        <v>38</v>
      </c>
      <c r="N49">
        <v>1</v>
      </c>
      <c r="O49">
        <v>1</v>
      </c>
      <c r="P49">
        <v>1</v>
      </c>
      <c r="Q49" t="s">
        <v>47</v>
      </c>
      <c r="R49">
        <v>1</v>
      </c>
      <c r="S49">
        <v>1</v>
      </c>
      <c r="T49">
        <v>1</v>
      </c>
      <c r="U49" t="s">
        <v>1210</v>
      </c>
      <c r="V49" t="s">
        <v>1210</v>
      </c>
      <c r="W49" t="s">
        <v>1210</v>
      </c>
      <c r="X49">
        <v>1</v>
      </c>
      <c r="Y49" t="s">
        <v>1210</v>
      </c>
      <c r="Z49">
        <v>0</v>
      </c>
      <c r="AA49" t="s">
        <v>1210</v>
      </c>
      <c r="AB49" t="s">
        <v>1210</v>
      </c>
      <c r="AC49" t="s">
        <v>1210</v>
      </c>
      <c r="AD49" t="s">
        <v>1210</v>
      </c>
      <c r="AE49">
        <v>0</v>
      </c>
      <c r="AF49" t="s">
        <v>1210</v>
      </c>
      <c r="AG49" t="s">
        <v>1210</v>
      </c>
      <c r="AH49" t="s">
        <v>1210</v>
      </c>
    </row>
    <row r="50" spans="1:34">
      <c r="A50" t="s">
        <v>383</v>
      </c>
      <c r="B50" t="s">
        <v>396</v>
      </c>
      <c r="C50" t="s">
        <v>255</v>
      </c>
      <c r="D50" t="s">
        <v>256</v>
      </c>
      <c r="E50" t="s">
        <v>384</v>
      </c>
      <c r="F50" t="s">
        <v>385</v>
      </c>
      <c r="G50" t="s">
        <v>864</v>
      </c>
      <c r="H50" t="s">
        <v>386</v>
      </c>
      <c r="I50" t="s">
        <v>260</v>
      </c>
      <c r="J50" t="s">
        <v>1210</v>
      </c>
      <c r="K50">
        <v>1</v>
      </c>
      <c r="L50">
        <v>1</v>
      </c>
      <c r="M50" t="s">
        <v>33</v>
      </c>
      <c r="N50">
        <v>1</v>
      </c>
      <c r="O50">
        <v>1</v>
      </c>
      <c r="P50">
        <v>1</v>
      </c>
      <c r="Q50" t="s">
        <v>280</v>
      </c>
      <c r="R50">
        <v>1</v>
      </c>
      <c r="S50">
        <v>1</v>
      </c>
      <c r="T50">
        <v>1</v>
      </c>
      <c r="U50" t="s">
        <v>1210</v>
      </c>
      <c r="V50" t="s">
        <v>1210</v>
      </c>
      <c r="W50" t="s">
        <v>1210</v>
      </c>
      <c r="X50">
        <v>1</v>
      </c>
      <c r="Y50" t="s">
        <v>1210</v>
      </c>
      <c r="Z50">
        <v>0</v>
      </c>
      <c r="AA50" t="s">
        <v>1210</v>
      </c>
      <c r="AB50" t="s">
        <v>1210</v>
      </c>
      <c r="AC50" t="s">
        <v>1210</v>
      </c>
      <c r="AD50" t="s">
        <v>1210</v>
      </c>
      <c r="AE50">
        <v>0</v>
      </c>
      <c r="AF50" t="s">
        <v>1210</v>
      </c>
      <c r="AG50" t="s">
        <v>1210</v>
      </c>
      <c r="AH50" t="s">
        <v>1210</v>
      </c>
    </row>
    <row r="51" spans="1:34">
      <c r="A51" t="s">
        <v>383</v>
      </c>
      <c r="B51" t="s">
        <v>396</v>
      </c>
      <c r="C51" t="s">
        <v>255</v>
      </c>
      <c r="D51" t="s">
        <v>256</v>
      </c>
      <c r="E51" t="s">
        <v>1210</v>
      </c>
      <c r="F51" t="s">
        <v>387</v>
      </c>
      <c r="G51" t="s">
        <v>864</v>
      </c>
      <c r="H51" t="s">
        <v>388</v>
      </c>
      <c r="I51" t="s">
        <v>260</v>
      </c>
      <c r="J51" t="s">
        <v>1210</v>
      </c>
      <c r="K51">
        <v>1</v>
      </c>
      <c r="L51">
        <v>1</v>
      </c>
      <c r="M51" t="s">
        <v>33</v>
      </c>
      <c r="N51">
        <v>1</v>
      </c>
      <c r="O51">
        <v>1</v>
      </c>
      <c r="P51">
        <v>1</v>
      </c>
      <c r="Q51" t="s">
        <v>280</v>
      </c>
      <c r="R51">
        <v>1</v>
      </c>
      <c r="S51">
        <v>1</v>
      </c>
      <c r="T51">
        <v>1</v>
      </c>
      <c r="U51" t="s">
        <v>1210</v>
      </c>
      <c r="V51" t="s">
        <v>1210</v>
      </c>
      <c r="W51" t="s">
        <v>1210</v>
      </c>
      <c r="X51">
        <v>1</v>
      </c>
      <c r="Y51" t="s">
        <v>1210</v>
      </c>
      <c r="Z51">
        <v>0</v>
      </c>
      <c r="AA51" t="s">
        <v>1210</v>
      </c>
      <c r="AB51" t="s">
        <v>1210</v>
      </c>
      <c r="AC51" t="s">
        <v>1210</v>
      </c>
      <c r="AD51" t="s">
        <v>1210</v>
      </c>
      <c r="AE51">
        <v>0</v>
      </c>
      <c r="AF51" t="s">
        <v>1210</v>
      </c>
      <c r="AG51" t="s">
        <v>1210</v>
      </c>
      <c r="AH51" t="s">
        <v>1210</v>
      </c>
    </row>
    <row r="52" spans="1:34">
      <c r="A52" t="s">
        <v>383</v>
      </c>
      <c r="B52" t="s">
        <v>396</v>
      </c>
      <c r="C52" t="s">
        <v>255</v>
      </c>
      <c r="D52" t="s">
        <v>256</v>
      </c>
      <c r="E52" t="s">
        <v>1210</v>
      </c>
      <c r="F52" t="s">
        <v>389</v>
      </c>
      <c r="G52" t="s">
        <v>864</v>
      </c>
      <c r="H52" t="s">
        <v>390</v>
      </c>
      <c r="I52" t="s">
        <v>260</v>
      </c>
      <c r="J52" t="s">
        <v>1210</v>
      </c>
      <c r="K52">
        <v>1</v>
      </c>
      <c r="L52">
        <v>1</v>
      </c>
      <c r="M52" t="s">
        <v>33</v>
      </c>
      <c r="N52">
        <v>1</v>
      </c>
      <c r="O52">
        <v>1</v>
      </c>
      <c r="P52">
        <v>1</v>
      </c>
      <c r="Q52" t="s">
        <v>280</v>
      </c>
      <c r="R52">
        <v>1</v>
      </c>
      <c r="S52">
        <v>1</v>
      </c>
      <c r="T52">
        <v>1</v>
      </c>
      <c r="U52" t="s">
        <v>1210</v>
      </c>
      <c r="V52" t="s">
        <v>1210</v>
      </c>
      <c r="W52" t="s">
        <v>1210</v>
      </c>
      <c r="X52">
        <v>1</v>
      </c>
      <c r="Y52" t="s">
        <v>1210</v>
      </c>
      <c r="Z52">
        <v>0</v>
      </c>
      <c r="AA52" t="s">
        <v>1210</v>
      </c>
      <c r="AB52" t="s">
        <v>1210</v>
      </c>
      <c r="AC52" t="s">
        <v>1210</v>
      </c>
      <c r="AD52" t="s">
        <v>1210</v>
      </c>
      <c r="AE52">
        <v>0</v>
      </c>
      <c r="AF52" t="s">
        <v>1210</v>
      </c>
      <c r="AG52" t="s">
        <v>1210</v>
      </c>
      <c r="AH52" t="s">
        <v>1210</v>
      </c>
    </row>
    <row r="53" spans="1:34">
      <c r="A53" t="s">
        <v>383</v>
      </c>
      <c r="B53" t="s">
        <v>396</v>
      </c>
      <c r="C53" t="s">
        <v>255</v>
      </c>
      <c r="D53" t="s">
        <v>256</v>
      </c>
      <c r="E53" t="s">
        <v>1210</v>
      </c>
      <c r="F53" t="s">
        <v>391</v>
      </c>
      <c r="G53" t="s">
        <v>864</v>
      </c>
      <c r="H53" t="s">
        <v>392</v>
      </c>
      <c r="I53" t="s">
        <v>260</v>
      </c>
      <c r="J53" t="s">
        <v>1210</v>
      </c>
      <c r="K53">
        <v>1</v>
      </c>
      <c r="L53">
        <v>1</v>
      </c>
      <c r="M53" t="s">
        <v>33</v>
      </c>
      <c r="N53">
        <v>1</v>
      </c>
      <c r="O53">
        <v>1</v>
      </c>
      <c r="P53">
        <v>1</v>
      </c>
      <c r="Q53" t="s">
        <v>280</v>
      </c>
      <c r="R53">
        <v>1</v>
      </c>
      <c r="S53">
        <v>1</v>
      </c>
      <c r="T53">
        <v>1</v>
      </c>
      <c r="U53" t="s">
        <v>1210</v>
      </c>
      <c r="V53" t="s">
        <v>1210</v>
      </c>
      <c r="W53" t="s">
        <v>1210</v>
      </c>
      <c r="X53">
        <v>1</v>
      </c>
      <c r="Y53" t="s">
        <v>1210</v>
      </c>
      <c r="Z53">
        <v>0</v>
      </c>
      <c r="AA53" t="s">
        <v>1210</v>
      </c>
      <c r="AB53" t="s">
        <v>1210</v>
      </c>
      <c r="AC53" t="s">
        <v>1210</v>
      </c>
      <c r="AD53" t="s">
        <v>1210</v>
      </c>
      <c r="AE53">
        <v>0</v>
      </c>
      <c r="AF53" t="s">
        <v>1210</v>
      </c>
      <c r="AG53" t="s">
        <v>1210</v>
      </c>
      <c r="AH53" t="s">
        <v>1210</v>
      </c>
    </row>
    <row r="54" spans="1:34">
      <c r="A54" t="s">
        <v>383</v>
      </c>
      <c r="B54" t="s">
        <v>396</v>
      </c>
      <c r="C54" t="s">
        <v>255</v>
      </c>
      <c r="D54" t="s">
        <v>256</v>
      </c>
      <c r="E54" t="s">
        <v>1210</v>
      </c>
      <c r="F54" t="s">
        <v>393</v>
      </c>
      <c r="G54" t="s">
        <v>864</v>
      </c>
      <c r="H54" t="s">
        <v>394</v>
      </c>
      <c r="I54" t="s">
        <v>260</v>
      </c>
      <c r="J54" t="s">
        <v>1210</v>
      </c>
      <c r="K54">
        <v>1</v>
      </c>
      <c r="L54">
        <v>1</v>
      </c>
      <c r="M54" t="s">
        <v>33</v>
      </c>
      <c r="N54">
        <v>1</v>
      </c>
      <c r="O54">
        <v>1</v>
      </c>
      <c r="P54">
        <v>1</v>
      </c>
      <c r="Q54" t="s">
        <v>280</v>
      </c>
      <c r="R54">
        <v>1</v>
      </c>
      <c r="S54">
        <v>1</v>
      </c>
      <c r="T54">
        <v>1</v>
      </c>
      <c r="U54" t="s">
        <v>1210</v>
      </c>
      <c r="V54" t="s">
        <v>1210</v>
      </c>
      <c r="W54" t="s">
        <v>1210</v>
      </c>
      <c r="X54">
        <v>1</v>
      </c>
      <c r="Y54" t="s">
        <v>1210</v>
      </c>
      <c r="Z54">
        <v>0</v>
      </c>
      <c r="AA54" t="s">
        <v>1210</v>
      </c>
      <c r="AB54" t="s">
        <v>1210</v>
      </c>
      <c r="AC54" t="s">
        <v>1210</v>
      </c>
      <c r="AD54" t="s">
        <v>1210</v>
      </c>
      <c r="AE54">
        <v>0</v>
      </c>
      <c r="AF54" t="s">
        <v>1210</v>
      </c>
      <c r="AG54" t="s">
        <v>1210</v>
      </c>
      <c r="AH54" t="s">
        <v>1210</v>
      </c>
    </row>
    <row r="55" spans="1:34">
      <c r="A55" t="s">
        <v>395</v>
      </c>
      <c r="B55" t="s">
        <v>586</v>
      </c>
      <c r="C55" t="s">
        <v>255</v>
      </c>
      <c r="D55" t="s">
        <v>256</v>
      </c>
      <c r="E55" t="s">
        <v>397</v>
      </c>
      <c r="F55" t="s">
        <v>398</v>
      </c>
      <c r="G55" t="s">
        <v>864</v>
      </c>
      <c r="H55" t="s">
        <v>399</v>
      </c>
      <c r="I55" t="s">
        <v>279</v>
      </c>
      <c r="J55" t="s">
        <v>1210</v>
      </c>
      <c r="K55">
        <v>1</v>
      </c>
      <c r="L55">
        <v>1</v>
      </c>
      <c r="M55" t="s">
        <v>33</v>
      </c>
      <c r="N55">
        <v>1</v>
      </c>
      <c r="O55">
        <v>1</v>
      </c>
      <c r="P55">
        <v>1</v>
      </c>
      <c r="Q55" t="s">
        <v>280</v>
      </c>
      <c r="R55">
        <v>1</v>
      </c>
      <c r="S55">
        <v>1</v>
      </c>
      <c r="T55">
        <v>1</v>
      </c>
      <c r="U55" t="s">
        <v>1210</v>
      </c>
      <c r="V55" t="s">
        <v>1210</v>
      </c>
      <c r="W55" t="s">
        <v>1210</v>
      </c>
      <c r="X55">
        <v>1</v>
      </c>
      <c r="Y55" t="s">
        <v>1210</v>
      </c>
      <c r="Z55">
        <v>0</v>
      </c>
      <c r="AA55" t="s">
        <v>1210</v>
      </c>
      <c r="AB55" t="s">
        <v>1210</v>
      </c>
      <c r="AC55" t="s">
        <v>1210</v>
      </c>
      <c r="AD55" t="s">
        <v>1210</v>
      </c>
      <c r="AE55">
        <v>0</v>
      </c>
      <c r="AF55" t="s">
        <v>1210</v>
      </c>
      <c r="AG55" t="s">
        <v>1210</v>
      </c>
      <c r="AH55" t="s">
        <v>1210</v>
      </c>
    </row>
    <row r="56" spans="1:34">
      <c r="A56" t="s">
        <v>400</v>
      </c>
      <c r="B56" t="s">
        <v>968</v>
      </c>
      <c r="C56" t="s">
        <v>255</v>
      </c>
      <c r="D56" t="s">
        <v>256</v>
      </c>
      <c r="E56" t="s">
        <v>1210</v>
      </c>
      <c r="F56" t="s">
        <v>401</v>
      </c>
      <c r="G56" t="s">
        <v>864</v>
      </c>
      <c r="H56" t="s">
        <v>402</v>
      </c>
      <c r="I56" t="s">
        <v>279</v>
      </c>
      <c r="J56" t="s">
        <v>1210</v>
      </c>
      <c r="K56">
        <v>1</v>
      </c>
      <c r="L56">
        <v>1</v>
      </c>
      <c r="M56" t="s">
        <v>33</v>
      </c>
      <c r="N56">
        <v>1</v>
      </c>
      <c r="O56">
        <v>1</v>
      </c>
      <c r="P56">
        <v>1</v>
      </c>
      <c r="Q56" t="s">
        <v>47</v>
      </c>
      <c r="R56">
        <v>1</v>
      </c>
      <c r="S56">
        <v>1</v>
      </c>
      <c r="T56">
        <v>1</v>
      </c>
      <c r="U56" t="s">
        <v>1210</v>
      </c>
      <c r="V56" t="s">
        <v>1210</v>
      </c>
      <c r="W56" t="s">
        <v>1210</v>
      </c>
      <c r="X56">
        <v>1</v>
      </c>
      <c r="Y56" t="s">
        <v>1210</v>
      </c>
      <c r="Z56">
        <v>0</v>
      </c>
      <c r="AA56" t="s">
        <v>1210</v>
      </c>
      <c r="AB56" t="s">
        <v>1210</v>
      </c>
      <c r="AC56" t="s">
        <v>1210</v>
      </c>
      <c r="AD56" t="s">
        <v>1210</v>
      </c>
      <c r="AE56">
        <v>0</v>
      </c>
      <c r="AF56" t="s">
        <v>1210</v>
      </c>
      <c r="AG56" t="s">
        <v>1210</v>
      </c>
      <c r="AH56" t="s">
        <v>1210</v>
      </c>
    </row>
    <row r="57" spans="1:34">
      <c r="A57" t="s">
        <v>400</v>
      </c>
      <c r="B57" t="s">
        <v>968</v>
      </c>
      <c r="C57" t="s">
        <v>255</v>
      </c>
      <c r="D57" t="s">
        <v>256</v>
      </c>
      <c r="E57" t="s">
        <v>1210</v>
      </c>
      <c r="F57" t="s">
        <v>403</v>
      </c>
      <c r="G57" t="s">
        <v>864</v>
      </c>
      <c r="H57" t="s">
        <v>404</v>
      </c>
      <c r="I57" t="s">
        <v>279</v>
      </c>
      <c r="J57" t="s">
        <v>1210</v>
      </c>
      <c r="K57">
        <v>1</v>
      </c>
      <c r="L57">
        <v>1</v>
      </c>
      <c r="M57" t="s">
        <v>33</v>
      </c>
      <c r="N57">
        <v>1</v>
      </c>
      <c r="O57">
        <v>1</v>
      </c>
      <c r="P57">
        <v>1</v>
      </c>
      <c r="Q57" t="s">
        <v>47</v>
      </c>
      <c r="R57">
        <v>1</v>
      </c>
      <c r="S57">
        <v>1</v>
      </c>
      <c r="T57">
        <v>1</v>
      </c>
      <c r="U57" t="s">
        <v>1210</v>
      </c>
      <c r="V57" t="s">
        <v>1210</v>
      </c>
      <c r="W57" t="s">
        <v>1210</v>
      </c>
      <c r="X57">
        <v>1</v>
      </c>
      <c r="Y57" t="s">
        <v>1210</v>
      </c>
      <c r="Z57">
        <v>0</v>
      </c>
      <c r="AA57" t="s">
        <v>1210</v>
      </c>
      <c r="AB57" t="s">
        <v>1210</v>
      </c>
      <c r="AC57" t="s">
        <v>1210</v>
      </c>
      <c r="AD57" t="s">
        <v>1210</v>
      </c>
      <c r="AE57">
        <v>0</v>
      </c>
      <c r="AF57" t="s">
        <v>1210</v>
      </c>
      <c r="AG57" t="s">
        <v>1210</v>
      </c>
      <c r="AH57" t="s">
        <v>1210</v>
      </c>
    </row>
    <row r="58" spans="1:34">
      <c r="A58" t="s">
        <v>405</v>
      </c>
      <c r="B58" t="s">
        <v>998</v>
      </c>
      <c r="C58" t="s">
        <v>255</v>
      </c>
      <c r="D58" t="s">
        <v>256</v>
      </c>
      <c r="E58" t="s">
        <v>1210</v>
      </c>
      <c r="F58" t="s">
        <v>406</v>
      </c>
      <c r="G58" t="s">
        <v>864</v>
      </c>
      <c r="H58" t="s">
        <v>407</v>
      </c>
      <c r="I58" t="s">
        <v>279</v>
      </c>
      <c r="J58" t="s">
        <v>1210</v>
      </c>
      <c r="K58">
        <v>1</v>
      </c>
      <c r="L58">
        <v>1</v>
      </c>
      <c r="M58" t="s">
        <v>33</v>
      </c>
      <c r="N58">
        <v>1</v>
      </c>
      <c r="O58">
        <v>1</v>
      </c>
      <c r="P58">
        <v>1</v>
      </c>
      <c r="Q58" t="s">
        <v>47</v>
      </c>
      <c r="R58">
        <v>1</v>
      </c>
      <c r="S58">
        <v>1</v>
      </c>
      <c r="T58">
        <v>1</v>
      </c>
      <c r="U58" t="s">
        <v>1210</v>
      </c>
      <c r="V58" t="s">
        <v>1210</v>
      </c>
      <c r="W58" t="s">
        <v>1210</v>
      </c>
      <c r="X58">
        <v>1</v>
      </c>
      <c r="Y58" t="s">
        <v>1210</v>
      </c>
      <c r="Z58">
        <v>0</v>
      </c>
      <c r="AA58" t="s">
        <v>1210</v>
      </c>
      <c r="AB58" t="s">
        <v>1210</v>
      </c>
      <c r="AC58" t="s">
        <v>1210</v>
      </c>
      <c r="AD58" t="s">
        <v>1210</v>
      </c>
      <c r="AE58">
        <v>0</v>
      </c>
      <c r="AF58" t="s">
        <v>1210</v>
      </c>
      <c r="AG58" t="s">
        <v>1210</v>
      </c>
      <c r="AH58" t="s">
        <v>1210</v>
      </c>
    </row>
    <row r="59" spans="1:34">
      <c r="A59" t="s">
        <v>405</v>
      </c>
      <c r="B59" t="s">
        <v>998</v>
      </c>
      <c r="C59" t="s">
        <v>255</v>
      </c>
      <c r="D59" t="s">
        <v>256</v>
      </c>
      <c r="E59" t="s">
        <v>1210</v>
      </c>
      <c r="F59" t="s">
        <v>408</v>
      </c>
      <c r="G59" t="s">
        <v>864</v>
      </c>
      <c r="H59" t="s">
        <v>409</v>
      </c>
      <c r="I59" t="s">
        <v>279</v>
      </c>
      <c r="J59" t="s">
        <v>1210</v>
      </c>
      <c r="K59">
        <v>1</v>
      </c>
      <c r="L59">
        <v>1</v>
      </c>
      <c r="M59" t="s">
        <v>33</v>
      </c>
      <c r="N59">
        <v>1</v>
      </c>
      <c r="O59">
        <v>1</v>
      </c>
      <c r="P59">
        <v>1</v>
      </c>
      <c r="Q59" t="s">
        <v>47</v>
      </c>
      <c r="R59">
        <v>1</v>
      </c>
      <c r="S59">
        <v>1</v>
      </c>
      <c r="T59">
        <v>1</v>
      </c>
      <c r="U59" t="s">
        <v>1210</v>
      </c>
      <c r="V59" t="s">
        <v>1210</v>
      </c>
      <c r="W59" t="s">
        <v>1210</v>
      </c>
      <c r="X59">
        <v>1</v>
      </c>
      <c r="Y59" t="s">
        <v>1210</v>
      </c>
      <c r="Z59">
        <v>0</v>
      </c>
      <c r="AA59" t="s">
        <v>1210</v>
      </c>
      <c r="AB59" t="s">
        <v>1210</v>
      </c>
      <c r="AC59" t="s">
        <v>1210</v>
      </c>
      <c r="AD59" t="s">
        <v>1210</v>
      </c>
      <c r="AE59">
        <v>0</v>
      </c>
      <c r="AF59" t="s">
        <v>1210</v>
      </c>
      <c r="AG59" t="s">
        <v>1210</v>
      </c>
      <c r="AH59" t="s">
        <v>1210</v>
      </c>
    </row>
    <row r="60" spans="1:34">
      <c r="A60" t="s">
        <v>410</v>
      </c>
      <c r="B60" t="s">
        <v>411</v>
      </c>
      <c r="C60" t="s">
        <v>255</v>
      </c>
      <c r="D60" t="s">
        <v>256</v>
      </c>
      <c r="E60" t="s">
        <v>1210</v>
      </c>
      <c r="F60" t="s">
        <v>412</v>
      </c>
      <c r="G60" t="s">
        <v>945</v>
      </c>
      <c r="H60" t="s">
        <v>413</v>
      </c>
      <c r="I60" t="s">
        <v>279</v>
      </c>
      <c r="J60" t="s">
        <v>1210</v>
      </c>
      <c r="K60">
        <v>1</v>
      </c>
      <c r="L60">
        <v>1</v>
      </c>
      <c r="M60" t="s">
        <v>33</v>
      </c>
      <c r="N60">
        <v>1</v>
      </c>
      <c r="O60">
        <v>1</v>
      </c>
      <c r="P60">
        <v>1</v>
      </c>
      <c r="Q60" t="s">
        <v>47</v>
      </c>
      <c r="R60">
        <v>1</v>
      </c>
      <c r="S60">
        <v>1</v>
      </c>
      <c r="T60">
        <v>1</v>
      </c>
      <c r="U60" t="s">
        <v>1210</v>
      </c>
      <c r="V60" t="s">
        <v>1210</v>
      </c>
      <c r="W60" t="s">
        <v>1210</v>
      </c>
      <c r="X60">
        <v>1</v>
      </c>
      <c r="Y60" t="s">
        <v>1210</v>
      </c>
      <c r="Z60">
        <v>0</v>
      </c>
      <c r="AA60" t="s">
        <v>1210</v>
      </c>
      <c r="AB60" t="s">
        <v>1210</v>
      </c>
      <c r="AC60" t="s">
        <v>1210</v>
      </c>
      <c r="AD60" t="s">
        <v>1210</v>
      </c>
      <c r="AE60">
        <v>0</v>
      </c>
      <c r="AF60" t="s">
        <v>1210</v>
      </c>
      <c r="AG60" t="s">
        <v>1210</v>
      </c>
      <c r="AH60" t="s">
        <v>1210</v>
      </c>
    </row>
    <row r="61" spans="1:34">
      <c r="A61" t="s">
        <v>410</v>
      </c>
      <c r="B61" t="s">
        <v>411</v>
      </c>
      <c r="C61" t="s">
        <v>255</v>
      </c>
      <c r="D61" t="s">
        <v>256</v>
      </c>
      <c r="E61" t="s">
        <v>1210</v>
      </c>
      <c r="F61" t="s">
        <v>414</v>
      </c>
      <c r="G61" t="s">
        <v>945</v>
      </c>
      <c r="H61" t="s">
        <v>415</v>
      </c>
      <c r="I61" t="s">
        <v>279</v>
      </c>
      <c r="J61" t="s">
        <v>1210</v>
      </c>
      <c r="K61">
        <v>1</v>
      </c>
      <c r="L61">
        <v>1</v>
      </c>
      <c r="M61" t="s">
        <v>33</v>
      </c>
      <c r="N61">
        <v>1</v>
      </c>
      <c r="O61">
        <v>1</v>
      </c>
      <c r="P61">
        <v>1</v>
      </c>
      <c r="Q61" t="s">
        <v>47</v>
      </c>
      <c r="R61">
        <v>1</v>
      </c>
      <c r="S61">
        <v>1</v>
      </c>
      <c r="T61">
        <v>1</v>
      </c>
      <c r="U61" t="s">
        <v>1210</v>
      </c>
      <c r="V61" t="s">
        <v>1210</v>
      </c>
      <c r="W61" t="s">
        <v>1210</v>
      </c>
      <c r="X61">
        <v>1</v>
      </c>
      <c r="Y61" t="s">
        <v>1210</v>
      </c>
      <c r="Z61">
        <v>0</v>
      </c>
      <c r="AA61" t="s">
        <v>1210</v>
      </c>
      <c r="AB61" t="s">
        <v>1210</v>
      </c>
      <c r="AC61" t="s">
        <v>1210</v>
      </c>
      <c r="AD61" t="s">
        <v>1210</v>
      </c>
      <c r="AE61">
        <v>0</v>
      </c>
      <c r="AF61" t="s">
        <v>1210</v>
      </c>
      <c r="AG61" t="s">
        <v>1210</v>
      </c>
      <c r="AH61" t="s">
        <v>1210</v>
      </c>
    </row>
    <row r="62" spans="1:34" ht="15" customHeight="1">
      <c r="A62" t="s">
        <v>416</v>
      </c>
      <c r="B62" t="s">
        <v>505</v>
      </c>
      <c r="C62" t="s">
        <v>255</v>
      </c>
      <c r="D62" t="s">
        <v>256</v>
      </c>
      <c r="E62" t="s">
        <v>1210</v>
      </c>
      <c r="F62" t="s">
        <v>417</v>
      </c>
      <c r="G62" t="s">
        <v>945</v>
      </c>
      <c r="H62" t="s">
        <v>418</v>
      </c>
      <c r="I62" t="s">
        <v>279</v>
      </c>
      <c r="J62" t="s">
        <v>1210</v>
      </c>
      <c r="K62">
        <v>1</v>
      </c>
      <c r="L62">
        <v>1</v>
      </c>
      <c r="M62" t="s">
        <v>33</v>
      </c>
      <c r="N62">
        <v>1</v>
      </c>
      <c r="O62">
        <v>1</v>
      </c>
      <c r="P62">
        <v>1</v>
      </c>
      <c r="Q62" t="s">
        <v>47</v>
      </c>
      <c r="R62">
        <v>1</v>
      </c>
      <c r="S62">
        <v>1</v>
      </c>
      <c r="T62">
        <v>1</v>
      </c>
      <c r="U62" t="s">
        <v>1210</v>
      </c>
      <c r="V62" t="s">
        <v>1210</v>
      </c>
      <c r="W62" t="s">
        <v>1210</v>
      </c>
      <c r="X62">
        <v>1</v>
      </c>
      <c r="Y62" t="s">
        <v>1210</v>
      </c>
      <c r="Z62">
        <v>0</v>
      </c>
      <c r="AA62" t="s">
        <v>1210</v>
      </c>
      <c r="AB62" t="s">
        <v>1210</v>
      </c>
      <c r="AC62" t="s">
        <v>1210</v>
      </c>
      <c r="AD62" t="s">
        <v>1210</v>
      </c>
      <c r="AE62">
        <v>0</v>
      </c>
      <c r="AF62" t="s">
        <v>1210</v>
      </c>
      <c r="AG62" t="s">
        <v>1210</v>
      </c>
      <c r="AH62" t="s">
        <v>1210</v>
      </c>
    </row>
    <row r="63" spans="1:34">
      <c r="A63" t="s">
        <v>419</v>
      </c>
      <c r="B63" t="s">
        <v>989</v>
      </c>
      <c r="C63" t="s">
        <v>255</v>
      </c>
      <c r="D63" t="s">
        <v>256</v>
      </c>
      <c r="E63" t="s">
        <v>420</v>
      </c>
      <c r="F63" t="s">
        <v>421</v>
      </c>
      <c r="G63" t="s">
        <v>864</v>
      </c>
      <c r="H63" t="s">
        <v>422</v>
      </c>
      <c r="I63" t="s">
        <v>279</v>
      </c>
      <c r="J63" t="s">
        <v>1210</v>
      </c>
      <c r="K63">
        <v>1</v>
      </c>
      <c r="L63">
        <v>1</v>
      </c>
      <c r="M63" t="s">
        <v>33</v>
      </c>
      <c r="N63">
        <v>1</v>
      </c>
      <c r="O63">
        <v>1</v>
      </c>
      <c r="P63">
        <v>1</v>
      </c>
      <c r="Q63" t="s">
        <v>45</v>
      </c>
      <c r="R63">
        <v>1</v>
      </c>
      <c r="S63">
        <v>1</v>
      </c>
      <c r="T63">
        <v>1</v>
      </c>
      <c r="U63" t="s">
        <v>1210</v>
      </c>
      <c r="V63" t="s">
        <v>1210</v>
      </c>
      <c r="W63" t="s">
        <v>1210</v>
      </c>
      <c r="X63">
        <v>1</v>
      </c>
      <c r="Y63" t="s">
        <v>1210</v>
      </c>
      <c r="Z63">
        <v>0</v>
      </c>
      <c r="AA63" t="s">
        <v>1210</v>
      </c>
      <c r="AB63" t="s">
        <v>1210</v>
      </c>
      <c r="AC63" t="s">
        <v>1210</v>
      </c>
      <c r="AD63" t="s">
        <v>1210</v>
      </c>
      <c r="AE63">
        <v>0</v>
      </c>
      <c r="AF63" t="s">
        <v>1210</v>
      </c>
      <c r="AG63" t="s">
        <v>1210</v>
      </c>
      <c r="AH63" t="s">
        <v>1210</v>
      </c>
    </row>
    <row r="64" spans="1:34">
      <c r="A64" t="s">
        <v>419</v>
      </c>
      <c r="B64" t="s">
        <v>989</v>
      </c>
      <c r="C64" t="s">
        <v>255</v>
      </c>
      <c r="D64" t="s">
        <v>256</v>
      </c>
      <c r="E64" t="s">
        <v>1210</v>
      </c>
      <c r="F64" t="s">
        <v>423</v>
      </c>
      <c r="G64" t="s">
        <v>864</v>
      </c>
      <c r="H64" t="s">
        <v>424</v>
      </c>
      <c r="I64" t="s">
        <v>279</v>
      </c>
      <c r="J64" t="s">
        <v>1210</v>
      </c>
      <c r="K64">
        <v>1</v>
      </c>
      <c r="L64">
        <v>1</v>
      </c>
      <c r="M64" t="s">
        <v>33</v>
      </c>
      <c r="N64">
        <v>1</v>
      </c>
      <c r="O64">
        <v>1</v>
      </c>
      <c r="P64">
        <v>1</v>
      </c>
      <c r="Q64" t="s">
        <v>45</v>
      </c>
      <c r="R64">
        <v>1</v>
      </c>
      <c r="S64">
        <v>1</v>
      </c>
      <c r="T64">
        <v>1</v>
      </c>
      <c r="U64" t="s">
        <v>1210</v>
      </c>
      <c r="V64" t="s">
        <v>1210</v>
      </c>
      <c r="W64" t="s">
        <v>1210</v>
      </c>
      <c r="X64">
        <v>1</v>
      </c>
      <c r="Y64" t="s">
        <v>1210</v>
      </c>
      <c r="Z64">
        <v>0</v>
      </c>
      <c r="AA64" t="s">
        <v>1210</v>
      </c>
      <c r="AB64" t="s">
        <v>1210</v>
      </c>
      <c r="AC64" t="s">
        <v>1210</v>
      </c>
      <c r="AD64" t="s">
        <v>1210</v>
      </c>
      <c r="AE64">
        <v>0</v>
      </c>
      <c r="AF64" t="s">
        <v>1210</v>
      </c>
      <c r="AG64" t="s">
        <v>1210</v>
      </c>
      <c r="AH64" t="s">
        <v>1210</v>
      </c>
    </row>
    <row r="65" spans="1:34">
      <c r="A65" t="s">
        <v>419</v>
      </c>
      <c r="B65" t="s">
        <v>989</v>
      </c>
      <c r="C65" t="s">
        <v>255</v>
      </c>
      <c r="D65" t="s">
        <v>256</v>
      </c>
      <c r="E65" t="s">
        <v>1210</v>
      </c>
      <c r="F65" t="s">
        <v>425</v>
      </c>
      <c r="G65" t="s">
        <v>864</v>
      </c>
      <c r="H65" t="s">
        <v>426</v>
      </c>
      <c r="I65" t="s">
        <v>279</v>
      </c>
      <c r="J65" t="s">
        <v>1210</v>
      </c>
      <c r="K65">
        <v>1</v>
      </c>
      <c r="L65">
        <v>1</v>
      </c>
      <c r="M65" t="s">
        <v>33</v>
      </c>
      <c r="N65">
        <v>1</v>
      </c>
      <c r="O65">
        <v>1</v>
      </c>
      <c r="P65">
        <v>1</v>
      </c>
      <c r="Q65" t="s">
        <v>45</v>
      </c>
      <c r="R65">
        <v>1</v>
      </c>
      <c r="S65">
        <v>1</v>
      </c>
      <c r="T65">
        <v>1</v>
      </c>
      <c r="U65" t="s">
        <v>1210</v>
      </c>
      <c r="V65" t="s">
        <v>1210</v>
      </c>
      <c r="W65" t="s">
        <v>1210</v>
      </c>
      <c r="X65">
        <v>1</v>
      </c>
      <c r="Y65" t="s">
        <v>1210</v>
      </c>
      <c r="Z65">
        <v>0</v>
      </c>
      <c r="AA65" t="s">
        <v>1210</v>
      </c>
      <c r="AB65" t="s">
        <v>1210</v>
      </c>
      <c r="AC65" t="s">
        <v>1210</v>
      </c>
      <c r="AD65" t="s">
        <v>1210</v>
      </c>
      <c r="AE65">
        <v>0</v>
      </c>
      <c r="AF65" t="s">
        <v>1210</v>
      </c>
      <c r="AG65" t="s">
        <v>1210</v>
      </c>
      <c r="AH65" t="s">
        <v>1210</v>
      </c>
    </row>
    <row r="66" spans="1:34">
      <c r="A66" t="s">
        <v>419</v>
      </c>
      <c r="B66" t="s">
        <v>989</v>
      </c>
      <c r="C66" t="s">
        <v>255</v>
      </c>
      <c r="D66" t="s">
        <v>256</v>
      </c>
      <c r="E66" t="s">
        <v>1210</v>
      </c>
      <c r="F66" t="s">
        <v>427</v>
      </c>
      <c r="G66" t="s">
        <v>864</v>
      </c>
      <c r="H66" t="s">
        <v>428</v>
      </c>
      <c r="I66" t="s">
        <v>279</v>
      </c>
      <c r="J66" t="s">
        <v>1210</v>
      </c>
      <c r="K66">
        <v>1</v>
      </c>
      <c r="L66">
        <v>1</v>
      </c>
      <c r="M66" t="s">
        <v>33</v>
      </c>
      <c r="N66">
        <v>1</v>
      </c>
      <c r="O66">
        <v>1</v>
      </c>
      <c r="P66">
        <v>1</v>
      </c>
      <c r="Q66" t="s">
        <v>45</v>
      </c>
      <c r="R66">
        <v>1</v>
      </c>
      <c r="S66">
        <v>1</v>
      </c>
      <c r="T66">
        <v>1</v>
      </c>
      <c r="U66" t="s">
        <v>1210</v>
      </c>
      <c r="V66" t="s">
        <v>1210</v>
      </c>
      <c r="W66" t="s">
        <v>1210</v>
      </c>
      <c r="X66">
        <v>1</v>
      </c>
      <c r="Y66" t="s">
        <v>1210</v>
      </c>
      <c r="Z66">
        <v>0</v>
      </c>
      <c r="AA66" t="s">
        <v>1210</v>
      </c>
      <c r="AB66" t="s">
        <v>1210</v>
      </c>
      <c r="AC66" t="s">
        <v>1210</v>
      </c>
      <c r="AD66" t="s">
        <v>1210</v>
      </c>
      <c r="AE66">
        <v>0</v>
      </c>
      <c r="AF66" t="s">
        <v>1210</v>
      </c>
      <c r="AG66" t="s">
        <v>1210</v>
      </c>
      <c r="AH66" t="s">
        <v>1210</v>
      </c>
    </row>
    <row r="67" spans="1:34">
      <c r="A67" t="s">
        <v>419</v>
      </c>
      <c r="B67" t="s">
        <v>989</v>
      </c>
      <c r="C67" t="s">
        <v>255</v>
      </c>
      <c r="D67" t="s">
        <v>256</v>
      </c>
      <c r="E67" t="s">
        <v>1210</v>
      </c>
      <c r="F67" t="s">
        <v>429</v>
      </c>
      <c r="G67" t="s">
        <v>864</v>
      </c>
      <c r="H67" t="s">
        <v>430</v>
      </c>
      <c r="I67" t="s">
        <v>279</v>
      </c>
      <c r="J67" t="s">
        <v>1210</v>
      </c>
      <c r="K67">
        <v>1</v>
      </c>
      <c r="L67">
        <v>1</v>
      </c>
      <c r="M67" t="s">
        <v>33</v>
      </c>
      <c r="N67">
        <v>1</v>
      </c>
      <c r="O67">
        <v>1</v>
      </c>
      <c r="P67">
        <v>1</v>
      </c>
      <c r="Q67" t="s">
        <v>45</v>
      </c>
      <c r="R67">
        <v>1</v>
      </c>
      <c r="S67">
        <v>1</v>
      </c>
      <c r="T67">
        <v>1</v>
      </c>
      <c r="U67" t="s">
        <v>1210</v>
      </c>
      <c r="V67" t="s">
        <v>1210</v>
      </c>
      <c r="W67" t="s">
        <v>1210</v>
      </c>
      <c r="X67">
        <v>1</v>
      </c>
      <c r="Y67" t="s">
        <v>1210</v>
      </c>
      <c r="Z67">
        <v>0</v>
      </c>
      <c r="AA67" t="s">
        <v>1210</v>
      </c>
      <c r="AB67" t="s">
        <v>1210</v>
      </c>
      <c r="AC67" t="s">
        <v>1210</v>
      </c>
      <c r="AD67" t="s">
        <v>1210</v>
      </c>
      <c r="AE67">
        <v>0</v>
      </c>
      <c r="AF67" t="s">
        <v>1210</v>
      </c>
      <c r="AG67" t="s">
        <v>1210</v>
      </c>
      <c r="AH67" t="s">
        <v>1210</v>
      </c>
    </row>
    <row r="68" spans="1:34">
      <c r="A68" t="s">
        <v>419</v>
      </c>
      <c r="B68" t="s">
        <v>989</v>
      </c>
      <c r="C68" t="s">
        <v>255</v>
      </c>
      <c r="D68" t="s">
        <v>256</v>
      </c>
      <c r="E68" t="s">
        <v>1210</v>
      </c>
      <c r="F68" t="s">
        <v>431</v>
      </c>
      <c r="G68" t="s">
        <v>864</v>
      </c>
      <c r="H68" t="s">
        <v>432</v>
      </c>
      <c r="I68" t="s">
        <v>279</v>
      </c>
      <c r="J68" t="s">
        <v>1210</v>
      </c>
      <c r="K68">
        <v>1</v>
      </c>
      <c r="L68">
        <v>1</v>
      </c>
      <c r="M68" t="s">
        <v>33</v>
      </c>
      <c r="N68">
        <v>1</v>
      </c>
      <c r="O68">
        <v>1</v>
      </c>
      <c r="P68">
        <v>1</v>
      </c>
      <c r="Q68" t="s">
        <v>45</v>
      </c>
      <c r="R68">
        <v>1</v>
      </c>
      <c r="S68">
        <v>1</v>
      </c>
      <c r="T68">
        <v>1</v>
      </c>
      <c r="U68" t="s">
        <v>1210</v>
      </c>
      <c r="V68" t="s">
        <v>1210</v>
      </c>
      <c r="W68" t="s">
        <v>1210</v>
      </c>
      <c r="X68">
        <v>1</v>
      </c>
      <c r="Y68" t="s">
        <v>1210</v>
      </c>
      <c r="Z68">
        <v>0</v>
      </c>
      <c r="AA68" t="s">
        <v>1210</v>
      </c>
      <c r="AB68" t="s">
        <v>1210</v>
      </c>
      <c r="AC68" t="s">
        <v>1210</v>
      </c>
      <c r="AD68" t="s">
        <v>1210</v>
      </c>
      <c r="AE68">
        <v>0</v>
      </c>
      <c r="AF68" t="s">
        <v>1210</v>
      </c>
      <c r="AG68" t="s">
        <v>1210</v>
      </c>
      <c r="AH68" t="s">
        <v>1210</v>
      </c>
    </row>
    <row r="69" spans="1:34">
      <c r="A69" t="s">
        <v>419</v>
      </c>
      <c r="B69" t="s">
        <v>989</v>
      </c>
      <c r="C69" t="s">
        <v>255</v>
      </c>
      <c r="D69" t="s">
        <v>256</v>
      </c>
      <c r="E69" t="s">
        <v>1210</v>
      </c>
      <c r="F69" t="s">
        <v>433</v>
      </c>
      <c r="G69" t="s">
        <v>864</v>
      </c>
      <c r="H69" t="s">
        <v>434</v>
      </c>
      <c r="I69" t="s">
        <v>279</v>
      </c>
      <c r="J69" t="s">
        <v>1210</v>
      </c>
      <c r="K69">
        <v>1</v>
      </c>
      <c r="L69">
        <v>1</v>
      </c>
      <c r="M69" t="s">
        <v>33</v>
      </c>
      <c r="N69">
        <v>1</v>
      </c>
      <c r="O69">
        <v>1</v>
      </c>
      <c r="P69">
        <v>1</v>
      </c>
      <c r="Q69" t="s">
        <v>45</v>
      </c>
      <c r="R69">
        <v>1</v>
      </c>
      <c r="S69">
        <v>1</v>
      </c>
      <c r="T69">
        <v>1</v>
      </c>
      <c r="U69" t="s">
        <v>1210</v>
      </c>
      <c r="V69" t="s">
        <v>1210</v>
      </c>
      <c r="W69" t="s">
        <v>1210</v>
      </c>
      <c r="X69">
        <v>1</v>
      </c>
      <c r="Y69" t="s">
        <v>1210</v>
      </c>
      <c r="Z69">
        <v>0</v>
      </c>
      <c r="AA69" t="s">
        <v>1210</v>
      </c>
      <c r="AB69" t="s">
        <v>1210</v>
      </c>
      <c r="AC69" t="s">
        <v>1210</v>
      </c>
      <c r="AD69" t="s">
        <v>1210</v>
      </c>
      <c r="AE69">
        <v>0</v>
      </c>
      <c r="AF69" t="s">
        <v>1210</v>
      </c>
      <c r="AG69" t="s">
        <v>1210</v>
      </c>
      <c r="AH69" t="s">
        <v>1210</v>
      </c>
    </row>
    <row r="70" spans="1:34">
      <c r="A70" t="s">
        <v>419</v>
      </c>
      <c r="B70" t="s">
        <v>989</v>
      </c>
      <c r="C70" t="s">
        <v>255</v>
      </c>
      <c r="D70" t="s">
        <v>256</v>
      </c>
      <c r="E70" t="s">
        <v>1210</v>
      </c>
      <c r="F70" t="s">
        <v>435</v>
      </c>
      <c r="G70" t="s">
        <v>864</v>
      </c>
      <c r="H70" t="s">
        <v>436</v>
      </c>
      <c r="I70" t="s">
        <v>279</v>
      </c>
      <c r="J70" t="s">
        <v>1210</v>
      </c>
      <c r="K70">
        <v>1</v>
      </c>
      <c r="L70">
        <v>1</v>
      </c>
      <c r="M70" t="s">
        <v>33</v>
      </c>
      <c r="N70">
        <v>1</v>
      </c>
      <c r="O70">
        <v>1</v>
      </c>
      <c r="P70">
        <v>1</v>
      </c>
      <c r="Q70" t="s">
        <v>45</v>
      </c>
      <c r="R70">
        <v>1</v>
      </c>
      <c r="S70">
        <v>1</v>
      </c>
      <c r="T70">
        <v>1</v>
      </c>
      <c r="U70" t="s">
        <v>1210</v>
      </c>
      <c r="V70" t="s">
        <v>1210</v>
      </c>
      <c r="W70" t="s">
        <v>1210</v>
      </c>
      <c r="X70">
        <v>1</v>
      </c>
      <c r="Y70" t="s">
        <v>1210</v>
      </c>
      <c r="Z70">
        <v>0</v>
      </c>
      <c r="AA70" t="s">
        <v>1210</v>
      </c>
      <c r="AB70" t="s">
        <v>1210</v>
      </c>
      <c r="AC70" t="s">
        <v>1210</v>
      </c>
      <c r="AD70" t="s">
        <v>1210</v>
      </c>
      <c r="AE70">
        <v>0</v>
      </c>
      <c r="AF70" t="s">
        <v>1210</v>
      </c>
      <c r="AG70" t="s">
        <v>1210</v>
      </c>
      <c r="AH70" t="s">
        <v>1210</v>
      </c>
    </row>
    <row r="71" spans="1:34">
      <c r="A71" t="s">
        <v>419</v>
      </c>
      <c r="B71" t="s">
        <v>989</v>
      </c>
      <c r="C71" t="s">
        <v>255</v>
      </c>
      <c r="D71" t="s">
        <v>256</v>
      </c>
      <c r="E71" t="s">
        <v>1210</v>
      </c>
      <c r="F71" t="s">
        <v>437</v>
      </c>
      <c r="G71" t="s">
        <v>864</v>
      </c>
      <c r="H71" t="s">
        <v>438</v>
      </c>
      <c r="I71" t="s">
        <v>279</v>
      </c>
      <c r="J71" t="s">
        <v>1210</v>
      </c>
      <c r="K71">
        <v>1</v>
      </c>
      <c r="L71">
        <v>1</v>
      </c>
      <c r="M71" t="s">
        <v>33</v>
      </c>
      <c r="N71">
        <v>1</v>
      </c>
      <c r="O71">
        <v>1</v>
      </c>
      <c r="P71">
        <v>1</v>
      </c>
      <c r="Q71" t="s">
        <v>45</v>
      </c>
      <c r="R71">
        <v>1</v>
      </c>
      <c r="S71">
        <v>1</v>
      </c>
      <c r="T71">
        <v>1</v>
      </c>
      <c r="U71" t="s">
        <v>1210</v>
      </c>
      <c r="V71" t="s">
        <v>1210</v>
      </c>
      <c r="W71" t="s">
        <v>1210</v>
      </c>
      <c r="X71">
        <v>1</v>
      </c>
      <c r="Y71" t="s">
        <v>1210</v>
      </c>
      <c r="Z71">
        <v>0</v>
      </c>
      <c r="AA71" t="s">
        <v>1210</v>
      </c>
      <c r="AB71" t="s">
        <v>1210</v>
      </c>
      <c r="AC71" t="s">
        <v>1210</v>
      </c>
      <c r="AD71" t="s">
        <v>1210</v>
      </c>
      <c r="AE71">
        <v>0</v>
      </c>
      <c r="AF71" t="s">
        <v>1210</v>
      </c>
      <c r="AG71" t="s">
        <v>1210</v>
      </c>
      <c r="AH71" t="s">
        <v>1210</v>
      </c>
    </row>
    <row r="72" spans="1:34">
      <c r="A72" t="s">
        <v>419</v>
      </c>
      <c r="B72" t="s">
        <v>989</v>
      </c>
      <c r="C72" t="s">
        <v>255</v>
      </c>
      <c r="D72" t="s">
        <v>256</v>
      </c>
      <c r="E72" t="s">
        <v>1210</v>
      </c>
      <c r="F72" t="s">
        <v>439</v>
      </c>
      <c r="G72" t="s">
        <v>864</v>
      </c>
      <c r="H72" t="s">
        <v>440</v>
      </c>
      <c r="I72" t="s">
        <v>279</v>
      </c>
      <c r="J72" t="s">
        <v>1210</v>
      </c>
      <c r="K72">
        <v>1</v>
      </c>
      <c r="L72">
        <v>1</v>
      </c>
      <c r="M72" t="s">
        <v>33</v>
      </c>
      <c r="N72">
        <v>1</v>
      </c>
      <c r="O72">
        <v>1</v>
      </c>
      <c r="P72">
        <v>1</v>
      </c>
      <c r="Q72" t="s">
        <v>45</v>
      </c>
      <c r="R72">
        <v>1</v>
      </c>
      <c r="S72">
        <v>1</v>
      </c>
      <c r="T72">
        <v>1</v>
      </c>
      <c r="U72" t="s">
        <v>1210</v>
      </c>
      <c r="V72" t="s">
        <v>1210</v>
      </c>
      <c r="W72" t="s">
        <v>1210</v>
      </c>
      <c r="X72">
        <v>1</v>
      </c>
      <c r="Y72" t="s">
        <v>1210</v>
      </c>
      <c r="Z72">
        <v>0</v>
      </c>
      <c r="AA72" t="s">
        <v>1210</v>
      </c>
      <c r="AB72" t="s">
        <v>1210</v>
      </c>
      <c r="AC72" t="s">
        <v>1210</v>
      </c>
      <c r="AD72" t="s">
        <v>1210</v>
      </c>
      <c r="AE72">
        <v>0</v>
      </c>
      <c r="AF72" t="s">
        <v>1210</v>
      </c>
      <c r="AG72" t="s">
        <v>1210</v>
      </c>
      <c r="AH72" t="s">
        <v>1210</v>
      </c>
    </row>
    <row r="73" spans="1:34">
      <c r="A73" t="s">
        <v>419</v>
      </c>
      <c r="B73" t="s">
        <v>989</v>
      </c>
      <c r="C73" t="s">
        <v>255</v>
      </c>
      <c r="D73" t="s">
        <v>256</v>
      </c>
      <c r="E73" t="s">
        <v>441</v>
      </c>
      <c r="F73" t="s">
        <v>442</v>
      </c>
      <c r="G73" t="s">
        <v>864</v>
      </c>
      <c r="H73" t="s">
        <v>443</v>
      </c>
      <c r="I73" t="s">
        <v>279</v>
      </c>
      <c r="J73" t="s">
        <v>1210</v>
      </c>
      <c r="K73">
        <v>1</v>
      </c>
      <c r="L73">
        <v>1</v>
      </c>
      <c r="M73" t="s">
        <v>33</v>
      </c>
      <c r="N73">
        <v>1</v>
      </c>
      <c r="O73">
        <v>1</v>
      </c>
      <c r="P73">
        <v>1</v>
      </c>
      <c r="Q73" t="s">
        <v>280</v>
      </c>
      <c r="R73">
        <v>1</v>
      </c>
      <c r="S73">
        <v>1</v>
      </c>
      <c r="T73">
        <v>1</v>
      </c>
      <c r="U73" t="s">
        <v>1210</v>
      </c>
      <c r="V73" t="s">
        <v>1210</v>
      </c>
      <c r="W73" t="s">
        <v>1210</v>
      </c>
      <c r="X73">
        <v>1</v>
      </c>
      <c r="Y73" t="s">
        <v>1210</v>
      </c>
      <c r="Z73">
        <v>0</v>
      </c>
      <c r="AA73" t="s">
        <v>1210</v>
      </c>
      <c r="AB73" t="s">
        <v>1210</v>
      </c>
      <c r="AC73" t="s">
        <v>1210</v>
      </c>
      <c r="AD73" t="s">
        <v>1210</v>
      </c>
      <c r="AE73">
        <v>0</v>
      </c>
      <c r="AF73" t="s">
        <v>1210</v>
      </c>
      <c r="AG73" t="s">
        <v>1210</v>
      </c>
      <c r="AH73" t="s">
        <v>1210</v>
      </c>
    </row>
    <row r="74" spans="1:34">
      <c r="A74" t="s">
        <v>419</v>
      </c>
      <c r="B74" t="s">
        <v>989</v>
      </c>
      <c r="C74" t="s">
        <v>255</v>
      </c>
      <c r="D74" t="s">
        <v>256</v>
      </c>
      <c r="E74" t="s">
        <v>1210</v>
      </c>
      <c r="F74" t="s">
        <v>444</v>
      </c>
      <c r="G74" t="s">
        <v>864</v>
      </c>
      <c r="H74" t="s">
        <v>445</v>
      </c>
      <c r="I74" t="s">
        <v>279</v>
      </c>
      <c r="J74" t="s">
        <v>1210</v>
      </c>
      <c r="K74">
        <v>1</v>
      </c>
      <c r="L74">
        <v>1</v>
      </c>
      <c r="M74" t="s">
        <v>33</v>
      </c>
      <c r="N74">
        <v>1</v>
      </c>
      <c r="O74">
        <v>1</v>
      </c>
      <c r="P74">
        <v>1</v>
      </c>
      <c r="Q74" t="s">
        <v>280</v>
      </c>
      <c r="R74">
        <v>1</v>
      </c>
      <c r="S74">
        <v>1</v>
      </c>
      <c r="T74">
        <v>1</v>
      </c>
      <c r="U74" t="s">
        <v>1210</v>
      </c>
      <c r="V74" t="s">
        <v>1210</v>
      </c>
      <c r="W74" t="s">
        <v>1210</v>
      </c>
      <c r="X74">
        <v>1</v>
      </c>
      <c r="Y74" t="s">
        <v>1210</v>
      </c>
      <c r="Z74">
        <v>0</v>
      </c>
      <c r="AA74" t="s">
        <v>1210</v>
      </c>
      <c r="AB74" t="s">
        <v>1210</v>
      </c>
      <c r="AC74" t="s">
        <v>1210</v>
      </c>
      <c r="AD74" t="s">
        <v>1210</v>
      </c>
      <c r="AE74">
        <v>0</v>
      </c>
      <c r="AF74" t="s">
        <v>1210</v>
      </c>
      <c r="AG74" t="s">
        <v>1210</v>
      </c>
      <c r="AH74" t="s">
        <v>1210</v>
      </c>
    </row>
    <row r="75" spans="1:34">
      <c r="A75" t="s">
        <v>419</v>
      </c>
      <c r="B75" t="s">
        <v>989</v>
      </c>
      <c r="C75" t="s">
        <v>255</v>
      </c>
      <c r="D75" t="s">
        <v>256</v>
      </c>
      <c r="E75" t="s">
        <v>1210</v>
      </c>
      <c r="F75" t="s">
        <v>446</v>
      </c>
      <c r="G75" t="s">
        <v>864</v>
      </c>
      <c r="H75" t="s">
        <v>447</v>
      </c>
      <c r="I75" t="s">
        <v>279</v>
      </c>
      <c r="J75" t="s">
        <v>1210</v>
      </c>
      <c r="K75">
        <v>1</v>
      </c>
      <c r="L75">
        <v>1</v>
      </c>
      <c r="M75" t="s">
        <v>33</v>
      </c>
      <c r="N75">
        <v>1</v>
      </c>
      <c r="O75">
        <v>1</v>
      </c>
      <c r="P75">
        <v>1</v>
      </c>
      <c r="Q75" t="s">
        <v>280</v>
      </c>
      <c r="R75">
        <v>1</v>
      </c>
      <c r="S75">
        <v>1</v>
      </c>
      <c r="T75">
        <v>1</v>
      </c>
      <c r="U75" t="s">
        <v>1210</v>
      </c>
      <c r="V75" t="s">
        <v>1210</v>
      </c>
      <c r="W75" t="s">
        <v>1210</v>
      </c>
      <c r="X75">
        <v>1</v>
      </c>
      <c r="Y75" t="s">
        <v>1210</v>
      </c>
      <c r="Z75">
        <v>0</v>
      </c>
      <c r="AA75" t="s">
        <v>1210</v>
      </c>
      <c r="AB75" t="s">
        <v>1210</v>
      </c>
      <c r="AC75" t="s">
        <v>1210</v>
      </c>
      <c r="AD75" t="s">
        <v>1210</v>
      </c>
      <c r="AE75">
        <v>0</v>
      </c>
      <c r="AF75" t="s">
        <v>1210</v>
      </c>
      <c r="AG75" t="s">
        <v>1210</v>
      </c>
      <c r="AH75" t="s">
        <v>1210</v>
      </c>
    </row>
    <row r="76" spans="1:34">
      <c r="A76" t="s">
        <v>419</v>
      </c>
      <c r="B76" t="s">
        <v>989</v>
      </c>
      <c r="C76" t="s">
        <v>255</v>
      </c>
      <c r="D76" t="s">
        <v>256</v>
      </c>
      <c r="E76" t="s">
        <v>1210</v>
      </c>
      <c r="F76" t="s">
        <v>448</v>
      </c>
      <c r="G76" t="s">
        <v>864</v>
      </c>
      <c r="H76" t="s">
        <v>449</v>
      </c>
      <c r="I76" t="s">
        <v>279</v>
      </c>
      <c r="J76" t="s">
        <v>1210</v>
      </c>
      <c r="K76">
        <v>1</v>
      </c>
      <c r="L76">
        <v>1</v>
      </c>
      <c r="M76" t="s">
        <v>33</v>
      </c>
      <c r="N76">
        <v>1</v>
      </c>
      <c r="O76">
        <v>1</v>
      </c>
      <c r="P76">
        <v>1</v>
      </c>
      <c r="Q76" t="s">
        <v>280</v>
      </c>
      <c r="R76">
        <v>1</v>
      </c>
      <c r="S76">
        <v>1</v>
      </c>
      <c r="T76">
        <v>1</v>
      </c>
      <c r="U76" t="s">
        <v>1210</v>
      </c>
      <c r="V76" t="s">
        <v>1210</v>
      </c>
      <c r="W76" t="s">
        <v>1210</v>
      </c>
      <c r="X76">
        <v>1</v>
      </c>
      <c r="Y76" t="s">
        <v>1210</v>
      </c>
      <c r="Z76">
        <v>0</v>
      </c>
      <c r="AA76" t="s">
        <v>1210</v>
      </c>
      <c r="AB76" t="s">
        <v>1210</v>
      </c>
      <c r="AC76" t="s">
        <v>1210</v>
      </c>
      <c r="AD76" t="s">
        <v>1210</v>
      </c>
      <c r="AE76">
        <v>0</v>
      </c>
      <c r="AF76" t="s">
        <v>1210</v>
      </c>
      <c r="AG76" t="s">
        <v>1210</v>
      </c>
      <c r="AH76" t="s">
        <v>1210</v>
      </c>
    </row>
    <row r="77" spans="1:34">
      <c r="A77" t="s">
        <v>419</v>
      </c>
      <c r="B77" t="s">
        <v>989</v>
      </c>
      <c r="C77" t="s">
        <v>255</v>
      </c>
      <c r="D77" t="s">
        <v>256</v>
      </c>
      <c r="E77" t="s">
        <v>1210</v>
      </c>
      <c r="F77" t="s">
        <v>450</v>
      </c>
      <c r="G77" t="s">
        <v>864</v>
      </c>
      <c r="H77" t="s">
        <v>451</v>
      </c>
      <c r="I77" t="s">
        <v>279</v>
      </c>
      <c r="J77" t="s">
        <v>1210</v>
      </c>
      <c r="K77">
        <v>1</v>
      </c>
      <c r="L77">
        <v>1</v>
      </c>
      <c r="M77" t="s">
        <v>33</v>
      </c>
      <c r="N77">
        <v>1</v>
      </c>
      <c r="O77">
        <v>1</v>
      </c>
      <c r="P77">
        <v>1</v>
      </c>
      <c r="Q77" t="s">
        <v>280</v>
      </c>
      <c r="R77">
        <v>1</v>
      </c>
      <c r="S77">
        <v>1</v>
      </c>
      <c r="T77">
        <v>1</v>
      </c>
      <c r="U77" t="s">
        <v>1210</v>
      </c>
      <c r="V77" t="s">
        <v>1210</v>
      </c>
      <c r="W77" t="s">
        <v>1210</v>
      </c>
      <c r="X77">
        <v>1</v>
      </c>
      <c r="Y77" t="s">
        <v>1210</v>
      </c>
      <c r="Z77">
        <v>0</v>
      </c>
      <c r="AA77" t="s">
        <v>1210</v>
      </c>
      <c r="AB77" t="s">
        <v>1210</v>
      </c>
      <c r="AC77" t="s">
        <v>1210</v>
      </c>
      <c r="AD77" t="s">
        <v>1210</v>
      </c>
      <c r="AE77">
        <v>0</v>
      </c>
      <c r="AF77" t="s">
        <v>1210</v>
      </c>
      <c r="AG77" t="s">
        <v>1210</v>
      </c>
      <c r="AH77" t="s">
        <v>1210</v>
      </c>
    </row>
    <row r="78" spans="1:34">
      <c r="A78" t="s">
        <v>452</v>
      </c>
      <c r="B78" t="s">
        <v>1005</v>
      </c>
      <c r="C78" t="s">
        <v>255</v>
      </c>
      <c r="D78" t="s">
        <v>256</v>
      </c>
      <c r="E78" t="s">
        <v>1210</v>
      </c>
      <c r="F78" t="s">
        <v>453</v>
      </c>
      <c r="G78" t="s">
        <v>864</v>
      </c>
      <c r="H78" t="s">
        <v>454</v>
      </c>
      <c r="I78" t="s">
        <v>279</v>
      </c>
      <c r="J78" t="s">
        <v>1210</v>
      </c>
      <c r="K78">
        <v>1</v>
      </c>
      <c r="L78">
        <v>1</v>
      </c>
      <c r="M78" t="s">
        <v>33</v>
      </c>
      <c r="N78">
        <v>1</v>
      </c>
      <c r="O78">
        <v>1</v>
      </c>
      <c r="P78">
        <v>1</v>
      </c>
      <c r="Q78" t="s">
        <v>280</v>
      </c>
      <c r="R78">
        <v>1</v>
      </c>
      <c r="S78">
        <v>1</v>
      </c>
      <c r="T78">
        <v>1</v>
      </c>
      <c r="U78" t="s">
        <v>1210</v>
      </c>
      <c r="V78" t="s">
        <v>1210</v>
      </c>
      <c r="W78" t="s">
        <v>1210</v>
      </c>
      <c r="X78">
        <v>1</v>
      </c>
      <c r="Y78" t="s">
        <v>1210</v>
      </c>
      <c r="Z78">
        <v>0</v>
      </c>
      <c r="AA78" t="s">
        <v>1210</v>
      </c>
      <c r="AB78" t="s">
        <v>1210</v>
      </c>
      <c r="AC78" t="s">
        <v>1210</v>
      </c>
      <c r="AD78" t="s">
        <v>1210</v>
      </c>
      <c r="AE78">
        <v>0</v>
      </c>
      <c r="AF78" t="s">
        <v>1210</v>
      </c>
      <c r="AG78" t="s">
        <v>1210</v>
      </c>
      <c r="AH78" t="s">
        <v>1210</v>
      </c>
    </row>
    <row r="79" spans="1:34">
      <c r="A79" t="s">
        <v>452</v>
      </c>
      <c r="B79" t="s">
        <v>1005</v>
      </c>
      <c r="C79" t="s">
        <v>255</v>
      </c>
      <c r="D79" t="s">
        <v>256</v>
      </c>
      <c r="E79" t="s">
        <v>1210</v>
      </c>
      <c r="F79" t="s">
        <v>455</v>
      </c>
      <c r="G79" t="s">
        <v>864</v>
      </c>
      <c r="H79" t="s">
        <v>456</v>
      </c>
      <c r="I79" t="s">
        <v>279</v>
      </c>
      <c r="J79" t="s">
        <v>1210</v>
      </c>
      <c r="K79">
        <v>1</v>
      </c>
      <c r="L79">
        <v>1</v>
      </c>
      <c r="M79" t="s">
        <v>33</v>
      </c>
      <c r="N79">
        <v>1</v>
      </c>
      <c r="O79">
        <v>1</v>
      </c>
      <c r="P79">
        <v>1</v>
      </c>
      <c r="Q79" t="s">
        <v>280</v>
      </c>
      <c r="R79">
        <v>1</v>
      </c>
      <c r="S79">
        <v>1</v>
      </c>
      <c r="T79">
        <v>1</v>
      </c>
      <c r="U79" t="s">
        <v>1210</v>
      </c>
      <c r="V79" t="s">
        <v>1210</v>
      </c>
      <c r="W79" t="s">
        <v>1210</v>
      </c>
      <c r="X79">
        <v>1</v>
      </c>
      <c r="Y79" t="s">
        <v>1210</v>
      </c>
      <c r="Z79">
        <v>0</v>
      </c>
      <c r="AA79" t="s">
        <v>1210</v>
      </c>
      <c r="AB79" t="s">
        <v>1210</v>
      </c>
      <c r="AC79" t="s">
        <v>1210</v>
      </c>
      <c r="AD79" t="s">
        <v>1210</v>
      </c>
      <c r="AE79">
        <v>0</v>
      </c>
      <c r="AF79" t="s">
        <v>1210</v>
      </c>
      <c r="AG79" t="s">
        <v>1210</v>
      </c>
      <c r="AH79" t="s">
        <v>1210</v>
      </c>
    </row>
    <row r="80" spans="1:34">
      <c r="A80" t="s">
        <v>452</v>
      </c>
      <c r="B80" t="s">
        <v>1005</v>
      </c>
      <c r="C80" t="s">
        <v>255</v>
      </c>
      <c r="D80" t="s">
        <v>256</v>
      </c>
      <c r="E80" t="s">
        <v>1210</v>
      </c>
      <c r="F80" t="s">
        <v>457</v>
      </c>
      <c r="G80" t="s">
        <v>864</v>
      </c>
      <c r="H80" t="s">
        <v>458</v>
      </c>
      <c r="I80" t="s">
        <v>279</v>
      </c>
      <c r="J80" t="s">
        <v>1210</v>
      </c>
      <c r="K80">
        <v>1</v>
      </c>
      <c r="L80">
        <v>1</v>
      </c>
      <c r="M80" t="s">
        <v>33</v>
      </c>
      <c r="N80">
        <v>1</v>
      </c>
      <c r="O80">
        <v>1</v>
      </c>
      <c r="P80">
        <v>1</v>
      </c>
      <c r="Q80" t="s">
        <v>280</v>
      </c>
      <c r="R80">
        <v>1</v>
      </c>
      <c r="S80">
        <v>1</v>
      </c>
      <c r="T80">
        <v>1</v>
      </c>
      <c r="U80" t="s">
        <v>1210</v>
      </c>
      <c r="V80" t="s">
        <v>1210</v>
      </c>
      <c r="W80" t="s">
        <v>1210</v>
      </c>
      <c r="X80">
        <v>1</v>
      </c>
      <c r="Y80" t="s">
        <v>1210</v>
      </c>
      <c r="Z80">
        <v>0</v>
      </c>
      <c r="AA80" t="s">
        <v>1210</v>
      </c>
      <c r="AB80" t="s">
        <v>1210</v>
      </c>
      <c r="AC80" t="s">
        <v>1210</v>
      </c>
      <c r="AD80" t="s">
        <v>1210</v>
      </c>
      <c r="AE80">
        <v>0</v>
      </c>
      <c r="AF80" t="s">
        <v>1210</v>
      </c>
      <c r="AG80" t="s">
        <v>1210</v>
      </c>
      <c r="AH80" t="s">
        <v>1210</v>
      </c>
    </row>
    <row r="81" spans="1:34">
      <c r="A81" t="s">
        <v>452</v>
      </c>
      <c r="B81" t="s">
        <v>1005</v>
      </c>
      <c r="C81" t="s">
        <v>255</v>
      </c>
      <c r="D81" t="s">
        <v>256</v>
      </c>
      <c r="E81" t="s">
        <v>1210</v>
      </c>
      <c r="F81" t="s">
        <v>459</v>
      </c>
      <c r="G81" t="s">
        <v>864</v>
      </c>
      <c r="H81" t="s">
        <v>460</v>
      </c>
      <c r="I81" t="s">
        <v>279</v>
      </c>
      <c r="J81" t="s">
        <v>1210</v>
      </c>
      <c r="K81">
        <v>1</v>
      </c>
      <c r="L81">
        <v>1</v>
      </c>
      <c r="M81" t="s">
        <v>33</v>
      </c>
      <c r="N81">
        <v>1</v>
      </c>
      <c r="O81">
        <v>1</v>
      </c>
      <c r="P81">
        <v>1</v>
      </c>
      <c r="Q81" t="s">
        <v>280</v>
      </c>
      <c r="R81">
        <v>1</v>
      </c>
      <c r="S81">
        <v>1</v>
      </c>
      <c r="T81">
        <v>1</v>
      </c>
      <c r="U81" t="s">
        <v>1210</v>
      </c>
      <c r="V81" t="s">
        <v>1210</v>
      </c>
      <c r="W81" t="s">
        <v>1210</v>
      </c>
      <c r="X81">
        <v>1</v>
      </c>
      <c r="Y81" t="s">
        <v>1210</v>
      </c>
      <c r="Z81">
        <v>0</v>
      </c>
      <c r="AA81" t="s">
        <v>1210</v>
      </c>
      <c r="AB81" t="s">
        <v>1210</v>
      </c>
      <c r="AC81" t="s">
        <v>1210</v>
      </c>
      <c r="AD81" t="s">
        <v>1210</v>
      </c>
      <c r="AE81">
        <v>0</v>
      </c>
      <c r="AF81" t="s">
        <v>1210</v>
      </c>
      <c r="AG81" t="s">
        <v>1210</v>
      </c>
      <c r="AH81" t="s">
        <v>1210</v>
      </c>
    </row>
    <row r="82" spans="1:34">
      <c r="A82" t="s">
        <v>452</v>
      </c>
      <c r="B82" t="s">
        <v>1005</v>
      </c>
      <c r="C82" t="s">
        <v>255</v>
      </c>
      <c r="D82" t="s">
        <v>256</v>
      </c>
      <c r="E82" t="s">
        <v>1210</v>
      </c>
      <c r="F82" t="s">
        <v>461</v>
      </c>
      <c r="G82" t="s">
        <v>864</v>
      </c>
      <c r="H82" t="s">
        <v>462</v>
      </c>
      <c r="I82" t="s">
        <v>279</v>
      </c>
      <c r="J82" t="s">
        <v>1210</v>
      </c>
      <c r="K82">
        <v>1</v>
      </c>
      <c r="L82">
        <v>1</v>
      </c>
      <c r="M82" t="s">
        <v>33</v>
      </c>
      <c r="N82">
        <v>1</v>
      </c>
      <c r="O82">
        <v>1</v>
      </c>
      <c r="P82">
        <v>1</v>
      </c>
      <c r="Q82" t="s">
        <v>280</v>
      </c>
      <c r="R82">
        <v>1</v>
      </c>
      <c r="S82">
        <v>1</v>
      </c>
      <c r="T82">
        <v>1</v>
      </c>
      <c r="U82" t="s">
        <v>1210</v>
      </c>
      <c r="V82" t="s">
        <v>1210</v>
      </c>
      <c r="W82" t="s">
        <v>1210</v>
      </c>
      <c r="X82">
        <v>1</v>
      </c>
      <c r="Y82" t="s">
        <v>1210</v>
      </c>
      <c r="Z82">
        <v>0</v>
      </c>
      <c r="AA82" t="s">
        <v>1210</v>
      </c>
      <c r="AB82" t="s">
        <v>1210</v>
      </c>
      <c r="AC82" t="s">
        <v>1210</v>
      </c>
      <c r="AD82" t="s">
        <v>1210</v>
      </c>
      <c r="AE82">
        <v>0</v>
      </c>
      <c r="AF82" t="s">
        <v>1210</v>
      </c>
      <c r="AG82" t="s">
        <v>1210</v>
      </c>
      <c r="AH82" t="s">
        <v>1210</v>
      </c>
    </row>
    <row r="83" spans="1:34">
      <c r="A83" t="s">
        <v>452</v>
      </c>
      <c r="B83" t="s">
        <v>1005</v>
      </c>
      <c r="C83" t="s">
        <v>255</v>
      </c>
      <c r="D83" t="s">
        <v>256</v>
      </c>
      <c r="E83" t="s">
        <v>1210</v>
      </c>
      <c r="F83" t="s">
        <v>463</v>
      </c>
      <c r="G83" t="s">
        <v>864</v>
      </c>
      <c r="H83" t="s">
        <v>464</v>
      </c>
      <c r="I83" t="s">
        <v>279</v>
      </c>
      <c r="J83" t="s">
        <v>1210</v>
      </c>
      <c r="K83">
        <v>1</v>
      </c>
      <c r="L83">
        <v>1</v>
      </c>
      <c r="M83" t="s">
        <v>33</v>
      </c>
      <c r="N83">
        <v>1</v>
      </c>
      <c r="O83">
        <v>1</v>
      </c>
      <c r="P83">
        <v>1</v>
      </c>
      <c r="Q83" t="s">
        <v>280</v>
      </c>
      <c r="R83">
        <v>1</v>
      </c>
      <c r="S83">
        <v>1</v>
      </c>
      <c r="T83">
        <v>1</v>
      </c>
      <c r="U83" t="s">
        <v>1210</v>
      </c>
      <c r="V83" t="s">
        <v>1210</v>
      </c>
      <c r="W83" t="s">
        <v>1210</v>
      </c>
      <c r="X83">
        <v>1</v>
      </c>
      <c r="Y83" t="s">
        <v>1210</v>
      </c>
      <c r="Z83">
        <v>0</v>
      </c>
      <c r="AA83" t="s">
        <v>1210</v>
      </c>
      <c r="AB83" t="s">
        <v>1210</v>
      </c>
      <c r="AC83" t="s">
        <v>1210</v>
      </c>
      <c r="AD83" t="s">
        <v>1210</v>
      </c>
      <c r="AE83">
        <v>0</v>
      </c>
      <c r="AF83" t="s">
        <v>1210</v>
      </c>
      <c r="AG83" t="s">
        <v>1210</v>
      </c>
      <c r="AH83" t="s">
        <v>1210</v>
      </c>
    </row>
    <row r="84" spans="1:34">
      <c r="A84" t="s">
        <v>253</v>
      </c>
      <c r="B84" t="s">
        <v>254</v>
      </c>
      <c r="C84" t="s">
        <v>255</v>
      </c>
      <c r="D84" t="s">
        <v>256</v>
      </c>
      <c r="E84" t="s">
        <v>465</v>
      </c>
      <c r="F84" t="s">
        <v>466</v>
      </c>
      <c r="G84" t="s">
        <v>945</v>
      </c>
      <c r="H84" t="s">
        <v>467</v>
      </c>
      <c r="I84" t="s">
        <v>279</v>
      </c>
      <c r="J84" t="s">
        <v>1210</v>
      </c>
      <c r="K84">
        <v>1</v>
      </c>
      <c r="L84">
        <v>1</v>
      </c>
      <c r="M84" t="s">
        <v>33</v>
      </c>
      <c r="N84">
        <v>1</v>
      </c>
      <c r="O84">
        <v>1</v>
      </c>
      <c r="P84">
        <v>1</v>
      </c>
      <c r="Q84" t="s">
        <v>280</v>
      </c>
      <c r="R84">
        <v>1</v>
      </c>
      <c r="S84">
        <v>1</v>
      </c>
      <c r="T84">
        <v>1</v>
      </c>
      <c r="U84" t="s">
        <v>1210</v>
      </c>
      <c r="V84" t="s">
        <v>1210</v>
      </c>
      <c r="W84" t="s">
        <v>1210</v>
      </c>
      <c r="X84">
        <v>1</v>
      </c>
      <c r="Y84" t="s">
        <v>1210</v>
      </c>
      <c r="Z84">
        <v>0</v>
      </c>
      <c r="AA84" t="s">
        <v>1210</v>
      </c>
      <c r="AB84" t="s">
        <v>1210</v>
      </c>
      <c r="AC84" t="s">
        <v>1210</v>
      </c>
      <c r="AD84" t="s">
        <v>1210</v>
      </c>
      <c r="AE84">
        <v>0</v>
      </c>
      <c r="AF84" t="s">
        <v>1210</v>
      </c>
      <c r="AG84" t="s">
        <v>1210</v>
      </c>
      <c r="AH84" t="s">
        <v>1210</v>
      </c>
    </row>
    <row r="85" spans="1:34">
      <c r="A85" t="s">
        <v>253</v>
      </c>
      <c r="B85" t="s">
        <v>254</v>
      </c>
      <c r="C85" t="s">
        <v>255</v>
      </c>
      <c r="D85" t="s">
        <v>256</v>
      </c>
      <c r="E85" t="s">
        <v>1210</v>
      </c>
      <c r="F85" t="s">
        <v>468</v>
      </c>
      <c r="G85" t="s">
        <v>945</v>
      </c>
      <c r="H85" t="s">
        <v>469</v>
      </c>
      <c r="I85" t="s">
        <v>279</v>
      </c>
      <c r="J85" t="s">
        <v>1210</v>
      </c>
      <c r="K85">
        <v>1</v>
      </c>
      <c r="L85">
        <v>1</v>
      </c>
      <c r="M85" t="s">
        <v>33</v>
      </c>
      <c r="N85">
        <v>1</v>
      </c>
      <c r="O85">
        <v>1</v>
      </c>
      <c r="P85">
        <v>1</v>
      </c>
      <c r="Q85" t="s">
        <v>280</v>
      </c>
      <c r="R85">
        <v>1</v>
      </c>
      <c r="S85">
        <v>1</v>
      </c>
      <c r="T85">
        <v>1</v>
      </c>
      <c r="U85" t="s">
        <v>1210</v>
      </c>
      <c r="V85" t="s">
        <v>1210</v>
      </c>
      <c r="W85" t="s">
        <v>1210</v>
      </c>
      <c r="X85">
        <v>1</v>
      </c>
      <c r="Y85" t="s">
        <v>1210</v>
      </c>
      <c r="Z85">
        <v>0</v>
      </c>
      <c r="AA85" t="s">
        <v>1210</v>
      </c>
      <c r="AB85" t="s">
        <v>1210</v>
      </c>
      <c r="AC85" t="s">
        <v>1210</v>
      </c>
      <c r="AD85" t="s">
        <v>1210</v>
      </c>
      <c r="AE85">
        <v>0</v>
      </c>
      <c r="AF85" t="s">
        <v>1210</v>
      </c>
      <c r="AG85" t="s">
        <v>1210</v>
      </c>
      <c r="AH85" t="s">
        <v>1210</v>
      </c>
    </row>
    <row r="86" spans="1:34">
      <c r="A86" t="s">
        <v>253</v>
      </c>
      <c r="B86" t="s">
        <v>254</v>
      </c>
      <c r="C86" t="s">
        <v>255</v>
      </c>
      <c r="D86" t="s">
        <v>256</v>
      </c>
      <c r="E86" t="s">
        <v>1210</v>
      </c>
      <c r="F86" t="s">
        <v>470</v>
      </c>
      <c r="G86" t="s">
        <v>945</v>
      </c>
      <c r="H86" t="s">
        <v>471</v>
      </c>
      <c r="I86" t="s">
        <v>279</v>
      </c>
      <c r="J86" t="s">
        <v>1210</v>
      </c>
      <c r="K86">
        <v>1</v>
      </c>
      <c r="L86">
        <v>1</v>
      </c>
      <c r="M86" t="s">
        <v>33</v>
      </c>
      <c r="N86">
        <v>1</v>
      </c>
      <c r="O86">
        <v>1</v>
      </c>
      <c r="P86">
        <v>1</v>
      </c>
      <c r="Q86" t="s">
        <v>280</v>
      </c>
      <c r="R86">
        <v>1</v>
      </c>
      <c r="S86">
        <v>1</v>
      </c>
      <c r="T86">
        <v>1</v>
      </c>
      <c r="U86" t="s">
        <v>1210</v>
      </c>
      <c r="V86" t="s">
        <v>1210</v>
      </c>
      <c r="W86" t="s">
        <v>1210</v>
      </c>
      <c r="X86">
        <v>1</v>
      </c>
      <c r="Y86" t="s">
        <v>1210</v>
      </c>
      <c r="Z86">
        <v>0</v>
      </c>
      <c r="AA86" t="s">
        <v>1210</v>
      </c>
      <c r="AB86" t="s">
        <v>1210</v>
      </c>
      <c r="AC86" t="s">
        <v>1210</v>
      </c>
      <c r="AD86" t="s">
        <v>1210</v>
      </c>
      <c r="AE86">
        <v>0</v>
      </c>
      <c r="AF86" t="s">
        <v>1210</v>
      </c>
      <c r="AG86" t="s">
        <v>1210</v>
      </c>
      <c r="AH86" t="s">
        <v>1210</v>
      </c>
    </row>
    <row r="87" spans="1:34">
      <c r="A87" t="s">
        <v>253</v>
      </c>
      <c r="B87" t="s">
        <v>254</v>
      </c>
      <c r="C87" t="s">
        <v>255</v>
      </c>
      <c r="D87" t="s">
        <v>256</v>
      </c>
      <c r="E87" t="s">
        <v>1210</v>
      </c>
      <c r="F87" t="s">
        <v>472</v>
      </c>
      <c r="G87" t="s">
        <v>945</v>
      </c>
      <c r="H87" t="s">
        <v>473</v>
      </c>
      <c r="I87" t="s">
        <v>279</v>
      </c>
      <c r="J87" t="s">
        <v>1210</v>
      </c>
      <c r="K87">
        <v>1</v>
      </c>
      <c r="L87">
        <v>1</v>
      </c>
      <c r="M87" t="s">
        <v>33</v>
      </c>
      <c r="N87">
        <v>1</v>
      </c>
      <c r="O87">
        <v>1</v>
      </c>
      <c r="P87">
        <v>1</v>
      </c>
      <c r="Q87" t="s">
        <v>280</v>
      </c>
      <c r="R87">
        <v>1</v>
      </c>
      <c r="S87">
        <v>1</v>
      </c>
      <c r="T87">
        <v>1</v>
      </c>
      <c r="U87" t="s">
        <v>1210</v>
      </c>
      <c r="V87" t="s">
        <v>1210</v>
      </c>
      <c r="W87" t="s">
        <v>1210</v>
      </c>
      <c r="X87">
        <v>1</v>
      </c>
      <c r="Y87" t="s">
        <v>1210</v>
      </c>
      <c r="Z87">
        <v>0</v>
      </c>
      <c r="AA87" t="s">
        <v>1210</v>
      </c>
      <c r="AB87" t="s">
        <v>1210</v>
      </c>
      <c r="AC87" t="s">
        <v>1210</v>
      </c>
      <c r="AD87" t="s">
        <v>1210</v>
      </c>
      <c r="AE87">
        <v>0</v>
      </c>
      <c r="AF87" t="s">
        <v>1210</v>
      </c>
      <c r="AG87" t="s">
        <v>1210</v>
      </c>
      <c r="AH87" t="s">
        <v>1210</v>
      </c>
    </row>
    <row r="88" spans="1:34">
      <c r="A88" t="s">
        <v>253</v>
      </c>
      <c r="B88" t="s">
        <v>254</v>
      </c>
      <c r="C88" t="s">
        <v>255</v>
      </c>
      <c r="D88" t="s">
        <v>256</v>
      </c>
      <c r="E88" t="s">
        <v>1210</v>
      </c>
      <c r="F88" t="s">
        <v>474</v>
      </c>
      <c r="G88" t="s">
        <v>945</v>
      </c>
      <c r="H88" t="s">
        <v>475</v>
      </c>
      <c r="I88" t="s">
        <v>279</v>
      </c>
      <c r="J88" t="s">
        <v>1210</v>
      </c>
      <c r="K88">
        <v>1</v>
      </c>
      <c r="L88">
        <v>1</v>
      </c>
      <c r="M88" t="s">
        <v>33</v>
      </c>
      <c r="N88">
        <v>1</v>
      </c>
      <c r="O88">
        <v>1</v>
      </c>
      <c r="P88">
        <v>1</v>
      </c>
      <c r="Q88" t="s">
        <v>280</v>
      </c>
      <c r="R88">
        <v>1</v>
      </c>
      <c r="S88">
        <v>1</v>
      </c>
      <c r="T88">
        <v>1</v>
      </c>
      <c r="U88" t="s">
        <v>1210</v>
      </c>
      <c r="V88" t="s">
        <v>1210</v>
      </c>
      <c r="W88" t="s">
        <v>1210</v>
      </c>
      <c r="X88">
        <v>1</v>
      </c>
      <c r="Y88" t="s">
        <v>1210</v>
      </c>
      <c r="Z88">
        <v>0</v>
      </c>
      <c r="AA88" t="s">
        <v>1210</v>
      </c>
      <c r="AB88" t="s">
        <v>1210</v>
      </c>
      <c r="AC88" t="s">
        <v>1210</v>
      </c>
      <c r="AD88" t="s">
        <v>1210</v>
      </c>
      <c r="AE88">
        <v>0</v>
      </c>
      <c r="AF88" t="s">
        <v>1210</v>
      </c>
      <c r="AG88" t="s">
        <v>1210</v>
      </c>
      <c r="AH88" t="s">
        <v>1210</v>
      </c>
    </row>
    <row r="89" spans="1:34">
      <c r="A89" t="s">
        <v>253</v>
      </c>
      <c r="B89" t="s">
        <v>254</v>
      </c>
      <c r="C89" t="s">
        <v>255</v>
      </c>
      <c r="D89" t="s">
        <v>256</v>
      </c>
      <c r="E89" t="s">
        <v>1210</v>
      </c>
      <c r="F89" t="s">
        <v>476</v>
      </c>
      <c r="G89" t="s">
        <v>945</v>
      </c>
      <c r="H89" t="s">
        <v>477</v>
      </c>
      <c r="I89" t="s">
        <v>279</v>
      </c>
      <c r="J89" t="s">
        <v>1210</v>
      </c>
      <c r="K89">
        <v>1</v>
      </c>
      <c r="L89">
        <v>1</v>
      </c>
      <c r="M89" t="s">
        <v>33</v>
      </c>
      <c r="N89">
        <v>1</v>
      </c>
      <c r="O89">
        <v>1</v>
      </c>
      <c r="P89">
        <v>1</v>
      </c>
      <c r="Q89" t="s">
        <v>280</v>
      </c>
      <c r="R89">
        <v>1</v>
      </c>
      <c r="S89">
        <v>1</v>
      </c>
      <c r="T89">
        <v>1</v>
      </c>
      <c r="U89" t="s">
        <v>1210</v>
      </c>
      <c r="V89" t="s">
        <v>1210</v>
      </c>
      <c r="W89" t="s">
        <v>1210</v>
      </c>
      <c r="X89">
        <v>1</v>
      </c>
      <c r="Y89" t="s">
        <v>1210</v>
      </c>
      <c r="Z89">
        <v>0</v>
      </c>
      <c r="AA89" t="s">
        <v>1210</v>
      </c>
      <c r="AB89" t="s">
        <v>1210</v>
      </c>
      <c r="AC89" t="s">
        <v>1210</v>
      </c>
      <c r="AD89" t="s">
        <v>1210</v>
      </c>
      <c r="AE89">
        <v>0</v>
      </c>
      <c r="AF89" t="s">
        <v>1210</v>
      </c>
      <c r="AG89" t="s">
        <v>1210</v>
      </c>
      <c r="AH89" t="s">
        <v>1210</v>
      </c>
    </row>
    <row r="90" spans="1:34">
      <c r="A90" t="s">
        <v>253</v>
      </c>
      <c r="B90" t="s">
        <v>254</v>
      </c>
      <c r="C90" t="s">
        <v>255</v>
      </c>
      <c r="D90" t="s">
        <v>256</v>
      </c>
      <c r="E90" t="s">
        <v>1210</v>
      </c>
      <c r="F90" t="s">
        <v>478</v>
      </c>
      <c r="G90" t="s">
        <v>945</v>
      </c>
      <c r="H90" t="s">
        <v>479</v>
      </c>
      <c r="I90" t="s">
        <v>279</v>
      </c>
      <c r="J90" t="s">
        <v>1210</v>
      </c>
      <c r="K90">
        <v>1</v>
      </c>
      <c r="L90">
        <v>1</v>
      </c>
      <c r="M90" t="s">
        <v>33</v>
      </c>
      <c r="N90">
        <v>1</v>
      </c>
      <c r="O90">
        <v>1</v>
      </c>
      <c r="P90">
        <v>1</v>
      </c>
      <c r="Q90" t="s">
        <v>280</v>
      </c>
      <c r="R90">
        <v>1</v>
      </c>
      <c r="S90">
        <v>1</v>
      </c>
      <c r="T90">
        <v>1</v>
      </c>
      <c r="U90" t="s">
        <v>1210</v>
      </c>
      <c r="V90" t="s">
        <v>1210</v>
      </c>
      <c r="W90" t="s">
        <v>1210</v>
      </c>
      <c r="X90">
        <v>1</v>
      </c>
      <c r="Y90" t="s">
        <v>1210</v>
      </c>
      <c r="Z90">
        <v>0</v>
      </c>
      <c r="AA90" t="s">
        <v>1210</v>
      </c>
      <c r="AB90" t="s">
        <v>1210</v>
      </c>
      <c r="AC90" t="s">
        <v>1210</v>
      </c>
      <c r="AD90" t="s">
        <v>1210</v>
      </c>
      <c r="AE90">
        <v>0</v>
      </c>
      <c r="AF90" t="s">
        <v>1210</v>
      </c>
      <c r="AG90" t="s">
        <v>1210</v>
      </c>
      <c r="AH90" t="s">
        <v>1210</v>
      </c>
    </row>
    <row r="91" spans="1:34">
      <c r="A91" t="s">
        <v>253</v>
      </c>
      <c r="B91" t="s">
        <v>254</v>
      </c>
      <c r="C91" t="s">
        <v>255</v>
      </c>
      <c r="D91" t="s">
        <v>256</v>
      </c>
      <c r="E91" t="s">
        <v>1210</v>
      </c>
      <c r="F91" t="s">
        <v>480</v>
      </c>
      <c r="G91" t="s">
        <v>945</v>
      </c>
      <c r="H91" t="s">
        <v>481</v>
      </c>
      <c r="I91" t="s">
        <v>279</v>
      </c>
      <c r="J91" t="s">
        <v>1210</v>
      </c>
      <c r="K91">
        <v>1</v>
      </c>
      <c r="L91">
        <v>1</v>
      </c>
      <c r="M91" t="s">
        <v>33</v>
      </c>
      <c r="N91">
        <v>1</v>
      </c>
      <c r="O91">
        <v>1</v>
      </c>
      <c r="P91">
        <v>1</v>
      </c>
      <c r="Q91" t="s">
        <v>280</v>
      </c>
      <c r="R91">
        <v>1</v>
      </c>
      <c r="S91">
        <v>1</v>
      </c>
      <c r="T91">
        <v>1</v>
      </c>
      <c r="U91" t="s">
        <v>1210</v>
      </c>
      <c r="V91" t="s">
        <v>1210</v>
      </c>
      <c r="W91" t="s">
        <v>1210</v>
      </c>
      <c r="X91">
        <v>1</v>
      </c>
      <c r="Y91" t="s">
        <v>1210</v>
      </c>
      <c r="Z91">
        <v>0</v>
      </c>
      <c r="AA91" t="s">
        <v>1210</v>
      </c>
      <c r="AB91" t="s">
        <v>1210</v>
      </c>
      <c r="AC91" t="s">
        <v>1210</v>
      </c>
      <c r="AD91" t="s">
        <v>1210</v>
      </c>
      <c r="AE91">
        <v>0</v>
      </c>
      <c r="AF91" t="s">
        <v>1210</v>
      </c>
      <c r="AG91" t="s">
        <v>1210</v>
      </c>
      <c r="AH91" t="s">
        <v>1210</v>
      </c>
    </row>
    <row r="92" spans="1:34">
      <c r="A92" t="s">
        <v>253</v>
      </c>
      <c r="B92" t="s">
        <v>254</v>
      </c>
      <c r="C92" t="s">
        <v>255</v>
      </c>
      <c r="D92" t="s">
        <v>256</v>
      </c>
      <c r="E92" t="s">
        <v>1210</v>
      </c>
      <c r="F92" t="s">
        <v>482</v>
      </c>
      <c r="G92" t="s">
        <v>945</v>
      </c>
      <c r="H92" t="s">
        <v>483</v>
      </c>
      <c r="I92" t="s">
        <v>279</v>
      </c>
      <c r="J92" t="s">
        <v>1210</v>
      </c>
      <c r="K92">
        <v>1</v>
      </c>
      <c r="L92">
        <v>1</v>
      </c>
      <c r="M92" t="s">
        <v>33</v>
      </c>
      <c r="N92">
        <v>1</v>
      </c>
      <c r="O92">
        <v>1</v>
      </c>
      <c r="P92">
        <v>1</v>
      </c>
      <c r="Q92" t="s">
        <v>280</v>
      </c>
      <c r="R92">
        <v>1</v>
      </c>
      <c r="S92">
        <v>1</v>
      </c>
      <c r="T92">
        <v>1</v>
      </c>
      <c r="U92" t="s">
        <v>1210</v>
      </c>
      <c r="V92" t="s">
        <v>1210</v>
      </c>
      <c r="W92" t="s">
        <v>1210</v>
      </c>
      <c r="X92">
        <v>1</v>
      </c>
      <c r="Y92" t="s">
        <v>1210</v>
      </c>
      <c r="Z92">
        <v>0</v>
      </c>
      <c r="AA92" t="s">
        <v>1210</v>
      </c>
      <c r="AB92" t="s">
        <v>1210</v>
      </c>
      <c r="AC92" t="s">
        <v>1210</v>
      </c>
      <c r="AD92" t="s">
        <v>1210</v>
      </c>
      <c r="AE92">
        <v>0</v>
      </c>
      <c r="AF92" t="s">
        <v>1210</v>
      </c>
      <c r="AG92" t="s">
        <v>1210</v>
      </c>
      <c r="AH92" t="s">
        <v>1210</v>
      </c>
    </row>
    <row r="93" spans="1:34">
      <c r="A93" t="s">
        <v>484</v>
      </c>
      <c r="B93" t="s">
        <v>944</v>
      </c>
      <c r="C93" t="s">
        <v>255</v>
      </c>
      <c r="D93" t="s">
        <v>256</v>
      </c>
      <c r="E93" t="s">
        <v>486</v>
      </c>
      <c r="F93" t="s">
        <v>487</v>
      </c>
      <c r="G93" t="s">
        <v>945</v>
      </c>
      <c r="H93" t="s">
        <v>488</v>
      </c>
      <c r="I93" t="s">
        <v>260</v>
      </c>
      <c r="J93" t="s">
        <v>1210</v>
      </c>
      <c r="K93">
        <v>1</v>
      </c>
      <c r="L93">
        <v>1</v>
      </c>
      <c r="M93" t="s">
        <v>33</v>
      </c>
      <c r="N93">
        <v>1</v>
      </c>
      <c r="O93">
        <v>1</v>
      </c>
      <c r="P93">
        <v>1</v>
      </c>
      <c r="Q93" t="s">
        <v>45</v>
      </c>
      <c r="R93">
        <v>1</v>
      </c>
      <c r="S93">
        <v>0</v>
      </c>
      <c r="T93" t="s">
        <v>1210</v>
      </c>
      <c r="U93" t="s">
        <v>1210</v>
      </c>
      <c r="V93" t="s">
        <v>1210</v>
      </c>
      <c r="W93" t="s">
        <v>1210</v>
      </c>
      <c r="X93">
        <v>0</v>
      </c>
      <c r="Y93" t="s">
        <v>1210</v>
      </c>
      <c r="Z93">
        <v>0</v>
      </c>
      <c r="AA93" t="s">
        <v>1210</v>
      </c>
      <c r="AB93" t="s">
        <v>1210</v>
      </c>
      <c r="AC93" t="s">
        <v>1210</v>
      </c>
      <c r="AD93" t="s">
        <v>1210</v>
      </c>
      <c r="AE93">
        <v>0</v>
      </c>
      <c r="AF93" t="s">
        <v>1210</v>
      </c>
      <c r="AG93" t="s">
        <v>1210</v>
      </c>
      <c r="AH93" t="s">
        <v>1210</v>
      </c>
    </row>
    <row r="94" spans="1:34">
      <c r="A94" t="s">
        <v>484</v>
      </c>
      <c r="B94" t="s">
        <v>944</v>
      </c>
      <c r="C94" t="s">
        <v>255</v>
      </c>
      <c r="D94" t="s">
        <v>256</v>
      </c>
      <c r="E94" t="s">
        <v>1210</v>
      </c>
      <c r="F94" t="s">
        <v>489</v>
      </c>
      <c r="G94" t="s">
        <v>945</v>
      </c>
      <c r="H94" t="s">
        <v>490</v>
      </c>
      <c r="I94" t="s">
        <v>260</v>
      </c>
      <c r="J94" t="s">
        <v>1210</v>
      </c>
      <c r="K94">
        <v>1</v>
      </c>
      <c r="L94">
        <v>1</v>
      </c>
      <c r="M94" t="s">
        <v>33</v>
      </c>
      <c r="N94">
        <v>1</v>
      </c>
      <c r="O94">
        <v>1</v>
      </c>
      <c r="P94">
        <v>1</v>
      </c>
      <c r="Q94" t="s">
        <v>45</v>
      </c>
      <c r="R94">
        <v>1</v>
      </c>
      <c r="S94">
        <v>0</v>
      </c>
      <c r="T94" t="s">
        <v>1210</v>
      </c>
      <c r="U94" t="s">
        <v>1210</v>
      </c>
      <c r="V94" t="s">
        <v>1210</v>
      </c>
      <c r="W94" t="s">
        <v>1210</v>
      </c>
      <c r="X94">
        <v>0</v>
      </c>
      <c r="Y94" t="s">
        <v>1210</v>
      </c>
      <c r="Z94">
        <v>0</v>
      </c>
      <c r="AA94" t="s">
        <v>1210</v>
      </c>
      <c r="AB94" t="s">
        <v>1210</v>
      </c>
      <c r="AC94" t="s">
        <v>1210</v>
      </c>
      <c r="AD94" t="s">
        <v>1210</v>
      </c>
      <c r="AE94">
        <v>0</v>
      </c>
      <c r="AF94" t="s">
        <v>1210</v>
      </c>
      <c r="AG94" t="s">
        <v>1210</v>
      </c>
      <c r="AH94" t="s">
        <v>1210</v>
      </c>
    </row>
    <row r="95" spans="1:34">
      <c r="A95" t="s">
        <v>491</v>
      </c>
      <c r="B95" t="s">
        <v>947</v>
      </c>
      <c r="C95" t="s">
        <v>255</v>
      </c>
      <c r="D95" t="s">
        <v>256</v>
      </c>
      <c r="E95" t="s">
        <v>1210</v>
      </c>
      <c r="F95" t="s">
        <v>492</v>
      </c>
      <c r="G95" t="s">
        <v>864</v>
      </c>
      <c r="H95" t="s">
        <v>493</v>
      </c>
      <c r="I95" t="s">
        <v>260</v>
      </c>
      <c r="J95" t="s">
        <v>1210</v>
      </c>
      <c r="K95">
        <v>1</v>
      </c>
      <c r="L95">
        <v>1</v>
      </c>
      <c r="M95" t="s">
        <v>33</v>
      </c>
      <c r="N95">
        <v>1</v>
      </c>
      <c r="O95">
        <v>1</v>
      </c>
      <c r="P95">
        <v>1</v>
      </c>
      <c r="Q95" t="s">
        <v>45</v>
      </c>
      <c r="R95">
        <v>1</v>
      </c>
      <c r="S95">
        <v>0</v>
      </c>
      <c r="T95" t="s">
        <v>1210</v>
      </c>
      <c r="U95" t="s">
        <v>1210</v>
      </c>
      <c r="V95" t="s">
        <v>1210</v>
      </c>
      <c r="W95" t="s">
        <v>1210</v>
      </c>
      <c r="X95">
        <v>0</v>
      </c>
      <c r="Y95" t="s">
        <v>1210</v>
      </c>
      <c r="Z95">
        <v>0</v>
      </c>
      <c r="AA95" t="s">
        <v>1210</v>
      </c>
      <c r="AB95" t="s">
        <v>1210</v>
      </c>
      <c r="AC95" t="s">
        <v>1210</v>
      </c>
      <c r="AD95" t="s">
        <v>1210</v>
      </c>
      <c r="AE95">
        <v>0</v>
      </c>
      <c r="AF95" t="s">
        <v>1210</v>
      </c>
      <c r="AG95" t="s">
        <v>1210</v>
      </c>
      <c r="AH95" t="s">
        <v>1210</v>
      </c>
    </row>
    <row r="96" spans="1:34">
      <c r="A96" t="s">
        <v>491</v>
      </c>
      <c r="B96" t="s">
        <v>947</v>
      </c>
      <c r="C96" t="s">
        <v>255</v>
      </c>
      <c r="D96" t="s">
        <v>256</v>
      </c>
      <c r="E96" t="s">
        <v>1210</v>
      </c>
      <c r="F96" t="s">
        <v>494</v>
      </c>
      <c r="G96" t="s">
        <v>864</v>
      </c>
      <c r="H96" t="s">
        <v>495</v>
      </c>
      <c r="I96" t="s">
        <v>260</v>
      </c>
      <c r="J96" t="s">
        <v>1210</v>
      </c>
      <c r="K96">
        <v>1</v>
      </c>
      <c r="L96">
        <v>1</v>
      </c>
      <c r="M96" t="s">
        <v>33</v>
      </c>
      <c r="N96">
        <v>1</v>
      </c>
      <c r="O96">
        <v>1</v>
      </c>
      <c r="P96">
        <v>1</v>
      </c>
      <c r="Q96" t="s">
        <v>45</v>
      </c>
      <c r="R96">
        <v>1</v>
      </c>
      <c r="S96">
        <v>0</v>
      </c>
      <c r="T96" t="s">
        <v>1210</v>
      </c>
      <c r="U96" t="s">
        <v>1210</v>
      </c>
      <c r="V96" t="s">
        <v>1210</v>
      </c>
      <c r="W96" t="s">
        <v>1210</v>
      </c>
      <c r="X96">
        <v>0</v>
      </c>
      <c r="Y96" t="s">
        <v>1210</v>
      </c>
      <c r="Z96">
        <v>0</v>
      </c>
      <c r="AA96" t="s">
        <v>1210</v>
      </c>
      <c r="AB96" t="s">
        <v>1210</v>
      </c>
      <c r="AC96" t="s">
        <v>1210</v>
      </c>
      <c r="AD96" t="s">
        <v>1210</v>
      </c>
      <c r="AE96">
        <v>0</v>
      </c>
      <c r="AF96" t="s">
        <v>1210</v>
      </c>
      <c r="AG96" t="s">
        <v>1210</v>
      </c>
      <c r="AH96" t="s">
        <v>1210</v>
      </c>
    </row>
    <row r="97" spans="1:34">
      <c r="A97" t="s">
        <v>496</v>
      </c>
      <c r="B97" t="s">
        <v>1000</v>
      </c>
      <c r="C97" t="s">
        <v>255</v>
      </c>
      <c r="D97" t="s">
        <v>256</v>
      </c>
      <c r="E97" t="s">
        <v>497</v>
      </c>
      <c r="F97" t="s">
        <v>498</v>
      </c>
      <c r="G97" t="s">
        <v>864</v>
      </c>
      <c r="H97" t="s">
        <v>499</v>
      </c>
      <c r="I97" t="s">
        <v>500</v>
      </c>
      <c r="J97" t="s">
        <v>1210</v>
      </c>
      <c r="K97">
        <v>1</v>
      </c>
      <c r="L97">
        <v>1</v>
      </c>
      <c r="M97" t="s">
        <v>33</v>
      </c>
      <c r="N97">
        <v>1</v>
      </c>
      <c r="O97">
        <v>1</v>
      </c>
      <c r="P97">
        <v>1</v>
      </c>
      <c r="Q97" t="s">
        <v>280</v>
      </c>
      <c r="R97">
        <v>1</v>
      </c>
      <c r="S97">
        <v>1</v>
      </c>
      <c r="T97">
        <v>1</v>
      </c>
      <c r="U97" t="s">
        <v>1210</v>
      </c>
      <c r="V97" t="s">
        <v>1210</v>
      </c>
      <c r="W97" t="s">
        <v>1210</v>
      </c>
      <c r="X97">
        <v>1</v>
      </c>
      <c r="Y97" t="s">
        <v>1210</v>
      </c>
      <c r="Z97">
        <v>0</v>
      </c>
      <c r="AA97" t="s">
        <v>1210</v>
      </c>
      <c r="AB97" t="s">
        <v>1210</v>
      </c>
      <c r="AC97" t="s">
        <v>1210</v>
      </c>
      <c r="AD97" t="s">
        <v>1210</v>
      </c>
      <c r="AE97">
        <v>0</v>
      </c>
      <c r="AF97" t="s">
        <v>1210</v>
      </c>
      <c r="AG97" t="s">
        <v>1210</v>
      </c>
      <c r="AH97" t="s">
        <v>1210</v>
      </c>
    </row>
    <row r="98" spans="1:34">
      <c r="A98" t="s">
        <v>496</v>
      </c>
      <c r="B98" t="s">
        <v>1000</v>
      </c>
      <c r="C98" t="s">
        <v>255</v>
      </c>
      <c r="D98" t="s">
        <v>256</v>
      </c>
      <c r="E98" t="s">
        <v>1210</v>
      </c>
      <c r="F98" t="s">
        <v>501</v>
      </c>
      <c r="G98" t="s">
        <v>864</v>
      </c>
      <c r="H98" t="s">
        <v>502</v>
      </c>
      <c r="I98" t="s">
        <v>500</v>
      </c>
      <c r="J98" t="s">
        <v>1210</v>
      </c>
      <c r="K98">
        <v>1</v>
      </c>
      <c r="L98">
        <v>1</v>
      </c>
      <c r="M98" t="s">
        <v>33</v>
      </c>
      <c r="N98">
        <v>1</v>
      </c>
      <c r="O98">
        <v>1</v>
      </c>
      <c r="P98">
        <v>1</v>
      </c>
      <c r="Q98" t="s">
        <v>280</v>
      </c>
      <c r="R98">
        <v>1</v>
      </c>
      <c r="S98">
        <v>1</v>
      </c>
      <c r="T98">
        <v>1</v>
      </c>
      <c r="U98" t="s">
        <v>1210</v>
      </c>
      <c r="V98" t="s">
        <v>1210</v>
      </c>
      <c r="W98" t="s">
        <v>1210</v>
      </c>
      <c r="X98">
        <v>1</v>
      </c>
      <c r="Y98" t="s">
        <v>1210</v>
      </c>
      <c r="Z98">
        <v>0</v>
      </c>
      <c r="AA98" t="s">
        <v>1210</v>
      </c>
      <c r="AB98" t="s">
        <v>1210</v>
      </c>
      <c r="AC98" t="s">
        <v>1210</v>
      </c>
      <c r="AD98" t="s">
        <v>1210</v>
      </c>
      <c r="AE98">
        <v>0</v>
      </c>
      <c r="AF98" t="s">
        <v>1210</v>
      </c>
      <c r="AG98" t="s">
        <v>1210</v>
      </c>
      <c r="AH98" t="s">
        <v>1210</v>
      </c>
    </row>
    <row r="99" spans="1:34">
      <c r="A99" t="s">
        <v>496</v>
      </c>
      <c r="B99" t="s">
        <v>1000</v>
      </c>
      <c r="C99" t="s">
        <v>255</v>
      </c>
      <c r="D99" t="s">
        <v>256</v>
      </c>
      <c r="E99" t="s">
        <v>1210</v>
      </c>
      <c r="F99" t="s">
        <v>503</v>
      </c>
      <c r="G99" t="s">
        <v>864</v>
      </c>
      <c r="H99" t="s">
        <v>504</v>
      </c>
      <c r="I99" t="s">
        <v>500</v>
      </c>
      <c r="J99" t="s">
        <v>1210</v>
      </c>
      <c r="K99">
        <v>1</v>
      </c>
      <c r="L99">
        <v>1</v>
      </c>
      <c r="M99" t="s">
        <v>33</v>
      </c>
      <c r="N99">
        <v>1</v>
      </c>
      <c r="O99">
        <v>1</v>
      </c>
      <c r="P99">
        <v>1</v>
      </c>
      <c r="Q99" t="s">
        <v>280</v>
      </c>
      <c r="R99">
        <v>1</v>
      </c>
      <c r="S99">
        <v>1</v>
      </c>
      <c r="T99">
        <v>1</v>
      </c>
      <c r="U99" t="s">
        <v>1210</v>
      </c>
      <c r="V99" t="s">
        <v>1210</v>
      </c>
      <c r="W99" t="s">
        <v>1210</v>
      </c>
      <c r="X99">
        <v>1</v>
      </c>
      <c r="Y99" t="s">
        <v>1210</v>
      </c>
      <c r="Z99">
        <v>0</v>
      </c>
      <c r="AA99" t="s">
        <v>1210</v>
      </c>
      <c r="AB99" t="s">
        <v>1210</v>
      </c>
      <c r="AC99" t="s">
        <v>1210</v>
      </c>
      <c r="AD99" t="s">
        <v>1210</v>
      </c>
      <c r="AE99">
        <v>0</v>
      </c>
      <c r="AF99" t="s">
        <v>1210</v>
      </c>
      <c r="AG99" t="s">
        <v>1210</v>
      </c>
      <c r="AH99" t="s">
        <v>1210</v>
      </c>
    </row>
    <row r="100" spans="1:34">
      <c r="A100" t="s">
        <v>416</v>
      </c>
      <c r="B100" t="s">
        <v>505</v>
      </c>
      <c r="C100" t="s">
        <v>255</v>
      </c>
      <c r="D100" t="s">
        <v>256</v>
      </c>
      <c r="E100" t="s">
        <v>506</v>
      </c>
      <c r="F100" t="s">
        <v>507</v>
      </c>
      <c r="G100" t="s">
        <v>945</v>
      </c>
      <c r="H100" t="s">
        <v>508</v>
      </c>
      <c r="I100" t="s">
        <v>500</v>
      </c>
      <c r="J100" t="s">
        <v>1210</v>
      </c>
      <c r="K100">
        <v>1</v>
      </c>
      <c r="L100">
        <v>1</v>
      </c>
      <c r="M100" t="s">
        <v>33</v>
      </c>
      <c r="N100">
        <v>1</v>
      </c>
      <c r="O100">
        <v>1</v>
      </c>
      <c r="P100">
        <v>1</v>
      </c>
      <c r="Q100" t="s">
        <v>45</v>
      </c>
      <c r="R100">
        <v>1</v>
      </c>
      <c r="S100">
        <v>1</v>
      </c>
      <c r="T100">
        <v>1</v>
      </c>
      <c r="U100" t="s">
        <v>1210</v>
      </c>
      <c r="V100" t="s">
        <v>1210</v>
      </c>
      <c r="W100" t="s">
        <v>1210</v>
      </c>
      <c r="X100">
        <v>1</v>
      </c>
      <c r="Y100" t="s">
        <v>1210</v>
      </c>
      <c r="Z100">
        <v>0</v>
      </c>
      <c r="AA100" t="s">
        <v>1210</v>
      </c>
      <c r="AB100" t="s">
        <v>1210</v>
      </c>
      <c r="AC100" t="s">
        <v>1210</v>
      </c>
      <c r="AD100" t="s">
        <v>1210</v>
      </c>
      <c r="AE100">
        <v>0</v>
      </c>
      <c r="AF100" t="s">
        <v>1210</v>
      </c>
      <c r="AG100" t="s">
        <v>1210</v>
      </c>
      <c r="AH100" t="s">
        <v>1210</v>
      </c>
    </row>
    <row r="101" spans="1:34">
      <c r="A101" t="s">
        <v>416</v>
      </c>
      <c r="B101" t="s">
        <v>505</v>
      </c>
      <c r="C101" t="s">
        <v>255</v>
      </c>
      <c r="D101" t="s">
        <v>256</v>
      </c>
      <c r="E101" t="s">
        <v>1210</v>
      </c>
      <c r="F101" t="s">
        <v>509</v>
      </c>
      <c r="G101" t="s">
        <v>945</v>
      </c>
      <c r="H101" t="s">
        <v>510</v>
      </c>
      <c r="I101" t="s">
        <v>500</v>
      </c>
      <c r="J101" t="s">
        <v>1210</v>
      </c>
      <c r="K101">
        <v>1</v>
      </c>
      <c r="L101">
        <v>1</v>
      </c>
      <c r="M101" t="s">
        <v>33</v>
      </c>
      <c r="N101">
        <v>1</v>
      </c>
      <c r="O101">
        <v>1</v>
      </c>
      <c r="P101">
        <v>1</v>
      </c>
      <c r="Q101" t="s">
        <v>45</v>
      </c>
      <c r="R101">
        <v>1</v>
      </c>
      <c r="S101">
        <v>1</v>
      </c>
      <c r="T101">
        <v>1</v>
      </c>
      <c r="U101" t="s">
        <v>1210</v>
      </c>
      <c r="V101" t="s">
        <v>1210</v>
      </c>
      <c r="W101" t="s">
        <v>1210</v>
      </c>
      <c r="X101">
        <v>1</v>
      </c>
      <c r="Y101" t="s">
        <v>1210</v>
      </c>
      <c r="Z101">
        <v>0</v>
      </c>
      <c r="AA101" t="s">
        <v>1210</v>
      </c>
      <c r="AB101" t="s">
        <v>1210</v>
      </c>
      <c r="AC101" t="s">
        <v>1210</v>
      </c>
      <c r="AD101" t="s">
        <v>1210</v>
      </c>
      <c r="AE101">
        <v>0</v>
      </c>
      <c r="AF101" t="s">
        <v>1210</v>
      </c>
      <c r="AG101" t="s">
        <v>1210</v>
      </c>
      <c r="AH101" t="s">
        <v>1210</v>
      </c>
    </row>
    <row r="102" spans="1:34">
      <c r="A102" t="s">
        <v>416</v>
      </c>
      <c r="B102" t="s">
        <v>505</v>
      </c>
      <c r="C102" t="s">
        <v>255</v>
      </c>
      <c r="D102" t="s">
        <v>256</v>
      </c>
      <c r="E102" t="s">
        <v>1210</v>
      </c>
      <c r="F102" t="s">
        <v>511</v>
      </c>
      <c r="G102" t="s">
        <v>945</v>
      </c>
      <c r="H102" t="s">
        <v>512</v>
      </c>
      <c r="I102" t="s">
        <v>500</v>
      </c>
      <c r="J102" t="s">
        <v>1210</v>
      </c>
      <c r="K102">
        <v>1</v>
      </c>
      <c r="L102">
        <v>1</v>
      </c>
      <c r="M102" t="s">
        <v>33</v>
      </c>
      <c r="N102">
        <v>1</v>
      </c>
      <c r="O102">
        <v>1</v>
      </c>
      <c r="P102">
        <v>1</v>
      </c>
      <c r="Q102" t="s">
        <v>45</v>
      </c>
      <c r="R102">
        <v>1</v>
      </c>
      <c r="S102">
        <v>1</v>
      </c>
      <c r="T102">
        <v>1</v>
      </c>
      <c r="U102" t="s">
        <v>1210</v>
      </c>
      <c r="V102" t="s">
        <v>1210</v>
      </c>
      <c r="W102" t="s">
        <v>1210</v>
      </c>
      <c r="X102">
        <v>1</v>
      </c>
      <c r="Y102" t="s">
        <v>1210</v>
      </c>
      <c r="Z102">
        <v>0</v>
      </c>
      <c r="AA102" t="s">
        <v>1210</v>
      </c>
      <c r="AB102" t="s">
        <v>1210</v>
      </c>
      <c r="AC102" t="s">
        <v>1210</v>
      </c>
      <c r="AD102" t="s">
        <v>1210</v>
      </c>
      <c r="AE102">
        <v>0</v>
      </c>
      <c r="AF102" t="s">
        <v>1210</v>
      </c>
      <c r="AG102" t="s">
        <v>1210</v>
      </c>
      <c r="AH102" t="s">
        <v>1210</v>
      </c>
    </row>
    <row r="103" spans="1:34">
      <c r="A103" t="s">
        <v>253</v>
      </c>
      <c r="B103" t="s">
        <v>254</v>
      </c>
      <c r="C103" t="s">
        <v>255</v>
      </c>
      <c r="D103" t="s">
        <v>256</v>
      </c>
      <c r="E103" t="s">
        <v>513</v>
      </c>
      <c r="F103" t="s">
        <v>514</v>
      </c>
      <c r="G103" t="s">
        <v>945</v>
      </c>
      <c r="H103" t="s">
        <v>515</v>
      </c>
      <c r="I103" t="s">
        <v>500</v>
      </c>
      <c r="J103" t="s">
        <v>1210</v>
      </c>
      <c r="K103">
        <v>1</v>
      </c>
      <c r="L103">
        <v>1</v>
      </c>
      <c r="M103" t="s">
        <v>33</v>
      </c>
      <c r="N103">
        <v>1</v>
      </c>
      <c r="O103">
        <v>1</v>
      </c>
      <c r="P103">
        <v>1</v>
      </c>
      <c r="Q103" t="s">
        <v>280</v>
      </c>
      <c r="R103">
        <v>1</v>
      </c>
      <c r="S103">
        <v>1</v>
      </c>
      <c r="T103">
        <v>1</v>
      </c>
      <c r="U103" t="s">
        <v>1210</v>
      </c>
      <c r="V103" t="s">
        <v>1210</v>
      </c>
      <c r="W103" t="s">
        <v>1210</v>
      </c>
      <c r="X103">
        <v>1</v>
      </c>
      <c r="Y103" t="s">
        <v>1210</v>
      </c>
      <c r="Z103">
        <v>0</v>
      </c>
      <c r="AA103" t="s">
        <v>1210</v>
      </c>
      <c r="AB103" t="s">
        <v>1210</v>
      </c>
      <c r="AC103" t="s">
        <v>1210</v>
      </c>
      <c r="AD103" t="s">
        <v>1210</v>
      </c>
      <c r="AE103">
        <v>0</v>
      </c>
      <c r="AF103" t="s">
        <v>1210</v>
      </c>
      <c r="AG103" t="s">
        <v>1210</v>
      </c>
      <c r="AH103" t="s">
        <v>1210</v>
      </c>
    </row>
    <row r="104" spans="1:34">
      <c r="A104" t="s">
        <v>253</v>
      </c>
      <c r="B104" t="s">
        <v>254</v>
      </c>
      <c r="C104" t="s">
        <v>255</v>
      </c>
      <c r="D104" t="s">
        <v>256</v>
      </c>
      <c r="E104" t="s">
        <v>1210</v>
      </c>
      <c r="F104" t="s">
        <v>516</v>
      </c>
      <c r="G104" t="s">
        <v>945</v>
      </c>
      <c r="H104" t="s">
        <v>517</v>
      </c>
      <c r="I104" t="s">
        <v>500</v>
      </c>
      <c r="J104" t="s">
        <v>1210</v>
      </c>
      <c r="K104">
        <v>1</v>
      </c>
      <c r="L104">
        <v>1</v>
      </c>
      <c r="M104" t="s">
        <v>33</v>
      </c>
      <c r="N104">
        <v>1</v>
      </c>
      <c r="O104">
        <v>1</v>
      </c>
      <c r="P104">
        <v>1</v>
      </c>
      <c r="Q104" t="s">
        <v>280</v>
      </c>
      <c r="R104">
        <v>1</v>
      </c>
      <c r="S104">
        <v>1</v>
      </c>
      <c r="T104">
        <v>1</v>
      </c>
      <c r="U104" t="s">
        <v>1210</v>
      </c>
      <c r="V104" t="s">
        <v>1210</v>
      </c>
      <c r="W104" t="s">
        <v>1210</v>
      </c>
      <c r="X104">
        <v>1</v>
      </c>
      <c r="Y104" t="s">
        <v>1210</v>
      </c>
      <c r="Z104">
        <v>0</v>
      </c>
      <c r="AA104" t="s">
        <v>1210</v>
      </c>
      <c r="AB104" t="s">
        <v>1210</v>
      </c>
      <c r="AC104" t="s">
        <v>1210</v>
      </c>
      <c r="AD104" t="s">
        <v>1210</v>
      </c>
      <c r="AE104">
        <v>0</v>
      </c>
      <c r="AF104" t="s">
        <v>1210</v>
      </c>
      <c r="AG104" t="s">
        <v>1210</v>
      </c>
      <c r="AH104" t="s">
        <v>1210</v>
      </c>
    </row>
    <row r="105" spans="1:34">
      <c r="A105" t="s">
        <v>253</v>
      </c>
      <c r="B105" t="s">
        <v>254</v>
      </c>
      <c r="C105" t="s">
        <v>255</v>
      </c>
      <c r="D105" t="s">
        <v>256</v>
      </c>
      <c r="E105" t="s">
        <v>1210</v>
      </c>
      <c r="F105" t="s">
        <v>518</v>
      </c>
      <c r="G105" t="s">
        <v>945</v>
      </c>
      <c r="H105" t="s">
        <v>519</v>
      </c>
      <c r="I105" t="s">
        <v>500</v>
      </c>
      <c r="J105" t="s">
        <v>1210</v>
      </c>
      <c r="K105">
        <v>1</v>
      </c>
      <c r="L105">
        <v>1</v>
      </c>
      <c r="M105" t="s">
        <v>33</v>
      </c>
      <c r="N105">
        <v>1</v>
      </c>
      <c r="O105">
        <v>1</v>
      </c>
      <c r="P105">
        <v>1</v>
      </c>
      <c r="Q105" t="s">
        <v>280</v>
      </c>
      <c r="R105">
        <v>1</v>
      </c>
      <c r="S105">
        <v>1</v>
      </c>
      <c r="T105">
        <v>1</v>
      </c>
      <c r="U105" t="s">
        <v>1210</v>
      </c>
      <c r="V105" t="s">
        <v>1210</v>
      </c>
      <c r="W105" t="s">
        <v>1210</v>
      </c>
      <c r="X105">
        <v>1</v>
      </c>
      <c r="Y105" t="s">
        <v>1210</v>
      </c>
      <c r="Z105">
        <v>0</v>
      </c>
      <c r="AA105" t="s">
        <v>1210</v>
      </c>
      <c r="AB105" t="s">
        <v>1210</v>
      </c>
      <c r="AC105" t="s">
        <v>1210</v>
      </c>
      <c r="AD105" t="s">
        <v>1210</v>
      </c>
      <c r="AE105">
        <v>0</v>
      </c>
      <c r="AF105" t="s">
        <v>1210</v>
      </c>
      <c r="AG105" t="s">
        <v>1210</v>
      </c>
      <c r="AH105" t="s">
        <v>1210</v>
      </c>
    </row>
    <row r="106" spans="1:34">
      <c r="A106" t="s">
        <v>253</v>
      </c>
      <c r="B106" t="s">
        <v>254</v>
      </c>
      <c r="C106" t="s">
        <v>255</v>
      </c>
      <c r="D106" t="s">
        <v>256</v>
      </c>
      <c r="E106" t="s">
        <v>520</v>
      </c>
      <c r="F106" t="s">
        <v>521</v>
      </c>
      <c r="G106" t="s">
        <v>945</v>
      </c>
      <c r="H106" t="s">
        <v>522</v>
      </c>
      <c r="I106" t="s">
        <v>260</v>
      </c>
      <c r="J106" t="s">
        <v>1210</v>
      </c>
      <c r="K106">
        <v>1</v>
      </c>
      <c r="L106">
        <v>1</v>
      </c>
      <c r="M106" t="s">
        <v>33</v>
      </c>
      <c r="N106">
        <v>1</v>
      </c>
      <c r="O106">
        <v>1</v>
      </c>
      <c r="P106">
        <v>1</v>
      </c>
      <c r="Q106" t="s">
        <v>45</v>
      </c>
      <c r="R106">
        <v>1</v>
      </c>
      <c r="S106">
        <v>1</v>
      </c>
      <c r="T106">
        <v>1</v>
      </c>
      <c r="U106" t="s">
        <v>1210</v>
      </c>
      <c r="V106" t="s">
        <v>1210</v>
      </c>
      <c r="W106" t="s">
        <v>1210</v>
      </c>
      <c r="X106">
        <v>1</v>
      </c>
      <c r="Y106" t="s">
        <v>1210</v>
      </c>
      <c r="Z106">
        <v>0</v>
      </c>
      <c r="AA106" t="s">
        <v>1210</v>
      </c>
      <c r="AB106" t="s">
        <v>1210</v>
      </c>
      <c r="AC106" t="s">
        <v>1210</v>
      </c>
      <c r="AD106" t="s">
        <v>1210</v>
      </c>
      <c r="AE106">
        <v>0</v>
      </c>
      <c r="AF106" t="s">
        <v>1210</v>
      </c>
      <c r="AG106" t="s">
        <v>1210</v>
      </c>
      <c r="AH106" t="s">
        <v>1210</v>
      </c>
    </row>
    <row r="107" spans="1:34">
      <c r="A107" t="s">
        <v>253</v>
      </c>
      <c r="B107" t="s">
        <v>254</v>
      </c>
      <c r="C107" t="s">
        <v>255</v>
      </c>
      <c r="D107" t="s">
        <v>256</v>
      </c>
      <c r="E107" t="s">
        <v>1210</v>
      </c>
      <c r="F107" t="s">
        <v>516</v>
      </c>
      <c r="G107" t="s">
        <v>945</v>
      </c>
      <c r="H107" t="s">
        <v>523</v>
      </c>
      <c r="I107" t="s">
        <v>260</v>
      </c>
      <c r="J107" t="s">
        <v>1210</v>
      </c>
      <c r="K107">
        <v>1</v>
      </c>
      <c r="L107">
        <v>1</v>
      </c>
      <c r="M107" t="s">
        <v>33</v>
      </c>
      <c r="N107">
        <v>1</v>
      </c>
      <c r="O107">
        <v>1</v>
      </c>
      <c r="P107">
        <v>1</v>
      </c>
      <c r="Q107" t="s">
        <v>45</v>
      </c>
      <c r="R107">
        <v>1</v>
      </c>
      <c r="S107">
        <v>1</v>
      </c>
      <c r="T107">
        <v>1</v>
      </c>
      <c r="U107" t="s">
        <v>1210</v>
      </c>
      <c r="V107" t="s">
        <v>1210</v>
      </c>
      <c r="W107" t="s">
        <v>1210</v>
      </c>
      <c r="X107">
        <v>1</v>
      </c>
      <c r="Y107" t="s">
        <v>1210</v>
      </c>
      <c r="Z107">
        <v>0</v>
      </c>
      <c r="AA107" t="s">
        <v>1210</v>
      </c>
      <c r="AB107" t="s">
        <v>1210</v>
      </c>
      <c r="AC107" t="s">
        <v>1210</v>
      </c>
      <c r="AD107" t="s">
        <v>1210</v>
      </c>
      <c r="AE107">
        <v>0</v>
      </c>
      <c r="AF107" t="s">
        <v>1210</v>
      </c>
      <c r="AG107" t="s">
        <v>1210</v>
      </c>
      <c r="AH107" t="s">
        <v>1210</v>
      </c>
    </row>
    <row r="108" spans="1:34">
      <c r="A108" t="s">
        <v>253</v>
      </c>
      <c r="B108" t="s">
        <v>254</v>
      </c>
      <c r="C108" t="s">
        <v>255</v>
      </c>
      <c r="D108" t="s">
        <v>256</v>
      </c>
      <c r="E108" t="s">
        <v>1210</v>
      </c>
      <c r="F108" t="s">
        <v>524</v>
      </c>
      <c r="G108" t="s">
        <v>945</v>
      </c>
      <c r="H108" t="s">
        <v>525</v>
      </c>
      <c r="I108" t="s">
        <v>260</v>
      </c>
      <c r="J108" t="s">
        <v>1210</v>
      </c>
      <c r="K108">
        <v>1</v>
      </c>
      <c r="L108">
        <v>1</v>
      </c>
      <c r="M108" t="s">
        <v>33</v>
      </c>
      <c r="N108">
        <v>1</v>
      </c>
      <c r="O108">
        <v>1</v>
      </c>
      <c r="P108">
        <v>1</v>
      </c>
      <c r="Q108" t="s">
        <v>45</v>
      </c>
      <c r="R108">
        <v>1</v>
      </c>
      <c r="S108">
        <v>1</v>
      </c>
      <c r="T108">
        <v>1</v>
      </c>
      <c r="U108" t="s">
        <v>1210</v>
      </c>
      <c r="V108" t="s">
        <v>1210</v>
      </c>
      <c r="W108" t="s">
        <v>1210</v>
      </c>
      <c r="X108">
        <v>1</v>
      </c>
      <c r="Y108" t="s">
        <v>1210</v>
      </c>
      <c r="Z108">
        <v>0</v>
      </c>
      <c r="AA108" t="s">
        <v>1210</v>
      </c>
      <c r="AB108" t="s">
        <v>1210</v>
      </c>
      <c r="AC108" t="s">
        <v>1210</v>
      </c>
      <c r="AD108" t="s">
        <v>1210</v>
      </c>
      <c r="AE108">
        <v>0</v>
      </c>
      <c r="AF108" t="s">
        <v>1210</v>
      </c>
      <c r="AG108" t="s">
        <v>1210</v>
      </c>
      <c r="AH108" t="s">
        <v>1210</v>
      </c>
    </row>
    <row r="109" spans="1:34">
      <c r="A109" t="s">
        <v>419</v>
      </c>
      <c r="B109" t="s">
        <v>989</v>
      </c>
      <c r="C109" t="s">
        <v>255</v>
      </c>
      <c r="D109" t="s">
        <v>256</v>
      </c>
      <c r="E109" t="s">
        <v>526</v>
      </c>
      <c r="F109" t="s">
        <v>527</v>
      </c>
      <c r="G109" t="s">
        <v>864</v>
      </c>
      <c r="H109" t="s">
        <v>528</v>
      </c>
      <c r="I109" t="s">
        <v>260</v>
      </c>
      <c r="J109" t="s">
        <v>1210</v>
      </c>
      <c r="K109">
        <v>1</v>
      </c>
      <c r="L109">
        <v>1</v>
      </c>
      <c r="M109" t="s">
        <v>33</v>
      </c>
      <c r="N109">
        <v>1</v>
      </c>
      <c r="O109">
        <v>1</v>
      </c>
      <c r="P109">
        <v>1</v>
      </c>
      <c r="Q109" t="s">
        <v>45</v>
      </c>
      <c r="R109">
        <v>1</v>
      </c>
      <c r="S109">
        <v>1</v>
      </c>
      <c r="T109">
        <v>1</v>
      </c>
      <c r="U109" t="s">
        <v>1210</v>
      </c>
      <c r="V109" t="s">
        <v>1210</v>
      </c>
      <c r="W109" t="s">
        <v>1210</v>
      </c>
      <c r="X109">
        <v>1</v>
      </c>
      <c r="Y109" t="s">
        <v>1210</v>
      </c>
      <c r="Z109">
        <v>0</v>
      </c>
      <c r="AA109" t="s">
        <v>1210</v>
      </c>
      <c r="AB109" t="s">
        <v>1210</v>
      </c>
      <c r="AC109" t="s">
        <v>1210</v>
      </c>
      <c r="AD109" t="s">
        <v>1210</v>
      </c>
      <c r="AE109">
        <v>0</v>
      </c>
      <c r="AF109" t="s">
        <v>1210</v>
      </c>
      <c r="AG109" t="s">
        <v>1210</v>
      </c>
      <c r="AH109" t="s">
        <v>1210</v>
      </c>
    </row>
    <row r="110" spans="1:34">
      <c r="A110" t="s">
        <v>419</v>
      </c>
      <c r="B110" t="s">
        <v>989</v>
      </c>
      <c r="C110" t="s">
        <v>255</v>
      </c>
      <c r="D110" t="s">
        <v>256</v>
      </c>
      <c r="E110" t="s">
        <v>529</v>
      </c>
      <c r="F110" t="s">
        <v>530</v>
      </c>
      <c r="G110" t="s">
        <v>864</v>
      </c>
      <c r="H110" t="s">
        <v>531</v>
      </c>
      <c r="I110" t="s">
        <v>260</v>
      </c>
      <c r="J110" t="s">
        <v>1210</v>
      </c>
      <c r="K110">
        <v>1</v>
      </c>
      <c r="L110">
        <v>1</v>
      </c>
      <c r="M110" t="s">
        <v>33</v>
      </c>
      <c r="N110">
        <v>1</v>
      </c>
      <c r="O110">
        <v>1</v>
      </c>
      <c r="P110">
        <v>1</v>
      </c>
      <c r="Q110" t="s">
        <v>280</v>
      </c>
      <c r="R110">
        <v>1</v>
      </c>
      <c r="S110">
        <v>0</v>
      </c>
      <c r="T110" t="s">
        <v>1210</v>
      </c>
      <c r="U110" t="s">
        <v>1210</v>
      </c>
      <c r="V110" t="s">
        <v>1210</v>
      </c>
      <c r="W110" t="s">
        <v>1210</v>
      </c>
      <c r="X110">
        <v>0</v>
      </c>
      <c r="Y110" t="s">
        <v>1210</v>
      </c>
      <c r="Z110">
        <v>0</v>
      </c>
      <c r="AA110" t="s">
        <v>1210</v>
      </c>
      <c r="AB110" t="s">
        <v>1210</v>
      </c>
      <c r="AC110" t="s">
        <v>1210</v>
      </c>
      <c r="AD110" t="s">
        <v>1210</v>
      </c>
      <c r="AE110">
        <v>0</v>
      </c>
      <c r="AF110" t="s">
        <v>1210</v>
      </c>
      <c r="AG110" t="s">
        <v>1210</v>
      </c>
      <c r="AH110" t="s">
        <v>1210</v>
      </c>
    </row>
    <row r="111" spans="1:34">
      <c r="A111" t="s">
        <v>532</v>
      </c>
      <c r="B111" t="s">
        <v>959</v>
      </c>
      <c r="C111" t="s">
        <v>255</v>
      </c>
      <c r="D111" t="s">
        <v>533</v>
      </c>
      <c r="E111" t="s">
        <v>534</v>
      </c>
      <c r="F111" t="s">
        <v>535</v>
      </c>
      <c r="G111" t="s">
        <v>864</v>
      </c>
      <c r="H111" t="s">
        <v>536</v>
      </c>
      <c r="I111" t="s">
        <v>279</v>
      </c>
      <c r="J111" t="s">
        <v>1210</v>
      </c>
      <c r="K111">
        <v>1</v>
      </c>
      <c r="L111">
        <v>1</v>
      </c>
      <c r="M111" t="s">
        <v>33</v>
      </c>
      <c r="N111">
        <v>1</v>
      </c>
      <c r="O111">
        <v>1</v>
      </c>
      <c r="P111">
        <v>1</v>
      </c>
      <c r="Q111" t="s">
        <v>46</v>
      </c>
      <c r="R111">
        <v>1</v>
      </c>
      <c r="S111">
        <v>1</v>
      </c>
      <c r="T111">
        <v>1</v>
      </c>
      <c r="U111" t="s">
        <v>1210</v>
      </c>
      <c r="V111" t="s">
        <v>1210</v>
      </c>
      <c r="W111" t="s">
        <v>1210</v>
      </c>
      <c r="X111">
        <v>1</v>
      </c>
      <c r="Y111" t="s">
        <v>1210</v>
      </c>
      <c r="Z111">
        <v>0</v>
      </c>
      <c r="AA111" t="s">
        <v>1210</v>
      </c>
      <c r="AB111" t="s">
        <v>1210</v>
      </c>
      <c r="AC111" t="s">
        <v>1210</v>
      </c>
      <c r="AD111" t="s">
        <v>1210</v>
      </c>
      <c r="AE111">
        <v>0</v>
      </c>
      <c r="AF111" t="s">
        <v>1210</v>
      </c>
      <c r="AG111" t="s">
        <v>1210</v>
      </c>
      <c r="AH111" t="s">
        <v>1210</v>
      </c>
    </row>
    <row r="112" spans="1:34">
      <c r="A112" t="s">
        <v>537</v>
      </c>
      <c r="B112" t="s">
        <v>697</v>
      </c>
      <c r="C112" t="s">
        <v>255</v>
      </c>
      <c r="D112" t="s">
        <v>533</v>
      </c>
      <c r="E112" t="s">
        <v>1210</v>
      </c>
      <c r="F112" t="s">
        <v>538</v>
      </c>
      <c r="G112" t="s">
        <v>984</v>
      </c>
      <c r="H112" t="s">
        <v>539</v>
      </c>
      <c r="I112" t="s">
        <v>279</v>
      </c>
      <c r="J112" t="s">
        <v>1210</v>
      </c>
      <c r="K112">
        <v>1</v>
      </c>
      <c r="L112">
        <v>1</v>
      </c>
      <c r="M112" t="s">
        <v>33</v>
      </c>
      <c r="N112">
        <v>1</v>
      </c>
      <c r="O112">
        <v>1</v>
      </c>
      <c r="P112">
        <v>1</v>
      </c>
      <c r="Q112" t="s">
        <v>46</v>
      </c>
      <c r="R112">
        <v>1</v>
      </c>
      <c r="S112">
        <v>1</v>
      </c>
      <c r="T112">
        <v>1</v>
      </c>
      <c r="U112" t="s">
        <v>1210</v>
      </c>
      <c r="V112" t="s">
        <v>1210</v>
      </c>
      <c r="W112" t="s">
        <v>1210</v>
      </c>
      <c r="X112">
        <v>1</v>
      </c>
      <c r="Y112" t="s">
        <v>1210</v>
      </c>
      <c r="Z112">
        <v>0</v>
      </c>
      <c r="AA112" t="s">
        <v>1210</v>
      </c>
      <c r="AB112" t="s">
        <v>1210</v>
      </c>
      <c r="AC112" t="s">
        <v>1210</v>
      </c>
      <c r="AD112" t="s">
        <v>1210</v>
      </c>
      <c r="AE112">
        <v>0</v>
      </c>
      <c r="AF112" t="s">
        <v>1210</v>
      </c>
      <c r="AG112" t="s">
        <v>1210</v>
      </c>
      <c r="AH112" t="s">
        <v>1210</v>
      </c>
    </row>
    <row r="113" spans="1:34">
      <c r="A113" t="s">
        <v>532</v>
      </c>
      <c r="B113" t="s">
        <v>959</v>
      </c>
      <c r="C113" t="s">
        <v>255</v>
      </c>
      <c r="D113" t="s">
        <v>533</v>
      </c>
      <c r="E113" t="s">
        <v>1210</v>
      </c>
      <c r="F113" t="s">
        <v>540</v>
      </c>
      <c r="G113" t="s">
        <v>864</v>
      </c>
      <c r="H113" t="s">
        <v>541</v>
      </c>
      <c r="I113" t="s">
        <v>279</v>
      </c>
      <c r="J113" t="s">
        <v>1210</v>
      </c>
      <c r="K113">
        <v>1</v>
      </c>
      <c r="L113">
        <v>1</v>
      </c>
      <c r="M113" t="s">
        <v>38</v>
      </c>
      <c r="N113">
        <v>1</v>
      </c>
      <c r="O113">
        <v>1</v>
      </c>
      <c r="P113">
        <v>1</v>
      </c>
      <c r="Q113" t="s">
        <v>46</v>
      </c>
      <c r="R113">
        <v>1</v>
      </c>
      <c r="S113">
        <v>1</v>
      </c>
      <c r="T113">
        <v>1</v>
      </c>
      <c r="U113" t="s">
        <v>1210</v>
      </c>
      <c r="V113" t="s">
        <v>1210</v>
      </c>
      <c r="W113" t="s">
        <v>1210</v>
      </c>
      <c r="X113">
        <v>1</v>
      </c>
      <c r="Y113" t="s">
        <v>1210</v>
      </c>
      <c r="Z113">
        <v>0</v>
      </c>
      <c r="AA113" t="s">
        <v>1210</v>
      </c>
      <c r="AB113" t="s">
        <v>1210</v>
      </c>
      <c r="AC113" t="s">
        <v>1210</v>
      </c>
      <c r="AD113" t="s">
        <v>1210</v>
      </c>
      <c r="AE113">
        <v>0</v>
      </c>
      <c r="AF113" t="s">
        <v>1210</v>
      </c>
      <c r="AG113" t="s">
        <v>1210</v>
      </c>
      <c r="AH113" t="s">
        <v>1210</v>
      </c>
    </row>
    <row r="114" spans="1:34">
      <c r="A114" t="s">
        <v>537</v>
      </c>
      <c r="B114" t="s">
        <v>697</v>
      </c>
      <c r="C114" t="s">
        <v>255</v>
      </c>
      <c r="D114" t="s">
        <v>533</v>
      </c>
      <c r="E114" t="s">
        <v>1210</v>
      </c>
      <c r="F114" t="s">
        <v>542</v>
      </c>
      <c r="G114" t="s">
        <v>984</v>
      </c>
      <c r="H114" t="s">
        <v>543</v>
      </c>
      <c r="I114" t="s">
        <v>279</v>
      </c>
      <c r="J114" t="s">
        <v>1210</v>
      </c>
      <c r="K114">
        <v>1</v>
      </c>
      <c r="L114">
        <v>1</v>
      </c>
      <c r="M114" t="s">
        <v>38</v>
      </c>
      <c r="N114">
        <v>1</v>
      </c>
      <c r="O114">
        <v>1</v>
      </c>
      <c r="P114">
        <v>1</v>
      </c>
      <c r="Q114" t="s">
        <v>46</v>
      </c>
      <c r="R114">
        <v>1</v>
      </c>
      <c r="S114">
        <v>1</v>
      </c>
      <c r="T114">
        <v>1</v>
      </c>
      <c r="U114" t="s">
        <v>1210</v>
      </c>
      <c r="V114" t="s">
        <v>1210</v>
      </c>
      <c r="W114" t="s">
        <v>1210</v>
      </c>
      <c r="X114">
        <v>1</v>
      </c>
      <c r="Y114" t="s">
        <v>1210</v>
      </c>
      <c r="Z114">
        <v>0</v>
      </c>
      <c r="AA114" t="s">
        <v>1210</v>
      </c>
      <c r="AB114" t="s">
        <v>1210</v>
      </c>
      <c r="AC114" t="s">
        <v>1210</v>
      </c>
      <c r="AD114" t="s">
        <v>1210</v>
      </c>
      <c r="AE114">
        <v>0</v>
      </c>
      <c r="AF114" t="s">
        <v>1210</v>
      </c>
      <c r="AG114" t="s">
        <v>1210</v>
      </c>
      <c r="AH114" t="s">
        <v>1210</v>
      </c>
    </row>
    <row r="115" spans="1:34">
      <c r="A115" t="s">
        <v>544</v>
      </c>
      <c r="B115" t="s">
        <v>1017</v>
      </c>
      <c r="C115" t="s">
        <v>255</v>
      </c>
      <c r="D115" t="s">
        <v>533</v>
      </c>
      <c r="E115" t="s">
        <v>1210</v>
      </c>
      <c r="F115" t="s">
        <v>545</v>
      </c>
      <c r="G115" t="s">
        <v>864</v>
      </c>
      <c r="H115" t="s">
        <v>546</v>
      </c>
      <c r="I115" t="s">
        <v>279</v>
      </c>
      <c r="J115" t="s">
        <v>1210</v>
      </c>
      <c r="K115">
        <v>1</v>
      </c>
      <c r="L115">
        <v>1</v>
      </c>
      <c r="M115" t="s">
        <v>33</v>
      </c>
      <c r="N115">
        <v>1</v>
      </c>
      <c r="O115">
        <v>1</v>
      </c>
      <c r="P115">
        <v>1</v>
      </c>
      <c r="Q115" t="s">
        <v>46</v>
      </c>
      <c r="R115">
        <v>1</v>
      </c>
      <c r="S115">
        <v>1</v>
      </c>
      <c r="T115">
        <v>1</v>
      </c>
      <c r="U115" t="s">
        <v>1210</v>
      </c>
      <c r="V115" t="s">
        <v>1210</v>
      </c>
      <c r="W115" t="s">
        <v>1210</v>
      </c>
      <c r="X115">
        <v>1</v>
      </c>
      <c r="Y115" t="s">
        <v>1210</v>
      </c>
      <c r="Z115">
        <v>0</v>
      </c>
      <c r="AA115" t="s">
        <v>1210</v>
      </c>
      <c r="AB115" t="s">
        <v>1210</v>
      </c>
      <c r="AC115" t="s">
        <v>1210</v>
      </c>
      <c r="AD115" t="s">
        <v>1210</v>
      </c>
      <c r="AE115">
        <v>0</v>
      </c>
      <c r="AF115" t="s">
        <v>1210</v>
      </c>
      <c r="AG115" t="s">
        <v>1210</v>
      </c>
      <c r="AH115" t="s">
        <v>1210</v>
      </c>
    </row>
    <row r="116" spans="1:34">
      <c r="A116" t="s">
        <v>544</v>
      </c>
      <c r="B116" t="s">
        <v>1017</v>
      </c>
      <c r="C116" t="s">
        <v>255</v>
      </c>
      <c r="D116" t="s">
        <v>533</v>
      </c>
      <c r="E116" t="s">
        <v>1210</v>
      </c>
      <c r="F116" t="s">
        <v>547</v>
      </c>
      <c r="G116" t="s">
        <v>864</v>
      </c>
      <c r="H116" t="s">
        <v>548</v>
      </c>
      <c r="I116" t="s">
        <v>279</v>
      </c>
      <c r="J116" t="s">
        <v>1210</v>
      </c>
      <c r="K116">
        <v>1</v>
      </c>
      <c r="L116">
        <v>1</v>
      </c>
      <c r="M116" t="s">
        <v>33</v>
      </c>
      <c r="N116">
        <v>1</v>
      </c>
      <c r="O116">
        <v>1</v>
      </c>
      <c r="P116">
        <v>1</v>
      </c>
      <c r="Q116" t="s">
        <v>46</v>
      </c>
      <c r="R116">
        <v>1</v>
      </c>
      <c r="S116">
        <v>1</v>
      </c>
      <c r="T116">
        <v>1</v>
      </c>
      <c r="U116" t="s">
        <v>1210</v>
      </c>
      <c r="V116" t="s">
        <v>1210</v>
      </c>
      <c r="W116" t="s">
        <v>1210</v>
      </c>
      <c r="X116">
        <v>1</v>
      </c>
      <c r="Y116" t="s">
        <v>1210</v>
      </c>
      <c r="Z116">
        <v>0</v>
      </c>
      <c r="AA116" t="s">
        <v>1210</v>
      </c>
      <c r="AB116" t="s">
        <v>1210</v>
      </c>
      <c r="AC116" t="s">
        <v>1210</v>
      </c>
      <c r="AD116" t="s">
        <v>1210</v>
      </c>
      <c r="AE116">
        <v>0</v>
      </c>
      <c r="AF116" t="s">
        <v>1210</v>
      </c>
      <c r="AG116" t="s">
        <v>1210</v>
      </c>
      <c r="AH116" t="s">
        <v>1210</v>
      </c>
    </row>
    <row r="117" spans="1:34">
      <c r="A117" t="s">
        <v>253</v>
      </c>
      <c r="B117" t="s">
        <v>254</v>
      </c>
      <c r="C117" t="s">
        <v>255</v>
      </c>
      <c r="D117" t="s">
        <v>256</v>
      </c>
      <c r="E117" t="s">
        <v>549</v>
      </c>
      <c r="F117" t="s">
        <v>550</v>
      </c>
      <c r="G117" t="s">
        <v>945</v>
      </c>
      <c r="H117" t="s">
        <v>551</v>
      </c>
      <c r="I117" t="s">
        <v>260</v>
      </c>
      <c r="J117" t="s">
        <v>1210</v>
      </c>
      <c r="K117">
        <v>1</v>
      </c>
      <c r="L117">
        <v>1</v>
      </c>
      <c r="M117" t="s">
        <v>33</v>
      </c>
      <c r="N117">
        <v>1</v>
      </c>
      <c r="O117">
        <v>1</v>
      </c>
      <c r="P117">
        <v>1</v>
      </c>
      <c r="Q117" t="s">
        <v>280</v>
      </c>
      <c r="R117">
        <v>1</v>
      </c>
      <c r="S117">
        <v>1</v>
      </c>
      <c r="T117">
        <v>1</v>
      </c>
      <c r="U117" t="s">
        <v>1210</v>
      </c>
      <c r="V117" t="s">
        <v>1210</v>
      </c>
      <c r="W117" t="s">
        <v>1210</v>
      </c>
      <c r="X117">
        <v>1</v>
      </c>
      <c r="Y117" t="s">
        <v>1210</v>
      </c>
      <c r="Z117">
        <v>0</v>
      </c>
      <c r="AA117" t="s">
        <v>1210</v>
      </c>
      <c r="AB117" t="s">
        <v>1210</v>
      </c>
      <c r="AC117" t="s">
        <v>1210</v>
      </c>
      <c r="AD117" t="s">
        <v>1210</v>
      </c>
      <c r="AE117">
        <v>0</v>
      </c>
      <c r="AF117" t="s">
        <v>1210</v>
      </c>
      <c r="AG117" t="s">
        <v>1210</v>
      </c>
      <c r="AH117" t="s">
        <v>1210</v>
      </c>
    </row>
    <row r="118" spans="1:34">
      <c r="A118" t="s">
        <v>253</v>
      </c>
      <c r="B118" t="s">
        <v>254</v>
      </c>
      <c r="C118" t="s">
        <v>255</v>
      </c>
      <c r="D118" t="s">
        <v>256</v>
      </c>
      <c r="E118" t="s">
        <v>1210</v>
      </c>
      <c r="F118" t="s">
        <v>552</v>
      </c>
      <c r="G118" t="s">
        <v>945</v>
      </c>
      <c r="H118" t="s">
        <v>553</v>
      </c>
      <c r="I118" t="s">
        <v>260</v>
      </c>
      <c r="J118" t="s">
        <v>1210</v>
      </c>
      <c r="K118">
        <v>1</v>
      </c>
      <c r="L118">
        <v>1</v>
      </c>
      <c r="M118" t="s">
        <v>33</v>
      </c>
      <c r="N118">
        <v>1</v>
      </c>
      <c r="O118">
        <v>1</v>
      </c>
      <c r="P118">
        <v>1</v>
      </c>
      <c r="Q118" t="s">
        <v>280</v>
      </c>
      <c r="R118">
        <v>1</v>
      </c>
      <c r="S118">
        <v>1</v>
      </c>
      <c r="T118">
        <v>1</v>
      </c>
      <c r="U118" t="s">
        <v>1210</v>
      </c>
      <c r="V118" t="s">
        <v>1210</v>
      </c>
      <c r="W118" t="s">
        <v>1210</v>
      </c>
      <c r="X118">
        <v>1</v>
      </c>
      <c r="Y118" t="s">
        <v>1210</v>
      </c>
      <c r="Z118">
        <v>0</v>
      </c>
      <c r="AA118" t="s">
        <v>1210</v>
      </c>
      <c r="AB118" t="s">
        <v>1210</v>
      </c>
      <c r="AC118" t="s">
        <v>1210</v>
      </c>
      <c r="AD118" t="s">
        <v>1210</v>
      </c>
      <c r="AE118">
        <v>0</v>
      </c>
      <c r="AF118" t="s">
        <v>1210</v>
      </c>
      <c r="AG118" t="s">
        <v>1210</v>
      </c>
      <c r="AH118" t="s">
        <v>1210</v>
      </c>
    </row>
    <row r="119" spans="1:34">
      <c r="A119" t="s">
        <v>253</v>
      </c>
      <c r="B119" t="s">
        <v>254</v>
      </c>
      <c r="C119" t="s">
        <v>255</v>
      </c>
      <c r="D119" t="s">
        <v>256</v>
      </c>
      <c r="E119" t="s">
        <v>1210</v>
      </c>
      <c r="F119" t="s">
        <v>554</v>
      </c>
      <c r="G119" t="s">
        <v>945</v>
      </c>
      <c r="H119" t="s">
        <v>555</v>
      </c>
      <c r="I119" t="s">
        <v>260</v>
      </c>
      <c r="J119" t="s">
        <v>1210</v>
      </c>
      <c r="K119">
        <v>1</v>
      </c>
      <c r="L119">
        <v>1</v>
      </c>
      <c r="M119" t="s">
        <v>33</v>
      </c>
      <c r="N119">
        <v>1</v>
      </c>
      <c r="O119">
        <v>1</v>
      </c>
      <c r="P119">
        <v>1</v>
      </c>
      <c r="Q119" t="s">
        <v>280</v>
      </c>
      <c r="R119">
        <v>1</v>
      </c>
      <c r="S119">
        <v>1</v>
      </c>
      <c r="T119">
        <v>1</v>
      </c>
      <c r="U119" t="s">
        <v>1210</v>
      </c>
      <c r="V119" t="s">
        <v>1210</v>
      </c>
      <c r="W119" t="s">
        <v>1210</v>
      </c>
      <c r="X119">
        <v>1</v>
      </c>
      <c r="Y119" t="s">
        <v>1210</v>
      </c>
      <c r="Z119">
        <v>0</v>
      </c>
      <c r="AA119" t="s">
        <v>1210</v>
      </c>
      <c r="AB119" t="s">
        <v>1210</v>
      </c>
      <c r="AC119" t="s">
        <v>1210</v>
      </c>
      <c r="AD119" t="s">
        <v>1210</v>
      </c>
      <c r="AE119">
        <v>0</v>
      </c>
      <c r="AF119" t="s">
        <v>1210</v>
      </c>
      <c r="AG119" t="s">
        <v>1210</v>
      </c>
      <c r="AH119" t="s">
        <v>1210</v>
      </c>
    </row>
    <row r="120" spans="1:34">
      <c r="A120" t="s">
        <v>319</v>
      </c>
      <c r="B120" t="s">
        <v>556</v>
      </c>
      <c r="C120" t="s">
        <v>255</v>
      </c>
      <c r="D120" t="s">
        <v>256</v>
      </c>
      <c r="E120" t="s">
        <v>1210</v>
      </c>
      <c r="F120" t="s">
        <v>557</v>
      </c>
      <c r="G120" t="s">
        <v>864</v>
      </c>
      <c r="H120" t="s">
        <v>558</v>
      </c>
      <c r="I120" t="s">
        <v>260</v>
      </c>
      <c r="J120" t="s">
        <v>1210</v>
      </c>
      <c r="K120">
        <v>1</v>
      </c>
      <c r="L120">
        <v>1</v>
      </c>
      <c r="M120" t="s">
        <v>33</v>
      </c>
      <c r="N120">
        <v>1</v>
      </c>
      <c r="O120">
        <v>1</v>
      </c>
      <c r="P120">
        <v>1</v>
      </c>
      <c r="Q120" t="s">
        <v>280</v>
      </c>
      <c r="R120">
        <v>1</v>
      </c>
      <c r="S120">
        <v>0</v>
      </c>
      <c r="T120" t="s">
        <v>1210</v>
      </c>
      <c r="U120" t="s">
        <v>1210</v>
      </c>
      <c r="V120" t="s">
        <v>1210</v>
      </c>
      <c r="W120" t="s">
        <v>1210</v>
      </c>
      <c r="X120">
        <v>0</v>
      </c>
      <c r="Y120" t="s">
        <v>1210</v>
      </c>
      <c r="Z120">
        <v>0</v>
      </c>
      <c r="AA120" t="s">
        <v>1210</v>
      </c>
      <c r="AB120" t="s">
        <v>1210</v>
      </c>
      <c r="AC120" t="s">
        <v>1210</v>
      </c>
      <c r="AD120" t="s">
        <v>1210</v>
      </c>
      <c r="AE120">
        <v>0</v>
      </c>
      <c r="AF120" t="s">
        <v>1210</v>
      </c>
      <c r="AG120" t="s">
        <v>1210</v>
      </c>
      <c r="AH120" t="s">
        <v>1210</v>
      </c>
    </row>
    <row r="121" spans="1:34">
      <c r="A121" t="s">
        <v>319</v>
      </c>
      <c r="B121" t="s">
        <v>556</v>
      </c>
      <c r="C121" t="s">
        <v>255</v>
      </c>
      <c r="D121" t="s">
        <v>256</v>
      </c>
      <c r="E121" t="s">
        <v>1210</v>
      </c>
      <c r="F121" t="s">
        <v>559</v>
      </c>
      <c r="G121" t="s">
        <v>864</v>
      </c>
      <c r="H121" t="s">
        <v>560</v>
      </c>
      <c r="I121" t="s">
        <v>260</v>
      </c>
      <c r="J121" t="s">
        <v>1210</v>
      </c>
      <c r="K121">
        <v>1</v>
      </c>
      <c r="L121">
        <v>1</v>
      </c>
      <c r="M121" t="s">
        <v>33</v>
      </c>
      <c r="N121">
        <v>1</v>
      </c>
      <c r="O121">
        <v>1</v>
      </c>
      <c r="P121">
        <v>1</v>
      </c>
      <c r="Q121" t="s">
        <v>280</v>
      </c>
      <c r="R121">
        <v>1</v>
      </c>
      <c r="S121">
        <v>0</v>
      </c>
      <c r="T121" t="s">
        <v>1210</v>
      </c>
      <c r="U121" t="s">
        <v>1210</v>
      </c>
      <c r="V121" t="s">
        <v>1210</v>
      </c>
      <c r="W121" t="s">
        <v>1210</v>
      </c>
      <c r="X121">
        <v>0</v>
      </c>
      <c r="Y121" t="s">
        <v>1210</v>
      </c>
      <c r="Z121">
        <v>0</v>
      </c>
      <c r="AA121" t="s">
        <v>1210</v>
      </c>
      <c r="AB121" t="s">
        <v>1210</v>
      </c>
      <c r="AC121" t="s">
        <v>1210</v>
      </c>
      <c r="AD121" t="s">
        <v>1210</v>
      </c>
      <c r="AE121">
        <v>0</v>
      </c>
      <c r="AF121" t="s">
        <v>1210</v>
      </c>
      <c r="AG121" t="s">
        <v>1210</v>
      </c>
      <c r="AH121" t="s">
        <v>1210</v>
      </c>
    </row>
    <row r="122" spans="1:34">
      <c r="A122" t="s">
        <v>319</v>
      </c>
      <c r="B122" t="s">
        <v>556</v>
      </c>
      <c r="C122" t="s">
        <v>255</v>
      </c>
      <c r="D122" t="s">
        <v>256</v>
      </c>
      <c r="E122" t="s">
        <v>561</v>
      </c>
      <c r="F122" t="s">
        <v>562</v>
      </c>
      <c r="G122" t="s">
        <v>864</v>
      </c>
      <c r="H122" t="s">
        <v>563</v>
      </c>
      <c r="I122" t="s">
        <v>260</v>
      </c>
      <c r="J122" t="s">
        <v>1210</v>
      </c>
      <c r="K122">
        <v>1</v>
      </c>
      <c r="L122">
        <v>1</v>
      </c>
      <c r="M122" t="s">
        <v>33</v>
      </c>
      <c r="N122">
        <v>1</v>
      </c>
      <c r="O122">
        <v>1</v>
      </c>
      <c r="P122">
        <v>1</v>
      </c>
      <c r="Q122" t="s">
        <v>280</v>
      </c>
      <c r="R122">
        <v>1</v>
      </c>
      <c r="S122">
        <v>0</v>
      </c>
      <c r="T122" t="s">
        <v>1210</v>
      </c>
      <c r="U122" t="s">
        <v>1210</v>
      </c>
      <c r="V122" t="s">
        <v>1210</v>
      </c>
      <c r="W122" t="s">
        <v>1210</v>
      </c>
      <c r="X122">
        <v>0</v>
      </c>
      <c r="Y122" t="s">
        <v>1210</v>
      </c>
      <c r="Z122">
        <v>0</v>
      </c>
      <c r="AA122" t="s">
        <v>1210</v>
      </c>
      <c r="AB122" t="s">
        <v>1210</v>
      </c>
      <c r="AC122" t="s">
        <v>1210</v>
      </c>
      <c r="AD122" t="s">
        <v>1210</v>
      </c>
      <c r="AE122">
        <v>0</v>
      </c>
      <c r="AF122" t="s">
        <v>1210</v>
      </c>
      <c r="AG122" t="s">
        <v>1210</v>
      </c>
      <c r="AH122" t="s">
        <v>1210</v>
      </c>
    </row>
    <row r="123" spans="1:34">
      <c r="A123" t="s">
        <v>319</v>
      </c>
      <c r="B123" t="s">
        <v>556</v>
      </c>
      <c r="C123" t="s">
        <v>255</v>
      </c>
      <c r="D123" t="s">
        <v>256</v>
      </c>
      <c r="E123" t="s">
        <v>1210</v>
      </c>
      <c r="F123" t="s">
        <v>564</v>
      </c>
      <c r="G123" t="s">
        <v>864</v>
      </c>
      <c r="H123" t="s">
        <v>565</v>
      </c>
      <c r="I123" t="s">
        <v>260</v>
      </c>
      <c r="J123" t="s">
        <v>1210</v>
      </c>
      <c r="K123">
        <v>1</v>
      </c>
      <c r="L123">
        <v>1</v>
      </c>
      <c r="M123" t="s">
        <v>33</v>
      </c>
      <c r="N123">
        <v>1</v>
      </c>
      <c r="O123">
        <v>1</v>
      </c>
      <c r="P123">
        <v>1</v>
      </c>
      <c r="Q123" t="s">
        <v>280</v>
      </c>
      <c r="R123">
        <v>1</v>
      </c>
      <c r="S123">
        <v>0</v>
      </c>
      <c r="T123" t="s">
        <v>1210</v>
      </c>
      <c r="U123" t="s">
        <v>1210</v>
      </c>
      <c r="V123" t="s">
        <v>1210</v>
      </c>
      <c r="W123" t="s">
        <v>1210</v>
      </c>
      <c r="X123">
        <v>0</v>
      </c>
      <c r="Y123" t="s">
        <v>1210</v>
      </c>
      <c r="Z123">
        <v>0</v>
      </c>
      <c r="AA123" t="s">
        <v>1210</v>
      </c>
      <c r="AB123" t="s">
        <v>1210</v>
      </c>
      <c r="AC123" t="s">
        <v>1210</v>
      </c>
      <c r="AD123" t="s">
        <v>1210</v>
      </c>
      <c r="AE123">
        <v>0</v>
      </c>
      <c r="AF123" t="s">
        <v>1210</v>
      </c>
      <c r="AG123" t="s">
        <v>1210</v>
      </c>
      <c r="AH123" t="s">
        <v>1210</v>
      </c>
    </row>
    <row r="124" spans="1:34">
      <c r="A124" t="s">
        <v>253</v>
      </c>
      <c r="B124" t="s">
        <v>254</v>
      </c>
      <c r="C124" t="s">
        <v>255</v>
      </c>
      <c r="D124" t="s">
        <v>256</v>
      </c>
      <c r="E124" t="s">
        <v>566</v>
      </c>
      <c r="F124" t="s">
        <v>567</v>
      </c>
      <c r="G124" t="s">
        <v>945</v>
      </c>
      <c r="H124" t="s">
        <v>568</v>
      </c>
      <c r="I124" t="s">
        <v>260</v>
      </c>
      <c r="J124" t="s">
        <v>1210</v>
      </c>
      <c r="K124">
        <v>1</v>
      </c>
      <c r="L124">
        <v>1</v>
      </c>
      <c r="M124" t="s">
        <v>33</v>
      </c>
      <c r="N124">
        <v>1</v>
      </c>
      <c r="O124">
        <v>1</v>
      </c>
      <c r="P124">
        <v>1</v>
      </c>
      <c r="Q124" t="s">
        <v>280</v>
      </c>
      <c r="R124">
        <v>1</v>
      </c>
      <c r="S124">
        <v>1</v>
      </c>
      <c r="T124">
        <v>1</v>
      </c>
      <c r="U124" t="s">
        <v>1210</v>
      </c>
      <c r="V124" t="s">
        <v>1210</v>
      </c>
      <c r="W124" t="s">
        <v>1210</v>
      </c>
      <c r="X124">
        <v>1</v>
      </c>
      <c r="Y124" t="s">
        <v>1210</v>
      </c>
      <c r="Z124">
        <v>0</v>
      </c>
      <c r="AA124" t="s">
        <v>1210</v>
      </c>
      <c r="AB124" t="s">
        <v>1210</v>
      </c>
      <c r="AC124" t="s">
        <v>1210</v>
      </c>
      <c r="AD124" t="s">
        <v>1210</v>
      </c>
      <c r="AE124">
        <v>0</v>
      </c>
      <c r="AF124" t="s">
        <v>1210</v>
      </c>
      <c r="AG124" t="s">
        <v>1210</v>
      </c>
      <c r="AH124" t="s">
        <v>1210</v>
      </c>
    </row>
    <row r="125" spans="1:34">
      <c r="A125" t="s">
        <v>253</v>
      </c>
      <c r="B125" t="s">
        <v>254</v>
      </c>
      <c r="C125" t="s">
        <v>255</v>
      </c>
      <c r="D125" t="s">
        <v>256</v>
      </c>
      <c r="E125" t="s">
        <v>1210</v>
      </c>
      <c r="F125" t="s">
        <v>569</v>
      </c>
      <c r="G125" t="s">
        <v>945</v>
      </c>
      <c r="H125" t="s">
        <v>570</v>
      </c>
      <c r="I125" t="s">
        <v>260</v>
      </c>
      <c r="J125" t="s">
        <v>1210</v>
      </c>
      <c r="K125">
        <v>1</v>
      </c>
      <c r="L125">
        <v>1</v>
      </c>
      <c r="M125" t="s">
        <v>33</v>
      </c>
      <c r="N125">
        <v>1</v>
      </c>
      <c r="O125">
        <v>1</v>
      </c>
      <c r="P125">
        <v>1</v>
      </c>
      <c r="Q125" t="s">
        <v>280</v>
      </c>
      <c r="R125">
        <v>1</v>
      </c>
      <c r="S125">
        <v>1</v>
      </c>
      <c r="T125">
        <v>1</v>
      </c>
      <c r="U125" t="s">
        <v>1210</v>
      </c>
      <c r="V125" t="s">
        <v>1210</v>
      </c>
      <c r="W125" t="s">
        <v>1210</v>
      </c>
      <c r="X125">
        <v>1</v>
      </c>
      <c r="Y125" t="s">
        <v>1210</v>
      </c>
      <c r="Z125">
        <v>0</v>
      </c>
      <c r="AA125" t="s">
        <v>1210</v>
      </c>
      <c r="AB125" t="s">
        <v>1210</v>
      </c>
      <c r="AC125" t="s">
        <v>1210</v>
      </c>
      <c r="AD125" t="s">
        <v>1210</v>
      </c>
      <c r="AE125">
        <v>0</v>
      </c>
      <c r="AF125" t="s">
        <v>1210</v>
      </c>
      <c r="AG125" t="s">
        <v>1210</v>
      </c>
      <c r="AH125" t="s">
        <v>1210</v>
      </c>
    </row>
    <row r="126" spans="1:34">
      <c r="A126" t="s">
        <v>253</v>
      </c>
      <c r="B126" t="s">
        <v>254</v>
      </c>
      <c r="C126" t="s">
        <v>255</v>
      </c>
      <c r="D126" t="s">
        <v>256</v>
      </c>
      <c r="E126" t="s">
        <v>1210</v>
      </c>
      <c r="F126" t="s">
        <v>571</v>
      </c>
      <c r="G126" t="s">
        <v>945</v>
      </c>
      <c r="H126" t="s">
        <v>572</v>
      </c>
      <c r="I126" t="s">
        <v>260</v>
      </c>
      <c r="J126" t="s">
        <v>1210</v>
      </c>
      <c r="K126">
        <v>1</v>
      </c>
      <c r="L126">
        <v>1</v>
      </c>
      <c r="M126" t="s">
        <v>33</v>
      </c>
      <c r="N126">
        <v>1</v>
      </c>
      <c r="O126">
        <v>1</v>
      </c>
      <c r="P126">
        <v>1</v>
      </c>
      <c r="Q126" t="s">
        <v>280</v>
      </c>
      <c r="R126">
        <v>1</v>
      </c>
      <c r="S126">
        <v>1</v>
      </c>
      <c r="T126">
        <v>1</v>
      </c>
      <c r="U126" t="s">
        <v>1210</v>
      </c>
      <c r="V126" t="s">
        <v>1210</v>
      </c>
      <c r="W126" t="s">
        <v>1210</v>
      </c>
      <c r="X126">
        <v>1</v>
      </c>
      <c r="Y126" t="s">
        <v>1210</v>
      </c>
      <c r="Z126">
        <v>0</v>
      </c>
      <c r="AA126" t="s">
        <v>1210</v>
      </c>
      <c r="AB126" t="s">
        <v>1210</v>
      </c>
      <c r="AC126" t="s">
        <v>1210</v>
      </c>
      <c r="AD126" t="s">
        <v>1210</v>
      </c>
      <c r="AE126">
        <v>0</v>
      </c>
      <c r="AF126" t="s">
        <v>1210</v>
      </c>
      <c r="AG126" t="s">
        <v>1210</v>
      </c>
      <c r="AH126" t="s">
        <v>1210</v>
      </c>
    </row>
    <row r="127" spans="1:34">
      <c r="A127" t="s">
        <v>253</v>
      </c>
      <c r="B127" t="s">
        <v>254</v>
      </c>
      <c r="C127" t="s">
        <v>255</v>
      </c>
      <c r="D127" t="s">
        <v>256</v>
      </c>
      <c r="E127" t="s">
        <v>1210</v>
      </c>
      <c r="F127" t="s">
        <v>573</v>
      </c>
      <c r="G127" t="s">
        <v>945</v>
      </c>
      <c r="H127" t="s">
        <v>574</v>
      </c>
      <c r="I127" t="s">
        <v>260</v>
      </c>
      <c r="J127" t="s">
        <v>1210</v>
      </c>
      <c r="K127">
        <v>1</v>
      </c>
      <c r="L127">
        <v>1</v>
      </c>
      <c r="M127" t="s">
        <v>33</v>
      </c>
      <c r="N127">
        <v>1</v>
      </c>
      <c r="O127">
        <v>1</v>
      </c>
      <c r="P127">
        <v>1</v>
      </c>
      <c r="Q127" t="s">
        <v>280</v>
      </c>
      <c r="R127">
        <v>1</v>
      </c>
      <c r="S127">
        <v>1</v>
      </c>
      <c r="T127">
        <v>1</v>
      </c>
      <c r="U127" t="s">
        <v>1210</v>
      </c>
      <c r="V127" t="s">
        <v>1210</v>
      </c>
      <c r="W127" t="s">
        <v>1210</v>
      </c>
      <c r="X127">
        <v>1</v>
      </c>
      <c r="Y127" t="s">
        <v>1210</v>
      </c>
      <c r="Z127">
        <v>0</v>
      </c>
      <c r="AA127" t="s">
        <v>1210</v>
      </c>
      <c r="AB127" t="s">
        <v>1210</v>
      </c>
      <c r="AC127" t="s">
        <v>1210</v>
      </c>
      <c r="AD127" t="s">
        <v>1210</v>
      </c>
      <c r="AE127">
        <v>0</v>
      </c>
      <c r="AF127" t="s">
        <v>1210</v>
      </c>
      <c r="AG127" t="s">
        <v>1210</v>
      </c>
      <c r="AH127" t="s">
        <v>1210</v>
      </c>
    </row>
    <row r="128" spans="1:34">
      <c r="A128" t="s">
        <v>253</v>
      </c>
      <c r="B128" t="s">
        <v>254</v>
      </c>
      <c r="C128" t="s">
        <v>255</v>
      </c>
      <c r="D128" t="s">
        <v>256</v>
      </c>
      <c r="E128" t="s">
        <v>1210</v>
      </c>
      <c r="F128" t="s">
        <v>575</v>
      </c>
      <c r="G128" t="s">
        <v>945</v>
      </c>
      <c r="H128" t="s">
        <v>576</v>
      </c>
      <c r="I128" t="s">
        <v>260</v>
      </c>
      <c r="J128" t="s">
        <v>1210</v>
      </c>
      <c r="K128">
        <v>1</v>
      </c>
      <c r="L128">
        <v>1</v>
      </c>
      <c r="M128" t="s">
        <v>33</v>
      </c>
      <c r="N128">
        <v>1</v>
      </c>
      <c r="O128">
        <v>1</v>
      </c>
      <c r="P128">
        <v>1</v>
      </c>
      <c r="Q128" t="s">
        <v>280</v>
      </c>
      <c r="R128">
        <v>1</v>
      </c>
      <c r="S128">
        <v>0</v>
      </c>
      <c r="T128" t="s">
        <v>1210</v>
      </c>
      <c r="U128" t="s">
        <v>1210</v>
      </c>
      <c r="V128" t="s">
        <v>1210</v>
      </c>
      <c r="W128" t="s">
        <v>1210</v>
      </c>
      <c r="X128">
        <v>0</v>
      </c>
      <c r="Y128" t="s">
        <v>1210</v>
      </c>
      <c r="Z128">
        <v>0</v>
      </c>
      <c r="AA128" t="s">
        <v>1210</v>
      </c>
      <c r="AB128" t="s">
        <v>1210</v>
      </c>
      <c r="AC128" t="s">
        <v>1210</v>
      </c>
      <c r="AD128" t="s">
        <v>1210</v>
      </c>
      <c r="AE128">
        <v>0</v>
      </c>
      <c r="AF128" t="s">
        <v>1210</v>
      </c>
      <c r="AG128" t="s">
        <v>1210</v>
      </c>
      <c r="AH128" t="s">
        <v>1210</v>
      </c>
    </row>
    <row r="129" spans="1:34">
      <c r="A129" t="s">
        <v>253</v>
      </c>
      <c r="B129" t="s">
        <v>254</v>
      </c>
      <c r="C129" t="s">
        <v>255</v>
      </c>
      <c r="D129" t="s">
        <v>256</v>
      </c>
      <c r="E129" t="s">
        <v>1210</v>
      </c>
      <c r="F129" t="s">
        <v>577</v>
      </c>
      <c r="G129" t="s">
        <v>945</v>
      </c>
      <c r="H129" t="s">
        <v>578</v>
      </c>
      <c r="I129" t="s">
        <v>260</v>
      </c>
      <c r="J129" t="s">
        <v>1210</v>
      </c>
      <c r="K129">
        <v>1</v>
      </c>
      <c r="L129">
        <v>1</v>
      </c>
      <c r="M129" t="s">
        <v>33</v>
      </c>
      <c r="N129">
        <v>1</v>
      </c>
      <c r="O129">
        <v>1</v>
      </c>
      <c r="P129">
        <v>1</v>
      </c>
      <c r="Q129" t="s">
        <v>280</v>
      </c>
      <c r="R129">
        <v>1</v>
      </c>
      <c r="S129">
        <v>0</v>
      </c>
      <c r="T129" t="s">
        <v>1210</v>
      </c>
      <c r="U129" t="s">
        <v>1210</v>
      </c>
      <c r="V129" t="s">
        <v>1210</v>
      </c>
      <c r="W129" t="s">
        <v>1210</v>
      </c>
      <c r="X129">
        <v>0</v>
      </c>
      <c r="Y129" t="s">
        <v>1210</v>
      </c>
      <c r="Z129">
        <v>0</v>
      </c>
      <c r="AA129" t="s">
        <v>1210</v>
      </c>
      <c r="AB129" t="s">
        <v>1210</v>
      </c>
      <c r="AC129" t="s">
        <v>1210</v>
      </c>
      <c r="AD129" t="s">
        <v>1210</v>
      </c>
      <c r="AE129">
        <v>0</v>
      </c>
      <c r="AF129" t="s">
        <v>1210</v>
      </c>
      <c r="AG129" t="s">
        <v>1210</v>
      </c>
      <c r="AH129" t="s">
        <v>1210</v>
      </c>
    </row>
    <row r="130" spans="1:34">
      <c r="A130" t="s">
        <v>253</v>
      </c>
      <c r="B130" t="s">
        <v>254</v>
      </c>
      <c r="C130" t="s">
        <v>255</v>
      </c>
      <c r="D130" t="s">
        <v>256</v>
      </c>
      <c r="E130" t="s">
        <v>1210</v>
      </c>
      <c r="F130" t="s">
        <v>579</v>
      </c>
      <c r="G130" t="s">
        <v>945</v>
      </c>
      <c r="H130" t="s">
        <v>580</v>
      </c>
      <c r="I130" t="s">
        <v>260</v>
      </c>
      <c r="J130" t="s">
        <v>1210</v>
      </c>
      <c r="K130">
        <v>1</v>
      </c>
      <c r="L130">
        <v>1</v>
      </c>
      <c r="M130" t="s">
        <v>33</v>
      </c>
      <c r="N130">
        <v>1</v>
      </c>
      <c r="O130">
        <v>1</v>
      </c>
      <c r="P130">
        <v>1</v>
      </c>
      <c r="Q130" t="s">
        <v>280</v>
      </c>
      <c r="R130">
        <v>1</v>
      </c>
      <c r="S130">
        <v>0</v>
      </c>
      <c r="T130" t="s">
        <v>1210</v>
      </c>
      <c r="U130" t="s">
        <v>1210</v>
      </c>
      <c r="V130" t="s">
        <v>1210</v>
      </c>
      <c r="W130" t="s">
        <v>1210</v>
      </c>
      <c r="X130">
        <v>0</v>
      </c>
      <c r="Y130" t="s">
        <v>1210</v>
      </c>
      <c r="Z130">
        <v>0</v>
      </c>
      <c r="AA130" t="s">
        <v>1210</v>
      </c>
      <c r="AB130" t="s">
        <v>1210</v>
      </c>
      <c r="AC130" t="s">
        <v>1210</v>
      </c>
      <c r="AD130" t="s">
        <v>1210</v>
      </c>
      <c r="AE130">
        <v>0</v>
      </c>
      <c r="AF130" t="s">
        <v>1210</v>
      </c>
      <c r="AG130" t="s">
        <v>1210</v>
      </c>
      <c r="AH130" t="s">
        <v>1210</v>
      </c>
    </row>
    <row r="131" spans="1:34">
      <c r="A131" t="s">
        <v>253</v>
      </c>
      <c r="B131" t="s">
        <v>254</v>
      </c>
      <c r="C131" t="s">
        <v>255</v>
      </c>
      <c r="D131" t="s">
        <v>256</v>
      </c>
      <c r="E131" t="s">
        <v>1210</v>
      </c>
      <c r="F131" t="s">
        <v>581</v>
      </c>
      <c r="G131" t="s">
        <v>945</v>
      </c>
      <c r="H131" t="s">
        <v>582</v>
      </c>
      <c r="I131" t="s">
        <v>260</v>
      </c>
      <c r="J131" t="s">
        <v>1210</v>
      </c>
      <c r="K131">
        <v>1</v>
      </c>
      <c r="L131">
        <v>1</v>
      </c>
      <c r="M131" t="s">
        <v>33</v>
      </c>
      <c r="N131">
        <v>1</v>
      </c>
      <c r="O131">
        <v>1</v>
      </c>
      <c r="P131">
        <v>1</v>
      </c>
      <c r="Q131" t="s">
        <v>280</v>
      </c>
      <c r="R131">
        <v>1</v>
      </c>
      <c r="S131">
        <v>0</v>
      </c>
      <c r="T131" t="s">
        <v>1210</v>
      </c>
      <c r="U131" t="s">
        <v>1210</v>
      </c>
      <c r="V131" t="s">
        <v>1210</v>
      </c>
      <c r="W131" t="s">
        <v>1210</v>
      </c>
      <c r="X131">
        <v>0</v>
      </c>
      <c r="Y131" t="s">
        <v>1210</v>
      </c>
      <c r="Z131">
        <v>0</v>
      </c>
      <c r="AA131" t="s">
        <v>1210</v>
      </c>
      <c r="AB131" t="s">
        <v>1210</v>
      </c>
      <c r="AC131" t="s">
        <v>1210</v>
      </c>
      <c r="AD131" t="s">
        <v>1210</v>
      </c>
      <c r="AE131">
        <v>0</v>
      </c>
      <c r="AF131" t="s">
        <v>1210</v>
      </c>
      <c r="AG131" t="s">
        <v>1210</v>
      </c>
      <c r="AH131" t="s">
        <v>1210</v>
      </c>
    </row>
    <row r="132" spans="1:34">
      <c r="A132" t="s">
        <v>395</v>
      </c>
      <c r="B132" t="s">
        <v>586</v>
      </c>
      <c r="C132" t="s">
        <v>255</v>
      </c>
      <c r="D132" t="s">
        <v>256</v>
      </c>
      <c r="E132" t="s">
        <v>583</v>
      </c>
      <c r="F132" t="s">
        <v>584</v>
      </c>
      <c r="G132" t="s">
        <v>864</v>
      </c>
      <c r="H132" t="s">
        <v>585</v>
      </c>
      <c r="I132" t="s">
        <v>260</v>
      </c>
      <c r="J132" t="s">
        <v>1210</v>
      </c>
      <c r="K132">
        <v>1</v>
      </c>
      <c r="L132">
        <v>1</v>
      </c>
      <c r="M132" t="s">
        <v>33</v>
      </c>
      <c r="N132">
        <v>1</v>
      </c>
      <c r="O132">
        <v>1</v>
      </c>
      <c r="P132">
        <v>1</v>
      </c>
      <c r="Q132" t="s">
        <v>280</v>
      </c>
      <c r="R132">
        <v>1</v>
      </c>
      <c r="S132">
        <v>1</v>
      </c>
      <c r="T132">
        <v>1</v>
      </c>
      <c r="U132" t="s">
        <v>1210</v>
      </c>
      <c r="V132" t="s">
        <v>1210</v>
      </c>
      <c r="W132" t="s">
        <v>1210</v>
      </c>
      <c r="X132">
        <v>1</v>
      </c>
      <c r="Y132" t="s">
        <v>1210</v>
      </c>
      <c r="Z132">
        <v>0</v>
      </c>
      <c r="AA132" t="s">
        <v>1210</v>
      </c>
      <c r="AB132" t="s">
        <v>1210</v>
      </c>
      <c r="AC132" t="s">
        <v>1210</v>
      </c>
      <c r="AD132" t="s">
        <v>1210</v>
      </c>
      <c r="AE132">
        <v>0</v>
      </c>
      <c r="AF132" t="s">
        <v>1210</v>
      </c>
      <c r="AG132" t="s">
        <v>1210</v>
      </c>
      <c r="AH132" t="s">
        <v>1210</v>
      </c>
    </row>
    <row r="133" spans="1:34">
      <c r="A133" t="s">
        <v>395</v>
      </c>
      <c r="B133" t="s">
        <v>586</v>
      </c>
      <c r="C133" t="s">
        <v>255</v>
      </c>
      <c r="D133" t="s">
        <v>256</v>
      </c>
      <c r="E133" t="s">
        <v>1210</v>
      </c>
      <c r="F133" t="s">
        <v>587</v>
      </c>
      <c r="G133" t="s">
        <v>864</v>
      </c>
      <c r="H133" t="s">
        <v>588</v>
      </c>
      <c r="I133" t="s">
        <v>260</v>
      </c>
      <c r="J133" t="s">
        <v>1210</v>
      </c>
      <c r="K133">
        <v>1</v>
      </c>
      <c r="L133">
        <v>1</v>
      </c>
      <c r="M133" t="s">
        <v>33</v>
      </c>
      <c r="N133">
        <v>1</v>
      </c>
      <c r="O133">
        <v>1</v>
      </c>
      <c r="P133">
        <v>1</v>
      </c>
      <c r="Q133" t="s">
        <v>1210</v>
      </c>
      <c r="R133">
        <v>0</v>
      </c>
      <c r="S133">
        <v>1</v>
      </c>
      <c r="T133">
        <v>1</v>
      </c>
      <c r="U133" t="s">
        <v>1210</v>
      </c>
      <c r="V133" t="s">
        <v>1210</v>
      </c>
      <c r="W133" t="s">
        <v>1210</v>
      </c>
      <c r="X133">
        <v>1</v>
      </c>
      <c r="Y133" t="s">
        <v>1210</v>
      </c>
      <c r="Z133">
        <v>0</v>
      </c>
      <c r="AA133" t="s">
        <v>1210</v>
      </c>
      <c r="AB133" t="s">
        <v>1210</v>
      </c>
      <c r="AC133" t="s">
        <v>1210</v>
      </c>
      <c r="AD133" t="s">
        <v>1210</v>
      </c>
      <c r="AE133">
        <v>0</v>
      </c>
      <c r="AF133" t="s">
        <v>1210</v>
      </c>
      <c r="AG133" t="s">
        <v>1210</v>
      </c>
      <c r="AH133" t="s">
        <v>1210</v>
      </c>
    </row>
    <row r="134" spans="1:34">
      <c r="A134" t="s">
        <v>395</v>
      </c>
      <c r="B134" t="s">
        <v>586</v>
      </c>
      <c r="C134" t="s">
        <v>255</v>
      </c>
      <c r="D134" t="s">
        <v>256</v>
      </c>
      <c r="E134" t="s">
        <v>1210</v>
      </c>
      <c r="F134" t="s">
        <v>589</v>
      </c>
      <c r="G134" t="s">
        <v>864</v>
      </c>
      <c r="H134" t="s">
        <v>590</v>
      </c>
      <c r="I134" t="s">
        <v>260</v>
      </c>
      <c r="J134" t="s">
        <v>1210</v>
      </c>
      <c r="K134">
        <v>1</v>
      </c>
      <c r="L134">
        <v>1</v>
      </c>
      <c r="M134" t="s">
        <v>33</v>
      </c>
      <c r="N134">
        <v>1</v>
      </c>
      <c r="O134">
        <v>1</v>
      </c>
      <c r="P134">
        <v>1</v>
      </c>
      <c r="Q134" t="s">
        <v>1210</v>
      </c>
      <c r="R134">
        <v>0</v>
      </c>
      <c r="S134">
        <v>1</v>
      </c>
      <c r="T134">
        <v>1</v>
      </c>
      <c r="U134" t="s">
        <v>1210</v>
      </c>
      <c r="V134" t="s">
        <v>1210</v>
      </c>
      <c r="W134" t="s">
        <v>1210</v>
      </c>
      <c r="X134">
        <v>1</v>
      </c>
      <c r="Y134" t="s">
        <v>1210</v>
      </c>
      <c r="Z134">
        <v>0</v>
      </c>
      <c r="AA134" t="s">
        <v>1210</v>
      </c>
      <c r="AB134" t="s">
        <v>1210</v>
      </c>
      <c r="AC134" t="s">
        <v>1210</v>
      </c>
      <c r="AD134" t="s">
        <v>1210</v>
      </c>
      <c r="AE134">
        <v>0</v>
      </c>
      <c r="AF134" t="s">
        <v>1210</v>
      </c>
      <c r="AG134" t="s">
        <v>1210</v>
      </c>
      <c r="AH134" t="s">
        <v>1210</v>
      </c>
    </row>
    <row r="135" spans="1:34">
      <c r="A135" t="s">
        <v>329</v>
      </c>
      <c r="B135" t="s">
        <v>330</v>
      </c>
      <c r="C135" t="s">
        <v>255</v>
      </c>
      <c r="D135" t="s">
        <v>256</v>
      </c>
      <c r="E135" t="s">
        <v>1210</v>
      </c>
      <c r="F135" t="s">
        <v>591</v>
      </c>
      <c r="G135" t="s">
        <v>864</v>
      </c>
      <c r="H135" t="s">
        <v>592</v>
      </c>
      <c r="I135" t="s">
        <v>260</v>
      </c>
      <c r="J135" t="s">
        <v>1210</v>
      </c>
      <c r="K135">
        <v>1</v>
      </c>
      <c r="L135">
        <v>1</v>
      </c>
      <c r="M135" t="s">
        <v>33</v>
      </c>
      <c r="N135">
        <v>1</v>
      </c>
      <c r="O135">
        <v>1</v>
      </c>
      <c r="P135">
        <v>1</v>
      </c>
      <c r="Q135" t="s">
        <v>47</v>
      </c>
      <c r="R135">
        <v>1</v>
      </c>
      <c r="S135">
        <v>1</v>
      </c>
      <c r="T135">
        <v>1</v>
      </c>
      <c r="U135" t="s">
        <v>1210</v>
      </c>
      <c r="V135" t="s">
        <v>1210</v>
      </c>
      <c r="W135" t="s">
        <v>1210</v>
      </c>
      <c r="X135">
        <v>1</v>
      </c>
      <c r="Y135" t="s">
        <v>1210</v>
      </c>
      <c r="Z135">
        <v>0</v>
      </c>
      <c r="AA135" t="s">
        <v>1210</v>
      </c>
      <c r="AB135" t="s">
        <v>1210</v>
      </c>
      <c r="AC135" t="s">
        <v>1210</v>
      </c>
      <c r="AD135" t="s">
        <v>1210</v>
      </c>
      <c r="AE135">
        <v>0</v>
      </c>
      <c r="AF135" t="s">
        <v>1210</v>
      </c>
      <c r="AG135" t="s">
        <v>1210</v>
      </c>
      <c r="AH135" t="s">
        <v>1210</v>
      </c>
    </row>
    <row r="136" spans="1:34">
      <c r="A136" t="s">
        <v>329</v>
      </c>
      <c r="B136" t="s">
        <v>330</v>
      </c>
      <c r="C136" t="s">
        <v>255</v>
      </c>
      <c r="D136" t="s">
        <v>256</v>
      </c>
      <c r="E136" t="s">
        <v>1210</v>
      </c>
      <c r="F136" t="s">
        <v>593</v>
      </c>
      <c r="G136" t="s">
        <v>864</v>
      </c>
      <c r="H136" t="s">
        <v>594</v>
      </c>
      <c r="I136" t="s">
        <v>260</v>
      </c>
      <c r="J136" t="s">
        <v>1210</v>
      </c>
      <c r="K136">
        <v>1</v>
      </c>
      <c r="L136">
        <v>1</v>
      </c>
      <c r="M136" t="s">
        <v>33</v>
      </c>
      <c r="N136">
        <v>1</v>
      </c>
      <c r="O136">
        <v>1</v>
      </c>
      <c r="P136">
        <v>1</v>
      </c>
      <c r="Q136" t="s">
        <v>47</v>
      </c>
      <c r="R136">
        <v>1</v>
      </c>
      <c r="S136">
        <v>1</v>
      </c>
      <c r="T136">
        <v>1</v>
      </c>
      <c r="U136" t="s">
        <v>1210</v>
      </c>
      <c r="V136" t="s">
        <v>1210</v>
      </c>
      <c r="W136" t="s">
        <v>1210</v>
      </c>
      <c r="X136">
        <v>1</v>
      </c>
      <c r="Y136" t="s">
        <v>1210</v>
      </c>
      <c r="Z136">
        <v>0</v>
      </c>
      <c r="AA136" t="s">
        <v>1210</v>
      </c>
      <c r="AB136" t="s">
        <v>1210</v>
      </c>
      <c r="AC136" t="s">
        <v>1210</v>
      </c>
      <c r="AD136" t="s">
        <v>1210</v>
      </c>
      <c r="AE136">
        <v>0</v>
      </c>
      <c r="AF136" t="s">
        <v>1210</v>
      </c>
      <c r="AG136" t="s">
        <v>1210</v>
      </c>
      <c r="AH136" t="s">
        <v>1210</v>
      </c>
    </row>
    <row r="137" spans="1:34">
      <c r="A137" t="s">
        <v>329</v>
      </c>
      <c r="B137" t="s">
        <v>330</v>
      </c>
      <c r="C137" t="s">
        <v>255</v>
      </c>
      <c r="D137" t="s">
        <v>256</v>
      </c>
      <c r="E137" t="s">
        <v>1210</v>
      </c>
      <c r="F137" t="s">
        <v>595</v>
      </c>
      <c r="G137" t="s">
        <v>864</v>
      </c>
      <c r="H137" t="s">
        <v>596</v>
      </c>
      <c r="I137" t="s">
        <v>260</v>
      </c>
      <c r="J137" t="s">
        <v>1210</v>
      </c>
      <c r="K137">
        <v>1</v>
      </c>
      <c r="L137">
        <v>1</v>
      </c>
      <c r="M137" t="s">
        <v>33</v>
      </c>
      <c r="N137">
        <v>1</v>
      </c>
      <c r="O137">
        <v>1</v>
      </c>
      <c r="P137">
        <v>1</v>
      </c>
      <c r="Q137" t="s">
        <v>47</v>
      </c>
      <c r="R137">
        <v>1</v>
      </c>
      <c r="S137">
        <v>1</v>
      </c>
      <c r="T137">
        <v>1</v>
      </c>
      <c r="U137" t="s">
        <v>1210</v>
      </c>
      <c r="V137" t="s">
        <v>1210</v>
      </c>
      <c r="W137" t="s">
        <v>1210</v>
      </c>
      <c r="X137">
        <v>1</v>
      </c>
      <c r="Y137" t="s">
        <v>1210</v>
      </c>
      <c r="Z137">
        <v>0</v>
      </c>
      <c r="AA137" t="s">
        <v>1210</v>
      </c>
      <c r="AB137" t="s">
        <v>1210</v>
      </c>
      <c r="AC137" t="s">
        <v>1210</v>
      </c>
      <c r="AD137" t="s">
        <v>1210</v>
      </c>
      <c r="AE137">
        <v>0</v>
      </c>
      <c r="AF137" t="s">
        <v>1210</v>
      </c>
      <c r="AG137" t="s">
        <v>1210</v>
      </c>
      <c r="AH137" t="s">
        <v>1210</v>
      </c>
    </row>
    <row r="138" spans="1:34">
      <c r="A138" t="s">
        <v>597</v>
      </c>
      <c r="B138" t="s">
        <v>598</v>
      </c>
      <c r="C138" t="s">
        <v>255</v>
      </c>
      <c r="D138" t="s">
        <v>256</v>
      </c>
      <c r="E138" t="s">
        <v>599</v>
      </c>
      <c r="F138" t="s">
        <v>600</v>
      </c>
      <c r="G138" t="s">
        <v>864</v>
      </c>
      <c r="H138" t="s">
        <v>601</v>
      </c>
      <c r="I138" t="s">
        <v>260</v>
      </c>
      <c r="J138" t="s">
        <v>1210</v>
      </c>
      <c r="K138">
        <v>1</v>
      </c>
      <c r="L138">
        <v>1</v>
      </c>
      <c r="M138" t="s">
        <v>33</v>
      </c>
      <c r="N138">
        <v>1</v>
      </c>
      <c r="O138">
        <v>1</v>
      </c>
      <c r="P138">
        <v>1</v>
      </c>
      <c r="Q138" t="s">
        <v>280</v>
      </c>
      <c r="R138">
        <v>1</v>
      </c>
      <c r="S138">
        <v>0</v>
      </c>
      <c r="T138" t="s">
        <v>1210</v>
      </c>
      <c r="U138" t="s">
        <v>1210</v>
      </c>
      <c r="V138" t="s">
        <v>1210</v>
      </c>
      <c r="W138" t="s">
        <v>1210</v>
      </c>
      <c r="X138">
        <v>0</v>
      </c>
      <c r="Y138" t="s">
        <v>1210</v>
      </c>
      <c r="Z138">
        <v>0</v>
      </c>
      <c r="AA138" t="s">
        <v>1210</v>
      </c>
      <c r="AB138" t="s">
        <v>1210</v>
      </c>
      <c r="AC138" t="s">
        <v>1210</v>
      </c>
      <c r="AD138" t="s">
        <v>1210</v>
      </c>
      <c r="AE138">
        <v>0</v>
      </c>
      <c r="AF138" t="s">
        <v>1210</v>
      </c>
      <c r="AG138" t="s">
        <v>1210</v>
      </c>
      <c r="AH138" t="s">
        <v>1210</v>
      </c>
    </row>
    <row r="139" spans="1:34">
      <c r="A139" t="s">
        <v>597</v>
      </c>
      <c r="B139" t="s">
        <v>598</v>
      </c>
      <c r="C139" t="s">
        <v>255</v>
      </c>
      <c r="D139" t="s">
        <v>256</v>
      </c>
      <c r="E139" t="s">
        <v>1210</v>
      </c>
      <c r="F139" t="s">
        <v>602</v>
      </c>
      <c r="G139" t="s">
        <v>864</v>
      </c>
      <c r="H139" t="s">
        <v>603</v>
      </c>
      <c r="I139" t="s">
        <v>260</v>
      </c>
      <c r="J139" t="s">
        <v>604</v>
      </c>
      <c r="K139">
        <v>1</v>
      </c>
      <c r="L139">
        <v>1</v>
      </c>
      <c r="M139" t="s">
        <v>33</v>
      </c>
      <c r="N139">
        <v>1</v>
      </c>
      <c r="O139">
        <v>1</v>
      </c>
      <c r="P139">
        <v>1</v>
      </c>
      <c r="Q139" t="s">
        <v>280</v>
      </c>
      <c r="R139">
        <v>1</v>
      </c>
      <c r="S139">
        <v>0</v>
      </c>
      <c r="T139" t="s">
        <v>1210</v>
      </c>
      <c r="U139" t="s">
        <v>1210</v>
      </c>
      <c r="V139" t="s">
        <v>1210</v>
      </c>
      <c r="W139" t="s">
        <v>1210</v>
      </c>
      <c r="X139">
        <v>0</v>
      </c>
      <c r="Y139" t="s">
        <v>1210</v>
      </c>
      <c r="Z139">
        <v>0</v>
      </c>
      <c r="AA139" t="s">
        <v>1210</v>
      </c>
      <c r="AB139" t="s">
        <v>1210</v>
      </c>
      <c r="AC139" t="s">
        <v>1210</v>
      </c>
      <c r="AD139" t="s">
        <v>1210</v>
      </c>
      <c r="AE139">
        <v>0</v>
      </c>
      <c r="AF139" t="s">
        <v>1210</v>
      </c>
      <c r="AG139" t="s">
        <v>1210</v>
      </c>
      <c r="AH139" t="s">
        <v>1210</v>
      </c>
    </row>
    <row r="140" spans="1:34">
      <c r="A140" t="s">
        <v>605</v>
      </c>
      <c r="B140" t="s">
        <v>606</v>
      </c>
      <c r="C140" t="s">
        <v>255</v>
      </c>
      <c r="D140" t="s">
        <v>256</v>
      </c>
      <c r="E140" t="s">
        <v>607</v>
      </c>
      <c r="F140" t="s">
        <v>608</v>
      </c>
      <c r="G140" t="s">
        <v>984</v>
      </c>
      <c r="H140" t="s">
        <v>609</v>
      </c>
      <c r="I140" t="s">
        <v>260</v>
      </c>
      <c r="J140" t="s">
        <v>1210</v>
      </c>
      <c r="K140">
        <v>1</v>
      </c>
      <c r="L140">
        <v>1</v>
      </c>
      <c r="M140" t="s">
        <v>38</v>
      </c>
      <c r="N140" t="s">
        <v>1210</v>
      </c>
      <c r="O140" t="s">
        <v>1210</v>
      </c>
      <c r="P140">
        <v>0</v>
      </c>
      <c r="Q140" t="s">
        <v>1210</v>
      </c>
      <c r="R140">
        <v>0</v>
      </c>
      <c r="S140">
        <v>0</v>
      </c>
      <c r="T140" t="s">
        <v>1210</v>
      </c>
      <c r="U140" t="s">
        <v>1210</v>
      </c>
      <c r="V140" t="s">
        <v>1210</v>
      </c>
      <c r="W140" t="s">
        <v>1210</v>
      </c>
      <c r="X140">
        <v>0</v>
      </c>
      <c r="Y140" t="s">
        <v>1210</v>
      </c>
      <c r="Z140">
        <v>0</v>
      </c>
      <c r="AA140" t="s">
        <v>1210</v>
      </c>
      <c r="AB140" t="s">
        <v>1210</v>
      </c>
      <c r="AC140" t="s">
        <v>1210</v>
      </c>
      <c r="AD140" t="s">
        <v>1210</v>
      </c>
      <c r="AE140">
        <v>0</v>
      </c>
      <c r="AF140" t="s">
        <v>1210</v>
      </c>
      <c r="AG140" t="s">
        <v>1210</v>
      </c>
      <c r="AH140" t="s">
        <v>1210</v>
      </c>
    </row>
    <row r="141" spans="1:34">
      <c r="A141" t="s">
        <v>610</v>
      </c>
      <c r="B141" t="s">
        <v>611</v>
      </c>
      <c r="C141" t="s">
        <v>255</v>
      </c>
      <c r="D141" t="s">
        <v>256</v>
      </c>
      <c r="E141" t="s">
        <v>1210</v>
      </c>
      <c r="F141" t="s">
        <v>612</v>
      </c>
      <c r="G141" t="s">
        <v>864</v>
      </c>
      <c r="H141" t="s">
        <v>613</v>
      </c>
      <c r="I141" t="s">
        <v>260</v>
      </c>
      <c r="J141" t="s">
        <v>1210</v>
      </c>
      <c r="K141">
        <v>1</v>
      </c>
      <c r="L141">
        <v>1</v>
      </c>
      <c r="M141" t="s">
        <v>38</v>
      </c>
      <c r="N141" t="s">
        <v>1210</v>
      </c>
      <c r="O141" t="s">
        <v>1210</v>
      </c>
      <c r="P141">
        <v>0</v>
      </c>
      <c r="Q141" t="s">
        <v>1210</v>
      </c>
      <c r="R141">
        <v>0</v>
      </c>
      <c r="S141">
        <v>0</v>
      </c>
      <c r="T141" t="s">
        <v>1210</v>
      </c>
      <c r="U141" t="s">
        <v>1210</v>
      </c>
      <c r="V141" t="s">
        <v>1210</v>
      </c>
      <c r="W141" t="s">
        <v>1210</v>
      </c>
      <c r="X141">
        <v>0</v>
      </c>
      <c r="Y141" t="s">
        <v>1210</v>
      </c>
      <c r="Z141">
        <v>0</v>
      </c>
      <c r="AA141" t="s">
        <v>1210</v>
      </c>
      <c r="AB141" t="s">
        <v>1210</v>
      </c>
      <c r="AC141" t="s">
        <v>1210</v>
      </c>
      <c r="AD141" t="s">
        <v>1210</v>
      </c>
      <c r="AE141">
        <v>0</v>
      </c>
      <c r="AF141" t="s">
        <v>1210</v>
      </c>
      <c r="AG141" t="s">
        <v>1210</v>
      </c>
      <c r="AH141" t="s">
        <v>1210</v>
      </c>
    </row>
    <row r="142" spans="1:34">
      <c r="A142" t="s">
        <v>614</v>
      </c>
      <c r="B142" t="s">
        <v>1001</v>
      </c>
      <c r="C142" t="s">
        <v>255</v>
      </c>
      <c r="D142" t="s">
        <v>256</v>
      </c>
      <c r="E142" t="s">
        <v>1210</v>
      </c>
      <c r="F142" t="s">
        <v>616</v>
      </c>
      <c r="G142" t="s">
        <v>864</v>
      </c>
      <c r="H142" t="s">
        <v>617</v>
      </c>
      <c r="I142" t="s">
        <v>260</v>
      </c>
      <c r="J142" t="s">
        <v>1210</v>
      </c>
      <c r="K142">
        <v>1</v>
      </c>
      <c r="L142">
        <v>1</v>
      </c>
      <c r="M142" t="s">
        <v>38</v>
      </c>
      <c r="N142" t="s">
        <v>1210</v>
      </c>
      <c r="O142" t="s">
        <v>1210</v>
      </c>
      <c r="P142">
        <v>0</v>
      </c>
      <c r="Q142" t="s">
        <v>1210</v>
      </c>
      <c r="R142">
        <v>0</v>
      </c>
      <c r="S142">
        <v>0</v>
      </c>
      <c r="T142" t="s">
        <v>1210</v>
      </c>
      <c r="U142" t="s">
        <v>1210</v>
      </c>
      <c r="V142" t="s">
        <v>1210</v>
      </c>
      <c r="W142" t="s">
        <v>1210</v>
      </c>
      <c r="X142">
        <v>0</v>
      </c>
      <c r="Y142" t="s">
        <v>1210</v>
      </c>
      <c r="Z142">
        <v>0</v>
      </c>
      <c r="AA142" t="s">
        <v>1210</v>
      </c>
      <c r="AB142" t="s">
        <v>1210</v>
      </c>
      <c r="AC142" t="s">
        <v>1210</v>
      </c>
      <c r="AD142" t="s">
        <v>1210</v>
      </c>
      <c r="AE142">
        <v>0</v>
      </c>
      <c r="AF142" t="s">
        <v>1210</v>
      </c>
      <c r="AG142" t="s">
        <v>1210</v>
      </c>
      <c r="AH142" t="s">
        <v>1210</v>
      </c>
    </row>
    <row r="143" spans="1:34">
      <c r="A143" t="s">
        <v>618</v>
      </c>
      <c r="B143" t="s">
        <v>983</v>
      </c>
      <c r="C143" t="s">
        <v>255</v>
      </c>
      <c r="D143" t="s">
        <v>256</v>
      </c>
      <c r="E143" t="s">
        <v>619</v>
      </c>
      <c r="F143" t="s">
        <v>620</v>
      </c>
      <c r="G143" t="s">
        <v>984</v>
      </c>
      <c r="H143" t="s">
        <v>621</v>
      </c>
      <c r="I143" t="s">
        <v>260</v>
      </c>
      <c r="J143" t="s">
        <v>1210</v>
      </c>
      <c r="K143">
        <v>1</v>
      </c>
      <c r="L143">
        <v>1</v>
      </c>
      <c r="M143" t="s">
        <v>38</v>
      </c>
      <c r="N143">
        <v>1</v>
      </c>
      <c r="O143">
        <v>1</v>
      </c>
      <c r="P143">
        <v>1</v>
      </c>
      <c r="Q143" t="s">
        <v>1210</v>
      </c>
      <c r="R143">
        <v>0</v>
      </c>
      <c r="S143">
        <v>0</v>
      </c>
      <c r="T143" t="s">
        <v>1210</v>
      </c>
      <c r="U143" t="s">
        <v>1210</v>
      </c>
      <c r="V143" t="s">
        <v>1210</v>
      </c>
      <c r="W143" t="s">
        <v>1210</v>
      </c>
      <c r="X143">
        <v>0</v>
      </c>
      <c r="Y143" t="s">
        <v>1210</v>
      </c>
      <c r="Z143">
        <v>0</v>
      </c>
      <c r="AA143" t="s">
        <v>1210</v>
      </c>
      <c r="AB143" t="s">
        <v>1210</v>
      </c>
      <c r="AC143" t="s">
        <v>1210</v>
      </c>
      <c r="AD143" t="s">
        <v>1210</v>
      </c>
      <c r="AE143">
        <v>0</v>
      </c>
      <c r="AF143" t="s">
        <v>1210</v>
      </c>
      <c r="AG143" t="s">
        <v>1210</v>
      </c>
      <c r="AH143" t="s">
        <v>1210</v>
      </c>
    </row>
    <row r="144" spans="1:34">
      <c r="A144" t="s">
        <v>622</v>
      </c>
      <c r="B144" t="s">
        <v>960</v>
      </c>
      <c r="C144" t="s">
        <v>255</v>
      </c>
      <c r="D144" t="s">
        <v>256</v>
      </c>
      <c r="E144" t="s">
        <v>623</v>
      </c>
      <c r="F144" t="s">
        <v>624</v>
      </c>
      <c r="G144" t="s">
        <v>864</v>
      </c>
      <c r="H144" t="s">
        <v>625</v>
      </c>
      <c r="I144" t="s">
        <v>260</v>
      </c>
      <c r="J144" t="s">
        <v>1210</v>
      </c>
      <c r="K144">
        <v>1</v>
      </c>
      <c r="L144">
        <v>1</v>
      </c>
      <c r="M144" t="s">
        <v>33</v>
      </c>
      <c r="N144">
        <v>1</v>
      </c>
      <c r="O144">
        <v>1</v>
      </c>
      <c r="P144">
        <v>1</v>
      </c>
      <c r="Q144" t="s">
        <v>47</v>
      </c>
      <c r="R144">
        <v>1</v>
      </c>
      <c r="S144">
        <v>0</v>
      </c>
      <c r="T144" t="s">
        <v>1210</v>
      </c>
      <c r="U144" t="s">
        <v>1210</v>
      </c>
      <c r="V144" t="s">
        <v>1210</v>
      </c>
      <c r="W144" t="s">
        <v>1210</v>
      </c>
      <c r="X144">
        <v>0</v>
      </c>
      <c r="Y144" t="s">
        <v>1210</v>
      </c>
      <c r="Z144">
        <v>0</v>
      </c>
      <c r="AA144" t="s">
        <v>1210</v>
      </c>
      <c r="AB144" t="s">
        <v>1210</v>
      </c>
      <c r="AC144" t="s">
        <v>1210</v>
      </c>
      <c r="AD144" t="s">
        <v>1210</v>
      </c>
      <c r="AE144">
        <v>0</v>
      </c>
      <c r="AF144" t="s">
        <v>1210</v>
      </c>
      <c r="AG144" t="s">
        <v>1210</v>
      </c>
      <c r="AH144" t="s">
        <v>1210</v>
      </c>
    </row>
    <row r="145" spans="1:34">
      <c r="A145" t="s">
        <v>622</v>
      </c>
      <c r="B145" t="s">
        <v>960</v>
      </c>
      <c r="C145" t="s">
        <v>255</v>
      </c>
      <c r="D145" t="s">
        <v>256</v>
      </c>
      <c r="E145" t="s">
        <v>1210</v>
      </c>
      <c r="F145" t="s">
        <v>626</v>
      </c>
      <c r="G145" t="s">
        <v>864</v>
      </c>
      <c r="H145" t="s">
        <v>627</v>
      </c>
      <c r="I145" t="s">
        <v>260</v>
      </c>
      <c r="J145" t="s">
        <v>1210</v>
      </c>
      <c r="K145">
        <v>1</v>
      </c>
      <c r="L145">
        <v>1</v>
      </c>
      <c r="M145" t="s">
        <v>33</v>
      </c>
      <c r="N145">
        <v>1</v>
      </c>
      <c r="O145">
        <v>1</v>
      </c>
      <c r="P145">
        <v>1</v>
      </c>
      <c r="Q145" t="s">
        <v>47</v>
      </c>
      <c r="R145">
        <v>1</v>
      </c>
      <c r="S145">
        <v>0</v>
      </c>
      <c r="T145" t="s">
        <v>1210</v>
      </c>
      <c r="U145" t="s">
        <v>1210</v>
      </c>
      <c r="V145" t="s">
        <v>1210</v>
      </c>
      <c r="W145" t="s">
        <v>1210</v>
      </c>
      <c r="X145">
        <v>0</v>
      </c>
      <c r="Y145" t="s">
        <v>1210</v>
      </c>
      <c r="Z145">
        <v>0</v>
      </c>
      <c r="AA145" t="s">
        <v>1210</v>
      </c>
      <c r="AB145" t="s">
        <v>1210</v>
      </c>
      <c r="AC145" t="s">
        <v>1210</v>
      </c>
      <c r="AD145" t="s">
        <v>1210</v>
      </c>
      <c r="AE145">
        <v>0</v>
      </c>
      <c r="AF145" t="s">
        <v>1210</v>
      </c>
      <c r="AG145" t="s">
        <v>1210</v>
      </c>
      <c r="AH145" t="s">
        <v>1210</v>
      </c>
    </row>
    <row r="146" spans="1:34">
      <c r="A146" t="s">
        <v>628</v>
      </c>
      <c r="B146" t="s">
        <v>969</v>
      </c>
      <c r="C146" t="s">
        <v>255</v>
      </c>
      <c r="D146" t="s">
        <v>256</v>
      </c>
      <c r="E146" t="s">
        <v>1210</v>
      </c>
      <c r="F146" t="s">
        <v>629</v>
      </c>
      <c r="G146" t="s">
        <v>864</v>
      </c>
      <c r="H146" t="s">
        <v>630</v>
      </c>
      <c r="I146" t="s">
        <v>260</v>
      </c>
      <c r="J146" t="s">
        <v>1210</v>
      </c>
      <c r="K146">
        <v>1</v>
      </c>
      <c r="L146">
        <v>1</v>
      </c>
      <c r="M146" t="s">
        <v>33</v>
      </c>
      <c r="N146">
        <v>1</v>
      </c>
      <c r="O146">
        <v>1</v>
      </c>
      <c r="P146">
        <v>1</v>
      </c>
      <c r="Q146" t="s">
        <v>47</v>
      </c>
      <c r="R146">
        <v>1</v>
      </c>
      <c r="S146">
        <v>0</v>
      </c>
      <c r="T146" t="s">
        <v>1210</v>
      </c>
      <c r="U146" t="s">
        <v>1210</v>
      </c>
      <c r="V146" t="s">
        <v>1210</v>
      </c>
      <c r="W146" t="s">
        <v>1210</v>
      </c>
      <c r="X146">
        <v>0</v>
      </c>
      <c r="Y146" t="s">
        <v>1210</v>
      </c>
      <c r="Z146">
        <v>0</v>
      </c>
      <c r="AA146" t="s">
        <v>1210</v>
      </c>
      <c r="AB146" t="s">
        <v>1210</v>
      </c>
      <c r="AC146" t="s">
        <v>1210</v>
      </c>
      <c r="AD146" t="s">
        <v>1210</v>
      </c>
      <c r="AE146">
        <v>0</v>
      </c>
      <c r="AF146" t="s">
        <v>1210</v>
      </c>
      <c r="AG146" t="s">
        <v>1210</v>
      </c>
      <c r="AH146" t="s">
        <v>1210</v>
      </c>
    </row>
    <row r="147" spans="1:34">
      <c r="A147" t="s">
        <v>628</v>
      </c>
      <c r="B147" t="s">
        <v>969</v>
      </c>
      <c r="C147" t="s">
        <v>255</v>
      </c>
      <c r="D147" t="s">
        <v>256</v>
      </c>
      <c r="E147" t="s">
        <v>1210</v>
      </c>
      <c r="F147" t="s">
        <v>631</v>
      </c>
      <c r="G147" t="s">
        <v>864</v>
      </c>
      <c r="H147" t="s">
        <v>632</v>
      </c>
      <c r="I147" t="s">
        <v>260</v>
      </c>
      <c r="J147" t="s">
        <v>1210</v>
      </c>
      <c r="K147">
        <v>1</v>
      </c>
      <c r="L147">
        <v>1</v>
      </c>
      <c r="M147" t="s">
        <v>33</v>
      </c>
      <c r="N147">
        <v>1</v>
      </c>
      <c r="O147">
        <v>1</v>
      </c>
      <c r="P147">
        <v>1</v>
      </c>
      <c r="Q147" t="s">
        <v>47</v>
      </c>
      <c r="R147">
        <v>1</v>
      </c>
      <c r="S147">
        <v>0</v>
      </c>
      <c r="T147" t="s">
        <v>1210</v>
      </c>
      <c r="U147" t="s">
        <v>1210</v>
      </c>
      <c r="V147" t="s">
        <v>1210</v>
      </c>
      <c r="W147" t="s">
        <v>1210</v>
      </c>
      <c r="X147">
        <v>0</v>
      </c>
      <c r="Y147" t="s">
        <v>1210</v>
      </c>
      <c r="Z147">
        <v>0</v>
      </c>
      <c r="AA147" t="s">
        <v>1210</v>
      </c>
      <c r="AB147" t="s">
        <v>1210</v>
      </c>
      <c r="AC147" t="s">
        <v>1210</v>
      </c>
      <c r="AD147" t="s">
        <v>1210</v>
      </c>
      <c r="AE147">
        <v>0</v>
      </c>
      <c r="AF147" t="s">
        <v>1210</v>
      </c>
      <c r="AG147" t="s">
        <v>1210</v>
      </c>
      <c r="AH147" t="s">
        <v>1210</v>
      </c>
    </row>
    <row r="148" spans="1:34">
      <c r="A148" t="s">
        <v>633</v>
      </c>
      <c r="B148" t="s">
        <v>634</v>
      </c>
      <c r="C148" t="s">
        <v>255</v>
      </c>
      <c r="D148" t="s">
        <v>256</v>
      </c>
      <c r="E148" t="s">
        <v>635</v>
      </c>
      <c r="F148" t="s">
        <v>636</v>
      </c>
      <c r="G148" t="s">
        <v>864</v>
      </c>
      <c r="H148" t="s">
        <v>637</v>
      </c>
      <c r="I148" t="s">
        <v>260</v>
      </c>
      <c r="J148" t="s">
        <v>1210</v>
      </c>
      <c r="K148">
        <v>1</v>
      </c>
      <c r="L148">
        <v>1</v>
      </c>
      <c r="M148" t="s">
        <v>33</v>
      </c>
      <c r="N148">
        <v>1</v>
      </c>
      <c r="O148">
        <v>1</v>
      </c>
      <c r="P148">
        <v>1</v>
      </c>
      <c r="Q148" t="s">
        <v>280</v>
      </c>
      <c r="R148">
        <v>1</v>
      </c>
      <c r="S148">
        <v>1</v>
      </c>
      <c r="T148">
        <v>1</v>
      </c>
      <c r="U148" t="s">
        <v>1210</v>
      </c>
      <c r="V148" t="s">
        <v>1210</v>
      </c>
      <c r="W148" t="s">
        <v>1210</v>
      </c>
      <c r="X148">
        <v>1</v>
      </c>
      <c r="Y148" t="s">
        <v>1210</v>
      </c>
      <c r="Z148">
        <v>0</v>
      </c>
      <c r="AA148" t="s">
        <v>1210</v>
      </c>
      <c r="AB148" t="s">
        <v>1210</v>
      </c>
      <c r="AC148" t="s">
        <v>1210</v>
      </c>
      <c r="AD148" t="s">
        <v>1210</v>
      </c>
      <c r="AE148">
        <v>0</v>
      </c>
      <c r="AF148" t="s">
        <v>1210</v>
      </c>
      <c r="AG148" t="s">
        <v>1210</v>
      </c>
      <c r="AH148" t="s">
        <v>1210</v>
      </c>
    </row>
    <row r="149" spans="1:34">
      <c r="A149" t="s">
        <v>638</v>
      </c>
      <c r="B149" t="s">
        <v>1004</v>
      </c>
      <c r="C149" t="s">
        <v>255</v>
      </c>
      <c r="D149" t="s">
        <v>256</v>
      </c>
      <c r="E149" t="s">
        <v>639</v>
      </c>
      <c r="F149" t="s">
        <v>640</v>
      </c>
      <c r="G149" t="s">
        <v>864</v>
      </c>
      <c r="H149" t="s">
        <v>641</v>
      </c>
      <c r="I149" t="s">
        <v>279</v>
      </c>
      <c r="J149" t="s">
        <v>1210</v>
      </c>
      <c r="K149">
        <v>1</v>
      </c>
      <c r="L149">
        <v>1</v>
      </c>
      <c r="M149" t="s">
        <v>38</v>
      </c>
      <c r="N149">
        <v>1</v>
      </c>
      <c r="O149">
        <v>1</v>
      </c>
      <c r="P149">
        <v>1</v>
      </c>
      <c r="Q149" t="s">
        <v>46</v>
      </c>
      <c r="R149">
        <v>1</v>
      </c>
      <c r="S149">
        <v>0</v>
      </c>
      <c r="T149" t="s">
        <v>1210</v>
      </c>
      <c r="U149" t="s">
        <v>1210</v>
      </c>
      <c r="V149" t="s">
        <v>1210</v>
      </c>
      <c r="W149" t="s">
        <v>1210</v>
      </c>
      <c r="X149">
        <v>0</v>
      </c>
      <c r="Y149" t="s">
        <v>1210</v>
      </c>
      <c r="Z149">
        <v>0</v>
      </c>
      <c r="AA149" t="s">
        <v>1210</v>
      </c>
      <c r="AB149" t="s">
        <v>1210</v>
      </c>
      <c r="AC149" t="s">
        <v>1210</v>
      </c>
      <c r="AD149" t="s">
        <v>1210</v>
      </c>
      <c r="AE149">
        <v>0</v>
      </c>
      <c r="AF149" t="s">
        <v>1210</v>
      </c>
      <c r="AG149" t="s">
        <v>1210</v>
      </c>
      <c r="AH149" t="s">
        <v>1210</v>
      </c>
    </row>
    <row r="150" spans="1:34">
      <c r="A150" t="s">
        <v>642</v>
      </c>
      <c r="B150" t="s">
        <v>1006</v>
      </c>
      <c r="C150" t="s">
        <v>255</v>
      </c>
      <c r="D150" t="s">
        <v>256</v>
      </c>
      <c r="E150" t="s">
        <v>1210</v>
      </c>
      <c r="F150" t="s">
        <v>643</v>
      </c>
      <c r="G150" t="s">
        <v>864</v>
      </c>
      <c r="H150" t="s">
        <v>644</v>
      </c>
      <c r="I150" t="s">
        <v>279</v>
      </c>
      <c r="J150" t="s">
        <v>1210</v>
      </c>
      <c r="K150">
        <v>1</v>
      </c>
      <c r="L150">
        <v>1</v>
      </c>
      <c r="M150" t="s">
        <v>38</v>
      </c>
      <c r="N150">
        <v>1</v>
      </c>
      <c r="O150">
        <v>1</v>
      </c>
      <c r="P150">
        <v>1</v>
      </c>
      <c r="Q150" t="s">
        <v>46</v>
      </c>
      <c r="R150">
        <v>1</v>
      </c>
      <c r="S150">
        <v>0</v>
      </c>
      <c r="T150" t="s">
        <v>1210</v>
      </c>
      <c r="U150" t="s">
        <v>1210</v>
      </c>
      <c r="V150" t="s">
        <v>1210</v>
      </c>
      <c r="W150" t="s">
        <v>1210</v>
      </c>
      <c r="X150">
        <v>0</v>
      </c>
      <c r="Y150" t="s">
        <v>1210</v>
      </c>
      <c r="Z150">
        <v>0</v>
      </c>
      <c r="AA150" t="s">
        <v>1210</v>
      </c>
      <c r="AB150" t="s">
        <v>1210</v>
      </c>
      <c r="AC150" t="s">
        <v>1210</v>
      </c>
      <c r="AD150" t="s">
        <v>1210</v>
      </c>
      <c r="AE150">
        <v>0</v>
      </c>
      <c r="AF150" t="s">
        <v>1210</v>
      </c>
      <c r="AG150" t="s">
        <v>1210</v>
      </c>
      <c r="AH150" t="s">
        <v>1210</v>
      </c>
    </row>
    <row r="151" spans="1:34">
      <c r="A151" t="s">
        <v>642</v>
      </c>
      <c r="B151" t="s">
        <v>1006</v>
      </c>
      <c r="C151" t="s">
        <v>255</v>
      </c>
      <c r="D151" t="s">
        <v>256</v>
      </c>
      <c r="E151" t="s">
        <v>1210</v>
      </c>
      <c r="F151" t="s">
        <v>645</v>
      </c>
      <c r="G151" t="s">
        <v>864</v>
      </c>
      <c r="H151" t="s">
        <v>646</v>
      </c>
      <c r="I151" t="s">
        <v>279</v>
      </c>
      <c r="J151" t="s">
        <v>1210</v>
      </c>
      <c r="K151">
        <v>1</v>
      </c>
      <c r="L151">
        <v>1</v>
      </c>
      <c r="M151" t="s">
        <v>38</v>
      </c>
      <c r="N151">
        <v>1</v>
      </c>
      <c r="O151">
        <v>1</v>
      </c>
      <c r="P151">
        <v>1</v>
      </c>
      <c r="Q151" t="s">
        <v>46</v>
      </c>
      <c r="R151">
        <v>1</v>
      </c>
      <c r="S151">
        <v>0</v>
      </c>
      <c r="T151" t="s">
        <v>1210</v>
      </c>
      <c r="U151" t="s">
        <v>1210</v>
      </c>
      <c r="V151" t="s">
        <v>1210</v>
      </c>
      <c r="W151" t="s">
        <v>1210</v>
      </c>
      <c r="X151">
        <v>0</v>
      </c>
      <c r="Y151" t="s">
        <v>1210</v>
      </c>
      <c r="Z151">
        <v>0</v>
      </c>
      <c r="AA151" t="s">
        <v>1210</v>
      </c>
      <c r="AB151" t="s">
        <v>1210</v>
      </c>
      <c r="AC151" t="s">
        <v>1210</v>
      </c>
      <c r="AD151" t="s">
        <v>1210</v>
      </c>
      <c r="AE151">
        <v>0</v>
      </c>
      <c r="AF151" t="s">
        <v>1210</v>
      </c>
      <c r="AG151" t="s">
        <v>1210</v>
      </c>
      <c r="AH151" t="s">
        <v>1210</v>
      </c>
    </row>
    <row r="152" spans="1:34">
      <c r="A152" t="s">
        <v>647</v>
      </c>
      <c r="B152" t="s">
        <v>615</v>
      </c>
      <c r="C152" t="s">
        <v>255</v>
      </c>
      <c r="D152" t="s">
        <v>533</v>
      </c>
      <c r="E152" t="s">
        <v>648</v>
      </c>
      <c r="F152" t="s">
        <v>649</v>
      </c>
      <c r="G152" t="s">
        <v>984</v>
      </c>
      <c r="H152" t="s">
        <v>650</v>
      </c>
      <c r="I152" t="s">
        <v>260</v>
      </c>
      <c r="J152" t="s">
        <v>1210</v>
      </c>
      <c r="K152">
        <v>1</v>
      </c>
      <c r="L152">
        <v>1</v>
      </c>
      <c r="M152" t="s">
        <v>38</v>
      </c>
      <c r="N152" t="s">
        <v>1210</v>
      </c>
      <c r="O152" t="s">
        <v>1210</v>
      </c>
      <c r="P152">
        <v>0</v>
      </c>
      <c r="Q152" t="s">
        <v>1210</v>
      </c>
      <c r="R152">
        <v>0</v>
      </c>
      <c r="S152">
        <v>0</v>
      </c>
      <c r="T152" t="s">
        <v>1210</v>
      </c>
      <c r="U152" t="s">
        <v>1210</v>
      </c>
      <c r="V152" t="s">
        <v>1210</v>
      </c>
      <c r="W152" t="s">
        <v>1210</v>
      </c>
      <c r="X152">
        <v>0</v>
      </c>
      <c r="Y152" t="s">
        <v>1210</v>
      </c>
      <c r="Z152">
        <v>0</v>
      </c>
      <c r="AA152" t="s">
        <v>1210</v>
      </c>
      <c r="AB152" t="s">
        <v>1210</v>
      </c>
      <c r="AC152" t="s">
        <v>1210</v>
      </c>
      <c r="AD152" t="s">
        <v>1210</v>
      </c>
      <c r="AE152">
        <v>0</v>
      </c>
      <c r="AF152" t="s">
        <v>1210</v>
      </c>
      <c r="AG152" t="s">
        <v>1210</v>
      </c>
      <c r="AH152" t="s">
        <v>1210</v>
      </c>
    </row>
    <row r="153" spans="1:34">
      <c r="A153" t="s">
        <v>651</v>
      </c>
      <c r="B153" t="s">
        <v>1050</v>
      </c>
      <c r="C153" t="s">
        <v>255</v>
      </c>
      <c r="D153" t="s">
        <v>533</v>
      </c>
      <c r="E153" t="s">
        <v>1210</v>
      </c>
      <c r="F153" t="s">
        <v>652</v>
      </c>
      <c r="G153" t="s">
        <v>984</v>
      </c>
      <c r="H153" t="s">
        <v>653</v>
      </c>
      <c r="I153" t="s">
        <v>260</v>
      </c>
      <c r="J153" t="s">
        <v>1210</v>
      </c>
      <c r="K153">
        <v>1</v>
      </c>
      <c r="L153">
        <v>1</v>
      </c>
      <c r="M153" t="s">
        <v>38</v>
      </c>
      <c r="N153" t="s">
        <v>1210</v>
      </c>
      <c r="O153" t="s">
        <v>1210</v>
      </c>
      <c r="P153">
        <v>0</v>
      </c>
      <c r="Q153" t="s">
        <v>1210</v>
      </c>
      <c r="R153">
        <v>0</v>
      </c>
      <c r="S153">
        <v>0</v>
      </c>
      <c r="T153" t="s">
        <v>1210</v>
      </c>
      <c r="U153" t="s">
        <v>1210</v>
      </c>
      <c r="V153" t="s">
        <v>1210</v>
      </c>
      <c r="W153" t="s">
        <v>1210</v>
      </c>
      <c r="X153">
        <v>0</v>
      </c>
      <c r="Y153" t="s">
        <v>1210</v>
      </c>
      <c r="Z153">
        <v>0</v>
      </c>
      <c r="AA153" t="s">
        <v>1210</v>
      </c>
      <c r="AB153" t="s">
        <v>1210</v>
      </c>
      <c r="AC153" t="s">
        <v>1210</v>
      </c>
      <c r="AD153" t="s">
        <v>1210</v>
      </c>
      <c r="AE153">
        <v>0</v>
      </c>
      <c r="AF153" t="s">
        <v>1210</v>
      </c>
      <c r="AG153" t="s">
        <v>1210</v>
      </c>
      <c r="AH153" t="s">
        <v>1210</v>
      </c>
    </row>
    <row r="154" spans="1:34">
      <c r="A154" t="s">
        <v>654</v>
      </c>
      <c r="B154" t="s">
        <v>1051</v>
      </c>
      <c r="C154" t="s">
        <v>255</v>
      </c>
      <c r="D154" t="s">
        <v>533</v>
      </c>
      <c r="E154" t="s">
        <v>1210</v>
      </c>
      <c r="F154" t="s">
        <v>655</v>
      </c>
      <c r="G154" t="s">
        <v>984</v>
      </c>
      <c r="H154" t="s">
        <v>656</v>
      </c>
      <c r="I154" t="s">
        <v>260</v>
      </c>
      <c r="J154" t="s">
        <v>1210</v>
      </c>
      <c r="K154">
        <v>1</v>
      </c>
      <c r="L154">
        <v>1</v>
      </c>
      <c r="M154" t="s">
        <v>38</v>
      </c>
      <c r="N154" t="s">
        <v>1210</v>
      </c>
      <c r="O154" t="s">
        <v>1210</v>
      </c>
      <c r="P154">
        <v>0</v>
      </c>
      <c r="Q154" t="s">
        <v>1210</v>
      </c>
      <c r="R154">
        <v>0</v>
      </c>
      <c r="S154">
        <v>0</v>
      </c>
      <c r="T154" t="s">
        <v>1210</v>
      </c>
      <c r="U154" t="s">
        <v>1210</v>
      </c>
      <c r="V154" t="s">
        <v>1210</v>
      </c>
      <c r="W154" t="s">
        <v>1210</v>
      </c>
      <c r="X154">
        <v>0</v>
      </c>
      <c r="Y154" t="s">
        <v>1210</v>
      </c>
      <c r="Z154">
        <v>0</v>
      </c>
      <c r="AA154" t="s">
        <v>1210</v>
      </c>
      <c r="AB154" t="s">
        <v>1210</v>
      </c>
      <c r="AC154" t="s">
        <v>1210</v>
      </c>
      <c r="AD154" t="s">
        <v>1210</v>
      </c>
      <c r="AE154">
        <v>0</v>
      </c>
      <c r="AF154" t="s">
        <v>1210</v>
      </c>
      <c r="AG154" t="s">
        <v>1210</v>
      </c>
      <c r="AH154" t="s">
        <v>1210</v>
      </c>
    </row>
    <row r="155" spans="1:34">
      <c r="A155" t="s">
        <v>657</v>
      </c>
      <c r="B155" t="s">
        <v>1049</v>
      </c>
      <c r="C155" t="s">
        <v>255</v>
      </c>
      <c r="D155" t="s">
        <v>256</v>
      </c>
      <c r="E155" t="s">
        <v>658</v>
      </c>
      <c r="F155" t="s">
        <v>649</v>
      </c>
      <c r="G155" t="s">
        <v>984</v>
      </c>
      <c r="H155" t="s">
        <v>659</v>
      </c>
      <c r="I155" t="s">
        <v>260</v>
      </c>
      <c r="J155" t="s">
        <v>1210</v>
      </c>
      <c r="K155">
        <v>1</v>
      </c>
      <c r="L155">
        <v>1</v>
      </c>
      <c r="M155" t="s">
        <v>38</v>
      </c>
      <c r="N155" t="s">
        <v>1210</v>
      </c>
      <c r="O155" t="s">
        <v>1210</v>
      </c>
      <c r="P155">
        <v>0</v>
      </c>
      <c r="Q155" t="s">
        <v>1210</v>
      </c>
      <c r="R155">
        <v>0</v>
      </c>
      <c r="S155">
        <v>0</v>
      </c>
      <c r="T155" t="s">
        <v>1210</v>
      </c>
      <c r="U155" t="s">
        <v>1210</v>
      </c>
      <c r="V155" t="s">
        <v>1210</v>
      </c>
      <c r="W155" t="s">
        <v>1210</v>
      </c>
      <c r="X155">
        <v>0</v>
      </c>
      <c r="Y155" t="s">
        <v>1210</v>
      </c>
      <c r="Z155">
        <v>0</v>
      </c>
      <c r="AA155" t="s">
        <v>1210</v>
      </c>
      <c r="AB155" t="s">
        <v>1210</v>
      </c>
      <c r="AC155" t="s">
        <v>1210</v>
      </c>
      <c r="AD155" t="s">
        <v>1210</v>
      </c>
      <c r="AE155">
        <v>0</v>
      </c>
      <c r="AF155" t="s">
        <v>1210</v>
      </c>
      <c r="AG155" t="s">
        <v>1210</v>
      </c>
      <c r="AH155" t="s">
        <v>1210</v>
      </c>
    </row>
    <row r="156" spans="1:34">
      <c r="A156" t="s">
        <v>660</v>
      </c>
      <c r="B156" t="s">
        <v>661</v>
      </c>
      <c r="C156" t="s">
        <v>255</v>
      </c>
      <c r="D156" t="s">
        <v>256</v>
      </c>
      <c r="E156" t="s">
        <v>662</v>
      </c>
      <c r="F156" t="s">
        <v>663</v>
      </c>
      <c r="G156" t="s">
        <v>864</v>
      </c>
      <c r="H156" t="s">
        <v>664</v>
      </c>
      <c r="I156" t="s">
        <v>279</v>
      </c>
      <c r="J156" t="s">
        <v>1210</v>
      </c>
      <c r="K156">
        <v>1</v>
      </c>
      <c r="L156">
        <v>1</v>
      </c>
      <c r="M156" t="s">
        <v>38</v>
      </c>
      <c r="N156">
        <v>1</v>
      </c>
      <c r="O156">
        <v>1</v>
      </c>
      <c r="P156">
        <v>1</v>
      </c>
      <c r="Q156" t="s">
        <v>280</v>
      </c>
      <c r="R156">
        <v>1</v>
      </c>
      <c r="S156">
        <v>1</v>
      </c>
      <c r="T156">
        <v>1</v>
      </c>
      <c r="U156" t="s">
        <v>1210</v>
      </c>
      <c r="V156" t="s">
        <v>1210</v>
      </c>
      <c r="W156" t="s">
        <v>1210</v>
      </c>
      <c r="X156">
        <v>1</v>
      </c>
      <c r="Y156" t="s">
        <v>1210</v>
      </c>
      <c r="Z156">
        <v>0</v>
      </c>
      <c r="AA156" t="s">
        <v>1210</v>
      </c>
      <c r="AB156" t="s">
        <v>1210</v>
      </c>
      <c r="AC156" t="s">
        <v>1210</v>
      </c>
      <c r="AD156" t="s">
        <v>1210</v>
      </c>
      <c r="AE156">
        <v>0</v>
      </c>
      <c r="AF156" t="s">
        <v>1210</v>
      </c>
      <c r="AG156" t="s">
        <v>1210</v>
      </c>
      <c r="AH156" t="s">
        <v>1210</v>
      </c>
    </row>
    <row r="157" spans="1:34">
      <c r="A157" t="s">
        <v>660</v>
      </c>
      <c r="B157" t="s">
        <v>661</v>
      </c>
      <c r="C157" t="s">
        <v>255</v>
      </c>
      <c r="D157" t="s">
        <v>256</v>
      </c>
      <c r="E157" t="s">
        <v>1210</v>
      </c>
      <c r="F157" t="s">
        <v>665</v>
      </c>
      <c r="G157" t="s">
        <v>864</v>
      </c>
      <c r="H157" t="s">
        <v>666</v>
      </c>
      <c r="I157" t="s">
        <v>279</v>
      </c>
      <c r="J157" t="s">
        <v>1210</v>
      </c>
      <c r="K157">
        <v>1</v>
      </c>
      <c r="L157">
        <v>1</v>
      </c>
      <c r="M157" t="s">
        <v>38</v>
      </c>
      <c r="N157">
        <v>1</v>
      </c>
      <c r="O157">
        <v>1</v>
      </c>
      <c r="P157">
        <v>1</v>
      </c>
      <c r="Q157" t="s">
        <v>280</v>
      </c>
      <c r="R157">
        <v>1</v>
      </c>
      <c r="S157">
        <v>1</v>
      </c>
      <c r="T157">
        <v>1</v>
      </c>
      <c r="U157" t="s">
        <v>1210</v>
      </c>
      <c r="V157" t="s">
        <v>1210</v>
      </c>
      <c r="W157" t="s">
        <v>1210</v>
      </c>
      <c r="X157">
        <v>1</v>
      </c>
      <c r="Y157" t="s">
        <v>1210</v>
      </c>
      <c r="Z157">
        <v>0</v>
      </c>
      <c r="AA157" t="s">
        <v>1210</v>
      </c>
      <c r="AB157" t="s">
        <v>1210</v>
      </c>
      <c r="AC157" t="s">
        <v>1210</v>
      </c>
      <c r="AD157" t="s">
        <v>1210</v>
      </c>
      <c r="AE157">
        <v>0</v>
      </c>
      <c r="AF157" t="s">
        <v>1210</v>
      </c>
      <c r="AG157" t="s">
        <v>1210</v>
      </c>
      <c r="AH157" t="s">
        <v>1210</v>
      </c>
    </row>
    <row r="158" spans="1:34">
      <c r="A158" t="s">
        <v>660</v>
      </c>
      <c r="B158" t="s">
        <v>661</v>
      </c>
      <c r="C158" t="s">
        <v>255</v>
      </c>
      <c r="D158" t="s">
        <v>256</v>
      </c>
      <c r="E158" t="s">
        <v>1210</v>
      </c>
      <c r="F158" t="s">
        <v>667</v>
      </c>
      <c r="G158" t="s">
        <v>864</v>
      </c>
      <c r="H158" t="s">
        <v>668</v>
      </c>
      <c r="I158" t="s">
        <v>279</v>
      </c>
      <c r="J158" t="s">
        <v>1210</v>
      </c>
      <c r="K158">
        <v>1</v>
      </c>
      <c r="L158">
        <v>1</v>
      </c>
      <c r="M158" t="s">
        <v>38</v>
      </c>
      <c r="N158">
        <v>1</v>
      </c>
      <c r="O158">
        <v>1</v>
      </c>
      <c r="P158">
        <v>1</v>
      </c>
      <c r="Q158" t="s">
        <v>280</v>
      </c>
      <c r="R158">
        <v>1</v>
      </c>
      <c r="S158">
        <v>1</v>
      </c>
      <c r="T158">
        <v>1</v>
      </c>
      <c r="U158" t="s">
        <v>1210</v>
      </c>
      <c r="V158" t="s">
        <v>1210</v>
      </c>
      <c r="W158" t="s">
        <v>1210</v>
      </c>
      <c r="X158">
        <v>1</v>
      </c>
      <c r="Y158" t="s">
        <v>1210</v>
      </c>
      <c r="Z158">
        <v>0</v>
      </c>
      <c r="AA158" t="s">
        <v>1210</v>
      </c>
      <c r="AB158" t="s">
        <v>1210</v>
      </c>
      <c r="AC158" t="s">
        <v>1210</v>
      </c>
      <c r="AD158" t="s">
        <v>1210</v>
      </c>
      <c r="AE158">
        <v>0</v>
      </c>
      <c r="AF158" t="s">
        <v>1210</v>
      </c>
      <c r="AG158" t="s">
        <v>1210</v>
      </c>
      <c r="AH158" t="s">
        <v>1210</v>
      </c>
    </row>
    <row r="159" spans="1:34">
      <c r="A159" t="s">
        <v>660</v>
      </c>
      <c r="B159" t="s">
        <v>661</v>
      </c>
      <c r="C159" t="s">
        <v>255</v>
      </c>
      <c r="D159" t="s">
        <v>256</v>
      </c>
      <c r="E159" t="s">
        <v>1210</v>
      </c>
      <c r="F159" t="s">
        <v>669</v>
      </c>
      <c r="G159" t="s">
        <v>864</v>
      </c>
      <c r="H159" t="s">
        <v>670</v>
      </c>
      <c r="I159" t="s">
        <v>279</v>
      </c>
      <c r="J159" t="s">
        <v>1210</v>
      </c>
      <c r="K159">
        <v>1</v>
      </c>
      <c r="L159">
        <v>1</v>
      </c>
      <c r="M159" t="s">
        <v>38</v>
      </c>
      <c r="N159">
        <v>1</v>
      </c>
      <c r="O159">
        <v>1</v>
      </c>
      <c r="P159">
        <v>1</v>
      </c>
      <c r="Q159" t="s">
        <v>280</v>
      </c>
      <c r="R159">
        <v>1</v>
      </c>
      <c r="S159">
        <v>1</v>
      </c>
      <c r="T159">
        <v>1</v>
      </c>
      <c r="U159" t="s">
        <v>1210</v>
      </c>
      <c r="V159" t="s">
        <v>1210</v>
      </c>
      <c r="W159" t="s">
        <v>1210</v>
      </c>
      <c r="X159">
        <v>1</v>
      </c>
      <c r="Y159" t="s">
        <v>1210</v>
      </c>
      <c r="Z159">
        <v>0</v>
      </c>
      <c r="AA159" t="s">
        <v>1210</v>
      </c>
      <c r="AB159" t="s">
        <v>1210</v>
      </c>
      <c r="AC159" t="s">
        <v>1210</v>
      </c>
      <c r="AD159" t="s">
        <v>1210</v>
      </c>
      <c r="AE159">
        <v>0</v>
      </c>
      <c r="AF159" t="s">
        <v>1210</v>
      </c>
      <c r="AG159" t="s">
        <v>1210</v>
      </c>
      <c r="AH159" t="s">
        <v>1210</v>
      </c>
    </row>
    <row r="160" spans="1:34">
      <c r="A160" t="s">
        <v>633</v>
      </c>
      <c r="B160" t="s">
        <v>634</v>
      </c>
      <c r="C160" t="s">
        <v>255</v>
      </c>
      <c r="D160" t="s">
        <v>256</v>
      </c>
      <c r="E160" t="s">
        <v>671</v>
      </c>
      <c r="F160" t="s">
        <v>672</v>
      </c>
      <c r="G160" t="s">
        <v>864</v>
      </c>
      <c r="H160" t="s">
        <v>1211</v>
      </c>
      <c r="I160" t="s">
        <v>260</v>
      </c>
      <c r="J160" t="s">
        <v>1210</v>
      </c>
      <c r="K160">
        <v>1</v>
      </c>
      <c r="L160">
        <v>1</v>
      </c>
      <c r="M160" t="s">
        <v>33</v>
      </c>
      <c r="N160">
        <v>1</v>
      </c>
      <c r="O160">
        <v>1</v>
      </c>
      <c r="P160">
        <v>1</v>
      </c>
      <c r="Q160" t="s">
        <v>280</v>
      </c>
      <c r="R160">
        <v>1</v>
      </c>
      <c r="S160">
        <v>1</v>
      </c>
      <c r="T160">
        <v>1</v>
      </c>
      <c r="U160" t="s">
        <v>1210</v>
      </c>
      <c r="V160" t="s">
        <v>1210</v>
      </c>
      <c r="W160" t="s">
        <v>1210</v>
      </c>
      <c r="X160">
        <v>1</v>
      </c>
      <c r="Y160" t="s">
        <v>1210</v>
      </c>
      <c r="Z160">
        <v>0</v>
      </c>
      <c r="AA160" t="s">
        <v>1210</v>
      </c>
      <c r="AB160" t="s">
        <v>1210</v>
      </c>
      <c r="AC160" t="s">
        <v>1210</v>
      </c>
      <c r="AD160" t="s">
        <v>1210</v>
      </c>
      <c r="AE160">
        <v>0</v>
      </c>
      <c r="AF160" t="s">
        <v>1210</v>
      </c>
      <c r="AG160" t="s">
        <v>1210</v>
      </c>
      <c r="AH160" t="s">
        <v>1210</v>
      </c>
    </row>
    <row r="161" spans="1:34">
      <c r="A161" t="s">
        <v>673</v>
      </c>
      <c r="B161" t="s">
        <v>485</v>
      </c>
      <c r="C161" t="s">
        <v>255</v>
      </c>
      <c r="D161" t="s">
        <v>256</v>
      </c>
      <c r="E161" t="s">
        <v>674</v>
      </c>
      <c r="F161" t="s">
        <v>675</v>
      </c>
      <c r="G161" t="s">
        <v>864</v>
      </c>
      <c r="H161" t="s">
        <v>676</v>
      </c>
      <c r="I161" t="s">
        <v>260</v>
      </c>
      <c r="J161" t="s">
        <v>1210</v>
      </c>
      <c r="K161">
        <v>1</v>
      </c>
      <c r="L161">
        <v>1</v>
      </c>
      <c r="M161" t="s">
        <v>33</v>
      </c>
      <c r="N161">
        <v>1</v>
      </c>
      <c r="O161">
        <v>1</v>
      </c>
      <c r="P161">
        <v>1</v>
      </c>
      <c r="Q161" t="s">
        <v>46</v>
      </c>
      <c r="R161">
        <v>1</v>
      </c>
      <c r="S161">
        <v>0</v>
      </c>
      <c r="T161" t="s">
        <v>1210</v>
      </c>
      <c r="U161" t="s">
        <v>1210</v>
      </c>
      <c r="V161" t="s">
        <v>1210</v>
      </c>
      <c r="W161" t="s">
        <v>1210</v>
      </c>
      <c r="X161">
        <v>0</v>
      </c>
      <c r="Y161" t="s">
        <v>1210</v>
      </c>
      <c r="Z161">
        <v>0</v>
      </c>
      <c r="AA161" t="s">
        <v>1210</v>
      </c>
      <c r="AB161" t="s">
        <v>1210</v>
      </c>
      <c r="AC161" t="s">
        <v>1210</v>
      </c>
      <c r="AD161" t="s">
        <v>1210</v>
      </c>
      <c r="AE161">
        <v>0</v>
      </c>
      <c r="AF161" t="s">
        <v>1210</v>
      </c>
      <c r="AG161" t="s">
        <v>1210</v>
      </c>
      <c r="AH161" t="s">
        <v>1210</v>
      </c>
    </row>
    <row r="162" spans="1:34">
      <c r="A162" t="s">
        <v>673</v>
      </c>
      <c r="B162" t="s">
        <v>485</v>
      </c>
      <c r="C162" t="s">
        <v>255</v>
      </c>
      <c r="D162" t="s">
        <v>256</v>
      </c>
      <c r="E162" t="s">
        <v>1210</v>
      </c>
      <c r="F162" t="s">
        <v>677</v>
      </c>
      <c r="G162" t="s">
        <v>864</v>
      </c>
      <c r="H162" t="s">
        <v>678</v>
      </c>
      <c r="I162" t="s">
        <v>260</v>
      </c>
      <c r="J162" t="s">
        <v>1210</v>
      </c>
      <c r="K162">
        <v>1</v>
      </c>
      <c r="L162">
        <v>1</v>
      </c>
      <c r="M162" t="s">
        <v>33</v>
      </c>
      <c r="N162">
        <v>1</v>
      </c>
      <c r="O162">
        <v>1</v>
      </c>
      <c r="P162">
        <v>1</v>
      </c>
      <c r="Q162" t="s">
        <v>46</v>
      </c>
      <c r="R162">
        <v>1</v>
      </c>
      <c r="S162">
        <v>0</v>
      </c>
      <c r="T162" t="s">
        <v>1210</v>
      </c>
      <c r="U162" t="s">
        <v>1210</v>
      </c>
      <c r="V162" t="s">
        <v>1210</v>
      </c>
      <c r="W162" t="s">
        <v>1210</v>
      </c>
      <c r="X162">
        <v>0</v>
      </c>
      <c r="Y162" t="s">
        <v>1210</v>
      </c>
      <c r="Z162">
        <v>0</v>
      </c>
      <c r="AA162" t="s">
        <v>1210</v>
      </c>
      <c r="AB162" t="s">
        <v>1210</v>
      </c>
      <c r="AC162" t="s">
        <v>1210</v>
      </c>
      <c r="AD162" t="s">
        <v>1210</v>
      </c>
      <c r="AE162">
        <v>0</v>
      </c>
      <c r="AF162" t="s">
        <v>1210</v>
      </c>
      <c r="AG162" t="s">
        <v>1210</v>
      </c>
      <c r="AH162" t="s">
        <v>1210</v>
      </c>
    </row>
    <row r="163" spans="1:34">
      <c r="A163" t="s">
        <v>679</v>
      </c>
      <c r="B163" t="s">
        <v>680</v>
      </c>
      <c r="C163" t="s">
        <v>255</v>
      </c>
      <c r="D163" t="s">
        <v>256</v>
      </c>
      <c r="E163" t="s">
        <v>681</v>
      </c>
      <c r="F163" t="s">
        <v>682</v>
      </c>
      <c r="G163" t="s">
        <v>864</v>
      </c>
      <c r="H163" t="s">
        <v>683</v>
      </c>
      <c r="I163" t="s">
        <v>260</v>
      </c>
      <c r="J163" t="s">
        <v>1210</v>
      </c>
      <c r="K163">
        <v>1</v>
      </c>
      <c r="L163">
        <v>1</v>
      </c>
      <c r="M163" t="s">
        <v>33</v>
      </c>
      <c r="N163">
        <v>1</v>
      </c>
      <c r="O163">
        <v>1</v>
      </c>
      <c r="P163">
        <v>1</v>
      </c>
      <c r="Q163" t="s">
        <v>280</v>
      </c>
      <c r="R163">
        <v>1</v>
      </c>
      <c r="S163">
        <v>0</v>
      </c>
      <c r="T163" t="s">
        <v>1210</v>
      </c>
      <c r="U163" t="s">
        <v>1210</v>
      </c>
      <c r="V163" t="s">
        <v>1210</v>
      </c>
      <c r="W163" t="s">
        <v>1210</v>
      </c>
      <c r="X163">
        <v>0</v>
      </c>
      <c r="Y163" t="s">
        <v>1210</v>
      </c>
      <c r="Z163">
        <v>0</v>
      </c>
      <c r="AA163" t="s">
        <v>1210</v>
      </c>
      <c r="AB163" t="s">
        <v>1210</v>
      </c>
      <c r="AC163" t="s">
        <v>1210</v>
      </c>
      <c r="AD163" t="s">
        <v>1210</v>
      </c>
      <c r="AE163">
        <v>0</v>
      </c>
      <c r="AF163" t="s">
        <v>1210</v>
      </c>
      <c r="AG163" t="s">
        <v>1210</v>
      </c>
      <c r="AH163" t="s">
        <v>1210</v>
      </c>
    </row>
    <row r="164" spans="1:34">
      <c r="A164" t="s">
        <v>679</v>
      </c>
      <c r="B164" t="s">
        <v>680</v>
      </c>
      <c r="C164" t="s">
        <v>255</v>
      </c>
      <c r="D164" t="s">
        <v>256</v>
      </c>
      <c r="E164" t="s">
        <v>1210</v>
      </c>
      <c r="F164" t="s">
        <v>684</v>
      </c>
      <c r="G164" t="s">
        <v>864</v>
      </c>
      <c r="H164" t="s">
        <v>685</v>
      </c>
      <c r="I164" t="s">
        <v>260</v>
      </c>
      <c r="J164" t="s">
        <v>1210</v>
      </c>
      <c r="K164">
        <v>1</v>
      </c>
      <c r="L164">
        <v>1</v>
      </c>
      <c r="M164" t="s">
        <v>33</v>
      </c>
      <c r="N164">
        <v>1</v>
      </c>
      <c r="O164">
        <v>1</v>
      </c>
      <c r="P164">
        <v>1</v>
      </c>
      <c r="Q164" t="s">
        <v>280</v>
      </c>
      <c r="R164">
        <v>1</v>
      </c>
      <c r="S164">
        <v>0</v>
      </c>
      <c r="T164" t="s">
        <v>1210</v>
      </c>
      <c r="U164" t="s">
        <v>1210</v>
      </c>
      <c r="V164" t="s">
        <v>1210</v>
      </c>
      <c r="W164" t="s">
        <v>1210</v>
      </c>
      <c r="X164">
        <v>0</v>
      </c>
      <c r="Y164" t="s">
        <v>1210</v>
      </c>
      <c r="Z164">
        <v>0</v>
      </c>
      <c r="AA164" t="s">
        <v>1210</v>
      </c>
      <c r="AB164" t="s">
        <v>1210</v>
      </c>
      <c r="AC164" t="s">
        <v>1210</v>
      </c>
      <c r="AD164" t="s">
        <v>1210</v>
      </c>
      <c r="AE164">
        <v>0</v>
      </c>
      <c r="AF164" t="s">
        <v>1210</v>
      </c>
      <c r="AG164" t="s">
        <v>1210</v>
      </c>
      <c r="AH164" t="s">
        <v>1210</v>
      </c>
    </row>
    <row r="165" spans="1:34" ht="21.6" customHeight="1">
      <c r="A165" t="s">
        <v>686</v>
      </c>
      <c r="B165" t="s">
        <v>687</v>
      </c>
      <c r="C165" t="s">
        <v>255</v>
      </c>
      <c r="D165" t="s">
        <v>256</v>
      </c>
      <c r="E165" t="s">
        <v>687</v>
      </c>
      <c r="F165" t="s">
        <v>688</v>
      </c>
      <c r="G165" t="s">
        <v>864</v>
      </c>
      <c r="H165" t="s">
        <v>689</v>
      </c>
      <c r="I165" t="s">
        <v>260</v>
      </c>
      <c r="J165" t="s">
        <v>1210</v>
      </c>
      <c r="K165">
        <v>1</v>
      </c>
      <c r="L165">
        <v>1</v>
      </c>
      <c r="M165" t="s">
        <v>33</v>
      </c>
      <c r="N165">
        <v>1</v>
      </c>
      <c r="O165">
        <v>1</v>
      </c>
      <c r="P165">
        <v>1</v>
      </c>
      <c r="Q165" t="s">
        <v>47</v>
      </c>
      <c r="R165">
        <v>1</v>
      </c>
      <c r="S165">
        <v>0</v>
      </c>
      <c r="T165" t="s">
        <v>1210</v>
      </c>
      <c r="U165" t="s">
        <v>1210</v>
      </c>
      <c r="V165" t="s">
        <v>1210</v>
      </c>
      <c r="W165" t="s">
        <v>1210</v>
      </c>
      <c r="X165">
        <v>0</v>
      </c>
      <c r="Y165" t="s">
        <v>1210</v>
      </c>
      <c r="Z165">
        <v>0</v>
      </c>
      <c r="AA165" t="s">
        <v>1210</v>
      </c>
      <c r="AB165" t="s">
        <v>1210</v>
      </c>
      <c r="AC165" t="s">
        <v>1210</v>
      </c>
      <c r="AD165" t="s">
        <v>1210</v>
      </c>
      <c r="AE165">
        <v>0</v>
      </c>
      <c r="AF165" t="s">
        <v>1210</v>
      </c>
      <c r="AG165" t="s">
        <v>1210</v>
      </c>
      <c r="AH165" t="s">
        <v>1210</v>
      </c>
    </row>
    <row r="166" spans="1:34" ht="21.6" customHeight="1">
      <c r="A166" t="s">
        <v>690</v>
      </c>
      <c r="B166" t="s">
        <v>691</v>
      </c>
      <c r="C166" t="s">
        <v>255</v>
      </c>
      <c r="D166" t="s">
        <v>533</v>
      </c>
      <c r="E166" t="s">
        <v>691</v>
      </c>
      <c r="F166" t="s">
        <v>692</v>
      </c>
      <c r="G166" t="s">
        <v>864</v>
      </c>
      <c r="H166" t="s">
        <v>693</v>
      </c>
      <c r="I166" t="s">
        <v>260</v>
      </c>
      <c r="J166" t="s">
        <v>1210</v>
      </c>
      <c r="K166">
        <v>1</v>
      </c>
      <c r="L166">
        <v>1</v>
      </c>
      <c r="M166" t="s">
        <v>33</v>
      </c>
      <c r="N166">
        <v>1</v>
      </c>
      <c r="O166">
        <v>1</v>
      </c>
      <c r="P166">
        <v>1</v>
      </c>
      <c r="Q166" t="s">
        <v>47</v>
      </c>
      <c r="R166">
        <v>1</v>
      </c>
      <c r="S166">
        <v>0</v>
      </c>
      <c r="T166" t="s">
        <v>1210</v>
      </c>
      <c r="U166" t="s">
        <v>1210</v>
      </c>
      <c r="V166" t="s">
        <v>1210</v>
      </c>
      <c r="W166" t="s">
        <v>1210</v>
      </c>
      <c r="X166">
        <v>0</v>
      </c>
      <c r="Y166" t="s">
        <v>1210</v>
      </c>
      <c r="Z166">
        <v>0</v>
      </c>
      <c r="AA166" t="s">
        <v>1210</v>
      </c>
      <c r="AB166" t="s">
        <v>1210</v>
      </c>
      <c r="AC166" t="s">
        <v>1210</v>
      </c>
      <c r="AD166" t="s">
        <v>1210</v>
      </c>
      <c r="AE166">
        <v>0</v>
      </c>
      <c r="AF166" t="s">
        <v>1210</v>
      </c>
      <c r="AG166" t="s">
        <v>1210</v>
      </c>
      <c r="AH166" t="s">
        <v>1210</v>
      </c>
    </row>
    <row r="167" spans="1:34">
      <c r="A167" t="s">
        <v>694</v>
      </c>
      <c r="B167" t="s">
        <v>1046</v>
      </c>
      <c r="C167" t="s">
        <v>255</v>
      </c>
      <c r="D167" t="s">
        <v>533</v>
      </c>
      <c r="E167" t="s">
        <v>695</v>
      </c>
      <c r="F167" t="s">
        <v>695</v>
      </c>
      <c r="G167" t="s">
        <v>864</v>
      </c>
      <c r="H167" t="s">
        <v>696</v>
      </c>
      <c r="I167" t="s">
        <v>260</v>
      </c>
      <c r="J167" t="s">
        <v>1210</v>
      </c>
      <c r="K167">
        <v>1</v>
      </c>
      <c r="L167">
        <v>1</v>
      </c>
      <c r="M167" t="s">
        <v>38</v>
      </c>
      <c r="N167">
        <v>1</v>
      </c>
      <c r="O167">
        <v>1</v>
      </c>
      <c r="P167">
        <v>1</v>
      </c>
      <c r="Q167" t="s">
        <v>46</v>
      </c>
      <c r="R167">
        <v>1</v>
      </c>
      <c r="S167">
        <v>0</v>
      </c>
      <c r="T167" t="s">
        <v>1210</v>
      </c>
      <c r="U167" t="s">
        <v>1210</v>
      </c>
      <c r="V167" t="s">
        <v>1210</v>
      </c>
      <c r="W167" t="s">
        <v>1210</v>
      </c>
      <c r="X167">
        <v>0</v>
      </c>
      <c r="Y167" t="s">
        <v>1210</v>
      </c>
      <c r="Z167">
        <v>0</v>
      </c>
      <c r="AA167" t="s">
        <v>1210</v>
      </c>
      <c r="AB167" t="s">
        <v>1210</v>
      </c>
      <c r="AC167" t="s">
        <v>1210</v>
      </c>
      <c r="AD167" t="s">
        <v>1210</v>
      </c>
      <c r="AE167">
        <v>0</v>
      </c>
      <c r="AF167" t="s">
        <v>1210</v>
      </c>
      <c r="AG167" t="s">
        <v>1210</v>
      </c>
      <c r="AH167" t="s">
        <v>1210</v>
      </c>
    </row>
    <row r="168" spans="1:34">
      <c r="A168" t="s">
        <v>544</v>
      </c>
      <c r="B168" t="s">
        <v>1017</v>
      </c>
      <c r="C168" t="s">
        <v>255</v>
      </c>
      <c r="D168" t="s">
        <v>533</v>
      </c>
      <c r="E168" t="s">
        <v>698</v>
      </c>
      <c r="F168" t="s">
        <v>699</v>
      </c>
      <c r="G168" t="s">
        <v>864</v>
      </c>
      <c r="H168" t="s">
        <v>700</v>
      </c>
      <c r="I168" t="s">
        <v>279</v>
      </c>
      <c r="J168" t="s">
        <v>1210</v>
      </c>
      <c r="K168">
        <v>1</v>
      </c>
      <c r="L168">
        <v>1</v>
      </c>
      <c r="M168" t="s">
        <v>38</v>
      </c>
      <c r="N168">
        <v>1</v>
      </c>
      <c r="O168">
        <v>1</v>
      </c>
      <c r="P168">
        <v>1</v>
      </c>
      <c r="Q168" t="s">
        <v>46</v>
      </c>
      <c r="R168">
        <v>1</v>
      </c>
      <c r="S168">
        <v>0</v>
      </c>
      <c r="T168" t="s">
        <v>1210</v>
      </c>
      <c r="U168" t="s">
        <v>1210</v>
      </c>
      <c r="V168" t="s">
        <v>1210</v>
      </c>
      <c r="W168" t="s">
        <v>1210</v>
      </c>
      <c r="X168">
        <v>0</v>
      </c>
      <c r="Y168" t="s">
        <v>1210</v>
      </c>
      <c r="Z168">
        <v>0</v>
      </c>
      <c r="AA168" t="s">
        <v>1210</v>
      </c>
      <c r="AB168" t="s">
        <v>1210</v>
      </c>
      <c r="AC168" t="s">
        <v>1210</v>
      </c>
      <c r="AD168" t="s">
        <v>1210</v>
      </c>
      <c r="AE168">
        <v>0</v>
      </c>
      <c r="AF168" t="s">
        <v>1210</v>
      </c>
      <c r="AG168" t="s">
        <v>1210</v>
      </c>
      <c r="AH168" t="s">
        <v>1210</v>
      </c>
    </row>
    <row r="169" spans="1:34">
      <c r="A169" t="s">
        <v>701</v>
      </c>
      <c r="B169" t="s">
        <v>1040</v>
      </c>
      <c r="C169" t="s">
        <v>255</v>
      </c>
      <c r="D169" t="s">
        <v>533</v>
      </c>
      <c r="E169" t="s">
        <v>1210</v>
      </c>
      <c r="F169" t="s">
        <v>702</v>
      </c>
      <c r="G169" t="s">
        <v>945</v>
      </c>
      <c r="H169" t="s">
        <v>703</v>
      </c>
      <c r="I169" t="s">
        <v>279</v>
      </c>
      <c r="J169" t="s">
        <v>1210</v>
      </c>
      <c r="K169">
        <v>1</v>
      </c>
      <c r="L169">
        <v>1</v>
      </c>
      <c r="M169" t="s">
        <v>38</v>
      </c>
      <c r="N169">
        <v>1</v>
      </c>
      <c r="O169">
        <v>1</v>
      </c>
      <c r="P169">
        <v>1</v>
      </c>
      <c r="Q169" t="s">
        <v>1210</v>
      </c>
      <c r="R169">
        <v>0</v>
      </c>
      <c r="S169">
        <v>0</v>
      </c>
      <c r="T169" t="s">
        <v>1210</v>
      </c>
      <c r="U169" t="s">
        <v>1210</v>
      </c>
      <c r="V169" t="s">
        <v>1210</v>
      </c>
      <c r="W169" t="s">
        <v>1210</v>
      </c>
      <c r="X169">
        <v>0</v>
      </c>
      <c r="Y169" t="s">
        <v>1210</v>
      </c>
      <c r="Z169">
        <v>0</v>
      </c>
      <c r="AA169" t="s">
        <v>1210</v>
      </c>
      <c r="AB169" t="s">
        <v>1210</v>
      </c>
      <c r="AC169" t="s">
        <v>1210</v>
      </c>
      <c r="AD169" t="s">
        <v>1210</v>
      </c>
      <c r="AE169">
        <v>0</v>
      </c>
      <c r="AF169" t="s">
        <v>1210</v>
      </c>
      <c r="AG169" t="s">
        <v>1210</v>
      </c>
      <c r="AH169" t="s">
        <v>1210</v>
      </c>
    </row>
    <row r="170" spans="1:34">
      <c r="A170" t="s">
        <v>701</v>
      </c>
      <c r="B170" t="s">
        <v>1040</v>
      </c>
      <c r="C170" t="s">
        <v>255</v>
      </c>
      <c r="D170" t="s">
        <v>533</v>
      </c>
      <c r="E170" t="s">
        <v>1210</v>
      </c>
      <c r="F170" t="s">
        <v>704</v>
      </c>
      <c r="G170" t="s">
        <v>945</v>
      </c>
      <c r="H170" t="s">
        <v>705</v>
      </c>
      <c r="I170" t="s">
        <v>279</v>
      </c>
      <c r="J170" t="s">
        <v>1210</v>
      </c>
      <c r="K170">
        <v>1</v>
      </c>
      <c r="L170">
        <v>1</v>
      </c>
      <c r="M170" t="s">
        <v>38</v>
      </c>
      <c r="N170">
        <v>1</v>
      </c>
      <c r="O170">
        <v>1</v>
      </c>
      <c r="P170">
        <v>1</v>
      </c>
      <c r="Q170" t="s">
        <v>1210</v>
      </c>
      <c r="R170">
        <v>0</v>
      </c>
      <c r="S170">
        <v>0</v>
      </c>
      <c r="T170" t="s">
        <v>1210</v>
      </c>
      <c r="U170" t="s">
        <v>1210</v>
      </c>
      <c r="V170" t="s">
        <v>1210</v>
      </c>
      <c r="W170" t="s">
        <v>1210</v>
      </c>
      <c r="X170">
        <v>0</v>
      </c>
      <c r="Y170" t="s">
        <v>1210</v>
      </c>
      <c r="Z170">
        <v>0</v>
      </c>
      <c r="AA170" t="s">
        <v>1210</v>
      </c>
      <c r="AB170" t="s">
        <v>1210</v>
      </c>
      <c r="AC170" t="s">
        <v>1210</v>
      </c>
      <c r="AD170" t="s">
        <v>1210</v>
      </c>
      <c r="AE170">
        <v>0</v>
      </c>
      <c r="AF170" t="s">
        <v>1210</v>
      </c>
      <c r="AG170" t="s">
        <v>1210</v>
      </c>
      <c r="AH170" t="s">
        <v>1210</v>
      </c>
    </row>
    <row r="171" spans="1:34">
      <c r="A171" t="s">
        <v>706</v>
      </c>
      <c r="B171" t="s">
        <v>1014</v>
      </c>
      <c r="C171" t="s">
        <v>255</v>
      </c>
      <c r="D171" t="s">
        <v>533</v>
      </c>
      <c r="E171" t="s">
        <v>1210</v>
      </c>
      <c r="F171" t="s">
        <v>707</v>
      </c>
      <c r="G171" t="s">
        <v>864</v>
      </c>
      <c r="H171" t="s">
        <v>708</v>
      </c>
      <c r="I171" t="s">
        <v>279</v>
      </c>
      <c r="J171" t="s">
        <v>1210</v>
      </c>
      <c r="K171">
        <v>1</v>
      </c>
      <c r="L171">
        <v>1</v>
      </c>
      <c r="M171" t="s">
        <v>38</v>
      </c>
      <c r="N171">
        <v>1</v>
      </c>
      <c r="O171">
        <v>1</v>
      </c>
      <c r="P171">
        <v>1</v>
      </c>
      <c r="Q171" t="s">
        <v>1210</v>
      </c>
      <c r="R171">
        <v>0</v>
      </c>
      <c r="S171">
        <v>0</v>
      </c>
      <c r="T171" t="s">
        <v>1210</v>
      </c>
      <c r="U171" t="s">
        <v>1210</v>
      </c>
      <c r="V171" t="s">
        <v>1210</v>
      </c>
      <c r="W171" t="s">
        <v>1210</v>
      </c>
      <c r="X171">
        <v>0</v>
      </c>
      <c r="Y171" t="s">
        <v>1210</v>
      </c>
      <c r="Z171">
        <v>0</v>
      </c>
      <c r="AA171" t="s">
        <v>1210</v>
      </c>
      <c r="AB171" t="s">
        <v>1210</v>
      </c>
      <c r="AC171" t="s">
        <v>1210</v>
      </c>
      <c r="AD171" t="s">
        <v>1210</v>
      </c>
      <c r="AE171">
        <v>0</v>
      </c>
      <c r="AF171" t="s">
        <v>1210</v>
      </c>
      <c r="AG171" t="s">
        <v>1210</v>
      </c>
      <c r="AH171" t="s">
        <v>1210</v>
      </c>
    </row>
    <row r="172" spans="1:34">
      <c r="A172" t="s">
        <v>701</v>
      </c>
      <c r="B172" t="s">
        <v>1040</v>
      </c>
      <c r="C172" t="s">
        <v>255</v>
      </c>
      <c r="D172" t="s">
        <v>533</v>
      </c>
      <c r="E172" t="s">
        <v>1210</v>
      </c>
      <c r="F172" t="s">
        <v>709</v>
      </c>
      <c r="G172" t="s">
        <v>945</v>
      </c>
      <c r="H172" t="s">
        <v>710</v>
      </c>
      <c r="I172" t="s">
        <v>279</v>
      </c>
      <c r="J172" t="s">
        <v>1210</v>
      </c>
      <c r="K172">
        <v>1</v>
      </c>
      <c r="L172">
        <v>1</v>
      </c>
      <c r="M172" t="s">
        <v>38</v>
      </c>
      <c r="N172">
        <v>1</v>
      </c>
      <c r="O172">
        <v>1</v>
      </c>
      <c r="P172">
        <v>1</v>
      </c>
      <c r="Q172" t="s">
        <v>1210</v>
      </c>
      <c r="R172">
        <v>0</v>
      </c>
      <c r="S172">
        <v>0</v>
      </c>
      <c r="T172" t="s">
        <v>1210</v>
      </c>
      <c r="U172" t="s">
        <v>1210</v>
      </c>
      <c r="V172" t="s">
        <v>1210</v>
      </c>
      <c r="W172" t="s">
        <v>1210</v>
      </c>
      <c r="X172">
        <v>0</v>
      </c>
      <c r="Y172" t="s">
        <v>1210</v>
      </c>
      <c r="Z172">
        <v>0</v>
      </c>
      <c r="AA172" t="s">
        <v>1210</v>
      </c>
      <c r="AB172" t="s">
        <v>1210</v>
      </c>
      <c r="AC172" t="s">
        <v>1210</v>
      </c>
      <c r="AD172" t="s">
        <v>1210</v>
      </c>
      <c r="AE172">
        <v>0</v>
      </c>
      <c r="AF172" t="s">
        <v>1210</v>
      </c>
      <c r="AG172" t="s">
        <v>1210</v>
      </c>
      <c r="AH172" t="s">
        <v>1210</v>
      </c>
    </row>
    <row r="173" spans="1:34">
      <c r="A173" t="s">
        <v>701</v>
      </c>
      <c r="B173" t="s">
        <v>1040</v>
      </c>
      <c r="C173" t="s">
        <v>255</v>
      </c>
      <c r="D173" t="s">
        <v>533</v>
      </c>
      <c r="E173" t="s">
        <v>1210</v>
      </c>
      <c r="F173" t="s">
        <v>711</v>
      </c>
      <c r="G173" t="s">
        <v>945</v>
      </c>
      <c r="H173" t="s">
        <v>712</v>
      </c>
      <c r="I173" t="s">
        <v>279</v>
      </c>
      <c r="J173" t="s">
        <v>1210</v>
      </c>
      <c r="K173">
        <v>1</v>
      </c>
      <c r="L173">
        <v>1</v>
      </c>
      <c r="M173" t="s">
        <v>38</v>
      </c>
      <c r="N173">
        <v>1</v>
      </c>
      <c r="O173">
        <v>1</v>
      </c>
      <c r="P173">
        <v>1</v>
      </c>
      <c r="Q173" t="s">
        <v>1210</v>
      </c>
      <c r="R173">
        <v>0</v>
      </c>
      <c r="S173">
        <v>0</v>
      </c>
      <c r="T173" t="s">
        <v>1210</v>
      </c>
      <c r="U173" t="s">
        <v>1210</v>
      </c>
      <c r="V173" t="s">
        <v>1210</v>
      </c>
      <c r="W173" t="s">
        <v>1210</v>
      </c>
      <c r="X173">
        <v>0</v>
      </c>
      <c r="Y173" t="s">
        <v>1210</v>
      </c>
      <c r="Z173">
        <v>0</v>
      </c>
      <c r="AA173" t="s">
        <v>1210</v>
      </c>
      <c r="AB173" t="s">
        <v>1210</v>
      </c>
      <c r="AC173" t="s">
        <v>1210</v>
      </c>
      <c r="AD173" t="s">
        <v>1210</v>
      </c>
      <c r="AE173">
        <v>0</v>
      </c>
      <c r="AF173" t="s">
        <v>1210</v>
      </c>
      <c r="AG173" t="s">
        <v>1210</v>
      </c>
      <c r="AH173" t="s">
        <v>1210</v>
      </c>
    </row>
    <row r="174" spans="1:34">
      <c r="A174" t="s">
        <v>701</v>
      </c>
      <c r="B174" t="s">
        <v>1040</v>
      </c>
      <c r="C174" t="s">
        <v>255</v>
      </c>
      <c r="D174" t="s">
        <v>533</v>
      </c>
      <c r="E174" t="s">
        <v>713</v>
      </c>
      <c r="F174" t="s">
        <v>714</v>
      </c>
      <c r="G174" t="s">
        <v>945</v>
      </c>
      <c r="H174" t="s">
        <v>715</v>
      </c>
      <c r="I174" t="s">
        <v>279</v>
      </c>
      <c r="J174" t="s">
        <v>1210</v>
      </c>
      <c r="K174">
        <v>1</v>
      </c>
      <c r="L174">
        <v>1</v>
      </c>
      <c r="M174" t="s">
        <v>38</v>
      </c>
      <c r="N174">
        <v>1</v>
      </c>
      <c r="O174">
        <v>1</v>
      </c>
      <c r="P174">
        <v>1</v>
      </c>
      <c r="Q174" t="s">
        <v>1210</v>
      </c>
      <c r="R174">
        <v>0</v>
      </c>
      <c r="S174">
        <v>0</v>
      </c>
      <c r="T174" t="s">
        <v>1210</v>
      </c>
      <c r="U174" t="s">
        <v>1210</v>
      </c>
      <c r="V174" t="s">
        <v>1210</v>
      </c>
      <c r="W174" t="s">
        <v>1210</v>
      </c>
      <c r="X174">
        <v>0</v>
      </c>
      <c r="Y174" t="s">
        <v>1210</v>
      </c>
      <c r="Z174">
        <v>0</v>
      </c>
      <c r="AA174" t="s">
        <v>1210</v>
      </c>
      <c r="AB174" t="s">
        <v>1210</v>
      </c>
      <c r="AC174" t="s">
        <v>1210</v>
      </c>
      <c r="AD174" t="s">
        <v>1210</v>
      </c>
      <c r="AE174">
        <v>0</v>
      </c>
      <c r="AF174" t="s">
        <v>1210</v>
      </c>
      <c r="AG174" t="s">
        <v>1210</v>
      </c>
      <c r="AH174" t="s">
        <v>1210</v>
      </c>
    </row>
    <row r="175" spans="1:34">
      <c r="A175" t="s">
        <v>716</v>
      </c>
      <c r="B175" t="s">
        <v>1034</v>
      </c>
      <c r="C175" t="s">
        <v>255</v>
      </c>
      <c r="D175" t="s">
        <v>533</v>
      </c>
      <c r="E175" t="s">
        <v>1210</v>
      </c>
      <c r="F175" t="s">
        <v>717</v>
      </c>
      <c r="G175" t="s">
        <v>864</v>
      </c>
      <c r="H175" t="s">
        <v>718</v>
      </c>
      <c r="I175" t="s">
        <v>279</v>
      </c>
      <c r="J175" t="s">
        <v>1210</v>
      </c>
      <c r="K175">
        <v>1</v>
      </c>
      <c r="L175">
        <v>1</v>
      </c>
      <c r="M175" t="s">
        <v>38</v>
      </c>
      <c r="N175">
        <v>1</v>
      </c>
      <c r="O175">
        <v>1</v>
      </c>
      <c r="P175">
        <v>1</v>
      </c>
      <c r="Q175" t="s">
        <v>1210</v>
      </c>
      <c r="R175">
        <v>0</v>
      </c>
      <c r="S175">
        <v>0</v>
      </c>
      <c r="T175" t="s">
        <v>1210</v>
      </c>
      <c r="U175" t="s">
        <v>1210</v>
      </c>
      <c r="V175" t="s">
        <v>1210</v>
      </c>
      <c r="W175" t="s">
        <v>1210</v>
      </c>
      <c r="X175">
        <v>0</v>
      </c>
      <c r="Y175" t="s">
        <v>1210</v>
      </c>
      <c r="Z175">
        <v>0</v>
      </c>
      <c r="AA175" t="s">
        <v>1210</v>
      </c>
      <c r="AB175" t="s">
        <v>1210</v>
      </c>
      <c r="AC175" t="s">
        <v>1210</v>
      </c>
      <c r="AD175" t="s">
        <v>1210</v>
      </c>
      <c r="AE175">
        <v>0</v>
      </c>
      <c r="AF175" t="s">
        <v>1210</v>
      </c>
      <c r="AG175" t="s">
        <v>1210</v>
      </c>
      <c r="AH175" t="s">
        <v>1210</v>
      </c>
    </row>
    <row r="176" spans="1:34">
      <c r="A176" t="s">
        <v>716</v>
      </c>
      <c r="B176" t="s">
        <v>1034</v>
      </c>
      <c r="C176" t="s">
        <v>255</v>
      </c>
      <c r="D176" t="s">
        <v>533</v>
      </c>
      <c r="E176" t="s">
        <v>1210</v>
      </c>
      <c r="F176" t="s">
        <v>719</v>
      </c>
      <c r="G176" t="s">
        <v>864</v>
      </c>
      <c r="H176" t="s">
        <v>720</v>
      </c>
      <c r="I176" t="s">
        <v>279</v>
      </c>
      <c r="J176" t="s">
        <v>1210</v>
      </c>
      <c r="K176">
        <v>1</v>
      </c>
      <c r="L176">
        <v>1</v>
      </c>
      <c r="M176" t="s">
        <v>38</v>
      </c>
      <c r="N176">
        <v>1</v>
      </c>
      <c r="O176">
        <v>1</v>
      </c>
      <c r="P176">
        <v>1</v>
      </c>
      <c r="Q176" t="s">
        <v>1210</v>
      </c>
      <c r="R176">
        <v>0</v>
      </c>
      <c r="S176">
        <v>0</v>
      </c>
      <c r="T176" t="s">
        <v>1210</v>
      </c>
      <c r="U176" t="s">
        <v>1210</v>
      </c>
      <c r="V176" t="s">
        <v>1210</v>
      </c>
      <c r="W176" t="s">
        <v>1210</v>
      </c>
      <c r="X176">
        <v>0</v>
      </c>
      <c r="Y176" t="s">
        <v>1210</v>
      </c>
      <c r="Z176">
        <v>0</v>
      </c>
      <c r="AA176" t="s">
        <v>1210</v>
      </c>
      <c r="AB176" t="s">
        <v>1210</v>
      </c>
      <c r="AC176" t="s">
        <v>1210</v>
      </c>
      <c r="AD176" t="s">
        <v>1210</v>
      </c>
      <c r="AE176">
        <v>0</v>
      </c>
      <c r="AF176" t="s">
        <v>1210</v>
      </c>
      <c r="AG176" t="s">
        <v>1210</v>
      </c>
      <c r="AH176" t="s">
        <v>1210</v>
      </c>
    </row>
    <row r="177" spans="1:34">
      <c r="A177" t="s">
        <v>706</v>
      </c>
      <c r="B177" t="s">
        <v>1014</v>
      </c>
      <c r="C177" t="s">
        <v>255</v>
      </c>
      <c r="D177" t="s">
        <v>533</v>
      </c>
      <c r="E177" t="s">
        <v>1210</v>
      </c>
      <c r="F177" t="s">
        <v>721</v>
      </c>
      <c r="G177" t="s">
        <v>864</v>
      </c>
      <c r="H177" t="s">
        <v>722</v>
      </c>
      <c r="I177" t="s">
        <v>279</v>
      </c>
      <c r="J177" t="s">
        <v>1210</v>
      </c>
      <c r="K177">
        <v>1</v>
      </c>
      <c r="L177">
        <v>1</v>
      </c>
      <c r="M177" t="s">
        <v>38</v>
      </c>
      <c r="N177">
        <v>1</v>
      </c>
      <c r="O177">
        <v>1</v>
      </c>
      <c r="P177">
        <v>1</v>
      </c>
      <c r="Q177" t="s">
        <v>1210</v>
      </c>
      <c r="R177">
        <v>0</v>
      </c>
      <c r="S177">
        <v>0</v>
      </c>
      <c r="T177" t="s">
        <v>1210</v>
      </c>
      <c r="U177" t="s">
        <v>1210</v>
      </c>
      <c r="V177" t="s">
        <v>1210</v>
      </c>
      <c r="W177" t="s">
        <v>1210</v>
      </c>
      <c r="X177">
        <v>0</v>
      </c>
      <c r="Y177" t="s">
        <v>1210</v>
      </c>
      <c r="Z177">
        <v>0</v>
      </c>
      <c r="AA177" t="s">
        <v>1210</v>
      </c>
      <c r="AB177" t="s">
        <v>1210</v>
      </c>
      <c r="AC177" t="s">
        <v>1210</v>
      </c>
      <c r="AD177" t="s">
        <v>1210</v>
      </c>
      <c r="AE177">
        <v>0</v>
      </c>
      <c r="AF177" t="s">
        <v>1210</v>
      </c>
      <c r="AG177" t="s">
        <v>1210</v>
      </c>
      <c r="AH177" t="s">
        <v>1210</v>
      </c>
    </row>
    <row r="178" spans="1:34">
      <c r="A178" t="s">
        <v>701</v>
      </c>
      <c r="B178" t="s">
        <v>1040</v>
      </c>
      <c r="C178" t="s">
        <v>255</v>
      </c>
      <c r="D178" t="s">
        <v>533</v>
      </c>
      <c r="E178" t="s">
        <v>1210</v>
      </c>
      <c r="F178" t="s">
        <v>723</v>
      </c>
      <c r="G178" t="s">
        <v>945</v>
      </c>
      <c r="H178" t="s">
        <v>724</v>
      </c>
      <c r="I178" t="s">
        <v>279</v>
      </c>
      <c r="J178" t="s">
        <v>1210</v>
      </c>
      <c r="K178">
        <v>1</v>
      </c>
      <c r="L178">
        <v>1</v>
      </c>
      <c r="M178" t="s">
        <v>38</v>
      </c>
      <c r="N178">
        <v>1</v>
      </c>
      <c r="O178">
        <v>1</v>
      </c>
      <c r="P178">
        <v>1</v>
      </c>
      <c r="Q178" t="s">
        <v>1210</v>
      </c>
      <c r="R178">
        <v>0</v>
      </c>
      <c r="S178">
        <v>0</v>
      </c>
      <c r="T178" t="s">
        <v>1210</v>
      </c>
      <c r="U178" t="s">
        <v>1210</v>
      </c>
      <c r="V178" t="s">
        <v>1210</v>
      </c>
      <c r="W178" t="s">
        <v>1210</v>
      </c>
      <c r="X178">
        <v>0</v>
      </c>
      <c r="Y178" t="s">
        <v>1210</v>
      </c>
      <c r="Z178">
        <v>0</v>
      </c>
      <c r="AA178" t="s">
        <v>1210</v>
      </c>
      <c r="AB178" t="s">
        <v>1210</v>
      </c>
      <c r="AC178" t="s">
        <v>1210</v>
      </c>
      <c r="AD178" t="s">
        <v>1210</v>
      </c>
      <c r="AE178">
        <v>0</v>
      </c>
      <c r="AF178" t="s">
        <v>1210</v>
      </c>
      <c r="AG178" t="s">
        <v>1210</v>
      </c>
      <c r="AH178" t="s">
        <v>1210</v>
      </c>
    </row>
    <row r="179" spans="1:34">
      <c r="A179" t="s">
        <v>701</v>
      </c>
      <c r="B179" t="s">
        <v>1040</v>
      </c>
      <c r="C179" t="s">
        <v>255</v>
      </c>
      <c r="D179" t="s">
        <v>533</v>
      </c>
      <c r="E179" t="s">
        <v>1210</v>
      </c>
      <c r="F179" t="s">
        <v>725</v>
      </c>
      <c r="G179" t="s">
        <v>945</v>
      </c>
      <c r="H179" t="s">
        <v>726</v>
      </c>
      <c r="I179" t="s">
        <v>279</v>
      </c>
      <c r="J179" t="s">
        <v>1210</v>
      </c>
      <c r="K179">
        <v>1</v>
      </c>
      <c r="L179">
        <v>1</v>
      </c>
      <c r="M179" t="s">
        <v>38</v>
      </c>
      <c r="N179">
        <v>1</v>
      </c>
      <c r="O179">
        <v>1</v>
      </c>
      <c r="P179">
        <v>1</v>
      </c>
      <c r="Q179" t="s">
        <v>1210</v>
      </c>
      <c r="R179">
        <v>0</v>
      </c>
      <c r="S179">
        <v>0</v>
      </c>
      <c r="T179" t="s">
        <v>1210</v>
      </c>
      <c r="U179" t="s">
        <v>1210</v>
      </c>
      <c r="V179" t="s">
        <v>1210</v>
      </c>
      <c r="W179" t="s">
        <v>1210</v>
      </c>
      <c r="X179">
        <v>0</v>
      </c>
      <c r="Y179" t="s">
        <v>1210</v>
      </c>
      <c r="Z179">
        <v>0</v>
      </c>
      <c r="AA179" t="s">
        <v>1210</v>
      </c>
      <c r="AB179" t="s">
        <v>1210</v>
      </c>
      <c r="AC179" t="s">
        <v>1210</v>
      </c>
      <c r="AD179" t="s">
        <v>1210</v>
      </c>
      <c r="AE179">
        <v>0</v>
      </c>
      <c r="AF179" t="s">
        <v>1210</v>
      </c>
      <c r="AG179" t="s">
        <v>1210</v>
      </c>
      <c r="AH179" t="s">
        <v>1210</v>
      </c>
    </row>
    <row r="180" spans="1:34">
      <c r="A180" t="s">
        <v>701</v>
      </c>
      <c r="B180" t="s">
        <v>1040</v>
      </c>
      <c r="C180" t="s">
        <v>255</v>
      </c>
      <c r="D180" t="s">
        <v>533</v>
      </c>
      <c r="E180" t="s">
        <v>1210</v>
      </c>
      <c r="F180" t="s">
        <v>727</v>
      </c>
      <c r="G180" t="s">
        <v>945</v>
      </c>
      <c r="H180" t="s">
        <v>728</v>
      </c>
      <c r="I180" t="s">
        <v>279</v>
      </c>
      <c r="J180" t="s">
        <v>1210</v>
      </c>
      <c r="K180">
        <v>1</v>
      </c>
      <c r="L180">
        <v>1</v>
      </c>
      <c r="M180" t="s">
        <v>38</v>
      </c>
      <c r="N180">
        <v>1</v>
      </c>
      <c r="O180">
        <v>1</v>
      </c>
      <c r="P180">
        <v>1</v>
      </c>
      <c r="Q180" t="s">
        <v>1210</v>
      </c>
      <c r="R180">
        <v>0</v>
      </c>
      <c r="S180">
        <v>0</v>
      </c>
      <c r="T180" t="s">
        <v>1210</v>
      </c>
      <c r="U180" t="s">
        <v>1210</v>
      </c>
      <c r="V180" t="s">
        <v>1210</v>
      </c>
      <c r="W180" t="s">
        <v>1210</v>
      </c>
      <c r="X180">
        <v>0</v>
      </c>
      <c r="Y180" t="s">
        <v>1210</v>
      </c>
      <c r="Z180">
        <v>0</v>
      </c>
      <c r="AA180" t="s">
        <v>1210</v>
      </c>
      <c r="AB180" t="s">
        <v>1210</v>
      </c>
      <c r="AC180" t="s">
        <v>1210</v>
      </c>
      <c r="AD180" t="s">
        <v>1210</v>
      </c>
      <c r="AE180">
        <v>0</v>
      </c>
      <c r="AF180" t="s">
        <v>1210</v>
      </c>
      <c r="AG180" t="s">
        <v>1210</v>
      </c>
      <c r="AH180" t="s">
        <v>1210</v>
      </c>
    </row>
    <row r="181" spans="1:34">
      <c r="A181" t="s">
        <v>706</v>
      </c>
      <c r="B181" t="s">
        <v>1014</v>
      </c>
      <c r="C181" t="s">
        <v>255</v>
      </c>
      <c r="D181" t="s">
        <v>533</v>
      </c>
      <c r="E181" t="s">
        <v>1210</v>
      </c>
      <c r="F181" t="s">
        <v>729</v>
      </c>
      <c r="G181" t="s">
        <v>864</v>
      </c>
      <c r="H181" t="s">
        <v>730</v>
      </c>
      <c r="I181" t="s">
        <v>279</v>
      </c>
      <c r="J181" t="s">
        <v>1210</v>
      </c>
      <c r="K181">
        <v>1</v>
      </c>
      <c r="L181">
        <v>1</v>
      </c>
      <c r="M181" t="s">
        <v>38</v>
      </c>
      <c r="N181">
        <v>1</v>
      </c>
      <c r="O181">
        <v>1</v>
      </c>
      <c r="P181">
        <v>1</v>
      </c>
      <c r="Q181" t="s">
        <v>1210</v>
      </c>
      <c r="R181">
        <v>0</v>
      </c>
      <c r="S181">
        <v>0</v>
      </c>
      <c r="T181" t="s">
        <v>1210</v>
      </c>
      <c r="U181" t="s">
        <v>1210</v>
      </c>
      <c r="V181" t="s">
        <v>1210</v>
      </c>
      <c r="W181" t="s">
        <v>1210</v>
      </c>
      <c r="X181">
        <v>0</v>
      </c>
      <c r="Y181" t="s">
        <v>1210</v>
      </c>
      <c r="Z181">
        <v>0</v>
      </c>
      <c r="AA181" t="s">
        <v>1210</v>
      </c>
      <c r="AB181" t="s">
        <v>1210</v>
      </c>
      <c r="AC181" t="s">
        <v>1210</v>
      </c>
      <c r="AD181" t="s">
        <v>1210</v>
      </c>
      <c r="AE181">
        <v>0</v>
      </c>
      <c r="AF181" t="s">
        <v>1210</v>
      </c>
      <c r="AG181" t="s">
        <v>1210</v>
      </c>
      <c r="AH181" t="s">
        <v>1210</v>
      </c>
    </row>
    <row r="182" spans="1:34">
      <c r="A182" t="s">
        <v>701</v>
      </c>
      <c r="B182" t="s">
        <v>1040</v>
      </c>
      <c r="C182" t="s">
        <v>255</v>
      </c>
      <c r="D182" t="s">
        <v>533</v>
      </c>
      <c r="E182" t="s">
        <v>731</v>
      </c>
      <c r="F182" t="s">
        <v>732</v>
      </c>
      <c r="G182" t="s">
        <v>945</v>
      </c>
      <c r="H182" t="s">
        <v>733</v>
      </c>
      <c r="I182" t="s">
        <v>279</v>
      </c>
      <c r="J182" t="s">
        <v>1210</v>
      </c>
      <c r="K182">
        <v>1</v>
      </c>
      <c r="L182">
        <v>1</v>
      </c>
      <c r="M182" t="s">
        <v>38</v>
      </c>
      <c r="N182">
        <v>1</v>
      </c>
      <c r="O182">
        <v>1</v>
      </c>
      <c r="P182">
        <v>1</v>
      </c>
      <c r="Q182" t="s">
        <v>46</v>
      </c>
      <c r="R182">
        <v>1</v>
      </c>
      <c r="S182">
        <v>0</v>
      </c>
      <c r="T182" t="s">
        <v>1210</v>
      </c>
      <c r="U182" t="s">
        <v>1210</v>
      </c>
      <c r="V182" t="s">
        <v>1210</v>
      </c>
      <c r="W182" t="s">
        <v>1210</v>
      </c>
      <c r="X182">
        <v>0</v>
      </c>
      <c r="Y182" t="s">
        <v>1210</v>
      </c>
      <c r="Z182">
        <v>0</v>
      </c>
      <c r="AA182" t="s">
        <v>1210</v>
      </c>
      <c r="AB182" t="s">
        <v>1210</v>
      </c>
      <c r="AC182" t="s">
        <v>1210</v>
      </c>
      <c r="AD182" t="s">
        <v>1210</v>
      </c>
      <c r="AE182">
        <v>0</v>
      </c>
      <c r="AF182" t="s">
        <v>1210</v>
      </c>
      <c r="AG182" t="s">
        <v>1210</v>
      </c>
      <c r="AH182" t="s">
        <v>1210</v>
      </c>
    </row>
    <row r="183" spans="1:34">
      <c r="A183" t="s">
        <v>701</v>
      </c>
      <c r="B183" t="s">
        <v>1040</v>
      </c>
      <c r="C183" t="s">
        <v>255</v>
      </c>
      <c r="D183" t="s">
        <v>533</v>
      </c>
      <c r="E183" t="s">
        <v>1210</v>
      </c>
      <c r="F183" t="s">
        <v>734</v>
      </c>
      <c r="G183" t="s">
        <v>945</v>
      </c>
      <c r="H183" t="s">
        <v>735</v>
      </c>
      <c r="I183" t="s">
        <v>279</v>
      </c>
      <c r="J183" t="s">
        <v>1210</v>
      </c>
      <c r="K183">
        <v>1</v>
      </c>
      <c r="L183">
        <v>1</v>
      </c>
      <c r="M183" t="s">
        <v>38</v>
      </c>
      <c r="N183">
        <v>1</v>
      </c>
      <c r="O183">
        <v>1</v>
      </c>
      <c r="P183">
        <v>1</v>
      </c>
      <c r="Q183" t="s">
        <v>1210</v>
      </c>
      <c r="R183">
        <v>0</v>
      </c>
      <c r="S183">
        <v>0</v>
      </c>
      <c r="T183" t="s">
        <v>1210</v>
      </c>
      <c r="U183" t="s">
        <v>1210</v>
      </c>
      <c r="V183" t="s">
        <v>1210</v>
      </c>
      <c r="W183" t="s">
        <v>1210</v>
      </c>
      <c r="X183">
        <v>0</v>
      </c>
      <c r="Y183" t="s">
        <v>1210</v>
      </c>
      <c r="Z183">
        <v>0</v>
      </c>
      <c r="AA183" t="s">
        <v>1210</v>
      </c>
      <c r="AB183" t="s">
        <v>1210</v>
      </c>
      <c r="AC183" t="s">
        <v>1210</v>
      </c>
      <c r="AD183" t="s">
        <v>1210</v>
      </c>
      <c r="AE183">
        <v>0</v>
      </c>
      <c r="AF183" t="s">
        <v>1210</v>
      </c>
      <c r="AG183" t="s">
        <v>1210</v>
      </c>
      <c r="AH183" t="s">
        <v>1210</v>
      </c>
    </row>
    <row r="184" spans="1:34">
      <c r="A184" t="s">
        <v>701</v>
      </c>
      <c r="B184" t="s">
        <v>1040</v>
      </c>
      <c r="C184" t="s">
        <v>255</v>
      </c>
      <c r="D184" t="s">
        <v>533</v>
      </c>
      <c r="E184" t="s">
        <v>1210</v>
      </c>
      <c r="F184" t="s">
        <v>736</v>
      </c>
      <c r="G184" t="s">
        <v>945</v>
      </c>
      <c r="H184" t="s">
        <v>737</v>
      </c>
      <c r="I184" t="s">
        <v>279</v>
      </c>
      <c r="J184" t="s">
        <v>1210</v>
      </c>
      <c r="K184">
        <v>1</v>
      </c>
      <c r="L184">
        <v>1</v>
      </c>
      <c r="M184" t="s">
        <v>38</v>
      </c>
      <c r="N184">
        <v>1</v>
      </c>
      <c r="O184">
        <v>1</v>
      </c>
      <c r="P184">
        <v>1</v>
      </c>
      <c r="Q184" t="s">
        <v>1210</v>
      </c>
      <c r="R184">
        <v>0</v>
      </c>
      <c r="S184">
        <v>0</v>
      </c>
      <c r="T184" t="s">
        <v>1210</v>
      </c>
      <c r="U184" t="s">
        <v>1210</v>
      </c>
      <c r="V184" t="s">
        <v>1210</v>
      </c>
      <c r="W184" t="s">
        <v>1210</v>
      </c>
      <c r="X184">
        <v>0</v>
      </c>
      <c r="Y184" t="s">
        <v>1210</v>
      </c>
      <c r="Z184">
        <v>0</v>
      </c>
      <c r="AA184" t="s">
        <v>1210</v>
      </c>
      <c r="AB184" t="s">
        <v>1210</v>
      </c>
      <c r="AC184" t="s">
        <v>1210</v>
      </c>
      <c r="AD184" t="s">
        <v>1210</v>
      </c>
      <c r="AE184">
        <v>0</v>
      </c>
      <c r="AF184" t="s">
        <v>1210</v>
      </c>
      <c r="AG184" t="s">
        <v>1210</v>
      </c>
      <c r="AH184" t="s">
        <v>1210</v>
      </c>
    </row>
    <row r="185" spans="1:34">
      <c r="A185" t="s">
        <v>738</v>
      </c>
      <c r="B185" t="s">
        <v>1020</v>
      </c>
      <c r="C185" t="s">
        <v>255</v>
      </c>
      <c r="D185" t="s">
        <v>533</v>
      </c>
      <c r="E185" t="s">
        <v>1210</v>
      </c>
      <c r="F185" t="s">
        <v>739</v>
      </c>
      <c r="G185" t="s">
        <v>864</v>
      </c>
      <c r="H185" t="s">
        <v>740</v>
      </c>
      <c r="I185" t="s">
        <v>279</v>
      </c>
      <c r="J185" t="s">
        <v>1210</v>
      </c>
      <c r="K185">
        <v>1</v>
      </c>
      <c r="L185">
        <v>1</v>
      </c>
      <c r="M185" t="s">
        <v>38</v>
      </c>
      <c r="N185">
        <v>1</v>
      </c>
      <c r="O185">
        <v>1</v>
      </c>
      <c r="P185">
        <v>1</v>
      </c>
      <c r="Q185" t="s">
        <v>1210</v>
      </c>
      <c r="R185">
        <v>0</v>
      </c>
      <c r="S185">
        <v>0</v>
      </c>
      <c r="T185" t="s">
        <v>1210</v>
      </c>
      <c r="U185" t="s">
        <v>1210</v>
      </c>
      <c r="V185" t="s">
        <v>1210</v>
      </c>
      <c r="W185" t="s">
        <v>1210</v>
      </c>
      <c r="X185">
        <v>0</v>
      </c>
      <c r="Y185" t="s">
        <v>1210</v>
      </c>
      <c r="Z185">
        <v>0</v>
      </c>
      <c r="AA185" t="s">
        <v>1210</v>
      </c>
      <c r="AB185" t="s">
        <v>1210</v>
      </c>
      <c r="AC185" t="s">
        <v>1210</v>
      </c>
      <c r="AD185" t="s">
        <v>1210</v>
      </c>
      <c r="AE185">
        <v>0</v>
      </c>
      <c r="AF185" t="s">
        <v>1210</v>
      </c>
      <c r="AG185" t="s">
        <v>1210</v>
      </c>
      <c r="AH185" t="s">
        <v>1210</v>
      </c>
    </row>
    <row r="186" spans="1:34">
      <c r="A186" t="s">
        <v>738</v>
      </c>
      <c r="B186" t="s">
        <v>1020</v>
      </c>
      <c r="C186" t="s">
        <v>255</v>
      </c>
      <c r="D186" t="s">
        <v>533</v>
      </c>
      <c r="E186" t="s">
        <v>1210</v>
      </c>
      <c r="F186" t="s">
        <v>741</v>
      </c>
      <c r="G186" t="s">
        <v>864</v>
      </c>
      <c r="H186" t="s">
        <v>742</v>
      </c>
      <c r="I186" t="s">
        <v>279</v>
      </c>
      <c r="J186" t="s">
        <v>1210</v>
      </c>
      <c r="K186">
        <v>1</v>
      </c>
      <c r="L186">
        <v>1</v>
      </c>
      <c r="M186" t="s">
        <v>38</v>
      </c>
      <c r="N186">
        <v>1</v>
      </c>
      <c r="O186">
        <v>1</v>
      </c>
      <c r="P186">
        <v>1</v>
      </c>
      <c r="Q186" t="s">
        <v>1210</v>
      </c>
      <c r="R186">
        <v>0</v>
      </c>
      <c r="S186">
        <v>0</v>
      </c>
      <c r="T186" t="s">
        <v>1210</v>
      </c>
      <c r="U186" t="s">
        <v>1210</v>
      </c>
      <c r="V186" t="s">
        <v>1210</v>
      </c>
      <c r="W186" t="s">
        <v>1210</v>
      </c>
      <c r="X186">
        <v>0</v>
      </c>
      <c r="Y186" t="s">
        <v>1210</v>
      </c>
      <c r="Z186">
        <v>0</v>
      </c>
      <c r="AA186" t="s">
        <v>1210</v>
      </c>
      <c r="AB186" t="s">
        <v>1210</v>
      </c>
      <c r="AC186" t="s">
        <v>1210</v>
      </c>
      <c r="AD186" t="s">
        <v>1210</v>
      </c>
      <c r="AE186">
        <v>0</v>
      </c>
      <c r="AF186" t="s">
        <v>1210</v>
      </c>
      <c r="AG186" t="s">
        <v>1210</v>
      </c>
      <c r="AH186" t="s">
        <v>1210</v>
      </c>
    </row>
    <row r="187" spans="1:34">
      <c r="A187" t="s">
        <v>738</v>
      </c>
      <c r="B187" t="s">
        <v>1020</v>
      </c>
      <c r="C187" t="s">
        <v>255</v>
      </c>
      <c r="D187" t="s">
        <v>533</v>
      </c>
      <c r="E187" t="s">
        <v>1210</v>
      </c>
      <c r="F187" t="s">
        <v>743</v>
      </c>
      <c r="G187" t="s">
        <v>864</v>
      </c>
      <c r="H187" t="s">
        <v>744</v>
      </c>
      <c r="I187" t="s">
        <v>279</v>
      </c>
      <c r="J187" t="s">
        <v>1210</v>
      </c>
      <c r="K187">
        <v>1</v>
      </c>
      <c r="L187">
        <v>1</v>
      </c>
      <c r="M187" t="s">
        <v>38</v>
      </c>
      <c r="N187">
        <v>1</v>
      </c>
      <c r="O187">
        <v>1</v>
      </c>
      <c r="P187">
        <v>1</v>
      </c>
      <c r="Q187" t="s">
        <v>1210</v>
      </c>
      <c r="R187">
        <v>0</v>
      </c>
      <c r="S187">
        <v>0</v>
      </c>
      <c r="T187" t="s">
        <v>1210</v>
      </c>
      <c r="U187" t="s">
        <v>1210</v>
      </c>
      <c r="V187" t="s">
        <v>1210</v>
      </c>
      <c r="W187" t="s">
        <v>1210</v>
      </c>
      <c r="X187">
        <v>0</v>
      </c>
      <c r="Y187" t="s">
        <v>1210</v>
      </c>
      <c r="Z187">
        <v>0</v>
      </c>
      <c r="AA187" t="s">
        <v>1210</v>
      </c>
      <c r="AB187" t="s">
        <v>1210</v>
      </c>
      <c r="AC187" t="s">
        <v>1210</v>
      </c>
      <c r="AD187" t="s">
        <v>1210</v>
      </c>
      <c r="AE187">
        <v>0</v>
      </c>
      <c r="AF187" t="s">
        <v>1210</v>
      </c>
      <c r="AG187" t="s">
        <v>1210</v>
      </c>
      <c r="AH187" t="s">
        <v>1210</v>
      </c>
    </row>
    <row r="188" spans="1:34">
      <c r="A188" t="s">
        <v>745</v>
      </c>
      <c r="B188" t="s">
        <v>1039</v>
      </c>
      <c r="C188" t="s">
        <v>255</v>
      </c>
      <c r="D188" t="s">
        <v>533</v>
      </c>
      <c r="E188" t="s">
        <v>1210</v>
      </c>
      <c r="F188" t="s">
        <v>746</v>
      </c>
      <c r="G188" t="s">
        <v>945</v>
      </c>
      <c r="H188" t="s">
        <v>747</v>
      </c>
      <c r="I188" t="s">
        <v>279</v>
      </c>
      <c r="J188" t="s">
        <v>1210</v>
      </c>
      <c r="K188">
        <v>1</v>
      </c>
      <c r="L188">
        <v>1</v>
      </c>
      <c r="M188" t="s">
        <v>38</v>
      </c>
      <c r="N188">
        <v>1</v>
      </c>
      <c r="O188">
        <v>1</v>
      </c>
      <c r="P188">
        <v>1</v>
      </c>
      <c r="Q188" t="s">
        <v>1210</v>
      </c>
      <c r="R188">
        <v>0</v>
      </c>
      <c r="S188">
        <v>0</v>
      </c>
      <c r="T188" t="s">
        <v>1210</v>
      </c>
      <c r="U188" t="s">
        <v>1210</v>
      </c>
      <c r="V188" t="s">
        <v>1210</v>
      </c>
      <c r="W188" t="s">
        <v>1210</v>
      </c>
      <c r="X188">
        <v>0</v>
      </c>
      <c r="Y188" t="s">
        <v>1210</v>
      </c>
      <c r="Z188">
        <v>0</v>
      </c>
      <c r="AA188" t="s">
        <v>1210</v>
      </c>
      <c r="AB188" t="s">
        <v>1210</v>
      </c>
      <c r="AC188" t="s">
        <v>1210</v>
      </c>
      <c r="AD188" t="s">
        <v>1210</v>
      </c>
      <c r="AE188">
        <v>0</v>
      </c>
      <c r="AF188" t="s">
        <v>1210</v>
      </c>
      <c r="AG188" t="s">
        <v>1210</v>
      </c>
      <c r="AH188" t="s">
        <v>1210</v>
      </c>
    </row>
    <row r="189" spans="1:34">
      <c r="A189" t="s">
        <v>745</v>
      </c>
      <c r="B189" t="s">
        <v>1039</v>
      </c>
      <c r="C189" t="s">
        <v>255</v>
      </c>
      <c r="D189" t="s">
        <v>533</v>
      </c>
      <c r="E189" t="s">
        <v>1210</v>
      </c>
      <c r="F189" t="s">
        <v>748</v>
      </c>
      <c r="G189" t="s">
        <v>945</v>
      </c>
      <c r="H189" t="s">
        <v>749</v>
      </c>
      <c r="I189" t="s">
        <v>279</v>
      </c>
      <c r="J189" t="s">
        <v>1210</v>
      </c>
      <c r="K189">
        <v>1</v>
      </c>
      <c r="L189">
        <v>1</v>
      </c>
      <c r="M189" t="s">
        <v>38</v>
      </c>
      <c r="N189">
        <v>1</v>
      </c>
      <c r="O189">
        <v>1</v>
      </c>
      <c r="P189">
        <v>1</v>
      </c>
      <c r="Q189" t="s">
        <v>1210</v>
      </c>
      <c r="R189">
        <v>0</v>
      </c>
      <c r="S189">
        <v>0</v>
      </c>
      <c r="T189" t="s">
        <v>1210</v>
      </c>
      <c r="U189" t="s">
        <v>1210</v>
      </c>
      <c r="V189" t="s">
        <v>1210</v>
      </c>
      <c r="W189" t="s">
        <v>1210</v>
      </c>
      <c r="X189">
        <v>0</v>
      </c>
      <c r="Y189" t="s">
        <v>1210</v>
      </c>
      <c r="Z189">
        <v>0</v>
      </c>
      <c r="AA189" t="s">
        <v>1210</v>
      </c>
      <c r="AB189" t="s">
        <v>1210</v>
      </c>
      <c r="AC189" t="s">
        <v>1210</v>
      </c>
      <c r="AD189" t="s">
        <v>1210</v>
      </c>
      <c r="AE189">
        <v>0</v>
      </c>
      <c r="AF189" t="s">
        <v>1210</v>
      </c>
      <c r="AG189" t="s">
        <v>1210</v>
      </c>
      <c r="AH189" t="s">
        <v>1210</v>
      </c>
    </row>
    <row r="190" spans="1:34">
      <c r="A190" t="s">
        <v>745</v>
      </c>
      <c r="B190" t="s">
        <v>1039</v>
      </c>
      <c r="C190" t="s">
        <v>255</v>
      </c>
      <c r="D190" t="s">
        <v>533</v>
      </c>
      <c r="E190" t="s">
        <v>1210</v>
      </c>
      <c r="F190" t="s">
        <v>750</v>
      </c>
      <c r="G190" t="s">
        <v>945</v>
      </c>
      <c r="H190" t="s">
        <v>751</v>
      </c>
      <c r="I190" t="s">
        <v>279</v>
      </c>
      <c r="J190" t="s">
        <v>1210</v>
      </c>
      <c r="K190">
        <v>1</v>
      </c>
      <c r="L190">
        <v>1</v>
      </c>
      <c r="M190" t="s">
        <v>38</v>
      </c>
      <c r="N190">
        <v>1</v>
      </c>
      <c r="O190">
        <v>1</v>
      </c>
      <c r="P190">
        <v>1</v>
      </c>
      <c r="Q190" t="s">
        <v>1210</v>
      </c>
      <c r="R190">
        <v>0</v>
      </c>
      <c r="S190">
        <v>0</v>
      </c>
      <c r="T190" t="s">
        <v>1210</v>
      </c>
      <c r="U190" t="s">
        <v>1210</v>
      </c>
      <c r="V190" t="s">
        <v>1210</v>
      </c>
      <c r="W190" t="s">
        <v>1210</v>
      </c>
      <c r="X190">
        <v>0</v>
      </c>
      <c r="Y190" t="s">
        <v>1210</v>
      </c>
      <c r="Z190">
        <v>0</v>
      </c>
      <c r="AA190" t="s">
        <v>1210</v>
      </c>
      <c r="AB190" t="s">
        <v>1210</v>
      </c>
      <c r="AC190" t="s">
        <v>1210</v>
      </c>
      <c r="AD190" t="s">
        <v>1210</v>
      </c>
      <c r="AE190">
        <v>0</v>
      </c>
      <c r="AF190" t="s">
        <v>1210</v>
      </c>
      <c r="AG190" t="s">
        <v>1210</v>
      </c>
      <c r="AH190" t="s">
        <v>1210</v>
      </c>
    </row>
    <row r="191" spans="1:34">
      <c r="A191" t="s">
        <v>745</v>
      </c>
      <c r="B191" t="s">
        <v>1039</v>
      </c>
      <c r="C191" t="s">
        <v>255</v>
      </c>
      <c r="D191" t="s">
        <v>533</v>
      </c>
      <c r="E191" t="s">
        <v>1210</v>
      </c>
      <c r="F191" t="s">
        <v>752</v>
      </c>
      <c r="G191" t="s">
        <v>945</v>
      </c>
      <c r="H191" t="s">
        <v>753</v>
      </c>
      <c r="I191" t="s">
        <v>279</v>
      </c>
      <c r="J191" t="s">
        <v>1210</v>
      </c>
      <c r="K191">
        <v>1</v>
      </c>
      <c r="L191">
        <v>1</v>
      </c>
      <c r="M191" t="s">
        <v>38</v>
      </c>
      <c r="N191">
        <v>1</v>
      </c>
      <c r="O191">
        <v>1</v>
      </c>
      <c r="P191">
        <v>1</v>
      </c>
      <c r="Q191" t="s">
        <v>1210</v>
      </c>
      <c r="R191">
        <v>0</v>
      </c>
      <c r="S191">
        <v>0</v>
      </c>
      <c r="T191" t="s">
        <v>1210</v>
      </c>
      <c r="U191" t="s">
        <v>1210</v>
      </c>
      <c r="V191" t="s">
        <v>1210</v>
      </c>
      <c r="W191" t="s">
        <v>1210</v>
      </c>
      <c r="X191">
        <v>0</v>
      </c>
      <c r="Y191" t="s">
        <v>1210</v>
      </c>
      <c r="Z191">
        <v>0</v>
      </c>
      <c r="AA191" t="s">
        <v>1210</v>
      </c>
      <c r="AB191" t="s">
        <v>1210</v>
      </c>
      <c r="AC191" t="s">
        <v>1210</v>
      </c>
      <c r="AD191" t="s">
        <v>1210</v>
      </c>
      <c r="AE191">
        <v>0</v>
      </c>
      <c r="AF191" t="s">
        <v>1210</v>
      </c>
      <c r="AG191" t="s">
        <v>1210</v>
      </c>
      <c r="AH191" t="s">
        <v>1210</v>
      </c>
    </row>
    <row r="192" spans="1:34">
      <c r="A192" t="s">
        <v>745</v>
      </c>
      <c r="B192" t="s">
        <v>1039</v>
      </c>
      <c r="C192" t="s">
        <v>255</v>
      </c>
      <c r="D192" t="s">
        <v>533</v>
      </c>
      <c r="E192" t="s">
        <v>1210</v>
      </c>
      <c r="F192" t="s">
        <v>754</v>
      </c>
      <c r="G192" t="s">
        <v>945</v>
      </c>
      <c r="H192" t="s">
        <v>755</v>
      </c>
      <c r="I192" t="s">
        <v>279</v>
      </c>
      <c r="J192" t="s">
        <v>1210</v>
      </c>
      <c r="K192">
        <v>1</v>
      </c>
      <c r="L192">
        <v>1</v>
      </c>
      <c r="M192" t="s">
        <v>38</v>
      </c>
      <c r="N192">
        <v>1</v>
      </c>
      <c r="O192">
        <v>1</v>
      </c>
      <c r="P192">
        <v>1</v>
      </c>
      <c r="Q192" t="s">
        <v>1210</v>
      </c>
      <c r="R192">
        <v>0</v>
      </c>
      <c r="S192">
        <v>0</v>
      </c>
      <c r="T192" t="s">
        <v>1210</v>
      </c>
      <c r="U192" t="s">
        <v>1210</v>
      </c>
      <c r="V192" t="s">
        <v>1210</v>
      </c>
      <c r="W192" t="s">
        <v>1210</v>
      </c>
      <c r="X192">
        <v>0</v>
      </c>
      <c r="Y192" t="s">
        <v>1210</v>
      </c>
      <c r="Z192">
        <v>0</v>
      </c>
      <c r="AA192" t="s">
        <v>1210</v>
      </c>
      <c r="AB192" t="s">
        <v>1210</v>
      </c>
      <c r="AC192" t="s">
        <v>1210</v>
      </c>
      <c r="AD192" t="s">
        <v>1210</v>
      </c>
      <c r="AE192">
        <v>0</v>
      </c>
      <c r="AF192" t="s">
        <v>1210</v>
      </c>
      <c r="AG192" t="s">
        <v>1210</v>
      </c>
      <c r="AH192" t="s">
        <v>1210</v>
      </c>
    </row>
    <row r="193" spans="1:34">
      <c r="A193" t="s">
        <v>745</v>
      </c>
      <c r="B193" t="s">
        <v>1039</v>
      </c>
      <c r="C193" t="s">
        <v>255</v>
      </c>
      <c r="D193" t="s">
        <v>533</v>
      </c>
      <c r="E193" t="s">
        <v>1210</v>
      </c>
      <c r="F193" t="s">
        <v>756</v>
      </c>
      <c r="G193" t="s">
        <v>945</v>
      </c>
      <c r="H193" t="s">
        <v>757</v>
      </c>
      <c r="I193" t="s">
        <v>279</v>
      </c>
      <c r="J193" t="s">
        <v>1210</v>
      </c>
      <c r="K193">
        <v>1</v>
      </c>
      <c r="L193">
        <v>1</v>
      </c>
      <c r="M193" t="s">
        <v>38</v>
      </c>
      <c r="N193">
        <v>1</v>
      </c>
      <c r="O193">
        <v>1</v>
      </c>
      <c r="P193">
        <v>1</v>
      </c>
      <c r="Q193" t="s">
        <v>1210</v>
      </c>
      <c r="R193">
        <v>0</v>
      </c>
      <c r="S193">
        <v>0</v>
      </c>
      <c r="T193" t="s">
        <v>1210</v>
      </c>
      <c r="U193" t="s">
        <v>1210</v>
      </c>
      <c r="V193" t="s">
        <v>1210</v>
      </c>
      <c r="W193" t="s">
        <v>1210</v>
      </c>
      <c r="X193">
        <v>0</v>
      </c>
      <c r="Y193" t="s">
        <v>1210</v>
      </c>
      <c r="Z193">
        <v>0</v>
      </c>
      <c r="AA193" t="s">
        <v>1210</v>
      </c>
      <c r="AB193" t="s">
        <v>1210</v>
      </c>
      <c r="AC193" t="s">
        <v>1210</v>
      </c>
      <c r="AD193" t="s">
        <v>1210</v>
      </c>
      <c r="AE193">
        <v>0</v>
      </c>
      <c r="AF193" t="s">
        <v>1210</v>
      </c>
      <c r="AG193" t="s">
        <v>1210</v>
      </c>
      <c r="AH193" t="s">
        <v>1210</v>
      </c>
    </row>
    <row r="194" spans="1:34">
      <c r="A194" t="s">
        <v>745</v>
      </c>
      <c r="B194" t="s">
        <v>1039</v>
      </c>
      <c r="C194" t="s">
        <v>255</v>
      </c>
      <c r="D194" t="s">
        <v>533</v>
      </c>
      <c r="E194" t="s">
        <v>1210</v>
      </c>
      <c r="F194" t="s">
        <v>758</v>
      </c>
      <c r="G194" t="s">
        <v>945</v>
      </c>
      <c r="H194" t="s">
        <v>759</v>
      </c>
      <c r="I194" t="s">
        <v>279</v>
      </c>
      <c r="J194" t="s">
        <v>1210</v>
      </c>
      <c r="K194">
        <v>1</v>
      </c>
      <c r="L194">
        <v>1</v>
      </c>
      <c r="M194" t="s">
        <v>38</v>
      </c>
      <c r="N194">
        <v>1</v>
      </c>
      <c r="O194">
        <v>1</v>
      </c>
      <c r="P194">
        <v>1</v>
      </c>
      <c r="Q194" t="s">
        <v>1210</v>
      </c>
      <c r="R194">
        <v>0</v>
      </c>
      <c r="S194">
        <v>0</v>
      </c>
      <c r="T194" t="s">
        <v>1210</v>
      </c>
      <c r="U194" t="s">
        <v>1210</v>
      </c>
      <c r="V194" t="s">
        <v>1210</v>
      </c>
      <c r="W194" t="s">
        <v>1210</v>
      </c>
      <c r="X194">
        <v>0</v>
      </c>
      <c r="Y194" t="s">
        <v>1210</v>
      </c>
      <c r="Z194">
        <v>0</v>
      </c>
      <c r="AA194" t="s">
        <v>1210</v>
      </c>
      <c r="AB194" t="s">
        <v>1210</v>
      </c>
      <c r="AC194" t="s">
        <v>1210</v>
      </c>
      <c r="AD194" t="s">
        <v>1210</v>
      </c>
      <c r="AE194">
        <v>0</v>
      </c>
      <c r="AF194" t="s">
        <v>1210</v>
      </c>
      <c r="AG194" t="s">
        <v>1210</v>
      </c>
      <c r="AH194" t="s">
        <v>1210</v>
      </c>
    </row>
    <row r="195" spans="1:34" ht="12.6" customHeight="1">
      <c r="A195" t="s">
        <v>760</v>
      </c>
      <c r="B195" t="s">
        <v>1043</v>
      </c>
      <c r="C195" t="s">
        <v>255</v>
      </c>
      <c r="D195" t="s">
        <v>533</v>
      </c>
      <c r="E195" t="s">
        <v>1210</v>
      </c>
      <c r="F195" t="s">
        <v>761</v>
      </c>
      <c r="G195" t="s">
        <v>864</v>
      </c>
      <c r="H195" t="s">
        <v>762</v>
      </c>
      <c r="I195" t="s">
        <v>279</v>
      </c>
      <c r="J195" t="s">
        <v>1210</v>
      </c>
      <c r="K195">
        <v>1</v>
      </c>
      <c r="L195">
        <v>1</v>
      </c>
      <c r="M195" t="s">
        <v>38</v>
      </c>
      <c r="N195">
        <v>1</v>
      </c>
      <c r="O195">
        <v>1</v>
      </c>
      <c r="P195">
        <v>1</v>
      </c>
      <c r="Q195" t="s">
        <v>1210</v>
      </c>
      <c r="R195">
        <v>0</v>
      </c>
      <c r="S195">
        <v>0</v>
      </c>
      <c r="T195" t="s">
        <v>1210</v>
      </c>
      <c r="U195" t="s">
        <v>1210</v>
      </c>
      <c r="V195" t="s">
        <v>1210</v>
      </c>
      <c r="W195" t="s">
        <v>1210</v>
      </c>
      <c r="X195">
        <v>0</v>
      </c>
      <c r="Y195" t="s">
        <v>1210</v>
      </c>
      <c r="Z195">
        <v>0</v>
      </c>
      <c r="AA195" t="s">
        <v>1210</v>
      </c>
      <c r="AB195" t="s">
        <v>1210</v>
      </c>
      <c r="AC195" t="s">
        <v>1210</v>
      </c>
      <c r="AD195" t="s">
        <v>1210</v>
      </c>
      <c r="AE195">
        <v>0</v>
      </c>
      <c r="AF195" t="s">
        <v>1210</v>
      </c>
      <c r="AG195" t="s">
        <v>1210</v>
      </c>
      <c r="AH195" t="s">
        <v>1210</v>
      </c>
    </row>
    <row r="196" spans="1:34">
      <c r="A196" t="s">
        <v>760</v>
      </c>
      <c r="B196" t="s">
        <v>1043</v>
      </c>
      <c r="C196" t="s">
        <v>255</v>
      </c>
      <c r="D196" t="s">
        <v>533</v>
      </c>
      <c r="E196" t="s">
        <v>1210</v>
      </c>
      <c r="F196" t="s">
        <v>763</v>
      </c>
      <c r="G196" t="s">
        <v>864</v>
      </c>
      <c r="H196" t="s">
        <v>764</v>
      </c>
      <c r="I196" t="s">
        <v>279</v>
      </c>
      <c r="J196" t="s">
        <v>1210</v>
      </c>
      <c r="K196">
        <v>1</v>
      </c>
      <c r="L196">
        <v>1</v>
      </c>
      <c r="M196" t="s">
        <v>38</v>
      </c>
      <c r="N196">
        <v>1</v>
      </c>
      <c r="O196">
        <v>1</v>
      </c>
      <c r="P196">
        <v>1</v>
      </c>
      <c r="Q196" t="s">
        <v>1210</v>
      </c>
      <c r="R196">
        <v>0</v>
      </c>
      <c r="S196">
        <v>0</v>
      </c>
      <c r="T196" t="s">
        <v>1210</v>
      </c>
      <c r="U196" t="s">
        <v>1210</v>
      </c>
      <c r="V196" t="s">
        <v>1210</v>
      </c>
      <c r="W196" t="s">
        <v>1210</v>
      </c>
      <c r="X196">
        <v>0</v>
      </c>
      <c r="Y196" t="s">
        <v>1210</v>
      </c>
      <c r="Z196">
        <v>0</v>
      </c>
      <c r="AA196" t="s">
        <v>1210</v>
      </c>
      <c r="AB196" t="s">
        <v>1210</v>
      </c>
      <c r="AC196" t="s">
        <v>1210</v>
      </c>
      <c r="AD196" t="s">
        <v>1210</v>
      </c>
      <c r="AE196">
        <v>0</v>
      </c>
      <c r="AF196" t="s">
        <v>1210</v>
      </c>
      <c r="AG196" t="s">
        <v>1210</v>
      </c>
      <c r="AH196" t="s">
        <v>1210</v>
      </c>
    </row>
    <row r="197" spans="1:34">
      <c r="A197" t="s">
        <v>760</v>
      </c>
      <c r="B197" t="s">
        <v>1043</v>
      </c>
      <c r="C197" t="s">
        <v>255</v>
      </c>
      <c r="D197" t="s">
        <v>533</v>
      </c>
      <c r="E197" t="s">
        <v>1210</v>
      </c>
      <c r="F197" t="s">
        <v>765</v>
      </c>
      <c r="G197" t="s">
        <v>864</v>
      </c>
      <c r="H197" t="s">
        <v>766</v>
      </c>
      <c r="I197" t="s">
        <v>279</v>
      </c>
      <c r="J197" t="s">
        <v>1210</v>
      </c>
      <c r="K197">
        <v>1</v>
      </c>
      <c r="L197">
        <v>1</v>
      </c>
      <c r="M197" t="s">
        <v>38</v>
      </c>
      <c r="N197">
        <v>1</v>
      </c>
      <c r="O197">
        <v>1</v>
      </c>
      <c r="P197">
        <v>1</v>
      </c>
      <c r="Q197" t="s">
        <v>1210</v>
      </c>
      <c r="R197">
        <v>0</v>
      </c>
      <c r="S197">
        <v>0</v>
      </c>
      <c r="T197" t="s">
        <v>1210</v>
      </c>
      <c r="U197" t="s">
        <v>1210</v>
      </c>
      <c r="V197" t="s">
        <v>1210</v>
      </c>
      <c r="W197" t="s">
        <v>1210</v>
      </c>
      <c r="X197">
        <v>0</v>
      </c>
      <c r="Y197" t="s">
        <v>1210</v>
      </c>
      <c r="Z197">
        <v>0</v>
      </c>
      <c r="AA197" t="s">
        <v>1210</v>
      </c>
      <c r="AB197" t="s">
        <v>1210</v>
      </c>
      <c r="AC197" t="s">
        <v>1210</v>
      </c>
      <c r="AD197" t="s">
        <v>1210</v>
      </c>
      <c r="AE197">
        <v>0</v>
      </c>
      <c r="AF197" t="s">
        <v>1210</v>
      </c>
      <c r="AG197" t="s">
        <v>1210</v>
      </c>
      <c r="AH197" t="s">
        <v>1210</v>
      </c>
    </row>
    <row r="198" spans="1:34">
      <c r="A198" t="s">
        <v>767</v>
      </c>
      <c r="B198" t="s">
        <v>1023</v>
      </c>
      <c r="C198" t="s">
        <v>255</v>
      </c>
      <c r="D198" t="s">
        <v>533</v>
      </c>
      <c r="E198" t="s">
        <v>768</v>
      </c>
      <c r="F198" t="s">
        <v>769</v>
      </c>
      <c r="G198" t="s">
        <v>945</v>
      </c>
      <c r="H198" t="s">
        <v>770</v>
      </c>
      <c r="I198" t="s">
        <v>279</v>
      </c>
      <c r="J198" t="s">
        <v>1210</v>
      </c>
      <c r="K198">
        <v>1</v>
      </c>
      <c r="L198">
        <v>1</v>
      </c>
      <c r="M198" t="s">
        <v>38</v>
      </c>
      <c r="N198">
        <v>1</v>
      </c>
      <c r="O198">
        <v>1</v>
      </c>
      <c r="P198">
        <v>1</v>
      </c>
      <c r="Q198" t="s">
        <v>1210</v>
      </c>
      <c r="R198">
        <v>0</v>
      </c>
      <c r="S198">
        <v>0</v>
      </c>
      <c r="T198" t="s">
        <v>1210</v>
      </c>
      <c r="U198" t="s">
        <v>1210</v>
      </c>
      <c r="V198" t="s">
        <v>1210</v>
      </c>
      <c r="W198" t="s">
        <v>1210</v>
      </c>
      <c r="X198">
        <v>0</v>
      </c>
      <c r="Y198" t="s">
        <v>1210</v>
      </c>
      <c r="Z198">
        <v>0</v>
      </c>
      <c r="AA198" t="s">
        <v>1210</v>
      </c>
      <c r="AB198" t="s">
        <v>1210</v>
      </c>
      <c r="AC198" t="s">
        <v>1210</v>
      </c>
      <c r="AD198" t="s">
        <v>1210</v>
      </c>
      <c r="AE198">
        <v>0</v>
      </c>
      <c r="AF198" t="s">
        <v>1210</v>
      </c>
      <c r="AG198" t="s">
        <v>1210</v>
      </c>
      <c r="AH198" t="s">
        <v>1210</v>
      </c>
    </row>
    <row r="199" spans="1:34">
      <c r="A199" t="s">
        <v>771</v>
      </c>
      <c r="B199" t="s">
        <v>1024</v>
      </c>
      <c r="C199" t="s">
        <v>255</v>
      </c>
      <c r="D199" t="s">
        <v>533</v>
      </c>
      <c r="E199" t="s">
        <v>1210</v>
      </c>
      <c r="F199" t="s">
        <v>772</v>
      </c>
      <c r="G199" t="s">
        <v>864</v>
      </c>
      <c r="H199" t="s">
        <v>773</v>
      </c>
      <c r="I199" t="s">
        <v>279</v>
      </c>
      <c r="J199" t="s">
        <v>1210</v>
      </c>
      <c r="K199">
        <v>1</v>
      </c>
      <c r="L199">
        <v>1</v>
      </c>
      <c r="M199" t="s">
        <v>38</v>
      </c>
      <c r="N199">
        <v>1</v>
      </c>
      <c r="O199">
        <v>1</v>
      </c>
      <c r="P199">
        <v>1</v>
      </c>
      <c r="Q199" t="s">
        <v>1210</v>
      </c>
      <c r="R199">
        <v>0</v>
      </c>
      <c r="S199">
        <v>0</v>
      </c>
      <c r="T199" t="s">
        <v>1210</v>
      </c>
      <c r="U199" t="s">
        <v>1210</v>
      </c>
      <c r="V199" t="s">
        <v>1210</v>
      </c>
      <c r="W199" t="s">
        <v>1210</v>
      </c>
      <c r="X199">
        <v>0</v>
      </c>
      <c r="Y199" t="s">
        <v>1210</v>
      </c>
      <c r="Z199">
        <v>0</v>
      </c>
      <c r="AA199" t="s">
        <v>1210</v>
      </c>
      <c r="AB199" t="s">
        <v>1210</v>
      </c>
      <c r="AC199" t="s">
        <v>1210</v>
      </c>
      <c r="AD199" t="s">
        <v>1210</v>
      </c>
      <c r="AE199">
        <v>0</v>
      </c>
      <c r="AF199" t="s">
        <v>1210</v>
      </c>
      <c r="AG199" t="s">
        <v>1210</v>
      </c>
      <c r="AH199" t="s">
        <v>1210</v>
      </c>
    </row>
    <row r="200" spans="1:34">
      <c r="A200" t="s">
        <v>774</v>
      </c>
      <c r="B200" t="s">
        <v>1032</v>
      </c>
      <c r="C200" t="s">
        <v>255</v>
      </c>
      <c r="D200" t="s">
        <v>533</v>
      </c>
      <c r="E200" t="s">
        <v>1210</v>
      </c>
      <c r="F200" t="s">
        <v>769</v>
      </c>
      <c r="G200" t="s">
        <v>864</v>
      </c>
      <c r="H200" t="s">
        <v>775</v>
      </c>
      <c r="I200" t="s">
        <v>279</v>
      </c>
      <c r="J200" t="s">
        <v>1210</v>
      </c>
      <c r="K200">
        <v>1</v>
      </c>
      <c r="L200">
        <v>1</v>
      </c>
      <c r="M200" t="s">
        <v>38</v>
      </c>
      <c r="N200">
        <v>1</v>
      </c>
      <c r="O200">
        <v>1</v>
      </c>
      <c r="P200">
        <v>1</v>
      </c>
      <c r="Q200" t="s">
        <v>1210</v>
      </c>
      <c r="R200">
        <v>0</v>
      </c>
      <c r="S200">
        <v>0</v>
      </c>
      <c r="T200" t="s">
        <v>1210</v>
      </c>
      <c r="U200" t="s">
        <v>1210</v>
      </c>
      <c r="V200" t="s">
        <v>1210</v>
      </c>
      <c r="W200" t="s">
        <v>1210</v>
      </c>
      <c r="X200">
        <v>0</v>
      </c>
      <c r="Y200" t="s">
        <v>1210</v>
      </c>
      <c r="Z200">
        <v>0</v>
      </c>
      <c r="AA200" t="s">
        <v>1210</v>
      </c>
      <c r="AB200" t="s">
        <v>1210</v>
      </c>
      <c r="AC200" t="s">
        <v>1210</v>
      </c>
      <c r="AD200" t="s">
        <v>1210</v>
      </c>
      <c r="AE200">
        <v>0</v>
      </c>
      <c r="AF200" t="s">
        <v>1210</v>
      </c>
      <c r="AG200" t="s">
        <v>1210</v>
      </c>
      <c r="AH200" t="s">
        <v>1210</v>
      </c>
    </row>
    <row r="201" spans="1:34">
      <c r="A201" t="s">
        <v>776</v>
      </c>
      <c r="B201" t="s">
        <v>1031</v>
      </c>
      <c r="C201" t="s">
        <v>255</v>
      </c>
      <c r="D201" t="s">
        <v>533</v>
      </c>
      <c r="E201" t="s">
        <v>1210</v>
      </c>
      <c r="F201" t="s">
        <v>772</v>
      </c>
      <c r="G201" t="s">
        <v>864</v>
      </c>
      <c r="H201" t="s">
        <v>777</v>
      </c>
      <c r="I201" t="s">
        <v>279</v>
      </c>
      <c r="J201" t="s">
        <v>1210</v>
      </c>
      <c r="K201">
        <v>1</v>
      </c>
      <c r="L201">
        <v>1</v>
      </c>
      <c r="M201" t="s">
        <v>38</v>
      </c>
      <c r="N201">
        <v>1</v>
      </c>
      <c r="O201">
        <v>1</v>
      </c>
      <c r="P201">
        <v>1</v>
      </c>
      <c r="Q201" t="s">
        <v>1210</v>
      </c>
      <c r="R201">
        <v>0</v>
      </c>
      <c r="S201">
        <v>0</v>
      </c>
      <c r="T201" t="s">
        <v>1210</v>
      </c>
      <c r="U201" t="s">
        <v>1210</v>
      </c>
      <c r="V201" t="s">
        <v>1210</v>
      </c>
      <c r="W201" t="s">
        <v>1210</v>
      </c>
      <c r="X201">
        <v>0</v>
      </c>
      <c r="Y201" t="s">
        <v>1210</v>
      </c>
      <c r="Z201">
        <v>0</v>
      </c>
      <c r="AA201" t="s">
        <v>1210</v>
      </c>
      <c r="AB201" t="s">
        <v>1210</v>
      </c>
      <c r="AC201" t="s">
        <v>1210</v>
      </c>
      <c r="AD201" t="s">
        <v>1210</v>
      </c>
      <c r="AE201">
        <v>0</v>
      </c>
      <c r="AF201" t="s">
        <v>1210</v>
      </c>
      <c r="AG201" t="s">
        <v>1210</v>
      </c>
      <c r="AH201" t="s">
        <v>1210</v>
      </c>
    </row>
    <row r="202" spans="1:34">
      <c r="A202" t="s">
        <v>778</v>
      </c>
      <c r="B202" t="s">
        <v>1025</v>
      </c>
      <c r="C202" t="s">
        <v>255</v>
      </c>
      <c r="D202" t="s">
        <v>533</v>
      </c>
      <c r="E202" t="s">
        <v>1210</v>
      </c>
      <c r="F202" t="s">
        <v>779</v>
      </c>
      <c r="G202" t="s">
        <v>864</v>
      </c>
      <c r="H202" t="s">
        <v>780</v>
      </c>
      <c r="I202" t="s">
        <v>279</v>
      </c>
      <c r="J202" t="s">
        <v>1210</v>
      </c>
      <c r="K202">
        <v>1</v>
      </c>
      <c r="L202">
        <v>1</v>
      </c>
      <c r="M202" t="s">
        <v>38</v>
      </c>
      <c r="N202">
        <v>1</v>
      </c>
      <c r="O202">
        <v>1</v>
      </c>
      <c r="P202">
        <v>1</v>
      </c>
      <c r="Q202" t="s">
        <v>1210</v>
      </c>
      <c r="R202">
        <v>0</v>
      </c>
      <c r="S202">
        <v>0</v>
      </c>
      <c r="T202" t="s">
        <v>1210</v>
      </c>
      <c r="U202" t="s">
        <v>1210</v>
      </c>
      <c r="V202" t="s">
        <v>1210</v>
      </c>
      <c r="W202" t="s">
        <v>1210</v>
      </c>
      <c r="X202">
        <v>0</v>
      </c>
      <c r="Y202" t="s">
        <v>1210</v>
      </c>
      <c r="Z202">
        <v>0</v>
      </c>
      <c r="AA202" t="s">
        <v>1210</v>
      </c>
      <c r="AB202" t="s">
        <v>1210</v>
      </c>
      <c r="AC202" t="s">
        <v>1210</v>
      </c>
      <c r="AD202" t="s">
        <v>1210</v>
      </c>
      <c r="AE202">
        <v>0</v>
      </c>
      <c r="AF202" t="s">
        <v>1210</v>
      </c>
      <c r="AG202" t="s">
        <v>1210</v>
      </c>
      <c r="AH202" t="s">
        <v>1210</v>
      </c>
    </row>
    <row r="203" spans="1:34">
      <c r="A203" t="s">
        <v>781</v>
      </c>
      <c r="B203" t="s">
        <v>1033</v>
      </c>
      <c r="C203" t="s">
        <v>255</v>
      </c>
      <c r="D203" t="s">
        <v>533</v>
      </c>
      <c r="E203" t="s">
        <v>782</v>
      </c>
      <c r="F203" t="s">
        <v>783</v>
      </c>
      <c r="G203" t="s">
        <v>864</v>
      </c>
      <c r="H203" t="s">
        <v>784</v>
      </c>
      <c r="I203" t="s">
        <v>260</v>
      </c>
      <c r="J203" t="s">
        <v>1210</v>
      </c>
      <c r="K203">
        <v>1</v>
      </c>
      <c r="L203">
        <v>1</v>
      </c>
      <c r="M203" t="s">
        <v>38</v>
      </c>
      <c r="N203">
        <v>1</v>
      </c>
      <c r="O203">
        <v>1</v>
      </c>
      <c r="P203">
        <v>1</v>
      </c>
      <c r="Q203" t="s">
        <v>46</v>
      </c>
      <c r="R203">
        <v>1</v>
      </c>
      <c r="S203">
        <v>0</v>
      </c>
      <c r="T203" t="s">
        <v>1210</v>
      </c>
      <c r="U203" t="s">
        <v>1210</v>
      </c>
      <c r="V203" t="s">
        <v>1210</v>
      </c>
      <c r="W203" t="s">
        <v>1210</v>
      </c>
      <c r="X203">
        <v>0</v>
      </c>
      <c r="Y203" t="s">
        <v>1210</v>
      </c>
      <c r="Z203">
        <v>0</v>
      </c>
      <c r="AA203" t="s">
        <v>1210</v>
      </c>
      <c r="AB203" t="s">
        <v>1210</v>
      </c>
      <c r="AC203" t="s">
        <v>1210</v>
      </c>
      <c r="AD203" t="s">
        <v>1210</v>
      </c>
      <c r="AE203">
        <v>0</v>
      </c>
      <c r="AF203" t="s">
        <v>1210</v>
      </c>
      <c r="AG203" t="s">
        <v>1210</v>
      </c>
      <c r="AH203" t="s">
        <v>1210</v>
      </c>
    </row>
    <row r="204" spans="1:34">
      <c r="A204" t="s">
        <v>785</v>
      </c>
      <c r="B204" t="s">
        <v>1044</v>
      </c>
      <c r="C204" t="s">
        <v>255</v>
      </c>
      <c r="D204" t="s">
        <v>533</v>
      </c>
      <c r="E204" t="s">
        <v>1210</v>
      </c>
      <c r="F204" t="s">
        <v>786</v>
      </c>
      <c r="G204" t="s">
        <v>864</v>
      </c>
      <c r="H204" t="s">
        <v>787</v>
      </c>
      <c r="I204" t="s">
        <v>260</v>
      </c>
      <c r="J204" t="s">
        <v>1210</v>
      </c>
      <c r="K204">
        <v>1</v>
      </c>
      <c r="L204">
        <v>1</v>
      </c>
      <c r="M204" t="s">
        <v>38</v>
      </c>
      <c r="N204">
        <v>1</v>
      </c>
      <c r="O204">
        <v>1</v>
      </c>
      <c r="P204">
        <v>1</v>
      </c>
      <c r="Q204" t="s">
        <v>1210</v>
      </c>
      <c r="R204">
        <v>0</v>
      </c>
      <c r="S204">
        <v>0</v>
      </c>
      <c r="T204" t="s">
        <v>1210</v>
      </c>
      <c r="U204" t="s">
        <v>1210</v>
      </c>
      <c r="V204" t="s">
        <v>1210</v>
      </c>
      <c r="W204" t="s">
        <v>1210</v>
      </c>
      <c r="X204">
        <v>0</v>
      </c>
      <c r="Y204" t="s">
        <v>1210</v>
      </c>
      <c r="Z204">
        <v>0</v>
      </c>
      <c r="AA204" t="s">
        <v>1210</v>
      </c>
      <c r="AB204" t="s">
        <v>1210</v>
      </c>
      <c r="AC204" t="s">
        <v>1210</v>
      </c>
      <c r="AD204" t="s">
        <v>1210</v>
      </c>
      <c r="AE204">
        <v>0</v>
      </c>
      <c r="AF204" t="s">
        <v>1210</v>
      </c>
      <c r="AG204" t="s">
        <v>1210</v>
      </c>
      <c r="AH204" t="s">
        <v>1210</v>
      </c>
    </row>
    <row r="205" spans="1:34">
      <c r="A205" t="s">
        <v>785</v>
      </c>
      <c r="B205" t="s">
        <v>1044</v>
      </c>
      <c r="C205" t="s">
        <v>255</v>
      </c>
      <c r="D205" t="s">
        <v>533</v>
      </c>
      <c r="E205" t="s">
        <v>1210</v>
      </c>
      <c r="F205" t="s">
        <v>788</v>
      </c>
      <c r="G205" t="s">
        <v>864</v>
      </c>
      <c r="H205" t="s">
        <v>789</v>
      </c>
      <c r="I205" t="s">
        <v>260</v>
      </c>
      <c r="J205" t="s">
        <v>1210</v>
      </c>
      <c r="K205">
        <v>1</v>
      </c>
      <c r="L205">
        <v>1</v>
      </c>
      <c r="M205" t="s">
        <v>38</v>
      </c>
      <c r="N205">
        <v>1</v>
      </c>
      <c r="O205">
        <v>1</v>
      </c>
      <c r="P205">
        <v>1</v>
      </c>
      <c r="Q205" t="s">
        <v>1210</v>
      </c>
      <c r="R205">
        <v>0</v>
      </c>
      <c r="S205">
        <v>0</v>
      </c>
      <c r="T205" t="s">
        <v>1210</v>
      </c>
      <c r="U205" t="s">
        <v>1210</v>
      </c>
      <c r="V205" t="s">
        <v>1210</v>
      </c>
      <c r="W205" t="s">
        <v>1210</v>
      </c>
      <c r="X205">
        <v>0</v>
      </c>
      <c r="Y205" t="s">
        <v>1210</v>
      </c>
      <c r="Z205">
        <v>0</v>
      </c>
      <c r="AA205" t="s">
        <v>1210</v>
      </c>
      <c r="AB205" t="s">
        <v>1210</v>
      </c>
      <c r="AC205" t="s">
        <v>1210</v>
      </c>
      <c r="AD205" t="s">
        <v>1210</v>
      </c>
      <c r="AE205">
        <v>0</v>
      </c>
      <c r="AF205" t="s">
        <v>1210</v>
      </c>
      <c r="AG205" t="s">
        <v>1210</v>
      </c>
      <c r="AH205" t="s">
        <v>1210</v>
      </c>
    </row>
    <row r="206" spans="1:34">
      <c r="A206" t="s">
        <v>785</v>
      </c>
      <c r="B206" t="s">
        <v>1044</v>
      </c>
      <c r="C206" t="s">
        <v>255</v>
      </c>
      <c r="D206" t="s">
        <v>533</v>
      </c>
      <c r="E206" t="s">
        <v>1210</v>
      </c>
      <c r="F206" t="s">
        <v>790</v>
      </c>
      <c r="G206" t="s">
        <v>864</v>
      </c>
      <c r="H206" t="s">
        <v>791</v>
      </c>
      <c r="I206" t="s">
        <v>260</v>
      </c>
      <c r="J206" t="s">
        <v>1210</v>
      </c>
      <c r="K206">
        <v>1</v>
      </c>
      <c r="L206">
        <v>1</v>
      </c>
      <c r="M206" t="s">
        <v>38</v>
      </c>
      <c r="N206">
        <v>1</v>
      </c>
      <c r="O206">
        <v>1</v>
      </c>
      <c r="P206">
        <v>1</v>
      </c>
      <c r="Q206" t="s">
        <v>1210</v>
      </c>
      <c r="R206">
        <v>0</v>
      </c>
      <c r="S206">
        <v>0</v>
      </c>
      <c r="T206" t="s">
        <v>1210</v>
      </c>
      <c r="U206" t="s">
        <v>1210</v>
      </c>
      <c r="V206" t="s">
        <v>1210</v>
      </c>
      <c r="W206" t="s">
        <v>1210</v>
      </c>
      <c r="X206">
        <v>0</v>
      </c>
      <c r="Y206" t="s">
        <v>1210</v>
      </c>
      <c r="Z206">
        <v>0</v>
      </c>
      <c r="AA206" t="s">
        <v>1210</v>
      </c>
      <c r="AB206" t="s">
        <v>1210</v>
      </c>
      <c r="AC206" t="s">
        <v>1210</v>
      </c>
      <c r="AD206" t="s">
        <v>1210</v>
      </c>
      <c r="AE206">
        <v>0</v>
      </c>
      <c r="AF206" t="s">
        <v>1210</v>
      </c>
      <c r="AG206" t="s">
        <v>1210</v>
      </c>
      <c r="AH206" t="s">
        <v>1210</v>
      </c>
    </row>
    <row r="207" spans="1:34">
      <c r="A207" t="s">
        <v>785</v>
      </c>
      <c r="B207" t="s">
        <v>1044</v>
      </c>
      <c r="C207" t="s">
        <v>255</v>
      </c>
      <c r="D207" t="s">
        <v>533</v>
      </c>
      <c r="E207" t="s">
        <v>1210</v>
      </c>
      <c r="F207" t="s">
        <v>792</v>
      </c>
      <c r="G207" t="s">
        <v>864</v>
      </c>
      <c r="H207" t="s">
        <v>793</v>
      </c>
      <c r="I207" t="s">
        <v>260</v>
      </c>
      <c r="J207" t="s">
        <v>1210</v>
      </c>
      <c r="K207">
        <v>1</v>
      </c>
      <c r="L207">
        <v>1</v>
      </c>
      <c r="M207" t="s">
        <v>38</v>
      </c>
      <c r="N207">
        <v>1</v>
      </c>
      <c r="O207">
        <v>1</v>
      </c>
      <c r="P207">
        <v>1</v>
      </c>
      <c r="Q207" t="s">
        <v>1210</v>
      </c>
      <c r="R207">
        <v>0</v>
      </c>
      <c r="S207">
        <v>0</v>
      </c>
      <c r="T207" t="s">
        <v>1210</v>
      </c>
      <c r="U207" t="s">
        <v>1210</v>
      </c>
      <c r="V207" t="s">
        <v>1210</v>
      </c>
      <c r="W207" t="s">
        <v>1210</v>
      </c>
      <c r="X207">
        <v>0</v>
      </c>
      <c r="Y207" t="s">
        <v>1210</v>
      </c>
      <c r="Z207">
        <v>0</v>
      </c>
      <c r="AA207" t="s">
        <v>1210</v>
      </c>
      <c r="AB207" t="s">
        <v>1210</v>
      </c>
      <c r="AC207" t="s">
        <v>1210</v>
      </c>
      <c r="AD207" t="s">
        <v>1210</v>
      </c>
      <c r="AE207">
        <v>0</v>
      </c>
      <c r="AF207" t="s">
        <v>1210</v>
      </c>
      <c r="AG207" t="s">
        <v>1210</v>
      </c>
      <c r="AH207" t="s">
        <v>1210</v>
      </c>
    </row>
    <row r="208" spans="1:34">
      <c r="A208" t="s">
        <v>785</v>
      </c>
      <c r="B208" t="s">
        <v>1044</v>
      </c>
      <c r="C208" t="s">
        <v>255</v>
      </c>
      <c r="D208" t="s">
        <v>533</v>
      </c>
      <c r="E208" t="s">
        <v>1210</v>
      </c>
      <c r="F208" t="s">
        <v>794</v>
      </c>
      <c r="G208" t="s">
        <v>864</v>
      </c>
      <c r="H208" t="s">
        <v>795</v>
      </c>
      <c r="I208" t="s">
        <v>260</v>
      </c>
      <c r="J208" t="s">
        <v>1210</v>
      </c>
      <c r="K208">
        <v>1</v>
      </c>
      <c r="L208">
        <v>1</v>
      </c>
      <c r="M208" t="s">
        <v>38</v>
      </c>
      <c r="N208">
        <v>1</v>
      </c>
      <c r="O208">
        <v>1</v>
      </c>
      <c r="P208">
        <v>1</v>
      </c>
      <c r="Q208" t="s">
        <v>1210</v>
      </c>
      <c r="R208">
        <v>0</v>
      </c>
      <c r="S208">
        <v>0</v>
      </c>
      <c r="T208" t="s">
        <v>1210</v>
      </c>
      <c r="U208" t="s">
        <v>1210</v>
      </c>
      <c r="V208" t="s">
        <v>1210</v>
      </c>
      <c r="W208" t="s">
        <v>1210</v>
      </c>
      <c r="X208">
        <v>0</v>
      </c>
      <c r="Y208" t="s">
        <v>1210</v>
      </c>
      <c r="Z208">
        <v>0</v>
      </c>
      <c r="AA208" t="s">
        <v>1210</v>
      </c>
      <c r="AB208" t="s">
        <v>1210</v>
      </c>
      <c r="AC208" t="s">
        <v>1210</v>
      </c>
      <c r="AD208" t="s">
        <v>1210</v>
      </c>
      <c r="AE208">
        <v>0</v>
      </c>
      <c r="AF208" t="s">
        <v>1210</v>
      </c>
      <c r="AG208" t="s">
        <v>1210</v>
      </c>
      <c r="AH208" t="s">
        <v>1210</v>
      </c>
    </row>
    <row r="209" spans="1:34">
      <c r="A209" t="s">
        <v>796</v>
      </c>
      <c r="B209" t="s">
        <v>1030</v>
      </c>
      <c r="C209" t="s">
        <v>255</v>
      </c>
      <c r="D209" t="s">
        <v>533</v>
      </c>
      <c r="E209" t="s">
        <v>798</v>
      </c>
      <c r="F209" t="s">
        <v>799</v>
      </c>
      <c r="G209" t="s">
        <v>864</v>
      </c>
      <c r="H209" t="s">
        <v>800</v>
      </c>
      <c r="I209" t="s">
        <v>260</v>
      </c>
      <c r="J209" t="s">
        <v>1210</v>
      </c>
      <c r="K209">
        <v>1</v>
      </c>
      <c r="L209">
        <v>1</v>
      </c>
      <c r="M209" t="s">
        <v>38</v>
      </c>
      <c r="N209">
        <v>1</v>
      </c>
      <c r="O209">
        <v>1</v>
      </c>
      <c r="P209">
        <v>1</v>
      </c>
      <c r="Q209" t="s">
        <v>46</v>
      </c>
      <c r="R209">
        <v>1</v>
      </c>
      <c r="S209">
        <v>0</v>
      </c>
      <c r="T209" t="s">
        <v>1210</v>
      </c>
      <c r="U209" t="s">
        <v>1210</v>
      </c>
      <c r="V209" t="s">
        <v>1210</v>
      </c>
      <c r="W209" t="s">
        <v>1210</v>
      </c>
      <c r="X209">
        <v>0</v>
      </c>
      <c r="Y209" t="s">
        <v>1210</v>
      </c>
      <c r="Z209">
        <v>0</v>
      </c>
      <c r="AA209" t="s">
        <v>1210</v>
      </c>
      <c r="AB209" t="s">
        <v>1210</v>
      </c>
      <c r="AC209" t="s">
        <v>1210</v>
      </c>
      <c r="AD209" t="s">
        <v>1210</v>
      </c>
      <c r="AE209">
        <v>0</v>
      </c>
      <c r="AF209" t="s">
        <v>1210</v>
      </c>
      <c r="AG209" t="s">
        <v>1210</v>
      </c>
      <c r="AH209" t="s">
        <v>1210</v>
      </c>
    </row>
    <row r="210" spans="1:34">
      <c r="A210" t="s">
        <v>801</v>
      </c>
      <c r="B210" t="s">
        <v>797</v>
      </c>
      <c r="C210" t="s">
        <v>255</v>
      </c>
      <c r="D210" t="s">
        <v>533</v>
      </c>
      <c r="E210" t="s">
        <v>1210</v>
      </c>
      <c r="F210" t="s">
        <v>802</v>
      </c>
      <c r="G210" t="s">
        <v>864</v>
      </c>
      <c r="H210" t="s">
        <v>803</v>
      </c>
      <c r="I210" t="s">
        <v>260</v>
      </c>
      <c r="J210" t="s">
        <v>1210</v>
      </c>
      <c r="K210">
        <v>1</v>
      </c>
      <c r="L210">
        <v>1</v>
      </c>
      <c r="M210" t="s">
        <v>38</v>
      </c>
      <c r="N210">
        <v>1</v>
      </c>
      <c r="O210">
        <v>1</v>
      </c>
      <c r="P210">
        <v>1</v>
      </c>
      <c r="Q210" t="s">
        <v>47</v>
      </c>
      <c r="R210">
        <v>1</v>
      </c>
      <c r="S210">
        <v>0</v>
      </c>
      <c r="T210" t="s">
        <v>1210</v>
      </c>
      <c r="U210" t="s">
        <v>1210</v>
      </c>
      <c r="V210" t="s">
        <v>1210</v>
      </c>
      <c r="W210" t="s">
        <v>1210</v>
      </c>
      <c r="X210">
        <v>0</v>
      </c>
      <c r="Y210" t="s">
        <v>1210</v>
      </c>
      <c r="Z210">
        <v>0</v>
      </c>
      <c r="AA210" t="s">
        <v>1210</v>
      </c>
      <c r="AB210" t="s">
        <v>1210</v>
      </c>
      <c r="AC210" t="s">
        <v>1210</v>
      </c>
      <c r="AD210" t="s">
        <v>1210</v>
      </c>
      <c r="AE210">
        <v>0</v>
      </c>
      <c r="AF210" t="s">
        <v>1210</v>
      </c>
      <c r="AG210" t="s">
        <v>1210</v>
      </c>
      <c r="AH210" t="s">
        <v>1210</v>
      </c>
    </row>
    <row r="211" spans="1:34">
      <c r="A211" t="s">
        <v>801</v>
      </c>
      <c r="B211" t="s">
        <v>797</v>
      </c>
      <c r="C211" t="s">
        <v>255</v>
      </c>
      <c r="D211" t="s">
        <v>533</v>
      </c>
      <c r="E211" t="s">
        <v>1210</v>
      </c>
      <c r="F211" t="s">
        <v>804</v>
      </c>
      <c r="G211" t="s">
        <v>864</v>
      </c>
      <c r="H211" t="s">
        <v>805</v>
      </c>
      <c r="I211" t="s">
        <v>260</v>
      </c>
      <c r="J211" t="s">
        <v>1210</v>
      </c>
      <c r="K211">
        <v>1</v>
      </c>
      <c r="L211">
        <v>1</v>
      </c>
      <c r="M211" t="s">
        <v>38</v>
      </c>
      <c r="N211">
        <v>1</v>
      </c>
      <c r="O211">
        <v>1</v>
      </c>
      <c r="P211">
        <v>1</v>
      </c>
      <c r="Q211" t="s">
        <v>47</v>
      </c>
      <c r="R211">
        <v>1</v>
      </c>
      <c r="S211">
        <v>0</v>
      </c>
      <c r="T211" t="s">
        <v>1210</v>
      </c>
      <c r="U211" t="s">
        <v>1210</v>
      </c>
      <c r="V211" t="s">
        <v>1210</v>
      </c>
      <c r="W211" t="s">
        <v>1210</v>
      </c>
      <c r="X211">
        <v>0</v>
      </c>
      <c r="Y211" t="s">
        <v>1210</v>
      </c>
      <c r="Z211">
        <v>0</v>
      </c>
      <c r="AA211" t="s">
        <v>1210</v>
      </c>
      <c r="AB211" t="s">
        <v>1210</v>
      </c>
      <c r="AC211" t="s">
        <v>1210</v>
      </c>
      <c r="AD211" t="s">
        <v>1210</v>
      </c>
      <c r="AE211">
        <v>0</v>
      </c>
      <c r="AF211" t="s">
        <v>1210</v>
      </c>
      <c r="AG211" t="s">
        <v>1210</v>
      </c>
      <c r="AH211" t="s">
        <v>1210</v>
      </c>
    </row>
    <row r="212" spans="1:34">
      <c r="A212" t="s">
        <v>801</v>
      </c>
      <c r="B212" t="s">
        <v>797</v>
      </c>
      <c r="C212" t="s">
        <v>255</v>
      </c>
      <c r="D212" t="s">
        <v>533</v>
      </c>
      <c r="E212" t="s">
        <v>1210</v>
      </c>
      <c r="F212" t="s">
        <v>806</v>
      </c>
      <c r="G212" t="s">
        <v>864</v>
      </c>
      <c r="H212" t="s">
        <v>807</v>
      </c>
      <c r="I212" t="s">
        <v>260</v>
      </c>
      <c r="J212" t="s">
        <v>1210</v>
      </c>
      <c r="K212">
        <v>1</v>
      </c>
      <c r="L212">
        <v>1</v>
      </c>
      <c r="M212" t="s">
        <v>38</v>
      </c>
      <c r="N212">
        <v>1</v>
      </c>
      <c r="O212">
        <v>1</v>
      </c>
      <c r="P212">
        <v>1</v>
      </c>
      <c r="Q212" t="s">
        <v>47</v>
      </c>
      <c r="R212">
        <v>1</v>
      </c>
      <c r="S212">
        <v>0</v>
      </c>
      <c r="T212" t="s">
        <v>1210</v>
      </c>
      <c r="U212" t="s">
        <v>1210</v>
      </c>
      <c r="V212" t="s">
        <v>1210</v>
      </c>
      <c r="W212" t="s">
        <v>1210</v>
      </c>
      <c r="X212">
        <v>0</v>
      </c>
      <c r="Y212" t="s">
        <v>1210</v>
      </c>
      <c r="Z212">
        <v>0</v>
      </c>
      <c r="AA212" t="s">
        <v>1210</v>
      </c>
      <c r="AB212" t="s">
        <v>1210</v>
      </c>
      <c r="AC212" t="s">
        <v>1210</v>
      </c>
      <c r="AD212" t="s">
        <v>1210</v>
      </c>
      <c r="AE212">
        <v>0</v>
      </c>
      <c r="AF212" t="s">
        <v>1210</v>
      </c>
      <c r="AG212" t="s">
        <v>1210</v>
      </c>
      <c r="AH212" t="s">
        <v>1210</v>
      </c>
    </row>
    <row r="213" spans="1:34">
      <c r="A213" t="s">
        <v>796</v>
      </c>
      <c r="B213" t="s">
        <v>1030</v>
      </c>
      <c r="C213" t="s">
        <v>255</v>
      </c>
      <c r="D213" t="s">
        <v>533</v>
      </c>
      <c r="E213" t="s">
        <v>1210</v>
      </c>
      <c r="F213" t="s">
        <v>808</v>
      </c>
      <c r="G213" t="s">
        <v>864</v>
      </c>
      <c r="H213" t="s">
        <v>809</v>
      </c>
      <c r="I213" t="s">
        <v>260</v>
      </c>
      <c r="J213" t="s">
        <v>1210</v>
      </c>
      <c r="K213">
        <v>1</v>
      </c>
      <c r="L213">
        <v>1</v>
      </c>
      <c r="M213" t="s">
        <v>38</v>
      </c>
      <c r="N213">
        <v>1</v>
      </c>
      <c r="O213">
        <v>1</v>
      </c>
      <c r="P213">
        <v>1</v>
      </c>
      <c r="Q213" t="s">
        <v>47</v>
      </c>
      <c r="R213">
        <v>1</v>
      </c>
      <c r="S213">
        <v>0</v>
      </c>
      <c r="T213" t="s">
        <v>1210</v>
      </c>
      <c r="U213" t="s">
        <v>1210</v>
      </c>
      <c r="V213" t="s">
        <v>1210</v>
      </c>
      <c r="W213" t="s">
        <v>1210</v>
      </c>
      <c r="X213">
        <v>0</v>
      </c>
      <c r="Y213" t="s">
        <v>1210</v>
      </c>
      <c r="Z213">
        <v>0</v>
      </c>
      <c r="AA213" t="s">
        <v>1210</v>
      </c>
      <c r="AB213" t="s">
        <v>1210</v>
      </c>
      <c r="AC213" t="s">
        <v>1210</v>
      </c>
      <c r="AD213" t="s">
        <v>1210</v>
      </c>
      <c r="AE213">
        <v>0</v>
      </c>
      <c r="AF213" t="s">
        <v>1210</v>
      </c>
      <c r="AG213" t="s">
        <v>1210</v>
      </c>
      <c r="AH213" t="s">
        <v>1210</v>
      </c>
    </row>
    <row r="214" spans="1:34">
      <c r="A214" t="s">
        <v>796</v>
      </c>
      <c r="B214" t="s">
        <v>1030</v>
      </c>
      <c r="C214" t="s">
        <v>255</v>
      </c>
      <c r="D214" t="s">
        <v>533</v>
      </c>
      <c r="E214" t="s">
        <v>1210</v>
      </c>
      <c r="F214" t="s">
        <v>810</v>
      </c>
      <c r="G214" t="s">
        <v>864</v>
      </c>
      <c r="H214" t="s">
        <v>811</v>
      </c>
      <c r="I214" t="s">
        <v>260</v>
      </c>
      <c r="J214" t="s">
        <v>1210</v>
      </c>
      <c r="K214">
        <v>1</v>
      </c>
      <c r="L214">
        <v>1</v>
      </c>
      <c r="M214" t="s">
        <v>38</v>
      </c>
      <c r="N214">
        <v>1</v>
      </c>
      <c r="O214">
        <v>1</v>
      </c>
      <c r="P214">
        <v>1</v>
      </c>
      <c r="Q214" t="s">
        <v>47</v>
      </c>
      <c r="R214">
        <v>1</v>
      </c>
      <c r="S214">
        <v>0</v>
      </c>
      <c r="T214" t="s">
        <v>1210</v>
      </c>
      <c r="U214" t="s">
        <v>1210</v>
      </c>
      <c r="V214" t="s">
        <v>1210</v>
      </c>
      <c r="W214" t="s">
        <v>1210</v>
      </c>
      <c r="X214">
        <v>0</v>
      </c>
      <c r="Y214" t="s">
        <v>1210</v>
      </c>
      <c r="Z214">
        <v>0</v>
      </c>
      <c r="AA214" t="s">
        <v>1210</v>
      </c>
      <c r="AB214" t="s">
        <v>1210</v>
      </c>
      <c r="AC214" t="s">
        <v>1210</v>
      </c>
      <c r="AD214" t="s">
        <v>1210</v>
      </c>
      <c r="AE214">
        <v>0</v>
      </c>
      <c r="AF214" t="s">
        <v>1210</v>
      </c>
      <c r="AG214" t="s">
        <v>1210</v>
      </c>
      <c r="AH214" t="s">
        <v>1210</v>
      </c>
    </row>
    <row r="215" spans="1:34">
      <c r="A215" t="s">
        <v>801</v>
      </c>
      <c r="B215" t="s">
        <v>797</v>
      </c>
      <c r="C215" t="s">
        <v>255</v>
      </c>
      <c r="D215" t="s">
        <v>533</v>
      </c>
      <c r="E215" t="s">
        <v>1210</v>
      </c>
      <c r="F215" t="s">
        <v>812</v>
      </c>
      <c r="G215" t="s">
        <v>864</v>
      </c>
      <c r="H215" t="s">
        <v>813</v>
      </c>
      <c r="I215" t="s">
        <v>260</v>
      </c>
      <c r="J215" t="s">
        <v>1210</v>
      </c>
      <c r="K215">
        <v>1</v>
      </c>
      <c r="L215">
        <v>1</v>
      </c>
      <c r="M215" t="s">
        <v>38</v>
      </c>
      <c r="N215">
        <v>1</v>
      </c>
      <c r="O215">
        <v>1</v>
      </c>
      <c r="P215">
        <v>1</v>
      </c>
      <c r="Q215" t="s">
        <v>47</v>
      </c>
      <c r="R215">
        <v>1</v>
      </c>
      <c r="S215">
        <v>0</v>
      </c>
      <c r="T215" t="s">
        <v>1210</v>
      </c>
      <c r="U215" t="s">
        <v>1210</v>
      </c>
      <c r="V215" t="s">
        <v>1210</v>
      </c>
      <c r="W215" t="s">
        <v>1210</v>
      </c>
      <c r="X215">
        <v>0</v>
      </c>
      <c r="Y215" t="s">
        <v>1210</v>
      </c>
      <c r="Z215">
        <v>0</v>
      </c>
      <c r="AA215" t="s">
        <v>1210</v>
      </c>
      <c r="AB215" t="s">
        <v>1210</v>
      </c>
      <c r="AC215" t="s">
        <v>1210</v>
      </c>
      <c r="AD215" t="s">
        <v>1210</v>
      </c>
      <c r="AE215">
        <v>0</v>
      </c>
      <c r="AF215" t="s">
        <v>1210</v>
      </c>
      <c r="AG215" t="s">
        <v>1210</v>
      </c>
      <c r="AH215" t="s">
        <v>1210</v>
      </c>
    </row>
    <row r="216" spans="1:34">
      <c r="A216" t="s">
        <v>801</v>
      </c>
      <c r="B216" t="s">
        <v>797</v>
      </c>
      <c r="C216" t="s">
        <v>255</v>
      </c>
      <c r="D216" t="s">
        <v>533</v>
      </c>
      <c r="E216" t="s">
        <v>814</v>
      </c>
      <c r="F216" t="s">
        <v>815</v>
      </c>
      <c r="G216" t="s">
        <v>864</v>
      </c>
      <c r="H216" t="s">
        <v>816</v>
      </c>
      <c r="I216" t="s">
        <v>260</v>
      </c>
      <c r="J216" t="s">
        <v>1210</v>
      </c>
      <c r="K216">
        <v>1</v>
      </c>
      <c r="L216">
        <v>1</v>
      </c>
      <c r="M216" t="s">
        <v>38</v>
      </c>
      <c r="N216">
        <v>1</v>
      </c>
      <c r="O216">
        <v>1</v>
      </c>
      <c r="P216">
        <v>1</v>
      </c>
      <c r="Q216" t="s">
        <v>46</v>
      </c>
      <c r="R216">
        <v>1</v>
      </c>
      <c r="S216">
        <v>0</v>
      </c>
      <c r="T216" t="s">
        <v>1210</v>
      </c>
      <c r="U216" t="s">
        <v>1210</v>
      </c>
      <c r="V216" t="s">
        <v>1210</v>
      </c>
      <c r="W216" t="s">
        <v>1210</v>
      </c>
      <c r="X216">
        <v>0</v>
      </c>
      <c r="Y216" t="s">
        <v>1210</v>
      </c>
      <c r="Z216">
        <v>0</v>
      </c>
      <c r="AA216" t="s">
        <v>1210</v>
      </c>
      <c r="AB216" t="s">
        <v>1210</v>
      </c>
      <c r="AC216" t="s">
        <v>1210</v>
      </c>
      <c r="AD216" t="s">
        <v>1210</v>
      </c>
      <c r="AE216">
        <v>0</v>
      </c>
      <c r="AF216" t="s">
        <v>1210</v>
      </c>
      <c r="AG216" t="s">
        <v>1210</v>
      </c>
      <c r="AH216" t="s">
        <v>1210</v>
      </c>
    </row>
    <row r="217" spans="1:34">
      <c r="A217" t="s">
        <v>801</v>
      </c>
      <c r="B217" t="s">
        <v>797</v>
      </c>
      <c r="C217" t="s">
        <v>255</v>
      </c>
      <c r="D217" t="s">
        <v>533</v>
      </c>
      <c r="E217" t="s">
        <v>1210</v>
      </c>
      <c r="F217" t="s">
        <v>817</v>
      </c>
      <c r="G217" t="s">
        <v>864</v>
      </c>
      <c r="H217" t="s">
        <v>818</v>
      </c>
      <c r="I217" t="s">
        <v>260</v>
      </c>
      <c r="J217" t="s">
        <v>1210</v>
      </c>
      <c r="K217">
        <v>1</v>
      </c>
      <c r="L217">
        <v>1</v>
      </c>
      <c r="M217" t="s">
        <v>38</v>
      </c>
      <c r="N217">
        <v>1</v>
      </c>
      <c r="O217">
        <v>1</v>
      </c>
      <c r="P217">
        <v>1</v>
      </c>
      <c r="Q217" t="s">
        <v>47</v>
      </c>
      <c r="R217">
        <v>1</v>
      </c>
      <c r="S217">
        <v>0</v>
      </c>
      <c r="T217" t="s">
        <v>1210</v>
      </c>
      <c r="U217" t="s">
        <v>1210</v>
      </c>
      <c r="V217" t="s">
        <v>1210</v>
      </c>
      <c r="W217" t="s">
        <v>1210</v>
      </c>
      <c r="X217">
        <v>0</v>
      </c>
      <c r="Y217" t="s">
        <v>1210</v>
      </c>
      <c r="Z217">
        <v>0</v>
      </c>
      <c r="AA217" t="s">
        <v>1210</v>
      </c>
      <c r="AB217" t="s">
        <v>1210</v>
      </c>
      <c r="AC217" t="s">
        <v>1210</v>
      </c>
      <c r="AD217" t="s">
        <v>1210</v>
      </c>
      <c r="AE217">
        <v>0</v>
      </c>
      <c r="AF217" t="s">
        <v>1210</v>
      </c>
      <c r="AG217" t="s">
        <v>1210</v>
      </c>
      <c r="AH217" t="s">
        <v>1210</v>
      </c>
    </row>
    <row r="218" spans="1:34">
      <c r="A218" t="s">
        <v>801</v>
      </c>
      <c r="B218" t="s">
        <v>797</v>
      </c>
      <c r="C218" t="s">
        <v>255</v>
      </c>
      <c r="D218" t="s">
        <v>533</v>
      </c>
      <c r="E218" t="s">
        <v>1210</v>
      </c>
      <c r="F218" t="s">
        <v>819</v>
      </c>
      <c r="G218" t="s">
        <v>864</v>
      </c>
      <c r="H218" t="s">
        <v>820</v>
      </c>
      <c r="I218" t="s">
        <v>260</v>
      </c>
      <c r="J218" t="s">
        <v>1210</v>
      </c>
      <c r="K218">
        <v>1</v>
      </c>
      <c r="L218">
        <v>1</v>
      </c>
      <c r="M218" t="s">
        <v>38</v>
      </c>
      <c r="N218">
        <v>1</v>
      </c>
      <c r="O218">
        <v>1</v>
      </c>
      <c r="P218">
        <v>1</v>
      </c>
      <c r="Q218" t="s">
        <v>47</v>
      </c>
      <c r="R218">
        <v>1</v>
      </c>
      <c r="S218">
        <v>0</v>
      </c>
      <c r="T218" t="s">
        <v>1210</v>
      </c>
      <c r="U218" t="s">
        <v>1210</v>
      </c>
      <c r="V218" t="s">
        <v>1210</v>
      </c>
      <c r="W218" t="s">
        <v>1210</v>
      </c>
      <c r="X218">
        <v>0</v>
      </c>
      <c r="Y218" t="s">
        <v>1210</v>
      </c>
      <c r="Z218">
        <v>0</v>
      </c>
      <c r="AA218" t="s">
        <v>1210</v>
      </c>
      <c r="AB218" t="s">
        <v>1210</v>
      </c>
      <c r="AC218" t="s">
        <v>1210</v>
      </c>
      <c r="AD218" t="s">
        <v>1210</v>
      </c>
      <c r="AE218">
        <v>0</v>
      </c>
      <c r="AF218" t="s">
        <v>1210</v>
      </c>
      <c r="AG218" t="s">
        <v>1210</v>
      </c>
      <c r="AH218" t="s">
        <v>1210</v>
      </c>
    </row>
    <row r="219" spans="1:34">
      <c r="A219" t="s">
        <v>801</v>
      </c>
      <c r="B219" t="s">
        <v>797</v>
      </c>
      <c r="C219" t="s">
        <v>255</v>
      </c>
      <c r="D219" t="s">
        <v>533</v>
      </c>
      <c r="E219" t="s">
        <v>821</v>
      </c>
      <c r="F219" t="s">
        <v>799</v>
      </c>
      <c r="G219" t="s">
        <v>864</v>
      </c>
      <c r="H219" t="s">
        <v>822</v>
      </c>
      <c r="I219" t="s">
        <v>260</v>
      </c>
      <c r="J219" t="s">
        <v>1210</v>
      </c>
      <c r="K219">
        <v>1</v>
      </c>
      <c r="L219">
        <v>1</v>
      </c>
      <c r="M219" t="s">
        <v>38</v>
      </c>
      <c r="N219">
        <v>1</v>
      </c>
      <c r="O219">
        <v>1</v>
      </c>
      <c r="P219">
        <v>1</v>
      </c>
      <c r="Q219" t="s">
        <v>46</v>
      </c>
      <c r="R219">
        <v>1</v>
      </c>
      <c r="S219">
        <v>0</v>
      </c>
      <c r="T219" t="s">
        <v>1210</v>
      </c>
      <c r="U219" t="s">
        <v>1210</v>
      </c>
      <c r="V219" t="s">
        <v>1210</v>
      </c>
      <c r="W219" t="s">
        <v>1210</v>
      </c>
      <c r="X219">
        <v>0</v>
      </c>
      <c r="Y219" t="s">
        <v>1210</v>
      </c>
      <c r="Z219">
        <v>0</v>
      </c>
      <c r="AA219" t="s">
        <v>1210</v>
      </c>
      <c r="AB219" t="s">
        <v>1210</v>
      </c>
      <c r="AC219" t="s">
        <v>1210</v>
      </c>
      <c r="AD219" t="s">
        <v>1210</v>
      </c>
      <c r="AE219">
        <v>0</v>
      </c>
      <c r="AF219" t="s">
        <v>1210</v>
      </c>
      <c r="AG219" t="s">
        <v>1210</v>
      </c>
      <c r="AH219" t="s">
        <v>1210</v>
      </c>
    </row>
    <row r="220" spans="1:34">
      <c r="A220" t="s">
        <v>801</v>
      </c>
      <c r="B220" t="s">
        <v>797</v>
      </c>
      <c r="C220" t="s">
        <v>255</v>
      </c>
      <c r="D220" t="s">
        <v>533</v>
      </c>
      <c r="E220" t="s">
        <v>1210</v>
      </c>
      <c r="F220" t="s">
        <v>802</v>
      </c>
      <c r="G220" t="s">
        <v>864</v>
      </c>
      <c r="H220" t="s">
        <v>823</v>
      </c>
      <c r="I220" t="s">
        <v>260</v>
      </c>
      <c r="J220" t="s">
        <v>1210</v>
      </c>
      <c r="K220">
        <v>1</v>
      </c>
      <c r="L220">
        <v>1</v>
      </c>
      <c r="M220" t="s">
        <v>38</v>
      </c>
      <c r="N220">
        <v>1</v>
      </c>
      <c r="O220">
        <v>1</v>
      </c>
      <c r="P220">
        <v>1</v>
      </c>
      <c r="Q220" t="s">
        <v>47</v>
      </c>
      <c r="R220">
        <v>1</v>
      </c>
      <c r="S220">
        <v>0</v>
      </c>
      <c r="T220" t="s">
        <v>1210</v>
      </c>
      <c r="U220" t="s">
        <v>1210</v>
      </c>
      <c r="V220" t="s">
        <v>1210</v>
      </c>
      <c r="W220" t="s">
        <v>1210</v>
      </c>
      <c r="X220">
        <v>0</v>
      </c>
      <c r="Y220" t="s">
        <v>1210</v>
      </c>
      <c r="Z220">
        <v>0</v>
      </c>
      <c r="AA220" t="s">
        <v>1210</v>
      </c>
      <c r="AB220" t="s">
        <v>1210</v>
      </c>
      <c r="AC220" t="s">
        <v>1210</v>
      </c>
      <c r="AD220" t="s">
        <v>1210</v>
      </c>
      <c r="AE220">
        <v>0</v>
      </c>
      <c r="AF220" t="s">
        <v>1210</v>
      </c>
      <c r="AG220" t="s">
        <v>1210</v>
      </c>
      <c r="AH220" t="s">
        <v>1210</v>
      </c>
    </row>
    <row r="221" spans="1:34">
      <c r="A221" t="s">
        <v>801</v>
      </c>
      <c r="B221" t="s">
        <v>797</v>
      </c>
      <c r="C221" t="s">
        <v>255</v>
      </c>
      <c r="D221" t="s">
        <v>533</v>
      </c>
      <c r="E221" t="s">
        <v>1210</v>
      </c>
      <c r="F221" t="s">
        <v>804</v>
      </c>
      <c r="G221" t="s">
        <v>864</v>
      </c>
      <c r="H221" t="s">
        <v>824</v>
      </c>
      <c r="I221" t="s">
        <v>260</v>
      </c>
      <c r="J221" t="s">
        <v>1210</v>
      </c>
      <c r="K221">
        <v>1</v>
      </c>
      <c r="L221">
        <v>1</v>
      </c>
      <c r="M221" t="s">
        <v>38</v>
      </c>
      <c r="N221">
        <v>1</v>
      </c>
      <c r="O221">
        <v>1</v>
      </c>
      <c r="P221">
        <v>1</v>
      </c>
      <c r="Q221" t="s">
        <v>47</v>
      </c>
      <c r="R221">
        <v>1</v>
      </c>
      <c r="S221">
        <v>0</v>
      </c>
      <c r="T221" t="s">
        <v>1210</v>
      </c>
      <c r="U221" t="s">
        <v>1210</v>
      </c>
      <c r="V221" t="s">
        <v>1210</v>
      </c>
      <c r="W221" t="s">
        <v>1210</v>
      </c>
      <c r="X221">
        <v>0</v>
      </c>
      <c r="Y221" t="s">
        <v>1210</v>
      </c>
      <c r="Z221">
        <v>0</v>
      </c>
      <c r="AA221" t="s">
        <v>1210</v>
      </c>
      <c r="AB221" t="s">
        <v>1210</v>
      </c>
      <c r="AC221" t="s">
        <v>1210</v>
      </c>
      <c r="AD221" t="s">
        <v>1210</v>
      </c>
      <c r="AE221">
        <v>0</v>
      </c>
      <c r="AF221" t="s">
        <v>1210</v>
      </c>
      <c r="AG221" t="s">
        <v>1210</v>
      </c>
      <c r="AH221" t="s">
        <v>1210</v>
      </c>
    </row>
    <row r="222" spans="1:34">
      <c r="A222" t="s">
        <v>801</v>
      </c>
      <c r="B222" t="s">
        <v>797</v>
      </c>
      <c r="C222" t="s">
        <v>255</v>
      </c>
      <c r="D222" t="s">
        <v>533</v>
      </c>
      <c r="E222" t="s">
        <v>1210</v>
      </c>
      <c r="F222" t="s">
        <v>806</v>
      </c>
      <c r="G222" t="s">
        <v>864</v>
      </c>
      <c r="H222" t="s">
        <v>825</v>
      </c>
      <c r="I222" t="s">
        <v>260</v>
      </c>
      <c r="J222" t="s">
        <v>1210</v>
      </c>
      <c r="K222">
        <v>1</v>
      </c>
      <c r="L222">
        <v>1</v>
      </c>
      <c r="M222" t="s">
        <v>38</v>
      </c>
      <c r="N222">
        <v>1</v>
      </c>
      <c r="O222">
        <v>1</v>
      </c>
      <c r="P222">
        <v>1</v>
      </c>
      <c r="Q222" t="s">
        <v>47</v>
      </c>
      <c r="R222">
        <v>1</v>
      </c>
      <c r="S222">
        <v>0</v>
      </c>
      <c r="T222" t="s">
        <v>1210</v>
      </c>
      <c r="U222" t="s">
        <v>1210</v>
      </c>
      <c r="V222" t="s">
        <v>1210</v>
      </c>
      <c r="W222" t="s">
        <v>1210</v>
      </c>
      <c r="X222">
        <v>0</v>
      </c>
      <c r="Y222" t="s">
        <v>1210</v>
      </c>
      <c r="Z222">
        <v>0</v>
      </c>
      <c r="AA222" t="s">
        <v>1210</v>
      </c>
      <c r="AB222" t="s">
        <v>1210</v>
      </c>
      <c r="AC222" t="s">
        <v>1210</v>
      </c>
      <c r="AD222" t="s">
        <v>1210</v>
      </c>
      <c r="AE222">
        <v>0</v>
      </c>
      <c r="AF222" t="s">
        <v>1210</v>
      </c>
      <c r="AG222" t="s">
        <v>1210</v>
      </c>
      <c r="AH222" t="s">
        <v>1210</v>
      </c>
    </row>
    <row r="223" spans="1:34">
      <c r="A223" t="s">
        <v>801</v>
      </c>
      <c r="B223" t="s">
        <v>797</v>
      </c>
      <c r="C223" t="s">
        <v>255</v>
      </c>
      <c r="D223" t="s">
        <v>533</v>
      </c>
      <c r="E223" t="s">
        <v>1210</v>
      </c>
      <c r="F223" t="s">
        <v>808</v>
      </c>
      <c r="G223" t="s">
        <v>864</v>
      </c>
      <c r="H223" t="s">
        <v>826</v>
      </c>
      <c r="I223" t="s">
        <v>260</v>
      </c>
      <c r="J223" t="s">
        <v>1210</v>
      </c>
      <c r="K223">
        <v>1</v>
      </c>
      <c r="L223">
        <v>1</v>
      </c>
      <c r="M223" t="s">
        <v>38</v>
      </c>
      <c r="N223">
        <v>1</v>
      </c>
      <c r="O223">
        <v>1</v>
      </c>
      <c r="P223">
        <v>1</v>
      </c>
      <c r="Q223" t="s">
        <v>47</v>
      </c>
      <c r="R223">
        <v>1</v>
      </c>
      <c r="S223">
        <v>0</v>
      </c>
      <c r="T223" t="s">
        <v>1210</v>
      </c>
      <c r="U223" t="s">
        <v>1210</v>
      </c>
      <c r="V223" t="s">
        <v>1210</v>
      </c>
      <c r="W223" t="s">
        <v>1210</v>
      </c>
      <c r="X223">
        <v>0</v>
      </c>
      <c r="Y223" t="s">
        <v>1210</v>
      </c>
      <c r="Z223">
        <v>0</v>
      </c>
      <c r="AA223" t="s">
        <v>1210</v>
      </c>
      <c r="AB223" t="s">
        <v>1210</v>
      </c>
      <c r="AC223" t="s">
        <v>1210</v>
      </c>
      <c r="AD223" t="s">
        <v>1210</v>
      </c>
      <c r="AE223">
        <v>0</v>
      </c>
      <c r="AF223" t="s">
        <v>1210</v>
      </c>
      <c r="AG223" t="s">
        <v>1210</v>
      </c>
      <c r="AH223" t="s">
        <v>1210</v>
      </c>
    </row>
    <row r="224" spans="1:34">
      <c r="A224" t="s">
        <v>801</v>
      </c>
      <c r="B224" t="s">
        <v>797</v>
      </c>
      <c r="C224" t="s">
        <v>255</v>
      </c>
      <c r="D224" t="s">
        <v>533</v>
      </c>
      <c r="E224" t="s">
        <v>1210</v>
      </c>
      <c r="F224" t="s">
        <v>810</v>
      </c>
      <c r="G224" t="s">
        <v>864</v>
      </c>
      <c r="H224" t="s">
        <v>827</v>
      </c>
      <c r="I224" t="s">
        <v>260</v>
      </c>
      <c r="J224" t="s">
        <v>1210</v>
      </c>
      <c r="K224">
        <v>1</v>
      </c>
      <c r="L224">
        <v>1</v>
      </c>
      <c r="M224" t="s">
        <v>38</v>
      </c>
      <c r="N224">
        <v>1</v>
      </c>
      <c r="O224">
        <v>1</v>
      </c>
      <c r="P224">
        <v>1</v>
      </c>
      <c r="Q224" t="s">
        <v>47</v>
      </c>
      <c r="R224">
        <v>1</v>
      </c>
      <c r="S224">
        <v>0</v>
      </c>
      <c r="T224" t="s">
        <v>1210</v>
      </c>
      <c r="U224" t="s">
        <v>1210</v>
      </c>
      <c r="V224" t="s">
        <v>1210</v>
      </c>
      <c r="W224" t="s">
        <v>1210</v>
      </c>
      <c r="X224">
        <v>0</v>
      </c>
      <c r="Y224" t="s">
        <v>1210</v>
      </c>
      <c r="Z224">
        <v>0</v>
      </c>
      <c r="AA224" t="s">
        <v>1210</v>
      </c>
      <c r="AB224" t="s">
        <v>1210</v>
      </c>
      <c r="AC224" t="s">
        <v>1210</v>
      </c>
      <c r="AD224" t="s">
        <v>1210</v>
      </c>
      <c r="AE224">
        <v>0</v>
      </c>
      <c r="AF224" t="s">
        <v>1210</v>
      </c>
      <c r="AG224" t="s">
        <v>1210</v>
      </c>
      <c r="AH224" t="s">
        <v>1210</v>
      </c>
    </row>
    <row r="225" spans="1:34">
      <c r="A225" t="s">
        <v>801</v>
      </c>
      <c r="B225" t="s">
        <v>797</v>
      </c>
      <c r="C225" t="s">
        <v>255</v>
      </c>
      <c r="D225" t="s">
        <v>533</v>
      </c>
      <c r="E225" t="s">
        <v>1210</v>
      </c>
      <c r="F225" t="s">
        <v>812</v>
      </c>
      <c r="G225" t="s">
        <v>864</v>
      </c>
      <c r="H225" t="s">
        <v>828</v>
      </c>
      <c r="I225" t="s">
        <v>260</v>
      </c>
      <c r="J225" t="s">
        <v>1210</v>
      </c>
      <c r="K225">
        <v>1</v>
      </c>
      <c r="L225">
        <v>1</v>
      </c>
      <c r="M225" t="s">
        <v>38</v>
      </c>
      <c r="N225">
        <v>1</v>
      </c>
      <c r="O225">
        <v>1</v>
      </c>
      <c r="P225">
        <v>1</v>
      </c>
      <c r="Q225" t="s">
        <v>47</v>
      </c>
      <c r="R225">
        <v>1</v>
      </c>
      <c r="S225">
        <v>0</v>
      </c>
      <c r="T225" t="s">
        <v>1210</v>
      </c>
      <c r="U225" t="s">
        <v>1210</v>
      </c>
      <c r="V225" t="s">
        <v>1210</v>
      </c>
      <c r="W225" t="s">
        <v>1210</v>
      </c>
      <c r="X225">
        <v>0</v>
      </c>
      <c r="Y225" t="s">
        <v>1210</v>
      </c>
      <c r="Z225">
        <v>0</v>
      </c>
      <c r="AA225" t="s">
        <v>1210</v>
      </c>
      <c r="AB225" t="s">
        <v>1210</v>
      </c>
      <c r="AC225" t="s">
        <v>1210</v>
      </c>
      <c r="AD225" t="s">
        <v>1210</v>
      </c>
      <c r="AE225">
        <v>0</v>
      </c>
      <c r="AF225" t="s">
        <v>1210</v>
      </c>
      <c r="AG225" t="s">
        <v>1210</v>
      </c>
      <c r="AH225" t="s">
        <v>1210</v>
      </c>
    </row>
    <row r="226" spans="1:34">
      <c r="A226" t="s">
        <v>801</v>
      </c>
      <c r="B226" t="s">
        <v>797</v>
      </c>
      <c r="C226" t="s">
        <v>255</v>
      </c>
      <c r="D226" t="s">
        <v>533</v>
      </c>
      <c r="E226" t="s">
        <v>829</v>
      </c>
      <c r="F226" t="s">
        <v>830</v>
      </c>
      <c r="G226" t="s">
        <v>864</v>
      </c>
      <c r="H226" t="s">
        <v>831</v>
      </c>
      <c r="I226" t="s">
        <v>260</v>
      </c>
      <c r="J226" t="s">
        <v>1210</v>
      </c>
      <c r="K226">
        <v>1</v>
      </c>
      <c r="L226">
        <v>1</v>
      </c>
      <c r="M226" t="s">
        <v>38</v>
      </c>
      <c r="N226">
        <v>1</v>
      </c>
      <c r="O226">
        <v>1</v>
      </c>
      <c r="P226">
        <v>1</v>
      </c>
      <c r="Q226" t="s">
        <v>46</v>
      </c>
      <c r="R226">
        <v>1</v>
      </c>
      <c r="S226">
        <v>0</v>
      </c>
      <c r="T226" t="s">
        <v>1210</v>
      </c>
      <c r="U226" t="s">
        <v>1210</v>
      </c>
      <c r="V226" t="s">
        <v>1210</v>
      </c>
      <c r="W226" t="s">
        <v>1210</v>
      </c>
      <c r="X226">
        <v>0</v>
      </c>
      <c r="Y226" t="s">
        <v>1210</v>
      </c>
      <c r="Z226">
        <v>0</v>
      </c>
      <c r="AA226" t="s">
        <v>1210</v>
      </c>
      <c r="AB226" t="s">
        <v>1210</v>
      </c>
      <c r="AC226" t="s">
        <v>1210</v>
      </c>
      <c r="AD226" t="s">
        <v>1210</v>
      </c>
      <c r="AE226">
        <v>0</v>
      </c>
      <c r="AF226" t="s">
        <v>1210</v>
      </c>
      <c r="AG226" t="s">
        <v>1210</v>
      </c>
      <c r="AH226" t="s">
        <v>1210</v>
      </c>
    </row>
    <row r="227" spans="1:34">
      <c r="A227" t="s">
        <v>801</v>
      </c>
      <c r="B227" t="s">
        <v>797</v>
      </c>
      <c r="C227" t="s">
        <v>255</v>
      </c>
      <c r="D227" t="s">
        <v>533</v>
      </c>
      <c r="E227" t="s">
        <v>829</v>
      </c>
      <c r="F227" t="s">
        <v>832</v>
      </c>
      <c r="G227" t="s">
        <v>864</v>
      </c>
      <c r="H227" t="s">
        <v>833</v>
      </c>
      <c r="I227" t="s">
        <v>260</v>
      </c>
      <c r="J227" t="s">
        <v>1210</v>
      </c>
      <c r="K227">
        <v>1</v>
      </c>
      <c r="L227">
        <v>1</v>
      </c>
      <c r="M227" t="s">
        <v>38</v>
      </c>
      <c r="N227">
        <v>1</v>
      </c>
      <c r="O227">
        <v>1</v>
      </c>
      <c r="P227">
        <v>1</v>
      </c>
      <c r="Q227" t="s">
        <v>47</v>
      </c>
      <c r="R227">
        <v>1</v>
      </c>
      <c r="S227">
        <v>0</v>
      </c>
      <c r="T227" t="s">
        <v>1210</v>
      </c>
      <c r="U227" t="s">
        <v>1210</v>
      </c>
      <c r="V227" t="s">
        <v>1210</v>
      </c>
      <c r="W227" t="s">
        <v>1210</v>
      </c>
      <c r="X227">
        <v>0</v>
      </c>
      <c r="Y227" t="s">
        <v>1210</v>
      </c>
      <c r="Z227">
        <v>0</v>
      </c>
      <c r="AA227" t="s">
        <v>1210</v>
      </c>
      <c r="AB227" t="s">
        <v>1210</v>
      </c>
      <c r="AC227" t="s">
        <v>1210</v>
      </c>
      <c r="AD227" t="s">
        <v>1210</v>
      </c>
      <c r="AE227">
        <v>0</v>
      </c>
      <c r="AF227" t="s">
        <v>1210</v>
      </c>
      <c r="AG227" t="s">
        <v>1210</v>
      </c>
      <c r="AH227" t="s">
        <v>1210</v>
      </c>
    </row>
    <row r="228" spans="1:34">
      <c r="A228" t="s">
        <v>801</v>
      </c>
      <c r="B228" t="s">
        <v>797</v>
      </c>
      <c r="C228" t="s">
        <v>255</v>
      </c>
      <c r="D228" t="s">
        <v>533</v>
      </c>
      <c r="E228" t="s">
        <v>829</v>
      </c>
      <c r="F228" t="s">
        <v>834</v>
      </c>
      <c r="G228" t="s">
        <v>864</v>
      </c>
      <c r="H228" t="s">
        <v>835</v>
      </c>
      <c r="I228" t="s">
        <v>260</v>
      </c>
      <c r="J228" t="s">
        <v>1210</v>
      </c>
      <c r="K228">
        <v>1</v>
      </c>
      <c r="L228">
        <v>1</v>
      </c>
      <c r="M228" t="s">
        <v>38</v>
      </c>
      <c r="N228">
        <v>1</v>
      </c>
      <c r="O228">
        <v>1</v>
      </c>
      <c r="P228">
        <v>1</v>
      </c>
      <c r="Q228" t="s">
        <v>47</v>
      </c>
      <c r="R228">
        <v>1</v>
      </c>
      <c r="S228">
        <v>0</v>
      </c>
      <c r="T228" t="s">
        <v>1210</v>
      </c>
      <c r="U228" t="s">
        <v>1210</v>
      </c>
      <c r="V228" t="s">
        <v>1210</v>
      </c>
      <c r="W228" t="s">
        <v>1210</v>
      </c>
      <c r="X228">
        <v>0</v>
      </c>
      <c r="Y228" t="s">
        <v>1210</v>
      </c>
      <c r="Z228">
        <v>0</v>
      </c>
      <c r="AA228" t="s">
        <v>1210</v>
      </c>
      <c r="AB228" t="s">
        <v>1210</v>
      </c>
      <c r="AC228" t="s">
        <v>1210</v>
      </c>
      <c r="AD228" t="s">
        <v>1210</v>
      </c>
      <c r="AE228">
        <v>0</v>
      </c>
      <c r="AF228" t="s">
        <v>1210</v>
      </c>
      <c r="AG228" t="s">
        <v>1210</v>
      </c>
      <c r="AH228" t="s">
        <v>1210</v>
      </c>
    </row>
    <row r="229" spans="1:34">
      <c r="A229" t="s">
        <v>801</v>
      </c>
      <c r="B229" t="s">
        <v>797</v>
      </c>
      <c r="C229" t="s">
        <v>255</v>
      </c>
      <c r="D229" t="s">
        <v>533</v>
      </c>
      <c r="E229" t="s">
        <v>829</v>
      </c>
      <c r="F229" t="s">
        <v>836</v>
      </c>
      <c r="G229" t="s">
        <v>864</v>
      </c>
      <c r="H229" t="s">
        <v>837</v>
      </c>
      <c r="I229" t="s">
        <v>260</v>
      </c>
      <c r="J229" t="s">
        <v>1210</v>
      </c>
      <c r="K229">
        <v>1</v>
      </c>
      <c r="L229">
        <v>1</v>
      </c>
      <c r="M229" t="s">
        <v>38</v>
      </c>
      <c r="N229">
        <v>1</v>
      </c>
      <c r="O229">
        <v>1</v>
      </c>
      <c r="P229">
        <v>1</v>
      </c>
      <c r="Q229" t="s">
        <v>47</v>
      </c>
      <c r="R229">
        <v>1</v>
      </c>
      <c r="S229">
        <v>0</v>
      </c>
      <c r="T229" t="s">
        <v>1210</v>
      </c>
      <c r="U229" t="s">
        <v>1210</v>
      </c>
      <c r="V229" t="s">
        <v>1210</v>
      </c>
      <c r="W229" t="s">
        <v>1210</v>
      </c>
      <c r="X229">
        <v>0</v>
      </c>
      <c r="Y229" t="s">
        <v>1210</v>
      </c>
      <c r="Z229">
        <v>0</v>
      </c>
      <c r="AA229" t="s">
        <v>1210</v>
      </c>
      <c r="AB229" t="s">
        <v>1210</v>
      </c>
      <c r="AC229" t="s">
        <v>1210</v>
      </c>
      <c r="AD229" t="s">
        <v>1210</v>
      </c>
      <c r="AE229">
        <v>0</v>
      </c>
      <c r="AF229" t="s">
        <v>1210</v>
      </c>
      <c r="AG229" t="s">
        <v>1210</v>
      </c>
      <c r="AH229" t="s">
        <v>1210</v>
      </c>
    </row>
    <row r="230" spans="1:34">
      <c r="A230" t="s">
        <v>801</v>
      </c>
      <c r="B230" t="s">
        <v>797</v>
      </c>
      <c r="C230" t="s">
        <v>255</v>
      </c>
      <c r="D230" t="s">
        <v>533</v>
      </c>
      <c r="E230" t="s">
        <v>1210</v>
      </c>
      <c r="F230" t="s">
        <v>838</v>
      </c>
      <c r="G230" t="s">
        <v>864</v>
      </c>
      <c r="H230" t="s">
        <v>839</v>
      </c>
      <c r="I230" t="s">
        <v>260</v>
      </c>
      <c r="J230" t="s">
        <v>1210</v>
      </c>
      <c r="K230">
        <v>1</v>
      </c>
      <c r="L230">
        <v>1</v>
      </c>
      <c r="M230" t="s">
        <v>38</v>
      </c>
      <c r="N230">
        <v>1</v>
      </c>
      <c r="O230">
        <v>1</v>
      </c>
      <c r="P230">
        <v>1</v>
      </c>
      <c r="Q230" t="s">
        <v>47</v>
      </c>
      <c r="R230">
        <v>1</v>
      </c>
      <c r="S230">
        <v>0</v>
      </c>
      <c r="T230" t="s">
        <v>1210</v>
      </c>
      <c r="U230" t="s">
        <v>1210</v>
      </c>
      <c r="V230" t="s">
        <v>1210</v>
      </c>
      <c r="W230" t="s">
        <v>1210</v>
      </c>
      <c r="X230">
        <v>0</v>
      </c>
      <c r="Y230" t="s">
        <v>1210</v>
      </c>
      <c r="Z230">
        <v>0</v>
      </c>
      <c r="AA230" t="s">
        <v>1210</v>
      </c>
      <c r="AB230" t="s">
        <v>1210</v>
      </c>
      <c r="AC230" t="s">
        <v>1210</v>
      </c>
      <c r="AD230" t="s">
        <v>1210</v>
      </c>
      <c r="AE230">
        <v>0</v>
      </c>
      <c r="AF230" t="s">
        <v>1210</v>
      </c>
      <c r="AG230" t="s">
        <v>1210</v>
      </c>
      <c r="AH230" t="s">
        <v>1210</v>
      </c>
    </row>
    <row r="231" spans="1:34">
      <c r="A231" t="s">
        <v>801</v>
      </c>
      <c r="B231" t="s">
        <v>797</v>
      </c>
      <c r="C231" t="s">
        <v>255</v>
      </c>
      <c r="D231" t="s">
        <v>533</v>
      </c>
      <c r="E231" t="s">
        <v>1210</v>
      </c>
      <c r="F231" t="s">
        <v>840</v>
      </c>
      <c r="G231" t="s">
        <v>864</v>
      </c>
      <c r="H231" t="s">
        <v>841</v>
      </c>
      <c r="I231" t="s">
        <v>260</v>
      </c>
      <c r="J231" t="s">
        <v>1210</v>
      </c>
      <c r="K231">
        <v>1</v>
      </c>
      <c r="L231">
        <v>1</v>
      </c>
      <c r="M231" t="s">
        <v>38</v>
      </c>
      <c r="N231">
        <v>1</v>
      </c>
      <c r="O231">
        <v>1</v>
      </c>
      <c r="P231">
        <v>1</v>
      </c>
      <c r="Q231" t="s">
        <v>47</v>
      </c>
      <c r="R231">
        <v>1</v>
      </c>
      <c r="S231">
        <v>0</v>
      </c>
      <c r="T231" t="s">
        <v>1210</v>
      </c>
      <c r="U231" t="s">
        <v>1210</v>
      </c>
      <c r="V231" t="s">
        <v>1210</v>
      </c>
      <c r="W231" t="s">
        <v>1210</v>
      </c>
      <c r="X231">
        <v>0</v>
      </c>
      <c r="Y231" t="s">
        <v>1210</v>
      </c>
      <c r="Z231">
        <v>0</v>
      </c>
      <c r="AA231" t="s">
        <v>1210</v>
      </c>
      <c r="AB231" t="s">
        <v>1210</v>
      </c>
      <c r="AC231" t="s">
        <v>1210</v>
      </c>
      <c r="AD231" t="s">
        <v>1210</v>
      </c>
      <c r="AE231">
        <v>0</v>
      </c>
      <c r="AF231" t="s">
        <v>1210</v>
      </c>
      <c r="AG231" t="s">
        <v>1210</v>
      </c>
      <c r="AH231" t="s">
        <v>1210</v>
      </c>
    </row>
    <row r="232" spans="1:34">
      <c r="A232" t="s">
        <v>801</v>
      </c>
      <c r="B232" t="s">
        <v>797</v>
      </c>
      <c r="C232" t="s">
        <v>255</v>
      </c>
      <c r="D232" t="s">
        <v>533</v>
      </c>
      <c r="E232" t="s">
        <v>1210</v>
      </c>
      <c r="F232" t="s">
        <v>842</v>
      </c>
      <c r="G232" t="s">
        <v>864</v>
      </c>
      <c r="H232" t="s">
        <v>843</v>
      </c>
      <c r="I232" t="s">
        <v>260</v>
      </c>
      <c r="J232" t="s">
        <v>1210</v>
      </c>
      <c r="K232">
        <v>1</v>
      </c>
      <c r="L232">
        <v>1</v>
      </c>
      <c r="M232" t="s">
        <v>38</v>
      </c>
      <c r="N232">
        <v>1</v>
      </c>
      <c r="O232">
        <v>1</v>
      </c>
      <c r="P232">
        <v>1</v>
      </c>
      <c r="Q232" t="s">
        <v>47</v>
      </c>
      <c r="R232">
        <v>1</v>
      </c>
      <c r="S232">
        <v>0</v>
      </c>
      <c r="T232" t="s">
        <v>1210</v>
      </c>
      <c r="U232" t="s">
        <v>1210</v>
      </c>
      <c r="V232" t="s">
        <v>1210</v>
      </c>
      <c r="W232" t="s">
        <v>1210</v>
      </c>
      <c r="X232">
        <v>0</v>
      </c>
      <c r="Y232" t="s">
        <v>1210</v>
      </c>
      <c r="Z232">
        <v>0</v>
      </c>
      <c r="AA232" t="s">
        <v>1210</v>
      </c>
      <c r="AB232" t="s">
        <v>1210</v>
      </c>
      <c r="AC232" t="s">
        <v>1210</v>
      </c>
      <c r="AD232" t="s">
        <v>1210</v>
      </c>
      <c r="AE232">
        <v>0</v>
      </c>
      <c r="AF232" t="s">
        <v>1210</v>
      </c>
      <c r="AG232" t="s">
        <v>1210</v>
      </c>
      <c r="AH232" t="s">
        <v>1210</v>
      </c>
    </row>
    <row r="233" spans="1:34" ht="15.95" customHeight="1">
      <c r="A233" t="s">
        <v>801</v>
      </c>
      <c r="B233" t="s">
        <v>797</v>
      </c>
      <c r="C233" t="s">
        <v>255</v>
      </c>
      <c r="D233" t="s">
        <v>533</v>
      </c>
      <c r="E233" t="s">
        <v>1210</v>
      </c>
      <c r="F233" t="s">
        <v>844</v>
      </c>
      <c r="G233" t="s">
        <v>864</v>
      </c>
      <c r="H233" t="s">
        <v>845</v>
      </c>
      <c r="I233" t="s">
        <v>260</v>
      </c>
      <c r="J233" t="s">
        <v>1210</v>
      </c>
      <c r="K233">
        <v>1</v>
      </c>
      <c r="L233">
        <v>1</v>
      </c>
      <c r="M233" t="s">
        <v>38</v>
      </c>
      <c r="N233">
        <v>1</v>
      </c>
      <c r="O233">
        <v>1</v>
      </c>
      <c r="P233">
        <v>1</v>
      </c>
      <c r="Q233" t="s">
        <v>47</v>
      </c>
      <c r="R233">
        <v>1</v>
      </c>
      <c r="S233">
        <v>0</v>
      </c>
      <c r="T233" t="s">
        <v>1210</v>
      </c>
      <c r="U233" t="s">
        <v>1210</v>
      </c>
      <c r="V233" t="s">
        <v>1210</v>
      </c>
      <c r="W233" t="s">
        <v>1210</v>
      </c>
      <c r="X233">
        <v>0</v>
      </c>
      <c r="Y233" t="s">
        <v>1210</v>
      </c>
      <c r="Z233">
        <v>0</v>
      </c>
      <c r="AA233" t="s">
        <v>1210</v>
      </c>
      <c r="AB233" t="s">
        <v>1210</v>
      </c>
      <c r="AC233" t="s">
        <v>1210</v>
      </c>
      <c r="AD233" t="s">
        <v>1210</v>
      </c>
      <c r="AE233">
        <v>0</v>
      </c>
      <c r="AF233" t="s">
        <v>1210</v>
      </c>
      <c r="AG233" t="s">
        <v>1210</v>
      </c>
      <c r="AH233" t="s">
        <v>1210</v>
      </c>
    </row>
    <row r="234" spans="1:34" ht="15.95" customHeight="1">
      <c r="A234" t="s">
        <v>801</v>
      </c>
      <c r="B234" t="s">
        <v>797</v>
      </c>
      <c r="C234" t="s">
        <v>255</v>
      </c>
      <c r="D234" t="s">
        <v>533</v>
      </c>
      <c r="E234" t="s">
        <v>1210</v>
      </c>
      <c r="F234" t="s">
        <v>846</v>
      </c>
      <c r="G234" t="s">
        <v>864</v>
      </c>
      <c r="H234" t="s">
        <v>847</v>
      </c>
      <c r="I234" t="s">
        <v>260</v>
      </c>
      <c r="J234" t="s">
        <v>1210</v>
      </c>
      <c r="K234">
        <v>1</v>
      </c>
      <c r="L234">
        <v>1</v>
      </c>
      <c r="M234" t="s">
        <v>38</v>
      </c>
      <c r="N234">
        <v>1</v>
      </c>
      <c r="O234">
        <v>1</v>
      </c>
      <c r="P234">
        <v>1</v>
      </c>
      <c r="Q234" t="s">
        <v>47</v>
      </c>
      <c r="R234">
        <v>1</v>
      </c>
      <c r="S234">
        <v>0</v>
      </c>
      <c r="T234" t="s">
        <v>1210</v>
      </c>
      <c r="U234" t="s">
        <v>1210</v>
      </c>
      <c r="V234" t="s">
        <v>1210</v>
      </c>
      <c r="W234" t="s">
        <v>1210</v>
      </c>
      <c r="X234">
        <v>0</v>
      </c>
      <c r="Y234" t="s">
        <v>1210</v>
      </c>
      <c r="Z234">
        <v>0</v>
      </c>
      <c r="AA234" t="s">
        <v>1210</v>
      </c>
      <c r="AB234" t="s">
        <v>1210</v>
      </c>
      <c r="AC234" t="s">
        <v>1210</v>
      </c>
      <c r="AD234" t="s">
        <v>1210</v>
      </c>
      <c r="AE234">
        <v>0</v>
      </c>
      <c r="AF234" t="s">
        <v>1210</v>
      </c>
      <c r="AG234" t="s">
        <v>1210</v>
      </c>
      <c r="AH234" t="s">
        <v>1210</v>
      </c>
    </row>
    <row r="235" spans="1:34">
      <c r="A235" t="s">
        <v>848</v>
      </c>
      <c r="B235" t="s">
        <v>974</v>
      </c>
      <c r="C235" t="s">
        <v>255</v>
      </c>
      <c r="D235" t="s">
        <v>533</v>
      </c>
      <c r="E235" t="s">
        <v>1210</v>
      </c>
      <c r="F235" t="s">
        <v>849</v>
      </c>
      <c r="G235" t="s">
        <v>864</v>
      </c>
      <c r="H235" t="s">
        <v>850</v>
      </c>
      <c r="I235" t="s">
        <v>260</v>
      </c>
      <c r="J235" t="s">
        <v>1210</v>
      </c>
      <c r="K235">
        <v>1</v>
      </c>
      <c r="L235">
        <v>1</v>
      </c>
      <c r="M235" t="s">
        <v>33</v>
      </c>
      <c r="N235">
        <v>1</v>
      </c>
      <c r="O235">
        <v>1</v>
      </c>
      <c r="P235">
        <v>1</v>
      </c>
      <c r="Q235" t="s">
        <v>47</v>
      </c>
      <c r="R235">
        <v>1</v>
      </c>
      <c r="S235">
        <v>0</v>
      </c>
      <c r="T235" t="s">
        <v>1210</v>
      </c>
      <c r="U235" t="s">
        <v>1210</v>
      </c>
      <c r="V235" t="s">
        <v>1210</v>
      </c>
      <c r="W235" t="s">
        <v>1210</v>
      </c>
      <c r="X235">
        <v>0</v>
      </c>
      <c r="Y235" t="s">
        <v>1210</v>
      </c>
      <c r="Z235">
        <v>0</v>
      </c>
      <c r="AA235" t="s">
        <v>1210</v>
      </c>
      <c r="AB235" t="s">
        <v>1210</v>
      </c>
      <c r="AC235" t="s">
        <v>1210</v>
      </c>
      <c r="AD235" t="s">
        <v>1210</v>
      </c>
      <c r="AE235">
        <v>0</v>
      </c>
      <c r="AF235" t="s">
        <v>1210</v>
      </c>
      <c r="AG235" t="s">
        <v>1210</v>
      </c>
      <c r="AH235" t="s">
        <v>1210</v>
      </c>
    </row>
    <row r="236" spans="1:34" ht="15.6" customHeight="1">
      <c r="A236" t="s">
        <v>848</v>
      </c>
      <c r="B236" t="s">
        <v>974</v>
      </c>
      <c r="C236" t="s">
        <v>255</v>
      </c>
      <c r="D236" t="s">
        <v>533</v>
      </c>
      <c r="E236" t="s">
        <v>1210</v>
      </c>
      <c r="F236" t="s">
        <v>849</v>
      </c>
      <c r="G236" t="s">
        <v>864</v>
      </c>
      <c r="H236" t="s">
        <v>851</v>
      </c>
      <c r="I236" t="s">
        <v>260</v>
      </c>
      <c r="J236" t="s">
        <v>1210</v>
      </c>
      <c r="K236">
        <v>1</v>
      </c>
      <c r="L236">
        <v>1</v>
      </c>
      <c r="M236" t="s">
        <v>33</v>
      </c>
      <c r="N236">
        <v>1</v>
      </c>
      <c r="O236">
        <v>1</v>
      </c>
      <c r="P236">
        <v>1</v>
      </c>
      <c r="Q236" t="s">
        <v>47</v>
      </c>
      <c r="R236">
        <v>1</v>
      </c>
      <c r="S236">
        <v>0</v>
      </c>
      <c r="T236" t="s">
        <v>1210</v>
      </c>
      <c r="U236" t="s">
        <v>1210</v>
      </c>
      <c r="V236" t="s">
        <v>1210</v>
      </c>
      <c r="W236" t="s">
        <v>1210</v>
      </c>
      <c r="X236">
        <v>0</v>
      </c>
      <c r="Y236" t="s">
        <v>1210</v>
      </c>
      <c r="Z236">
        <v>0</v>
      </c>
      <c r="AA236" t="s">
        <v>1210</v>
      </c>
      <c r="AB236" t="s">
        <v>1210</v>
      </c>
      <c r="AC236" t="s">
        <v>1210</v>
      </c>
      <c r="AD236" t="s">
        <v>1210</v>
      </c>
      <c r="AE236">
        <v>0</v>
      </c>
      <c r="AF236" t="s">
        <v>1210</v>
      </c>
      <c r="AG236" t="s">
        <v>1210</v>
      </c>
      <c r="AH236" t="s">
        <v>1210</v>
      </c>
    </row>
    <row r="237" spans="1:34">
      <c r="A237" t="s">
        <v>848</v>
      </c>
      <c r="B237" t="s">
        <v>974</v>
      </c>
      <c r="C237" t="s">
        <v>255</v>
      </c>
      <c r="D237" t="s">
        <v>533</v>
      </c>
      <c r="E237" t="s">
        <v>1210</v>
      </c>
      <c r="F237" t="s">
        <v>849</v>
      </c>
      <c r="G237" t="s">
        <v>864</v>
      </c>
      <c r="H237" t="s">
        <v>852</v>
      </c>
      <c r="I237" t="s">
        <v>260</v>
      </c>
      <c r="J237" t="s">
        <v>1210</v>
      </c>
      <c r="K237">
        <v>1</v>
      </c>
      <c r="L237">
        <v>1</v>
      </c>
      <c r="M237" t="s">
        <v>33</v>
      </c>
      <c r="N237">
        <v>1</v>
      </c>
      <c r="O237">
        <v>1</v>
      </c>
      <c r="P237">
        <v>1</v>
      </c>
      <c r="Q237" t="s">
        <v>47</v>
      </c>
      <c r="R237">
        <v>1</v>
      </c>
      <c r="S237">
        <v>0</v>
      </c>
      <c r="T237" t="s">
        <v>1210</v>
      </c>
      <c r="U237" t="s">
        <v>1210</v>
      </c>
      <c r="V237" t="s">
        <v>1210</v>
      </c>
      <c r="W237" t="s">
        <v>1210</v>
      </c>
      <c r="X237">
        <v>0</v>
      </c>
      <c r="Y237" t="s">
        <v>1210</v>
      </c>
      <c r="Z237">
        <v>0</v>
      </c>
      <c r="AA237" t="s">
        <v>1210</v>
      </c>
      <c r="AB237" t="s">
        <v>1210</v>
      </c>
      <c r="AC237" t="s">
        <v>1210</v>
      </c>
      <c r="AD237" t="s">
        <v>1210</v>
      </c>
      <c r="AE237">
        <v>0</v>
      </c>
      <c r="AF237" t="s">
        <v>1210</v>
      </c>
      <c r="AG237" t="s">
        <v>1210</v>
      </c>
      <c r="AH237" t="s">
        <v>1210</v>
      </c>
    </row>
    <row r="238" spans="1:34">
      <c r="A238" t="s">
        <v>848</v>
      </c>
      <c r="B238" t="s">
        <v>974</v>
      </c>
      <c r="C238" t="s">
        <v>255</v>
      </c>
      <c r="D238" t="s">
        <v>533</v>
      </c>
      <c r="E238" t="s">
        <v>1210</v>
      </c>
      <c r="F238" t="s">
        <v>849</v>
      </c>
      <c r="G238" t="s">
        <v>864</v>
      </c>
      <c r="H238" t="s">
        <v>853</v>
      </c>
      <c r="I238" t="s">
        <v>260</v>
      </c>
      <c r="J238" t="s">
        <v>1210</v>
      </c>
      <c r="K238">
        <v>1</v>
      </c>
      <c r="L238">
        <v>1</v>
      </c>
      <c r="M238" t="s">
        <v>33</v>
      </c>
      <c r="N238">
        <v>1</v>
      </c>
      <c r="O238">
        <v>1</v>
      </c>
      <c r="P238">
        <v>1</v>
      </c>
      <c r="Q238" t="s">
        <v>47</v>
      </c>
      <c r="R238">
        <v>1</v>
      </c>
      <c r="S238">
        <v>0</v>
      </c>
      <c r="T238" t="s">
        <v>1210</v>
      </c>
      <c r="U238" t="s">
        <v>1210</v>
      </c>
      <c r="V238" t="s">
        <v>1210</v>
      </c>
      <c r="W238" t="s">
        <v>1210</v>
      </c>
      <c r="X238">
        <v>0</v>
      </c>
      <c r="Y238" t="s">
        <v>1210</v>
      </c>
      <c r="Z238">
        <v>0</v>
      </c>
      <c r="AA238" t="s">
        <v>1210</v>
      </c>
      <c r="AB238" t="s">
        <v>1210</v>
      </c>
      <c r="AC238" t="s">
        <v>1210</v>
      </c>
      <c r="AD238" t="s">
        <v>1210</v>
      </c>
      <c r="AE238">
        <v>0</v>
      </c>
      <c r="AF238" t="s">
        <v>1210</v>
      </c>
      <c r="AG238" t="s">
        <v>1210</v>
      </c>
      <c r="AH238" t="s">
        <v>1210</v>
      </c>
    </row>
    <row r="239" spans="1:34">
      <c r="A239" t="s">
        <v>848</v>
      </c>
      <c r="B239" t="s">
        <v>974</v>
      </c>
      <c r="C239" t="s">
        <v>255</v>
      </c>
      <c r="D239" t="s">
        <v>533</v>
      </c>
      <c r="E239" t="s">
        <v>1210</v>
      </c>
      <c r="F239" t="s">
        <v>849</v>
      </c>
      <c r="G239" t="s">
        <v>864</v>
      </c>
      <c r="H239" t="s">
        <v>854</v>
      </c>
      <c r="I239" t="s">
        <v>260</v>
      </c>
      <c r="J239" t="s">
        <v>1210</v>
      </c>
      <c r="K239">
        <v>1</v>
      </c>
      <c r="L239">
        <v>1</v>
      </c>
      <c r="M239" t="s">
        <v>33</v>
      </c>
      <c r="N239">
        <v>1</v>
      </c>
      <c r="O239">
        <v>1</v>
      </c>
      <c r="P239">
        <v>1</v>
      </c>
      <c r="Q239" t="s">
        <v>47</v>
      </c>
      <c r="R239">
        <v>1</v>
      </c>
      <c r="S239">
        <v>0</v>
      </c>
      <c r="T239" t="s">
        <v>1210</v>
      </c>
      <c r="U239" t="s">
        <v>1210</v>
      </c>
      <c r="V239" t="s">
        <v>1210</v>
      </c>
      <c r="W239" t="s">
        <v>1210</v>
      </c>
      <c r="X239">
        <v>0</v>
      </c>
      <c r="Y239" t="s">
        <v>1210</v>
      </c>
      <c r="Z239">
        <v>0</v>
      </c>
      <c r="AA239" t="s">
        <v>1210</v>
      </c>
      <c r="AB239" t="s">
        <v>1210</v>
      </c>
      <c r="AC239" t="s">
        <v>1210</v>
      </c>
      <c r="AD239" t="s">
        <v>1210</v>
      </c>
      <c r="AE239">
        <v>0</v>
      </c>
      <c r="AF239" t="s">
        <v>1210</v>
      </c>
      <c r="AG239" t="s">
        <v>1210</v>
      </c>
      <c r="AH239" t="s">
        <v>1210</v>
      </c>
    </row>
    <row r="240" spans="1:34" ht="18.95" customHeight="1">
      <c r="A240" t="s">
        <v>848</v>
      </c>
      <c r="B240" t="s">
        <v>974</v>
      </c>
      <c r="C240" t="s">
        <v>255</v>
      </c>
      <c r="D240" t="s">
        <v>533</v>
      </c>
      <c r="E240" t="s">
        <v>1210</v>
      </c>
      <c r="F240" t="s">
        <v>855</v>
      </c>
      <c r="G240" t="s">
        <v>864</v>
      </c>
      <c r="H240" t="s">
        <v>856</v>
      </c>
      <c r="I240" t="s">
        <v>260</v>
      </c>
      <c r="J240" t="s">
        <v>1210</v>
      </c>
      <c r="K240">
        <v>1</v>
      </c>
      <c r="L240">
        <v>1</v>
      </c>
      <c r="M240" t="s">
        <v>33</v>
      </c>
      <c r="N240">
        <v>1</v>
      </c>
      <c r="O240">
        <v>1</v>
      </c>
      <c r="P240">
        <v>1</v>
      </c>
      <c r="Q240" t="s">
        <v>47</v>
      </c>
      <c r="R240">
        <v>1</v>
      </c>
      <c r="S240">
        <v>0</v>
      </c>
      <c r="T240" t="s">
        <v>1210</v>
      </c>
      <c r="U240" t="s">
        <v>1210</v>
      </c>
      <c r="V240" t="s">
        <v>1210</v>
      </c>
      <c r="W240" t="s">
        <v>1210</v>
      </c>
      <c r="X240">
        <v>0</v>
      </c>
      <c r="Y240" t="s">
        <v>1210</v>
      </c>
      <c r="Z240">
        <v>0</v>
      </c>
      <c r="AA240" t="s">
        <v>1210</v>
      </c>
      <c r="AB240" t="s">
        <v>1210</v>
      </c>
      <c r="AC240" t="s">
        <v>1210</v>
      </c>
      <c r="AD240" t="s">
        <v>1210</v>
      </c>
      <c r="AE240">
        <v>0</v>
      </c>
      <c r="AF240" t="s">
        <v>1210</v>
      </c>
      <c r="AG240" t="s">
        <v>1210</v>
      </c>
      <c r="AH240" t="s">
        <v>1210</v>
      </c>
    </row>
    <row r="241" spans="1:34" ht="18.95" customHeight="1">
      <c r="A241" t="s">
        <v>857</v>
      </c>
      <c r="B241" t="s">
        <v>858</v>
      </c>
      <c r="C241" t="s">
        <v>255</v>
      </c>
      <c r="D241" t="s">
        <v>256</v>
      </c>
      <c r="E241" t="s">
        <v>1210</v>
      </c>
      <c r="F241" t="s">
        <v>858</v>
      </c>
      <c r="G241" t="s">
        <v>864</v>
      </c>
      <c r="H241" t="s">
        <v>859</v>
      </c>
      <c r="I241" t="s">
        <v>260</v>
      </c>
      <c r="J241" t="s">
        <v>1210</v>
      </c>
      <c r="K241">
        <v>1</v>
      </c>
      <c r="L241">
        <v>1</v>
      </c>
      <c r="M241" t="s">
        <v>33</v>
      </c>
      <c r="N241">
        <v>1</v>
      </c>
      <c r="O241">
        <v>1</v>
      </c>
      <c r="P241">
        <v>1</v>
      </c>
      <c r="Q241" t="s">
        <v>46</v>
      </c>
      <c r="R241">
        <v>1</v>
      </c>
      <c r="S241">
        <v>0</v>
      </c>
      <c r="T241" t="s">
        <v>1210</v>
      </c>
      <c r="U241" t="s">
        <v>1210</v>
      </c>
      <c r="V241" t="s">
        <v>1210</v>
      </c>
      <c r="W241" t="s">
        <v>1210</v>
      </c>
      <c r="X241">
        <v>0</v>
      </c>
      <c r="Y241" t="s">
        <v>1210</v>
      </c>
      <c r="Z241">
        <v>0</v>
      </c>
      <c r="AA241" t="s">
        <v>1210</v>
      </c>
      <c r="AB241" t="s">
        <v>1210</v>
      </c>
      <c r="AC241">
        <v>0</v>
      </c>
      <c r="AD241" t="s">
        <v>1210</v>
      </c>
      <c r="AE241">
        <v>0</v>
      </c>
      <c r="AF241" t="s">
        <v>1210</v>
      </c>
      <c r="AG241" t="s">
        <v>1210</v>
      </c>
      <c r="AH241" t="s">
        <v>1210</v>
      </c>
    </row>
    <row r="242" spans="1:34" ht="18.95" customHeight="1">
      <c r="A242" t="s">
        <v>857</v>
      </c>
      <c r="B242" t="s">
        <v>858</v>
      </c>
      <c r="C242" t="s">
        <v>255</v>
      </c>
      <c r="D242" t="s">
        <v>256</v>
      </c>
      <c r="E242" t="s">
        <v>1210</v>
      </c>
      <c r="F242" t="s">
        <v>858</v>
      </c>
      <c r="G242" t="s">
        <v>864</v>
      </c>
      <c r="H242" t="s">
        <v>860</v>
      </c>
      <c r="I242" t="s">
        <v>260</v>
      </c>
      <c r="J242" t="s">
        <v>1210</v>
      </c>
      <c r="K242">
        <v>1</v>
      </c>
      <c r="L242">
        <v>1</v>
      </c>
      <c r="M242" t="s">
        <v>33</v>
      </c>
      <c r="N242">
        <v>1</v>
      </c>
      <c r="O242">
        <v>1</v>
      </c>
      <c r="P242">
        <v>1</v>
      </c>
      <c r="Q242" t="s">
        <v>46</v>
      </c>
      <c r="R242">
        <v>1</v>
      </c>
      <c r="S242">
        <v>0</v>
      </c>
      <c r="T242" t="s">
        <v>1210</v>
      </c>
      <c r="U242" t="s">
        <v>1210</v>
      </c>
      <c r="V242" t="s">
        <v>1210</v>
      </c>
      <c r="W242" t="s">
        <v>1210</v>
      </c>
      <c r="X242">
        <v>0</v>
      </c>
      <c r="Y242" t="s">
        <v>1210</v>
      </c>
      <c r="Z242">
        <v>0</v>
      </c>
      <c r="AA242" t="s">
        <v>1210</v>
      </c>
      <c r="AB242" t="s">
        <v>1210</v>
      </c>
      <c r="AC242">
        <v>0</v>
      </c>
      <c r="AD242" t="s">
        <v>1210</v>
      </c>
      <c r="AE242">
        <v>0</v>
      </c>
      <c r="AF242" t="s">
        <v>1210</v>
      </c>
      <c r="AG242" t="s">
        <v>1210</v>
      </c>
      <c r="AH242" t="s">
        <v>1210</v>
      </c>
    </row>
    <row r="243" spans="1:34" ht="18.95" customHeight="1">
      <c r="A243" t="s">
        <v>861</v>
      </c>
      <c r="B243" t="s">
        <v>941</v>
      </c>
      <c r="C243" t="s">
        <v>255</v>
      </c>
      <c r="D243" t="s">
        <v>256</v>
      </c>
      <c r="E243" t="s">
        <v>1210</v>
      </c>
      <c r="F243" t="s">
        <v>863</v>
      </c>
      <c r="G243" t="s">
        <v>984</v>
      </c>
      <c r="H243" t="s">
        <v>865</v>
      </c>
      <c r="I243" t="s">
        <v>279</v>
      </c>
      <c r="J243" t="s">
        <v>1210</v>
      </c>
      <c r="K243">
        <v>1</v>
      </c>
      <c r="L243">
        <v>1</v>
      </c>
      <c r="M243" t="s">
        <v>38</v>
      </c>
      <c r="N243">
        <v>1</v>
      </c>
      <c r="O243" t="s">
        <v>1210</v>
      </c>
      <c r="P243">
        <v>0</v>
      </c>
      <c r="Q243" t="s">
        <v>45</v>
      </c>
      <c r="R243">
        <v>1</v>
      </c>
      <c r="S243">
        <v>0</v>
      </c>
      <c r="T243" t="s">
        <v>1210</v>
      </c>
      <c r="U243" t="s">
        <v>866</v>
      </c>
      <c r="V243" t="s">
        <v>1210</v>
      </c>
      <c r="W243" t="s">
        <v>1210</v>
      </c>
      <c r="X243">
        <v>0</v>
      </c>
      <c r="Y243" t="s">
        <v>1210</v>
      </c>
      <c r="Z243">
        <v>0</v>
      </c>
      <c r="AA243" t="s">
        <v>1210</v>
      </c>
      <c r="AB243" t="s">
        <v>1210</v>
      </c>
      <c r="AC243" t="s">
        <v>1210</v>
      </c>
      <c r="AD243" t="s">
        <v>1210</v>
      </c>
      <c r="AE243">
        <v>0</v>
      </c>
      <c r="AF243" t="s">
        <v>1210</v>
      </c>
      <c r="AG243" t="s">
        <v>1210</v>
      </c>
      <c r="AH243" t="s">
        <v>1210</v>
      </c>
    </row>
    <row r="244" spans="1:34" ht="18.95" customHeight="1">
      <c r="A244" t="s">
        <v>861</v>
      </c>
      <c r="B244" t="s">
        <v>941</v>
      </c>
      <c r="C244" t="s">
        <v>255</v>
      </c>
      <c r="D244" t="s">
        <v>256</v>
      </c>
      <c r="E244" t="s">
        <v>1210</v>
      </c>
      <c r="F244" t="s">
        <v>867</v>
      </c>
      <c r="G244" t="s">
        <v>984</v>
      </c>
      <c r="H244" t="s">
        <v>868</v>
      </c>
      <c r="I244" t="s">
        <v>279</v>
      </c>
      <c r="J244" t="s">
        <v>1210</v>
      </c>
      <c r="K244">
        <v>1</v>
      </c>
      <c r="L244">
        <v>1</v>
      </c>
      <c r="M244" t="s">
        <v>38</v>
      </c>
      <c r="N244">
        <v>1</v>
      </c>
      <c r="O244" t="s">
        <v>1210</v>
      </c>
      <c r="P244">
        <v>0</v>
      </c>
      <c r="Q244" t="s">
        <v>45</v>
      </c>
      <c r="R244">
        <v>1</v>
      </c>
      <c r="S244">
        <v>0</v>
      </c>
      <c r="T244" t="s">
        <v>1210</v>
      </c>
      <c r="U244" t="s">
        <v>866</v>
      </c>
      <c r="V244" t="s">
        <v>1210</v>
      </c>
      <c r="W244" t="s">
        <v>1210</v>
      </c>
      <c r="X244">
        <v>0</v>
      </c>
      <c r="Y244" t="s">
        <v>1210</v>
      </c>
      <c r="Z244">
        <v>0</v>
      </c>
      <c r="AA244" t="s">
        <v>1210</v>
      </c>
      <c r="AB244" t="s">
        <v>1210</v>
      </c>
      <c r="AC244" t="s">
        <v>1210</v>
      </c>
      <c r="AD244" t="s">
        <v>1210</v>
      </c>
      <c r="AE244">
        <v>0</v>
      </c>
      <c r="AF244" t="s">
        <v>1210</v>
      </c>
      <c r="AG244" t="s">
        <v>1210</v>
      </c>
      <c r="AH244" t="s">
        <v>1210</v>
      </c>
    </row>
    <row r="245" spans="1:34" ht="18.95" customHeight="1">
      <c r="A245" t="s">
        <v>861</v>
      </c>
      <c r="B245" t="s">
        <v>941</v>
      </c>
      <c r="C245" t="s">
        <v>255</v>
      </c>
      <c r="D245" t="s">
        <v>256</v>
      </c>
      <c r="E245" t="s">
        <v>1210</v>
      </c>
      <c r="F245" t="s">
        <v>863</v>
      </c>
      <c r="G245" t="s">
        <v>984</v>
      </c>
      <c r="H245" t="s">
        <v>869</v>
      </c>
      <c r="I245" t="s">
        <v>279</v>
      </c>
      <c r="J245" t="s">
        <v>1210</v>
      </c>
      <c r="K245">
        <v>1</v>
      </c>
      <c r="L245">
        <v>1</v>
      </c>
      <c r="M245" t="s">
        <v>38</v>
      </c>
      <c r="N245">
        <v>1</v>
      </c>
      <c r="O245" t="s">
        <v>1210</v>
      </c>
      <c r="P245">
        <v>0</v>
      </c>
      <c r="Q245" t="s">
        <v>45</v>
      </c>
      <c r="R245">
        <v>1</v>
      </c>
      <c r="S245">
        <v>0</v>
      </c>
      <c r="T245" t="s">
        <v>1210</v>
      </c>
      <c r="U245" t="s">
        <v>866</v>
      </c>
      <c r="V245" t="s">
        <v>1210</v>
      </c>
      <c r="W245" t="s">
        <v>1210</v>
      </c>
      <c r="X245">
        <v>0</v>
      </c>
      <c r="Y245" t="s">
        <v>1210</v>
      </c>
      <c r="Z245">
        <v>0</v>
      </c>
      <c r="AA245" t="s">
        <v>1210</v>
      </c>
      <c r="AB245" t="s">
        <v>1210</v>
      </c>
      <c r="AC245" t="s">
        <v>1210</v>
      </c>
      <c r="AD245" t="s">
        <v>1210</v>
      </c>
      <c r="AE245">
        <v>0</v>
      </c>
      <c r="AF245" t="s">
        <v>1210</v>
      </c>
      <c r="AG245" t="s">
        <v>1210</v>
      </c>
      <c r="AH245" t="s">
        <v>1210</v>
      </c>
    </row>
    <row r="246" spans="1:34">
      <c r="A246" t="s">
        <v>861</v>
      </c>
      <c r="B246" t="s">
        <v>941</v>
      </c>
      <c r="C246" t="s">
        <v>255</v>
      </c>
      <c r="D246" t="s">
        <v>256</v>
      </c>
      <c r="E246" t="s">
        <v>1210</v>
      </c>
      <c r="F246" t="s">
        <v>867</v>
      </c>
      <c r="G246" t="s">
        <v>984</v>
      </c>
      <c r="H246" t="s">
        <v>870</v>
      </c>
      <c r="I246" t="s">
        <v>279</v>
      </c>
      <c r="J246" t="s">
        <v>1210</v>
      </c>
      <c r="K246">
        <v>1</v>
      </c>
      <c r="L246">
        <v>1</v>
      </c>
      <c r="M246" t="s">
        <v>38</v>
      </c>
      <c r="N246">
        <v>1</v>
      </c>
      <c r="O246" t="s">
        <v>1210</v>
      </c>
      <c r="P246">
        <v>0</v>
      </c>
      <c r="Q246" t="s">
        <v>45</v>
      </c>
      <c r="R246">
        <v>1</v>
      </c>
      <c r="S246">
        <v>0</v>
      </c>
      <c r="T246" t="s">
        <v>1210</v>
      </c>
      <c r="U246" t="s">
        <v>866</v>
      </c>
      <c r="V246" t="s">
        <v>1210</v>
      </c>
      <c r="W246" t="s">
        <v>1210</v>
      </c>
      <c r="X246">
        <v>0</v>
      </c>
      <c r="Y246" t="s">
        <v>1210</v>
      </c>
      <c r="Z246">
        <v>0</v>
      </c>
      <c r="AA246" t="s">
        <v>1210</v>
      </c>
      <c r="AB246" t="s">
        <v>1210</v>
      </c>
      <c r="AC246" t="s">
        <v>1210</v>
      </c>
      <c r="AD246" t="s">
        <v>1210</v>
      </c>
      <c r="AE246">
        <v>0</v>
      </c>
      <c r="AF246" t="s">
        <v>1210</v>
      </c>
      <c r="AG246" t="s">
        <v>1210</v>
      </c>
      <c r="AH246" t="s">
        <v>1210</v>
      </c>
    </row>
    <row r="247" spans="1:34" ht="18.95" customHeight="1">
      <c r="A247" t="s">
        <v>861</v>
      </c>
      <c r="B247" t="s">
        <v>941</v>
      </c>
      <c r="C247" t="s">
        <v>255</v>
      </c>
      <c r="D247" t="s">
        <v>256</v>
      </c>
      <c r="E247" t="s">
        <v>1210</v>
      </c>
      <c r="F247" t="s">
        <v>871</v>
      </c>
      <c r="G247" t="s">
        <v>984</v>
      </c>
      <c r="H247" t="s">
        <v>872</v>
      </c>
      <c r="I247" t="s">
        <v>279</v>
      </c>
      <c r="J247" t="s">
        <v>1210</v>
      </c>
      <c r="K247">
        <v>1</v>
      </c>
      <c r="L247">
        <v>1</v>
      </c>
      <c r="M247" t="s">
        <v>38</v>
      </c>
      <c r="N247">
        <v>1</v>
      </c>
      <c r="O247" t="s">
        <v>1210</v>
      </c>
      <c r="P247">
        <v>0</v>
      </c>
      <c r="Q247" t="s">
        <v>45</v>
      </c>
      <c r="R247">
        <v>1</v>
      </c>
      <c r="S247">
        <v>0</v>
      </c>
      <c r="T247" t="s">
        <v>1210</v>
      </c>
      <c r="U247" t="s">
        <v>866</v>
      </c>
      <c r="V247" t="s">
        <v>1210</v>
      </c>
      <c r="W247" t="s">
        <v>1210</v>
      </c>
      <c r="X247">
        <v>0</v>
      </c>
      <c r="Y247" t="s">
        <v>1210</v>
      </c>
      <c r="Z247">
        <v>0</v>
      </c>
      <c r="AA247" t="s">
        <v>1210</v>
      </c>
      <c r="AB247" t="s">
        <v>1210</v>
      </c>
      <c r="AC247" t="s">
        <v>1210</v>
      </c>
      <c r="AD247" t="s">
        <v>1210</v>
      </c>
      <c r="AE247">
        <v>0</v>
      </c>
      <c r="AF247" t="s">
        <v>1210</v>
      </c>
      <c r="AG247" t="s">
        <v>1210</v>
      </c>
      <c r="AH247" t="s">
        <v>1210</v>
      </c>
    </row>
    <row r="248" spans="1:34" ht="18.95" customHeight="1">
      <c r="A248" t="s">
        <v>861</v>
      </c>
      <c r="B248" t="s">
        <v>941</v>
      </c>
      <c r="C248" t="s">
        <v>255</v>
      </c>
      <c r="D248" t="s">
        <v>256</v>
      </c>
      <c r="E248" t="s">
        <v>1210</v>
      </c>
      <c r="F248" t="s">
        <v>873</v>
      </c>
      <c r="G248" t="s">
        <v>984</v>
      </c>
      <c r="H248" t="s">
        <v>874</v>
      </c>
      <c r="I248" t="s">
        <v>279</v>
      </c>
      <c r="J248" t="s">
        <v>1210</v>
      </c>
      <c r="K248">
        <v>1</v>
      </c>
      <c r="L248">
        <v>1</v>
      </c>
      <c r="M248" t="s">
        <v>38</v>
      </c>
      <c r="N248">
        <v>1</v>
      </c>
      <c r="O248" t="s">
        <v>1210</v>
      </c>
      <c r="P248">
        <v>0</v>
      </c>
      <c r="Q248" t="s">
        <v>45</v>
      </c>
      <c r="R248">
        <v>1</v>
      </c>
      <c r="S248">
        <v>0</v>
      </c>
      <c r="T248" t="s">
        <v>1210</v>
      </c>
      <c r="U248" t="s">
        <v>866</v>
      </c>
      <c r="V248" t="s">
        <v>1210</v>
      </c>
      <c r="W248" t="s">
        <v>1210</v>
      </c>
      <c r="X248">
        <v>0</v>
      </c>
      <c r="Y248" t="s">
        <v>1210</v>
      </c>
      <c r="Z248">
        <v>0</v>
      </c>
      <c r="AA248" t="s">
        <v>1210</v>
      </c>
      <c r="AB248" t="s">
        <v>1210</v>
      </c>
      <c r="AC248" t="s">
        <v>1210</v>
      </c>
      <c r="AD248" t="s">
        <v>1210</v>
      </c>
      <c r="AE248">
        <v>0</v>
      </c>
      <c r="AF248" t="s">
        <v>1210</v>
      </c>
      <c r="AG248" t="s">
        <v>1210</v>
      </c>
      <c r="AH248" t="s">
        <v>1210</v>
      </c>
    </row>
    <row r="249" spans="1:34" ht="18.95" customHeight="1">
      <c r="A249" t="s">
        <v>861</v>
      </c>
      <c r="B249" t="s">
        <v>941</v>
      </c>
      <c r="C249" t="s">
        <v>255</v>
      </c>
      <c r="D249" t="s">
        <v>256</v>
      </c>
      <c r="E249" t="s">
        <v>1210</v>
      </c>
      <c r="F249" t="s">
        <v>871</v>
      </c>
      <c r="G249" t="s">
        <v>984</v>
      </c>
      <c r="H249" t="s">
        <v>875</v>
      </c>
      <c r="I249" t="s">
        <v>279</v>
      </c>
      <c r="J249" t="s">
        <v>1210</v>
      </c>
      <c r="K249">
        <v>1</v>
      </c>
      <c r="L249">
        <v>1</v>
      </c>
      <c r="M249" t="s">
        <v>38</v>
      </c>
      <c r="N249">
        <v>1</v>
      </c>
      <c r="O249" t="s">
        <v>1210</v>
      </c>
      <c r="P249">
        <v>0</v>
      </c>
      <c r="Q249" t="s">
        <v>45</v>
      </c>
      <c r="R249">
        <v>1</v>
      </c>
      <c r="S249">
        <v>0</v>
      </c>
      <c r="T249" t="s">
        <v>1210</v>
      </c>
      <c r="U249" t="s">
        <v>866</v>
      </c>
      <c r="V249" t="s">
        <v>1210</v>
      </c>
      <c r="W249" t="s">
        <v>1210</v>
      </c>
      <c r="X249">
        <v>0</v>
      </c>
      <c r="Y249" t="s">
        <v>1210</v>
      </c>
      <c r="Z249">
        <v>0</v>
      </c>
      <c r="AA249" t="s">
        <v>1210</v>
      </c>
      <c r="AB249" t="s">
        <v>1210</v>
      </c>
      <c r="AC249" t="s">
        <v>1210</v>
      </c>
      <c r="AD249" t="s">
        <v>1210</v>
      </c>
      <c r="AE249">
        <v>0</v>
      </c>
      <c r="AF249" t="s">
        <v>1210</v>
      </c>
      <c r="AG249" t="s">
        <v>1210</v>
      </c>
      <c r="AH249" t="s">
        <v>1210</v>
      </c>
    </row>
    <row r="250" spans="1:34">
      <c r="A250" t="s">
        <v>861</v>
      </c>
      <c r="B250" t="s">
        <v>941</v>
      </c>
      <c r="C250" t="s">
        <v>255</v>
      </c>
      <c r="D250" t="s">
        <v>256</v>
      </c>
      <c r="E250" t="s">
        <v>1210</v>
      </c>
      <c r="F250" t="s">
        <v>873</v>
      </c>
      <c r="G250" t="s">
        <v>984</v>
      </c>
      <c r="H250" t="s">
        <v>876</v>
      </c>
      <c r="I250" t="s">
        <v>279</v>
      </c>
      <c r="J250" t="s">
        <v>1210</v>
      </c>
      <c r="K250">
        <v>1</v>
      </c>
      <c r="L250">
        <v>1</v>
      </c>
      <c r="M250" t="s">
        <v>38</v>
      </c>
      <c r="N250">
        <v>1</v>
      </c>
      <c r="O250" t="s">
        <v>1210</v>
      </c>
      <c r="P250">
        <v>0</v>
      </c>
      <c r="Q250" t="s">
        <v>45</v>
      </c>
      <c r="R250">
        <v>1</v>
      </c>
      <c r="S250">
        <v>0</v>
      </c>
      <c r="T250" t="s">
        <v>1210</v>
      </c>
      <c r="U250" t="s">
        <v>866</v>
      </c>
      <c r="V250" t="s">
        <v>1210</v>
      </c>
      <c r="W250" t="s">
        <v>1210</v>
      </c>
      <c r="X250">
        <v>0</v>
      </c>
      <c r="Y250" t="s">
        <v>1210</v>
      </c>
      <c r="Z250">
        <v>0</v>
      </c>
      <c r="AA250" t="s">
        <v>1210</v>
      </c>
      <c r="AB250" t="s">
        <v>1210</v>
      </c>
      <c r="AC250" t="s">
        <v>1210</v>
      </c>
      <c r="AD250" t="s">
        <v>1210</v>
      </c>
      <c r="AE250">
        <v>0</v>
      </c>
      <c r="AF250" t="s">
        <v>1210</v>
      </c>
      <c r="AG250" t="s">
        <v>1210</v>
      </c>
      <c r="AH250" t="s">
        <v>1210</v>
      </c>
    </row>
    <row r="251" spans="1:34" ht="18.95" customHeight="1">
      <c r="A251" t="s">
        <v>861</v>
      </c>
      <c r="B251" t="s">
        <v>941</v>
      </c>
      <c r="C251" t="s">
        <v>255</v>
      </c>
      <c r="D251" t="s">
        <v>256</v>
      </c>
      <c r="E251" t="s">
        <v>1210</v>
      </c>
      <c r="F251" t="s">
        <v>877</v>
      </c>
      <c r="G251" t="s">
        <v>984</v>
      </c>
      <c r="H251" t="s">
        <v>878</v>
      </c>
      <c r="I251" t="s">
        <v>279</v>
      </c>
      <c r="J251" t="s">
        <v>1210</v>
      </c>
      <c r="K251">
        <v>1</v>
      </c>
      <c r="L251">
        <v>1</v>
      </c>
      <c r="M251" t="s">
        <v>38</v>
      </c>
      <c r="N251">
        <v>1</v>
      </c>
      <c r="O251" t="s">
        <v>1210</v>
      </c>
      <c r="P251">
        <v>0</v>
      </c>
      <c r="Q251" t="s">
        <v>45</v>
      </c>
      <c r="R251">
        <v>1</v>
      </c>
      <c r="S251">
        <v>0</v>
      </c>
      <c r="T251" t="s">
        <v>1210</v>
      </c>
      <c r="U251" t="s">
        <v>866</v>
      </c>
      <c r="V251" t="s">
        <v>1210</v>
      </c>
      <c r="W251" t="s">
        <v>1210</v>
      </c>
      <c r="X251">
        <v>0</v>
      </c>
      <c r="Y251" t="s">
        <v>1210</v>
      </c>
      <c r="Z251">
        <v>0</v>
      </c>
      <c r="AA251" t="s">
        <v>1210</v>
      </c>
      <c r="AB251" t="s">
        <v>1210</v>
      </c>
      <c r="AC251" t="s">
        <v>1210</v>
      </c>
      <c r="AD251" t="s">
        <v>1210</v>
      </c>
      <c r="AE251">
        <v>0</v>
      </c>
      <c r="AF251" t="s">
        <v>1210</v>
      </c>
      <c r="AG251" t="s">
        <v>1210</v>
      </c>
      <c r="AH251" t="s">
        <v>1210</v>
      </c>
    </row>
    <row r="252" spans="1:34" ht="18.95" customHeight="1">
      <c r="A252" t="s">
        <v>861</v>
      </c>
      <c r="B252" t="s">
        <v>941</v>
      </c>
      <c r="C252" t="s">
        <v>255</v>
      </c>
      <c r="D252" t="s">
        <v>256</v>
      </c>
      <c r="E252" t="s">
        <v>1210</v>
      </c>
      <c r="F252" t="s">
        <v>879</v>
      </c>
      <c r="G252" t="s">
        <v>984</v>
      </c>
      <c r="H252" t="s">
        <v>880</v>
      </c>
      <c r="I252" t="s">
        <v>279</v>
      </c>
      <c r="J252" t="s">
        <v>1210</v>
      </c>
      <c r="K252">
        <v>1</v>
      </c>
      <c r="L252">
        <v>1</v>
      </c>
      <c r="M252" t="s">
        <v>38</v>
      </c>
      <c r="N252">
        <v>1</v>
      </c>
      <c r="O252" t="s">
        <v>1210</v>
      </c>
      <c r="P252">
        <v>0</v>
      </c>
      <c r="Q252" t="s">
        <v>45</v>
      </c>
      <c r="R252">
        <v>1</v>
      </c>
      <c r="S252">
        <v>0</v>
      </c>
      <c r="T252" t="s">
        <v>1210</v>
      </c>
      <c r="U252" t="s">
        <v>866</v>
      </c>
      <c r="V252" t="s">
        <v>1210</v>
      </c>
      <c r="W252" t="s">
        <v>1210</v>
      </c>
      <c r="X252">
        <v>0</v>
      </c>
      <c r="Y252" t="s">
        <v>1210</v>
      </c>
      <c r="Z252">
        <v>0</v>
      </c>
      <c r="AA252" t="s">
        <v>1210</v>
      </c>
      <c r="AB252" t="s">
        <v>1210</v>
      </c>
      <c r="AC252" t="s">
        <v>1210</v>
      </c>
      <c r="AD252" t="s">
        <v>1210</v>
      </c>
      <c r="AE252">
        <v>0</v>
      </c>
      <c r="AF252" t="s">
        <v>1210</v>
      </c>
      <c r="AG252" t="s">
        <v>1210</v>
      </c>
      <c r="AH252" t="s">
        <v>1210</v>
      </c>
    </row>
    <row r="253" spans="1:34" ht="18.95" customHeight="1">
      <c r="A253" t="s">
        <v>861</v>
      </c>
      <c r="B253" t="s">
        <v>941</v>
      </c>
      <c r="C253" t="s">
        <v>255</v>
      </c>
      <c r="D253" t="s">
        <v>256</v>
      </c>
      <c r="E253" t="s">
        <v>1210</v>
      </c>
      <c r="F253" t="s">
        <v>877</v>
      </c>
      <c r="G253" t="s">
        <v>984</v>
      </c>
      <c r="H253" t="s">
        <v>881</v>
      </c>
      <c r="I253" t="s">
        <v>279</v>
      </c>
      <c r="J253" t="s">
        <v>1210</v>
      </c>
      <c r="K253">
        <v>1</v>
      </c>
      <c r="L253">
        <v>1</v>
      </c>
      <c r="M253" t="s">
        <v>38</v>
      </c>
      <c r="N253">
        <v>1</v>
      </c>
      <c r="O253" t="s">
        <v>1210</v>
      </c>
      <c r="P253">
        <v>0</v>
      </c>
      <c r="Q253" t="s">
        <v>45</v>
      </c>
      <c r="R253">
        <v>1</v>
      </c>
      <c r="S253">
        <v>0</v>
      </c>
      <c r="T253" t="s">
        <v>1210</v>
      </c>
      <c r="U253" t="s">
        <v>866</v>
      </c>
      <c r="V253" t="s">
        <v>1210</v>
      </c>
      <c r="W253" t="s">
        <v>1210</v>
      </c>
      <c r="X253">
        <v>0</v>
      </c>
      <c r="Y253" t="s">
        <v>1210</v>
      </c>
      <c r="Z253">
        <v>0</v>
      </c>
      <c r="AA253" t="s">
        <v>1210</v>
      </c>
      <c r="AB253" t="s">
        <v>1210</v>
      </c>
      <c r="AC253" t="s">
        <v>1210</v>
      </c>
      <c r="AD253" t="s">
        <v>1210</v>
      </c>
      <c r="AE253">
        <v>0</v>
      </c>
      <c r="AF253" t="s">
        <v>1210</v>
      </c>
      <c r="AG253" t="s">
        <v>1210</v>
      </c>
      <c r="AH253" t="s">
        <v>1210</v>
      </c>
    </row>
    <row r="254" spans="1:34">
      <c r="A254" t="s">
        <v>861</v>
      </c>
      <c r="B254" t="s">
        <v>941</v>
      </c>
      <c r="C254" t="s">
        <v>255</v>
      </c>
      <c r="D254" t="s">
        <v>256</v>
      </c>
      <c r="E254" t="s">
        <v>1210</v>
      </c>
      <c r="F254" t="s">
        <v>879</v>
      </c>
      <c r="G254" t="s">
        <v>984</v>
      </c>
      <c r="H254" t="s">
        <v>882</v>
      </c>
      <c r="I254" t="s">
        <v>279</v>
      </c>
      <c r="J254" t="s">
        <v>1210</v>
      </c>
      <c r="K254">
        <v>1</v>
      </c>
      <c r="L254">
        <v>1</v>
      </c>
      <c r="M254" t="s">
        <v>38</v>
      </c>
      <c r="N254">
        <v>1</v>
      </c>
      <c r="O254" t="s">
        <v>1210</v>
      </c>
      <c r="P254">
        <v>0</v>
      </c>
      <c r="Q254" t="s">
        <v>45</v>
      </c>
      <c r="R254">
        <v>1</v>
      </c>
      <c r="S254">
        <v>0</v>
      </c>
      <c r="T254" t="s">
        <v>1210</v>
      </c>
      <c r="U254" t="s">
        <v>866</v>
      </c>
      <c r="V254" t="s">
        <v>1210</v>
      </c>
      <c r="W254" t="s">
        <v>1210</v>
      </c>
      <c r="X254">
        <v>0</v>
      </c>
      <c r="Y254" t="s">
        <v>1210</v>
      </c>
      <c r="Z254">
        <v>0</v>
      </c>
      <c r="AA254" t="s">
        <v>1210</v>
      </c>
      <c r="AB254" t="s">
        <v>1210</v>
      </c>
      <c r="AC254" t="s">
        <v>1210</v>
      </c>
      <c r="AD254" t="s">
        <v>1210</v>
      </c>
      <c r="AE254">
        <v>0</v>
      </c>
      <c r="AF254" t="s">
        <v>1210</v>
      </c>
      <c r="AG254" t="s">
        <v>1210</v>
      </c>
      <c r="AH254" t="s">
        <v>1210</v>
      </c>
    </row>
    <row r="255" spans="1:34" ht="18.95" customHeight="1">
      <c r="A255" t="s">
        <v>861</v>
      </c>
      <c r="B255" t="s">
        <v>941</v>
      </c>
      <c r="C255" t="s">
        <v>255</v>
      </c>
      <c r="D255" t="s">
        <v>256</v>
      </c>
      <c r="E255" t="s">
        <v>1210</v>
      </c>
      <c r="F255" t="s">
        <v>883</v>
      </c>
      <c r="G255" t="s">
        <v>984</v>
      </c>
      <c r="H255" t="s">
        <v>884</v>
      </c>
      <c r="I255" t="s">
        <v>279</v>
      </c>
      <c r="J255" t="s">
        <v>1210</v>
      </c>
      <c r="K255">
        <v>1</v>
      </c>
      <c r="L255">
        <v>1</v>
      </c>
      <c r="M255" t="s">
        <v>38</v>
      </c>
      <c r="N255">
        <v>1</v>
      </c>
      <c r="O255" t="s">
        <v>1210</v>
      </c>
      <c r="P255">
        <v>0</v>
      </c>
      <c r="Q255" t="s">
        <v>45</v>
      </c>
      <c r="R255">
        <v>1</v>
      </c>
      <c r="S255">
        <v>0</v>
      </c>
      <c r="T255" t="s">
        <v>1210</v>
      </c>
      <c r="U255" t="s">
        <v>866</v>
      </c>
      <c r="V255" t="s">
        <v>1210</v>
      </c>
      <c r="W255" t="s">
        <v>1210</v>
      </c>
      <c r="X255">
        <v>0</v>
      </c>
      <c r="Y255" t="s">
        <v>1210</v>
      </c>
      <c r="Z255">
        <v>0</v>
      </c>
      <c r="AA255" t="s">
        <v>1210</v>
      </c>
      <c r="AB255" t="s">
        <v>1210</v>
      </c>
      <c r="AC255" t="s">
        <v>1210</v>
      </c>
      <c r="AD255" t="s">
        <v>1210</v>
      </c>
      <c r="AE255">
        <v>0</v>
      </c>
      <c r="AF255" t="s">
        <v>1210</v>
      </c>
      <c r="AG255" t="s">
        <v>1210</v>
      </c>
      <c r="AH255" t="s">
        <v>1210</v>
      </c>
    </row>
    <row r="256" spans="1:34" ht="18.95" customHeight="1">
      <c r="A256" t="s">
        <v>861</v>
      </c>
      <c r="B256" t="s">
        <v>941</v>
      </c>
      <c r="C256" t="s">
        <v>255</v>
      </c>
      <c r="D256" t="s">
        <v>256</v>
      </c>
      <c r="E256" t="s">
        <v>1210</v>
      </c>
      <c r="F256" t="s">
        <v>885</v>
      </c>
      <c r="G256" t="s">
        <v>984</v>
      </c>
      <c r="H256" t="s">
        <v>886</v>
      </c>
      <c r="I256" t="s">
        <v>279</v>
      </c>
      <c r="J256" t="s">
        <v>1210</v>
      </c>
      <c r="K256">
        <v>1</v>
      </c>
      <c r="L256">
        <v>1</v>
      </c>
      <c r="M256" t="s">
        <v>38</v>
      </c>
      <c r="N256">
        <v>1</v>
      </c>
      <c r="O256" t="s">
        <v>1210</v>
      </c>
      <c r="P256">
        <v>0</v>
      </c>
      <c r="Q256" t="s">
        <v>45</v>
      </c>
      <c r="R256">
        <v>1</v>
      </c>
      <c r="S256">
        <v>0</v>
      </c>
      <c r="T256" t="s">
        <v>1210</v>
      </c>
      <c r="U256" t="s">
        <v>866</v>
      </c>
      <c r="V256" t="s">
        <v>1210</v>
      </c>
      <c r="W256" t="s">
        <v>1210</v>
      </c>
      <c r="X256">
        <v>0</v>
      </c>
      <c r="Y256" t="s">
        <v>1210</v>
      </c>
      <c r="Z256">
        <v>0</v>
      </c>
      <c r="AA256" t="s">
        <v>1210</v>
      </c>
      <c r="AB256" t="s">
        <v>1210</v>
      </c>
      <c r="AC256" t="s">
        <v>1210</v>
      </c>
      <c r="AD256" t="s">
        <v>1210</v>
      </c>
      <c r="AE256">
        <v>0</v>
      </c>
      <c r="AF256" t="s">
        <v>1210</v>
      </c>
      <c r="AG256" t="s">
        <v>1210</v>
      </c>
      <c r="AH256" t="s">
        <v>1210</v>
      </c>
    </row>
    <row r="257" spans="1:34" ht="18.95" customHeight="1">
      <c r="A257" t="s">
        <v>861</v>
      </c>
      <c r="B257" t="s">
        <v>941</v>
      </c>
      <c r="C257" t="s">
        <v>255</v>
      </c>
      <c r="D257" t="s">
        <v>256</v>
      </c>
      <c r="E257" t="s">
        <v>1210</v>
      </c>
      <c r="F257" t="s">
        <v>883</v>
      </c>
      <c r="G257" t="s">
        <v>984</v>
      </c>
      <c r="H257" t="s">
        <v>887</v>
      </c>
      <c r="I257" t="s">
        <v>279</v>
      </c>
      <c r="J257" t="s">
        <v>1210</v>
      </c>
      <c r="K257">
        <v>1</v>
      </c>
      <c r="L257">
        <v>1</v>
      </c>
      <c r="M257" t="s">
        <v>38</v>
      </c>
      <c r="N257">
        <v>1</v>
      </c>
      <c r="O257" t="s">
        <v>1210</v>
      </c>
      <c r="P257">
        <v>0</v>
      </c>
      <c r="Q257" t="s">
        <v>45</v>
      </c>
      <c r="R257">
        <v>1</v>
      </c>
      <c r="S257">
        <v>0</v>
      </c>
      <c r="T257" t="s">
        <v>1210</v>
      </c>
      <c r="U257" t="s">
        <v>866</v>
      </c>
      <c r="V257" t="s">
        <v>1210</v>
      </c>
      <c r="W257" t="s">
        <v>1210</v>
      </c>
      <c r="X257">
        <v>0</v>
      </c>
      <c r="Y257" t="s">
        <v>1210</v>
      </c>
      <c r="Z257">
        <v>0</v>
      </c>
      <c r="AA257" t="s">
        <v>1210</v>
      </c>
      <c r="AB257" t="s">
        <v>1210</v>
      </c>
      <c r="AC257" t="s">
        <v>1210</v>
      </c>
      <c r="AD257" t="s">
        <v>1210</v>
      </c>
      <c r="AE257">
        <v>0</v>
      </c>
      <c r="AF257" t="s">
        <v>1210</v>
      </c>
      <c r="AG257" t="s">
        <v>1210</v>
      </c>
      <c r="AH257" t="s">
        <v>1210</v>
      </c>
    </row>
    <row r="258" spans="1:34">
      <c r="A258" t="s">
        <v>861</v>
      </c>
      <c r="B258" t="s">
        <v>941</v>
      </c>
      <c r="C258" t="s">
        <v>255</v>
      </c>
      <c r="D258" t="s">
        <v>256</v>
      </c>
      <c r="E258" t="s">
        <v>1210</v>
      </c>
      <c r="F258" t="s">
        <v>885</v>
      </c>
      <c r="G258" t="s">
        <v>984</v>
      </c>
      <c r="H258" t="s">
        <v>888</v>
      </c>
      <c r="I258" t="s">
        <v>279</v>
      </c>
      <c r="J258" t="s">
        <v>1210</v>
      </c>
      <c r="K258">
        <v>1</v>
      </c>
      <c r="L258">
        <v>1</v>
      </c>
      <c r="M258" t="s">
        <v>38</v>
      </c>
      <c r="N258">
        <v>1</v>
      </c>
      <c r="O258" t="s">
        <v>1210</v>
      </c>
      <c r="P258">
        <v>0</v>
      </c>
      <c r="Q258" t="s">
        <v>45</v>
      </c>
      <c r="R258">
        <v>1</v>
      </c>
      <c r="S258">
        <v>0</v>
      </c>
      <c r="T258" t="s">
        <v>1210</v>
      </c>
      <c r="U258" t="s">
        <v>866</v>
      </c>
      <c r="V258" t="s">
        <v>1210</v>
      </c>
      <c r="W258" t="s">
        <v>1210</v>
      </c>
      <c r="X258">
        <v>0</v>
      </c>
      <c r="Y258" t="s">
        <v>1210</v>
      </c>
      <c r="Z258">
        <v>0</v>
      </c>
      <c r="AA258" t="s">
        <v>1210</v>
      </c>
      <c r="AB258" t="s">
        <v>1210</v>
      </c>
      <c r="AC258" t="s">
        <v>1210</v>
      </c>
      <c r="AD258" t="s">
        <v>1210</v>
      </c>
      <c r="AE258">
        <v>0</v>
      </c>
      <c r="AF258" t="s">
        <v>1210</v>
      </c>
      <c r="AG258" t="s">
        <v>1210</v>
      </c>
      <c r="AH258" t="s">
        <v>1210</v>
      </c>
    </row>
    <row r="259" spans="1:34" ht="18.95" customHeight="1">
      <c r="A259" t="s">
        <v>861</v>
      </c>
      <c r="B259" t="s">
        <v>941</v>
      </c>
      <c r="C259" t="s">
        <v>255</v>
      </c>
      <c r="D259" t="s">
        <v>256</v>
      </c>
      <c r="E259" t="s">
        <v>1210</v>
      </c>
      <c r="F259" t="s">
        <v>889</v>
      </c>
      <c r="G259" t="s">
        <v>984</v>
      </c>
      <c r="H259" t="s">
        <v>890</v>
      </c>
      <c r="I259" t="s">
        <v>279</v>
      </c>
      <c r="J259" t="s">
        <v>1210</v>
      </c>
      <c r="K259">
        <v>1</v>
      </c>
      <c r="L259">
        <v>1</v>
      </c>
      <c r="M259" t="s">
        <v>38</v>
      </c>
      <c r="N259">
        <v>1</v>
      </c>
      <c r="O259" t="s">
        <v>1210</v>
      </c>
      <c r="P259">
        <v>0</v>
      </c>
      <c r="Q259" t="s">
        <v>45</v>
      </c>
      <c r="R259">
        <v>1</v>
      </c>
      <c r="S259">
        <v>0</v>
      </c>
      <c r="T259" t="s">
        <v>1210</v>
      </c>
      <c r="U259" t="s">
        <v>866</v>
      </c>
      <c r="V259" t="s">
        <v>1210</v>
      </c>
      <c r="W259" t="s">
        <v>1210</v>
      </c>
      <c r="X259">
        <v>0</v>
      </c>
      <c r="Y259" t="s">
        <v>1210</v>
      </c>
      <c r="Z259">
        <v>0</v>
      </c>
      <c r="AA259" t="s">
        <v>1210</v>
      </c>
      <c r="AB259" t="s">
        <v>1210</v>
      </c>
      <c r="AC259" t="s">
        <v>1210</v>
      </c>
      <c r="AD259" t="s">
        <v>1210</v>
      </c>
      <c r="AE259">
        <v>0</v>
      </c>
      <c r="AF259" t="s">
        <v>1210</v>
      </c>
      <c r="AG259" t="s">
        <v>1210</v>
      </c>
      <c r="AH259" t="s">
        <v>1210</v>
      </c>
    </row>
    <row r="260" spans="1:34" ht="18.95" customHeight="1">
      <c r="A260" t="s">
        <v>861</v>
      </c>
      <c r="B260" t="s">
        <v>941</v>
      </c>
      <c r="C260" t="s">
        <v>255</v>
      </c>
      <c r="D260" t="s">
        <v>256</v>
      </c>
      <c r="E260" t="s">
        <v>1210</v>
      </c>
      <c r="F260" t="s">
        <v>891</v>
      </c>
      <c r="G260" t="s">
        <v>984</v>
      </c>
      <c r="H260" t="s">
        <v>892</v>
      </c>
      <c r="I260" t="s">
        <v>279</v>
      </c>
      <c r="J260" t="s">
        <v>1210</v>
      </c>
      <c r="K260">
        <v>1</v>
      </c>
      <c r="L260">
        <v>1</v>
      </c>
      <c r="M260" t="s">
        <v>38</v>
      </c>
      <c r="N260">
        <v>1</v>
      </c>
      <c r="O260" t="s">
        <v>1210</v>
      </c>
      <c r="P260">
        <v>0</v>
      </c>
      <c r="Q260" t="s">
        <v>45</v>
      </c>
      <c r="R260">
        <v>1</v>
      </c>
      <c r="S260">
        <v>0</v>
      </c>
      <c r="T260" t="s">
        <v>1210</v>
      </c>
      <c r="U260" t="s">
        <v>866</v>
      </c>
      <c r="V260" t="s">
        <v>1210</v>
      </c>
      <c r="W260" t="s">
        <v>1210</v>
      </c>
      <c r="X260">
        <v>0</v>
      </c>
      <c r="Y260" t="s">
        <v>1210</v>
      </c>
      <c r="Z260">
        <v>0</v>
      </c>
      <c r="AA260" t="s">
        <v>1210</v>
      </c>
      <c r="AB260" t="s">
        <v>1210</v>
      </c>
      <c r="AC260" t="s">
        <v>1210</v>
      </c>
      <c r="AD260" t="s">
        <v>1210</v>
      </c>
      <c r="AE260">
        <v>0</v>
      </c>
      <c r="AF260" t="s">
        <v>1210</v>
      </c>
      <c r="AG260" t="s">
        <v>1210</v>
      </c>
      <c r="AH260" t="s">
        <v>1210</v>
      </c>
    </row>
    <row r="261" spans="1:34" ht="18.95" customHeight="1">
      <c r="A261" t="s">
        <v>861</v>
      </c>
      <c r="B261" t="s">
        <v>941</v>
      </c>
      <c r="C261" t="s">
        <v>255</v>
      </c>
      <c r="D261" t="s">
        <v>256</v>
      </c>
      <c r="E261" t="s">
        <v>1210</v>
      </c>
      <c r="F261" t="s">
        <v>889</v>
      </c>
      <c r="G261" t="s">
        <v>984</v>
      </c>
      <c r="H261" t="s">
        <v>893</v>
      </c>
      <c r="I261" t="s">
        <v>279</v>
      </c>
      <c r="J261" t="s">
        <v>1210</v>
      </c>
      <c r="K261">
        <v>1</v>
      </c>
      <c r="L261">
        <v>1</v>
      </c>
      <c r="M261" t="s">
        <v>38</v>
      </c>
      <c r="N261">
        <v>1</v>
      </c>
      <c r="O261" t="s">
        <v>1210</v>
      </c>
      <c r="P261">
        <v>0</v>
      </c>
      <c r="Q261" t="s">
        <v>45</v>
      </c>
      <c r="R261">
        <v>1</v>
      </c>
      <c r="S261">
        <v>0</v>
      </c>
      <c r="T261" t="s">
        <v>1210</v>
      </c>
      <c r="U261" t="s">
        <v>866</v>
      </c>
      <c r="V261" t="s">
        <v>1210</v>
      </c>
      <c r="W261" t="s">
        <v>1210</v>
      </c>
      <c r="X261">
        <v>0</v>
      </c>
      <c r="Y261" t="s">
        <v>1210</v>
      </c>
      <c r="Z261">
        <v>0</v>
      </c>
      <c r="AA261" t="s">
        <v>1210</v>
      </c>
      <c r="AB261" t="s">
        <v>1210</v>
      </c>
      <c r="AC261" t="s">
        <v>1210</v>
      </c>
      <c r="AD261" t="s">
        <v>1210</v>
      </c>
      <c r="AE261">
        <v>0</v>
      </c>
      <c r="AF261" t="s">
        <v>1210</v>
      </c>
      <c r="AG261" t="s">
        <v>1210</v>
      </c>
      <c r="AH261" t="s">
        <v>1210</v>
      </c>
    </row>
    <row r="262" spans="1:34">
      <c r="A262" t="s">
        <v>861</v>
      </c>
      <c r="B262" t="s">
        <v>941</v>
      </c>
      <c r="C262" t="s">
        <v>255</v>
      </c>
      <c r="D262" t="s">
        <v>256</v>
      </c>
      <c r="E262" t="s">
        <v>1210</v>
      </c>
      <c r="F262" t="s">
        <v>891</v>
      </c>
      <c r="G262" t="s">
        <v>984</v>
      </c>
      <c r="H262" t="s">
        <v>894</v>
      </c>
      <c r="I262" t="s">
        <v>279</v>
      </c>
      <c r="J262" t="s">
        <v>1210</v>
      </c>
      <c r="K262">
        <v>1</v>
      </c>
      <c r="L262">
        <v>1</v>
      </c>
      <c r="M262" t="s">
        <v>38</v>
      </c>
      <c r="N262">
        <v>1</v>
      </c>
      <c r="O262" t="s">
        <v>1210</v>
      </c>
      <c r="P262">
        <v>0</v>
      </c>
      <c r="Q262" t="s">
        <v>45</v>
      </c>
      <c r="R262">
        <v>1</v>
      </c>
      <c r="S262">
        <v>0</v>
      </c>
      <c r="T262" t="s">
        <v>1210</v>
      </c>
      <c r="U262" t="s">
        <v>866</v>
      </c>
      <c r="V262" t="s">
        <v>1210</v>
      </c>
      <c r="W262" t="s">
        <v>1210</v>
      </c>
      <c r="X262">
        <v>0</v>
      </c>
      <c r="Y262" t="s">
        <v>1210</v>
      </c>
      <c r="Z262">
        <v>0</v>
      </c>
      <c r="AA262" t="s">
        <v>1210</v>
      </c>
      <c r="AB262" t="s">
        <v>1210</v>
      </c>
      <c r="AC262" t="s">
        <v>1210</v>
      </c>
      <c r="AD262" t="s">
        <v>1210</v>
      </c>
      <c r="AE262">
        <v>0</v>
      </c>
      <c r="AF262" t="s">
        <v>1210</v>
      </c>
      <c r="AG262" t="s">
        <v>1210</v>
      </c>
      <c r="AH262" t="s">
        <v>1210</v>
      </c>
    </row>
    <row r="263" spans="1:34" ht="18.95" customHeight="1">
      <c r="A263" t="s">
        <v>861</v>
      </c>
      <c r="B263" t="s">
        <v>941</v>
      </c>
      <c r="C263" t="s">
        <v>255</v>
      </c>
      <c r="D263" t="s">
        <v>256</v>
      </c>
      <c r="E263" t="s">
        <v>1210</v>
      </c>
      <c r="F263" t="s">
        <v>895</v>
      </c>
      <c r="G263" t="s">
        <v>984</v>
      </c>
      <c r="H263" t="s">
        <v>896</v>
      </c>
      <c r="I263" t="s">
        <v>279</v>
      </c>
      <c r="J263" t="s">
        <v>1210</v>
      </c>
      <c r="K263">
        <v>1</v>
      </c>
      <c r="L263">
        <v>1</v>
      </c>
      <c r="M263" t="s">
        <v>38</v>
      </c>
      <c r="N263">
        <v>1</v>
      </c>
      <c r="O263" t="s">
        <v>1210</v>
      </c>
      <c r="P263">
        <v>0</v>
      </c>
      <c r="Q263" t="s">
        <v>45</v>
      </c>
      <c r="R263">
        <v>1</v>
      </c>
      <c r="S263">
        <v>0</v>
      </c>
      <c r="T263" t="s">
        <v>1210</v>
      </c>
      <c r="U263" t="s">
        <v>866</v>
      </c>
      <c r="V263" t="s">
        <v>1210</v>
      </c>
      <c r="W263" t="s">
        <v>1210</v>
      </c>
      <c r="X263">
        <v>0</v>
      </c>
      <c r="Y263" t="s">
        <v>1210</v>
      </c>
      <c r="Z263">
        <v>0</v>
      </c>
      <c r="AA263" t="s">
        <v>1210</v>
      </c>
      <c r="AB263" t="s">
        <v>1210</v>
      </c>
      <c r="AC263" t="s">
        <v>1210</v>
      </c>
      <c r="AD263" t="s">
        <v>1210</v>
      </c>
      <c r="AE263">
        <v>0</v>
      </c>
      <c r="AF263" t="s">
        <v>1210</v>
      </c>
      <c r="AG263" t="s">
        <v>1210</v>
      </c>
      <c r="AH263" t="s">
        <v>1210</v>
      </c>
    </row>
    <row r="264" spans="1:34" ht="18.95" customHeight="1">
      <c r="A264" t="s">
        <v>861</v>
      </c>
      <c r="B264" t="s">
        <v>941</v>
      </c>
      <c r="C264" t="s">
        <v>255</v>
      </c>
      <c r="D264" t="s">
        <v>256</v>
      </c>
      <c r="E264" t="s">
        <v>1210</v>
      </c>
      <c r="F264" t="s">
        <v>897</v>
      </c>
      <c r="G264" t="s">
        <v>984</v>
      </c>
      <c r="H264" t="s">
        <v>898</v>
      </c>
      <c r="I264" t="s">
        <v>279</v>
      </c>
      <c r="J264" t="s">
        <v>1210</v>
      </c>
      <c r="K264">
        <v>1</v>
      </c>
      <c r="L264">
        <v>1</v>
      </c>
      <c r="M264" t="s">
        <v>38</v>
      </c>
      <c r="N264">
        <v>1</v>
      </c>
      <c r="O264" t="s">
        <v>1210</v>
      </c>
      <c r="P264">
        <v>0</v>
      </c>
      <c r="Q264" t="s">
        <v>45</v>
      </c>
      <c r="R264">
        <v>1</v>
      </c>
      <c r="S264">
        <v>0</v>
      </c>
      <c r="T264" t="s">
        <v>1210</v>
      </c>
      <c r="U264" t="s">
        <v>866</v>
      </c>
      <c r="V264" t="s">
        <v>1210</v>
      </c>
      <c r="W264" t="s">
        <v>1210</v>
      </c>
      <c r="X264">
        <v>0</v>
      </c>
      <c r="Y264" t="s">
        <v>1210</v>
      </c>
      <c r="Z264">
        <v>0</v>
      </c>
      <c r="AA264" t="s">
        <v>1210</v>
      </c>
      <c r="AB264" t="s">
        <v>1210</v>
      </c>
      <c r="AC264" t="s">
        <v>1210</v>
      </c>
      <c r="AD264" t="s">
        <v>1210</v>
      </c>
      <c r="AE264">
        <v>0</v>
      </c>
      <c r="AF264" t="s">
        <v>1210</v>
      </c>
      <c r="AG264" t="s">
        <v>1210</v>
      </c>
      <c r="AH264" t="s">
        <v>1210</v>
      </c>
    </row>
    <row r="265" spans="1:34" ht="18.95" customHeight="1">
      <c r="A265" t="s">
        <v>861</v>
      </c>
      <c r="B265" t="s">
        <v>941</v>
      </c>
      <c r="C265" t="s">
        <v>255</v>
      </c>
      <c r="D265" t="s">
        <v>256</v>
      </c>
      <c r="E265" t="s">
        <v>1210</v>
      </c>
      <c r="F265" t="s">
        <v>895</v>
      </c>
      <c r="G265" t="s">
        <v>984</v>
      </c>
      <c r="H265" t="s">
        <v>899</v>
      </c>
      <c r="I265" t="s">
        <v>279</v>
      </c>
      <c r="J265" t="s">
        <v>1210</v>
      </c>
      <c r="K265">
        <v>1</v>
      </c>
      <c r="L265">
        <v>1</v>
      </c>
      <c r="M265" t="s">
        <v>38</v>
      </c>
      <c r="N265">
        <v>1</v>
      </c>
      <c r="O265" t="s">
        <v>1210</v>
      </c>
      <c r="P265">
        <v>0</v>
      </c>
      <c r="Q265" t="s">
        <v>45</v>
      </c>
      <c r="R265">
        <v>1</v>
      </c>
      <c r="S265">
        <v>0</v>
      </c>
      <c r="T265" t="s">
        <v>1210</v>
      </c>
      <c r="U265" t="s">
        <v>866</v>
      </c>
      <c r="V265" t="s">
        <v>1210</v>
      </c>
      <c r="W265" t="s">
        <v>1210</v>
      </c>
      <c r="X265">
        <v>0</v>
      </c>
      <c r="Y265" t="s">
        <v>1210</v>
      </c>
      <c r="Z265">
        <v>0</v>
      </c>
      <c r="AA265" t="s">
        <v>1210</v>
      </c>
      <c r="AB265" t="s">
        <v>1210</v>
      </c>
      <c r="AC265" t="s">
        <v>1210</v>
      </c>
      <c r="AD265" t="s">
        <v>1210</v>
      </c>
      <c r="AE265">
        <v>0</v>
      </c>
      <c r="AF265" t="s">
        <v>1210</v>
      </c>
      <c r="AG265" t="s">
        <v>1210</v>
      </c>
      <c r="AH265" t="s">
        <v>1210</v>
      </c>
    </row>
    <row r="266" spans="1:34">
      <c r="A266" t="s">
        <v>861</v>
      </c>
      <c r="B266" t="s">
        <v>941</v>
      </c>
      <c r="C266" t="s">
        <v>255</v>
      </c>
      <c r="D266" t="s">
        <v>256</v>
      </c>
      <c r="E266" t="s">
        <v>1210</v>
      </c>
      <c r="F266" t="s">
        <v>897</v>
      </c>
      <c r="G266" t="s">
        <v>984</v>
      </c>
      <c r="H266" t="s">
        <v>900</v>
      </c>
      <c r="I266" t="s">
        <v>279</v>
      </c>
      <c r="J266" t="s">
        <v>1210</v>
      </c>
      <c r="K266">
        <v>1</v>
      </c>
      <c r="L266">
        <v>1</v>
      </c>
      <c r="M266" t="s">
        <v>38</v>
      </c>
      <c r="N266">
        <v>1</v>
      </c>
      <c r="O266" t="s">
        <v>1210</v>
      </c>
      <c r="P266">
        <v>0</v>
      </c>
      <c r="Q266" t="s">
        <v>45</v>
      </c>
      <c r="R266">
        <v>1</v>
      </c>
      <c r="S266">
        <v>0</v>
      </c>
      <c r="T266" t="s">
        <v>1210</v>
      </c>
      <c r="U266" t="s">
        <v>866</v>
      </c>
      <c r="V266" t="s">
        <v>1210</v>
      </c>
      <c r="W266" t="s">
        <v>1210</v>
      </c>
      <c r="X266">
        <v>0</v>
      </c>
      <c r="Y266" t="s">
        <v>1210</v>
      </c>
      <c r="Z266">
        <v>0</v>
      </c>
      <c r="AA266" t="s">
        <v>1210</v>
      </c>
      <c r="AB266" t="s">
        <v>1210</v>
      </c>
      <c r="AC266" t="s">
        <v>1210</v>
      </c>
      <c r="AD266" t="s">
        <v>1210</v>
      </c>
      <c r="AE266">
        <v>0</v>
      </c>
      <c r="AF266" t="s">
        <v>1210</v>
      </c>
      <c r="AG266" t="s">
        <v>1210</v>
      </c>
      <c r="AH266" t="s">
        <v>1210</v>
      </c>
    </row>
    <row r="267" spans="1:34" ht="18.95" customHeight="1">
      <c r="A267" t="s">
        <v>861</v>
      </c>
      <c r="B267" t="s">
        <v>941</v>
      </c>
      <c r="C267" t="s">
        <v>255</v>
      </c>
      <c r="D267" t="s">
        <v>256</v>
      </c>
      <c r="E267" t="s">
        <v>1210</v>
      </c>
      <c r="F267" t="s">
        <v>901</v>
      </c>
      <c r="G267" t="s">
        <v>984</v>
      </c>
      <c r="H267" t="s">
        <v>902</v>
      </c>
      <c r="I267" t="s">
        <v>279</v>
      </c>
      <c r="J267" t="s">
        <v>1210</v>
      </c>
      <c r="K267">
        <v>1</v>
      </c>
      <c r="L267">
        <v>1</v>
      </c>
      <c r="M267" t="s">
        <v>38</v>
      </c>
      <c r="N267">
        <v>1</v>
      </c>
      <c r="O267" t="s">
        <v>1210</v>
      </c>
      <c r="P267">
        <v>0</v>
      </c>
      <c r="Q267" t="s">
        <v>45</v>
      </c>
      <c r="R267">
        <v>1</v>
      </c>
      <c r="S267">
        <v>0</v>
      </c>
      <c r="T267" t="s">
        <v>1210</v>
      </c>
      <c r="U267" t="s">
        <v>866</v>
      </c>
      <c r="V267" t="s">
        <v>1210</v>
      </c>
      <c r="W267" t="s">
        <v>1210</v>
      </c>
      <c r="X267">
        <v>0</v>
      </c>
      <c r="Y267" t="s">
        <v>1210</v>
      </c>
      <c r="Z267">
        <v>0</v>
      </c>
      <c r="AA267" t="s">
        <v>1210</v>
      </c>
      <c r="AB267" t="s">
        <v>1210</v>
      </c>
      <c r="AC267" t="s">
        <v>1210</v>
      </c>
      <c r="AD267" t="s">
        <v>1210</v>
      </c>
      <c r="AE267">
        <v>0</v>
      </c>
      <c r="AF267" t="s">
        <v>1210</v>
      </c>
      <c r="AG267" t="s">
        <v>1210</v>
      </c>
      <c r="AH267" t="s">
        <v>1210</v>
      </c>
    </row>
    <row r="268" spans="1:34" ht="18.95" customHeight="1">
      <c r="A268" t="s">
        <v>861</v>
      </c>
      <c r="B268" t="s">
        <v>941</v>
      </c>
      <c r="C268" t="s">
        <v>255</v>
      </c>
      <c r="D268" t="s">
        <v>256</v>
      </c>
      <c r="E268" t="s">
        <v>1210</v>
      </c>
      <c r="F268" t="s">
        <v>903</v>
      </c>
      <c r="G268" t="s">
        <v>984</v>
      </c>
      <c r="H268" t="s">
        <v>904</v>
      </c>
      <c r="I268" t="s">
        <v>279</v>
      </c>
      <c r="J268" t="s">
        <v>1210</v>
      </c>
      <c r="K268">
        <v>1</v>
      </c>
      <c r="L268">
        <v>1</v>
      </c>
      <c r="M268" t="s">
        <v>38</v>
      </c>
      <c r="N268">
        <v>1</v>
      </c>
      <c r="O268" t="s">
        <v>1210</v>
      </c>
      <c r="P268">
        <v>0</v>
      </c>
      <c r="Q268" t="s">
        <v>45</v>
      </c>
      <c r="R268">
        <v>1</v>
      </c>
      <c r="S268">
        <v>0</v>
      </c>
      <c r="T268" t="s">
        <v>1210</v>
      </c>
      <c r="U268" t="s">
        <v>866</v>
      </c>
      <c r="V268" t="s">
        <v>1210</v>
      </c>
      <c r="W268" t="s">
        <v>1210</v>
      </c>
      <c r="X268">
        <v>0</v>
      </c>
      <c r="Y268" t="s">
        <v>1210</v>
      </c>
      <c r="Z268">
        <v>0</v>
      </c>
      <c r="AA268" t="s">
        <v>1210</v>
      </c>
      <c r="AB268" t="s">
        <v>1210</v>
      </c>
      <c r="AC268" t="s">
        <v>1210</v>
      </c>
      <c r="AD268" t="s">
        <v>1210</v>
      </c>
      <c r="AE268">
        <v>0</v>
      </c>
      <c r="AF268" t="s">
        <v>1210</v>
      </c>
      <c r="AG268" t="s">
        <v>1210</v>
      </c>
      <c r="AH268" t="s">
        <v>1210</v>
      </c>
    </row>
    <row r="269" spans="1:34" ht="18.95" customHeight="1">
      <c r="A269" t="s">
        <v>861</v>
      </c>
      <c r="B269" t="s">
        <v>941</v>
      </c>
      <c r="C269" t="s">
        <v>255</v>
      </c>
      <c r="D269" t="s">
        <v>256</v>
      </c>
      <c r="E269" t="s">
        <v>1210</v>
      </c>
      <c r="F269" t="s">
        <v>901</v>
      </c>
      <c r="G269" t="s">
        <v>984</v>
      </c>
      <c r="H269" t="s">
        <v>905</v>
      </c>
      <c r="I269" t="s">
        <v>279</v>
      </c>
      <c r="J269" t="s">
        <v>1210</v>
      </c>
      <c r="K269">
        <v>1</v>
      </c>
      <c r="L269">
        <v>1</v>
      </c>
      <c r="M269" t="s">
        <v>38</v>
      </c>
      <c r="N269">
        <v>1</v>
      </c>
      <c r="O269" t="s">
        <v>1210</v>
      </c>
      <c r="P269">
        <v>0</v>
      </c>
      <c r="Q269" t="s">
        <v>45</v>
      </c>
      <c r="R269">
        <v>1</v>
      </c>
      <c r="S269">
        <v>0</v>
      </c>
      <c r="T269" t="s">
        <v>1210</v>
      </c>
      <c r="U269" t="s">
        <v>866</v>
      </c>
      <c r="V269" t="s">
        <v>1210</v>
      </c>
      <c r="W269" t="s">
        <v>1210</v>
      </c>
      <c r="X269">
        <v>0</v>
      </c>
      <c r="Y269" t="s">
        <v>1210</v>
      </c>
      <c r="Z269">
        <v>0</v>
      </c>
      <c r="AA269" t="s">
        <v>1210</v>
      </c>
      <c r="AB269" t="s">
        <v>1210</v>
      </c>
      <c r="AC269" t="s">
        <v>1210</v>
      </c>
      <c r="AD269" t="s">
        <v>1210</v>
      </c>
      <c r="AE269">
        <v>0</v>
      </c>
      <c r="AF269" t="s">
        <v>1210</v>
      </c>
      <c r="AG269" t="s">
        <v>1210</v>
      </c>
      <c r="AH269" t="s">
        <v>1210</v>
      </c>
    </row>
    <row r="270" spans="1:34">
      <c r="A270" t="s">
        <v>861</v>
      </c>
      <c r="B270" t="s">
        <v>941</v>
      </c>
      <c r="C270" t="s">
        <v>255</v>
      </c>
      <c r="D270" t="s">
        <v>256</v>
      </c>
      <c r="E270" t="s">
        <v>1210</v>
      </c>
      <c r="F270" t="s">
        <v>903</v>
      </c>
      <c r="G270" t="s">
        <v>984</v>
      </c>
      <c r="H270" t="s">
        <v>906</v>
      </c>
      <c r="I270" t="s">
        <v>279</v>
      </c>
      <c r="J270" t="s">
        <v>1210</v>
      </c>
      <c r="K270">
        <v>1</v>
      </c>
      <c r="L270">
        <v>1</v>
      </c>
      <c r="M270" t="s">
        <v>38</v>
      </c>
      <c r="N270">
        <v>1</v>
      </c>
      <c r="O270" t="s">
        <v>1210</v>
      </c>
      <c r="P270">
        <v>0</v>
      </c>
      <c r="Q270" t="s">
        <v>45</v>
      </c>
      <c r="R270">
        <v>1</v>
      </c>
      <c r="S270">
        <v>0</v>
      </c>
      <c r="T270" t="s">
        <v>1210</v>
      </c>
      <c r="U270" t="s">
        <v>866</v>
      </c>
      <c r="V270" t="s">
        <v>1210</v>
      </c>
      <c r="W270" t="s">
        <v>1210</v>
      </c>
      <c r="X270">
        <v>0</v>
      </c>
      <c r="Y270" t="s">
        <v>1210</v>
      </c>
      <c r="Z270">
        <v>0</v>
      </c>
      <c r="AA270" t="s">
        <v>1210</v>
      </c>
      <c r="AB270" t="s">
        <v>1210</v>
      </c>
      <c r="AC270" t="s">
        <v>1210</v>
      </c>
      <c r="AD270" t="s">
        <v>1210</v>
      </c>
      <c r="AE270">
        <v>0</v>
      </c>
      <c r="AF270" t="s">
        <v>1210</v>
      </c>
      <c r="AG270" t="s">
        <v>1210</v>
      </c>
      <c r="AH270" t="s">
        <v>1210</v>
      </c>
    </row>
    <row r="271" spans="1:34" ht="18.95" customHeight="1">
      <c r="A271" t="s">
        <v>861</v>
      </c>
      <c r="B271" t="s">
        <v>941</v>
      </c>
      <c r="C271" t="s">
        <v>255</v>
      </c>
      <c r="D271" t="s">
        <v>256</v>
      </c>
      <c r="E271" t="s">
        <v>1210</v>
      </c>
      <c r="F271" t="s">
        <v>907</v>
      </c>
      <c r="G271" t="s">
        <v>984</v>
      </c>
      <c r="H271" t="s">
        <v>908</v>
      </c>
      <c r="I271" t="s">
        <v>279</v>
      </c>
      <c r="J271" t="s">
        <v>1210</v>
      </c>
      <c r="K271">
        <v>1</v>
      </c>
      <c r="L271">
        <v>1</v>
      </c>
      <c r="M271" t="s">
        <v>38</v>
      </c>
      <c r="N271">
        <v>1</v>
      </c>
      <c r="O271" t="s">
        <v>1210</v>
      </c>
      <c r="P271">
        <v>0</v>
      </c>
      <c r="Q271" t="s">
        <v>45</v>
      </c>
      <c r="R271">
        <v>1</v>
      </c>
      <c r="S271">
        <v>0</v>
      </c>
      <c r="T271" t="s">
        <v>1210</v>
      </c>
      <c r="U271" t="s">
        <v>866</v>
      </c>
      <c r="V271" t="s">
        <v>1210</v>
      </c>
      <c r="W271" t="s">
        <v>1210</v>
      </c>
      <c r="X271">
        <v>0</v>
      </c>
      <c r="Y271" t="s">
        <v>1210</v>
      </c>
      <c r="Z271">
        <v>0</v>
      </c>
      <c r="AA271" t="s">
        <v>1210</v>
      </c>
      <c r="AB271" t="s">
        <v>1210</v>
      </c>
      <c r="AC271" t="s">
        <v>1210</v>
      </c>
      <c r="AD271" t="s">
        <v>1210</v>
      </c>
      <c r="AE271">
        <v>0</v>
      </c>
      <c r="AF271" t="s">
        <v>1210</v>
      </c>
      <c r="AG271" t="s">
        <v>1210</v>
      </c>
      <c r="AH271" t="s">
        <v>1210</v>
      </c>
    </row>
    <row r="272" spans="1:34" ht="18.95" customHeight="1">
      <c r="A272" t="s">
        <v>861</v>
      </c>
      <c r="B272" t="s">
        <v>941</v>
      </c>
      <c r="C272" t="s">
        <v>255</v>
      </c>
      <c r="D272" t="s">
        <v>256</v>
      </c>
      <c r="E272" t="s">
        <v>1210</v>
      </c>
      <c r="F272" t="s">
        <v>909</v>
      </c>
      <c r="G272" t="s">
        <v>984</v>
      </c>
      <c r="H272" t="s">
        <v>910</v>
      </c>
      <c r="I272" t="s">
        <v>279</v>
      </c>
      <c r="J272" t="s">
        <v>1210</v>
      </c>
      <c r="K272">
        <v>1</v>
      </c>
      <c r="L272">
        <v>1</v>
      </c>
      <c r="M272" t="s">
        <v>38</v>
      </c>
      <c r="N272">
        <v>1</v>
      </c>
      <c r="O272" t="s">
        <v>1210</v>
      </c>
      <c r="P272">
        <v>0</v>
      </c>
      <c r="Q272" t="s">
        <v>45</v>
      </c>
      <c r="R272">
        <v>1</v>
      </c>
      <c r="S272">
        <v>0</v>
      </c>
      <c r="T272" t="s">
        <v>1210</v>
      </c>
      <c r="U272" t="s">
        <v>866</v>
      </c>
      <c r="V272" t="s">
        <v>1210</v>
      </c>
      <c r="W272" t="s">
        <v>1210</v>
      </c>
      <c r="X272">
        <v>0</v>
      </c>
      <c r="Y272" t="s">
        <v>1210</v>
      </c>
      <c r="Z272">
        <v>0</v>
      </c>
      <c r="AA272" t="s">
        <v>1210</v>
      </c>
      <c r="AB272" t="s">
        <v>1210</v>
      </c>
      <c r="AC272" t="s">
        <v>1210</v>
      </c>
      <c r="AD272" t="s">
        <v>1210</v>
      </c>
      <c r="AE272">
        <v>0</v>
      </c>
      <c r="AF272" t="s">
        <v>1210</v>
      </c>
      <c r="AG272" t="s">
        <v>1210</v>
      </c>
      <c r="AH272" t="s">
        <v>1210</v>
      </c>
    </row>
    <row r="273" spans="1:34" ht="18.95" customHeight="1">
      <c r="A273" t="s">
        <v>861</v>
      </c>
      <c r="B273" t="s">
        <v>941</v>
      </c>
      <c r="C273" t="s">
        <v>255</v>
      </c>
      <c r="D273" t="s">
        <v>256</v>
      </c>
      <c r="E273" t="s">
        <v>1210</v>
      </c>
      <c r="F273" t="s">
        <v>907</v>
      </c>
      <c r="G273" t="s">
        <v>984</v>
      </c>
      <c r="H273" t="s">
        <v>911</v>
      </c>
      <c r="I273" t="s">
        <v>279</v>
      </c>
      <c r="J273" t="s">
        <v>1210</v>
      </c>
      <c r="K273">
        <v>1</v>
      </c>
      <c r="L273">
        <v>1</v>
      </c>
      <c r="M273" t="s">
        <v>38</v>
      </c>
      <c r="N273">
        <v>1</v>
      </c>
      <c r="O273" t="s">
        <v>1210</v>
      </c>
      <c r="P273">
        <v>0</v>
      </c>
      <c r="Q273" t="s">
        <v>45</v>
      </c>
      <c r="R273">
        <v>1</v>
      </c>
      <c r="S273">
        <v>0</v>
      </c>
      <c r="T273" t="s">
        <v>1210</v>
      </c>
      <c r="U273" t="s">
        <v>866</v>
      </c>
      <c r="V273" t="s">
        <v>1210</v>
      </c>
      <c r="W273" t="s">
        <v>1210</v>
      </c>
      <c r="X273">
        <v>0</v>
      </c>
      <c r="Y273" t="s">
        <v>1210</v>
      </c>
      <c r="Z273">
        <v>0</v>
      </c>
      <c r="AA273" t="s">
        <v>1210</v>
      </c>
      <c r="AB273" t="s">
        <v>1210</v>
      </c>
      <c r="AC273" t="s">
        <v>1210</v>
      </c>
      <c r="AD273" t="s">
        <v>1210</v>
      </c>
      <c r="AE273">
        <v>0</v>
      </c>
      <c r="AF273" t="s">
        <v>1210</v>
      </c>
      <c r="AG273" t="s">
        <v>1210</v>
      </c>
      <c r="AH273" t="s">
        <v>1210</v>
      </c>
    </row>
    <row r="274" spans="1:34">
      <c r="A274" t="s">
        <v>861</v>
      </c>
      <c r="B274" t="s">
        <v>941</v>
      </c>
      <c r="C274" t="s">
        <v>255</v>
      </c>
      <c r="D274" t="s">
        <v>256</v>
      </c>
      <c r="E274" t="s">
        <v>1210</v>
      </c>
      <c r="F274" t="s">
        <v>909</v>
      </c>
      <c r="G274" t="s">
        <v>984</v>
      </c>
      <c r="H274" t="s">
        <v>912</v>
      </c>
      <c r="I274" t="s">
        <v>279</v>
      </c>
      <c r="J274" t="s">
        <v>1210</v>
      </c>
      <c r="K274">
        <v>1</v>
      </c>
      <c r="L274">
        <v>1</v>
      </c>
      <c r="M274" t="s">
        <v>38</v>
      </c>
      <c r="N274">
        <v>1</v>
      </c>
      <c r="O274" t="s">
        <v>1210</v>
      </c>
      <c r="P274">
        <v>0</v>
      </c>
      <c r="Q274" t="s">
        <v>45</v>
      </c>
      <c r="R274">
        <v>1</v>
      </c>
      <c r="S274">
        <v>0</v>
      </c>
      <c r="T274" t="s">
        <v>1210</v>
      </c>
      <c r="U274" t="s">
        <v>866</v>
      </c>
      <c r="V274" t="s">
        <v>1210</v>
      </c>
      <c r="W274" t="s">
        <v>1210</v>
      </c>
      <c r="X274">
        <v>0</v>
      </c>
      <c r="Y274" t="s">
        <v>1210</v>
      </c>
      <c r="Z274">
        <v>0</v>
      </c>
      <c r="AA274" t="s">
        <v>1210</v>
      </c>
      <c r="AB274" t="s">
        <v>1210</v>
      </c>
      <c r="AC274" t="s">
        <v>1210</v>
      </c>
      <c r="AD274" t="s">
        <v>1210</v>
      </c>
      <c r="AE274">
        <v>0</v>
      </c>
      <c r="AF274" t="s">
        <v>1210</v>
      </c>
      <c r="AG274" t="s">
        <v>1210</v>
      </c>
      <c r="AH274" t="s">
        <v>1210</v>
      </c>
    </row>
    <row r="275" spans="1:34" ht="18.95" customHeight="1">
      <c r="A275" t="s">
        <v>861</v>
      </c>
      <c r="B275" t="s">
        <v>941</v>
      </c>
      <c r="C275" t="s">
        <v>255</v>
      </c>
      <c r="D275" t="s">
        <v>256</v>
      </c>
      <c r="E275" t="s">
        <v>1210</v>
      </c>
      <c r="F275" t="s">
        <v>913</v>
      </c>
      <c r="G275" t="s">
        <v>984</v>
      </c>
      <c r="H275" t="s">
        <v>914</v>
      </c>
      <c r="I275" t="s">
        <v>279</v>
      </c>
      <c r="J275" t="s">
        <v>1210</v>
      </c>
      <c r="K275">
        <v>1</v>
      </c>
      <c r="L275">
        <v>1</v>
      </c>
      <c r="M275" t="s">
        <v>38</v>
      </c>
      <c r="N275">
        <v>1</v>
      </c>
      <c r="O275" t="s">
        <v>1210</v>
      </c>
      <c r="P275">
        <v>0</v>
      </c>
      <c r="Q275" t="s">
        <v>45</v>
      </c>
      <c r="R275">
        <v>1</v>
      </c>
      <c r="S275">
        <v>0</v>
      </c>
      <c r="T275" t="s">
        <v>1210</v>
      </c>
      <c r="U275" t="s">
        <v>866</v>
      </c>
      <c r="V275" t="s">
        <v>1210</v>
      </c>
      <c r="W275" t="s">
        <v>1210</v>
      </c>
      <c r="X275">
        <v>0</v>
      </c>
      <c r="Y275" t="s">
        <v>1210</v>
      </c>
      <c r="Z275">
        <v>0</v>
      </c>
      <c r="AA275" t="s">
        <v>1210</v>
      </c>
      <c r="AB275" t="s">
        <v>1210</v>
      </c>
      <c r="AC275" t="s">
        <v>1210</v>
      </c>
      <c r="AD275" t="s">
        <v>1210</v>
      </c>
      <c r="AE275">
        <v>0</v>
      </c>
      <c r="AF275" t="s">
        <v>1210</v>
      </c>
      <c r="AG275" t="s">
        <v>1210</v>
      </c>
      <c r="AH275" t="s">
        <v>1210</v>
      </c>
    </row>
    <row r="276" spans="1:34" ht="18.95" customHeight="1">
      <c r="A276" t="s">
        <v>861</v>
      </c>
      <c r="B276" t="s">
        <v>941</v>
      </c>
      <c r="C276" t="s">
        <v>255</v>
      </c>
      <c r="D276" t="s">
        <v>256</v>
      </c>
      <c r="E276" t="s">
        <v>1210</v>
      </c>
      <c r="F276" t="s">
        <v>915</v>
      </c>
      <c r="G276" t="s">
        <v>984</v>
      </c>
      <c r="H276" t="s">
        <v>916</v>
      </c>
      <c r="I276" t="s">
        <v>279</v>
      </c>
      <c r="J276" t="s">
        <v>1210</v>
      </c>
      <c r="K276">
        <v>1</v>
      </c>
      <c r="L276">
        <v>1</v>
      </c>
      <c r="M276" t="s">
        <v>38</v>
      </c>
      <c r="N276">
        <v>1</v>
      </c>
      <c r="O276" t="s">
        <v>1210</v>
      </c>
      <c r="P276">
        <v>0</v>
      </c>
      <c r="Q276" t="s">
        <v>45</v>
      </c>
      <c r="R276">
        <v>1</v>
      </c>
      <c r="S276">
        <v>0</v>
      </c>
      <c r="T276" t="s">
        <v>1210</v>
      </c>
      <c r="U276" t="s">
        <v>866</v>
      </c>
      <c r="V276" t="s">
        <v>1210</v>
      </c>
      <c r="W276" t="s">
        <v>1210</v>
      </c>
      <c r="X276">
        <v>0</v>
      </c>
      <c r="Y276" t="s">
        <v>1210</v>
      </c>
      <c r="Z276">
        <v>0</v>
      </c>
      <c r="AA276" t="s">
        <v>1210</v>
      </c>
      <c r="AB276" t="s">
        <v>1210</v>
      </c>
      <c r="AC276" t="s">
        <v>1210</v>
      </c>
      <c r="AD276" t="s">
        <v>1210</v>
      </c>
      <c r="AE276">
        <v>0</v>
      </c>
      <c r="AF276" t="s">
        <v>1210</v>
      </c>
      <c r="AG276" t="s">
        <v>1210</v>
      </c>
      <c r="AH276" t="s">
        <v>1210</v>
      </c>
    </row>
    <row r="277" spans="1:34" ht="18.95" customHeight="1">
      <c r="A277" t="s">
        <v>861</v>
      </c>
      <c r="B277" t="s">
        <v>941</v>
      </c>
      <c r="C277" t="s">
        <v>255</v>
      </c>
      <c r="D277" t="s">
        <v>256</v>
      </c>
      <c r="E277" t="s">
        <v>1210</v>
      </c>
      <c r="F277" t="s">
        <v>913</v>
      </c>
      <c r="G277" t="s">
        <v>984</v>
      </c>
      <c r="H277" t="s">
        <v>917</v>
      </c>
      <c r="I277" t="s">
        <v>279</v>
      </c>
      <c r="J277" t="s">
        <v>1210</v>
      </c>
      <c r="K277">
        <v>1</v>
      </c>
      <c r="L277">
        <v>1</v>
      </c>
      <c r="M277" t="s">
        <v>38</v>
      </c>
      <c r="N277">
        <v>1</v>
      </c>
      <c r="O277" t="s">
        <v>1210</v>
      </c>
      <c r="P277">
        <v>0</v>
      </c>
      <c r="Q277" t="s">
        <v>45</v>
      </c>
      <c r="R277">
        <v>1</v>
      </c>
      <c r="S277">
        <v>0</v>
      </c>
      <c r="T277" t="s">
        <v>1210</v>
      </c>
      <c r="U277" t="s">
        <v>866</v>
      </c>
      <c r="V277" t="s">
        <v>1210</v>
      </c>
      <c r="W277" t="s">
        <v>1210</v>
      </c>
      <c r="X277">
        <v>0</v>
      </c>
      <c r="Y277" t="s">
        <v>1210</v>
      </c>
      <c r="Z277">
        <v>0</v>
      </c>
      <c r="AA277" t="s">
        <v>1210</v>
      </c>
      <c r="AB277" t="s">
        <v>1210</v>
      </c>
      <c r="AC277" t="s">
        <v>1210</v>
      </c>
      <c r="AD277" t="s">
        <v>1210</v>
      </c>
      <c r="AE277">
        <v>0</v>
      </c>
      <c r="AF277" t="s">
        <v>1210</v>
      </c>
      <c r="AG277" t="s">
        <v>1210</v>
      </c>
      <c r="AH277" t="s">
        <v>1210</v>
      </c>
    </row>
    <row r="278" spans="1:34">
      <c r="A278" t="s">
        <v>861</v>
      </c>
      <c r="B278" t="s">
        <v>941</v>
      </c>
      <c r="C278" t="s">
        <v>255</v>
      </c>
      <c r="D278" t="s">
        <v>256</v>
      </c>
      <c r="E278" t="s">
        <v>1210</v>
      </c>
      <c r="F278" t="s">
        <v>915</v>
      </c>
      <c r="G278" t="s">
        <v>984</v>
      </c>
      <c r="H278" t="s">
        <v>918</v>
      </c>
      <c r="I278" t="s">
        <v>279</v>
      </c>
      <c r="J278" t="s">
        <v>1210</v>
      </c>
      <c r="K278">
        <v>1</v>
      </c>
      <c r="L278">
        <v>1</v>
      </c>
      <c r="M278" t="s">
        <v>38</v>
      </c>
      <c r="N278">
        <v>1</v>
      </c>
      <c r="O278" t="s">
        <v>1210</v>
      </c>
      <c r="P278">
        <v>0</v>
      </c>
      <c r="Q278" t="s">
        <v>45</v>
      </c>
      <c r="R278">
        <v>1</v>
      </c>
      <c r="S278">
        <v>0</v>
      </c>
      <c r="T278" t="s">
        <v>1210</v>
      </c>
      <c r="U278" t="s">
        <v>866</v>
      </c>
      <c r="V278" t="s">
        <v>1210</v>
      </c>
      <c r="W278" t="s">
        <v>1210</v>
      </c>
      <c r="X278">
        <v>0</v>
      </c>
      <c r="Y278" t="s">
        <v>1210</v>
      </c>
      <c r="Z278">
        <v>0</v>
      </c>
      <c r="AA278" t="s">
        <v>1210</v>
      </c>
      <c r="AB278" t="s">
        <v>1210</v>
      </c>
      <c r="AC278" t="s">
        <v>1210</v>
      </c>
      <c r="AD278" t="s">
        <v>1210</v>
      </c>
      <c r="AE278">
        <v>0</v>
      </c>
      <c r="AF278" t="s">
        <v>1210</v>
      </c>
      <c r="AG278" t="s">
        <v>1210</v>
      </c>
      <c r="AH278" t="s">
        <v>1210</v>
      </c>
    </row>
    <row r="279" spans="1:34" ht="18.95" customHeight="1">
      <c r="A279" t="s">
        <v>861</v>
      </c>
      <c r="B279" t="s">
        <v>941</v>
      </c>
      <c r="C279" t="s">
        <v>255</v>
      </c>
      <c r="D279" t="s">
        <v>256</v>
      </c>
      <c r="E279" t="s">
        <v>1210</v>
      </c>
      <c r="F279" t="s">
        <v>919</v>
      </c>
      <c r="G279" t="s">
        <v>984</v>
      </c>
      <c r="H279" t="s">
        <v>920</v>
      </c>
      <c r="I279" t="s">
        <v>279</v>
      </c>
      <c r="J279" t="s">
        <v>1210</v>
      </c>
      <c r="K279">
        <v>1</v>
      </c>
      <c r="L279">
        <v>1</v>
      </c>
      <c r="M279" t="s">
        <v>38</v>
      </c>
      <c r="N279">
        <v>1</v>
      </c>
      <c r="O279" t="s">
        <v>1210</v>
      </c>
      <c r="P279">
        <v>0</v>
      </c>
      <c r="Q279" t="s">
        <v>45</v>
      </c>
      <c r="R279">
        <v>1</v>
      </c>
      <c r="S279">
        <v>0</v>
      </c>
      <c r="T279" t="s">
        <v>1210</v>
      </c>
      <c r="U279" t="s">
        <v>866</v>
      </c>
      <c r="V279" t="s">
        <v>1210</v>
      </c>
      <c r="W279" t="s">
        <v>1210</v>
      </c>
      <c r="X279">
        <v>0</v>
      </c>
      <c r="Y279" t="s">
        <v>1210</v>
      </c>
      <c r="Z279">
        <v>0</v>
      </c>
      <c r="AA279" t="s">
        <v>1210</v>
      </c>
      <c r="AB279" t="s">
        <v>1210</v>
      </c>
      <c r="AC279" t="s">
        <v>1210</v>
      </c>
      <c r="AD279" t="s">
        <v>1210</v>
      </c>
      <c r="AE279">
        <v>0</v>
      </c>
      <c r="AF279" t="s">
        <v>1210</v>
      </c>
      <c r="AG279" t="s">
        <v>1210</v>
      </c>
      <c r="AH279" t="s">
        <v>1210</v>
      </c>
    </row>
    <row r="280" spans="1:34" ht="18.95" customHeight="1">
      <c r="A280" t="s">
        <v>861</v>
      </c>
      <c r="B280" t="s">
        <v>941</v>
      </c>
      <c r="C280" t="s">
        <v>255</v>
      </c>
      <c r="D280" t="s">
        <v>256</v>
      </c>
      <c r="E280" t="s">
        <v>1210</v>
      </c>
      <c r="F280" t="s">
        <v>921</v>
      </c>
      <c r="G280" t="s">
        <v>984</v>
      </c>
      <c r="H280" t="s">
        <v>922</v>
      </c>
      <c r="I280" t="s">
        <v>279</v>
      </c>
      <c r="J280" t="s">
        <v>1210</v>
      </c>
      <c r="K280">
        <v>1</v>
      </c>
      <c r="L280">
        <v>1</v>
      </c>
      <c r="M280" t="s">
        <v>38</v>
      </c>
      <c r="N280">
        <v>1</v>
      </c>
      <c r="O280" t="s">
        <v>1210</v>
      </c>
      <c r="P280">
        <v>0</v>
      </c>
      <c r="Q280" t="s">
        <v>45</v>
      </c>
      <c r="R280">
        <v>1</v>
      </c>
      <c r="S280">
        <v>0</v>
      </c>
      <c r="T280" t="s">
        <v>1210</v>
      </c>
      <c r="U280" t="s">
        <v>866</v>
      </c>
      <c r="V280" t="s">
        <v>1210</v>
      </c>
      <c r="W280" t="s">
        <v>1210</v>
      </c>
      <c r="X280">
        <v>0</v>
      </c>
      <c r="Y280" t="s">
        <v>1210</v>
      </c>
      <c r="Z280">
        <v>0</v>
      </c>
      <c r="AA280" t="s">
        <v>1210</v>
      </c>
      <c r="AB280" t="s">
        <v>1210</v>
      </c>
      <c r="AC280" t="s">
        <v>1210</v>
      </c>
      <c r="AD280" t="s">
        <v>1210</v>
      </c>
      <c r="AE280">
        <v>0</v>
      </c>
      <c r="AF280" t="s">
        <v>1210</v>
      </c>
      <c r="AG280" t="s">
        <v>1210</v>
      </c>
      <c r="AH280" t="s">
        <v>1210</v>
      </c>
    </row>
    <row r="281" spans="1:34" ht="18.95" customHeight="1">
      <c r="A281" t="s">
        <v>861</v>
      </c>
      <c r="B281" t="s">
        <v>941</v>
      </c>
      <c r="C281" t="s">
        <v>255</v>
      </c>
      <c r="D281" t="s">
        <v>256</v>
      </c>
      <c r="E281" t="s">
        <v>1210</v>
      </c>
      <c r="F281" t="s">
        <v>919</v>
      </c>
      <c r="G281" t="s">
        <v>984</v>
      </c>
      <c r="H281" t="s">
        <v>923</v>
      </c>
      <c r="I281" t="s">
        <v>279</v>
      </c>
      <c r="J281" t="s">
        <v>1210</v>
      </c>
      <c r="K281">
        <v>1</v>
      </c>
      <c r="L281">
        <v>1</v>
      </c>
      <c r="M281" t="s">
        <v>38</v>
      </c>
      <c r="N281">
        <v>1</v>
      </c>
      <c r="O281" t="s">
        <v>1210</v>
      </c>
      <c r="P281">
        <v>0</v>
      </c>
      <c r="Q281" t="s">
        <v>45</v>
      </c>
      <c r="R281">
        <v>1</v>
      </c>
      <c r="S281">
        <v>0</v>
      </c>
      <c r="T281" t="s">
        <v>1210</v>
      </c>
      <c r="U281" t="s">
        <v>866</v>
      </c>
      <c r="V281" t="s">
        <v>1210</v>
      </c>
      <c r="W281" t="s">
        <v>1210</v>
      </c>
      <c r="X281">
        <v>0</v>
      </c>
      <c r="Y281" t="s">
        <v>1210</v>
      </c>
      <c r="Z281">
        <v>0</v>
      </c>
      <c r="AA281" t="s">
        <v>1210</v>
      </c>
      <c r="AB281" t="s">
        <v>1210</v>
      </c>
      <c r="AC281" t="s">
        <v>1210</v>
      </c>
      <c r="AD281" t="s">
        <v>1210</v>
      </c>
      <c r="AE281">
        <v>0</v>
      </c>
      <c r="AF281" t="s">
        <v>1210</v>
      </c>
      <c r="AG281" t="s">
        <v>1210</v>
      </c>
      <c r="AH281" t="s">
        <v>1210</v>
      </c>
    </row>
    <row r="282" spans="1:34">
      <c r="A282" t="s">
        <v>861</v>
      </c>
      <c r="B282" t="s">
        <v>941</v>
      </c>
      <c r="C282" t="s">
        <v>255</v>
      </c>
      <c r="D282" t="s">
        <v>256</v>
      </c>
      <c r="E282" t="s">
        <v>1210</v>
      </c>
      <c r="F282" t="s">
        <v>921</v>
      </c>
      <c r="G282" t="s">
        <v>984</v>
      </c>
      <c r="H282" t="s">
        <v>924</v>
      </c>
      <c r="I282" t="s">
        <v>279</v>
      </c>
      <c r="J282" t="s">
        <v>1210</v>
      </c>
      <c r="K282">
        <v>1</v>
      </c>
      <c r="L282">
        <v>1</v>
      </c>
      <c r="M282" t="s">
        <v>38</v>
      </c>
      <c r="N282">
        <v>1</v>
      </c>
      <c r="O282" t="s">
        <v>1210</v>
      </c>
      <c r="P282">
        <v>0</v>
      </c>
      <c r="Q282" t="s">
        <v>45</v>
      </c>
      <c r="R282">
        <v>1</v>
      </c>
      <c r="S282">
        <v>0</v>
      </c>
      <c r="T282" t="s">
        <v>1210</v>
      </c>
      <c r="U282" t="s">
        <v>866</v>
      </c>
      <c r="V282" t="s">
        <v>1210</v>
      </c>
      <c r="W282" t="s">
        <v>1210</v>
      </c>
      <c r="X282">
        <v>0</v>
      </c>
      <c r="Y282" t="s">
        <v>1210</v>
      </c>
      <c r="Z282">
        <v>0</v>
      </c>
      <c r="AA282" t="s">
        <v>1210</v>
      </c>
      <c r="AB282" t="s">
        <v>1210</v>
      </c>
      <c r="AC282" t="s">
        <v>1210</v>
      </c>
      <c r="AD282" t="s">
        <v>1210</v>
      </c>
      <c r="AE282">
        <v>0</v>
      </c>
      <c r="AF282" t="s">
        <v>1210</v>
      </c>
      <c r="AG282" t="s">
        <v>1210</v>
      </c>
      <c r="AH282" t="s">
        <v>1210</v>
      </c>
    </row>
    <row r="283" spans="1:34">
      <c r="A283" t="s">
        <v>925</v>
      </c>
      <c r="B283" t="s">
        <v>926</v>
      </c>
      <c r="C283" t="s">
        <v>255</v>
      </c>
      <c r="D283" t="s">
        <v>256</v>
      </c>
      <c r="E283" t="s">
        <v>1210</v>
      </c>
      <c r="F283" t="s">
        <v>927</v>
      </c>
      <c r="G283" t="s">
        <v>864</v>
      </c>
      <c r="H283" t="s">
        <v>928</v>
      </c>
      <c r="I283" t="s">
        <v>279</v>
      </c>
      <c r="J283" t="s">
        <v>1210</v>
      </c>
      <c r="K283">
        <v>1</v>
      </c>
      <c r="L283">
        <v>1</v>
      </c>
      <c r="M283" t="s">
        <v>42</v>
      </c>
      <c r="N283">
        <v>1</v>
      </c>
      <c r="O283" t="s">
        <v>1210</v>
      </c>
      <c r="P283">
        <v>0</v>
      </c>
      <c r="Q283" t="s">
        <v>1210</v>
      </c>
      <c r="R283">
        <v>0</v>
      </c>
      <c r="S283">
        <v>0</v>
      </c>
      <c r="T283" t="s">
        <v>1210</v>
      </c>
      <c r="U283" t="s">
        <v>1210</v>
      </c>
      <c r="V283" t="s">
        <v>1210</v>
      </c>
      <c r="W283" t="s">
        <v>1210</v>
      </c>
      <c r="X283">
        <v>0</v>
      </c>
      <c r="Y283" t="s">
        <v>1210</v>
      </c>
      <c r="Z283">
        <v>0</v>
      </c>
      <c r="AA283" t="s">
        <v>1210</v>
      </c>
      <c r="AB283" t="s">
        <v>1210</v>
      </c>
      <c r="AC283" t="s">
        <v>1210</v>
      </c>
      <c r="AD283" t="s">
        <v>1210</v>
      </c>
      <c r="AE283">
        <v>0</v>
      </c>
      <c r="AF283" t="s">
        <v>1210</v>
      </c>
      <c r="AG283" t="s">
        <v>1210</v>
      </c>
      <c r="AH283" t="s">
        <v>1210</v>
      </c>
    </row>
    <row r="284" spans="1:34">
      <c r="A284" t="s">
        <v>929</v>
      </c>
      <c r="B284" t="s">
        <v>927</v>
      </c>
      <c r="C284" t="s">
        <v>255</v>
      </c>
      <c r="D284" t="s">
        <v>256</v>
      </c>
      <c r="E284" t="s">
        <v>1210</v>
      </c>
      <c r="F284" t="s">
        <v>930</v>
      </c>
      <c r="G284" t="s">
        <v>864</v>
      </c>
      <c r="H284" t="s">
        <v>931</v>
      </c>
      <c r="I284" t="s">
        <v>279</v>
      </c>
      <c r="J284" t="s">
        <v>1210</v>
      </c>
      <c r="K284">
        <v>1</v>
      </c>
      <c r="L284">
        <v>1</v>
      </c>
      <c r="M284" t="s">
        <v>42</v>
      </c>
      <c r="N284">
        <v>1</v>
      </c>
      <c r="O284" t="s">
        <v>1210</v>
      </c>
      <c r="P284">
        <v>0</v>
      </c>
      <c r="Q284" t="s">
        <v>1210</v>
      </c>
      <c r="R284">
        <v>0</v>
      </c>
      <c r="S284">
        <v>0</v>
      </c>
      <c r="T284" t="s">
        <v>1210</v>
      </c>
      <c r="U284" t="s">
        <v>1210</v>
      </c>
      <c r="V284" t="s">
        <v>1210</v>
      </c>
      <c r="W284" t="s">
        <v>1210</v>
      </c>
      <c r="X284">
        <v>0</v>
      </c>
      <c r="Y284" t="s">
        <v>1210</v>
      </c>
      <c r="Z284">
        <v>0</v>
      </c>
      <c r="AA284" t="s">
        <v>1210</v>
      </c>
      <c r="AB284" t="s">
        <v>1210</v>
      </c>
      <c r="AC284" t="s">
        <v>1210</v>
      </c>
      <c r="AD284" t="s">
        <v>1210</v>
      </c>
      <c r="AE284">
        <v>0</v>
      </c>
      <c r="AF284" t="s">
        <v>1210</v>
      </c>
      <c r="AG284" t="s">
        <v>1210</v>
      </c>
      <c r="AH284" t="s">
        <v>1210</v>
      </c>
    </row>
    <row r="285" spans="1:34" ht="15.75" thickBot="1">
      <c r="A285" s="318"/>
      <c r="B285" s="317"/>
      <c r="C285" s="319"/>
      <c r="D285" s="320"/>
      <c r="E285" s="319"/>
      <c r="F285" s="319"/>
      <c r="G285" s="320"/>
      <c r="H285" s="321"/>
      <c r="I285" s="321"/>
      <c r="J285" s="319"/>
      <c r="K285" s="319"/>
      <c r="L285" s="322"/>
      <c r="M285" s="323"/>
      <c r="N285" s="324"/>
      <c r="O285" s="325"/>
      <c r="P285" s="326"/>
      <c r="Q285" s="327"/>
      <c r="R285" s="330"/>
      <c r="S285" s="331"/>
      <c r="T285" s="332"/>
      <c r="U285" s="332"/>
      <c r="V285" s="332"/>
      <c r="W285" s="332"/>
      <c r="X285" s="333"/>
      <c r="Y285" s="334"/>
      <c r="Z285" s="335"/>
      <c r="AA285" s="336"/>
      <c r="AB285" s="336"/>
      <c r="AC285" s="336"/>
      <c r="AD285" s="336"/>
      <c r="AE285" s="337"/>
      <c r="AF285" s="338"/>
      <c r="AG285" s="338"/>
      <c r="AH285" s="341"/>
    </row>
    <row r="286" spans="1:34" ht="15" customHeight="1">
      <c r="A286" s="473" t="s">
        <v>932</v>
      </c>
      <c r="B286" s="474"/>
      <c r="C286" s="474"/>
      <c r="D286" s="474"/>
      <c r="E286" s="474"/>
      <c r="F286" s="474"/>
      <c r="G286" s="474"/>
      <c r="H286" s="474"/>
      <c r="I286" s="474"/>
      <c r="J286" s="474"/>
      <c r="K286" s="474"/>
      <c r="L286" s="474"/>
      <c r="M286" s="474"/>
      <c r="N286" s="475"/>
      <c r="O286" s="475"/>
      <c r="P286" s="475"/>
      <c r="Q286" s="475"/>
      <c r="R286" s="475"/>
      <c r="S286" s="475"/>
      <c r="T286" s="475"/>
      <c r="U286" s="475"/>
      <c r="V286" s="475"/>
      <c r="W286" s="475"/>
      <c r="X286" s="475"/>
      <c r="Y286" s="475"/>
      <c r="Z286" s="475"/>
      <c r="AA286" s="475"/>
      <c r="AB286" s="475"/>
      <c r="AC286" s="475"/>
      <c r="AD286" s="475"/>
      <c r="AE286" s="475"/>
      <c r="AF286" s="475"/>
      <c r="AG286" s="475"/>
      <c r="AH286" s="476"/>
    </row>
    <row r="287" spans="1:34" ht="15.75" customHeight="1" thickBot="1">
      <c r="A287" s="477"/>
      <c r="B287" s="478"/>
      <c r="C287" s="478"/>
      <c r="D287" s="478"/>
      <c r="E287" s="478"/>
      <c r="F287" s="478"/>
      <c r="G287" s="478"/>
      <c r="H287" s="478"/>
      <c r="I287" s="478"/>
      <c r="J287" s="478"/>
      <c r="K287" s="478"/>
      <c r="L287" s="478"/>
      <c r="M287" s="478"/>
      <c r="N287" s="478"/>
      <c r="O287" s="478"/>
      <c r="P287" s="478"/>
      <c r="Q287" s="478"/>
      <c r="R287" s="478"/>
      <c r="S287" s="478"/>
      <c r="T287" s="478"/>
      <c r="U287" s="478"/>
      <c r="V287" s="478"/>
      <c r="W287" s="478"/>
      <c r="X287" s="478"/>
      <c r="Y287" s="478"/>
      <c r="Z287" s="478"/>
      <c r="AA287" s="478"/>
      <c r="AB287" s="478"/>
      <c r="AC287" s="478"/>
      <c r="AD287" s="478"/>
      <c r="AE287" s="478"/>
      <c r="AF287" s="478"/>
      <c r="AG287" s="478"/>
      <c r="AH287" s="479"/>
    </row>
    <row r="288" spans="1:34" ht="19.5" customHeight="1" thickBot="1">
      <c r="A288" s="470" t="s">
        <v>247</v>
      </c>
      <c r="B288" s="471"/>
      <c r="C288" s="471"/>
      <c r="D288" s="471"/>
      <c r="E288" s="471"/>
      <c r="F288" s="471"/>
      <c r="G288" s="471"/>
      <c r="H288" s="471"/>
      <c r="I288" s="471"/>
      <c r="J288" s="472"/>
      <c r="K288" s="302">
        <f>SUM(K6:K285)</f>
        <v>279</v>
      </c>
      <c r="L288" s="302">
        <f>SUM(L6:L285)</f>
        <v>279</v>
      </c>
      <c r="M288" s="303"/>
      <c r="N288" s="304">
        <f>SUMPRODUCT(K6:K285,N6:N285)/K288</f>
        <v>0.97491039426523296</v>
      </c>
      <c r="O288" s="305">
        <f>SUM(O6:O285)</f>
        <v>230</v>
      </c>
      <c r="P288" s="306">
        <f>SUMPRODUCT(K6:K285,P6:P285)/K288</f>
        <v>0.82437275985663083</v>
      </c>
      <c r="Q288" s="307"/>
      <c r="R288" s="308">
        <f t="shared" ref="R288:W288" si="1">SUM(R6:R285)</f>
        <v>229</v>
      </c>
      <c r="S288" s="309">
        <f t="shared" si="1"/>
        <v>125</v>
      </c>
      <c r="T288" s="309">
        <f t="shared" si="1"/>
        <v>125</v>
      </c>
      <c r="U288" s="308">
        <f t="shared" si="1"/>
        <v>0</v>
      </c>
      <c r="V288" s="308">
        <f t="shared" si="1"/>
        <v>0</v>
      </c>
      <c r="W288" s="308">
        <f t="shared" si="1"/>
        <v>0</v>
      </c>
      <c r="X288" s="310">
        <f>IF((S288=0),0,((T288+U288)/S288*100%))</f>
        <v>1</v>
      </c>
      <c r="Y288" s="311"/>
      <c r="Z288" s="339">
        <f>SUM(Z6:Z285)</f>
        <v>0</v>
      </c>
      <c r="AA288" s="340">
        <f>SUM(AA6:AA285)</f>
        <v>0</v>
      </c>
      <c r="AB288" s="340">
        <f>SUM(AB6:AB285)</f>
        <v>0</v>
      </c>
      <c r="AC288" s="340">
        <f>SUM(AC6:AC285)</f>
        <v>0</v>
      </c>
      <c r="AD288" s="340">
        <f>SUM(AD6:AD285)</f>
        <v>0</v>
      </c>
      <c r="AE288" s="314">
        <f>IF((Z288=0),0,((AA288+AB288)/Z288*100%))</f>
        <v>0</v>
      </c>
      <c r="AF288" s="315"/>
      <c r="AG288" s="315"/>
      <c r="AH288" s="316"/>
    </row>
    <row r="290" spans="10:12">
      <c r="J290" s="328"/>
      <c r="L290" s="298" t="s">
        <v>933</v>
      </c>
    </row>
    <row r="291" spans="10:12">
      <c r="J291" s="329"/>
    </row>
    <row r="292" spans="10:12">
      <c r="J292" s="329"/>
    </row>
    <row r="293" spans="10:12">
      <c r="J293" s="329"/>
    </row>
    <row r="294" spans="10:12">
      <c r="J294" s="329"/>
    </row>
    <row r="295" spans="10:12">
      <c r="J295" s="329"/>
    </row>
    <row r="296" spans="10:12">
      <c r="J296" s="329"/>
    </row>
    <row r="297" spans="10:12">
      <c r="J297" s="329"/>
    </row>
    <row r="298" spans="10:12">
      <c r="J298" s="329"/>
    </row>
    <row r="299" spans="10:12">
      <c r="J299" s="329"/>
    </row>
    <row r="300" spans="10:12">
      <c r="J300" s="329"/>
    </row>
    <row r="301" spans="10:12">
      <c r="J301" s="329"/>
    </row>
    <row r="302" spans="10:12">
      <c r="J302" s="329"/>
    </row>
    <row r="303" spans="10:12">
      <c r="J303" s="329"/>
    </row>
    <row r="304" spans="10:12">
      <c r="J304" s="329"/>
    </row>
  </sheetData>
  <sheetProtection insertColumns="0" insertRows="0" deleteRows="0" sort="0"/>
  <autoFilter ref="A5:AH288" xr:uid="{00000000-0009-0000-0000-000004000000}"/>
  <mergeCells count="4">
    <mergeCell ref="Q4:Y4"/>
    <mergeCell ref="Z4:AH4"/>
    <mergeCell ref="N4:P4"/>
    <mergeCell ref="A4:M4"/>
  </mergeCells>
  <phoneticPr fontId="34"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'List Options'!$G$1:$G$3</xm:f>
          </x14:formula1>
          <xm:sqref>M6:M285</xm:sqref>
        </x14:dataValidation>
        <x14:dataValidation type="list" allowBlank="1" showInputMessage="1" showErrorMessage="1" xr:uid="{00000000-0002-0000-0400-000000000000}">
          <x14:formula1>
            <xm:f>'List Options'!$E$1:$E$7</xm:f>
          </x14:formula1>
          <xm:sqref>Q6:Q285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V31"/>
  <sheetViews>
    <sheetView workbookViewId="0">
      <pane xSplit="1" ySplit="3" topLeftCell="C19" activePane="bottomRight" state="frozen"/>
      <selection pane="topRight"/>
      <selection pane="bottomLeft"/>
      <selection pane="bottomRight" activeCell="L35" sqref="L35"/>
    </sheetView>
  </sheetViews>
  <sheetFormatPr defaultColWidth="9" defaultRowHeight="15"/>
  <cols>
    <col min="1" max="1" width="27.7109375" customWidth="1"/>
    <col min="2" max="2" width="15.7109375" customWidth="1"/>
    <col min="3" max="3" width="27.85546875" customWidth="1"/>
    <col min="4" max="4" width="6" customWidth="1"/>
    <col min="5" max="5" width="14.42578125" customWidth="1"/>
    <col min="6" max="6" width="15.140625"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42578125" customWidth="1"/>
    <col min="15" max="15" width="9.28515625" customWidth="1"/>
    <col min="20" max="21" width="11.28515625" customWidth="1"/>
    <col min="22" max="22" width="11.42578125" customWidth="1"/>
  </cols>
  <sheetData>
    <row r="1" spans="1:22" ht="39" customHeight="1">
      <c r="A1" s="576" t="s">
        <v>934</v>
      </c>
      <c r="B1" s="577"/>
      <c r="C1" s="577"/>
      <c r="D1" s="577"/>
      <c r="E1" s="577"/>
      <c r="F1" s="577"/>
      <c r="G1" s="577"/>
      <c r="H1" s="577"/>
      <c r="I1" s="577"/>
      <c r="J1" s="577"/>
      <c r="K1" s="577"/>
      <c r="L1" s="577"/>
      <c r="M1" s="577"/>
      <c r="N1" s="577"/>
      <c r="O1" s="577"/>
      <c r="P1" s="577"/>
      <c r="Q1" s="577"/>
      <c r="R1" s="577"/>
      <c r="S1" s="577"/>
      <c r="T1" s="577"/>
      <c r="U1" s="577"/>
      <c r="V1" s="578"/>
    </row>
    <row r="2" spans="1:22">
      <c r="A2" s="218" t="s">
        <v>935</v>
      </c>
      <c r="B2" s="569" t="s">
        <v>161</v>
      </c>
      <c r="C2" s="569"/>
      <c r="D2" s="569"/>
      <c r="E2" s="569"/>
      <c r="F2" s="569"/>
      <c r="G2" s="570" t="s">
        <v>172</v>
      </c>
      <c r="H2" s="571"/>
      <c r="I2" s="571"/>
      <c r="J2" s="571"/>
      <c r="K2" s="571"/>
      <c r="L2" s="571"/>
      <c r="M2" s="571"/>
      <c r="N2" s="572"/>
      <c r="O2" s="573" t="s">
        <v>139</v>
      </c>
      <c r="P2" s="574"/>
      <c r="Q2" s="574"/>
      <c r="R2" s="574"/>
      <c r="S2" s="574"/>
      <c r="T2" s="574"/>
      <c r="U2" s="574"/>
      <c r="V2" s="575"/>
    </row>
    <row r="3" spans="1:22" s="217" customFormat="1" ht="30">
      <c r="A3" s="219" t="s">
        <v>83</v>
      </c>
      <c r="B3" s="220" t="s">
        <v>162</v>
      </c>
      <c r="C3" s="221" t="s">
        <v>123</v>
      </c>
      <c r="D3" s="222" t="s">
        <v>100</v>
      </c>
      <c r="E3" s="222" t="s">
        <v>168</v>
      </c>
      <c r="F3" s="223" t="s">
        <v>170</v>
      </c>
      <c r="G3" s="224" t="s">
        <v>127</v>
      </c>
      <c r="H3" s="225" t="s">
        <v>30</v>
      </c>
      <c r="I3" s="225" t="s">
        <v>130</v>
      </c>
      <c r="J3" s="225" t="s">
        <v>35</v>
      </c>
      <c r="K3" s="225" t="s">
        <v>133</v>
      </c>
      <c r="L3" s="225" t="s">
        <v>179</v>
      </c>
      <c r="M3" s="225" t="s">
        <v>135</v>
      </c>
      <c r="N3" s="254" t="s">
        <v>182</v>
      </c>
      <c r="O3" s="255" t="s">
        <v>127</v>
      </c>
      <c r="P3" s="256" t="s">
        <v>30</v>
      </c>
      <c r="Q3" s="256" t="s">
        <v>130</v>
      </c>
      <c r="R3" s="256" t="s">
        <v>35</v>
      </c>
      <c r="S3" s="256" t="s">
        <v>133</v>
      </c>
      <c r="T3" s="256" t="s">
        <v>179</v>
      </c>
      <c r="U3" s="256" t="s">
        <v>135</v>
      </c>
      <c r="V3" s="280" t="s">
        <v>182</v>
      </c>
    </row>
    <row r="4" spans="1:22">
      <c r="A4" s="226" t="s">
        <v>533</v>
      </c>
      <c r="B4" s="227">
        <f>SUMIFS('Diags Raw Data'!$L$6:$L$4902,'Diags Raw Data'!$D$6:$D$4902,$A4)</f>
        <v>84</v>
      </c>
      <c r="C4" s="228">
        <f>SUMIFS('Diags Raw Data'!$R$6:$R$4902,'Diags Raw Data'!$D$6:$D$4902,$A4)</f>
        <v>43</v>
      </c>
      <c r="D4" s="228">
        <f>SUMIFS('Diags Raw Data'!$K$6:$K$4902,'Diags Raw Data'!$D$6:$D$4902,$A4)</f>
        <v>84</v>
      </c>
      <c r="E4" s="228">
        <f>SUMIFS('Diags Raw Data'!$O$6:$O$4902,'Diags Raw Data'!$D$6:$D$4902,$A4)</f>
        <v>81</v>
      </c>
      <c r="F4" s="229">
        <f>IF(NOT($B4=0),E4/$B4,"---")</f>
        <v>0.9642857142857143</v>
      </c>
      <c r="G4" s="230">
        <f>SUMIFS('Diags Raw Data'!$S$6:$S$4902,'Diags Raw Data'!$D$6:$D$4902,$A4)</f>
        <v>6</v>
      </c>
      <c r="H4" s="231">
        <f>SUMIFS('Diags Raw Data'!$T$6:$T$4902,'Diags Raw Data'!$D$6:$D$4902,$A4)</f>
        <v>6</v>
      </c>
      <c r="I4" s="257">
        <f>SUMIFS('Diags Raw Data'!$U$6:$U$4902,'Diags Raw Data'!$D$6:$D$4902,$A4)</f>
        <v>0</v>
      </c>
      <c r="J4" s="231">
        <f>SUMIFS('Diags Raw Data'!$V$6:$V$4902,'Diags Raw Data'!$D$6:$D$4902,$A4)</f>
        <v>0</v>
      </c>
      <c r="K4" s="257">
        <f>SUMIFS('Diags Raw Data'!$W$6:$W$4902,'Diags Raw Data'!$D$6:$D$4902,$A4)</f>
        <v>0</v>
      </c>
      <c r="L4" s="258">
        <f>IF(NOT($C4=0),G4/$C4,"---")</f>
        <v>0.13953488372093023</v>
      </c>
      <c r="M4" s="259">
        <f>IF(NOT($G4=0),(H4+I4)/$G4,"---")</f>
        <v>1</v>
      </c>
      <c r="N4" s="260">
        <f>IF(NOT($C4=0),(H4+I4)/$C4,"---")</f>
        <v>0.13953488372093023</v>
      </c>
      <c r="O4" s="261">
        <f>SUMIFS('Diags Raw Data'!$Z$6:$Z$4902,'Diags Raw Data'!$D$6:$D$4902,$A4)</f>
        <v>0</v>
      </c>
      <c r="P4" s="262">
        <f>SUMIFS('Diags Raw Data'!$AA$6:$AA$4902,'Diags Raw Data'!$D$6:$D$4902,$A4)</f>
        <v>0</v>
      </c>
      <c r="Q4" s="281">
        <f>SUMIFS('Diags Raw Data'!$AB$6:$AB$4902,'Diags Raw Data'!$D$6:$D$4902,$A4)</f>
        <v>0</v>
      </c>
      <c r="R4" s="262">
        <f>SUMIFS('Diags Raw Data'!$AC$6:$AC$4902,'Diags Raw Data'!$D$6:$D$4902,$A4)</f>
        <v>0</v>
      </c>
      <c r="S4" s="281">
        <f>SUMIFS('Diags Raw Data'!$AD$6:$AD$4902,'Diags Raw Data'!$D$6:$D$4902,$A4)</f>
        <v>0</v>
      </c>
      <c r="T4" s="282">
        <f>IF(NOT($B4=0),O4/$B4,"---")</f>
        <v>0</v>
      </c>
      <c r="U4" s="283" t="str">
        <f>IF(NOT($O4=0),(P4+Q4)/$O4,"---")</f>
        <v>---</v>
      </c>
      <c r="V4" s="284">
        <f>IF(NOT($B4=0),(P4+Q4)/$B4,"---")</f>
        <v>0</v>
      </c>
    </row>
    <row r="5" spans="1:22">
      <c r="A5" s="226" t="s">
        <v>936</v>
      </c>
      <c r="B5" s="232">
        <f>SUMIFS('Diags Raw Data'!$L$6:$L$4902,'Diags Raw Data'!$D$6:$D$4902,$A5)</f>
        <v>0</v>
      </c>
      <c r="C5" s="233">
        <f>SUMIFS('Diags Raw Data'!$R$6:$R$4902,'Diags Raw Data'!$D$6:$D$4902,$A5)</f>
        <v>0</v>
      </c>
      <c r="D5" s="233">
        <f>SUMIFS('Diags Raw Data'!$K$6:$K$4902,'Diags Raw Data'!$D$6:$D$4902,$A5)</f>
        <v>0</v>
      </c>
      <c r="E5" s="233">
        <f>SUMIFS('Diags Raw Data'!$O$6:$O$4902,'Diags Raw Data'!$D$6:$D$4902,$A5)</f>
        <v>0</v>
      </c>
      <c r="F5" s="234" t="str">
        <f t="shared" ref="F5:F6" si="0">IF(NOT($B5=0),E5/$B5,"---")</f>
        <v>---</v>
      </c>
      <c r="G5" s="235">
        <f>SUMIFS('Diags Raw Data'!$S$6:$S$4902,'Diags Raw Data'!$D$6:$D$4902,$A5)</f>
        <v>0</v>
      </c>
      <c r="H5" s="236">
        <f>SUMIFS('Diags Raw Data'!$T$6:$T$4902,'Diags Raw Data'!$D$6:$D$4902,$A5)</f>
        <v>0</v>
      </c>
      <c r="I5" s="263">
        <f>SUMIFS('Diags Raw Data'!$U$6:$U$4902,'Diags Raw Data'!$D$6:$D$4902,$A5)</f>
        <v>0</v>
      </c>
      <c r="J5" s="236">
        <f>SUMIFS('Diags Raw Data'!$V$6:$V$4902,'Diags Raw Data'!$D$6:$D$4902,$A5)</f>
        <v>0</v>
      </c>
      <c r="K5" s="263">
        <f>SUMIFS('Diags Raw Data'!$W$6:$W$4902,'Diags Raw Data'!$D$6:$D$4902,$A5)</f>
        <v>0</v>
      </c>
      <c r="L5" s="264" t="str">
        <f t="shared" ref="L5:L8" si="1">IF(NOT($C5=0),G5/$C5,"---")</f>
        <v>---</v>
      </c>
      <c r="M5" s="265" t="str">
        <f t="shared" ref="M5:M8" si="2">IF(NOT($G5=0),(H5+I5)/$G5,"---")</f>
        <v>---</v>
      </c>
      <c r="N5" s="266" t="str">
        <f t="shared" ref="N5:N8" si="3">IF(NOT($C5=0),(H5+I5)/$C5,"---")</f>
        <v>---</v>
      </c>
      <c r="O5" s="267">
        <f>SUMIFS('Diags Raw Data'!$Z$6:$Z$4902,'Diags Raw Data'!$D$6:$D$4902,$A5)</f>
        <v>0</v>
      </c>
      <c r="P5" s="268">
        <f>SUMIFS('Diags Raw Data'!$AA$6:$AA$4902,'Diags Raw Data'!$D$6:$D$4902,$A5)</f>
        <v>0</v>
      </c>
      <c r="Q5" s="285">
        <f>SUMIFS('Diags Raw Data'!$AB$6:$AB$4902,'Diags Raw Data'!$D$6:$D$4902,$A5)</f>
        <v>0</v>
      </c>
      <c r="R5" s="268">
        <f>SUMIFS('Diags Raw Data'!$AC$6:$AC$4902,'Diags Raw Data'!$D$6:$D$4902,$A5)</f>
        <v>0</v>
      </c>
      <c r="S5" s="285">
        <f>SUMIFS('Diags Raw Data'!$AD$6:$AD$4902,'Diags Raw Data'!$D$6:$D$4902,$A5)</f>
        <v>0</v>
      </c>
      <c r="T5" s="286" t="str">
        <f t="shared" ref="T5:T8" si="4">IF(NOT($B5=0),O5/$B5,"---")</f>
        <v>---</v>
      </c>
      <c r="U5" s="287" t="str">
        <f t="shared" ref="U5" si="5">IF(NOT($O5=0),(P5+Q5)/$O5,"---")</f>
        <v>---</v>
      </c>
      <c r="V5" s="288" t="str">
        <f t="shared" ref="V5:V8" si="6">IF(NOT($B5=0),(P5+Q5)/$B5,"---")</f>
        <v>---</v>
      </c>
    </row>
    <row r="6" spans="1:22" ht="14.45" customHeight="1" thickBot="1">
      <c r="A6" s="237" t="s">
        <v>937</v>
      </c>
      <c r="B6" s="238">
        <f>SUMIFS('Diags Raw Data'!$L$6:$L$4902,'Diags Raw Data'!$D$6:$D$4902,$A6)</f>
        <v>0</v>
      </c>
      <c r="C6" s="239">
        <f>SUMIFS('Diags Raw Data'!$R$6:$R$4902,'Diags Raw Data'!$D$6:$D$4902,$A6)</f>
        <v>0</v>
      </c>
      <c r="D6" s="239">
        <f>SUMIFS('Diags Raw Data'!$K$6:$K$4902,'Diags Raw Data'!$D$6:$D$4902,$A6)</f>
        <v>0</v>
      </c>
      <c r="E6" s="239">
        <f>SUMIFS('Diags Raw Data'!$O$6:$O$4902,'Diags Raw Data'!$D$6:$D$4902,$A6)</f>
        <v>0</v>
      </c>
      <c r="F6" s="240" t="str">
        <f t="shared" si="0"/>
        <v>---</v>
      </c>
      <c r="G6" s="241">
        <f>SUMIFS('Diags Raw Data'!$S$6:$S$4902,'Diags Raw Data'!$D$6:$D$4902,$A6)</f>
        <v>0</v>
      </c>
      <c r="H6" s="242">
        <f>SUMIFS('Diags Raw Data'!$T$6:$T$4902,'Diags Raw Data'!$D$6:$D$4902,$A6)</f>
        <v>0</v>
      </c>
      <c r="I6" s="269">
        <f>SUMIFS('Diags Raw Data'!$U$6:$U$4902,'Diags Raw Data'!$D$6:$D$4902,$A6)</f>
        <v>0</v>
      </c>
      <c r="J6" s="242">
        <f>SUMIFS('Diags Raw Data'!$V$6:$V$4902,'Diags Raw Data'!$D$6:$D$4902,$A6)</f>
        <v>0</v>
      </c>
      <c r="K6" s="269">
        <f>SUMIFS('Diags Raw Data'!$W$6:$W$4902,'Diags Raw Data'!$D$6:$D$4902,$A6)</f>
        <v>0</v>
      </c>
      <c r="L6" s="270" t="str">
        <f t="shared" si="1"/>
        <v>---</v>
      </c>
      <c r="M6" s="271" t="str">
        <f t="shared" si="2"/>
        <v>---</v>
      </c>
      <c r="N6" s="272" t="str">
        <f t="shared" si="3"/>
        <v>---</v>
      </c>
      <c r="O6" s="273">
        <f>SUMIFS('Diags Raw Data'!$Z$6:$Z$4902,'Diags Raw Data'!$D$6:$D$4902,$A6)</f>
        <v>0</v>
      </c>
      <c r="P6" s="274">
        <f>SUMIFS('Diags Raw Data'!$AA$6:$AA$4902,'Diags Raw Data'!$D$6:$D$4902,$A6)</f>
        <v>0</v>
      </c>
      <c r="Q6" s="289">
        <f>SUMIFS('Diags Raw Data'!$AB$6:$AB$4902,'Diags Raw Data'!$D$6:$D$4902,$A6)</f>
        <v>0</v>
      </c>
      <c r="R6" s="274">
        <f>SUMIFS('Diags Raw Data'!$AC$6:$AC$4902,'Diags Raw Data'!$D$6:$D$4902,$A6)</f>
        <v>0</v>
      </c>
      <c r="S6" s="289">
        <f>SUMIFS('Diags Raw Data'!$AD$6:$AD$4902,'Diags Raw Data'!$D$6:$D$4902,$A6)</f>
        <v>0</v>
      </c>
      <c r="T6" s="290" t="str">
        <f t="shared" si="4"/>
        <v>---</v>
      </c>
      <c r="U6" s="291" t="str">
        <f t="shared" ref="U6:U8" si="7">IF(NOT($O6=0),(P6+Q6)/$O6,"---")</f>
        <v>---</v>
      </c>
      <c r="V6" s="292" t="str">
        <f t="shared" si="6"/>
        <v>---</v>
      </c>
    </row>
    <row r="7" spans="1:22" ht="14.45" customHeight="1" thickBot="1">
      <c r="A7" s="237" t="s">
        <v>862</v>
      </c>
      <c r="B7" s="238">
        <f>SUMIFS('Diags Raw Data'!$L$6:$L$4902,'Diags Raw Data'!$D$6:$D$4902,$A7)</f>
        <v>0</v>
      </c>
      <c r="C7" s="239">
        <f>SUMIFS('Diags Raw Data'!$R$6:$R$4902,'Diags Raw Data'!$D$6:$D$4902,$A7)</f>
        <v>0</v>
      </c>
      <c r="D7" s="239">
        <f>SUMIFS('Diags Raw Data'!$K$6:$K$4902,'Diags Raw Data'!$D$6:$D$4902,$A7)</f>
        <v>0</v>
      </c>
      <c r="E7" s="239">
        <f>SUMIFS('Diags Raw Data'!$O$6:$O$4902,'Diags Raw Data'!$D$6:$D$4902,$A7)</f>
        <v>0</v>
      </c>
      <c r="F7" s="240" t="str">
        <f t="shared" ref="F7" si="8">IF(NOT($B7=0),E7/$B7,"---")</f>
        <v>---</v>
      </c>
      <c r="G7" s="241">
        <f>SUMIFS('Diags Raw Data'!$S$6:$S$4902,'Diags Raw Data'!$D$6:$D$4902,$A7)</f>
        <v>0</v>
      </c>
      <c r="H7" s="242">
        <f>SUMIFS('Diags Raw Data'!$T$6:$T$4902,'Diags Raw Data'!$D$6:$D$4902,$A7)</f>
        <v>0</v>
      </c>
      <c r="I7" s="269">
        <f>SUMIFS('Diags Raw Data'!$U$6:$U$4902,'Diags Raw Data'!$D$6:$D$4902,$A7)</f>
        <v>0</v>
      </c>
      <c r="J7" s="242">
        <f>SUMIFS('Diags Raw Data'!$V$6:$V$4902,'Diags Raw Data'!$D$6:$D$4902,$A7)</f>
        <v>0</v>
      </c>
      <c r="K7" s="269">
        <f>SUMIFS('Diags Raw Data'!$W$6:$W$4902,'Diags Raw Data'!$D$6:$D$4902,$A7)</f>
        <v>0</v>
      </c>
      <c r="L7" s="270" t="str">
        <f t="shared" ref="L7" si="9">IF(NOT($C7=0),G7/$C7,"---")</f>
        <v>---</v>
      </c>
      <c r="M7" s="271" t="str">
        <f t="shared" ref="M7" si="10">IF(NOT($G7=0),(H7+I7)/$G7,"---")</f>
        <v>---</v>
      </c>
      <c r="N7" s="272" t="str">
        <f t="shared" ref="N7" si="11">IF(NOT($C7=0),(H7+I7)/$C7,"---")</f>
        <v>---</v>
      </c>
      <c r="O7" s="273">
        <f>SUMIFS('Diags Raw Data'!$Z$6:$Z$4902,'Diags Raw Data'!$D$6:$D$4902,$A7)</f>
        <v>0</v>
      </c>
      <c r="P7" s="274">
        <f>SUMIFS('Diags Raw Data'!$AA$6:$AA$4902,'Diags Raw Data'!$D$6:$D$4902,$A7)</f>
        <v>0</v>
      </c>
      <c r="Q7" s="289">
        <f>SUMIFS('Diags Raw Data'!$AB$6:$AB$4902,'Diags Raw Data'!$D$6:$D$4902,$A7)</f>
        <v>0</v>
      </c>
      <c r="R7" s="274">
        <f>SUMIFS('Diags Raw Data'!$AC$6:$AC$4902,'Diags Raw Data'!$D$6:$D$4902,$A7)</f>
        <v>0</v>
      </c>
      <c r="S7" s="289">
        <f>SUMIFS('Diags Raw Data'!$AD$6:$AD$4902,'Diags Raw Data'!$D$6:$D$4902,$A7)</f>
        <v>0</v>
      </c>
      <c r="T7" s="290" t="str">
        <f t="shared" ref="T7" si="12">IF(NOT($B7=0),O7/$B7,"---")</f>
        <v>---</v>
      </c>
      <c r="U7" s="291" t="str">
        <f t="shared" ref="U7" si="13">IF(NOT($O7=0),(P7+Q7)/$O7,"---")</f>
        <v>---</v>
      </c>
      <c r="V7" s="292" t="str">
        <f t="shared" ref="V7" si="14">IF(NOT($B7=0),(P7+Q7)/$B7,"---")</f>
        <v>---</v>
      </c>
    </row>
    <row r="8" spans="1:22" ht="16.5" thickBot="1">
      <c r="A8" s="243" t="s">
        <v>938</v>
      </c>
      <c r="B8" s="244">
        <f t="shared" ref="B8:D8" si="15">SUM(B4:B7)</f>
        <v>84</v>
      </c>
      <c r="C8" s="244">
        <f t="shared" si="15"/>
        <v>43</v>
      </c>
      <c r="D8" s="244">
        <f t="shared" si="15"/>
        <v>84</v>
      </c>
      <c r="E8" s="244">
        <f>SUM(E4:E7)</f>
        <v>81</v>
      </c>
      <c r="F8" s="245">
        <f t="array" ref="F8">SUMPRODUCT(--(ISNUMBER(SEARCH("New",'Diags Raw Data'!$M$6:$M$4902))),'Diags Raw Data'!$K$6:$K$4902,'Diags Raw Data'!$P$6:$P$4902)/D8+SUMPRODUCT(--(ISNUMBER(SEARCH("Delta",'Diags Raw Data'!$M$6:$M$4902))),'Diags Raw Data'!$K$6:$K$4902,'Diags Raw Data'!$P$6:$P$4902)/D8+SUMPRODUCT(--(ISNUMBER(SEARCH("Legacy",'Diags Raw Data'!$M$6:$M$4902))),'Diags Raw Data'!$K$6:$K$4902,'Diags Raw Data'!$P$6:$P$4902)/D8</f>
        <v>2.7380952380952381</v>
      </c>
      <c r="G8" s="246">
        <f>SUM(G4:G6)</f>
        <v>6</v>
      </c>
      <c r="H8" s="246">
        <f>SUM(H4:H6)</f>
        <v>6</v>
      </c>
      <c r="I8" s="246">
        <f>SUM(I4:I6)</f>
        <v>0</v>
      </c>
      <c r="J8" s="246">
        <f>SUM(J4:J6)</f>
        <v>0</v>
      </c>
      <c r="K8" s="275">
        <f>SUM(K4:K6)</f>
        <v>0</v>
      </c>
      <c r="L8" s="276">
        <f t="shared" si="1"/>
        <v>0.13953488372093023</v>
      </c>
      <c r="M8" s="277">
        <f t="shared" si="2"/>
        <v>1</v>
      </c>
      <c r="N8" s="278">
        <f t="shared" si="3"/>
        <v>0.13953488372093023</v>
      </c>
      <c r="O8" s="279">
        <f>SUM(O4:O6)</f>
        <v>0</v>
      </c>
      <c r="P8" s="279">
        <f>SUM(P4:P6)</f>
        <v>0</v>
      </c>
      <c r="Q8" s="279">
        <f>SUM(Q4:Q6)</f>
        <v>0</v>
      </c>
      <c r="R8" s="279">
        <f>SUM(R4:R6)</f>
        <v>0</v>
      </c>
      <c r="S8" s="279">
        <f>SUM(S4:S6)</f>
        <v>0</v>
      </c>
      <c r="T8" s="293">
        <f t="shared" si="4"/>
        <v>0</v>
      </c>
      <c r="U8" s="294" t="str">
        <f t="shared" si="7"/>
        <v>---</v>
      </c>
      <c r="V8" s="295">
        <f t="shared" si="6"/>
        <v>0</v>
      </c>
    </row>
    <row r="10" spans="1:22">
      <c r="A10" s="247" t="s">
        <v>939</v>
      </c>
      <c r="B10" s="569" t="s">
        <v>161</v>
      </c>
      <c r="C10" s="569"/>
      <c r="D10" s="569"/>
      <c r="E10" s="569"/>
      <c r="F10" s="569"/>
      <c r="G10" s="570" t="s">
        <v>172</v>
      </c>
      <c r="H10" s="571"/>
      <c r="I10" s="571"/>
      <c r="J10" s="571"/>
      <c r="K10" s="571"/>
      <c r="L10" s="571"/>
      <c r="M10" s="571"/>
      <c r="N10" s="572"/>
      <c r="O10" s="573" t="s">
        <v>139</v>
      </c>
      <c r="P10" s="574"/>
      <c r="Q10" s="574"/>
      <c r="R10" s="574"/>
      <c r="S10" s="574"/>
      <c r="T10" s="574"/>
      <c r="U10" s="574"/>
      <c r="V10" s="575"/>
    </row>
    <row r="11" spans="1:22" s="217" customFormat="1" ht="30">
      <c r="A11" s="219" t="s">
        <v>83</v>
      </c>
      <c r="B11" s="220" t="s">
        <v>162</v>
      </c>
      <c r="C11" s="221" t="s">
        <v>123</v>
      </c>
      <c r="D11" s="222" t="s">
        <v>100</v>
      </c>
      <c r="E11" s="222" t="s">
        <v>168</v>
      </c>
      <c r="F11" s="223" t="s">
        <v>170</v>
      </c>
      <c r="G11" s="224" t="s">
        <v>127</v>
      </c>
      <c r="H11" s="225" t="s">
        <v>30</v>
      </c>
      <c r="I11" s="225" t="s">
        <v>130</v>
      </c>
      <c r="J11" s="225" t="s">
        <v>35</v>
      </c>
      <c r="K11" s="225" t="s">
        <v>133</v>
      </c>
      <c r="L11" s="225" t="s">
        <v>179</v>
      </c>
      <c r="M11" s="225" t="s">
        <v>135</v>
      </c>
      <c r="N11" s="254" t="s">
        <v>182</v>
      </c>
      <c r="O11" s="255" t="s">
        <v>127</v>
      </c>
      <c r="P11" s="256" t="s">
        <v>30</v>
      </c>
      <c r="Q11" s="256" t="s">
        <v>130</v>
      </c>
      <c r="R11" s="256" t="s">
        <v>35</v>
      </c>
      <c r="S11" s="256" t="s">
        <v>133</v>
      </c>
      <c r="T11" s="256" t="s">
        <v>179</v>
      </c>
      <c r="U11" s="256" t="s">
        <v>135</v>
      </c>
      <c r="V11" s="280" t="s">
        <v>182</v>
      </c>
    </row>
    <row r="12" spans="1:22">
      <c r="A12" s="226" t="s">
        <v>533</v>
      </c>
      <c r="B12" s="227">
        <f>SUMIFS('Diags Raw Data'!$L$6:$L$4902,'Diags Raw Data'!$D$6:$D$4902,$A12,'Diags Raw Data'!$M$6:$M$4902,"New")+SUMIFS('Diags Raw Data'!$L$6:$L$4902,'Diags Raw Data'!$D$6:$D$4902,$A12,'Diags Raw Data'!$M$6:$M$4902,"Delta")</f>
        <v>73</v>
      </c>
      <c r="C12" s="228">
        <f>SUMIFS('Diags Raw Data'!$R$6:$R$4902,'Diags Raw Data'!$D$6:$D$4902,$A12,'Diags Raw Data'!$M$6:$M$4902,"New")+SUMIFS('Diags Raw Data'!$R$6:$R$4902,'Diags Raw Data'!$D$6:$D$4902,$A12,'Diags Raw Data'!$M$6:$M$4902,"Delta")</f>
        <v>32</v>
      </c>
      <c r="D12" s="228">
        <f>SUMIFS('Diags Raw Data'!$K$6:$K$4902,'Diags Raw Data'!$D$6:$D$4902,$A12,'Diags Raw Data'!$M$6:$M$4902,"New")+SUMIFS('Diags Raw Data'!$K$6:$K$4902,'Diags Raw Data'!$D$6:$D$4902,$A12,'Diags Raw Data'!$M$6:$M$4902,"Delta")</f>
        <v>73</v>
      </c>
      <c r="E12" s="228">
        <f>SUMIFS('Diags Raw Data'!$O$6:$O$4902,'Diags Raw Data'!$D$6:$D$4902,$A12,'Diags Raw Data'!$M$6:$M$4902,"New")+SUMIFS('Diags Raw Data'!$O$6:$O$4902,'Diags Raw Data'!$D$6:$D$4902,$A12,'Diags Raw Data'!$M$6:$M$4902,"Delta")</f>
        <v>70</v>
      </c>
      <c r="F12" s="229">
        <f t="shared" ref="F12:F14" si="16">IF(NOT($B12=0),E12/$B12,"---")</f>
        <v>0.95890410958904104</v>
      </c>
      <c r="G12" s="230">
        <f>SUMIFS('Diags Raw Data'!$S$6:$S$4902,'Diags Raw Data'!$D$6:$D$4902,$A12,'Diags Raw Data'!$M$6:$M$4902,"New")+SUMIFS('Diags Raw Data'!$S$6:$S$4902,'Diags Raw Data'!$D$6:$D$4902,$A12,'Diags Raw Data'!$M$6:$M$4902,"Delta")</f>
        <v>2</v>
      </c>
      <c r="H12" s="231">
        <f>SUMIFS('Diags Raw Data'!$T$6:$T$4902,'Diags Raw Data'!$D$6:$D$4902,$A12,'Diags Raw Data'!$M$6:$M$4902,"New")+SUMIFS('Diags Raw Data'!$T$6:$T$4902,'Diags Raw Data'!$D$6:$D$4902,$A12,'Diags Raw Data'!$M$6:$M$4902,"Delta")</f>
        <v>2</v>
      </c>
      <c r="I12" s="231">
        <f>SUMIFS('Diags Raw Data'!$U$6:$U$4902,'Diags Raw Data'!$D$6:$D$4902,$A12,'Diags Raw Data'!$M$6:$M$4902,"New")+SUMIFS('Diags Raw Data'!$U$6:$U$4902,'Diags Raw Data'!$D$6:$D$4902,$A12,'Diags Raw Data'!$M$6:$M$4902,"Delta")</f>
        <v>0</v>
      </c>
      <c r="J12" s="231">
        <f>SUMIFS('Diags Raw Data'!$V$6:$V$4902,'Diags Raw Data'!$D$6:$D$4902,$A12,'Diags Raw Data'!$M$6:$M$4902,"New")+SUMIFS('Diags Raw Data'!$V$6:$V$4902,'Diags Raw Data'!$D$6:$D$4902,$A12,'Diags Raw Data'!$M$6:$M$4902,"Delta")</f>
        <v>0</v>
      </c>
      <c r="K12" s="231">
        <f>SUMIFS('Diags Raw Data'!$W$6:$W$4902,'Diags Raw Data'!$D$6:$D$4902,$A12,'Diags Raw Data'!$M$6:$M$4902,"New")+SUMIFS('Diags Raw Data'!$W$6:$W$4902,'Diags Raw Data'!$D$6:$D$4902,$A12,'Diags Raw Data'!$M$6:$M$4902,"Delta")</f>
        <v>0</v>
      </c>
      <c r="L12" s="258">
        <f>IF(NOT($C12=0),G12/$C12,"---")</f>
        <v>6.25E-2</v>
      </c>
      <c r="M12" s="259">
        <f>IF(NOT($G12=0),(H12+I12)/$G12,"---")</f>
        <v>1</v>
      </c>
      <c r="N12" s="260">
        <f>IF(NOT($C12=0),(H12+I12)/$C12,"---")</f>
        <v>6.25E-2</v>
      </c>
      <c r="O12" s="261">
        <f>SUMIFS('Diags Raw Data'!$Z$6:$Z$4902,'Diags Raw Data'!$D$6:$D$4902,$A12,'Diags Raw Data'!$M$6:$M$4902,"New")+SUMIFS('Diags Raw Data'!$Z$6:$Z$4902,'Diags Raw Data'!$D$6:$D$4902,$A12,'Diags Raw Data'!$M$6:$M$4902,"Delta")</f>
        <v>0</v>
      </c>
      <c r="P12" s="262">
        <f>SUMIFS('Diags Raw Data'!$AA$6:$AA$4902,'Diags Raw Data'!$D$6:$D$4902,$A12,'Diags Raw Data'!$M$6:$M$4902,"New")+SUMIFS('Diags Raw Data'!$AA$6:$AA$4902,'Diags Raw Data'!$D$6:$D$4902,$A12,'Diags Raw Data'!$M$6:$M$4902,"Delta")</f>
        <v>0</v>
      </c>
      <c r="Q12" s="262">
        <f>SUMIFS('Diags Raw Data'!$AB$6:$AB$4902,'Diags Raw Data'!$D$6:$D$4902,$A12,'Diags Raw Data'!$M$6:$M$4902,"New")+SUMIFS('Diags Raw Data'!$AB$6:$AB$4902,'Diags Raw Data'!$D$6:$D$4902,$A12,'Diags Raw Data'!$M$6:$M$4902,"Delta")</f>
        <v>0</v>
      </c>
      <c r="R12" s="262">
        <f>SUMIFS('Diags Raw Data'!$AC$6:$AC$4902,'Diags Raw Data'!$D$6:$D$4902,$A12,'Diags Raw Data'!$M$6:$M$4902,"New")+SUMIFS('Diags Raw Data'!$AC$6:$AC$4902,'Diags Raw Data'!$D$6:$D$4902,$A12,'Diags Raw Data'!$M$6:$M$4902,"Delta")</f>
        <v>0</v>
      </c>
      <c r="S12" s="262">
        <f>SUMIFS('Diags Raw Data'!$AD$6:$AD$4902,'Diags Raw Data'!$D$6:$D$4902,$A12,'Diags Raw Data'!$M$6:$M$4902,"New")+SUMIFS('Diags Raw Data'!$AD$6:$AD$4902,'Diags Raw Data'!$D$6:$D$4902,$A12,'Diags Raw Data'!$M$6:$M$4902,"Delta")</f>
        <v>0</v>
      </c>
      <c r="T12" s="282">
        <f>IF(NOT($B12=0),O12/$B12,"---")</f>
        <v>0</v>
      </c>
      <c r="U12" s="283" t="str">
        <f>IF(NOT($O12=0),(P12+Q12)/$O12,"---")</f>
        <v>---</v>
      </c>
      <c r="V12" s="284">
        <f>IF(NOT($B12=0),(P12+Q12)/$B12,"---")</f>
        <v>0</v>
      </c>
    </row>
    <row r="13" spans="1:22">
      <c r="A13" s="226" t="s">
        <v>936</v>
      </c>
      <c r="B13" s="232">
        <f>SUMIFS('Diags Raw Data'!$L$6:$L$4902,'Diags Raw Data'!$D$6:$D$4902,$A13,'Diags Raw Data'!$M$6:$M$4902,"New")+SUMIFS('Diags Raw Data'!$L$6:$L$4902,'Diags Raw Data'!$D$6:$D$4902,$A13,'Diags Raw Data'!$M$6:$M$4902,"Delta")</f>
        <v>0</v>
      </c>
      <c r="C13" s="233">
        <f>SUMIFS('Diags Raw Data'!$R$6:$R$4902,'Diags Raw Data'!$D$6:$D$4902,$A13,'Diags Raw Data'!$M$6:$M$4902,"New")+SUMIFS('Diags Raw Data'!$R$6:$R$4902,'Diags Raw Data'!$D$6:$D$4902,$A13,'Diags Raw Data'!$M$6:$M$4902,"Delta")</f>
        <v>0</v>
      </c>
      <c r="D13" s="233">
        <f>SUMIFS('Diags Raw Data'!$K$6:$K$4902,'Diags Raw Data'!$D$6:$D$4902,$A13,'Diags Raw Data'!$M$6:$M$4902,"New")+SUMIFS('Diags Raw Data'!$K$6:$K$4902,'Diags Raw Data'!$D$6:$D$4902,$A13,'Diags Raw Data'!$M$6:$M$4902,"Delta")</f>
        <v>0</v>
      </c>
      <c r="E13" s="233">
        <f>SUMIFS('Diags Raw Data'!$O$6:$O$4902,'Diags Raw Data'!$D$6:$D$4902,$A13,'Diags Raw Data'!$M$6:$M$4902,"New")+SUMIFS('Diags Raw Data'!$O$6:$O$4902,'Diags Raw Data'!$D$6:$D$4902,$A13,'Diags Raw Data'!$M$6:$M$4902,"Delta")</f>
        <v>0</v>
      </c>
      <c r="F13" s="234" t="str">
        <f t="shared" si="16"/>
        <v>---</v>
      </c>
      <c r="G13" s="235">
        <f>SUMIFS('Diags Raw Data'!$S$6:$S$4902,'Diags Raw Data'!$D$6:$D$4902,$A13,'Diags Raw Data'!$M$6:$M$4902,"New")+SUMIFS('Diags Raw Data'!$S$6:$S$4902,'Diags Raw Data'!$D$6:$D$4902,$A13,'Diags Raw Data'!$M$6:$M$4902,"Delta")</f>
        <v>0</v>
      </c>
      <c r="H13" s="236">
        <f>SUMIFS('Diags Raw Data'!$T$6:$T$4902,'Diags Raw Data'!$D$6:$D$4902,$A13,'Diags Raw Data'!$M$6:$M$4902,"New")+SUMIFS('Diags Raw Data'!$T$6:$T$4902,'Diags Raw Data'!$D$6:$D$4902,$A13,'Diags Raw Data'!$M$6:$M$4902,"Delta")</f>
        <v>0</v>
      </c>
      <c r="I13" s="236">
        <f>SUMIFS('Diags Raw Data'!$U$6:$U$4902,'Diags Raw Data'!$D$6:$D$4902,$A13,'Diags Raw Data'!$M$6:$M$4902,"New")+SUMIFS('Diags Raw Data'!$U$6:$U$4902,'Diags Raw Data'!$D$6:$D$4902,$A13,'Diags Raw Data'!$M$6:$M$4902,"Delta")</f>
        <v>0</v>
      </c>
      <c r="J13" s="236">
        <f>SUMIFS('Diags Raw Data'!$V$6:$V$4902,'Diags Raw Data'!$D$6:$D$4902,$A13,'Diags Raw Data'!$M$6:$M$4902,"New")+SUMIFS('Diags Raw Data'!$V$6:$V$4902,'Diags Raw Data'!$D$6:$D$4902,$A13,'Diags Raw Data'!$M$6:$M$4902,"Delta")</f>
        <v>0</v>
      </c>
      <c r="K13" s="236">
        <f>SUMIFS('Diags Raw Data'!$W$6:$W$4902,'Diags Raw Data'!$D$6:$D$4902,$A13,'Diags Raw Data'!$M$6:$M$4902,"New")+SUMIFS('Diags Raw Data'!$W$6:$W$4902,'Diags Raw Data'!$D$6:$D$4902,$A13,'Diags Raw Data'!$M$6:$M$4902,"Delta")</f>
        <v>0</v>
      </c>
      <c r="L13" s="264" t="str">
        <f t="shared" ref="L13:L15" si="17">IF(NOT($C13=0),G13/$C13,"---")</f>
        <v>---</v>
      </c>
      <c r="M13" s="265" t="str">
        <f t="shared" ref="M13:M15" si="18">IF(NOT($G13=0),(H13+I13)/$G13,"---")</f>
        <v>---</v>
      </c>
      <c r="N13" s="266" t="str">
        <f t="shared" ref="N13:N15" si="19">IF(NOT($C13=0),(H13+I13)/$C13,"---")</f>
        <v>---</v>
      </c>
      <c r="O13" s="267">
        <f>SUMIFS('Diags Raw Data'!$Z$6:$Z$4902,'Diags Raw Data'!$D$6:$D$4902,$A13,'Diags Raw Data'!$M$6:$M$4902,"New")+SUMIFS('Diags Raw Data'!$Z$6:$Z$4902,'Diags Raw Data'!$D$6:$D$4902,$A13,'Diags Raw Data'!$M$6:$M$4902,"Delta")</f>
        <v>0</v>
      </c>
      <c r="P13" s="268">
        <f>SUMIFS('Diags Raw Data'!$AA$6:$AA$4902,'Diags Raw Data'!$D$6:$D$4902,$A13,'Diags Raw Data'!$M$6:$M$4902,"New")+SUMIFS('Diags Raw Data'!$AA$6:$AA$4902,'Diags Raw Data'!$D$6:$D$4902,$A13,'Diags Raw Data'!$M$6:$M$4902,"Delta")</f>
        <v>0</v>
      </c>
      <c r="Q13" s="268">
        <f>SUMIFS('Diags Raw Data'!$AB$6:$AB$4902,'Diags Raw Data'!$D$6:$D$4902,$A13,'Diags Raw Data'!$M$6:$M$4902,"New")+SUMIFS('Diags Raw Data'!$AB$6:$AB$4902,'Diags Raw Data'!$D$6:$D$4902,$A13,'Diags Raw Data'!$M$6:$M$4902,"Delta")</f>
        <v>0</v>
      </c>
      <c r="R13" s="268">
        <f>SUMIFS('Diags Raw Data'!$AC$6:$AC$4902,'Diags Raw Data'!$D$6:$D$4902,$A13,'Diags Raw Data'!$M$6:$M$4902,"New")+SUMIFS('Diags Raw Data'!$AC$6:$AC$4902,'Diags Raw Data'!$D$6:$D$4902,$A13,'Diags Raw Data'!$M$6:$M$4902,"Delta")</f>
        <v>0</v>
      </c>
      <c r="S13" s="268">
        <f>SUMIFS('Diags Raw Data'!$AD$6:$AD$4902,'Diags Raw Data'!$D$6:$D$4902,$A13,'Diags Raw Data'!$M$6:$M$4902,"New")+SUMIFS('Diags Raw Data'!$AD$6:$AD$4902,'Diags Raw Data'!$D$6:$D$4902,$A13,'Diags Raw Data'!$M$6:$M$4902,"Delta")</f>
        <v>0</v>
      </c>
      <c r="T13" s="286" t="str">
        <f t="shared" ref="T13:T15" si="20">IF(NOT($B13=0),O13/$B13,"---")</f>
        <v>---</v>
      </c>
      <c r="U13" s="287" t="str">
        <f t="shared" ref="U13:U15" si="21">IF(NOT($O13=0),(P13+Q13)/$O13,"---")</f>
        <v>---</v>
      </c>
      <c r="V13" s="288" t="str">
        <f t="shared" ref="V13:V15" si="22">IF(NOT($B13=0),(P13+Q13)/$B13,"---")</f>
        <v>---</v>
      </c>
    </row>
    <row r="14" spans="1:22" ht="15.75" thickBot="1">
      <c r="A14" s="237" t="s">
        <v>937</v>
      </c>
      <c r="B14" s="238">
        <f>SUMIFS('Diags Raw Data'!$L$6:$L$4902,'Diags Raw Data'!$D$6:$D$4902,$A14,'Diags Raw Data'!$M$6:$M$4902,"New")+SUMIFS('Diags Raw Data'!$L$6:$L$4902,'Diags Raw Data'!$D$6:$D$4902,$A14,'Diags Raw Data'!$M$6:$M$4902,"Delta")</f>
        <v>0</v>
      </c>
      <c r="C14" s="239">
        <f>SUMIFS('Diags Raw Data'!$R$6:$R$4902,'Diags Raw Data'!$D$6:$D$4902,$A14,'Diags Raw Data'!$M$6:$M$4902,"New")+SUMIFS('Diags Raw Data'!$R$6:$R$4902,'Diags Raw Data'!$D$6:$D$4902,$A14,'Diags Raw Data'!$M$6:$M$4902,"Delta")</f>
        <v>0</v>
      </c>
      <c r="D14" s="239">
        <f>SUMIFS('Diags Raw Data'!$K$6:$K$4902,'Diags Raw Data'!$D$6:$D$4902,$A14,'Diags Raw Data'!$M$6:$M$4902,"New")+SUMIFS('Diags Raw Data'!$K$6:$K$4902,'Diags Raw Data'!$D$6:$D$4902,$A14,'Diags Raw Data'!$M$6:$M$4902,"Delta")</f>
        <v>0</v>
      </c>
      <c r="E14" s="239">
        <f>SUMIFS('Diags Raw Data'!$O$6:$O$4902,'Diags Raw Data'!$D$6:$D$4902,$A14,'Diags Raw Data'!$M$6:$M$4902,"New")+SUMIFS('Diags Raw Data'!$O$6:$O$4902,'Diags Raw Data'!$D$6:$D$4902,$A14,'Diags Raw Data'!$M$6:$M$4902,"Delta")</f>
        <v>0</v>
      </c>
      <c r="F14" s="240" t="str">
        <f t="shared" si="16"/>
        <v>---</v>
      </c>
      <c r="G14" s="241">
        <f>SUMIFS('Diags Raw Data'!$S$6:$S$4902,'Diags Raw Data'!$D$6:$D$4902,$A14,'Diags Raw Data'!$M$6:$M$4902,"New")+SUMIFS('Diags Raw Data'!$S$6:$S$4902,'Diags Raw Data'!$D$6:$D$4902,$A14,'Diags Raw Data'!$M$6:$M$4902,"Delta")</f>
        <v>0</v>
      </c>
      <c r="H14" s="242">
        <f>SUMIFS('Diags Raw Data'!$T$6:$T$4902,'Diags Raw Data'!$D$6:$D$4902,$A14,'Diags Raw Data'!$M$6:$M$4902,"New")+SUMIFS('Diags Raw Data'!$T$6:$T$4902,'Diags Raw Data'!$D$6:$D$4902,$A14,'Diags Raw Data'!$M$6:$M$4902,"Delta")</f>
        <v>0</v>
      </c>
      <c r="I14" s="242">
        <f>SUMIFS('Diags Raw Data'!$U$6:$U$4902,'Diags Raw Data'!$D$6:$D$4902,$A14,'Diags Raw Data'!$M$6:$M$4902,"New")+SUMIFS('Diags Raw Data'!$U$6:$U$4902,'Diags Raw Data'!$D$6:$D$4902,$A14,'Diags Raw Data'!$M$6:$M$4902,"Delta")</f>
        <v>0</v>
      </c>
      <c r="J14" s="242">
        <f>SUMIFS('Diags Raw Data'!$V$6:$V$4902,'Diags Raw Data'!$D$6:$D$4902,$A14,'Diags Raw Data'!$M$6:$M$4902,"New")+SUMIFS('Diags Raw Data'!$V$6:$V$4902,'Diags Raw Data'!$D$6:$D$4902,$A14,'Diags Raw Data'!$M$6:$M$4902,"Delta")</f>
        <v>0</v>
      </c>
      <c r="K14" s="242">
        <f>SUMIFS('Diags Raw Data'!$W$6:$W$4902,'Diags Raw Data'!$D$6:$D$4902,$A14,'Diags Raw Data'!$M$6:$M$4902,"New")+SUMIFS('Diags Raw Data'!$W$6:$W$4902,'Diags Raw Data'!$D$6:$D$4902,$A14,'Diags Raw Data'!$M$6:$M$4902,"Delta")</f>
        <v>0</v>
      </c>
      <c r="L14" s="270" t="str">
        <f t="shared" si="17"/>
        <v>---</v>
      </c>
      <c r="M14" s="271" t="str">
        <f t="shared" si="18"/>
        <v>---</v>
      </c>
      <c r="N14" s="272" t="str">
        <f t="shared" si="19"/>
        <v>---</v>
      </c>
      <c r="O14" s="273">
        <f>SUMIFS('Diags Raw Data'!$Z$6:$Z$4902,'Diags Raw Data'!$D$6:$D$4902,$A14,'Diags Raw Data'!$M$6:$M$4902,"New")+SUMIFS('Diags Raw Data'!$Z$6:$Z$4902,'Diags Raw Data'!$D$6:$D$4902,$A14,'Diags Raw Data'!$M$6:$M$4902,"Delta")</f>
        <v>0</v>
      </c>
      <c r="P14" s="274">
        <f>SUMIFS('Diags Raw Data'!$AA$6:$AA$4902,'Diags Raw Data'!$D$6:$D$4902,$A14,'Diags Raw Data'!$M$6:$M$4902,"New")+SUMIFS('Diags Raw Data'!$AA$6:$AA$4902,'Diags Raw Data'!$D$6:$D$4902,$A14,'Diags Raw Data'!$M$6:$M$4902,"Delta")</f>
        <v>0</v>
      </c>
      <c r="Q14" s="274">
        <f>SUMIFS('Diags Raw Data'!$AB$6:$AB$4902,'Diags Raw Data'!$D$6:$D$4902,$A14,'Diags Raw Data'!$M$6:$M$4902,"New")+SUMIFS('Diags Raw Data'!$AB$6:$AB$4902,'Diags Raw Data'!$D$6:$D$4902,$A14,'Diags Raw Data'!$M$6:$M$4902,"Delta")</f>
        <v>0</v>
      </c>
      <c r="R14" s="274">
        <f>SUMIFS('Diags Raw Data'!$AC$6:$AC$4902,'Diags Raw Data'!$D$6:$D$4902,$A14,'Diags Raw Data'!$M$6:$M$4902,"New")+SUMIFS('Diags Raw Data'!$AC$6:$AC$4902,'Diags Raw Data'!$D$6:$D$4902,$A14,'Diags Raw Data'!$M$6:$M$4902,"Delta")</f>
        <v>0</v>
      </c>
      <c r="S14" s="274">
        <f>SUMIFS('Diags Raw Data'!$AD$6:$AD$4902,'Diags Raw Data'!$D$6:$D$4902,$A14,'Diags Raw Data'!$M$6:$M$4902,"New")+SUMIFS('Diags Raw Data'!$AD$6:$AD$4902,'Diags Raw Data'!$D$6:$D$4902,$A14,'Diags Raw Data'!$M$6:$M$4902,"Delta")</f>
        <v>0</v>
      </c>
      <c r="T14" s="290" t="str">
        <f t="shared" si="20"/>
        <v>---</v>
      </c>
      <c r="U14" s="291" t="str">
        <f t="shared" si="21"/>
        <v>---</v>
      </c>
      <c r="V14" s="292" t="str">
        <f t="shared" si="22"/>
        <v>---</v>
      </c>
    </row>
    <row r="15" spans="1:22" ht="16.5" thickBot="1">
      <c r="A15" s="248" t="s">
        <v>940</v>
      </c>
      <c r="B15" s="244">
        <f>SUM(B12:B14)</f>
        <v>73</v>
      </c>
      <c r="C15" s="244">
        <f>SUM(C12:C14)</f>
        <v>32</v>
      </c>
      <c r="D15" s="244">
        <f>SUM(D12:D14)</f>
        <v>73</v>
      </c>
      <c r="E15" s="244">
        <f>SUM(E12:E14)</f>
        <v>70</v>
      </c>
      <c r="F15" s="245">
        <f t="array" ref="F15">SUMPRODUCT(--(ISNUMBER(SEARCH("New",'Diags Raw Data'!$M$6:$M$4902))),'Diags Raw Data'!$K$6:$K$4902,'Diags Raw Data'!$P$6:$P$4902)/D15+SUMPRODUCT(--(ISNUMBER(SEARCH("Delta",'Diags Raw Data'!$M$6:$M$4902))),'Diags Raw Data'!$K$6:$K$4902,'Diags Raw Data'!$P$6:$P$4902)/D15</f>
        <v>1.1369863013698631</v>
      </c>
      <c r="G15" s="246">
        <f>SUM(G12:G14)</f>
        <v>2</v>
      </c>
      <c r="H15" s="246">
        <f>SUM(H12:H14)</f>
        <v>2</v>
      </c>
      <c r="I15" s="246">
        <f>SUM(I12:I14)</f>
        <v>0</v>
      </c>
      <c r="J15" s="246">
        <f>SUM(J12:J14)</f>
        <v>0</v>
      </c>
      <c r="K15" s="275">
        <f>SUM(K12:K14)</f>
        <v>0</v>
      </c>
      <c r="L15" s="276">
        <f t="shared" si="17"/>
        <v>6.25E-2</v>
      </c>
      <c r="M15" s="277">
        <f t="shared" si="18"/>
        <v>1</v>
      </c>
      <c r="N15" s="278">
        <f t="shared" si="19"/>
        <v>6.25E-2</v>
      </c>
      <c r="O15" s="279">
        <f>SUM(O12:O14)</f>
        <v>0</v>
      </c>
      <c r="P15" s="279">
        <f>SUM(P12:P14)</f>
        <v>0</v>
      </c>
      <c r="Q15" s="279">
        <f>SUM(Q12:Q14)</f>
        <v>0</v>
      </c>
      <c r="R15" s="279">
        <f>SUM(R12:R14)</f>
        <v>0</v>
      </c>
      <c r="S15" s="279">
        <f>SUM(S12:S14)</f>
        <v>0</v>
      </c>
      <c r="T15" s="293">
        <f t="shared" si="20"/>
        <v>0</v>
      </c>
      <c r="U15" s="294" t="str">
        <f t="shared" si="21"/>
        <v>---</v>
      </c>
      <c r="V15" s="295">
        <f t="shared" si="22"/>
        <v>0</v>
      </c>
    </row>
    <row r="16" spans="1:22">
      <c r="A16" s="249"/>
      <c r="B16" s="249"/>
      <c r="C16" s="249"/>
      <c r="D16" s="249"/>
      <c r="E16" s="249"/>
      <c r="F16" s="249"/>
      <c r="G16" s="249"/>
      <c r="H16" s="249"/>
      <c r="I16" s="249"/>
      <c r="J16" s="249"/>
      <c r="K16" s="249"/>
      <c r="L16" s="249"/>
      <c r="M16" s="249"/>
      <c r="N16" s="249"/>
      <c r="O16" s="249"/>
      <c r="P16" s="249"/>
      <c r="Q16" s="249"/>
      <c r="R16" s="249"/>
      <c r="S16" s="249"/>
      <c r="T16" s="249"/>
      <c r="U16" s="249"/>
      <c r="V16" s="249"/>
    </row>
    <row r="17" spans="1:22">
      <c r="A17" s="250" t="s">
        <v>33</v>
      </c>
      <c r="B17" s="569" t="s">
        <v>161</v>
      </c>
      <c r="C17" s="569"/>
      <c r="D17" s="569"/>
      <c r="E17" s="569"/>
      <c r="F17" s="569"/>
      <c r="G17" s="570" t="s">
        <v>172</v>
      </c>
      <c r="H17" s="571"/>
      <c r="I17" s="571"/>
      <c r="J17" s="571"/>
      <c r="K17" s="571"/>
      <c r="L17" s="571"/>
      <c r="M17" s="571"/>
      <c r="N17" s="572"/>
      <c r="O17" s="573" t="s">
        <v>139</v>
      </c>
      <c r="P17" s="574"/>
      <c r="Q17" s="574"/>
      <c r="R17" s="574"/>
      <c r="S17" s="574"/>
      <c r="T17" s="574"/>
      <c r="U17" s="574"/>
      <c r="V17" s="575"/>
    </row>
    <row r="18" spans="1:22" s="217" customFormat="1" ht="30">
      <c r="A18" s="219" t="s">
        <v>83</v>
      </c>
      <c r="B18" s="220" t="s">
        <v>162</v>
      </c>
      <c r="C18" s="221" t="s">
        <v>123</v>
      </c>
      <c r="D18" s="222" t="s">
        <v>100</v>
      </c>
      <c r="E18" s="222" t="s">
        <v>168</v>
      </c>
      <c r="F18" s="223" t="s">
        <v>170</v>
      </c>
      <c r="G18" s="224" t="s">
        <v>127</v>
      </c>
      <c r="H18" s="225" t="s">
        <v>30</v>
      </c>
      <c r="I18" s="225" t="s">
        <v>130</v>
      </c>
      <c r="J18" s="225" t="s">
        <v>35</v>
      </c>
      <c r="K18" s="225" t="s">
        <v>133</v>
      </c>
      <c r="L18" s="225" t="s">
        <v>179</v>
      </c>
      <c r="M18" s="225" t="s">
        <v>135</v>
      </c>
      <c r="N18" s="254" t="s">
        <v>182</v>
      </c>
      <c r="O18" s="255" t="s">
        <v>127</v>
      </c>
      <c r="P18" s="256" t="s">
        <v>30</v>
      </c>
      <c r="Q18" s="256" t="s">
        <v>130</v>
      </c>
      <c r="R18" s="256" t="s">
        <v>35</v>
      </c>
      <c r="S18" s="256" t="s">
        <v>133</v>
      </c>
      <c r="T18" s="256" t="s">
        <v>179</v>
      </c>
      <c r="U18" s="256" t="s">
        <v>135</v>
      </c>
      <c r="V18" s="280" t="s">
        <v>182</v>
      </c>
    </row>
    <row r="19" spans="1:22">
      <c r="A19" s="226" t="s">
        <v>533</v>
      </c>
      <c r="B19" s="227">
        <f>SUMIFS('Diags Raw Data'!$L$6:$L$4902,'Diags Raw Data'!$D$6:$D$4902,$A19,'Diags Raw Data'!$M$6:$M$4902,"Legacy")</f>
        <v>11</v>
      </c>
      <c r="C19" s="228">
        <f>SUMIFS('Diags Raw Data'!$R$6:$R$4902,'Diags Raw Data'!$D$6:$D$4902,$A19,'Diags Raw Data'!$M$6:$M$4902,"Legacy")</f>
        <v>11</v>
      </c>
      <c r="D19" s="228">
        <f>SUMIFS('Diags Raw Data'!$K$6:$K$4902,'Diags Raw Data'!$D$6:$D$4902,$A19,'Diags Raw Data'!$M$6:$M$4902,"Legacy")</f>
        <v>11</v>
      </c>
      <c r="E19" s="228">
        <f>SUMIFS('Diags Raw Data'!$O$6:$O$4902,'Diags Raw Data'!$D$6:$D$4902,$A19,'Diags Raw Data'!$M$6:$M$4902,"Legacy")</f>
        <v>11</v>
      </c>
      <c r="F19" s="229">
        <f>IF(NOT($B19=0),E19/$B19,"---")</f>
        <v>1</v>
      </c>
      <c r="G19" s="230">
        <f>SUMIFS('Diags Raw Data'!$S$6:$S$4902,'Diags Raw Data'!$D$6:$D$4902,$A19,'Diags Raw Data'!$M$6:$M$4902,"Legacy")</f>
        <v>4</v>
      </c>
      <c r="H19" s="231">
        <f>SUMIFS('Diags Raw Data'!$T$6:$T$4902,'Diags Raw Data'!$D$6:$D$4902,$A19,'Diags Raw Data'!$M$6:$M$4902,"Legacy")</f>
        <v>4</v>
      </c>
      <c r="I19" s="257">
        <f>SUMIFS('Diags Raw Data'!$U$6:$U$4902,'Diags Raw Data'!$D$6:$D$4902,$A19,'Diags Raw Data'!$M$6:$M$4902,"Legacy")</f>
        <v>0</v>
      </c>
      <c r="J19" s="231">
        <f>SUMIFS('Diags Raw Data'!$V$6:$V$4902,'Diags Raw Data'!$D$6:$D$4902,$A19,'Diags Raw Data'!$M$6:$M$4902,"Legacy")</f>
        <v>0</v>
      </c>
      <c r="K19" s="257">
        <f>SUMIFS('Diags Raw Data'!$W$6:$W$4902,'Diags Raw Data'!$D$6:$D$4902,$A19,'Diags Raw Data'!$M$6:$M$4902,"Legacy")</f>
        <v>0</v>
      </c>
      <c r="L19" s="258">
        <f>IF(NOT($C19=0),G19/$C19,"---")</f>
        <v>0.36363636363636365</v>
      </c>
      <c r="M19" s="259">
        <f>IF(NOT($G19=0),(H19+I19)/$G19,"---")</f>
        <v>1</v>
      </c>
      <c r="N19" s="260">
        <f>IF(NOT($C19=0),(H19+I19)/$C19,"---")</f>
        <v>0.36363636363636365</v>
      </c>
      <c r="O19" s="261">
        <f>SUMIFS('Diags Raw Data'!$Z$6:$Z$4902,'Diags Raw Data'!$D$6:$D$4902,$A19,'Diags Raw Data'!$M$6:$M$4902,"Legacy")</f>
        <v>0</v>
      </c>
      <c r="P19" s="262">
        <f>SUMIFS('Diags Raw Data'!$AA$6:$AA$4902,'Diags Raw Data'!$D$6:$D$4902,$A19,'Diags Raw Data'!$M$6:$M$4902,"Legacy")</f>
        <v>0</v>
      </c>
      <c r="Q19" s="281">
        <f>SUMIFS('Diags Raw Data'!$AB$6:$AB$4902,'Diags Raw Data'!$D$6:$D$4902,$A19,'Diags Raw Data'!$M$6:$M$4902,"Legacy")</f>
        <v>0</v>
      </c>
      <c r="R19" s="262">
        <f>SUMIFS('Diags Raw Data'!$AC$6:$AC$4902,'Diags Raw Data'!$D$6:$D$4902,$A19,'Diags Raw Data'!$M$6:$M$4902,"Legacy")</f>
        <v>0</v>
      </c>
      <c r="S19" s="281">
        <f>SUMIFS('Diags Raw Data'!$AD$6:$AD$4902,'Diags Raw Data'!$D$6:$D$4902,$A19,'Diags Raw Data'!$M$6:$M$4902,"Legacy")</f>
        <v>0</v>
      </c>
      <c r="T19" s="282">
        <f>IF(NOT($B19=0),O19/$B19,"---")</f>
        <v>0</v>
      </c>
      <c r="U19" s="283" t="str">
        <f>IF(NOT($O19=0),(P19+Q19)/$O19,"---")</f>
        <v>---</v>
      </c>
      <c r="V19" s="284">
        <f>IF(NOT($B19=0),(P19+Q19)/$B19,"---")</f>
        <v>0</v>
      </c>
    </row>
    <row r="20" spans="1:22">
      <c r="A20" s="226" t="s">
        <v>936</v>
      </c>
      <c r="B20" s="232">
        <f>SUMIFS('Diags Raw Data'!$L$6:$L$4902,'Diags Raw Data'!$D$6:$D$4902,$A20,'Diags Raw Data'!$M$6:$M$4902,"Legacy")</f>
        <v>0</v>
      </c>
      <c r="C20" s="233">
        <f>SUMIFS('Diags Raw Data'!$R$6:$R$4902,'Diags Raw Data'!$D$6:$D$4902,$A20,'Diags Raw Data'!$M$6:$M$4902,"Legacy")</f>
        <v>0</v>
      </c>
      <c r="D20" s="233">
        <f>SUMIFS('Diags Raw Data'!$K$6:$K$4902,'Diags Raw Data'!$D$6:$D$4902,$A20,'Diags Raw Data'!$M$6:$M$4902,"Legacy")</f>
        <v>0</v>
      </c>
      <c r="E20" s="233">
        <f>SUMIFS('Diags Raw Data'!$O$6:$O$4902,'Diags Raw Data'!$D$6:$D$4902,$A20,'Diags Raw Data'!$M$6:$M$4902,"Legacy")</f>
        <v>0</v>
      </c>
      <c r="F20" s="234" t="str">
        <f t="shared" ref="F20:F21" si="23">IF(NOT($B20=0),E20/$B20,"---")</f>
        <v>---</v>
      </c>
      <c r="G20" s="235">
        <f>SUMIFS('Diags Raw Data'!$S$6:$S$4902,'Diags Raw Data'!$D$6:$D$4902,$A20,'Diags Raw Data'!$M$6:$M$4902,"Legacy")</f>
        <v>0</v>
      </c>
      <c r="H20" s="236">
        <f>SUMIFS('Diags Raw Data'!$T$6:$T$4902,'Diags Raw Data'!$D$6:$D$4902,$A20,'Diags Raw Data'!$M$6:$M$4902,"Legacy")</f>
        <v>0</v>
      </c>
      <c r="I20" s="263">
        <f>SUMIFS('Diags Raw Data'!$U$6:$U$4902,'Diags Raw Data'!$D$6:$D$4902,$A20,'Diags Raw Data'!$M$6:$M$4902,"Legacy")</f>
        <v>0</v>
      </c>
      <c r="J20" s="236">
        <f>SUMIFS('Diags Raw Data'!$V$6:$V$4902,'Diags Raw Data'!$D$6:$D$4902,$A20,'Diags Raw Data'!$M$6:$M$4902,"Legacy")</f>
        <v>0</v>
      </c>
      <c r="K20" s="263">
        <f>SUMIFS('Diags Raw Data'!$W$6:$W$4902,'Diags Raw Data'!$D$6:$D$4902,$A20,'Diags Raw Data'!$M$6:$M$4902,"Legacy")</f>
        <v>0</v>
      </c>
      <c r="L20" s="264" t="str">
        <f t="shared" ref="L20:L23" si="24">IF(NOT($C20=0),G20/$C20,"---")</f>
        <v>---</v>
      </c>
      <c r="M20" s="265" t="str">
        <f t="shared" ref="M20:M23" si="25">IF(NOT($G20=0),(H20+I20)/$G20,"---")</f>
        <v>---</v>
      </c>
      <c r="N20" s="266" t="str">
        <f t="shared" ref="N20:N23" si="26">IF(NOT($C20=0),(H20+I20)/$C20,"---")</f>
        <v>---</v>
      </c>
      <c r="O20" s="267">
        <f>SUMIFS('Diags Raw Data'!$Z$6:$Z$4902,'Diags Raw Data'!$D$6:$D$4902,$A20,'Diags Raw Data'!$M$6:$M$4902,"Legacy")</f>
        <v>0</v>
      </c>
      <c r="P20" s="268">
        <f>SUMIFS('Diags Raw Data'!$AA$6:$AA$4902,'Diags Raw Data'!$D$6:$D$4902,$A20,'Diags Raw Data'!$M$6:$M$4902,"Legacy")</f>
        <v>0</v>
      </c>
      <c r="Q20" s="285">
        <f>SUMIFS('Diags Raw Data'!$AB$6:$AB$4902,'Diags Raw Data'!$D$6:$D$4902,$A20,'Diags Raw Data'!$M$6:$M$4902,"Legacy")</f>
        <v>0</v>
      </c>
      <c r="R20" s="268">
        <f>SUMIFS('Diags Raw Data'!$AC$6:$AC$4902,'Diags Raw Data'!$D$6:$D$4902,$A20,'Diags Raw Data'!$M$6:$M$4902,"Legacy")</f>
        <v>0</v>
      </c>
      <c r="S20" s="285">
        <f>SUMIFS('Diags Raw Data'!$AD$6:$AD$4902,'Diags Raw Data'!$D$6:$D$4902,$A20,'Diags Raw Data'!$M$6:$M$4902,"Legacy")</f>
        <v>0</v>
      </c>
      <c r="T20" s="286" t="str">
        <f t="shared" ref="T20:T23" si="27">IF(NOT($B20=0),O20/$B20,"---")</f>
        <v>---</v>
      </c>
      <c r="U20" s="287" t="str">
        <f t="shared" ref="U20:U23" si="28">IF(NOT($O20=0),(P20+Q20)/$O20,"---")</f>
        <v>---</v>
      </c>
      <c r="V20" s="288" t="str">
        <f t="shared" ref="V20:V23" si="29">IF(NOT($B20=0),(P20+Q20)/$B20,"---")</f>
        <v>---</v>
      </c>
    </row>
    <row r="21" spans="1:22" ht="15.75" thickBot="1">
      <c r="A21" s="237" t="s">
        <v>937</v>
      </c>
      <c r="B21" s="238">
        <f>SUMIFS('Diags Raw Data'!$L$6:$L$4902,'Diags Raw Data'!$D$6:$D$4902,$A21,'Diags Raw Data'!$M$6:$M$4902,"Legacy")</f>
        <v>0</v>
      </c>
      <c r="C21" s="239">
        <f>SUMIFS('Diags Raw Data'!$R$6:$R$4902,'Diags Raw Data'!$D$6:$D$4902,$A21,'Diags Raw Data'!$M$6:$M$4902,"Legacy")</f>
        <v>0</v>
      </c>
      <c r="D21" s="239">
        <f>SUMIFS('Diags Raw Data'!$K$6:$K$4902,'Diags Raw Data'!$D$6:$D$4902,$A21,'Diags Raw Data'!$M$6:$M$4902,"Legacy")</f>
        <v>0</v>
      </c>
      <c r="E21" s="239">
        <f>SUMIFS('Diags Raw Data'!$O$6:$O$4902,'Diags Raw Data'!$D$6:$D$4902,$A21,'Diags Raw Data'!$M$6:$M$4902,"Legacy")</f>
        <v>0</v>
      </c>
      <c r="F21" s="240" t="str">
        <f t="shared" si="23"/>
        <v>---</v>
      </c>
      <c r="G21" s="241">
        <f>SUMIFS('Diags Raw Data'!$S$6:$S$4902,'Diags Raw Data'!$D$6:$D$4902,$A21,'Diags Raw Data'!$M$6:$M$4902,"Legacy")</f>
        <v>0</v>
      </c>
      <c r="H21" s="242">
        <f>SUMIFS('Diags Raw Data'!$T$6:$T$4902,'Diags Raw Data'!$D$6:$D$4902,$A21,'Diags Raw Data'!$M$6:$M$4902,"Legacy")</f>
        <v>0</v>
      </c>
      <c r="I21" s="269">
        <f>SUMIFS('Diags Raw Data'!$U$6:$U$4902,'Diags Raw Data'!$D$6:$D$4902,$A21,'Diags Raw Data'!$M$6:$M$4902,"Legacy")</f>
        <v>0</v>
      </c>
      <c r="J21" s="242">
        <f>SUMIFS('Diags Raw Data'!$V$6:$V$4902,'Diags Raw Data'!$D$6:$D$4902,$A21,'Diags Raw Data'!$M$6:$M$4902,"Legacy")</f>
        <v>0</v>
      </c>
      <c r="K21" s="269">
        <f>SUMIFS('Diags Raw Data'!$W$6:$W$4902,'Diags Raw Data'!$D$6:$D$4902,$A21,'Diags Raw Data'!$M$6:$M$4902,"Legacy")</f>
        <v>0</v>
      </c>
      <c r="L21" s="270" t="str">
        <f t="shared" si="24"/>
        <v>---</v>
      </c>
      <c r="M21" s="271" t="str">
        <f t="shared" si="25"/>
        <v>---</v>
      </c>
      <c r="N21" s="272" t="str">
        <f t="shared" si="26"/>
        <v>---</v>
      </c>
      <c r="O21" s="273">
        <f>SUMIFS('Diags Raw Data'!$Z$6:$Z$4902,'Diags Raw Data'!$D$6:$D$4902,$A21,'Diags Raw Data'!$M$6:$M$4902,"Legacy")</f>
        <v>0</v>
      </c>
      <c r="P21" s="274">
        <f>SUMIFS('Diags Raw Data'!$AA$6:$AA$4902,'Diags Raw Data'!$D$6:$D$4902,$A21,'Diags Raw Data'!$M$6:$M$4902,"Legacy")</f>
        <v>0</v>
      </c>
      <c r="Q21" s="289">
        <f>SUMIFS('Diags Raw Data'!$AB$6:$AB$4902,'Diags Raw Data'!$D$6:$D$4902,$A21,'Diags Raw Data'!$M$6:$M$4902,"Legacy")</f>
        <v>0</v>
      </c>
      <c r="R21" s="274">
        <f>SUMIFS('Diags Raw Data'!$AC$6:$AC$4902,'Diags Raw Data'!$D$6:$D$4902,$A21,'Diags Raw Data'!$M$6:$M$4902,"Legacy")</f>
        <v>0</v>
      </c>
      <c r="S21" s="289">
        <f>SUMIFS('Diags Raw Data'!$AD$6:$AD$4902,'Diags Raw Data'!$D$6:$D$4902,$A21,'Diags Raw Data'!$M$6:$M$4902,"Legacy")</f>
        <v>0</v>
      </c>
      <c r="T21" s="290" t="str">
        <f t="shared" si="27"/>
        <v>---</v>
      </c>
      <c r="U21" s="291" t="str">
        <f t="shared" si="28"/>
        <v>---</v>
      </c>
      <c r="V21" s="292" t="str">
        <f t="shared" si="29"/>
        <v>---</v>
      </c>
    </row>
    <row r="22" spans="1:22" ht="15.75" thickBot="1">
      <c r="A22" s="237" t="s">
        <v>941</v>
      </c>
      <c r="B22" s="238">
        <f>SUMIFS('Diags Raw Data'!$L$6:$L$4902,'Diags Raw Data'!$D$6:$D$4902,$A22,'Diags Raw Data'!$M$6:$M$4902,"Legacy")</f>
        <v>0</v>
      </c>
      <c r="C22" s="239">
        <f>SUMIFS('Diags Raw Data'!$R$6:$R$4902,'Diags Raw Data'!$D$6:$D$4902,$A22,'Diags Raw Data'!$M$6:$M$4902,"Legacy")</f>
        <v>0</v>
      </c>
      <c r="D22" s="239">
        <f>SUMIFS('Diags Raw Data'!$K$6:$K$4902,'Diags Raw Data'!$D$6:$D$4902,$A22,'Diags Raw Data'!$M$6:$M$4902,"Legacy")</f>
        <v>0</v>
      </c>
      <c r="E22" s="239">
        <f>SUMIFS('Diags Raw Data'!$O$6:$O$4902,'Diags Raw Data'!$D$6:$D$4902,$A22,'Diags Raw Data'!$M$6:$M$4902,"Legacy")</f>
        <v>0</v>
      </c>
      <c r="F22" s="240" t="str">
        <f t="shared" ref="F22" si="30">IF(NOT($B22=0),E22/$B22,"---")</f>
        <v>---</v>
      </c>
      <c r="G22" s="241">
        <f>SUMIFS('Diags Raw Data'!$S$6:$S$4902,'Diags Raw Data'!$D$6:$D$4902,$A22,'Diags Raw Data'!$M$6:$M$4902,"Legacy")</f>
        <v>0</v>
      </c>
      <c r="H22" s="242">
        <f>SUMIFS('Diags Raw Data'!$T$6:$T$4902,'Diags Raw Data'!$D$6:$D$4902,$A22,'Diags Raw Data'!$M$6:$M$4902,"Legacy")</f>
        <v>0</v>
      </c>
      <c r="I22" s="269">
        <f>SUMIFS('Diags Raw Data'!$U$6:$U$4902,'Diags Raw Data'!$D$6:$D$4902,$A22,'Diags Raw Data'!$M$6:$M$4902,"Legacy")</f>
        <v>0</v>
      </c>
      <c r="J22" s="242">
        <f>SUMIFS('Diags Raw Data'!$V$6:$V$4902,'Diags Raw Data'!$D$6:$D$4902,$A22,'Diags Raw Data'!$M$6:$M$4902,"Legacy")</f>
        <v>0</v>
      </c>
      <c r="K22" s="269">
        <f>SUMIFS('Diags Raw Data'!$W$6:$W$4902,'Diags Raw Data'!$D$6:$D$4902,$A22,'Diags Raw Data'!$M$6:$M$4902,"Legacy")</f>
        <v>0</v>
      </c>
      <c r="L22" s="270" t="str">
        <f t="shared" ref="L22" si="31">IF(NOT($C22=0),G22/$C22,"---")</f>
        <v>---</v>
      </c>
      <c r="M22" s="271" t="str">
        <f t="shared" ref="M22" si="32">IF(NOT($G22=0),(H22+I22)/$G22,"---")</f>
        <v>---</v>
      </c>
      <c r="N22" s="272" t="str">
        <f t="shared" ref="N22" si="33">IF(NOT($C22=0),(H22+I22)/$C22,"---")</f>
        <v>---</v>
      </c>
      <c r="O22" s="273">
        <f>SUMIFS('Diags Raw Data'!$Z$6:$Z$4902,'Diags Raw Data'!$D$6:$D$4902,$A22,'Diags Raw Data'!$M$6:$M$4902,"Legacy")</f>
        <v>0</v>
      </c>
      <c r="P22" s="274">
        <f>SUMIFS('Diags Raw Data'!$AA$6:$AA$4902,'Diags Raw Data'!$D$6:$D$4902,$A22,'Diags Raw Data'!$M$6:$M$4902,"Legacy")</f>
        <v>0</v>
      </c>
      <c r="Q22" s="289">
        <f>SUMIFS('Diags Raw Data'!$AB$6:$AB$4902,'Diags Raw Data'!$D$6:$D$4902,$A22,'Diags Raw Data'!$M$6:$M$4902,"Legacy")</f>
        <v>0</v>
      </c>
      <c r="R22" s="274">
        <f>SUMIFS('Diags Raw Data'!$AC$6:$AC$4902,'Diags Raw Data'!$D$6:$D$4902,$A22,'Diags Raw Data'!$M$6:$M$4902,"Legacy")</f>
        <v>0</v>
      </c>
      <c r="S22" s="289">
        <f>SUMIFS('Diags Raw Data'!$AD$6:$AD$4902,'Diags Raw Data'!$D$6:$D$4902,$A22,'Diags Raw Data'!$M$6:$M$4902,"Legacy")</f>
        <v>0</v>
      </c>
      <c r="T22" s="290" t="str">
        <f t="shared" ref="T22" si="34">IF(NOT($B22=0),O22/$B22,"---")</f>
        <v>---</v>
      </c>
      <c r="U22" s="291" t="str">
        <f t="shared" ref="U22" si="35">IF(NOT($O22=0),(P22+Q22)/$O22,"---")</f>
        <v>---</v>
      </c>
      <c r="V22" s="292" t="str">
        <f t="shared" ref="V22" si="36">IF(NOT($B22=0),(P22+Q22)/$B22,"---")</f>
        <v>---</v>
      </c>
    </row>
    <row r="23" spans="1:22" ht="16.5" thickBot="1">
      <c r="A23" s="251" t="s">
        <v>942</v>
      </c>
      <c r="B23" s="244">
        <f t="shared" ref="B23:C23" si="37">SUM(B19:B22)</f>
        <v>11</v>
      </c>
      <c r="C23" s="244">
        <f t="shared" si="37"/>
        <v>11</v>
      </c>
      <c r="D23" s="244">
        <f>SUM(D19:D22)</f>
        <v>11</v>
      </c>
      <c r="E23" s="244">
        <f>SUM(E19:E22)</f>
        <v>11</v>
      </c>
      <c r="F23" s="245">
        <f t="array" ref="F23">SUMPRODUCT(--(ISNUMBER(SEARCH("Legacy",'Diags Raw Data'!$M$6:$M$4902))),'Diags Raw Data'!$K$6:$K$4902,'Diags Raw Data'!$P$6:$P$4902)/D23</f>
        <v>13.363636363636363</v>
      </c>
      <c r="G23" s="246">
        <f>SUM(G19:G21)</f>
        <v>4</v>
      </c>
      <c r="H23" s="246">
        <f>SUM(H19:H21)</f>
        <v>4</v>
      </c>
      <c r="I23" s="246">
        <f>SUM(I19:I21)</f>
        <v>0</v>
      </c>
      <c r="J23" s="246">
        <f>SUM(J19:J21)</f>
        <v>0</v>
      </c>
      <c r="K23" s="275">
        <f>SUM(K19:K21)</f>
        <v>0</v>
      </c>
      <c r="L23" s="276">
        <f t="shared" si="24"/>
        <v>0.36363636363636365</v>
      </c>
      <c r="M23" s="277">
        <f t="shared" si="25"/>
        <v>1</v>
      </c>
      <c r="N23" s="278">
        <f t="shared" si="26"/>
        <v>0.36363636363636365</v>
      </c>
      <c r="O23" s="279">
        <f>SUM(O19:O21)</f>
        <v>0</v>
      </c>
      <c r="P23" s="279">
        <f>SUM(P19:P21)</f>
        <v>0</v>
      </c>
      <c r="Q23" s="279">
        <f>SUM(Q19:Q21)</f>
        <v>0</v>
      </c>
      <c r="R23" s="279">
        <f>SUM(R19:R21)</f>
        <v>0</v>
      </c>
      <c r="S23" s="279">
        <f>SUM(S19:S21)</f>
        <v>0</v>
      </c>
      <c r="T23" s="293">
        <f t="shared" si="27"/>
        <v>0</v>
      </c>
      <c r="U23" s="294" t="str">
        <f t="shared" si="28"/>
        <v>---</v>
      </c>
      <c r="V23" s="295">
        <f t="shared" si="29"/>
        <v>0</v>
      </c>
    </row>
    <row r="24" spans="1:22">
      <c r="A24" s="249"/>
      <c r="B24" s="249"/>
      <c r="C24" s="249"/>
      <c r="D24" s="249"/>
      <c r="E24" s="249"/>
      <c r="F24" s="249"/>
      <c r="G24" s="249"/>
      <c r="H24" s="249"/>
      <c r="I24" s="249"/>
      <c r="J24" s="249"/>
      <c r="K24" s="249"/>
      <c r="L24" s="249"/>
      <c r="M24" s="249"/>
      <c r="N24" s="249"/>
      <c r="O24" s="249"/>
      <c r="P24" s="249"/>
      <c r="Q24" s="249"/>
      <c r="R24" s="249"/>
      <c r="S24" s="249"/>
      <c r="T24" s="249"/>
      <c r="U24" s="249"/>
      <c r="V24" s="249"/>
    </row>
    <row r="26" spans="1:22">
      <c r="F26" s="1"/>
    </row>
    <row r="29" spans="1:22">
      <c r="F29" s="252"/>
    </row>
    <row r="30" spans="1:22">
      <c r="F30" s="253"/>
    </row>
    <row r="31" spans="1:22">
      <c r="F31" s="253"/>
    </row>
  </sheetData>
  <mergeCells count="10">
    <mergeCell ref="B17:F17"/>
    <mergeCell ref="G17:N17"/>
    <mergeCell ref="O17:V17"/>
    <mergeCell ref="A1:V1"/>
    <mergeCell ref="B2:F2"/>
    <mergeCell ref="G2:N2"/>
    <mergeCell ref="O2:V2"/>
    <mergeCell ref="B10:F10"/>
    <mergeCell ref="G10:N10"/>
    <mergeCell ref="O10:V10"/>
  </mergeCells>
  <conditionalFormatting sqref="F4:F7">
    <cfRule type="colorScale" priority="469">
      <colorScale>
        <cfvo type="percent" val="0"/>
        <cfvo type="percent" val="50"/>
        <cfvo type="percent" val="100"/>
        <color rgb="FFF8696B"/>
        <color rgb="FFFFEB84"/>
        <color rgb="FF63BE7B"/>
      </colorScale>
    </cfRule>
    <cfRule type="colorScale" priority="470">
      <colorScale>
        <cfvo type="percent" val="0"/>
        <cfvo type="percent" val="50"/>
        <cfvo type="percent" val="100"/>
        <color rgb="FFF8696B"/>
        <color rgb="FFFFEB84"/>
        <color rgb="FF63BE7B"/>
      </colorScale>
    </cfRule>
    <cfRule type="colorScale" priority="471">
      <colorScale>
        <cfvo type="percentile" val="10"/>
        <cfvo type="percentile" val="50"/>
        <cfvo type="percentile" val="9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ile" val="10"/>
        <cfvo type="percentile" val="50"/>
        <cfvo type="percentile" val="90"/>
        <color rgb="FFF8696B"/>
        <color rgb="FFFFEB84"/>
        <color rgb="FF63BE7B"/>
      </colorScale>
    </cfRule>
    <cfRule type="colorScale" priority="474">
      <colorScale>
        <cfvo type="percent" val="20"/>
        <cfvo type="percent" val="50"/>
        <cfvo type="percent" val="100"/>
        <color rgb="FFF8696B"/>
        <color rgb="FFFFEB84"/>
        <color rgb="FF63BE7B"/>
      </colorScale>
    </cfRule>
    <cfRule type="colorScale" priority="475">
      <colorScale>
        <cfvo type="min"/>
        <cfvo type="percentile" val="50"/>
        <cfvo type="max"/>
        <color rgb="FFF8696B"/>
        <color rgb="FFFFEB84"/>
        <color rgb="FF63BE7B"/>
      </colorScale>
    </cfRule>
  </conditionalFormatting>
  <conditionalFormatting sqref="F12:F14">
    <cfRule type="colorScale" priority="490">
      <colorScale>
        <cfvo type="percentile" val="10"/>
        <cfvo type="percentile" val="50"/>
        <cfvo type="percentile" val="90"/>
        <color rgb="FFF8696B"/>
        <color rgb="FFFFEB84"/>
        <color rgb="FF63BE7B"/>
      </colorScale>
    </cfRule>
    <cfRule type="colorScale" priority="491">
      <colorScale>
        <cfvo type="percent" val="20"/>
        <cfvo type="percent" val="50"/>
        <cfvo type="percent" val="100"/>
        <color rgb="FFF8696B"/>
        <color rgb="FFFFEB84"/>
        <color rgb="FF63BE7B"/>
      </colorScale>
    </cfRule>
    <cfRule type="colorScale" priority="492">
      <colorScale>
        <cfvo type="min"/>
        <cfvo type="percentile" val="50"/>
        <cfvo type="max"/>
        <color rgb="FFF8696B"/>
        <color rgb="FFFFEB84"/>
        <color rgb="FF63BE7B"/>
      </colorScale>
    </cfRule>
    <cfRule type="colorScale" priority="486">
      <colorScale>
        <cfvo type="percent" val="0"/>
        <cfvo type="percent" val="50"/>
        <cfvo type="percent" val="100"/>
        <color rgb="FFF8696B"/>
        <color rgb="FFFFEB84"/>
        <color rgb="FF63BE7B"/>
      </colorScale>
    </cfRule>
    <cfRule type="colorScale" priority="487">
      <colorScale>
        <cfvo type="percent" val="0"/>
        <cfvo type="percent" val="50"/>
        <cfvo type="percent" val="100"/>
        <color rgb="FFF8696B"/>
        <color rgb="FFFFEB84"/>
        <color rgb="FF63BE7B"/>
      </colorScale>
    </cfRule>
    <cfRule type="colorScale" priority="488">
      <colorScale>
        <cfvo type="percentile" val="10"/>
        <cfvo type="percentile" val="50"/>
        <cfvo type="percentile" val="90"/>
        <color rgb="FFF8696B"/>
        <color rgb="FFFFEB84"/>
        <color rgb="FF63BE7B"/>
      </colorScale>
    </cfRule>
    <cfRule type="colorScale" priority="489">
      <colorScale>
        <cfvo type="percent" val="0"/>
        <cfvo type="percent" val="50"/>
        <cfvo type="percent" val="100"/>
        <color rgb="FFF8696B"/>
        <color rgb="FFFFEB84"/>
        <color rgb="FF63BE7B"/>
      </colorScale>
    </cfRule>
  </conditionalFormatting>
  <conditionalFormatting sqref="F19:F22">
    <cfRule type="colorScale" priority="512">
      <colorScale>
        <cfvo type="percent" val="20"/>
        <cfvo type="percent" val="50"/>
        <cfvo type="percent" val="100"/>
        <color rgb="FFF8696B"/>
        <color rgb="FFFFEB84"/>
        <color rgb="FF63BE7B"/>
      </colorScale>
    </cfRule>
    <cfRule type="colorScale" priority="513">
      <colorScale>
        <cfvo type="min"/>
        <cfvo type="percentile" val="50"/>
        <cfvo type="max"/>
        <color rgb="FFF8696B"/>
        <color rgb="FFFFEB84"/>
        <color rgb="FF63BE7B"/>
      </colorScale>
    </cfRule>
    <cfRule type="colorScale" priority="504">
      <colorScale>
        <cfvo type="percent" val="0"/>
        <cfvo type="percent" val="50"/>
        <cfvo type="percent" val="100"/>
        <color rgb="FFF8696B"/>
        <color rgb="FFFFEB84"/>
        <color rgb="FF63BE7B"/>
      </colorScale>
    </cfRule>
    <cfRule type="colorScale" priority="505">
      <colorScale>
        <cfvo type="percent" val="20"/>
        <cfvo type="percent" val="60"/>
        <cfvo type="percent" val="90"/>
        <color rgb="FFF8696B"/>
        <color rgb="FFFFEB84"/>
        <color rgb="FF63BE7B"/>
      </colorScale>
    </cfRule>
    <cfRule type="colorScale" priority="506">
      <colorScale>
        <cfvo type="percent" val="0"/>
        <cfvo type="percent" val="50"/>
        <cfvo type="percent" val="100"/>
        <color rgb="FFF8696B"/>
        <color rgb="FFFFEB84"/>
        <color rgb="FF63BE7B"/>
      </colorScale>
    </cfRule>
    <cfRule type="colorScale" priority="507">
      <colorScale>
        <cfvo type="percent" val="0"/>
        <cfvo type="percent" val="50"/>
        <cfvo type="percent" val="100"/>
        <color rgb="FFF8696B"/>
        <color rgb="FFFFEB84"/>
        <color rgb="FF63BE7B"/>
      </colorScale>
    </cfRule>
    <cfRule type="colorScale" priority="508">
      <colorScale>
        <cfvo type="percent" val="0"/>
        <cfvo type="percent" val="50"/>
        <cfvo type="percent" val="100"/>
        <color rgb="FFF8696B"/>
        <color rgb="FFFFEB84"/>
        <color rgb="FF63BE7B"/>
      </colorScale>
    </cfRule>
    <cfRule type="colorScale" priority="509">
      <colorScale>
        <cfvo type="percentile" val="10"/>
        <cfvo type="percentile" val="50"/>
        <cfvo type="percentile" val="90"/>
        <color rgb="FFF8696B"/>
        <color rgb="FFFFEB84"/>
        <color rgb="FF63BE7B"/>
      </colorScale>
    </cfRule>
    <cfRule type="colorScale" priority="510">
      <colorScale>
        <cfvo type="percent" val="0"/>
        <cfvo type="percent" val="50"/>
        <cfvo type="percent" val="100"/>
        <color rgb="FFF8696B"/>
        <color rgb="FFFFEB84"/>
        <color rgb="FF63BE7B"/>
      </colorScale>
    </cfRule>
    <cfRule type="colorScale" priority="511">
      <colorScale>
        <cfvo type="percentile" val="10"/>
        <cfvo type="percentile" val="50"/>
        <cfvo type="percentile" val="90"/>
        <color rgb="FFF8696B"/>
        <color rgb="FFFFEB84"/>
        <color rgb="FF63BE7B"/>
      </colorScale>
    </cfRule>
  </conditionalFormatting>
  <conditionalFormatting sqref="L4:L7">
    <cfRule type="colorScale" priority="476">
      <colorScale>
        <cfvo type="percent" val="0"/>
        <cfvo type="percent" val="50"/>
        <cfvo type="percent" val="100"/>
        <color rgb="FFF8696B"/>
        <color rgb="FFFFEB84"/>
        <color rgb="FF63BE7B"/>
      </colorScale>
    </cfRule>
  </conditionalFormatting>
  <conditionalFormatting sqref="L19:L22">
    <cfRule type="colorScale" priority="514">
      <colorScale>
        <cfvo type="percent" val="0"/>
        <cfvo type="percent" val="50"/>
        <cfvo type="percent" val="100"/>
        <color rgb="FFF8696B"/>
        <color rgb="FFFFEB84"/>
        <color rgb="FF63BE7B"/>
      </colorScale>
    </cfRule>
  </conditionalFormatting>
  <conditionalFormatting sqref="L4:N7">
    <cfRule type="colorScale" priority="484">
      <colorScale>
        <cfvo type="percent" val="0"/>
        <cfvo type="percent" val="50"/>
        <cfvo type="percent" val="100"/>
        <color rgb="FFF8696B"/>
        <color rgb="FFFFEB84"/>
        <color rgb="FF63BE7B"/>
      </colorScale>
    </cfRule>
  </conditionalFormatting>
  <conditionalFormatting sqref="L12:N14">
    <cfRule type="colorScale" priority="500">
      <colorScale>
        <cfvo type="percent" val="0"/>
        <cfvo type="percentile" val="50"/>
        <cfvo type="percent" val="100"/>
        <color rgb="FFF8696B"/>
        <color rgb="FFFFEB84"/>
        <color rgb="FF63BE7B"/>
      </colorScale>
    </cfRule>
  </conditionalFormatting>
  <conditionalFormatting sqref="L19:N22">
    <cfRule type="colorScale" priority="522">
      <colorScale>
        <cfvo type="percent" val="0"/>
        <cfvo type="percent" val="50"/>
        <cfvo type="percent" val="100"/>
        <color rgb="FFF8696B"/>
        <color rgb="FFFFEB84"/>
        <color rgb="FF63BE7B"/>
      </colorScale>
    </cfRule>
  </conditionalFormatting>
  <conditionalFormatting sqref="M4:M7">
    <cfRule type="colorScale" priority="477">
      <colorScale>
        <cfvo type="percent" val="0"/>
        <cfvo type="percent" val="50"/>
        <cfvo type="percent" val="100"/>
        <color rgb="FFF8696B"/>
        <color rgb="FFFFEB84"/>
        <color rgb="FF63BE7B"/>
      </colorScale>
    </cfRule>
    <cfRule type="colorScale" priority="478">
      <colorScale>
        <cfvo type="percent" val="0"/>
        <cfvo type="percent" val="50"/>
        <cfvo type="percent" val="100"/>
        <color rgb="FFF8696B"/>
        <color rgb="FFFFEB84"/>
        <color rgb="FF63BE7B"/>
      </colorScale>
    </cfRule>
  </conditionalFormatting>
  <conditionalFormatting sqref="M12:M14">
    <cfRule type="colorScale" priority="493">
      <colorScale>
        <cfvo type="percent" val="0"/>
        <cfvo type="percent" val="50"/>
        <cfvo type="percent" val="100"/>
        <color rgb="FFF8696B"/>
        <color rgb="FFFFEB84"/>
        <color rgb="FF63BE7B"/>
      </colorScale>
    </cfRule>
    <cfRule type="colorScale" priority="494">
      <colorScale>
        <cfvo type="percent" val="0"/>
        <cfvo type="percent" val="50"/>
        <cfvo type="percent" val="100"/>
        <color rgb="FFF8696B"/>
        <color rgb="FFFFEB84"/>
        <color rgb="FF63BE7B"/>
      </colorScale>
    </cfRule>
  </conditionalFormatting>
  <conditionalFormatting sqref="M19:M22">
    <cfRule type="colorScale" priority="515">
      <colorScale>
        <cfvo type="percent" val="0"/>
        <cfvo type="percent" val="50"/>
        <cfvo type="percent" val="100"/>
        <color rgb="FFF8696B"/>
        <color rgb="FFFFEB84"/>
        <color rgb="FF63BE7B"/>
      </colorScale>
    </cfRule>
    <cfRule type="colorScale" priority="516">
      <colorScale>
        <cfvo type="percent" val="0"/>
        <cfvo type="percent" val="50"/>
        <cfvo type="percent" val="100"/>
        <color rgb="FFF8696B"/>
        <color rgb="FFFFEB84"/>
        <color rgb="FF63BE7B"/>
      </colorScale>
    </cfRule>
  </conditionalFormatting>
  <conditionalFormatting sqref="N4:N7">
    <cfRule type="colorScale" priority="479">
      <colorScale>
        <cfvo type="percent" val="0"/>
        <cfvo type="percent" val="50"/>
        <cfvo type="percent" val="100"/>
        <color rgb="FFF8696B"/>
        <color rgb="FFFFEB84"/>
        <color rgb="FF63BE7B"/>
      </colorScale>
    </cfRule>
    <cfRule type="colorScale" priority="480">
      <colorScale>
        <cfvo type="percent" val="0"/>
        <cfvo type="percent" val="50"/>
        <cfvo type="percent" val="100"/>
        <color rgb="FFF8696B"/>
        <color rgb="FFFFEB84"/>
        <color rgb="FF63BE7B"/>
      </colorScale>
    </cfRule>
  </conditionalFormatting>
  <conditionalFormatting sqref="N12:N14 L12:L14">
    <cfRule type="colorScale" priority="496">
      <colorScale>
        <cfvo type="percent" val="0"/>
        <cfvo type="percent" val="50"/>
        <cfvo type="percent" val="100"/>
        <color rgb="FFF8696B"/>
        <color rgb="FFFFEB84"/>
        <color rgb="FF63BE7B"/>
      </colorScale>
    </cfRule>
    <cfRule type="colorScale" priority="497">
      <colorScale>
        <cfvo type="percent" val="0"/>
        <cfvo type="percent" val="50"/>
        <cfvo type="percent" val="100"/>
        <color rgb="FFF8696B"/>
        <color rgb="FFFFEB84"/>
        <color rgb="FF63BE7B"/>
      </colorScale>
    </cfRule>
  </conditionalFormatting>
  <conditionalFormatting sqref="N19:N22">
    <cfRule type="colorScale" priority="517">
      <colorScale>
        <cfvo type="percent" val="0"/>
        <cfvo type="percent" val="50"/>
        <cfvo type="percent" val="100"/>
        <color rgb="FFF8696B"/>
        <color rgb="FFFFEB84"/>
        <color rgb="FF63BE7B"/>
      </colorScale>
    </cfRule>
    <cfRule type="colorScale" priority="518">
      <colorScale>
        <cfvo type="percent" val="0"/>
        <cfvo type="percent" val="50"/>
        <cfvo type="percent" val="100"/>
        <color rgb="FFF8696B"/>
        <color rgb="FFFFEB84"/>
        <color rgb="FF63BE7B"/>
      </colorScale>
    </cfRule>
  </conditionalFormatting>
  <conditionalFormatting sqref="T4:T7">
    <cfRule type="colorScale" priority="481">
      <colorScale>
        <cfvo type="percent" val="0"/>
        <cfvo type="percent" val="50"/>
        <cfvo type="percent" val="100"/>
        <color rgb="FFF8696B"/>
        <color rgb="FFFFEB84"/>
        <color rgb="FF63BE7B"/>
      </colorScale>
    </cfRule>
  </conditionalFormatting>
  <conditionalFormatting sqref="T19:T22">
    <cfRule type="colorScale" priority="519">
      <colorScale>
        <cfvo type="percent" val="0"/>
        <cfvo type="percent" val="50"/>
        <cfvo type="percent" val="100"/>
        <color rgb="FFF8696B"/>
        <color rgb="FFFFEB84"/>
        <color rgb="FF63BE7B"/>
      </colorScale>
    </cfRule>
  </conditionalFormatting>
  <conditionalFormatting sqref="T4:V7">
    <cfRule type="colorScale" priority="485">
      <colorScale>
        <cfvo type="percent" val="0"/>
        <cfvo type="percent" val="50"/>
        <cfvo type="percent" val="100"/>
        <color rgb="FFF8696B"/>
        <color rgb="FFFFEB84"/>
        <color rgb="FF63BE7B"/>
      </colorScale>
    </cfRule>
  </conditionalFormatting>
  <conditionalFormatting sqref="T12:V14">
    <cfRule type="colorScale" priority="503">
      <colorScale>
        <cfvo type="percent" val="0"/>
        <cfvo type="percent" val="50"/>
        <cfvo type="percent" val="100"/>
        <color rgb="FFF8696B"/>
        <color rgb="FFFFEB84"/>
        <color rgb="FF63BE7B"/>
      </colorScale>
    </cfRule>
  </conditionalFormatting>
  <conditionalFormatting sqref="T19:V22">
    <cfRule type="colorScale" priority="523">
      <colorScale>
        <cfvo type="percent" val="0"/>
        <cfvo type="percent" val="50"/>
        <cfvo type="percent" val="100"/>
        <color rgb="FFF8696B"/>
        <color rgb="FFFFEB84"/>
        <color rgb="FF63BE7B"/>
      </colorScale>
    </cfRule>
  </conditionalFormatting>
  <conditionalFormatting sqref="U4:U7">
    <cfRule type="colorScale" priority="482">
      <colorScale>
        <cfvo type="percent" val="0"/>
        <cfvo type="percent" val="50"/>
        <cfvo type="percent" val="100"/>
        <color rgb="FFF8696B"/>
        <color rgb="FFFFEB84"/>
        <color rgb="FF63BE7B"/>
      </colorScale>
    </cfRule>
  </conditionalFormatting>
  <conditionalFormatting sqref="U12:U14">
    <cfRule type="colorScale" priority="495">
      <colorScale>
        <cfvo type="percent" val="0"/>
        <cfvo type="percent" val="50"/>
        <cfvo type="percent" val="100"/>
        <color rgb="FFF8696B"/>
        <color rgb="FFFFEB84"/>
        <color rgb="FF63BE7B"/>
      </colorScale>
    </cfRule>
  </conditionalFormatting>
  <conditionalFormatting sqref="U19:U22">
    <cfRule type="colorScale" priority="520">
      <colorScale>
        <cfvo type="percent" val="0"/>
        <cfvo type="percent" val="50"/>
        <cfvo type="percent" val="100"/>
        <color rgb="FFF8696B"/>
        <color rgb="FFFFEB84"/>
        <color rgb="FF63BE7B"/>
      </colorScale>
    </cfRule>
  </conditionalFormatting>
  <conditionalFormatting sqref="V4:V7">
    <cfRule type="colorScale" priority="483">
      <colorScale>
        <cfvo type="percent" val="0"/>
        <cfvo type="percent" val="50"/>
        <cfvo type="percent" val="100"/>
        <color rgb="FFF8696B"/>
        <color rgb="FFFFEB84"/>
        <color rgb="FF63BE7B"/>
      </colorScale>
    </cfRule>
  </conditionalFormatting>
  <conditionalFormatting sqref="V12:V14 T12:T14">
    <cfRule type="colorScale" priority="501">
      <colorScale>
        <cfvo type="percent" val="0"/>
        <cfvo type="percent" val="50"/>
        <cfvo type="percent" val="100"/>
        <color rgb="FFF8696B"/>
        <color rgb="FFFFEB84"/>
        <color rgb="FF63BE7B"/>
      </colorScale>
    </cfRule>
  </conditionalFormatting>
  <conditionalFormatting sqref="V19:V22">
    <cfRule type="colorScale" priority="52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185"/>
  <sheetViews>
    <sheetView workbookViewId="0">
      <pane ySplit="2" topLeftCell="A44" activePane="bottomLeft" state="frozen"/>
      <selection pane="bottomLeft" activeCell="A59" sqref="A59"/>
    </sheetView>
  </sheetViews>
  <sheetFormatPr defaultColWidth="9" defaultRowHeight="15"/>
  <cols>
    <col min="1" max="1" width="20.140625" customWidth="1"/>
    <col min="2" max="2" width="49.140625" customWidth="1"/>
    <col min="3" max="3" width="10" customWidth="1"/>
    <col min="4" max="4" width="15.42578125" customWidth="1"/>
    <col min="5" max="5" width="11.140625" customWidth="1"/>
    <col min="7" max="7" width="15.85546875" customWidth="1"/>
    <col min="8" max="8" width="20.42578125" customWidth="1"/>
  </cols>
  <sheetData>
    <row r="1" spans="1:9" ht="39" customHeight="1" thickBot="1">
      <c r="A1" s="583" t="s">
        <v>943</v>
      </c>
      <c r="B1" s="584"/>
      <c r="C1" s="584"/>
      <c r="D1" s="584"/>
      <c r="E1" s="584"/>
      <c r="F1" s="584"/>
      <c r="G1" s="584"/>
      <c r="H1" s="584"/>
      <c r="I1" s="585"/>
    </row>
    <row r="2" spans="1:9" s="2" customFormat="1" ht="15.75" thickBot="1">
      <c r="A2" s="196" t="s">
        <v>72</v>
      </c>
      <c r="B2" s="197" t="s">
        <v>76</v>
      </c>
      <c r="C2" s="198" t="s">
        <v>91</v>
      </c>
      <c r="D2" s="198" t="s">
        <v>197</v>
      </c>
      <c r="E2" s="199" t="s">
        <v>1</v>
      </c>
    </row>
    <row r="3" spans="1:9" ht="15.75" thickBot="1">
      <c r="A3" s="134" t="s">
        <v>484</v>
      </c>
      <c r="B3" s="134" t="s">
        <v>944</v>
      </c>
      <c r="C3" s="496" t="s">
        <v>945</v>
      </c>
      <c r="D3" s="200" t="s">
        <v>34</v>
      </c>
      <c r="E3" s="201" t="s">
        <v>38</v>
      </c>
      <c r="G3" s="202" t="s">
        <v>72</v>
      </c>
      <c r="H3" s="203" t="s">
        <v>946</v>
      </c>
      <c r="I3" s="211">
        <f>COUNTA(A3:A3923)</f>
        <v>105</v>
      </c>
    </row>
    <row r="4" spans="1:9" ht="15.75" thickBot="1">
      <c r="A4" s="134" t="s">
        <v>491</v>
      </c>
      <c r="B4" s="134" t="s">
        <v>947</v>
      </c>
      <c r="C4" s="497" t="s">
        <v>864</v>
      </c>
      <c r="D4" s="205" t="s">
        <v>34</v>
      </c>
      <c r="E4" s="206" t="s">
        <v>38</v>
      </c>
      <c r="G4" s="511" t="s">
        <v>91</v>
      </c>
      <c r="H4" s="207" t="s">
        <v>948</v>
      </c>
      <c r="I4" s="212">
        <f>COUNTIFS($C3:$C3923,"P1")</f>
        <v>7</v>
      </c>
    </row>
    <row r="5" spans="1:9" ht="15.75" thickBot="1">
      <c r="A5" s="134" t="s">
        <v>925</v>
      </c>
      <c r="B5" s="134" t="s">
        <v>926</v>
      </c>
      <c r="C5" s="496" t="s">
        <v>864</v>
      </c>
      <c r="D5" s="205" t="s">
        <v>34</v>
      </c>
      <c r="E5" s="206" t="s">
        <v>38</v>
      </c>
      <c r="G5" s="513"/>
      <c r="H5" s="209" t="s">
        <v>949</v>
      </c>
      <c r="I5" s="214">
        <f>COUNTIFS($C3:$C3923,"P3")</f>
        <v>9</v>
      </c>
    </row>
    <row r="6" spans="1:9" ht="15.75" thickBot="1">
      <c r="A6" s="134" t="s">
        <v>929</v>
      </c>
      <c r="B6" s="134" t="s">
        <v>927</v>
      </c>
      <c r="C6" s="204" t="s">
        <v>864</v>
      </c>
      <c r="D6" s="205" t="s">
        <v>34</v>
      </c>
      <c r="E6" s="206" t="s">
        <v>42</v>
      </c>
      <c r="G6" s="581"/>
      <c r="H6" s="209" t="s">
        <v>950</v>
      </c>
      <c r="I6" s="214">
        <f>COUNTIFS($D3:$D3923,"N/A")</f>
        <v>0</v>
      </c>
    </row>
    <row r="7" spans="1:9" ht="15.75" thickBot="1">
      <c r="A7" s="134" t="s">
        <v>951</v>
      </c>
      <c r="B7" s="134" t="s">
        <v>930</v>
      </c>
      <c r="C7" s="204" t="s">
        <v>864</v>
      </c>
      <c r="D7" s="205" t="s">
        <v>39</v>
      </c>
      <c r="E7" s="206" t="s">
        <v>38</v>
      </c>
      <c r="G7" s="582"/>
      <c r="H7" s="498" t="s">
        <v>952</v>
      </c>
      <c r="I7" s="214">
        <f>COUNTIFS($D4:$D3924,"IPSE")</f>
        <v>28</v>
      </c>
    </row>
    <row r="8" spans="1:9" ht="15.75" thickBot="1">
      <c r="A8" s="134" t="s">
        <v>953</v>
      </c>
      <c r="B8" s="134" t="s">
        <v>954</v>
      </c>
      <c r="C8" s="204" t="s">
        <v>864</v>
      </c>
      <c r="D8" s="205" t="s">
        <v>43</v>
      </c>
      <c r="E8" s="206" t="s">
        <v>42</v>
      </c>
      <c r="G8" s="490"/>
      <c r="H8" s="208" t="s">
        <v>955</v>
      </c>
      <c r="I8" s="213">
        <f>COUNTIFS($E3:$E3923,"Delta")</f>
        <v>17</v>
      </c>
    </row>
    <row r="9" spans="1:9" ht="15.75" thickBot="1">
      <c r="A9" s="134" t="s">
        <v>351</v>
      </c>
      <c r="B9" s="134" t="s">
        <v>956</v>
      </c>
      <c r="C9" s="204" t="s">
        <v>864</v>
      </c>
      <c r="D9" s="205" t="s">
        <v>34</v>
      </c>
      <c r="E9" s="206" t="s">
        <v>38</v>
      </c>
      <c r="G9" s="210" t="s">
        <v>202</v>
      </c>
      <c r="H9" s="579">
        <v>6.1</v>
      </c>
      <c r="I9" s="580"/>
    </row>
    <row r="10" spans="1:9" ht="15.75" thickBot="1">
      <c r="A10" s="134" t="s">
        <v>957</v>
      </c>
      <c r="B10" s="134" t="s">
        <v>958</v>
      </c>
      <c r="C10" s="204" t="s">
        <v>864</v>
      </c>
      <c r="D10" s="205" t="s">
        <v>43</v>
      </c>
      <c r="E10" s="206" t="s">
        <v>33</v>
      </c>
    </row>
    <row r="11" spans="1:9" ht="15.75" thickBot="1">
      <c r="A11" s="134" t="s">
        <v>532</v>
      </c>
      <c r="B11" s="134" t="s">
        <v>959</v>
      </c>
      <c r="C11" s="204" t="s">
        <v>864</v>
      </c>
      <c r="D11" s="205" t="s">
        <v>34</v>
      </c>
      <c r="E11" s="206" t="s">
        <v>33</v>
      </c>
    </row>
    <row r="12" spans="1:9" ht="15.75" thickBot="1">
      <c r="A12" s="134" t="s">
        <v>622</v>
      </c>
      <c r="B12" s="134" t="s">
        <v>960</v>
      </c>
      <c r="C12" s="204" t="s">
        <v>864</v>
      </c>
      <c r="D12" s="205" t="s">
        <v>34</v>
      </c>
      <c r="E12" s="206" t="s">
        <v>38</v>
      </c>
    </row>
    <row r="13" spans="1:9" ht="15.75" thickBot="1">
      <c r="A13" s="134" t="s">
        <v>686</v>
      </c>
      <c r="B13" s="134" t="s">
        <v>687</v>
      </c>
      <c r="C13" s="204" t="s">
        <v>864</v>
      </c>
      <c r="D13" s="205" t="s">
        <v>34</v>
      </c>
      <c r="E13" s="206" t="s">
        <v>38</v>
      </c>
    </row>
    <row r="14" spans="1:9" ht="15.75" thickBot="1">
      <c r="A14" s="134" t="s">
        <v>961</v>
      </c>
      <c r="B14" s="134" t="s">
        <v>962</v>
      </c>
      <c r="C14" s="204" t="s">
        <v>864</v>
      </c>
      <c r="D14" s="205" t="s">
        <v>43</v>
      </c>
      <c r="E14" s="206" t="s">
        <v>33</v>
      </c>
    </row>
    <row r="15" spans="1:9" ht="15.75" thickBot="1">
      <c r="A15" s="134" t="s">
        <v>963</v>
      </c>
      <c r="B15" s="134" t="s">
        <v>964</v>
      </c>
      <c r="C15" s="204" t="s">
        <v>864</v>
      </c>
      <c r="D15" s="205" t="s">
        <v>43</v>
      </c>
      <c r="E15" s="206" t="s">
        <v>33</v>
      </c>
    </row>
    <row r="16" spans="1:9" ht="15.75" thickBot="1">
      <c r="A16" s="134" t="s">
        <v>965</v>
      </c>
      <c r="B16" s="134" t="s">
        <v>966</v>
      </c>
      <c r="C16" s="204" t="s">
        <v>864</v>
      </c>
      <c r="D16" s="205" t="s">
        <v>34</v>
      </c>
      <c r="E16" s="206" t="s">
        <v>33</v>
      </c>
    </row>
    <row r="17" spans="1:5" ht="15.75" thickBot="1">
      <c r="A17" s="134" t="s">
        <v>283</v>
      </c>
      <c r="B17" s="134" t="s">
        <v>967</v>
      </c>
      <c r="C17" s="204" t="s">
        <v>864</v>
      </c>
      <c r="D17" s="205" t="s">
        <v>34</v>
      </c>
      <c r="E17" s="206" t="s">
        <v>33</v>
      </c>
    </row>
    <row r="18" spans="1:5" ht="15.75" thickBot="1">
      <c r="A18" s="134" t="s">
        <v>660</v>
      </c>
      <c r="B18" s="134" t="s">
        <v>661</v>
      </c>
      <c r="C18" s="204" t="s">
        <v>864</v>
      </c>
      <c r="D18" s="205" t="s">
        <v>34</v>
      </c>
      <c r="E18" s="206" t="s">
        <v>33</v>
      </c>
    </row>
    <row r="19" spans="1:5" ht="15.75" thickBot="1">
      <c r="A19" s="134" t="s">
        <v>400</v>
      </c>
      <c r="B19" s="134" t="s">
        <v>968</v>
      </c>
      <c r="C19" s="204" t="s">
        <v>864</v>
      </c>
      <c r="D19" s="205" t="s">
        <v>34</v>
      </c>
      <c r="E19" s="206" t="s">
        <v>33</v>
      </c>
    </row>
    <row r="20" spans="1:5" ht="15.75" thickBot="1">
      <c r="A20" s="134" t="s">
        <v>410</v>
      </c>
      <c r="B20" s="134" t="s">
        <v>411</v>
      </c>
      <c r="C20" s="204" t="s">
        <v>945</v>
      </c>
      <c r="D20" s="205" t="s">
        <v>34</v>
      </c>
      <c r="E20" s="206" t="s">
        <v>33</v>
      </c>
    </row>
    <row r="21" spans="1:5" ht="15.75" thickBot="1">
      <c r="A21" s="134" t="s">
        <v>628</v>
      </c>
      <c r="B21" s="134" t="s">
        <v>969</v>
      </c>
      <c r="C21" s="204" t="s">
        <v>864</v>
      </c>
      <c r="D21" s="205" t="s">
        <v>34</v>
      </c>
      <c r="E21" s="206" t="s">
        <v>33</v>
      </c>
    </row>
    <row r="22" spans="1:5" ht="15.75" thickBot="1">
      <c r="A22" s="134" t="s">
        <v>970</v>
      </c>
      <c r="B22" s="134" t="s">
        <v>971</v>
      </c>
      <c r="C22" s="204" t="s">
        <v>864</v>
      </c>
      <c r="D22" s="205" t="s">
        <v>43</v>
      </c>
      <c r="E22" s="206" t="s">
        <v>33</v>
      </c>
    </row>
    <row r="23" spans="1:5" ht="15.75" thickBot="1">
      <c r="A23" s="134" t="s">
        <v>972</v>
      </c>
      <c r="B23" s="134" t="s">
        <v>973</v>
      </c>
      <c r="C23" s="204" t="s">
        <v>864</v>
      </c>
      <c r="D23" s="205" t="s">
        <v>43</v>
      </c>
      <c r="E23" s="206" t="s">
        <v>33</v>
      </c>
    </row>
    <row r="24" spans="1:5" ht="15.75" thickBot="1">
      <c r="A24" s="134" t="s">
        <v>597</v>
      </c>
      <c r="B24" s="134" t="s">
        <v>598</v>
      </c>
      <c r="C24" s="204" t="s">
        <v>864</v>
      </c>
      <c r="D24" s="205" t="s">
        <v>34</v>
      </c>
      <c r="E24" s="206" t="s">
        <v>33</v>
      </c>
    </row>
    <row r="25" spans="1:5" ht="15.75" thickBot="1">
      <c r="A25" s="134" t="s">
        <v>679</v>
      </c>
      <c r="B25" s="134" t="s">
        <v>680</v>
      </c>
      <c r="C25" s="204" t="s">
        <v>864</v>
      </c>
      <c r="D25" s="205" t="s">
        <v>34</v>
      </c>
      <c r="E25" s="206" t="s">
        <v>33</v>
      </c>
    </row>
    <row r="26" spans="1:5" ht="15.75" thickBot="1">
      <c r="A26" s="134" t="s">
        <v>848</v>
      </c>
      <c r="B26" s="134" t="s">
        <v>974</v>
      </c>
      <c r="C26" s="204" t="s">
        <v>864</v>
      </c>
      <c r="D26" s="205" t="s">
        <v>34</v>
      </c>
      <c r="E26" s="206" t="s">
        <v>33</v>
      </c>
    </row>
    <row r="27" spans="1:5" ht="15.75" thickBot="1">
      <c r="A27" s="134" t="s">
        <v>975</v>
      </c>
      <c r="B27" s="134" t="s">
        <v>976</v>
      </c>
      <c r="C27" s="204" t="s">
        <v>864</v>
      </c>
      <c r="D27" s="205" t="s">
        <v>43</v>
      </c>
      <c r="E27" s="206" t="s">
        <v>33</v>
      </c>
    </row>
    <row r="28" spans="1:5" ht="15.75" thickBot="1">
      <c r="A28" s="134" t="s">
        <v>977</v>
      </c>
      <c r="B28" s="134" t="s">
        <v>978</v>
      </c>
      <c r="C28" s="204" t="s">
        <v>864</v>
      </c>
      <c r="D28" s="205" t="s">
        <v>43</v>
      </c>
      <c r="E28" s="206" t="s">
        <v>33</v>
      </c>
    </row>
    <row r="29" spans="1:5" ht="15.75" thickBot="1">
      <c r="A29" s="134" t="s">
        <v>979</v>
      </c>
      <c r="B29" s="134" t="s">
        <v>980</v>
      </c>
      <c r="C29" s="204" t="s">
        <v>864</v>
      </c>
      <c r="D29" s="205" t="s">
        <v>34</v>
      </c>
      <c r="E29" s="206" t="s">
        <v>33</v>
      </c>
    </row>
    <row r="30" spans="1:5" ht="15.75" thickBot="1">
      <c r="A30" s="134" t="s">
        <v>981</v>
      </c>
      <c r="B30" s="134" t="s">
        <v>982</v>
      </c>
      <c r="C30" s="204" t="s">
        <v>864</v>
      </c>
      <c r="D30" s="205" t="s">
        <v>34</v>
      </c>
      <c r="E30" s="206" t="s">
        <v>33</v>
      </c>
    </row>
    <row r="31" spans="1:5" ht="15.75" thickBot="1">
      <c r="A31" s="134" t="s">
        <v>618</v>
      </c>
      <c r="B31" s="134" t="s">
        <v>983</v>
      </c>
      <c r="C31" s="204" t="s">
        <v>984</v>
      </c>
      <c r="D31" s="205" t="s">
        <v>34</v>
      </c>
      <c r="E31" s="206" t="s">
        <v>38</v>
      </c>
    </row>
    <row r="32" spans="1:5" ht="15.75" thickBot="1">
      <c r="A32" s="134" t="s">
        <v>647</v>
      </c>
      <c r="B32" s="134" t="s">
        <v>615</v>
      </c>
      <c r="C32" s="204" t="s">
        <v>984</v>
      </c>
      <c r="D32" s="205" t="s">
        <v>34</v>
      </c>
      <c r="E32" s="206" t="s">
        <v>38</v>
      </c>
    </row>
    <row r="33" spans="1:5" ht="15.75" thickBot="1">
      <c r="A33" s="134" t="s">
        <v>605</v>
      </c>
      <c r="B33" s="134" t="s">
        <v>606</v>
      </c>
      <c r="C33" s="204" t="s">
        <v>984</v>
      </c>
      <c r="D33" s="205" t="s">
        <v>34</v>
      </c>
      <c r="E33" s="206" t="s">
        <v>38</v>
      </c>
    </row>
    <row r="34" spans="1:5" ht="15.75" thickBot="1">
      <c r="A34" s="134" t="s">
        <v>610</v>
      </c>
      <c r="B34" s="134" t="s">
        <v>611</v>
      </c>
      <c r="C34" s="204" t="s">
        <v>864</v>
      </c>
      <c r="D34" s="205" t="s">
        <v>34</v>
      </c>
      <c r="E34" s="206" t="s">
        <v>33</v>
      </c>
    </row>
    <row r="35" spans="1:5" ht="15.75" thickBot="1">
      <c r="A35" s="134" t="s">
        <v>985</v>
      </c>
      <c r="B35" s="134" t="s">
        <v>986</v>
      </c>
      <c r="C35" s="204" t="s">
        <v>864</v>
      </c>
      <c r="D35" s="205" t="s">
        <v>43</v>
      </c>
      <c r="E35" s="206" t="s">
        <v>33</v>
      </c>
    </row>
    <row r="36" spans="1:5" ht="15.75" thickBot="1">
      <c r="A36" s="134" t="s">
        <v>987</v>
      </c>
      <c r="B36" s="134" t="s">
        <v>988</v>
      </c>
      <c r="C36" s="204" t="s">
        <v>864</v>
      </c>
      <c r="D36" s="205" t="s">
        <v>43</v>
      </c>
      <c r="E36" s="206" t="s">
        <v>33</v>
      </c>
    </row>
    <row r="37" spans="1:5" ht="15.75" thickBot="1">
      <c r="A37" s="134" t="s">
        <v>633</v>
      </c>
      <c r="B37" s="134" t="s">
        <v>634</v>
      </c>
      <c r="C37" s="204" t="s">
        <v>864</v>
      </c>
      <c r="D37" s="205" t="s">
        <v>34</v>
      </c>
      <c r="E37" s="206" t="s">
        <v>33</v>
      </c>
    </row>
    <row r="38" spans="1:5" ht="15.75" thickBot="1">
      <c r="A38" s="134" t="s">
        <v>416</v>
      </c>
      <c r="B38" s="134" t="s">
        <v>505</v>
      </c>
      <c r="C38" s="204" t="s">
        <v>945</v>
      </c>
      <c r="D38" s="205" t="s">
        <v>34</v>
      </c>
      <c r="E38" s="206" t="s">
        <v>33</v>
      </c>
    </row>
    <row r="39" spans="1:5" ht="15.75" thickBot="1">
      <c r="A39" s="134" t="s">
        <v>253</v>
      </c>
      <c r="B39" s="134" t="s">
        <v>254</v>
      </c>
      <c r="C39" s="204" t="s">
        <v>945</v>
      </c>
      <c r="D39" s="205" t="s">
        <v>34</v>
      </c>
      <c r="E39" s="206" t="s">
        <v>33</v>
      </c>
    </row>
    <row r="40" spans="1:5" ht="15.75" thickBot="1">
      <c r="A40" s="134" t="s">
        <v>395</v>
      </c>
      <c r="B40" s="134" t="s">
        <v>586</v>
      </c>
      <c r="C40" s="204" t="s">
        <v>864</v>
      </c>
      <c r="D40" s="205" t="s">
        <v>34</v>
      </c>
      <c r="E40" s="206" t="s">
        <v>33</v>
      </c>
    </row>
    <row r="41" spans="1:5" ht="15.75" thickBot="1">
      <c r="A41" s="134" t="s">
        <v>383</v>
      </c>
      <c r="B41" s="134" t="s">
        <v>396</v>
      </c>
      <c r="C41" s="204" t="s">
        <v>864</v>
      </c>
      <c r="D41" s="205" t="s">
        <v>34</v>
      </c>
      <c r="E41" s="206" t="s">
        <v>33</v>
      </c>
    </row>
    <row r="42" spans="1:5" ht="15.75" thickBot="1">
      <c r="A42" s="134" t="s">
        <v>419</v>
      </c>
      <c r="B42" s="134" t="s">
        <v>989</v>
      </c>
      <c r="C42" s="497" t="s">
        <v>864</v>
      </c>
      <c r="D42" s="205" t="s">
        <v>34</v>
      </c>
      <c r="E42" s="206" t="s">
        <v>33</v>
      </c>
    </row>
    <row r="43" spans="1:5" ht="15.75" thickBot="1">
      <c r="A43" s="134" t="s">
        <v>990</v>
      </c>
      <c r="B43" s="134" t="s">
        <v>991</v>
      </c>
      <c r="C43" s="204" t="s">
        <v>864</v>
      </c>
      <c r="D43" s="205" t="s">
        <v>43</v>
      </c>
      <c r="E43" s="206" t="s">
        <v>33</v>
      </c>
    </row>
    <row r="44" spans="1:5" ht="15.75" thickBot="1">
      <c r="A44" s="134" t="s">
        <v>537</v>
      </c>
      <c r="B44" s="134" t="s">
        <v>697</v>
      </c>
      <c r="C44" s="204" t="s">
        <v>984</v>
      </c>
      <c r="D44" s="205" t="s">
        <v>34</v>
      </c>
      <c r="E44" s="206" t="s">
        <v>33</v>
      </c>
    </row>
    <row r="45" spans="1:5" ht="15.75" thickBot="1">
      <c r="A45" s="134" t="s">
        <v>375</v>
      </c>
      <c r="B45" s="134" t="s">
        <v>992</v>
      </c>
      <c r="C45" s="204" t="s">
        <v>864</v>
      </c>
      <c r="D45" s="205" t="s">
        <v>34</v>
      </c>
      <c r="E45" s="206" t="s">
        <v>33</v>
      </c>
    </row>
    <row r="46" spans="1:5" ht="15.75" thickBot="1">
      <c r="A46" s="134" t="s">
        <v>371</v>
      </c>
      <c r="B46" s="134" t="s">
        <v>372</v>
      </c>
      <c r="C46" s="204" t="s">
        <v>864</v>
      </c>
      <c r="D46" s="205" t="s">
        <v>34</v>
      </c>
      <c r="E46" s="206" t="s">
        <v>33</v>
      </c>
    </row>
    <row r="47" spans="1:5" ht="15.75" thickBot="1">
      <c r="A47" s="134" t="s">
        <v>367</v>
      </c>
      <c r="B47" s="134" t="s">
        <v>368</v>
      </c>
      <c r="C47" s="204" t="s">
        <v>984</v>
      </c>
      <c r="D47" s="205" t="s">
        <v>34</v>
      </c>
      <c r="E47" s="206" t="s">
        <v>33</v>
      </c>
    </row>
    <row r="48" spans="1:5" ht="15.75" thickBot="1">
      <c r="A48" s="134" t="s">
        <v>993</v>
      </c>
      <c r="B48" s="134" t="s">
        <v>994</v>
      </c>
      <c r="C48" s="204" t="s">
        <v>864</v>
      </c>
      <c r="D48" s="205" t="s">
        <v>43</v>
      </c>
      <c r="E48" s="206" t="s">
        <v>33</v>
      </c>
    </row>
    <row r="49" spans="1:5" ht="15.75" thickBot="1">
      <c r="A49" s="134" t="s">
        <v>356</v>
      </c>
      <c r="B49" s="134" t="s">
        <v>357</v>
      </c>
      <c r="C49" s="204" t="s">
        <v>864</v>
      </c>
      <c r="D49" s="205" t="s">
        <v>34</v>
      </c>
      <c r="E49" s="206" t="s">
        <v>33</v>
      </c>
    </row>
    <row r="50" spans="1:5" ht="15.75" thickBot="1">
      <c r="A50" s="134" t="s">
        <v>378</v>
      </c>
      <c r="B50" s="134" t="s">
        <v>995</v>
      </c>
      <c r="C50" s="204" t="s">
        <v>864</v>
      </c>
      <c r="D50" s="205" t="s">
        <v>34</v>
      </c>
      <c r="E50" s="206" t="s">
        <v>33</v>
      </c>
    </row>
    <row r="51" spans="1:5" ht="15.75" thickBot="1">
      <c r="A51" s="134" t="s">
        <v>341</v>
      </c>
      <c r="B51" s="134" t="s">
        <v>342</v>
      </c>
      <c r="C51" s="204" t="s">
        <v>864</v>
      </c>
      <c r="D51" s="205" t="s">
        <v>34</v>
      </c>
      <c r="E51" s="206" t="s">
        <v>33</v>
      </c>
    </row>
    <row r="52" spans="1:5" ht="15.75" thickBot="1">
      <c r="A52" s="134" t="s">
        <v>333</v>
      </c>
      <c r="B52" s="134" t="s">
        <v>334</v>
      </c>
      <c r="C52" s="204" t="s">
        <v>864</v>
      </c>
      <c r="D52" s="205" t="s">
        <v>34</v>
      </c>
      <c r="E52" s="206" t="s">
        <v>33</v>
      </c>
    </row>
    <row r="53" spans="1:5" ht="15.75" thickBot="1">
      <c r="A53" s="134" t="s">
        <v>345</v>
      </c>
      <c r="B53" s="134" t="s">
        <v>346</v>
      </c>
      <c r="C53" s="204" t="s">
        <v>864</v>
      </c>
      <c r="D53" s="205" t="s">
        <v>34</v>
      </c>
      <c r="E53" s="206" t="s">
        <v>33</v>
      </c>
    </row>
    <row r="54" spans="1:5" ht="15.75" thickBot="1">
      <c r="A54" s="134" t="s">
        <v>329</v>
      </c>
      <c r="B54" s="134" t="s">
        <v>330</v>
      </c>
      <c r="C54" s="204" t="s">
        <v>864</v>
      </c>
      <c r="D54" s="205" t="s">
        <v>34</v>
      </c>
      <c r="E54" s="206" t="s">
        <v>33</v>
      </c>
    </row>
    <row r="55" spans="1:5" ht="15.75" thickBot="1">
      <c r="A55" s="134" t="s">
        <v>801</v>
      </c>
      <c r="B55" s="134" t="s">
        <v>797</v>
      </c>
      <c r="C55" s="204" t="s">
        <v>864</v>
      </c>
      <c r="D55" s="205" t="s">
        <v>34</v>
      </c>
      <c r="E55" s="206" t="s">
        <v>33</v>
      </c>
    </row>
    <row r="56" spans="1:5" ht="15.75" thickBot="1">
      <c r="A56" s="134" t="s">
        <v>319</v>
      </c>
      <c r="B56" s="134" t="s">
        <v>556</v>
      </c>
      <c r="C56" s="204" t="s">
        <v>864</v>
      </c>
      <c r="D56" s="205" t="s">
        <v>34</v>
      </c>
      <c r="E56" s="206" t="s">
        <v>33</v>
      </c>
    </row>
    <row r="57" spans="1:5" ht="15.75" thickBot="1">
      <c r="A57" s="134" t="s">
        <v>337</v>
      </c>
      <c r="B57" s="134" t="s">
        <v>338</v>
      </c>
      <c r="C57" s="497" t="s">
        <v>864</v>
      </c>
      <c r="D57" s="205" t="s">
        <v>34</v>
      </c>
      <c r="E57" s="206" t="s">
        <v>33</v>
      </c>
    </row>
    <row r="58" spans="1:5" ht="15.75" thickBot="1">
      <c r="A58" s="134" t="s">
        <v>322</v>
      </c>
      <c r="B58" s="134" t="s">
        <v>323</v>
      </c>
      <c r="C58" s="204" t="s">
        <v>864</v>
      </c>
      <c r="D58" s="205" t="s">
        <v>34</v>
      </c>
      <c r="E58" s="206" t="s">
        <v>33</v>
      </c>
    </row>
    <row r="59" spans="1:5" ht="15.75" thickBot="1">
      <c r="A59" s="134" t="s">
        <v>301</v>
      </c>
      <c r="B59" s="134" t="s">
        <v>302</v>
      </c>
      <c r="C59" s="204" t="s">
        <v>864</v>
      </c>
      <c r="D59" s="205" t="s">
        <v>34</v>
      </c>
      <c r="E59" s="206" t="s">
        <v>33</v>
      </c>
    </row>
    <row r="60" spans="1:5" ht="15.75" thickBot="1">
      <c r="A60" s="134" t="s">
        <v>310</v>
      </c>
      <c r="B60" s="134" t="s">
        <v>311</v>
      </c>
      <c r="C60" s="204" t="s">
        <v>864</v>
      </c>
      <c r="D60" s="205" t="s">
        <v>34</v>
      </c>
      <c r="E60" s="206" t="s">
        <v>33</v>
      </c>
    </row>
    <row r="61" spans="1:5" ht="15.75" thickBot="1">
      <c r="A61" s="134" t="s">
        <v>996</v>
      </c>
      <c r="B61" s="134" t="s">
        <v>997</v>
      </c>
      <c r="C61" s="204" t="s">
        <v>864</v>
      </c>
      <c r="D61" s="215" t="s">
        <v>43</v>
      </c>
      <c r="E61" s="216" t="s">
        <v>33</v>
      </c>
    </row>
    <row r="62" spans="1:5" ht="15.75" thickBot="1">
      <c r="A62" s="134" t="s">
        <v>857</v>
      </c>
      <c r="B62" s="134" t="s">
        <v>858</v>
      </c>
      <c r="C62" s="204" t="s">
        <v>864</v>
      </c>
      <c r="D62" s="215" t="s">
        <v>43</v>
      </c>
      <c r="E62" s="216" t="s">
        <v>33</v>
      </c>
    </row>
    <row r="63" spans="1:5" ht="15.75" thickBot="1">
      <c r="A63" s="134" t="s">
        <v>405</v>
      </c>
      <c r="B63" s="134" t="s">
        <v>998</v>
      </c>
      <c r="C63" s="204" t="s">
        <v>864</v>
      </c>
      <c r="D63" s="215" t="s">
        <v>34</v>
      </c>
      <c r="E63" s="216" t="s">
        <v>33</v>
      </c>
    </row>
    <row r="64" spans="1:5" ht="15.75" thickBot="1">
      <c r="A64" s="134" t="s">
        <v>275</v>
      </c>
      <c r="B64" s="134" t="s">
        <v>999</v>
      </c>
      <c r="C64" s="204" t="s">
        <v>864</v>
      </c>
      <c r="D64" s="215" t="s">
        <v>34</v>
      </c>
      <c r="E64" s="216" t="s">
        <v>33</v>
      </c>
    </row>
    <row r="65" spans="1:5" ht="15.75" thickBot="1">
      <c r="A65" s="134" t="s">
        <v>496</v>
      </c>
      <c r="B65" s="134" t="s">
        <v>1000</v>
      </c>
      <c r="C65" s="204" t="s">
        <v>864</v>
      </c>
      <c r="D65" s="215" t="s">
        <v>34</v>
      </c>
      <c r="E65" s="216" t="s">
        <v>33</v>
      </c>
    </row>
    <row r="66" spans="1:5" ht="15.75" thickBot="1">
      <c r="A66" s="134" t="s">
        <v>614</v>
      </c>
      <c r="B66" s="134" t="s">
        <v>1001</v>
      </c>
      <c r="C66" s="204" t="s">
        <v>864</v>
      </c>
      <c r="D66" s="215" t="s">
        <v>34</v>
      </c>
      <c r="E66" s="216" t="s">
        <v>33</v>
      </c>
    </row>
    <row r="67" spans="1:5" ht="15.75" thickBot="1">
      <c r="A67" s="134" t="s">
        <v>1002</v>
      </c>
      <c r="B67" s="134" t="s">
        <v>1003</v>
      </c>
      <c r="C67" s="204" t="s">
        <v>864</v>
      </c>
      <c r="D67" s="215" t="s">
        <v>43</v>
      </c>
      <c r="E67" s="216" t="s">
        <v>33</v>
      </c>
    </row>
    <row r="68" spans="1:5" ht="15.75" thickBot="1">
      <c r="A68" s="134" t="s">
        <v>638</v>
      </c>
      <c r="B68" s="134" t="s">
        <v>1004</v>
      </c>
      <c r="C68" s="204" t="s">
        <v>864</v>
      </c>
      <c r="D68" s="215" t="s">
        <v>34</v>
      </c>
      <c r="E68" s="216" t="s">
        <v>33</v>
      </c>
    </row>
    <row r="69" spans="1:5" ht="15.75" thickBot="1">
      <c r="A69" s="134" t="s">
        <v>673</v>
      </c>
      <c r="B69" s="134" t="s">
        <v>485</v>
      </c>
      <c r="C69" s="204" t="s">
        <v>864</v>
      </c>
      <c r="D69" s="215" t="s">
        <v>34</v>
      </c>
      <c r="E69" s="216" t="s">
        <v>38</v>
      </c>
    </row>
    <row r="70" spans="1:5" ht="15.75" thickBot="1">
      <c r="A70" s="134" t="s">
        <v>452</v>
      </c>
      <c r="B70" s="134" t="s">
        <v>1005</v>
      </c>
      <c r="C70" s="204" t="s">
        <v>864</v>
      </c>
      <c r="D70" s="215" t="s">
        <v>34</v>
      </c>
      <c r="E70" s="216" t="s">
        <v>33</v>
      </c>
    </row>
    <row r="71" spans="1:5" ht="15.75" thickBot="1">
      <c r="A71" s="134" t="s">
        <v>642</v>
      </c>
      <c r="B71" s="134" t="s">
        <v>1006</v>
      </c>
      <c r="C71" s="204" t="s">
        <v>864</v>
      </c>
      <c r="D71" s="215" t="s">
        <v>34</v>
      </c>
      <c r="E71" s="216" t="s">
        <v>33</v>
      </c>
    </row>
    <row r="72" spans="1:5" ht="15.75" thickBot="1">
      <c r="A72" s="134" t="s">
        <v>360</v>
      </c>
      <c r="B72" s="134" t="s">
        <v>361</v>
      </c>
      <c r="C72" s="204" t="s">
        <v>864</v>
      </c>
      <c r="D72" s="215" t="s">
        <v>34</v>
      </c>
      <c r="E72" s="216" t="s">
        <v>38</v>
      </c>
    </row>
    <row r="73" spans="1:5" ht="15.75" thickBot="1">
      <c r="A73" s="134" t="s">
        <v>288</v>
      </c>
      <c r="B73" s="134" t="s">
        <v>1007</v>
      </c>
      <c r="C73" s="204" t="s">
        <v>864</v>
      </c>
      <c r="D73" s="215" t="s">
        <v>34</v>
      </c>
      <c r="E73" s="216" t="s">
        <v>33</v>
      </c>
    </row>
    <row r="74" spans="1:5" ht="15.75" thickBot="1">
      <c r="A74" s="134" t="s">
        <v>1008</v>
      </c>
      <c r="B74" s="134" t="s">
        <v>1009</v>
      </c>
      <c r="C74" s="204" t="s">
        <v>864</v>
      </c>
      <c r="D74" s="215" t="s">
        <v>43</v>
      </c>
      <c r="E74" s="216" t="s">
        <v>33</v>
      </c>
    </row>
    <row r="75" spans="1:5" ht="15.75" thickBot="1">
      <c r="A75" s="134" t="s">
        <v>1010</v>
      </c>
      <c r="B75" s="134" t="s">
        <v>1011</v>
      </c>
      <c r="C75" s="204" t="s">
        <v>864</v>
      </c>
      <c r="D75" s="215" t="s">
        <v>43</v>
      </c>
      <c r="E75" s="216" t="s">
        <v>33</v>
      </c>
    </row>
    <row r="76" spans="1:5" ht="15.75" thickBot="1">
      <c r="A76" s="134" t="s">
        <v>1012</v>
      </c>
      <c r="B76" s="134" t="s">
        <v>1013</v>
      </c>
      <c r="C76" s="204" t="s">
        <v>864</v>
      </c>
      <c r="D76" s="215" t="s">
        <v>43</v>
      </c>
      <c r="E76" s="216" t="s">
        <v>33</v>
      </c>
    </row>
    <row r="77" spans="1:5" ht="15.75" thickBot="1">
      <c r="A77" s="134" t="s">
        <v>706</v>
      </c>
      <c r="B77" s="134" t="s">
        <v>1014</v>
      </c>
      <c r="C77" s="204" t="s">
        <v>864</v>
      </c>
      <c r="D77" s="215" t="s">
        <v>34</v>
      </c>
      <c r="E77" s="216" t="s">
        <v>33</v>
      </c>
    </row>
    <row r="78" spans="1:5" ht="15.75" thickBot="1">
      <c r="A78" s="134" t="s">
        <v>1015</v>
      </c>
      <c r="B78" s="134" t="s">
        <v>1016</v>
      </c>
      <c r="C78" s="204" t="s">
        <v>864</v>
      </c>
      <c r="D78" s="215" t="s">
        <v>34</v>
      </c>
      <c r="E78" s="216" t="s">
        <v>33</v>
      </c>
    </row>
    <row r="79" spans="1:5" ht="15.75" thickBot="1">
      <c r="A79" s="134" t="s">
        <v>544</v>
      </c>
      <c r="B79" s="134" t="s">
        <v>1017</v>
      </c>
      <c r="C79" s="204" t="s">
        <v>864</v>
      </c>
      <c r="D79" s="215" t="s">
        <v>34</v>
      </c>
      <c r="E79" s="216" t="s">
        <v>33</v>
      </c>
    </row>
    <row r="80" spans="1:5" ht="15.75" thickBot="1">
      <c r="A80" s="134" t="s">
        <v>1018</v>
      </c>
      <c r="B80" s="134" t="s">
        <v>1019</v>
      </c>
      <c r="C80" s="204" t="s">
        <v>864</v>
      </c>
      <c r="D80" s="215" t="s">
        <v>43</v>
      </c>
      <c r="E80" s="216" t="s">
        <v>33</v>
      </c>
    </row>
    <row r="81" spans="1:5" ht="15.75" thickBot="1">
      <c r="A81" s="134" t="s">
        <v>738</v>
      </c>
      <c r="B81" s="134" t="s">
        <v>1020</v>
      </c>
      <c r="C81" s="204" t="s">
        <v>864</v>
      </c>
      <c r="D81" s="215" t="s">
        <v>34</v>
      </c>
      <c r="E81" s="216" t="s">
        <v>33</v>
      </c>
    </row>
    <row r="82" spans="1:5" ht="15.75" thickBot="1">
      <c r="A82" s="134" t="s">
        <v>1021</v>
      </c>
      <c r="B82" s="134" t="s">
        <v>1022</v>
      </c>
      <c r="C82" s="204" t="s">
        <v>864</v>
      </c>
      <c r="D82" s="215" t="s">
        <v>43</v>
      </c>
      <c r="E82" s="216" t="s">
        <v>33</v>
      </c>
    </row>
    <row r="83" spans="1:5" ht="15.75" thickBot="1">
      <c r="A83" s="134" t="s">
        <v>767</v>
      </c>
      <c r="B83" s="134" t="s">
        <v>1023</v>
      </c>
      <c r="C83" s="204" t="s">
        <v>945</v>
      </c>
      <c r="D83" s="215" t="s">
        <v>34</v>
      </c>
      <c r="E83" s="216" t="s">
        <v>33</v>
      </c>
    </row>
    <row r="84" spans="1:5" ht="15.75" thickBot="1">
      <c r="A84" s="134" t="s">
        <v>771</v>
      </c>
      <c r="B84" s="134" t="s">
        <v>1024</v>
      </c>
      <c r="C84" s="204" t="s">
        <v>864</v>
      </c>
      <c r="D84" s="215" t="s">
        <v>34</v>
      </c>
      <c r="E84" s="216" t="s">
        <v>33</v>
      </c>
    </row>
    <row r="85" spans="1:5" ht="15.75" thickBot="1">
      <c r="A85" s="134" t="s">
        <v>778</v>
      </c>
      <c r="B85" s="134" t="s">
        <v>1025</v>
      </c>
      <c r="C85" s="204" t="s">
        <v>864</v>
      </c>
      <c r="D85" s="215" t="s">
        <v>34</v>
      </c>
      <c r="E85" s="216" t="s">
        <v>38</v>
      </c>
    </row>
    <row r="86" spans="1:5" ht="15.75" thickBot="1">
      <c r="A86" s="134" t="s">
        <v>1026</v>
      </c>
      <c r="B86" s="134" t="s">
        <v>1027</v>
      </c>
      <c r="C86" s="204" t="s">
        <v>864</v>
      </c>
      <c r="D86" s="215" t="s">
        <v>43</v>
      </c>
      <c r="E86" s="216" t="s">
        <v>33</v>
      </c>
    </row>
    <row r="87" spans="1:5" ht="15.75" thickBot="1">
      <c r="A87" s="134" t="s">
        <v>1028</v>
      </c>
      <c r="B87" s="134" t="s">
        <v>1029</v>
      </c>
      <c r="C87" s="204" t="s">
        <v>864</v>
      </c>
      <c r="D87" s="215" t="s">
        <v>43</v>
      </c>
      <c r="E87" s="216" t="s">
        <v>33</v>
      </c>
    </row>
    <row r="88" spans="1:5" ht="15.75" thickBot="1">
      <c r="A88" s="134" t="s">
        <v>796</v>
      </c>
      <c r="B88" s="134" t="s">
        <v>1030</v>
      </c>
      <c r="C88" s="204" t="s">
        <v>864</v>
      </c>
      <c r="D88" s="215" t="s">
        <v>34</v>
      </c>
      <c r="E88" s="216" t="s">
        <v>33</v>
      </c>
    </row>
    <row r="89" spans="1:5" ht="15.75" thickBot="1">
      <c r="A89" s="134" t="s">
        <v>776</v>
      </c>
      <c r="B89" s="134" t="s">
        <v>1031</v>
      </c>
      <c r="C89" s="204" t="s">
        <v>864</v>
      </c>
      <c r="D89" s="215" t="s">
        <v>43</v>
      </c>
      <c r="E89" s="216" t="s">
        <v>33</v>
      </c>
    </row>
    <row r="90" spans="1:5" ht="15.75" thickBot="1">
      <c r="A90" s="134" t="s">
        <v>774</v>
      </c>
      <c r="B90" s="134" t="s">
        <v>1032</v>
      </c>
      <c r="C90" s="204" t="s">
        <v>864</v>
      </c>
      <c r="D90" s="215" t="s">
        <v>34</v>
      </c>
      <c r="E90" s="216" t="s">
        <v>33</v>
      </c>
    </row>
    <row r="91" spans="1:5" ht="15.75" thickBot="1">
      <c r="A91" s="134" t="s">
        <v>781</v>
      </c>
      <c r="B91" s="134" t="s">
        <v>1033</v>
      </c>
      <c r="C91" s="204" t="s">
        <v>864</v>
      </c>
      <c r="D91" s="215" t="s">
        <v>43</v>
      </c>
      <c r="E91" s="216" t="s">
        <v>33</v>
      </c>
    </row>
    <row r="92" spans="1:5" ht="15.75" thickBot="1">
      <c r="A92" s="134" t="s">
        <v>716</v>
      </c>
      <c r="B92" s="134" t="s">
        <v>1034</v>
      </c>
      <c r="C92" s="497" t="s">
        <v>864</v>
      </c>
      <c r="D92" s="215" t="s">
        <v>34</v>
      </c>
      <c r="E92" s="216" t="s">
        <v>33</v>
      </c>
    </row>
    <row r="93" spans="1:5" ht="15.75" thickBot="1">
      <c r="A93" s="134" t="s">
        <v>1035</v>
      </c>
      <c r="B93" s="134" t="s">
        <v>1036</v>
      </c>
      <c r="C93" s="204" t="s">
        <v>864</v>
      </c>
      <c r="D93" s="215" t="s">
        <v>43</v>
      </c>
      <c r="E93" s="216" t="s">
        <v>33</v>
      </c>
    </row>
    <row r="94" spans="1:5" ht="15.75" thickBot="1">
      <c r="A94" s="134" t="s">
        <v>1037</v>
      </c>
      <c r="B94" s="134" t="s">
        <v>1038</v>
      </c>
      <c r="C94" s="204" t="s">
        <v>864</v>
      </c>
      <c r="D94" s="215" t="s">
        <v>43</v>
      </c>
      <c r="E94" s="216" t="s">
        <v>33</v>
      </c>
    </row>
    <row r="95" spans="1:5" ht="15.75" thickBot="1">
      <c r="A95" s="134" t="s">
        <v>745</v>
      </c>
      <c r="B95" s="134" t="s">
        <v>1039</v>
      </c>
      <c r="C95" s="204" t="s">
        <v>945</v>
      </c>
      <c r="D95" s="215" t="s">
        <v>34</v>
      </c>
      <c r="E95" s="216" t="s">
        <v>33</v>
      </c>
    </row>
    <row r="96" spans="1:5" ht="15.75" thickBot="1">
      <c r="A96" s="134" t="s">
        <v>701</v>
      </c>
      <c r="B96" s="134" t="s">
        <v>1040</v>
      </c>
      <c r="C96" s="204" t="s">
        <v>945</v>
      </c>
      <c r="D96" s="215" t="s">
        <v>34</v>
      </c>
      <c r="E96" s="216" t="s">
        <v>33</v>
      </c>
    </row>
    <row r="97" spans="1:5" ht="15.75" thickBot="1">
      <c r="A97" s="134" t="s">
        <v>1041</v>
      </c>
      <c r="B97" s="134" t="s">
        <v>1042</v>
      </c>
      <c r="C97" s="204" t="s">
        <v>864</v>
      </c>
      <c r="D97" s="215" t="s">
        <v>43</v>
      </c>
      <c r="E97" s="216" t="s">
        <v>33</v>
      </c>
    </row>
    <row r="98" spans="1:5" ht="15.75" thickBot="1">
      <c r="A98" s="134" t="s">
        <v>760</v>
      </c>
      <c r="B98" s="134" t="s">
        <v>1043</v>
      </c>
      <c r="C98" s="204" t="s">
        <v>864</v>
      </c>
      <c r="D98" s="215" t="s">
        <v>43</v>
      </c>
      <c r="E98" s="216" t="s">
        <v>33</v>
      </c>
    </row>
    <row r="99" spans="1:5" ht="15.75" thickBot="1">
      <c r="A99" s="134" t="s">
        <v>785</v>
      </c>
      <c r="B99" s="134" t="s">
        <v>1044</v>
      </c>
      <c r="C99" s="204" t="s">
        <v>864</v>
      </c>
      <c r="D99" s="215" t="s">
        <v>34</v>
      </c>
      <c r="E99" s="216" t="s">
        <v>33</v>
      </c>
    </row>
    <row r="100" spans="1:5" ht="15.75" thickBot="1">
      <c r="A100" s="134" t="s">
        <v>690</v>
      </c>
      <c r="B100" s="134" t="s">
        <v>691</v>
      </c>
      <c r="C100" s="204" t="s">
        <v>864</v>
      </c>
      <c r="D100" s="215" t="s">
        <v>34</v>
      </c>
      <c r="E100" s="216" t="s">
        <v>33</v>
      </c>
    </row>
    <row r="101" spans="1:5" ht="15.75" thickBot="1">
      <c r="A101" s="134" t="s">
        <v>364</v>
      </c>
      <c r="B101" s="134" t="s">
        <v>1045</v>
      </c>
      <c r="C101" s="204" t="s">
        <v>864</v>
      </c>
      <c r="D101" s="215" t="s">
        <v>34</v>
      </c>
      <c r="E101" s="216" t="s">
        <v>33</v>
      </c>
    </row>
    <row r="102" spans="1:5" ht="15.75" thickBot="1">
      <c r="A102" s="134" t="s">
        <v>694</v>
      </c>
      <c r="B102" s="134" t="s">
        <v>1046</v>
      </c>
      <c r="C102" s="204" t="s">
        <v>864</v>
      </c>
      <c r="D102" s="215" t="s">
        <v>34</v>
      </c>
      <c r="E102" s="216" t="s">
        <v>33</v>
      </c>
    </row>
    <row r="103" spans="1:5" ht="15.75" thickBot="1">
      <c r="A103" s="134" t="s">
        <v>1047</v>
      </c>
      <c r="B103" s="495" t="s">
        <v>1048</v>
      </c>
      <c r="C103" s="204" t="s">
        <v>864</v>
      </c>
      <c r="D103" s="215" t="s">
        <v>34</v>
      </c>
      <c r="E103" s="216" t="s">
        <v>33</v>
      </c>
    </row>
    <row r="104" spans="1:5" ht="15.75" thickBot="1">
      <c r="A104" s="134" t="s">
        <v>657</v>
      </c>
      <c r="B104" s="134" t="s">
        <v>1049</v>
      </c>
      <c r="C104" s="204" t="s">
        <v>984</v>
      </c>
      <c r="D104" s="215" t="s">
        <v>34</v>
      </c>
      <c r="E104" s="216" t="s">
        <v>38</v>
      </c>
    </row>
    <row r="105" spans="1:5" ht="15.75" thickBot="1">
      <c r="A105" s="134" t="s">
        <v>651</v>
      </c>
      <c r="B105" s="134" t="s">
        <v>1050</v>
      </c>
      <c r="C105" s="204" t="s">
        <v>984</v>
      </c>
      <c r="D105" s="215" t="s">
        <v>34</v>
      </c>
      <c r="E105" s="216" t="s">
        <v>38</v>
      </c>
    </row>
    <row r="106" spans="1:5" ht="17.100000000000001" customHeight="1" thickBot="1">
      <c r="A106" s="134" t="s">
        <v>654</v>
      </c>
      <c r="B106" s="134" t="s">
        <v>1051</v>
      </c>
      <c r="C106" s="204" t="s">
        <v>984</v>
      </c>
      <c r="D106" s="215" t="s">
        <v>34</v>
      </c>
      <c r="E106" s="216" t="s">
        <v>38</v>
      </c>
    </row>
    <row r="107" spans="1:5" ht="17.100000000000001" customHeight="1" thickBot="1">
      <c r="A107" s="134" t="s">
        <v>861</v>
      </c>
      <c r="B107" s="134" t="s">
        <v>941</v>
      </c>
      <c r="C107" s="204" t="s">
        <v>984</v>
      </c>
      <c r="D107" s="215" t="s">
        <v>34</v>
      </c>
      <c r="E107" s="216" t="s">
        <v>38</v>
      </c>
    </row>
    <row r="108" spans="1:5">
      <c r="B108" s="491"/>
    </row>
    <row r="109" spans="1:5">
      <c r="B109" s="492"/>
    </row>
    <row r="110" spans="1:5">
      <c r="B110" s="491"/>
    </row>
    <row r="111" spans="1:5">
      <c r="B111" s="491"/>
    </row>
    <row r="112" spans="1:5">
      <c r="B112" s="491"/>
    </row>
    <row r="113" spans="2:2">
      <c r="B113" s="491"/>
    </row>
    <row r="114" spans="2:2">
      <c r="B114" s="491"/>
    </row>
    <row r="115" spans="2:2">
      <c r="B115" s="491"/>
    </row>
    <row r="116" spans="2:2">
      <c r="B116" s="492"/>
    </row>
    <row r="117" spans="2:2">
      <c r="B117" s="492"/>
    </row>
    <row r="118" spans="2:2">
      <c r="B118" s="492"/>
    </row>
    <row r="119" spans="2:2">
      <c r="B119" s="492"/>
    </row>
    <row r="120" spans="2:2">
      <c r="B120" s="492"/>
    </row>
    <row r="121" spans="2:2">
      <c r="B121" s="492"/>
    </row>
    <row r="122" spans="2:2">
      <c r="B122" s="492"/>
    </row>
    <row r="123" spans="2:2">
      <c r="B123" s="492"/>
    </row>
    <row r="124" spans="2:2">
      <c r="B124" s="492"/>
    </row>
    <row r="125" spans="2:2">
      <c r="B125" s="492"/>
    </row>
    <row r="126" spans="2:2">
      <c r="B126" s="492"/>
    </row>
    <row r="127" spans="2:2">
      <c r="B127" s="492"/>
    </row>
    <row r="128" spans="2:2">
      <c r="B128" s="492"/>
    </row>
    <row r="129" spans="2:2">
      <c r="B129" s="492"/>
    </row>
    <row r="130" spans="2:2">
      <c r="B130" s="492"/>
    </row>
    <row r="131" spans="2:2">
      <c r="B131" s="492"/>
    </row>
    <row r="132" spans="2:2">
      <c r="B132" s="492"/>
    </row>
    <row r="133" spans="2:2">
      <c r="B133" s="492"/>
    </row>
    <row r="134" spans="2:2">
      <c r="B134" s="492"/>
    </row>
    <row r="135" spans="2:2">
      <c r="B135" s="492"/>
    </row>
    <row r="136" spans="2:2">
      <c r="B136" s="492"/>
    </row>
    <row r="137" spans="2:2">
      <c r="B137" s="492"/>
    </row>
    <row r="138" spans="2:2">
      <c r="B138" s="492"/>
    </row>
    <row r="139" spans="2:2">
      <c r="B139" s="492"/>
    </row>
    <row r="140" spans="2:2">
      <c r="B140" s="492"/>
    </row>
    <row r="141" spans="2:2">
      <c r="B141" s="492"/>
    </row>
    <row r="142" spans="2:2">
      <c r="B142" s="492"/>
    </row>
    <row r="143" spans="2:2">
      <c r="B143" s="492"/>
    </row>
    <row r="144" spans="2:2">
      <c r="B144" s="492"/>
    </row>
    <row r="145" spans="2:2">
      <c r="B145" s="492"/>
    </row>
    <row r="146" spans="2:2">
      <c r="B146" s="492"/>
    </row>
    <row r="147" spans="2:2">
      <c r="B147" s="492"/>
    </row>
    <row r="148" spans="2:2">
      <c r="B148" s="492"/>
    </row>
    <row r="149" spans="2:2">
      <c r="B149" s="492"/>
    </row>
    <row r="150" spans="2:2">
      <c r="B150" s="492"/>
    </row>
    <row r="151" spans="2:2">
      <c r="B151" s="492"/>
    </row>
    <row r="152" spans="2:2">
      <c r="B152" s="492"/>
    </row>
    <row r="153" spans="2:2">
      <c r="B153" s="492"/>
    </row>
    <row r="154" spans="2:2">
      <c r="B154" s="492"/>
    </row>
    <row r="155" spans="2:2">
      <c r="B155" s="492"/>
    </row>
    <row r="156" spans="2:2">
      <c r="B156" s="492"/>
    </row>
    <row r="157" spans="2:2">
      <c r="B157" s="492"/>
    </row>
    <row r="158" spans="2:2">
      <c r="B158" s="492"/>
    </row>
    <row r="159" spans="2:2">
      <c r="B159" s="492"/>
    </row>
    <row r="160" spans="2:2">
      <c r="B160" s="492"/>
    </row>
    <row r="161" spans="2:2">
      <c r="B161" s="492"/>
    </row>
    <row r="162" spans="2:2">
      <c r="B162" s="492"/>
    </row>
    <row r="163" spans="2:2">
      <c r="B163" s="492"/>
    </row>
    <row r="164" spans="2:2">
      <c r="B164" s="492"/>
    </row>
    <row r="165" spans="2:2">
      <c r="B165" s="492"/>
    </row>
    <row r="166" spans="2:2">
      <c r="B166" s="492"/>
    </row>
    <row r="167" spans="2:2">
      <c r="B167" s="492"/>
    </row>
    <row r="168" spans="2:2">
      <c r="B168" s="492"/>
    </row>
    <row r="169" spans="2:2">
      <c r="B169" s="492"/>
    </row>
    <row r="170" spans="2:2">
      <c r="B170" s="492"/>
    </row>
    <row r="171" spans="2:2">
      <c r="B171" s="492"/>
    </row>
    <row r="172" spans="2:2">
      <c r="B172" s="492"/>
    </row>
    <row r="173" spans="2:2">
      <c r="B173" s="492"/>
    </row>
    <row r="174" spans="2:2">
      <c r="B174" s="492"/>
    </row>
    <row r="175" spans="2:2">
      <c r="B175" s="492"/>
    </row>
    <row r="176" spans="2:2">
      <c r="B176" s="492"/>
    </row>
    <row r="177" spans="2:2">
      <c r="B177" s="492"/>
    </row>
    <row r="178" spans="2:2">
      <c r="B178" s="492"/>
    </row>
    <row r="179" spans="2:2">
      <c r="B179" s="492"/>
    </row>
    <row r="180" spans="2:2">
      <c r="B180" s="492"/>
    </row>
    <row r="181" spans="2:2">
      <c r="B181" s="492"/>
    </row>
    <row r="182" spans="2:2">
      <c r="B182" s="494"/>
    </row>
    <row r="183" spans="2:2">
      <c r="B183" s="493"/>
    </row>
    <row r="184" spans="2:2">
      <c r="B184" s="492"/>
    </row>
    <row r="185" spans="2:2">
      <c r="B185" s="492"/>
    </row>
  </sheetData>
  <autoFilter ref="A2:E106" xr:uid="{00000000-0009-0000-0000-000006000000}"/>
  <mergeCells count="4">
    <mergeCell ref="H9:I9"/>
    <mergeCell ref="G4:G5"/>
    <mergeCell ref="G6:G7"/>
    <mergeCell ref="A1:I1"/>
  </mergeCells>
  <phoneticPr fontId="34"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'List Options'!$I$1:$I$4</xm:f>
          </x14:formula1>
          <xm:sqref>D3:D107</xm:sqref>
        </x14:dataValidation>
        <x14:dataValidation type="list" allowBlank="1" showInputMessage="1" showErrorMessage="1" xr:uid="{00000000-0002-0000-0600-000001000000}">
          <x14:formula1>
            <xm:f>'List Options'!$G$1:$G$3</xm:f>
          </x14:formula1>
          <xm:sqref>E3:E107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N22"/>
  <sheetViews>
    <sheetView workbookViewId="0">
      <selection activeCell="J9" sqref="J9"/>
    </sheetView>
  </sheetViews>
  <sheetFormatPr defaultColWidth="15" defaultRowHeight="15"/>
  <cols>
    <col min="1" max="1" width="11.42578125" style="39" customWidth="1"/>
    <col min="2" max="3" width="10.42578125" style="45" customWidth="1"/>
    <col min="4" max="8" width="9.42578125" style="45" customWidth="1"/>
    <col min="9" max="9" width="8.42578125" style="45" customWidth="1"/>
    <col min="10" max="20" width="9.42578125" style="45" customWidth="1"/>
    <col min="21" max="21" width="10.42578125" style="45" customWidth="1"/>
    <col min="22" max="23" width="9.42578125" style="45" customWidth="1"/>
    <col min="24" max="25" width="10.42578125" style="45" customWidth="1"/>
    <col min="26" max="27" width="9.42578125" style="45" customWidth="1"/>
    <col min="28" max="28" width="10.42578125" style="45" customWidth="1"/>
    <col min="29" max="29" width="9.42578125" style="45" customWidth="1"/>
    <col min="30" max="30" width="10.42578125" style="45" customWidth="1"/>
    <col min="31" max="32" width="9.42578125" style="45" customWidth="1"/>
    <col min="33" max="37" width="10.42578125" style="45" customWidth="1"/>
    <col min="38" max="38" width="10.42578125" style="46" customWidth="1"/>
    <col min="39" max="39" width="10.42578125" style="45" customWidth="1"/>
    <col min="40" max="40" width="1.42578125" style="45" customWidth="1"/>
    <col min="41" max="16384" width="15" style="45"/>
  </cols>
  <sheetData>
    <row r="1" spans="1:40" s="39" customFormat="1" ht="12.2" customHeight="1">
      <c r="A1" s="47"/>
      <c r="B1" s="48" t="s">
        <v>1052</v>
      </c>
      <c r="C1" s="48" t="s">
        <v>1053</v>
      </c>
      <c r="D1" s="48" t="s">
        <v>1054</v>
      </c>
      <c r="E1" s="48" t="s">
        <v>1055</v>
      </c>
      <c r="F1" s="48" t="s">
        <v>1056</v>
      </c>
      <c r="G1" s="49" t="s">
        <v>1057</v>
      </c>
      <c r="H1" s="50"/>
      <c r="I1" s="50"/>
      <c r="J1" s="50"/>
      <c r="K1" s="50"/>
      <c r="L1" s="76"/>
      <c r="M1" s="77"/>
      <c r="N1" s="78"/>
      <c r="X1" s="78"/>
      <c r="AB1" s="589" t="s">
        <v>1058</v>
      </c>
      <c r="AM1" s="589" t="s">
        <v>1059</v>
      </c>
    </row>
    <row r="2" spans="1:40" s="40" customFormat="1" ht="12">
      <c r="A2" s="51" t="s">
        <v>1060</v>
      </c>
      <c r="B2" s="52">
        <v>42994</v>
      </c>
      <c r="C2" s="52">
        <v>43190</v>
      </c>
      <c r="D2" s="53" t="e">
        <f>#REF!</f>
        <v>#REF!</v>
      </c>
      <c r="E2" s="53" t="e">
        <f>#REF!</f>
        <v>#REF!</v>
      </c>
      <c r="F2" s="53">
        <f>(C2-B2)/7</f>
        <v>28</v>
      </c>
      <c r="G2" s="54" t="e">
        <f>E2/F2</f>
        <v>#REF!</v>
      </c>
      <c r="H2" s="55"/>
      <c r="I2" s="55"/>
      <c r="J2" s="55"/>
      <c r="K2" s="55"/>
      <c r="L2" s="79"/>
      <c r="M2" s="80"/>
      <c r="N2" s="81"/>
      <c r="X2" s="81"/>
      <c r="AB2" s="590"/>
      <c r="AM2" s="590"/>
    </row>
    <row r="3" spans="1:40" s="41" customFormat="1" ht="3.75" customHeight="1">
      <c r="A3" s="56"/>
      <c r="B3" s="57"/>
      <c r="C3" s="57"/>
      <c r="D3" s="57"/>
      <c r="E3" s="57"/>
      <c r="F3" s="57"/>
      <c r="G3" s="57"/>
      <c r="H3" s="57"/>
      <c r="I3" s="57"/>
      <c r="J3" s="57"/>
      <c r="K3" s="57"/>
      <c r="L3" s="57"/>
      <c r="M3" s="82"/>
      <c r="N3" s="82"/>
      <c r="O3" s="82"/>
      <c r="P3" s="82"/>
      <c r="Q3" s="82"/>
      <c r="R3" s="82"/>
      <c r="S3" s="82"/>
      <c r="T3" s="82"/>
      <c r="U3" s="82"/>
      <c r="V3" s="82"/>
      <c r="W3" s="82"/>
      <c r="X3" s="82"/>
      <c r="Y3" s="82"/>
      <c r="Z3" s="82"/>
      <c r="AA3" s="82"/>
      <c r="AB3" s="82"/>
      <c r="AC3" s="82"/>
      <c r="AD3" s="82"/>
      <c r="AE3" s="82"/>
      <c r="AF3" s="82"/>
      <c r="AG3" s="82"/>
      <c r="AH3" s="82"/>
      <c r="AI3" s="82"/>
      <c r="AJ3" s="82"/>
      <c r="AK3" s="82"/>
    </row>
    <row r="4" spans="1:40" ht="12">
      <c r="A4" s="586" t="s">
        <v>1061</v>
      </c>
      <c r="B4" s="58">
        <v>43001</v>
      </c>
      <c r="C4" s="58">
        <f>B4+7</f>
        <v>43008</v>
      </c>
      <c r="D4" s="58">
        <f>C4+7</f>
        <v>43015</v>
      </c>
      <c r="E4" s="58">
        <f t="shared" ref="E4" si="0">D4+7</f>
        <v>43022</v>
      </c>
      <c r="F4" s="58">
        <f t="shared" ref="F4" si="1">E4+7</f>
        <v>43029</v>
      </c>
      <c r="G4" s="58">
        <f t="shared" ref="G4" si="2">F4+7</f>
        <v>43036</v>
      </c>
      <c r="H4" s="58">
        <f t="shared" ref="H4" si="3">G4+7</f>
        <v>43043</v>
      </c>
      <c r="I4" s="58">
        <f t="shared" ref="I4" si="4">H4+7</f>
        <v>43050</v>
      </c>
      <c r="J4" s="58">
        <f t="shared" ref="J4" si="5">I4+7</f>
        <v>43057</v>
      </c>
      <c r="K4" s="58">
        <f t="shared" ref="K4" si="6">J4+7</f>
        <v>43064</v>
      </c>
      <c r="L4" s="58">
        <f t="shared" ref="L4" si="7">K4+7</f>
        <v>43071</v>
      </c>
      <c r="M4" s="58">
        <f t="shared" ref="M4" si="8">L4+7</f>
        <v>43078</v>
      </c>
      <c r="N4" s="83">
        <f t="shared" ref="N4" si="9">M4+7</f>
        <v>43085</v>
      </c>
      <c r="O4" s="58">
        <f t="shared" ref="O4" si="10">N4+7</f>
        <v>43092</v>
      </c>
      <c r="P4" s="58">
        <f t="shared" ref="P4" si="11">O4+7</f>
        <v>43099</v>
      </c>
      <c r="Q4" s="58">
        <f t="shared" ref="Q4" si="12">P4+7</f>
        <v>43106</v>
      </c>
      <c r="R4" s="58">
        <f t="shared" ref="R4" si="13">Q4+7</f>
        <v>43113</v>
      </c>
      <c r="S4" s="58">
        <f t="shared" ref="S4" si="14">R4+7</f>
        <v>43120</v>
      </c>
      <c r="T4" s="58">
        <f t="shared" ref="T4" si="15">S4+7</f>
        <v>43127</v>
      </c>
      <c r="U4" s="58">
        <f t="shared" ref="U4" si="16">T4+7</f>
        <v>43134</v>
      </c>
      <c r="V4" s="58">
        <f t="shared" ref="V4" si="17">U4+7</f>
        <v>43141</v>
      </c>
      <c r="W4" s="58">
        <f t="shared" ref="W4" si="18">V4+7</f>
        <v>43148</v>
      </c>
      <c r="X4" s="83">
        <f t="shared" ref="X4" si="19">W4+7</f>
        <v>43155</v>
      </c>
      <c r="Y4" s="58">
        <f t="shared" ref="Y4" si="20">X4+7</f>
        <v>43162</v>
      </c>
      <c r="Z4" s="58">
        <f t="shared" ref="Z4" si="21">Y4+7</f>
        <v>43169</v>
      </c>
      <c r="AA4" s="83">
        <f t="shared" ref="AA4" si="22">Z4+7</f>
        <v>43176</v>
      </c>
      <c r="AB4" s="58">
        <f t="shared" ref="AB4" si="23">AA4+7</f>
        <v>43183</v>
      </c>
      <c r="AC4" s="58">
        <f t="shared" ref="AC4" si="24">AB4+7</f>
        <v>43190</v>
      </c>
      <c r="AD4" s="83">
        <f t="shared" ref="AD4:AJ4" si="25">AC4+7</f>
        <v>43197</v>
      </c>
      <c r="AE4" s="83">
        <f t="shared" si="25"/>
        <v>43204</v>
      </c>
      <c r="AF4" s="83">
        <f t="shared" si="25"/>
        <v>43211</v>
      </c>
      <c r="AG4" s="83">
        <f t="shared" si="25"/>
        <v>43218</v>
      </c>
      <c r="AH4" s="83">
        <f t="shared" si="25"/>
        <v>43225</v>
      </c>
      <c r="AI4" s="83">
        <f t="shared" si="25"/>
        <v>43232</v>
      </c>
      <c r="AJ4" s="83">
        <f t="shared" si="25"/>
        <v>43239</v>
      </c>
      <c r="AK4" s="83">
        <f t="shared" ref="AK4:AM4" si="26">AJ4+7</f>
        <v>43246</v>
      </c>
      <c r="AL4" s="83">
        <f t="shared" si="26"/>
        <v>43253</v>
      </c>
      <c r="AM4" s="87">
        <f t="shared" si="26"/>
        <v>43260</v>
      </c>
      <c r="AN4" s="88"/>
    </row>
    <row r="5" spans="1:40" ht="12">
      <c r="A5" s="587"/>
      <c r="B5" s="59" t="s">
        <v>1062</v>
      </c>
      <c r="C5" s="59" t="s">
        <v>1063</v>
      </c>
      <c r="D5" s="59" t="s">
        <v>1064</v>
      </c>
      <c r="E5" s="59" t="s">
        <v>1065</v>
      </c>
      <c r="F5" s="59" t="s">
        <v>1066</v>
      </c>
      <c r="G5" s="59" t="s">
        <v>1067</v>
      </c>
      <c r="H5" s="59" t="s">
        <v>1068</v>
      </c>
      <c r="I5" s="59" t="s">
        <v>1069</v>
      </c>
      <c r="J5" s="59" t="s">
        <v>1070</v>
      </c>
      <c r="K5" s="59" t="s">
        <v>1071</v>
      </c>
      <c r="L5" s="59" t="s">
        <v>1072</v>
      </c>
      <c r="M5" s="59" t="s">
        <v>1073</v>
      </c>
      <c r="N5" s="59" t="s">
        <v>1074</v>
      </c>
      <c r="O5" s="59" t="s">
        <v>1075</v>
      </c>
      <c r="P5" s="59" t="s">
        <v>1076</v>
      </c>
      <c r="Q5" s="59" t="s">
        <v>1077</v>
      </c>
      <c r="R5" s="59" t="s">
        <v>1078</v>
      </c>
      <c r="S5" s="59" t="s">
        <v>1079</v>
      </c>
      <c r="T5" s="59" t="s">
        <v>1080</v>
      </c>
      <c r="U5" s="59" t="s">
        <v>1081</v>
      </c>
      <c r="V5" s="59" t="s">
        <v>1082</v>
      </c>
      <c r="W5" s="59" t="s">
        <v>1083</v>
      </c>
      <c r="X5" s="59" t="s">
        <v>1084</v>
      </c>
      <c r="Y5" s="59" t="s">
        <v>1085</v>
      </c>
      <c r="Z5" s="59" t="s">
        <v>1086</v>
      </c>
      <c r="AA5" s="59" t="s">
        <v>1087</v>
      </c>
      <c r="AB5" s="59" t="s">
        <v>1088</v>
      </c>
      <c r="AC5" s="59" t="s">
        <v>1089</v>
      </c>
      <c r="AD5" s="59" t="s">
        <v>1090</v>
      </c>
      <c r="AE5" s="59" t="s">
        <v>1091</v>
      </c>
      <c r="AF5" s="59" t="s">
        <v>1092</v>
      </c>
      <c r="AG5" s="59" t="s">
        <v>1093</v>
      </c>
      <c r="AH5" s="59" t="s">
        <v>1094</v>
      </c>
      <c r="AI5" s="59" t="s">
        <v>1095</v>
      </c>
      <c r="AJ5" s="59" t="s">
        <v>1096</v>
      </c>
      <c r="AK5" s="59" t="s">
        <v>1097</v>
      </c>
      <c r="AL5" s="89" t="s">
        <v>1098</v>
      </c>
      <c r="AM5" s="90" t="s">
        <v>1099</v>
      </c>
      <c r="AN5" s="91"/>
    </row>
    <row r="6" spans="1:40" ht="12">
      <c r="A6" s="60" t="s">
        <v>1100</v>
      </c>
      <c r="B6" s="61" t="e">
        <f>B7*$E$2</f>
        <v>#REF!</v>
      </c>
      <c r="C6" s="61" t="e">
        <f t="shared" ref="C6:AM6" si="27">C7*$E$2</f>
        <v>#REF!</v>
      </c>
      <c r="D6" s="61" t="e">
        <f t="shared" si="27"/>
        <v>#REF!</v>
      </c>
      <c r="E6" s="61" t="e">
        <f t="shared" si="27"/>
        <v>#REF!</v>
      </c>
      <c r="F6" s="61" t="e">
        <f t="shared" si="27"/>
        <v>#REF!</v>
      </c>
      <c r="G6" s="61" t="e">
        <f t="shared" si="27"/>
        <v>#REF!</v>
      </c>
      <c r="H6" s="61" t="e">
        <f t="shared" si="27"/>
        <v>#REF!</v>
      </c>
      <c r="I6" s="61" t="e">
        <f t="shared" si="27"/>
        <v>#REF!</v>
      </c>
      <c r="J6" s="61" t="e">
        <f t="shared" si="27"/>
        <v>#REF!</v>
      </c>
      <c r="K6" s="61" t="e">
        <f t="shared" si="27"/>
        <v>#REF!</v>
      </c>
      <c r="L6" s="61" t="e">
        <f t="shared" si="27"/>
        <v>#REF!</v>
      </c>
      <c r="M6" s="61" t="e">
        <f t="shared" si="27"/>
        <v>#REF!</v>
      </c>
      <c r="N6" s="61" t="e">
        <f t="shared" si="27"/>
        <v>#REF!</v>
      </c>
      <c r="O6" s="61" t="e">
        <f t="shared" si="27"/>
        <v>#REF!</v>
      </c>
      <c r="P6" s="61" t="e">
        <f t="shared" si="27"/>
        <v>#REF!</v>
      </c>
      <c r="Q6" s="61" t="e">
        <f t="shared" si="27"/>
        <v>#REF!</v>
      </c>
      <c r="R6" s="61" t="e">
        <f t="shared" si="27"/>
        <v>#REF!</v>
      </c>
      <c r="S6" s="61" t="e">
        <f t="shared" si="27"/>
        <v>#REF!</v>
      </c>
      <c r="T6" s="61" t="e">
        <f t="shared" si="27"/>
        <v>#REF!</v>
      </c>
      <c r="U6" s="61" t="e">
        <f t="shared" si="27"/>
        <v>#REF!</v>
      </c>
      <c r="V6" s="61" t="e">
        <f t="shared" si="27"/>
        <v>#REF!</v>
      </c>
      <c r="W6" s="61" t="e">
        <f t="shared" si="27"/>
        <v>#REF!</v>
      </c>
      <c r="X6" s="61" t="e">
        <f t="shared" si="27"/>
        <v>#REF!</v>
      </c>
      <c r="Y6" s="61" t="e">
        <f t="shared" si="27"/>
        <v>#REF!</v>
      </c>
      <c r="Z6" s="61" t="e">
        <f t="shared" si="27"/>
        <v>#REF!</v>
      </c>
      <c r="AA6" s="61" t="e">
        <f t="shared" si="27"/>
        <v>#REF!</v>
      </c>
      <c r="AB6" s="61" t="e">
        <f t="shared" si="27"/>
        <v>#REF!</v>
      </c>
      <c r="AC6" s="61" t="e">
        <f t="shared" si="27"/>
        <v>#REF!</v>
      </c>
      <c r="AD6" s="61" t="e">
        <f t="shared" si="27"/>
        <v>#REF!</v>
      </c>
      <c r="AE6" s="61" t="e">
        <f t="shared" si="27"/>
        <v>#REF!</v>
      </c>
      <c r="AF6" s="61" t="e">
        <f t="shared" si="27"/>
        <v>#REF!</v>
      </c>
      <c r="AG6" s="61" t="e">
        <f t="shared" si="27"/>
        <v>#REF!</v>
      </c>
      <c r="AH6" s="61" t="e">
        <f t="shared" si="27"/>
        <v>#REF!</v>
      </c>
      <c r="AI6" s="61" t="e">
        <f t="shared" si="27"/>
        <v>#REF!</v>
      </c>
      <c r="AJ6" s="61" t="e">
        <f t="shared" si="27"/>
        <v>#REF!</v>
      </c>
      <c r="AK6" s="61" t="e">
        <f t="shared" si="27"/>
        <v>#REF!</v>
      </c>
      <c r="AL6" s="61" t="e">
        <f t="shared" si="27"/>
        <v>#REF!</v>
      </c>
      <c r="AM6" s="92" t="e">
        <f t="shared" si="27"/>
        <v>#REF!</v>
      </c>
      <c r="AN6" s="93"/>
    </row>
    <row r="7" spans="1:40" s="42" customFormat="1" ht="12">
      <c r="A7" s="62" t="s">
        <v>1101</v>
      </c>
      <c r="B7" s="63">
        <v>1.4999999999999999E-2</v>
      </c>
      <c r="C7" s="63">
        <f>B7+0.015</f>
        <v>0.03</v>
      </c>
      <c r="D7" s="63">
        <f t="shared" ref="D7:I7" si="28">C7+0.02</f>
        <v>0.05</v>
      </c>
      <c r="E7" s="63">
        <f t="shared" si="28"/>
        <v>7.0000000000000007E-2</v>
      </c>
      <c r="F7" s="63">
        <f t="shared" si="28"/>
        <v>9.0000000000000011E-2</v>
      </c>
      <c r="G7" s="63">
        <f t="shared" si="28"/>
        <v>0.11000000000000001</v>
      </c>
      <c r="H7" s="63">
        <f t="shared" si="28"/>
        <v>0.13</v>
      </c>
      <c r="I7" s="63">
        <f t="shared" si="28"/>
        <v>0.15</v>
      </c>
      <c r="J7" s="63">
        <f t="shared" ref="J7:O7" si="29">I7+0.03</f>
        <v>0.18</v>
      </c>
      <c r="K7" s="63">
        <f t="shared" si="29"/>
        <v>0.21</v>
      </c>
      <c r="L7" s="63">
        <f t="shared" si="29"/>
        <v>0.24</v>
      </c>
      <c r="M7" s="63">
        <f t="shared" si="29"/>
        <v>0.27</v>
      </c>
      <c r="N7" s="63">
        <f t="shared" si="29"/>
        <v>0.30000000000000004</v>
      </c>
      <c r="O7" s="63">
        <f t="shared" si="29"/>
        <v>0.33000000000000007</v>
      </c>
      <c r="P7" s="63">
        <f>O7+0.01</f>
        <v>0.34000000000000008</v>
      </c>
      <c r="Q7" s="63">
        <f>P7+0.01</f>
        <v>0.35000000000000009</v>
      </c>
      <c r="R7" s="63">
        <f>Q7+0.03</f>
        <v>0.38000000000000012</v>
      </c>
      <c r="S7" s="63">
        <f t="shared" ref="S7:AE7" si="30">R7+0.03</f>
        <v>0.41000000000000014</v>
      </c>
      <c r="T7" s="63">
        <f t="shared" si="30"/>
        <v>0.44000000000000017</v>
      </c>
      <c r="U7" s="63">
        <f t="shared" si="30"/>
        <v>0.4700000000000002</v>
      </c>
      <c r="V7" s="63">
        <f t="shared" si="30"/>
        <v>0.50000000000000022</v>
      </c>
      <c r="W7" s="63">
        <f t="shared" si="30"/>
        <v>0.53000000000000025</v>
      </c>
      <c r="X7" s="63">
        <f t="shared" si="30"/>
        <v>0.56000000000000028</v>
      </c>
      <c r="Y7" s="63">
        <f t="shared" si="30"/>
        <v>0.5900000000000003</v>
      </c>
      <c r="Z7" s="63">
        <f t="shared" si="30"/>
        <v>0.62000000000000033</v>
      </c>
      <c r="AA7" s="63">
        <f t="shared" si="30"/>
        <v>0.65000000000000036</v>
      </c>
      <c r="AB7" s="63">
        <f t="shared" si="30"/>
        <v>0.68000000000000038</v>
      </c>
      <c r="AC7" s="63">
        <f t="shared" si="30"/>
        <v>0.71000000000000041</v>
      </c>
      <c r="AD7" s="63">
        <f t="shared" si="30"/>
        <v>0.74000000000000044</v>
      </c>
      <c r="AE7" s="63">
        <f t="shared" si="30"/>
        <v>0.77000000000000046</v>
      </c>
      <c r="AF7" s="63">
        <f t="shared" ref="AF7" si="31">AE7+0.03</f>
        <v>0.80000000000000049</v>
      </c>
      <c r="AG7" s="63">
        <f t="shared" ref="AG7" si="32">AF7+0.03</f>
        <v>0.83000000000000052</v>
      </c>
      <c r="AH7" s="63">
        <f t="shared" ref="AH7" si="33">AG7+0.03</f>
        <v>0.86000000000000054</v>
      </c>
      <c r="AI7" s="63">
        <f t="shared" ref="AI7" si="34">AH7+0.03</f>
        <v>0.89000000000000057</v>
      </c>
      <c r="AJ7" s="63">
        <f t="shared" ref="AJ7" si="35">AI7+0.03</f>
        <v>0.9200000000000006</v>
      </c>
      <c r="AK7" s="63">
        <f t="shared" ref="AK7" si="36">AJ7+0.03</f>
        <v>0.95000000000000062</v>
      </c>
      <c r="AL7" s="63">
        <f t="shared" ref="AL7" si="37">AK7+0.03</f>
        <v>0.98000000000000065</v>
      </c>
      <c r="AM7" s="94">
        <f t="shared" ref="AM7" si="38">AL7+0.03</f>
        <v>1.0100000000000007</v>
      </c>
      <c r="AN7" s="95"/>
    </row>
    <row r="8" spans="1:40" s="41" customFormat="1" ht="3.75" customHeight="1">
      <c r="A8" s="64"/>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96"/>
      <c r="AM8" s="97"/>
      <c r="AN8" s="98"/>
    </row>
    <row r="9" spans="1:40" ht="12">
      <c r="A9" s="586" t="s">
        <v>1102</v>
      </c>
      <c r="B9" s="58">
        <v>43001</v>
      </c>
      <c r="C9" s="58">
        <f>B9+7</f>
        <v>43008</v>
      </c>
      <c r="D9" s="58">
        <f>C9+7</f>
        <v>43015</v>
      </c>
      <c r="E9" s="58">
        <f t="shared" ref="E9" si="39">D9+7</f>
        <v>43022</v>
      </c>
      <c r="F9" s="58">
        <f t="shared" ref="F9" si="40">E9+7</f>
        <v>43029</v>
      </c>
      <c r="G9" s="58">
        <f t="shared" ref="G9" si="41">F9+7</f>
        <v>43036</v>
      </c>
      <c r="H9" s="58">
        <f t="shared" ref="H9" si="42">G9+7</f>
        <v>43043</v>
      </c>
      <c r="I9" s="58">
        <f t="shared" ref="I9" si="43">H9+7</f>
        <v>43050</v>
      </c>
      <c r="J9" s="58">
        <f t="shared" ref="J9" si="44">I9+7</f>
        <v>43057</v>
      </c>
      <c r="K9" s="58">
        <f t="shared" ref="K9" si="45">J9+7</f>
        <v>43064</v>
      </c>
      <c r="L9" s="58">
        <f t="shared" ref="L9" si="46">K9+7</f>
        <v>43071</v>
      </c>
      <c r="M9" s="58">
        <f t="shared" ref="M9" si="47">L9+7</f>
        <v>43078</v>
      </c>
      <c r="N9" s="83">
        <f t="shared" ref="N9" si="48">M9+7</f>
        <v>43085</v>
      </c>
      <c r="O9" s="58">
        <f t="shared" ref="O9" si="49">N9+7</f>
        <v>43092</v>
      </c>
      <c r="P9" s="58">
        <f t="shared" ref="P9" si="50">O9+7</f>
        <v>43099</v>
      </c>
      <c r="Q9" s="58">
        <f t="shared" ref="Q9" si="51">P9+7</f>
        <v>43106</v>
      </c>
      <c r="R9" s="58">
        <f t="shared" ref="R9" si="52">Q9+7</f>
        <v>43113</v>
      </c>
      <c r="S9" s="58">
        <f t="shared" ref="S9" si="53">R9+7</f>
        <v>43120</v>
      </c>
      <c r="T9" s="58">
        <f t="shared" ref="T9" si="54">S9+7</f>
        <v>43127</v>
      </c>
      <c r="U9" s="58">
        <f t="shared" ref="U9" si="55">T9+7</f>
        <v>43134</v>
      </c>
      <c r="V9" s="58">
        <f t="shared" ref="V9" si="56">U9+7</f>
        <v>43141</v>
      </c>
      <c r="W9" s="58">
        <f t="shared" ref="W9" si="57">V9+7</f>
        <v>43148</v>
      </c>
      <c r="X9" s="83">
        <f t="shared" ref="X9" si="58">W9+7</f>
        <v>43155</v>
      </c>
      <c r="Y9" s="58">
        <f t="shared" ref="Y9" si="59">X9+7</f>
        <v>43162</v>
      </c>
      <c r="Z9" s="58">
        <f t="shared" ref="Z9" si="60">Y9+7</f>
        <v>43169</v>
      </c>
      <c r="AA9" s="83">
        <f t="shared" ref="AA9" si="61">Z9+7</f>
        <v>43176</v>
      </c>
      <c r="AB9" s="58">
        <f t="shared" ref="AB9" si="62">AA9+7</f>
        <v>43183</v>
      </c>
      <c r="AC9" s="58">
        <f t="shared" ref="AC9" si="63">AB9+7</f>
        <v>43190</v>
      </c>
      <c r="AD9" s="83">
        <f t="shared" ref="AD9" si="64">AC9+7</f>
        <v>43197</v>
      </c>
      <c r="AE9" s="83">
        <f t="shared" ref="AE9" si="65">AD9+7</f>
        <v>43204</v>
      </c>
      <c r="AF9" s="83">
        <f t="shared" ref="AF9" si="66">AE9+7</f>
        <v>43211</v>
      </c>
      <c r="AG9" s="83">
        <f t="shared" ref="AG9" si="67">AF9+7</f>
        <v>43218</v>
      </c>
      <c r="AH9" s="83">
        <f t="shared" ref="AH9" si="68">AG9+7</f>
        <v>43225</v>
      </c>
      <c r="AI9" s="83">
        <f t="shared" ref="AI9" si="69">AH9+7</f>
        <v>43232</v>
      </c>
      <c r="AJ9" s="83">
        <f t="shared" ref="AJ9" si="70">AI9+7</f>
        <v>43239</v>
      </c>
      <c r="AK9" s="99">
        <f t="shared" ref="AK9:AM9" si="71">AJ9+7</f>
        <v>43246</v>
      </c>
      <c r="AL9" s="83">
        <f t="shared" si="71"/>
        <v>43253</v>
      </c>
      <c r="AM9" s="87">
        <f t="shared" si="71"/>
        <v>43260</v>
      </c>
      <c r="AN9" s="100"/>
    </row>
    <row r="10" spans="1:40" ht="12">
      <c r="A10" s="588"/>
      <c r="B10" s="65" t="s">
        <v>1062</v>
      </c>
      <c r="C10" s="65" t="s">
        <v>1063</v>
      </c>
      <c r="D10" s="65" t="s">
        <v>1064</v>
      </c>
      <c r="E10" s="65" t="s">
        <v>1065</v>
      </c>
      <c r="F10" s="65" t="s">
        <v>1066</v>
      </c>
      <c r="G10" s="65" t="s">
        <v>1067</v>
      </c>
      <c r="H10" s="65" t="s">
        <v>1068</v>
      </c>
      <c r="I10" s="65" t="s">
        <v>1069</v>
      </c>
      <c r="J10" s="65" t="s">
        <v>1070</v>
      </c>
      <c r="K10" s="65" t="s">
        <v>1071</v>
      </c>
      <c r="L10" s="65" t="s">
        <v>1072</v>
      </c>
      <c r="M10" s="65" t="s">
        <v>1073</v>
      </c>
      <c r="N10" s="65" t="s">
        <v>1074</v>
      </c>
      <c r="O10" s="65" t="s">
        <v>1075</v>
      </c>
      <c r="P10" s="65" t="s">
        <v>1076</v>
      </c>
      <c r="Q10" s="65" t="s">
        <v>1077</v>
      </c>
      <c r="R10" s="65" t="s">
        <v>1078</v>
      </c>
      <c r="S10" s="65" t="s">
        <v>1079</v>
      </c>
      <c r="T10" s="65" t="s">
        <v>1080</v>
      </c>
      <c r="U10" s="65" t="s">
        <v>1081</v>
      </c>
      <c r="V10" s="65" t="s">
        <v>1082</v>
      </c>
      <c r="W10" s="65" t="s">
        <v>1083</v>
      </c>
      <c r="X10" s="65" t="s">
        <v>1084</v>
      </c>
      <c r="Y10" s="65" t="s">
        <v>1085</v>
      </c>
      <c r="Z10" s="65" t="s">
        <v>1086</v>
      </c>
      <c r="AA10" s="65" t="s">
        <v>1087</v>
      </c>
      <c r="AB10" s="65" t="s">
        <v>1088</v>
      </c>
      <c r="AC10" s="65" t="s">
        <v>1089</v>
      </c>
      <c r="AD10" s="65" t="s">
        <v>1090</v>
      </c>
      <c r="AE10" s="65" t="s">
        <v>1091</v>
      </c>
      <c r="AF10" s="65" t="s">
        <v>1092</v>
      </c>
      <c r="AG10" s="65" t="s">
        <v>1093</v>
      </c>
      <c r="AH10" s="65" t="s">
        <v>1094</v>
      </c>
      <c r="AI10" s="65" t="s">
        <v>1095</v>
      </c>
      <c r="AJ10" s="101" t="s">
        <v>1096</v>
      </c>
      <c r="AK10" s="102" t="s">
        <v>1097</v>
      </c>
      <c r="AL10" s="59" t="s">
        <v>1098</v>
      </c>
      <c r="AM10" s="103" t="s">
        <v>1099</v>
      </c>
      <c r="AN10" s="104"/>
    </row>
    <row r="11" spans="1:40">
      <c r="A11" s="66" t="s">
        <v>1100</v>
      </c>
      <c r="B11" s="67">
        <v>14</v>
      </c>
      <c r="C11" s="67">
        <v>30</v>
      </c>
      <c r="D11" s="67">
        <v>33</v>
      </c>
      <c r="E11" s="67">
        <v>42</v>
      </c>
      <c r="F11" s="67">
        <v>45</v>
      </c>
      <c r="G11" s="67">
        <v>60</v>
      </c>
      <c r="H11" s="67">
        <v>117</v>
      </c>
      <c r="I11" s="67">
        <v>145</v>
      </c>
      <c r="J11" s="67">
        <v>168</v>
      </c>
      <c r="K11" s="67">
        <v>188</v>
      </c>
      <c r="L11" s="67">
        <v>196</v>
      </c>
      <c r="M11" s="67">
        <v>211</v>
      </c>
      <c r="N11" s="67">
        <v>283</v>
      </c>
      <c r="O11" s="67">
        <v>479</v>
      </c>
      <c r="P11" s="67">
        <v>619</v>
      </c>
      <c r="Q11" s="67">
        <v>634</v>
      </c>
      <c r="R11" s="67">
        <v>654</v>
      </c>
      <c r="S11" s="67">
        <v>685</v>
      </c>
      <c r="T11" s="67">
        <v>697</v>
      </c>
      <c r="U11" s="67">
        <v>713</v>
      </c>
      <c r="V11" s="67">
        <v>744</v>
      </c>
      <c r="W11" s="67">
        <v>751</v>
      </c>
      <c r="X11" s="67">
        <v>782</v>
      </c>
      <c r="Y11" s="67">
        <v>861</v>
      </c>
      <c r="Z11" s="67">
        <v>903</v>
      </c>
      <c r="AA11" s="67">
        <v>927</v>
      </c>
      <c r="AB11" s="67">
        <v>934</v>
      </c>
      <c r="AC11" s="67">
        <v>948</v>
      </c>
      <c r="AD11" s="67">
        <v>967</v>
      </c>
      <c r="AE11" s="67">
        <v>967</v>
      </c>
      <c r="AF11" s="85">
        <v>967</v>
      </c>
      <c r="AG11" s="105">
        <v>970</v>
      </c>
      <c r="AH11" s="85">
        <v>974</v>
      </c>
      <c r="AI11" s="85">
        <v>1018</v>
      </c>
      <c r="AJ11" s="85">
        <v>1050</v>
      </c>
      <c r="AK11" s="85">
        <v>1071</v>
      </c>
      <c r="AL11" s="106">
        <v>1081</v>
      </c>
      <c r="AM11" s="107"/>
      <c r="AN11" s="98"/>
    </row>
    <row r="12" spans="1:40" s="43" customFormat="1" ht="12">
      <c r="A12" s="68" t="s">
        <v>1101</v>
      </c>
      <c r="B12" s="69" t="e">
        <f t="shared" ref="B12:W12" si="72">B11/$E2</f>
        <v>#REF!</v>
      </c>
      <c r="C12" s="69" t="e">
        <f t="shared" si="72"/>
        <v>#REF!</v>
      </c>
      <c r="D12" s="69" t="e">
        <f t="shared" si="72"/>
        <v>#REF!</v>
      </c>
      <c r="E12" s="69" t="e">
        <f t="shared" si="72"/>
        <v>#REF!</v>
      </c>
      <c r="F12" s="69" t="e">
        <f t="shared" si="72"/>
        <v>#REF!</v>
      </c>
      <c r="G12" s="69" t="e">
        <f t="shared" si="72"/>
        <v>#REF!</v>
      </c>
      <c r="H12" s="69" t="e">
        <f t="shared" si="72"/>
        <v>#REF!</v>
      </c>
      <c r="I12" s="69" t="e">
        <f t="shared" si="72"/>
        <v>#REF!</v>
      </c>
      <c r="J12" s="69" t="e">
        <f t="shared" si="72"/>
        <v>#REF!</v>
      </c>
      <c r="K12" s="69" t="e">
        <f t="shared" si="72"/>
        <v>#REF!</v>
      </c>
      <c r="L12" s="69" t="e">
        <f t="shared" si="72"/>
        <v>#REF!</v>
      </c>
      <c r="M12" s="69" t="e">
        <f t="shared" si="72"/>
        <v>#REF!</v>
      </c>
      <c r="N12" s="69" t="e">
        <f t="shared" si="72"/>
        <v>#REF!</v>
      </c>
      <c r="O12" s="69" t="e">
        <f t="shared" si="72"/>
        <v>#REF!</v>
      </c>
      <c r="P12" s="69" t="e">
        <f t="shared" si="72"/>
        <v>#REF!</v>
      </c>
      <c r="Q12" s="69" t="e">
        <f t="shared" si="72"/>
        <v>#REF!</v>
      </c>
      <c r="R12" s="69" t="e">
        <f t="shared" si="72"/>
        <v>#REF!</v>
      </c>
      <c r="S12" s="69" t="e">
        <f t="shared" si="72"/>
        <v>#REF!</v>
      </c>
      <c r="T12" s="69" t="e">
        <f t="shared" si="72"/>
        <v>#REF!</v>
      </c>
      <c r="U12" s="69" t="e">
        <f t="shared" si="72"/>
        <v>#REF!</v>
      </c>
      <c r="V12" s="69" t="e">
        <f t="shared" si="72"/>
        <v>#REF!</v>
      </c>
      <c r="W12" s="69" t="e">
        <f t="shared" si="72"/>
        <v>#REF!</v>
      </c>
      <c r="X12" s="69" t="e">
        <f t="shared" ref="X12:Y12" si="73">X11/$E2</f>
        <v>#REF!</v>
      </c>
      <c r="Y12" s="69" t="e">
        <f t="shared" si="73"/>
        <v>#REF!</v>
      </c>
      <c r="Z12" s="69" t="e">
        <f t="shared" ref="Z12:AA12" si="74">Z11/$E2</f>
        <v>#REF!</v>
      </c>
      <c r="AA12" s="69" t="e">
        <f t="shared" si="74"/>
        <v>#REF!</v>
      </c>
      <c r="AB12" s="69" t="e">
        <f t="shared" ref="AB12:AC12" si="75">AB11/$E2</f>
        <v>#REF!</v>
      </c>
      <c r="AC12" s="69" t="e">
        <f t="shared" si="75"/>
        <v>#REF!</v>
      </c>
      <c r="AD12" s="69" t="e">
        <f t="shared" ref="AD12" si="76">AD11/$E2</f>
        <v>#REF!</v>
      </c>
      <c r="AE12" s="69" t="e">
        <f t="shared" ref="AE12:AJ12" si="77">AE11/$E2</f>
        <v>#REF!</v>
      </c>
      <c r="AF12" s="69" t="e">
        <f t="shared" si="77"/>
        <v>#REF!</v>
      </c>
      <c r="AG12" s="69" t="e">
        <f t="shared" si="77"/>
        <v>#REF!</v>
      </c>
      <c r="AH12" s="69" t="e">
        <f t="shared" si="77"/>
        <v>#REF!</v>
      </c>
      <c r="AI12" s="69" t="e">
        <f t="shared" si="77"/>
        <v>#REF!</v>
      </c>
      <c r="AJ12" s="69" t="e">
        <f t="shared" si="77"/>
        <v>#REF!</v>
      </c>
      <c r="AK12" s="69" t="e">
        <f t="shared" ref="AK12:AL12" si="78">AK11/$E2</f>
        <v>#REF!</v>
      </c>
      <c r="AL12" s="69" t="e">
        <f t="shared" si="78"/>
        <v>#REF!</v>
      </c>
      <c r="AM12" s="108"/>
      <c r="AN12" s="109"/>
    </row>
    <row r="13" spans="1:40" s="44" customFormat="1" ht="12">
      <c r="A13" s="70" t="s">
        <v>1103</v>
      </c>
      <c r="B13" s="71"/>
      <c r="C13" s="71"/>
      <c r="D13" s="71"/>
      <c r="E13" s="71"/>
      <c r="F13" s="71">
        <v>37</v>
      </c>
      <c r="G13" s="71">
        <v>39</v>
      </c>
      <c r="H13" s="71">
        <v>107</v>
      </c>
      <c r="I13" s="71">
        <v>128</v>
      </c>
      <c r="J13" s="71">
        <v>153</v>
      </c>
      <c r="K13" s="71">
        <v>164</v>
      </c>
      <c r="L13" s="71">
        <v>167</v>
      </c>
      <c r="M13" s="71">
        <v>184</v>
      </c>
      <c r="N13" s="71">
        <v>236</v>
      </c>
      <c r="O13" s="71">
        <v>400</v>
      </c>
      <c r="P13" s="71">
        <v>579</v>
      </c>
      <c r="Q13" s="71">
        <v>588</v>
      </c>
      <c r="R13" s="71">
        <v>605</v>
      </c>
      <c r="S13" s="71">
        <v>639</v>
      </c>
      <c r="T13" s="71">
        <v>650</v>
      </c>
      <c r="U13" s="71">
        <v>666</v>
      </c>
      <c r="V13" s="71">
        <v>698</v>
      </c>
      <c r="W13" s="71">
        <v>702</v>
      </c>
      <c r="X13" s="71">
        <v>731</v>
      </c>
      <c r="Y13" s="71">
        <v>797</v>
      </c>
      <c r="Z13" s="71">
        <v>837</v>
      </c>
      <c r="AA13" s="71">
        <v>861</v>
      </c>
      <c r="AB13" s="71">
        <v>867</v>
      </c>
      <c r="AC13" s="71">
        <v>872</v>
      </c>
      <c r="AD13" s="71">
        <v>872</v>
      </c>
      <c r="AE13" s="71">
        <v>872</v>
      </c>
      <c r="AF13" s="86">
        <v>872</v>
      </c>
      <c r="AG13" s="110">
        <v>891</v>
      </c>
      <c r="AH13" s="86">
        <v>894</v>
      </c>
      <c r="AI13" s="86">
        <v>896</v>
      </c>
      <c r="AJ13" s="86">
        <v>906</v>
      </c>
      <c r="AK13" s="86">
        <v>914</v>
      </c>
      <c r="AL13" s="86">
        <v>919</v>
      </c>
      <c r="AM13" s="111"/>
      <c r="AN13" s="112"/>
    </row>
    <row r="14" spans="1:40" s="43" customFormat="1" ht="12">
      <c r="A14" s="72" t="s">
        <v>1104</v>
      </c>
      <c r="B14" s="73"/>
      <c r="C14" s="73"/>
      <c r="D14" s="73"/>
      <c r="E14" s="73"/>
      <c r="F14" s="73" t="e">
        <f>F13/$E2</f>
        <v>#REF!</v>
      </c>
      <c r="G14" s="73" t="e">
        <f t="shared" ref="G14:W14" si="79">G13/$E2</f>
        <v>#REF!</v>
      </c>
      <c r="H14" s="73" t="e">
        <f t="shared" si="79"/>
        <v>#REF!</v>
      </c>
      <c r="I14" s="73" t="e">
        <f t="shared" si="79"/>
        <v>#REF!</v>
      </c>
      <c r="J14" s="73" t="e">
        <f t="shared" si="79"/>
        <v>#REF!</v>
      </c>
      <c r="K14" s="73" t="e">
        <f t="shared" si="79"/>
        <v>#REF!</v>
      </c>
      <c r="L14" s="73" t="e">
        <f t="shared" si="79"/>
        <v>#REF!</v>
      </c>
      <c r="M14" s="73" t="e">
        <f t="shared" si="79"/>
        <v>#REF!</v>
      </c>
      <c r="N14" s="73" t="e">
        <f t="shared" si="79"/>
        <v>#REF!</v>
      </c>
      <c r="O14" s="73" t="e">
        <f t="shared" si="79"/>
        <v>#REF!</v>
      </c>
      <c r="P14" s="73" t="e">
        <f t="shared" si="79"/>
        <v>#REF!</v>
      </c>
      <c r="Q14" s="73" t="e">
        <f t="shared" si="79"/>
        <v>#REF!</v>
      </c>
      <c r="R14" s="73" t="e">
        <f t="shared" si="79"/>
        <v>#REF!</v>
      </c>
      <c r="S14" s="73" t="e">
        <f t="shared" si="79"/>
        <v>#REF!</v>
      </c>
      <c r="T14" s="73" t="e">
        <f t="shared" si="79"/>
        <v>#REF!</v>
      </c>
      <c r="U14" s="73" t="e">
        <f t="shared" si="79"/>
        <v>#REF!</v>
      </c>
      <c r="V14" s="73" t="e">
        <f t="shared" si="79"/>
        <v>#REF!</v>
      </c>
      <c r="W14" s="73" t="e">
        <f t="shared" si="79"/>
        <v>#REF!</v>
      </c>
      <c r="X14" s="73" t="e">
        <f t="shared" ref="X14:Y14" si="80">X13/$E2</f>
        <v>#REF!</v>
      </c>
      <c r="Y14" s="73" t="e">
        <f t="shared" si="80"/>
        <v>#REF!</v>
      </c>
      <c r="Z14" s="73" t="e">
        <f t="shared" ref="Z14:AA14" si="81">Z13/$E2</f>
        <v>#REF!</v>
      </c>
      <c r="AA14" s="73" t="e">
        <f t="shared" si="81"/>
        <v>#REF!</v>
      </c>
      <c r="AB14" s="73" t="e">
        <f t="shared" ref="AB14:AC14" si="82">AB13/$E2</f>
        <v>#REF!</v>
      </c>
      <c r="AC14" s="73" t="e">
        <f t="shared" si="82"/>
        <v>#REF!</v>
      </c>
      <c r="AD14" s="73" t="e">
        <f t="shared" ref="AD14" si="83">AD13/$E2</f>
        <v>#REF!</v>
      </c>
      <c r="AE14" s="73" t="e">
        <f t="shared" ref="AE14:AJ14" si="84">AE13/$E2</f>
        <v>#REF!</v>
      </c>
      <c r="AF14" s="73" t="e">
        <f t="shared" si="84"/>
        <v>#REF!</v>
      </c>
      <c r="AG14" s="73" t="e">
        <f t="shared" si="84"/>
        <v>#REF!</v>
      </c>
      <c r="AH14" s="73" t="e">
        <f t="shared" si="84"/>
        <v>#REF!</v>
      </c>
      <c r="AI14" s="73" t="e">
        <f t="shared" si="84"/>
        <v>#REF!</v>
      </c>
      <c r="AJ14" s="73" t="e">
        <f t="shared" si="84"/>
        <v>#REF!</v>
      </c>
      <c r="AK14" s="73" t="e">
        <f t="shared" ref="AK14:AL14" si="85">AK13/$E2</f>
        <v>#REF!</v>
      </c>
      <c r="AL14" s="73" t="e">
        <f t="shared" si="85"/>
        <v>#REF!</v>
      </c>
      <c r="AM14" s="113"/>
      <c r="AN14" s="109"/>
    </row>
    <row r="15" spans="1:40">
      <c r="A15" s="74"/>
      <c r="B15" s="75"/>
      <c r="C15" s="75"/>
      <c r="D15" s="75"/>
      <c r="E15" s="75"/>
      <c r="F15" s="75"/>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114"/>
      <c r="AJ15" s="114"/>
      <c r="AK15" s="114"/>
      <c r="AL15" s="115"/>
      <c r="AM15" s="75"/>
    </row>
    <row r="22" spans="22:22">
      <c r="V22" s="84"/>
    </row>
  </sheetData>
  <mergeCells count="4">
    <mergeCell ref="A4:A5"/>
    <mergeCell ref="A9:A10"/>
    <mergeCell ref="AB1:AB2"/>
    <mergeCell ref="AM1:AM2"/>
  </mergeCells>
  <pageMargins left="0.7" right="0.7" top="0.75" bottom="0.75" header="0.3" footer="0.3"/>
  <pageSetup orientation="portrait" r:id="rId1"/>
  <headerFooter>
    <oddHeader>&amp;L&amp;"Arial"&amp;10&amp;K0000FF[AMD Official Use Only]&amp;1#</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X117"/>
  <sheetViews>
    <sheetView workbookViewId="0">
      <pane xSplit="4" ySplit="6" topLeftCell="G7" activePane="bottomRight" state="frozen"/>
      <selection pane="topRight"/>
      <selection pane="bottomLeft"/>
      <selection pane="bottomRight" activeCell="O2" sqref="O2:O3"/>
    </sheetView>
  </sheetViews>
  <sheetFormatPr defaultColWidth="8.42578125" defaultRowHeight="15"/>
  <cols>
    <col min="1" max="1" width="19.42578125" style="121" customWidth="1"/>
    <col min="2" max="2" width="44.140625" style="122" customWidth="1"/>
    <col min="3" max="3" width="9.85546875" style="122" customWidth="1"/>
    <col min="4" max="4" width="17.28515625" style="121" customWidth="1"/>
    <col min="5" max="5" width="14.140625" style="122" customWidth="1"/>
    <col min="6" max="6" width="11.140625" style="122" customWidth="1"/>
    <col min="7" max="7" width="11.28515625" style="122" customWidth="1"/>
    <col min="8" max="8" width="14.28515625" style="122" customWidth="1"/>
    <col min="9" max="9" width="8.28515625" style="123" customWidth="1"/>
    <col min="10" max="10" width="20" style="123" customWidth="1"/>
    <col min="11" max="11" width="13.140625" style="124" customWidth="1"/>
    <col min="12" max="12" width="15.140625" style="124" customWidth="1"/>
    <col min="13" max="13" width="12" style="125" customWidth="1"/>
    <col min="14" max="14" width="10.85546875" style="125" customWidth="1"/>
    <col min="15" max="15" width="13.42578125" style="124" customWidth="1"/>
    <col min="16" max="16" width="12.85546875" style="126" customWidth="1"/>
    <col min="17" max="17" width="10.85546875" style="126" customWidth="1"/>
    <col min="18" max="19" width="13.42578125" style="127" customWidth="1"/>
    <col min="20" max="20" width="13.85546875" style="128" customWidth="1"/>
    <col min="21" max="21" width="10.85546875" style="121" customWidth="1"/>
    <col min="22" max="22" width="27.5703125" style="121" customWidth="1"/>
    <col min="23" max="23" width="30.28515625" style="121" customWidth="1"/>
    <col min="24" max="24" width="25.42578125" style="121" customWidth="1"/>
    <col min="25" max="16384" width="8.42578125" style="121"/>
  </cols>
  <sheetData>
    <row r="1" spans="1:24" s="116" customFormat="1" ht="19.5" thickBot="1">
      <c r="A1" s="599" t="s">
        <v>1105</v>
      </c>
      <c r="B1" s="600"/>
      <c r="C1" s="600"/>
      <c r="D1" s="600"/>
      <c r="E1" s="600"/>
      <c r="F1" s="600"/>
      <c r="G1" s="600"/>
      <c r="H1" s="600"/>
      <c r="I1" s="600"/>
      <c r="J1" s="600"/>
      <c r="K1" s="600"/>
      <c r="L1" s="600"/>
      <c r="M1" s="600"/>
      <c r="N1" s="600"/>
      <c r="O1" s="600"/>
      <c r="P1" s="600"/>
      <c r="Q1" s="600"/>
      <c r="R1" s="600"/>
      <c r="S1" s="600"/>
      <c r="T1" s="600"/>
      <c r="U1" s="601"/>
      <c r="V1" s="164"/>
    </row>
    <row r="2" spans="1:24" s="117" customFormat="1" ht="18.75">
      <c r="A2" s="593" t="s">
        <v>247</v>
      </c>
      <c r="B2" s="594"/>
      <c r="C2" s="594"/>
      <c r="D2" s="594"/>
      <c r="E2" s="594"/>
      <c r="F2" s="595"/>
      <c r="G2" s="129">
        <f>COUNTIF(G7:G112,"Yes")</f>
        <v>91</v>
      </c>
      <c r="H2" s="129">
        <f>COUNTIF(H7:H112,"Yes")</f>
        <v>77</v>
      </c>
      <c r="I2" s="656">
        <f>'Diags Raw Data'!K288</f>
        <v>279</v>
      </c>
      <c r="J2" s="631">
        <f>'Diags Raw Data'!L288</f>
        <v>279</v>
      </c>
      <c r="K2" s="635">
        <f>'Diags Raw Data'!N288</f>
        <v>0.97491039426523296</v>
      </c>
      <c r="L2" s="658">
        <f>'Diags Raw Data'!P288</f>
        <v>0.82437275985663083</v>
      </c>
      <c r="M2" s="621">
        <f>'Diags Raw Data'!R288</f>
        <v>229</v>
      </c>
      <c r="N2" s="625">
        <f>SUM('Diags Raw Data'!T288+'Diags Raw Data'!U288)</f>
        <v>125</v>
      </c>
      <c r="O2" s="660">
        <f>IF((M115=0),0,N115/M115)</f>
        <v>0.54585152838427953</v>
      </c>
      <c r="P2" s="611">
        <f>'Diags Raw Data'!Z288</f>
        <v>0</v>
      </c>
      <c r="Q2" s="615">
        <f>SUM('Diags Raw Data'!AA288+'Diags Raw Data'!AB288)</f>
        <v>0</v>
      </c>
      <c r="R2" s="607">
        <f>IF((J115=0),0,P115/J115)</f>
        <v>0</v>
      </c>
      <c r="S2" s="607">
        <f>IF((P115=0),0,Q115/P115)</f>
        <v>0</v>
      </c>
      <c r="T2" s="607">
        <f>R115*S115</f>
        <v>0</v>
      </c>
      <c r="U2" s="662"/>
      <c r="V2" s="639" t="s">
        <v>1106</v>
      </c>
      <c r="W2" s="640"/>
      <c r="X2" s="641"/>
    </row>
    <row r="3" spans="1:24" ht="19.5" thickBot="1">
      <c r="A3" s="596"/>
      <c r="B3" s="597"/>
      <c r="C3" s="597"/>
      <c r="D3" s="597"/>
      <c r="E3" s="597"/>
      <c r="F3" s="598"/>
      <c r="G3" s="130">
        <f>COUNTIF(G7:G112,"Yes")/COUNTA(A7:A112)</f>
        <v>0.8666666666666667</v>
      </c>
      <c r="H3" s="130">
        <f>(COUNTIF(H7:H112,"Yes")/G115)</f>
        <v>0.84615384615384615</v>
      </c>
      <c r="I3" s="657"/>
      <c r="J3" s="632"/>
      <c r="K3" s="636"/>
      <c r="L3" s="659"/>
      <c r="M3" s="622"/>
      <c r="N3" s="626"/>
      <c r="O3" s="661"/>
      <c r="P3" s="612"/>
      <c r="Q3" s="616"/>
      <c r="R3" s="608"/>
      <c r="S3" s="608"/>
      <c r="T3" s="608"/>
      <c r="U3" s="663"/>
      <c r="V3" s="642"/>
      <c r="W3" s="643"/>
      <c r="X3" s="644"/>
    </row>
    <row r="4" spans="1:24" ht="19.5" thickBot="1">
      <c r="A4" s="602" t="s">
        <v>1107</v>
      </c>
      <c r="B4" s="603"/>
      <c r="C4" s="603"/>
      <c r="D4" s="603"/>
      <c r="E4" s="603"/>
      <c r="F4" s="603"/>
      <c r="G4" s="603"/>
      <c r="H4" s="603"/>
      <c r="I4" s="603"/>
      <c r="J4" s="603"/>
      <c r="K4" s="603"/>
      <c r="L4" s="603"/>
      <c r="M4" s="603"/>
      <c r="N4" s="603"/>
      <c r="O4" s="603"/>
      <c r="P4" s="603"/>
      <c r="Q4" s="603"/>
      <c r="R4" s="603"/>
      <c r="S4" s="603"/>
      <c r="T4" s="603"/>
      <c r="U4" s="604"/>
      <c r="V4" s="166"/>
    </row>
    <row r="5" spans="1:24" s="116" customFormat="1" ht="31.5" customHeight="1" thickBot="1">
      <c r="A5" s="645" t="s">
        <v>71</v>
      </c>
      <c r="B5" s="646"/>
      <c r="C5" s="646"/>
      <c r="D5" s="646"/>
      <c r="E5" s="646"/>
      <c r="F5" s="646"/>
      <c r="G5" s="646"/>
      <c r="H5" s="646"/>
      <c r="I5" s="646"/>
      <c r="J5" s="647"/>
      <c r="K5" s="648" t="s">
        <v>108</v>
      </c>
      <c r="L5" s="649"/>
      <c r="M5" s="650" t="s">
        <v>119</v>
      </c>
      <c r="N5" s="651"/>
      <c r="O5" s="652"/>
      <c r="P5" s="653" t="s">
        <v>139</v>
      </c>
      <c r="Q5" s="654"/>
      <c r="R5" s="654"/>
      <c r="S5" s="654"/>
      <c r="T5" s="654"/>
      <c r="U5" s="655"/>
      <c r="V5" s="164"/>
    </row>
    <row r="6" spans="1:24" s="118" customFormat="1" ht="30.75" thickBot="1">
      <c r="A6" s="131" t="s">
        <v>72</v>
      </c>
      <c r="B6" s="132" t="s">
        <v>76</v>
      </c>
      <c r="C6" s="132" t="s">
        <v>91</v>
      </c>
      <c r="D6" s="132" t="s">
        <v>207</v>
      </c>
      <c r="E6" s="132" t="s">
        <v>83</v>
      </c>
      <c r="F6" s="132" t="s">
        <v>1</v>
      </c>
      <c r="G6" s="133" t="s">
        <v>210</v>
      </c>
      <c r="H6" s="133" t="s">
        <v>213</v>
      </c>
      <c r="I6" s="143" t="s">
        <v>100</v>
      </c>
      <c r="J6" s="143" t="s">
        <v>216</v>
      </c>
      <c r="K6" s="144" t="s">
        <v>109</v>
      </c>
      <c r="L6" s="145" t="s">
        <v>116</v>
      </c>
      <c r="M6" s="146" t="s">
        <v>222</v>
      </c>
      <c r="N6" s="147" t="s">
        <v>224</v>
      </c>
      <c r="O6" s="148" t="s">
        <v>182</v>
      </c>
      <c r="P6" s="149" t="s">
        <v>227</v>
      </c>
      <c r="Q6" s="167" t="s">
        <v>224</v>
      </c>
      <c r="R6" s="168" t="s">
        <v>179</v>
      </c>
      <c r="S6" s="168" t="s">
        <v>135</v>
      </c>
      <c r="T6" s="169" t="s">
        <v>182</v>
      </c>
      <c r="U6" s="170" t="s">
        <v>152</v>
      </c>
      <c r="V6" s="483" t="s">
        <v>1108</v>
      </c>
      <c r="W6" s="484" t="s">
        <v>1109</v>
      </c>
      <c r="X6" s="484" t="s">
        <v>1110</v>
      </c>
    </row>
    <row r="7" spans="1:24" ht="30.75" thickBot="1">
      <c r="A7" s="134" t="s">
        <v>484</v>
      </c>
      <c r="B7" s="135" t="str">
        <f>VLOOKUP(A7,'Feature Raw Data'!$A$3:$B$3923,2,FALSE)</f>
        <v>Remote doorbell and doorbell remapping</v>
      </c>
      <c r="C7" s="136" t="str">
        <f>VLOOKUP(A7,'Feature Raw Data'!$A$3:$C$3923,3,FALSE)</f>
        <v>P1</v>
      </c>
      <c r="D7" s="141" t="str">
        <f t="array" ref="D7">_xlfn.TEXTJOIN("",TRUE,IF(ISNUMBER(SEARCH($A7,'Diags Raw Data'!$A$6:$A$3898)),CONCATENATE('Diags Raw Data'!$H$6:$H$3898,", "),""))</f>
        <v xml:space="preserve">AG011.001, AG011.002, </v>
      </c>
      <c r="E7" s="138" t="str">
        <f>VLOOKUP(A7,'Diags Raw Data'!$A$6:$D$3898,4,FALSE)</f>
        <v>nBIF</v>
      </c>
      <c r="F7" s="138" t="str">
        <f>VLOOKUP(A7,'Feature Raw Data'!$A$3:$E$3923,5,FALSE)</f>
        <v>Delta</v>
      </c>
      <c r="G7" s="499" t="s">
        <v>31</v>
      </c>
      <c r="H7" s="138" t="str">
        <f t="shared" ref="H7:H37" si="0">IF(D7="","No","Yes")</f>
        <v>Yes</v>
      </c>
      <c r="I7" s="136">
        <f>SUMIF('Diags Raw Data'!$A$6:$A$3898,"*"&amp;$A7&amp;"*",'Diags Raw Data'!$K$6:$K$3898)</f>
        <v>2</v>
      </c>
      <c r="J7" s="150">
        <f>SUMIF('Diags Raw Data'!$A$6:$A$3898,"*"&amp;$A7&amp;"*",'Diags Raw Data'!$L$6:$L$3898)</f>
        <v>2</v>
      </c>
      <c r="K7" s="151">
        <f t="array" ref="K7">IF(D7="",0,SUMPRODUCT(--(ISNUMBER(SEARCH($A7,'Diags Raw Data'!$A$6:$A$3898))),'Diags Raw Data'!$L$6:$L$3898,'Diags Raw Data'!$N$6:$N$3898)/J7)</f>
        <v>1</v>
      </c>
      <c r="L7" s="152">
        <f t="array" ref="L7">IF(D7="",0,SUMPRODUCT(--(ISNUMBER(SEARCH($A7,'Diags Raw Data'!$A$6:$A$3898))),'Diags Raw Data'!$L$6:$L$3898,'Diags Raw Data'!$P$6:$P$3898)/J7)</f>
        <v>1</v>
      </c>
      <c r="M7" s="153">
        <f t="array" ref="M7">SUMPRODUCT(--(ISNUMBER(SEARCH($A7,'Diags Raw Data'!$A$6:$A$3898))),--('Diags Raw Data'!$Q$6:$Q$3898&lt;&gt;"N/A"),'Diags Raw Data'!$R$6:$R$3898)</f>
        <v>2</v>
      </c>
      <c r="N7" s="154">
        <f t="array" ref="N7">SUMPRODUCT(--(ISNUMBER(SEARCH($A7,'Diags Raw Data'!$A$6:$A$3898))),--('Diags Raw Data'!$Q$6:$Q$3898&lt;&gt;"N/A"),'Diags Raw Data'!$T$6:$T$3898)+SUMPRODUCT(--(ISNUMBER(SEARCH($A7,'Diags Raw Data'!$A$6:$A$3898))),--('Diags Raw Data'!$Q$6:$Q$3898&lt;&gt;"N/A"),'Diags Raw Data'!$U$6:$U$3898)</f>
        <v>0</v>
      </c>
      <c r="O7" s="155">
        <f t="shared" ref="O7:O37" si="1">IF((M7=0),0,N7/M7)</f>
        <v>0</v>
      </c>
      <c r="P7" s="156">
        <f>SUMIF('Diags Raw Data'!$A$6:$A$3898,"*"&amp;$A7&amp;"*",'Diags Raw Data'!$Z$6:$Z$3898)</f>
        <v>0</v>
      </c>
      <c r="Q7" s="171">
        <f>SUM(SUMIF('Diags Raw Data'!$A$6:$A$3898,"*"&amp;$A7&amp;"*",'Diags Raw Data'!$AA$6:$AA$3898),SUMIF('Diags Raw Data'!$A$6:$A$3898,"*"&amp;$A7&amp;"*",'Diags Raw Data'!$AB$6:$AB$3898))</f>
        <v>0</v>
      </c>
      <c r="R7" s="488">
        <f t="shared" ref="R7:R37" si="2">IF((J7=0),0,P7/J7)</f>
        <v>0</v>
      </c>
      <c r="S7" s="488">
        <f t="shared" ref="S7:S37" si="3">IF((P7=0),0,Q7/P7)</f>
        <v>0</v>
      </c>
      <c r="T7" s="489">
        <f t="shared" ref="T7:T37" si="4">R7*S7</f>
        <v>0</v>
      </c>
      <c r="U7" s="175"/>
      <c r="V7" s="166"/>
      <c r="W7" s="500"/>
    </row>
    <row r="8" spans="1:24" ht="30.75" thickBot="1">
      <c r="A8" s="134" t="s">
        <v>491</v>
      </c>
      <c r="B8" s="139" t="str">
        <f>VLOOKUP(A8,'Feature Raw Data'!$A$3:$B$3923,2,FALSE)</f>
        <v>Early response and block doorbell per client</v>
      </c>
      <c r="C8" s="140" t="str">
        <f>VLOOKUP(A8,'Feature Raw Data'!$A$3:$C$3923,3,FALSE)</f>
        <v>P2</v>
      </c>
      <c r="D8" s="141" t="str">
        <f t="array" ref="D8">_xlfn.TEXTJOIN("",TRUE,IF(ISNUMBER(SEARCH($A8,'Diags Raw Data'!$A$6:$A$3898)),CONCATENATE('Diags Raw Data'!$H$6:$H$3898,", "),""))</f>
        <v xml:space="preserve">AG011.003, AG011.004, </v>
      </c>
      <c r="E8" s="142" t="str">
        <f>VLOOKUP(A8,'Diags Raw Data'!$A$6:$D$3898,4,FALSE)</f>
        <v>nBIF</v>
      </c>
      <c r="F8" s="142" t="str">
        <f>VLOOKUP(A8,'Feature Raw Data'!$A$3:$E$3923,5,FALSE)</f>
        <v>Delta</v>
      </c>
      <c r="G8" s="142" t="str">
        <f t="shared" ref="G8:G15" si="5">IF(D8="","No","Yes")</f>
        <v>Yes</v>
      </c>
      <c r="H8" s="142" t="str">
        <f t="shared" si="0"/>
        <v>Yes</v>
      </c>
      <c r="I8" s="140">
        <f>SUMIF('Diags Raw Data'!$A$6:$A$3898,"*"&amp;$A8&amp;"*",'Diags Raw Data'!$K$6:$K$3898)</f>
        <v>2</v>
      </c>
      <c r="J8" s="157">
        <f>SUMIF('Diags Raw Data'!$A$6:$A$3898,"*"&amp;$A8&amp;"*",'Diags Raw Data'!$L$6:$L$3898)</f>
        <v>2</v>
      </c>
      <c r="K8" s="158">
        <f t="array" ref="K8">IF(D8="",0,SUMPRODUCT(--(ISNUMBER(SEARCH($A8,'Diags Raw Data'!$A$6:$A$3898))),'Diags Raw Data'!$L$6:$L$3898,'Diags Raw Data'!$N$6:$N$3898)/J8)</f>
        <v>1</v>
      </c>
      <c r="L8" s="159">
        <f t="array" ref="L8">IF(D8="",0,SUMPRODUCT(--(ISNUMBER(SEARCH($A8,'Diags Raw Data'!$A$6:$A$3898))),'Diags Raw Data'!$L$6:$L$3898,'Diags Raw Data'!$P$6:$P$3898)/J8)</f>
        <v>1</v>
      </c>
      <c r="M8" s="160">
        <f t="array" ref="M8">SUMPRODUCT(--(ISNUMBER(SEARCH($A8,'Diags Raw Data'!$A$6:$A$3898))),--('Diags Raw Data'!$Q$6:$Q$3898&lt;&gt;"N/A"),'Diags Raw Data'!$R$6:$R$3898)</f>
        <v>2</v>
      </c>
      <c r="N8" s="161">
        <f t="array" ref="N8">SUMPRODUCT(--(ISNUMBER(SEARCH($A8,'Diags Raw Data'!$A$6:$A$3898))),--('Diags Raw Data'!$Q$6:$Q$3898&lt;&gt;"N/A"),'Diags Raw Data'!$T$6:$T$3898)+SUMPRODUCT(--(ISNUMBER(SEARCH($A8,'Diags Raw Data'!$A$6:$A$3898))),--('Diags Raw Data'!$Q$6:$Q$3898&lt;&gt;"N/A"),'Diags Raw Data'!$U$6:$U$3898)</f>
        <v>0</v>
      </c>
      <c r="O8" s="162">
        <f t="shared" si="1"/>
        <v>0</v>
      </c>
      <c r="P8" s="163">
        <f>SUMIF('Diags Raw Data'!$A$6:$A$3898,"*"&amp;$A8&amp;"*",'Diags Raw Data'!$Z$6:$Z$3898)</f>
        <v>0</v>
      </c>
      <c r="Q8" s="172">
        <f>SUM(SUMIF('Diags Raw Data'!$A$6:$A$3898,"*"&amp;$A8&amp;"*",'Diags Raw Data'!$AA$6:$AA$3898),SUMIF('Diags Raw Data'!$A$6:$A$3898,"*"&amp;$A8&amp;"*",'Diags Raw Data'!$AB$6:$AB$3898))</f>
        <v>0</v>
      </c>
      <c r="R8" s="173">
        <f t="shared" si="2"/>
        <v>0</v>
      </c>
      <c r="S8" s="173">
        <f t="shared" si="3"/>
        <v>0</v>
      </c>
      <c r="T8" s="174">
        <f t="shared" si="4"/>
        <v>0</v>
      </c>
      <c r="U8" s="175"/>
      <c r="V8" s="166"/>
    </row>
    <row r="9" spans="1:24" ht="45">
      <c r="A9" s="134" t="s">
        <v>925</v>
      </c>
      <c r="B9" s="139" t="str">
        <f>VLOOKUP(A9,'Feature Raw Data'!$A$3:$B$3923,2,FALSE)</f>
        <v>Hot-Plug Detect PME in D3 State for GFX Function</v>
      </c>
      <c r="C9" s="140" t="str">
        <f>VLOOKUP(A9,'Feature Raw Data'!$A$3:$C$3923,3,FALSE)</f>
        <v>P2</v>
      </c>
      <c r="D9" s="141" t="str">
        <f t="array" ref="D9">_xlfn.TEXTJOIN("",TRUE,IF(ISNUMBER(SEARCH($A9,'Diags Raw Data'!$A$6:$A$3898)),CONCATENATE('Diags Raw Data'!$H$6:$H$3898,", "),""))</f>
        <v xml:space="preserve">AG120.001, </v>
      </c>
      <c r="E9" s="142" t="str">
        <f>VLOOKUP(A9,'Diags Raw Data'!$A$6:$D$3898,4,FALSE)</f>
        <v>nBIF</v>
      </c>
      <c r="F9" s="142" t="str">
        <f>VLOOKUP(A9,'Feature Raw Data'!$A$3:$E$3923,5,FALSE)</f>
        <v>Delta</v>
      </c>
      <c r="G9" s="142" t="s">
        <v>31</v>
      </c>
      <c r="H9" s="142" t="str">
        <f t="shared" si="0"/>
        <v>Yes</v>
      </c>
      <c r="I9" s="140">
        <f>SUMIF('Diags Raw Data'!$A$6:$A$3898,"*"&amp;$A9&amp;"*",'Diags Raw Data'!$K$6:$K$3898)</f>
        <v>1</v>
      </c>
      <c r="J9" s="157">
        <f>SUMIF('Diags Raw Data'!$A$6:$A$3898,"*"&amp;$A9&amp;"*",'Diags Raw Data'!$L$6:$L$3898)</f>
        <v>1</v>
      </c>
      <c r="K9" s="158">
        <f t="array" ref="K9">IF(D9="",0,SUMPRODUCT(--(ISNUMBER(SEARCH($A9,'Diags Raw Data'!$A$6:$A$3898))),'Diags Raw Data'!$L$6:$L$3898,'Diags Raw Data'!$N$6:$N$3898)/J9)</f>
        <v>1</v>
      </c>
      <c r="L9" s="159">
        <f t="array" ref="L9">IF(D9="",0,SUMPRODUCT(--(ISNUMBER(SEARCH($A9,'Diags Raw Data'!$A$6:$A$3898))),'Diags Raw Data'!$L$6:$L$3898,'Diags Raw Data'!$P$6:$P$3898)/J9)</f>
        <v>0</v>
      </c>
      <c r="M9" s="160">
        <f t="array" ref="M9">SUMPRODUCT(--(ISNUMBER(SEARCH($A9,'Diags Raw Data'!$A$6:$A$3898))),--('Diags Raw Data'!$Q$6:$Q$3898&lt;&gt;"N/A"),'Diags Raw Data'!$R$6:$R$3898)</f>
        <v>0</v>
      </c>
      <c r="N9" s="161">
        <f t="array" ref="N9">SUMPRODUCT(--(ISNUMBER(SEARCH($A9,'Diags Raw Data'!$A$6:$A$3898))),--('Diags Raw Data'!$Q$6:$Q$3898&lt;&gt;"N/A"),'Diags Raw Data'!$T$6:$T$3898)+SUMPRODUCT(--(ISNUMBER(SEARCH($A9,'Diags Raw Data'!$A$6:$A$3898))),--('Diags Raw Data'!$Q$6:$Q$3898&lt;&gt;"N/A"),'Diags Raw Data'!$U$6:$U$3898)</f>
        <v>0</v>
      </c>
      <c r="O9" s="162">
        <f t="shared" si="1"/>
        <v>0</v>
      </c>
      <c r="P9" s="163">
        <f>SUMIF('Diags Raw Data'!$A$6:$A$3898,"*"&amp;$A9&amp;"*",'Diags Raw Data'!$Z$6:$Z$3898)</f>
        <v>0</v>
      </c>
      <c r="Q9" s="172">
        <f>SUM(SUMIF('Diags Raw Data'!$A$6:$A$3898,"*"&amp;$A9&amp;"*",'Diags Raw Data'!$AA$6:$AA$3898),SUMIF('Diags Raw Data'!$A$6:$A$3898,"*"&amp;$A9&amp;"*",'Diags Raw Data'!$AB$6:$AB$3898))</f>
        <v>0</v>
      </c>
      <c r="R9" s="173">
        <f t="shared" si="2"/>
        <v>0</v>
      </c>
      <c r="S9" s="173">
        <f t="shared" si="3"/>
        <v>0</v>
      </c>
      <c r="T9" s="174">
        <f t="shared" si="4"/>
        <v>0</v>
      </c>
      <c r="U9" s="175"/>
      <c r="V9" s="179"/>
      <c r="W9" s="121" t="s">
        <v>1111</v>
      </c>
    </row>
    <row r="10" spans="1:24" ht="45">
      <c r="A10" s="134" t="s">
        <v>929</v>
      </c>
      <c r="B10" s="139" t="str">
        <f>VLOOKUP(A10,'Feature Raw Data'!$A$3:$B$3923,2,FALSE)</f>
        <v>Scandump Over MMIO Support</v>
      </c>
      <c r="C10" s="140" t="str">
        <f>VLOOKUP(A10,'Feature Raw Data'!$A$3:$C$3923,3,FALSE)</f>
        <v>P2</v>
      </c>
      <c r="D10" s="141" t="str">
        <f t="array" ref="D10">_xlfn.TEXTJOIN("",TRUE,IF(ISNUMBER(SEARCH($A10,'Diags Raw Data'!$A$6:$A$3898)),CONCATENATE('Diags Raw Data'!$H$6:$H$3898,", "),""))</f>
        <v xml:space="preserve">AG121.001, </v>
      </c>
      <c r="E10" s="142" t="str">
        <f>VLOOKUP(A10,'Diags Raw Data'!$A$6:$D$3898,4,FALSE)</f>
        <v>nBIF</v>
      </c>
      <c r="F10" s="142" t="str">
        <f>VLOOKUP(A10,'Feature Raw Data'!$A$3:$E$3923,5,FALSE)</f>
        <v>New</v>
      </c>
      <c r="G10" s="142" t="s">
        <v>31</v>
      </c>
      <c r="H10" s="142" t="str">
        <f t="shared" si="0"/>
        <v>Yes</v>
      </c>
      <c r="I10" s="140">
        <f>SUMIF('Diags Raw Data'!$A$6:$A$3898,"*"&amp;$A10&amp;"*",'Diags Raw Data'!$K$6:$K$3898)</f>
        <v>1</v>
      </c>
      <c r="J10" s="157">
        <f>SUMIF('Diags Raw Data'!$A$6:$A$3898,"*"&amp;$A10&amp;"*",'Diags Raw Data'!$L$6:$L$3898)</f>
        <v>1</v>
      </c>
      <c r="K10" s="158">
        <f t="array" ref="K10">IF(D10="",0,SUMPRODUCT(--(ISNUMBER(SEARCH($A10,'Diags Raw Data'!$A$6:$A$3898))),'Diags Raw Data'!$L$6:$L$3898,'Diags Raw Data'!$N$6:$N$3898)/J10)</f>
        <v>1</v>
      </c>
      <c r="L10" s="159">
        <f t="array" ref="L10">IF(D10="",0,SUMPRODUCT(--(ISNUMBER(SEARCH($A10,'Diags Raw Data'!$A$6:$A$3898))),'Diags Raw Data'!$L$6:$L$3898,'Diags Raw Data'!$P$6:$P$3898)/J10)</f>
        <v>0</v>
      </c>
      <c r="M10" s="160">
        <f t="array" ref="M10">SUMPRODUCT(--(ISNUMBER(SEARCH($A10,'Diags Raw Data'!$A$6:$A$3898))),--('Diags Raw Data'!$Q$6:$Q$3898&lt;&gt;"N/A"),'Diags Raw Data'!$R$6:$R$3898)</f>
        <v>0</v>
      </c>
      <c r="N10" s="161">
        <f t="array" ref="N10">SUMPRODUCT(--(ISNUMBER(SEARCH($A10,'Diags Raw Data'!$A$6:$A$3898))),--('Diags Raw Data'!$Q$6:$Q$3898&lt;&gt;"N/A"),'Diags Raw Data'!$T$6:$T$3898)+SUMPRODUCT(--(ISNUMBER(SEARCH($A10,'Diags Raw Data'!$A$6:$A$3898))),--('Diags Raw Data'!$Q$6:$Q$3898&lt;&gt;"N/A"),'Diags Raw Data'!$U$6:$U$3898)</f>
        <v>0</v>
      </c>
      <c r="O10" s="162">
        <f t="shared" si="1"/>
        <v>0</v>
      </c>
      <c r="P10" s="163">
        <f>SUMIF('Diags Raw Data'!$A$6:$A$3898,"*"&amp;$A10&amp;"*",'Diags Raw Data'!$Z$6:$Z$3898)</f>
        <v>0</v>
      </c>
      <c r="Q10" s="172">
        <f>SUM(SUMIF('Diags Raw Data'!$A$6:$A$3898,"*"&amp;$A10&amp;"*",'Diags Raw Data'!$AA$6:$AA$3898),SUMIF('Diags Raw Data'!$A$6:$A$3898,"*"&amp;$A10&amp;"*",'Diags Raw Data'!$AB$6:$AB$3898))</f>
        <v>0</v>
      </c>
      <c r="R10" s="173">
        <f t="shared" si="2"/>
        <v>0</v>
      </c>
      <c r="S10" s="173">
        <f t="shared" si="3"/>
        <v>0</v>
      </c>
      <c r="T10" s="174">
        <f t="shared" si="4"/>
        <v>0</v>
      </c>
      <c r="U10" s="175"/>
      <c r="V10" s="166"/>
      <c r="W10" s="121" t="s">
        <v>1112</v>
      </c>
    </row>
    <row r="11" spans="1:24" ht="77.099999999999994" customHeight="1">
      <c r="A11" s="134" t="s">
        <v>951</v>
      </c>
      <c r="B11" s="139" t="str">
        <f>VLOOKUP(A11,'Feature Raw Data'!$A$3:$B$3923,2,FALSE)</f>
        <v>GUI flush merge sequence</v>
      </c>
      <c r="C11" s="140" t="str">
        <f>VLOOKUP(A11,'Feature Raw Data'!$A$3:$C$3923,3,FALSE)</f>
        <v>P2</v>
      </c>
      <c r="D11" s="141" t="str">
        <f t="array" ref="D11">_xlfn.TEXTJOIN("",TRUE,IF(ISNUMBER(SEARCH($A11,'Diags Raw Data'!$A$6:$A$3898)),CONCATENATE('Diags Raw Data'!$H$6:$H$3898,", "),""))</f>
        <v/>
      </c>
      <c r="E11" s="142" t="e">
        <f>VLOOKUP(A11,'Diags Raw Data'!$A$6:$D$3898,4,FALSE)</f>
        <v>#N/A</v>
      </c>
      <c r="F11" s="142" t="str">
        <f>VLOOKUP(A11,'Feature Raw Data'!$A$3:$E$3923,5,FALSE)</f>
        <v>Delta</v>
      </c>
      <c r="G11" s="142" t="s">
        <v>31</v>
      </c>
      <c r="H11" s="142" t="str">
        <f t="shared" si="0"/>
        <v>No</v>
      </c>
      <c r="I11" s="140">
        <f>SUMIF('Diags Raw Data'!$A$6:$A$3898,"*"&amp;$A11&amp;"*",'Diags Raw Data'!$K$6:$K$3898)</f>
        <v>0</v>
      </c>
      <c r="J11" s="157">
        <f>SUMIF('Diags Raw Data'!$A$6:$A$3898,"*"&amp;$A11&amp;"*",'Diags Raw Data'!$L$6:$L$3898)</f>
        <v>0</v>
      </c>
      <c r="K11" s="158">
        <f t="array" ref="K11">IF(D11="",0,SUMPRODUCT(--(ISNUMBER(SEARCH($A11,'Diags Raw Data'!$A$6:$A$3898))),'Diags Raw Data'!$L$6:$L$3898,'Diags Raw Data'!$N$6:$N$3898)/J11)</f>
        <v>0</v>
      </c>
      <c r="L11" s="159">
        <f t="array" ref="L11">IF(D11="",0,SUMPRODUCT(--(ISNUMBER(SEARCH($A11,'Diags Raw Data'!$A$6:$A$3898))),'Diags Raw Data'!$L$6:$L$3898,'Diags Raw Data'!$P$6:$P$3898)/J11)</f>
        <v>0</v>
      </c>
      <c r="M11" s="160">
        <f t="array" ref="M11">SUMPRODUCT(--(ISNUMBER(SEARCH($A11,'Diags Raw Data'!$A$6:$A$3898))),--('Diags Raw Data'!$Q$6:$Q$3898&lt;&gt;"N/A"),'Diags Raw Data'!$R$6:$R$3898)</f>
        <v>0</v>
      </c>
      <c r="N11" s="161">
        <f t="array" ref="N11">SUMPRODUCT(--(ISNUMBER(SEARCH($A11,'Diags Raw Data'!$A$6:$A$3898))),--('Diags Raw Data'!$Q$6:$Q$3898&lt;&gt;"N/A"),'Diags Raw Data'!$T$6:$T$3898)+SUMPRODUCT(--(ISNUMBER(SEARCH($A11,'Diags Raw Data'!$A$6:$A$3898))),--('Diags Raw Data'!$Q$6:$Q$3898&lt;&gt;"N/A"),'Diags Raw Data'!$U$6:$U$3898)</f>
        <v>0</v>
      </c>
      <c r="O11" s="162">
        <f t="shared" si="1"/>
        <v>0</v>
      </c>
      <c r="P11" s="163">
        <f>SUMIF('Diags Raw Data'!$A$6:$A$3898,"*"&amp;$A11&amp;"*",'Diags Raw Data'!$Z$6:$Z$3898)</f>
        <v>0</v>
      </c>
      <c r="Q11" s="172">
        <f>SUM(SUMIF('Diags Raw Data'!$A$6:$A$3898,"*"&amp;$A11&amp;"*",'Diags Raw Data'!$AA$6:$AA$3898),SUMIF('Diags Raw Data'!$A$6:$A$3898,"*"&amp;$A11&amp;"*",'Diags Raw Data'!$AB$6:$AB$3898))</f>
        <v>0</v>
      </c>
      <c r="R11" s="173">
        <f t="shared" si="2"/>
        <v>0</v>
      </c>
      <c r="S11" s="173">
        <f t="shared" si="3"/>
        <v>0</v>
      </c>
      <c r="T11" s="174">
        <f t="shared" si="4"/>
        <v>0</v>
      </c>
      <c r="U11" s="175"/>
      <c r="V11" s="166"/>
      <c r="W11" s="121" t="s">
        <v>1111</v>
      </c>
    </row>
    <row r="12" spans="1:24" ht="77.099999999999994" customHeight="1">
      <c r="A12" s="134" t="s">
        <v>953</v>
      </c>
      <c r="B12" s="139" t="str">
        <f>VLOOKUP(A12,'Feature Raw Data'!$A$3:$B$3923,2,FALSE)</f>
        <v>DFV/Debug Bus Check</v>
      </c>
      <c r="C12" s="140" t="str">
        <f>VLOOKUP(A12,'Feature Raw Data'!$A$3:$C$3923,3,FALSE)</f>
        <v>P2</v>
      </c>
      <c r="D12" s="141" t="str">
        <f t="array" ref="D12">_xlfn.TEXTJOIN("",TRUE,IF(ISNUMBER(SEARCH($A12,'Diags Raw Data'!$A$6:$A$3898)),CONCATENATE('Diags Raw Data'!$H$6:$H$3898,", "),""))</f>
        <v/>
      </c>
      <c r="E12" s="142" t="e">
        <f>VLOOKUP(A12,'Diags Raw Data'!$A$6:$D$3898,4,FALSE)</f>
        <v>#N/A</v>
      </c>
      <c r="F12" s="142" t="str">
        <f>VLOOKUP(A12,'Feature Raw Data'!$A$3:$E$3923,5,FALSE)</f>
        <v>New</v>
      </c>
      <c r="G12" s="142" t="s">
        <v>31</v>
      </c>
      <c r="H12" s="142" t="str">
        <f t="shared" si="0"/>
        <v>No</v>
      </c>
      <c r="I12" s="140">
        <f>SUMIF('Diags Raw Data'!$A$6:$A$3898,"*"&amp;$A12&amp;"*",'Diags Raw Data'!$K$6:$K$3898)</f>
        <v>0</v>
      </c>
      <c r="J12" s="157">
        <f>SUMIF('Diags Raw Data'!$A$6:$A$3898,"*"&amp;$A12&amp;"*",'Diags Raw Data'!$L$6:$L$3898)</f>
        <v>0</v>
      </c>
      <c r="K12" s="158">
        <f t="array" ref="K12">IF(D12="",0,SUMPRODUCT(--(ISNUMBER(SEARCH($A12,'Diags Raw Data'!$A$6:$A$3898))),'Diags Raw Data'!$L$6:$L$3898,'Diags Raw Data'!$N$6:$N$3898)/J12)</f>
        <v>0</v>
      </c>
      <c r="L12" s="159">
        <f t="array" ref="L12">IF(D12="",0,SUMPRODUCT(--(ISNUMBER(SEARCH($A12,'Diags Raw Data'!$A$6:$A$3898))),'Diags Raw Data'!$L$6:$L$3898,'Diags Raw Data'!$P$6:$P$3898)/J12)</f>
        <v>0</v>
      </c>
      <c r="M12" s="160">
        <f t="array" ref="M12">SUMPRODUCT(--(ISNUMBER(SEARCH($A12,'Diags Raw Data'!$A$6:$A$3898))),--('Diags Raw Data'!$Q$6:$Q$3898&lt;&gt;"N/A"),'Diags Raw Data'!$R$6:$R$3898)</f>
        <v>0</v>
      </c>
      <c r="N12" s="161">
        <f t="array" ref="N12">SUMPRODUCT(--(ISNUMBER(SEARCH($A12,'Diags Raw Data'!$A$6:$A$3898))),--('Diags Raw Data'!$Q$6:$Q$3898&lt;&gt;"N/A"),'Diags Raw Data'!$T$6:$T$3898)+SUMPRODUCT(--(ISNUMBER(SEARCH($A12,'Diags Raw Data'!$A$6:$A$3898))),--('Diags Raw Data'!$Q$6:$Q$3898&lt;&gt;"N/A"),'Diags Raw Data'!$U$6:$U$3898)</f>
        <v>0</v>
      </c>
      <c r="O12" s="162">
        <f t="shared" si="1"/>
        <v>0</v>
      </c>
      <c r="P12" s="163">
        <f>SUMIF('Diags Raw Data'!$A$6:$A$3898,"*"&amp;$A12&amp;"*",'Diags Raw Data'!$Z$6:$Z$3898)</f>
        <v>0</v>
      </c>
      <c r="Q12" s="172">
        <f>SUM(SUMIF('Diags Raw Data'!$A$6:$A$3898,"*"&amp;$A12&amp;"*",'Diags Raw Data'!$AA$6:$AA$3898),SUMIF('Diags Raw Data'!$A$6:$A$3898,"*"&amp;$A12&amp;"*",'Diags Raw Data'!$AB$6:$AB$3898))</f>
        <v>0</v>
      </c>
      <c r="R12" s="173">
        <f t="shared" si="2"/>
        <v>0</v>
      </c>
      <c r="S12" s="173">
        <f t="shared" si="3"/>
        <v>0</v>
      </c>
      <c r="T12" s="174">
        <f t="shared" si="4"/>
        <v>0</v>
      </c>
      <c r="U12" s="175"/>
      <c r="V12" s="166"/>
      <c r="W12" s="121" t="s">
        <v>1111</v>
      </c>
    </row>
    <row r="13" spans="1:24" ht="77.099999999999994" customHeight="1" thickBot="1">
      <c r="A13" s="134" t="s">
        <v>351</v>
      </c>
      <c r="B13" s="139" t="str">
        <f>VLOOKUP(A13,'Feature Raw Data'!$A$3:$B$3923,2,FALSE)</f>
        <v>GFX Device ID Strap</v>
      </c>
      <c r="C13" s="140" t="str">
        <f>VLOOKUP(A13,'Feature Raw Data'!$A$3:$C$3923,3,FALSE)</f>
        <v>P2</v>
      </c>
      <c r="D13" s="141" t="str">
        <f t="array" ref="D13">_xlfn.TEXTJOIN("",TRUE,IF(ISNUMBER(SEARCH($A13,'Diags Raw Data'!$A$6:$A$3898)),CONCATENATE('Diags Raw Data'!$H$6:$H$3898,", "),""))</f>
        <v xml:space="preserve">AG005.014, </v>
      </c>
      <c r="E13" s="142" t="str">
        <f>VLOOKUP(A13,'Diags Raw Data'!$A$6:$D$3898,4,FALSE)</f>
        <v>nBIF</v>
      </c>
      <c r="F13" s="142" t="str">
        <f>VLOOKUP(A13,'Feature Raw Data'!$A$3:$E$3923,5,FALSE)</f>
        <v>Delta</v>
      </c>
      <c r="G13" s="142" t="str">
        <f t="shared" si="5"/>
        <v>Yes</v>
      </c>
      <c r="H13" s="142" t="str">
        <f t="shared" si="0"/>
        <v>Yes</v>
      </c>
      <c r="I13" s="140">
        <f>SUMIF('Diags Raw Data'!$A$6:$A$3898,"*"&amp;$A13&amp;"*",'Diags Raw Data'!$K$6:$K$3898)</f>
        <v>1</v>
      </c>
      <c r="J13" s="157">
        <f>SUMIF('Diags Raw Data'!$A$6:$A$3898,"*"&amp;$A13&amp;"*",'Diags Raw Data'!$L$6:$L$3898)</f>
        <v>1</v>
      </c>
      <c r="K13" s="158">
        <f t="array" ref="K13">IF(D13="",0,SUMPRODUCT(--(ISNUMBER(SEARCH($A13,'Diags Raw Data'!$A$6:$A$3898))),'Diags Raw Data'!$L$6:$L$3898,'Diags Raw Data'!$N$6:$N$3898)/J13)</f>
        <v>1</v>
      </c>
      <c r="L13" s="159">
        <f t="array" ref="L13">IF(D13="",0,SUMPRODUCT(--(ISNUMBER(SEARCH($A13,'Diags Raw Data'!$A$6:$A$3898))),'Diags Raw Data'!$L$6:$L$3898,'Diags Raw Data'!$P$6:$P$3898)/J13)</f>
        <v>1</v>
      </c>
      <c r="M13" s="160">
        <f t="array" ref="M13">SUMPRODUCT(--(ISNUMBER(SEARCH($A13,'Diags Raw Data'!$A$6:$A$3898))),--('Diags Raw Data'!$Q$6:$Q$3898&lt;&gt;"N/A"),'Diags Raw Data'!$R$6:$R$3898)</f>
        <v>1</v>
      </c>
      <c r="N13" s="161">
        <f t="array" ref="N13">SUMPRODUCT(--(ISNUMBER(SEARCH($A13,'Diags Raw Data'!$A$6:$A$3898))),--('Diags Raw Data'!$Q$6:$Q$3898&lt;&gt;"N/A"),'Diags Raw Data'!$T$6:$T$3898)+SUMPRODUCT(--(ISNUMBER(SEARCH($A13,'Diags Raw Data'!$A$6:$A$3898))),--('Diags Raw Data'!$Q$6:$Q$3898&lt;&gt;"N/A"),'Diags Raw Data'!$U$6:$U$3898)</f>
        <v>1</v>
      </c>
      <c r="O13" s="162">
        <f t="shared" si="1"/>
        <v>1</v>
      </c>
      <c r="P13" s="163">
        <f>SUMIF('Diags Raw Data'!$A$6:$A$3898,"*"&amp;$A13&amp;"*",'Diags Raw Data'!$Z$6:$Z$3898)</f>
        <v>0</v>
      </c>
      <c r="Q13" s="172">
        <f>SUM(SUMIF('Diags Raw Data'!$A$6:$A$3898,"*"&amp;$A13&amp;"*",'Diags Raw Data'!$AA$6:$AA$3898),SUMIF('Diags Raw Data'!$A$6:$A$3898,"*"&amp;$A13&amp;"*",'Diags Raw Data'!$AB$6:$AB$3898))</f>
        <v>0</v>
      </c>
      <c r="R13" s="173">
        <f t="shared" si="2"/>
        <v>0</v>
      </c>
      <c r="S13" s="173">
        <f t="shared" si="3"/>
        <v>0</v>
      </c>
      <c r="T13" s="174">
        <f t="shared" si="4"/>
        <v>0</v>
      </c>
      <c r="U13" s="175"/>
      <c r="V13" s="166"/>
    </row>
    <row r="14" spans="1:24" ht="45">
      <c r="A14" s="134" t="s">
        <v>957</v>
      </c>
      <c r="B14" s="139" t="str">
        <f>VLOOKUP(A14,'Feature Raw Data'!$A$3:$B$3923,2,FALSE)</f>
        <v>SMN trust level assignment</v>
      </c>
      <c r="C14" s="140" t="str">
        <f>VLOOKUP(A14,'Feature Raw Data'!$A$3:$C$3923,3,FALSE)</f>
        <v>P2</v>
      </c>
      <c r="D14" s="141" t="str">
        <f t="array" ref="D14">_xlfn.TEXTJOIN("",TRUE,IF(ISNUMBER(SEARCH($A14,'Diags Raw Data'!$A$6:$A$3898)),CONCATENATE('Diags Raw Data'!$H$6:$H$3898,", "),""))</f>
        <v/>
      </c>
      <c r="E14" s="142" t="e">
        <f>VLOOKUP(A14,'Diags Raw Data'!$A$6:$D$3898,4,FALSE)</f>
        <v>#N/A</v>
      </c>
      <c r="F14" s="142" t="str">
        <f>VLOOKUP(A14,'Feature Raw Data'!$A$3:$E$3923,5,FALSE)</f>
        <v>Legacy</v>
      </c>
      <c r="G14" s="142" t="s">
        <v>31</v>
      </c>
      <c r="H14" s="142" t="str">
        <f t="shared" si="0"/>
        <v>No</v>
      </c>
      <c r="I14" s="140">
        <f>SUMIF('Diags Raw Data'!$A$6:$A$3898,"*"&amp;$A14&amp;"*",'Diags Raw Data'!$K$6:$K$3898)</f>
        <v>0</v>
      </c>
      <c r="J14" s="157">
        <f>SUMIF('Diags Raw Data'!$A$6:$A$3898,"*"&amp;$A14&amp;"*",'Diags Raw Data'!$L$6:$L$3898)</f>
        <v>0</v>
      </c>
      <c r="K14" s="158">
        <f t="array" ref="K14">IF(D14="",0,SUMPRODUCT(--(ISNUMBER(SEARCH($A14,'Diags Raw Data'!$A$6:$A$3898))),'Diags Raw Data'!$L$6:$L$3898,'Diags Raw Data'!$N$6:$N$3898)/J14)</f>
        <v>0</v>
      </c>
      <c r="L14" s="159">
        <f t="array" ref="L14">IF(D14="",0,SUMPRODUCT(--(ISNUMBER(SEARCH($A14,'Diags Raw Data'!$A$6:$A$3898))),'Diags Raw Data'!$L$6:$L$3898,'Diags Raw Data'!$P$6:$P$3898)/J14)</f>
        <v>0</v>
      </c>
      <c r="M14" s="160">
        <f t="array" ref="M14">SUMPRODUCT(--(ISNUMBER(SEARCH($A14,'Diags Raw Data'!$A$6:$A$3898))),--('Diags Raw Data'!$Q$6:$Q$3898&lt;&gt;"N/A"),'Diags Raw Data'!$R$6:$R$3898)</f>
        <v>0</v>
      </c>
      <c r="N14" s="161">
        <f t="array" ref="N14">SUMPRODUCT(--(ISNUMBER(SEARCH($A14,'Diags Raw Data'!$A$6:$A$3898))),--('Diags Raw Data'!$Q$6:$Q$3898&lt;&gt;"N/A"),'Diags Raw Data'!$T$6:$T$3898)+SUMPRODUCT(--(ISNUMBER(SEARCH($A14,'Diags Raw Data'!$A$6:$A$3898))),--('Diags Raw Data'!$Q$6:$Q$3898&lt;&gt;"N/A"),'Diags Raw Data'!$U$6:$U$3898)</f>
        <v>0</v>
      </c>
      <c r="O14" s="162">
        <f t="shared" si="1"/>
        <v>0</v>
      </c>
      <c r="P14" s="163">
        <f>SUMIF('Diags Raw Data'!$A$6:$A$3898,"*"&amp;$A14&amp;"*",'Diags Raw Data'!$Z$6:$Z$3898)</f>
        <v>0</v>
      </c>
      <c r="Q14" s="172">
        <f>SUM(SUMIF('Diags Raw Data'!$A$6:$A$3898,"*"&amp;$A14&amp;"*",'Diags Raw Data'!$AA$6:$AA$3898),SUMIF('Diags Raw Data'!$A$6:$A$3898,"*"&amp;$A14&amp;"*",'Diags Raw Data'!$AB$6:$AB$3898))</f>
        <v>0</v>
      </c>
      <c r="R14" s="173">
        <f t="shared" si="2"/>
        <v>0</v>
      </c>
      <c r="S14" s="173">
        <f t="shared" si="3"/>
        <v>0</v>
      </c>
      <c r="T14" s="174">
        <f t="shared" si="4"/>
        <v>0</v>
      </c>
      <c r="U14" s="175"/>
      <c r="V14" s="179"/>
      <c r="W14" s="500" t="s">
        <v>1111</v>
      </c>
    </row>
    <row r="15" spans="1:24" ht="30.75" thickBot="1">
      <c r="A15" s="134" t="s">
        <v>532</v>
      </c>
      <c r="B15" s="139" t="str">
        <f>VLOOKUP(A15,'Feature Raw Data'!$A$3:$B$3923,2,FALSE)</f>
        <v>Link Quality check</v>
      </c>
      <c r="C15" s="140" t="str">
        <f>VLOOKUP(A15,'Feature Raw Data'!$A$3:$C$3923,3,FALSE)</f>
        <v>P2</v>
      </c>
      <c r="D15" s="141" t="str">
        <f t="array" ref="D15">_xlfn.TEXTJOIN("",TRUE,IF(ISNUMBER(SEARCH($A15,'Diags Raw Data'!$A$6:$A$3898)),CONCATENATE('Diags Raw Data'!$H$6:$H$3898,", "),""))</f>
        <v xml:space="preserve">AG020.003, AG020.005, </v>
      </c>
      <c r="E15" s="142" t="str">
        <f>VLOOKUP(A15,'Diags Raw Data'!$A$6:$D$3898,4,FALSE)</f>
        <v>PCIE</v>
      </c>
      <c r="F15" s="142" t="str">
        <f>VLOOKUP(A15,'Feature Raw Data'!$A$3:$E$3923,5,FALSE)</f>
        <v>Legacy</v>
      </c>
      <c r="G15" s="142" t="str">
        <f t="shared" si="5"/>
        <v>Yes</v>
      </c>
      <c r="H15" s="142" t="str">
        <f t="shared" si="0"/>
        <v>Yes</v>
      </c>
      <c r="I15" s="140">
        <f>SUMIF('Diags Raw Data'!$A$6:$A$3898,"*"&amp;$A15&amp;"*",'Diags Raw Data'!$K$6:$K$3898)</f>
        <v>2</v>
      </c>
      <c r="J15" s="157">
        <f>SUMIF('Diags Raw Data'!$A$6:$A$3898,"*"&amp;$A15&amp;"*",'Diags Raw Data'!$L$6:$L$3898)</f>
        <v>2</v>
      </c>
      <c r="K15" s="158">
        <f t="array" ref="K15">IF(D15="",0,SUMPRODUCT(--(ISNUMBER(SEARCH($A15,'Diags Raw Data'!$A$6:$A$3898))),'Diags Raw Data'!$L$6:$L$3898,'Diags Raw Data'!$N$6:$N$3898)/J15)</f>
        <v>1</v>
      </c>
      <c r="L15" s="159">
        <f t="array" ref="L15">IF(D15="",0,SUMPRODUCT(--(ISNUMBER(SEARCH($A15,'Diags Raw Data'!$A$6:$A$3898))),'Diags Raw Data'!$L$6:$L$3898,'Diags Raw Data'!$P$6:$P$3898)/J15)</f>
        <v>1</v>
      </c>
      <c r="M15" s="160">
        <f t="array" ref="M15">SUMPRODUCT(--(ISNUMBER(SEARCH($A15,'Diags Raw Data'!$A$6:$A$3898))),--('Diags Raw Data'!$Q$6:$Q$3898&lt;&gt;"N/A"),'Diags Raw Data'!$R$6:$R$3898)</f>
        <v>2</v>
      </c>
      <c r="N15" s="161">
        <f t="array" ref="N15">SUMPRODUCT(--(ISNUMBER(SEARCH($A15,'Diags Raw Data'!$A$6:$A$3898))),--('Diags Raw Data'!$Q$6:$Q$3898&lt;&gt;"N/A"),'Diags Raw Data'!$T$6:$T$3898)+SUMPRODUCT(--(ISNUMBER(SEARCH($A15,'Diags Raw Data'!$A$6:$A$3898))),--('Diags Raw Data'!$Q$6:$Q$3898&lt;&gt;"N/A"),'Diags Raw Data'!$U$6:$U$3898)</f>
        <v>2</v>
      </c>
      <c r="O15" s="162">
        <f t="shared" si="1"/>
        <v>1</v>
      </c>
      <c r="P15" s="163">
        <f>SUMIF('Diags Raw Data'!$A$6:$A$3898,"*"&amp;$A15&amp;"*",'Diags Raw Data'!$Z$6:$Z$3898)</f>
        <v>0</v>
      </c>
      <c r="Q15" s="172">
        <f>SUM(SUMIF('Diags Raw Data'!$A$6:$A$3898,"*"&amp;$A15&amp;"*",'Diags Raw Data'!$AA$6:$AA$3898),SUMIF('Diags Raw Data'!$A$6:$A$3898,"*"&amp;$A15&amp;"*",'Diags Raw Data'!$AB$6:$AB$3898))</f>
        <v>0</v>
      </c>
      <c r="R15" s="173">
        <f t="shared" si="2"/>
        <v>0</v>
      </c>
      <c r="S15" s="173">
        <f t="shared" si="3"/>
        <v>0</v>
      </c>
      <c r="T15" s="174">
        <f t="shared" si="4"/>
        <v>0</v>
      </c>
      <c r="U15" s="175"/>
      <c r="V15" s="179"/>
      <c r="W15" s="500"/>
    </row>
    <row r="16" spans="1:24" ht="30.75" thickBot="1">
      <c r="A16" s="134" t="s">
        <v>622</v>
      </c>
      <c r="B16" s="139" t="str">
        <f>VLOOKUP(A16,'Feature Raw Data'!$A$3:$B$3923,2,FALSE)</f>
        <v>Doorbell fence for VDDGFX</v>
      </c>
      <c r="C16" s="140" t="str">
        <f>VLOOKUP(A16,'Feature Raw Data'!$A$3:$C$3923,3,FALSE)</f>
        <v>P2</v>
      </c>
      <c r="D16" s="141" t="str">
        <f t="array" ref="D16">_xlfn.TEXTJOIN("",TRUE,IF(ISNUMBER(SEARCH($A16,'Diags Raw Data'!$A$6:$A$3898)),CONCATENATE('Diags Raw Data'!$H$6:$H$3898,", "),""))</f>
        <v xml:space="preserve">AG044.001, AG044.002, </v>
      </c>
      <c r="E16" s="142" t="str">
        <f>VLOOKUP(A16,'Diags Raw Data'!$A$6:$D$3898,4,FALSE)</f>
        <v>nBIF</v>
      </c>
      <c r="F16" s="142" t="str">
        <f>VLOOKUP(A16,'Feature Raw Data'!$A$3:$E$3923,5,FALSE)</f>
        <v>Delta</v>
      </c>
      <c r="G16" s="501" t="s">
        <v>31</v>
      </c>
      <c r="H16" s="142" t="str">
        <f t="shared" si="0"/>
        <v>Yes</v>
      </c>
      <c r="I16" s="140">
        <f>SUMIF('Diags Raw Data'!$A$6:$A$3898,"*"&amp;$A16&amp;"*",'Diags Raw Data'!$K$6:$K$3898)</f>
        <v>2</v>
      </c>
      <c r="J16" s="157">
        <f>SUMIF('Diags Raw Data'!$A$6:$A$3898,"*"&amp;$A16&amp;"*",'Diags Raw Data'!$L$6:$L$3898)</f>
        <v>2</v>
      </c>
      <c r="K16" s="158">
        <f t="array" ref="K16">IF(D16="",0,SUMPRODUCT(--(ISNUMBER(SEARCH($A16,'Diags Raw Data'!$A$6:$A$3898))),'Diags Raw Data'!$L$6:$L$3898,'Diags Raw Data'!$N$6:$N$3898)/J16)</f>
        <v>1</v>
      </c>
      <c r="L16" s="159">
        <f t="array" ref="L16">IF(D16="",0,SUMPRODUCT(--(ISNUMBER(SEARCH($A16,'Diags Raw Data'!$A$6:$A$3898))),'Diags Raw Data'!$L$6:$L$3898,'Diags Raw Data'!$P$6:$P$3898)/J16)</f>
        <v>1</v>
      </c>
      <c r="M16" s="160">
        <f t="array" ref="M16">SUMPRODUCT(--(ISNUMBER(SEARCH($A16,'Diags Raw Data'!$A$6:$A$3898))),--('Diags Raw Data'!$Q$6:$Q$3898&lt;&gt;"N/A"),'Diags Raw Data'!$R$6:$R$3898)</f>
        <v>2</v>
      </c>
      <c r="N16" s="161">
        <f t="array" ref="N16">SUMPRODUCT(--(ISNUMBER(SEARCH($A16,'Diags Raw Data'!$A$6:$A$3898))),--('Diags Raw Data'!$Q$6:$Q$3898&lt;&gt;"N/A"),'Diags Raw Data'!$T$6:$T$3898)+SUMPRODUCT(--(ISNUMBER(SEARCH($A16,'Diags Raw Data'!$A$6:$A$3898))),--('Diags Raw Data'!$Q$6:$Q$3898&lt;&gt;"N/A"),'Diags Raw Data'!$U$6:$U$3898)</f>
        <v>0</v>
      </c>
      <c r="O16" s="162">
        <f t="shared" si="1"/>
        <v>0</v>
      </c>
      <c r="P16" s="163">
        <f>SUMIF('Diags Raw Data'!$A$6:$A$3898,"*"&amp;$A16&amp;"*",'Diags Raw Data'!$Z$6:$Z$3898)</f>
        <v>0</v>
      </c>
      <c r="Q16" s="172">
        <f>SUM(SUMIF('Diags Raw Data'!$A$6:$A$3898,"*"&amp;$A16&amp;"*",'Diags Raw Data'!$AA$6:$AA$3898),SUMIF('Diags Raw Data'!$A$6:$A$3898,"*"&amp;$A16&amp;"*",'Diags Raw Data'!$AB$6:$AB$3898))</f>
        <v>0</v>
      </c>
      <c r="R16" s="173">
        <f t="shared" si="2"/>
        <v>0</v>
      </c>
      <c r="S16" s="173">
        <f t="shared" si="3"/>
        <v>0</v>
      </c>
      <c r="T16" s="174">
        <f t="shared" si="4"/>
        <v>0</v>
      </c>
      <c r="U16" s="175"/>
      <c r="V16" s="179"/>
      <c r="W16" s="500"/>
    </row>
    <row r="17" spans="1:23" s="119" customFormat="1" ht="45" customHeight="1" thickBot="1">
      <c r="A17" s="134" t="s">
        <v>686</v>
      </c>
      <c r="B17" s="139" t="str">
        <f>VLOOKUP(A17,'Feature Raw Data'!$A$3:$B$3923,2,FALSE)</f>
        <v>NBIF_GFX_DOORBELL_SENT</v>
      </c>
      <c r="C17" s="140" t="str">
        <f>VLOOKUP(A17,'Feature Raw Data'!$A$3:$C$3923,3,FALSE)</f>
        <v>P2</v>
      </c>
      <c r="D17" s="141" t="str">
        <f t="array" ref="D17">_xlfn.TEXTJOIN("",TRUE,IF(ISNUMBER(SEARCH($A17,'Diags Raw Data'!$A$6:$A$3898)),CONCATENATE('Diags Raw Data'!$H$6:$H$3898,", "),""))</f>
        <v xml:space="preserve">AG101.000, </v>
      </c>
      <c r="E17" s="142" t="str">
        <f>VLOOKUP(A17,'Diags Raw Data'!$A$6:$D$3898,4,FALSE)</f>
        <v>nBIF</v>
      </c>
      <c r="F17" s="142" t="str">
        <f>VLOOKUP(A17,'Feature Raw Data'!$A$3:$E$3923,5,FALSE)</f>
        <v>Delta</v>
      </c>
      <c r="G17" s="501" t="s">
        <v>31</v>
      </c>
      <c r="H17" s="142" t="str">
        <f t="shared" si="0"/>
        <v>Yes</v>
      </c>
      <c r="I17" s="140">
        <f>SUMIF('Diags Raw Data'!$A$6:$A$3898,"*"&amp;$A17&amp;"*",'Diags Raw Data'!$K$6:$K$3898)</f>
        <v>1</v>
      </c>
      <c r="J17" s="157">
        <f>SUMIF('Diags Raw Data'!$A$6:$A$3898,"*"&amp;$A17&amp;"*",'Diags Raw Data'!$L$6:$L$3898)</f>
        <v>1</v>
      </c>
      <c r="K17" s="158">
        <f t="array" ref="K17">IF(D17="",0,SUMPRODUCT(--(ISNUMBER(SEARCH($A17,'Diags Raw Data'!$A$6:$A$3898))),'Diags Raw Data'!$L$6:$L$3898,'Diags Raw Data'!$N$6:$N$3898)/J17)</f>
        <v>1</v>
      </c>
      <c r="L17" s="159">
        <f t="array" ref="L17">IF(D17="",0,SUMPRODUCT(--(ISNUMBER(SEARCH($A17,'Diags Raw Data'!$A$6:$A$3898))),'Diags Raw Data'!$L$6:$L$3898,'Diags Raw Data'!$P$6:$P$3898)/J17)</f>
        <v>1</v>
      </c>
      <c r="M17" s="160">
        <f t="array" ref="M17">SUMPRODUCT(--(ISNUMBER(SEARCH($A17,'Diags Raw Data'!$A$6:$A$3898))),--('Diags Raw Data'!$Q$6:$Q$3898&lt;&gt;"N/A"),'Diags Raw Data'!$R$6:$R$3898)</f>
        <v>1</v>
      </c>
      <c r="N17" s="161">
        <f t="array" ref="N17">SUMPRODUCT(--(ISNUMBER(SEARCH($A17,'Diags Raw Data'!$A$6:$A$3898))),--('Diags Raw Data'!$Q$6:$Q$3898&lt;&gt;"N/A"),'Diags Raw Data'!$T$6:$T$3898)+SUMPRODUCT(--(ISNUMBER(SEARCH($A17,'Diags Raw Data'!$A$6:$A$3898))),--('Diags Raw Data'!$Q$6:$Q$3898&lt;&gt;"N/A"),'Diags Raw Data'!$U$6:$U$3898)</f>
        <v>0</v>
      </c>
      <c r="O17" s="162">
        <f t="shared" si="1"/>
        <v>0</v>
      </c>
      <c r="P17" s="163">
        <f>SUMIF('Diags Raw Data'!$A$6:$A$3898,"*"&amp;$A17&amp;"*",'Diags Raw Data'!$Z$6:$Z$3898)</f>
        <v>0</v>
      </c>
      <c r="Q17" s="172">
        <f>SUM(SUMIF('Diags Raw Data'!$A$6:$A$3898,"*"&amp;$A17&amp;"*",'Diags Raw Data'!$AA$6:$AA$3898),SUMIF('Diags Raw Data'!$A$6:$A$3898,"*"&amp;$A17&amp;"*",'Diags Raw Data'!$AB$6:$AB$3898))</f>
        <v>0</v>
      </c>
      <c r="R17" s="173">
        <f t="shared" si="2"/>
        <v>0</v>
      </c>
      <c r="S17" s="176">
        <f t="shared" si="3"/>
        <v>0</v>
      </c>
      <c r="T17" s="177">
        <f t="shared" si="4"/>
        <v>0</v>
      </c>
      <c r="U17" s="175"/>
      <c r="V17" s="178"/>
    </row>
    <row r="18" spans="1:23" ht="45">
      <c r="A18" s="134" t="s">
        <v>961</v>
      </c>
      <c r="B18" s="139" t="str">
        <f>VLOOKUP(A18,'Feature Raw Data'!$A$3:$B$3923,2,FALSE)</f>
        <v>Clock gating/Power gating</v>
      </c>
      <c r="C18" s="140" t="str">
        <f>VLOOKUP(A18,'Feature Raw Data'!$A$3:$C$3923,3,FALSE)</f>
        <v>P2</v>
      </c>
      <c r="D18" s="141" t="str">
        <f t="array" ref="D18">_xlfn.TEXTJOIN("",TRUE,IF(ISNUMBER(SEARCH($A18,'Diags Raw Data'!$A$6:$A$3898)),CONCATENATE('Diags Raw Data'!$H$6:$H$3898,", "),""))</f>
        <v/>
      </c>
      <c r="E18" s="142" t="e">
        <f>VLOOKUP(A18,'Diags Raw Data'!$A$6:$D$3898,4,FALSE)</f>
        <v>#N/A</v>
      </c>
      <c r="F18" s="142" t="str">
        <f>VLOOKUP(A18,'Feature Raw Data'!$A$3:$E$3923,5,FALSE)</f>
        <v>Legacy</v>
      </c>
      <c r="G18" s="142" t="s">
        <v>31</v>
      </c>
      <c r="H18" s="142" t="str">
        <f t="shared" si="0"/>
        <v>No</v>
      </c>
      <c r="I18" s="140">
        <f>SUMIF('Diags Raw Data'!$A$6:$A$3898,"*"&amp;$A18&amp;"*",'Diags Raw Data'!$K$6:$K$3898)</f>
        <v>0</v>
      </c>
      <c r="J18" s="157">
        <f>SUMIF('Diags Raw Data'!$A$6:$A$3898,"*"&amp;$A18&amp;"*",'Diags Raw Data'!$L$6:$L$3898)</f>
        <v>0</v>
      </c>
      <c r="K18" s="158">
        <f t="array" ref="K18">IF(D18="",0,SUMPRODUCT(--(ISNUMBER(SEARCH($A18,'Diags Raw Data'!$A$6:$A$3898))),'Diags Raw Data'!$L$6:$L$3898,'Diags Raw Data'!$N$6:$N$3898)/J18)</f>
        <v>0</v>
      </c>
      <c r="L18" s="159">
        <f t="array" ref="L18">IF(D18="",0,SUMPRODUCT(--(ISNUMBER(SEARCH($A18,'Diags Raw Data'!$A$6:$A$3898))),'Diags Raw Data'!$L$6:$L$3898,'Diags Raw Data'!$P$6:$P$3898)/J18)</f>
        <v>0</v>
      </c>
      <c r="M18" s="160">
        <f t="array" ref="M18">SUMPRODUCT(--(ISNUMBER(SEARCH($A18,'Diags Raw Data'!$A$6:$A$3898))),--('Diags Raw Data'!$Q$6:$Q$3898&lt;&gt;"N/A"),'Diags Raw Data'!$R$6:$R$3898)</f>
        <v>0</v>
      </c>
      <c r="N18" s="161">
        <f t="array" ref="N18">SUMPRODUCT(--(ISNUMBER(SEARCH($A18,'Diags Raw Data'!$A$6:$A$3898))),--('Diags Raw Data'!$Q$6:$Q$3898&lt;&gt;"N/A"),'Diags Raw Data'!$T$6:$T$3898)+SUMPRODUCT(--(ISNUMBER(SEARCH($A18,'Diags Raw Data'!$A$6:$A$3898))),--('Diags Raw Data'!$Q$6:$Q$3898&lt;&gt;"N/A"),'Diags Raw Data'!$U$6:$U$3898)</f>
        <v>0</v>
      </c>
      <c r="O18" s="162">
        <f t="shared" si="1"/>
        <v>0</v>
      </c>
      <c r="P18" s="163">
        <f>SUMIF('Diags Raw Data'!$A$6:$A$3898,"*"&amp;$A18&amp;"*",'Diags Raw Data'!$Z$6:$Z$3898)</f>
        <v>0</v>
      </c>
      <c r="Q18" s="172">
        <f>SUM(SUMIF('Diags Raw Data'!$A$6:$A$3898,"*"&amp;$A18&amp;"*",'Diags Raw Data'!$AA$6:$AA$3898),SUMIF('Diags Raw Data'!$A$6:$A$3898,"*"&amp;$A18&amp;"*",'Diags Raw Data'!$AB$6:$AB$3898))</f>
        <v>0</v>
      </c>
      <c r="R18" s="173">
        <f t="shared" si="2"/>
        <v>0</v>
      </c>
      <c r="S18" s="173">
        <f t="shared" si="3"/>
        <v>0</v>
      </c>
      <c r="T18" s="174">
        <f t="shared" si="4"/>
        <v>0</v>
      </c>
      <c r="U18" s="175"/>
      <c r="V18" s="166"/>
      <c r="W18" s="121" t="s">
        <v>1112</v>
      </c>
    </row>
    <row r="19" spans="1:23" ht="45">
      <c r="A19" s="134" t="s">
        <v>963</v>
      </c>
      <c r="B19" s="139" t="str">
        <f>VLOOKUP(A19,'Feature Raw Data'!$A$3:$B$3923,2,FALSE)</f>
        <v>PME Support for AZ function</v>
      </c>
      <c r="C19" s="140" t="str">
        <f>VLOOKUP(A19,'Feature Raw Data'!$A$3:$C$3923,3,FALSE)</f>
        <v>P2</v>
      </c>
      <c r="D19" s="141" t="str">
        <f t="array" ref="D19">_xlfn.TEXTJOIN("",TRUE,IF(ISNUMBER(SEARCH($A19,'Diags Raw Data'!$A$6:$A$3898)),CONCATENATE('Diags Raw Data'!$H$6:$H$3898,", "),""))</f>
        <v/>
      </c>
      <c r="E19" s="142" t="e">
        <f>VLOOKUP(A19,'Diags Raw Data'!$A$6:$D$3898,4,FALSE)</f>
        <v>#N/A</v>
      </c>
      <c r="F19" s="142" t="str">
        <f>VLOOKUP(A19,'Feature Raw Data'!$A$3:$E$3923,5,FALSE)</f>
        <v>Legacy</v>
      </c>
      <c r="G19" s="142" t="s">
        <v>31</v>
      </c>
      <c r="H19" s="142" t="str">
        <f t="shared" si="0"/>
        <v>No</v>
      </c>
      <c r="I19" s="140">
        <f>SUMIF('Diags Raw Data'!$A$6:$A$3898,"*"&amp;$A19&amp;"*",'Diags Raw Data'!$K$6:$K$3898)</f>
        <v>0</v>
      </c>
      <c r="J19" s="157">
        <f>SUMIF('Diags Raw Data'!$A$6:$A$3898,"*"&amp;$A19&amp;"*",'Diags Raw Data'!$L$6:$L$3898)</f>
        <v>0</v>
      </c>
      <c r="K19" s="158">
        <f t="array" ref="K19">IF(D19="",0,SUMPRODUCT(--(ISNUMBER(SEARCH($A19,'Diags Raw Data'!$A$6:$A$3898))),'Diags Raw Data'!$L$6:$L$3898,'Diags Raw Data'!$N$6:$N$3898)/J19)</f>
        <v>0</v>
      </c>
      <c r="L19" s="159">
        <f t="array" ref="L19">IF(D19="",0,SUMPRODUCT(--(ISNUMBER(SEARCH($A19,'Diags Raw Data'!$A$6:$A$3898))),'Diags Raw Data'!$L$6:$L$3898,'Diags Raw Data'!$P$6:$P$3898)/J19)</f>
        <v>0</v>
      </c>
      <c r="M19" s="160">
        <f t="array" ref="M19">SUMPRODUCT(--(ISNUMBER(SEARCH($A19,'Diags Raw Data'!$A$6:$A$3898))),--('Diags Raw Data'!$Q$6:$Q$3898&lt;&gt;"N/A"),'Diags Raw Data'!$R$6:$R$3898)</f>
        <v>0</v>
      </c>
      <c r="N19" s="161">
        <f t="array" ref="N19">SUMPRODUCT(--(ISNUMBER(SEARCH($A19,'Diags Raw Data'!$A$6:$A$3898))),--('Diags Raw Data'!$Q$6:$Q$3898&lt;&gt;"N/A"),'Diags Raw Data'!$T$6:$T$3898)+SUMPRODUCT(--(ISNUMBER(SEARCH($A19,'Diags Raw Data'!$A$6:$A$3898))),--('Diags Raw Data'!$Q$6:$Q$3898&lt;&gt;"N/A"),'Diags Raw Data'!$U$6:$U$3898)</f>
        <v>0</v>
      </c>
      <c r="O19" s="162">
        <f t="shared" si="1"/>
        <v>0</v>
      </c>
      <c r="P19" s="163">
        <f>SUMIF('Diags Raw Data'!$A$6:$A$3898,"*"&amp;$A19&amp;"*",'Diags Raw Data'!$Z$6:$Z$3898)</f>
        <v>0</v>
      </c>
      <c r="Q19" s="172">
        <f>SUM(SUMIF('Diags Raw Data'!$A$6:$A$3898,"*"&amp;$A19&amp;"*",'Diags Raw Data'!$AA$6:$AA$3898),SUMIF('Diags Raw Data'!$A$6:$A$3898,"*"&amp;$A19&amp;"*",'Diags Raw Data'!$AB$6:$AB$3898))</f>
        <v>0</v>
      </c>
      <c r="R19" s="173">
        <f t="shared" si="2"/>
        <v>0</v>
      </c>
      <c r="S19" s="173">
        <f t="shared" si="3"/>
        <v>0</v>
      </c>
      <c r="T19" s="174">
        <f t="shared" si="4"/>
        <v>0</v>
      </c>
      <c r="U19" s="175"/>
      <c r="V19" s="166"/>
      <c r="W19" s="121" t="s">
        <v>1113</v>
      </c>
    </row>
    <row r="20" spans="1:23" ht="15.75" thickBot="1">
      <c r="A20" s="134" t="s">
        <v>965</v>
      </c>
      <c r="B20" s="139" t="str">
        <f>VLOOKUP(A20,'Feature Raw Data'!$A$3:$B$3923,2,FALSE)</f>
        <v>64 Bit Addressint test</v>
      </c>
      <c r="C20" s="140" t="str">
        <f>VLOOKUP(A20,'Feature Raw Data'!$A$3:$C$3923,3,FALSE)</f>
        <v>P2</v>
      </c>
      <c r="D20" s="141" t="str">
        <f t="array" ref="D20">_xlfn.TEXTJOIN("",TRUE,IF(ISNUMBER(SEARCH($A20,'Diags Raw Data'!$A$6:$A$3898)),CONCATENATE('Diags Raw Data'!$H$6:$H$3898,", "),""))</f>
        <v/>
      </c>
      <c r="E20" s="142" t="e">
        <f>VLOOKUP(A20,'Diags Raw Data'!$A$6:$D$3898,4,FALSE)</f>
        <v>#N/A</v>
      </c>
      <c r="F20" s="142" t="str">
        <f>VLOOKUP(A20,'Feature Raw Data'!$A$3:$E$3923,5,FALSE)</f>
        <v>Legacy</v>
      </c>
      <c r="G20" s="142" t="str">
        <f t="shared" ref="G20:G29" si="6">IF(D20="","No","Yes")</f>
        <v>No</v>
      </c>
      <c r="H20" s="142" t="str">
        <f t="shared" si="0"/>
        <v>No</v>
      </c>
      <c r="I20" s="140">
        <f>SUMIF('Diags Raw Data'!$A$6:$A$3898,"*"&amp;$A20&amp;"*",'Diags Raw Data'!$K$6:$K$3898)</f>
        <v>0</v>
      </c>
      <c r="J20" s="157">
        <f>SUMIF('Diags Raw Data'!$A$6:$A$3898,"*"&amp;$A20&amp;"*",'Diags Raw Data'!$L$6:$L$3898)</f>
        <v>0</v>
      </c>
      <c r="K20" s="158">
        <f t="array" ref="K20">IF(D20="",0,SUMPRODUCT(--(ISNUMBER(SEARCH($A20,'Diags Raw Data'!$A$6:$A$3898))),'Diags Raw Data'!$L$6:$L$3898,'Diags Raw Data'!$N$6:$N$3898)/J20)</f>
        <v>0</v>
      </c>
      <c r="L20" s="159">
        <f t="array" ref="L20">IF(D20="",0,SUMPRODUCT(--(ISNUMBER(SEARCH($A20,'Diags Raw Data'!$A$6:$A$3898))),'Diags Raw Data'!$L$6:$L$3898,'Diags Raw Data'!$P$6:$P$3898)/J20)</f>
        <v>0</v>
      </c>
      <c r="M20" s="160">
        <f t="array" ref="M20">SUMPRODUCT(--(ISNUMBER(SEARCH($A20,'Diags Raw Data'!$A$6:$A$3898))),--('Diags Raw Data'!$Q$6:$Q$3898&lt;&gt;"N/A"),'Diags Raw Data'!$R$6:$R$3898)</f>
        <v>0</v>
      </c>
      <c r="N20" s="161">
        <f t="array" ref="N20">SUMPRODUCT(--(ISNUMBER(SEARCH($A20,'Diags Raw Data'!$A$6:$A$3898))),--('Diags Raw Data'!$Q$6:$Q$3898&lt;&gt;"N/A"),'Diags Raw Data'!$T$6:$T$3898)+SUMPRODUCT(--(ISNUMBER(SEARCH($A20,'Diags Raw Data'!$A$6:$A$3898))),--('Diags Raw Data'!$Q$6:$Q$3898&lt;&gt;"N/A"),'Diags Raw Data'!$U$6:$U$3898)</f>
        <v>0</v>
      </c>
      <c r="O20" s="162">
        <f t="shared" si="1"/>
        <v>0</v>
      </c>
      <c r="P20" s="163">
        <f>SUMIF('Diags Raw Data'!$A$6:$A$3898,"*"&amp;$A20&amp;"*",'Diags Raw Data'!$Z$6:$Z$3898)</f>
        <v>0</v>
      </c>
      <c r="Q20" s="172">
        <f>SUM(SUMIF('Diags Raw Data'!$A$6:$A$3898,"*"&amp;$A20&amp;"*",'Diags Raw Data'!$AA$6:$AA$3898),SUMIF('Diags Raw Data'!$A$6:$A$3898,"*"&amp;$A20&amp;"*",'Diags Raw Data'!$AB$6:$AB$3898))</f>
        <v>0</v>
      </c>
      <c r="R20" s="173">
        <f t="shared" si="2"/>
        <v>0</v>
      </c>
      <c r="S20" s="173">
        <f t="shared" si="3"/>
        <v>0</v>
      </c>
      <c r="T20" s="174">
        <f t="shared" si="4"/>
        <v>0</v>
      </c>
      <c r="U20" s="175"/>
      <c r="V20" s="166"/>
    </row>
    <row r="21" spans="1:23" ht="30.75" thickBot="1">
      <c r="A21" s="134" t="s">
        <v>283</v>
      </c>
      <c r="B21" s="139" t="str">
        <f>VLOOKUP(A21,'Feature Raw Data'!$A$3:$B$3923,2,FALSE)</f>
        <v>PCIe Register Accesses</v>
      </c>
      <c r="C21" s="140" t="str">
        <f>VLOOKUP(A21,'Feature Raw Data'!$A$3:$C$3923,3,FALSE)</f>
        <v>P2</v>
      </c>
      <c r="D21" s="141" t="str">
        <f t="array" ref="D21">_xlfn.TEXTJOIN("",TRUE,IF(ISNUMBER(SEARCH($A21,'Diags Raw Data'!$A$6:$A$3898)),CONCATENATE('Diags Raw Data'!$H$6:$H$3898,", "),""))</f>
        <v xml:space="preserve">AG003.003, AG003.004, </v>
      </c>
      <c r="E21" s="142" t="str">
        <f>VLOOKUP(A21,'Diags Raw Data'!$A$6:$D$3898,4,FALSE)</f>
        <v>nBIF</v>
      </c>
      <c r="F21" s="142" t="str">
        <f>VLOOKUP(A21,'Feature Raw Data'!$A$3:$E$3923,5,FALSE)</f>
        <v>Legacy</v>
      </c>
      <c r="G21" s="142" t="str">
        <f t="shared" si="6"/>
        <v>Yes</v>
      </c>
      <c r="H21" s="142" t="str">
        <f t="shared" si="0"/>
        <v>Yes</v>
      </c>
      <c r="I21" s="140">
        <f>SUMIF('Diags Raw Data'!$A$6:$A$3898,"*"&amp;$A21&amp;"*",'Diags Raw Data'!$K$6:$K$3898)</f>
        <v>2</v>
      </c>
      <c r="J21" s="157">
        <f>SUMIF('Diags Raw Data'!$A$6:$A$3898,"*"&amp;$A21&amp;"*",'Diags Raw Data'!$L$6:$L$3898)</f>
        <v>2</v>
      </c>
      <c r="K21" s="158">
        <f t="array" ref="K21">IF(D21="",0,SUMPRODUCT(--(ISNUMBER(SEARCH($A21,'Diags Raw Data'!$A$6:$A$3898))),'Diags Raw Data'!$L$6:$L$3898,'Diags Raw Data'!$N$6:$N$3898)/J21)</f>
        <v>1</v>
      </c>
      <c r="L21" s="159">
        <f t="array" ref="L21">IF(D21="",0,SUMPRODUCT(--(ISNUMBER(SEARCH($A21,'Diags Raw Data'!$A$6:$A$3898))),'Diags Raw Data'!$L$6:$L$3898,'Diags Raw Data'!$P$6:$P$3898)/J21)</f>
        <v>1</v>
      </c>
      <c r="M21" s="160">
        <f t="array" ref="M21">SUMPRODUCT(--(ISNUMBER(SEARCH($A21,'Diags Raw Data'!$A$6:$A$3898))),--('Diags Raw Data'!$Q$6:$Q$3898&lt;&gt;"N/A"),'Diags Raw Data'!$R$6:$R$3898)</f>
        <v>2</v>
      </c>
      <c r="N21" s="161">
        <f t="array" ref="N21">SUMPRODUCT(--(ISNUMBER(SEARCH($A21,'Diags Raw Data'!$A$6:$A$3898))),--('Diags Raw Data'!$Q$6:$Q$3898&lt;&gt;"N/A"),'Diags Raw Data'!$T$6:$T$3898)+SUMPRODUCT(--(ISNUMBER(SEARCH($A21,'Diags Raw Data'!$A$6:$A$3898))),--('Diags Raw Data'!$Q$6:$Q$3898&lt;&gt;"N/A"),'Diags Raw Data'!$U$6:$U$3898)</f>
        <v>2</v>
      </c>
      <c r="O21" s="162">
        <f t="shared" si="1"/>
        <v>1</v>
      </c>
      <c r="P21" s="163">
        <f>SUMIF('Diags Raw Data'!$A$6:$A$3898,"*"&amp;$A21&amp;"*",'Diags Raw Data'!$Z$6:$Z$3898)</f>
        <v>0</v>
      </c>
      <c r="Q21" s="172">
        <f>SUM(SUMIF('Diags Raw Data'!$A$6:$A$3898,"*"&amp;$A21&amp;"*",'Diags Raw Data'!$AA$6:$AA$3898),SUMIF('Diags Raw Data'!$A$6:$A$3898,"*"&amp;$A21&amp;"*",'Diags Raw Data'!$AB$6:$AB$3898))</f>
        <v>0</v>
      </c>
      <c r="R21" s="173">
        <f t="shared" si="2"/>
        <v>0</v>
      </c>
      <c r="S21" s="173">
        <f t="shared" si="3"/>
        <v>0</v>
      </c>
      <c r="T21" s="174">
        <f t="shared" si="4"/>
        <v>0</v>
      </c>
      <c r="U21" s="175"/>
      <c r="V21" s="166"/>
    </row>
    <row r="22" spans="1:23" ht="60.75" thickBot="1">
      <c r="A22" s="134" t="s">
        <v>660</v>
      </c>
      <c r="B22" s="139" t="str">
        <f>VLOOKUP(A22,'Feature Raw Data'!$A$3:$B$3923,2,FALSE)</f>
        <v>Perf Counters</v>
      </c>
      <c r="C22" s="140" t="str">
        <f>VLOOKUP(A22,'Feature Raw Data'!$A$3:$C$3923,3,FALSE)</f>
        <v>P2</v>
      </c>
      <c r="D22" s="141" t="str">
        <f t="array" ref="D22">_xlfn.TEXTJOIN("",TRUE,IF(ISNUMBER(SEARCH($A22,'Diags Raw Data'!$A$6:$A$3898)),CONCATENATE('Diags Raw Data'!$H$6:$H$3898,", "),""))</f>
        <v xml:space="preserve">AG059.003, AG059.004, AG059.005, AG059.006, </v>
      </c>
      <c r="E22" s="142" t="str">
        <f>VLOOKUP(A22,'Diags Raw Data'!$A$6:$D$3898,4,FALSE)</f>
        <v>nBIF</v>
      </c>
      <c r="F22" s="142" t="str">
        <f>VLOOKUP(A22,'Feature Raw Data'!$A$3:$E$3923,5,FALSE)</f>
        <v>Legacy</v>
      </c>
      <c r="G22" s="142" t="str">
        <f t="shared" si="6"/>
        <v>Yes</v>
      </c>
      <c r="H22" s="142" t="str">
        <f t="shared" si="0"/>
        <v>Yes</v>
      </c>
      <c r="I22" s="140">
        <f>SUMIF('Diags Raw Data'!$A$6:$A$3898,"*"&amp;$A22&amp;"*",'Diags Raw Data'!$K$6:$K$3898)</f>
        <v>4</v>
      </c>
      <c r="J22" s="157">
        <f>SUMIF('Diags Raw Data'!$A$6:$A$3898,"*"&amp;$A22&amp;"*",'Diags Raw Data'!$L$6:$L$3898)</f>
        <v>4</v>
      </c>
      <c r="K22" s="158">
        <f t="array" ref="K22">IF(D22="",0,SUMPRODUCT(--(ISNUMBER(SEARCH($A22,'Diags Raw Data'!$A$6:$A$3898))),'Diags Raw Data'!$L$6:$L$3898,'Diags Raw Data'!$N$6:$N$3898)/J22)</f>
        <v>1</v>
      </c>
      <c r="L22" s="159">
        <f t="array" ref="L22">IF(D22="",0,SUMPRODUCT(--(ISNUMBER(SEARCH($A22,'Diags Raw Data'!$A$6:$A$3898))),'Diags Raw Data'!$L$6:$L$3898,'Diags Raw Data'!$P$6:$P$3898)/J22)</f>
        <v>1</v>
      </c>
      <c r="M22" s="160">
        <f t="array" ref="M22">SUMPRODUCT(--(ISNUMBER(SEARCH($A22,'Diags Raw Data'!$A$6:$A$3898))),--('Diags Raw Data'!$Q$6:$Q$3898&lt;&gt;"N/A"),'Diags Raw Data'!$R$6:$R$3898)</f>
        <v>4</v>
      </c>
      <c r="N22" s="161">
        <f t="array" ref="N22">SUMPRODUCT(--(ISNUMBER(SEARCH($A22,'Diags Raw Data'!$A$6:$A$3898))),--('Diags Raw Data'!$Q$6:$Q$3898&lt;&gt;"N/A"),'Diags Raw Data'!$T$6:$T$3898)+SUMPRODUCT(--(ISNUMBER(SEARCH($A22,'Diags Raw Data'!$A$6:$A$3898))),--('Diags Raw Data'!$Q$6:$Q$3898&lt;&gt;"N/A"),'Diags Raw Data'!$U$6:$U$3898)</f>
        <v>4</v>
      </c>
      <c r="O22" s="162">
        <f t="shared" si="1"/>
        <v>1</v>
      </c>
      <c r="P22" s="163">
        <f>SUMIF('Diags Raw Data'!$A$6:$A$3898,"*"&amp;$A22&amp;"*",'Diags Raw Data'!$Z$6:$Z$3898)</f>
        <v>0</v>
      </c>
      <c r="Q22" s="172">
        <f>SUM(SUMIF('Diags Raw Data'!$A$6:$A$3898,"*"&amp;$A22&amp;"*",'Diags Raw Data'!$AA$6:$AA$3898),SUMIF('Diags Raw Data'!$A$6:$A$3898,"*"&amp;$A22&amp;"*",'Diags Raw Data'!$AB$6:$AB$3898))</f>
        <v>0</v>
      </c>
      <c r="R22" s="173">
        <f t="shared" si="2"/>
        <v>0</v>
      </c>
      <c r="S22" s="173">
        <f t="shared" si="3"/>
        <v>0</v>
      </c>
      <c r="T22" s="174">
        <f t="shared" si="4"/>
        <v>0</v>
      </c>
      <c r="U22" s="175"/>
      <c r="V22" s="502"/>
    </row>
    <row r="23" spans="1:23" ht="30.75" thickBot="1">
      <c r="A23" s="134" t="s">
        <v>400</v>
      </c>
      <c r="B23" s="139" t="str">
        <f>VLOOKUP(A23,'Feature Raw Data'!$A$3:$B$3923,2,FALSE)</f>
        <v>Resizable BAR enhancement for gfx's FB aperture</v>
      </c>
      <c r="C23" s="140" t="str">
        <f>VLOOKUP(A23,'Feature Raw Data'!$A$3:$C$3923,3,FALSE)</f>
        <v>P2</v>
      </c>
      <c r="D23" s="141" t="str">
        <f t="array" ref="D23">_xlfn.TEXTJOIN("",TRUE,IF(ISNUMBER(SEARCH($A23,'Diags Raw Data'!$A$6:$A$3898)),CONCATENATE('Diags Raw Data'!$H$6:$H$3898,", "),""))</f>
        <v xml:space="preserve">AG007.002, AG007.003, </v>
      </c>
      <c r="E23" s="142" t="str">
        <f>VLOOKUP(A23,'Diags Raw Data'!$A$6:$D$3898,4,FALSE)</f>
        <v>nBIF</v>
      </c>
      <c r="F23" s="142" t="str">
        <f>VLOOKUP(A23,'Feature Raw Data'!$A$3:$E$3923,5,FALSE)</f>
        <v>Legacy</v>
      </c>
      <c r="G23" s="142" t="str">
        <f t="shared" si="6"/>
        <v>Yes</v>
      </c>
      <c r="H23" s="142" t="str">
        <f t="shared" si="0"/>
        <v>Yes</v>
      </c>
      <c r="I23" s="140">
        <f>SUMIF('Diags Raw Data'!$A$6:$A$3898,"*"&amp;$A23&amp;"*",'Diags Raw Data'!$K$6:$K$3898)</f>
        <v>2</v>
      </c>
      <c r="J23" s="157">
        <f>SUMIF('Diags Raw Data'!$A$6:$A$3898,"*"&amp;$A23&amp;"*",'Diags Raw Data'!$L$6:$L$3898)</f>
        <v>2</v>
      </c>
      <c r="K23" s="158">
        <f t="array" ref="K23">IF(D23="",0,SUMPRODUCT(--(ISNUMBER(SEARCH($A23,'Diags Raw Data'!$A$6:$A$3898))),'Diags Raw Data'!$L$6:$L$3898,'Diags Raw Data'!$N$6:$N$3898)/J23)</f>
        <v>1</v>
      </c>
      <c r="L23" s="159">
        <f t="array" ref="L23">IF(D23="",0,SUMPRODUCT(--(ISNUMBER(SEARCH($A23,'Diags Raw Data'!$A$6:$A$3898))),'Diags Raw Data'!$L$6:$L$3898,'Diags Raw Data'!$P$6:$P$3898)/J23)</f>
        <v>1</v>
      </c>
      <c r="M23" s="160">
        <f t="array" ref="M23">SUMPRODUCT(--(ISNUMBER(SEARCH($A23,'Diags Raw Data'!$A$6:$A$3898))),--('Diags Raw Data'!$Q$6:$Q$3898&lt;&gt;"N/A"),'Diags Raw Data'!$R$6:$R$3898)</f>
        <v>2</v>
      </c>
      <c r="N23" s="161">
        <f t="array" ref="N23">SUMPRODUCT(--(ISNUMBER(SEARCH($A23,'Diags Raw Data'!$A$6:$A$3898))),--('Diags Raw Data'!$Q$6:$Q$3898&lt;&gt;"N/A"),'Diags Raw Data'!$T$6:$T$3898)+SUMPRODUCT(--(ISNUMBER(SEARCH($A23,'Diags Raw Data'!$A$6:$A$3898))),--('Diags Raw Data'!$Q$6:$Q$3898&lt;&gt;"N/A"),'Diags Raw Data'!$U$6:$U$3898)</f>
        <v>2</v>
      </c>
      <c r="O23" s="162">
        <f t="shared" si="1"/>
        <v>1</v>
      </c>
      <c r="P23" s="163">
        <f>SUMIF('Diags Raw Data'!$A$6:$A$3898,"*"&amp;$A23&amp;"*",'Diags Raw Data'!$Z$6:$Z$3898)</f>
        <v>0</v>
      </c>
      <c r="Q23" s="172">
        <f>SUM(SUMIF('Diags Raw Data'!$A$6:$A$3898,"*"&amp;$A23&amp;"*",'Diags Raw Data'!$AA$6:$AA$3898),SUMIF('Diags Raw Data'!$A$6:$A$3898,"*"&amp;$A23&amp;"*",'Diags Raw Data'!$AB$6:$AB$3898))</f>
        <v>0</v>
      </c>
      <c r="R23" s="173">
        <f t="shared" si="2"/>
        <v>0</v>
      </c>
      <c r="S23" s="173">
        <f t="shared" si="3"/>
        <v>0</v>
      </c>
      <c r="T23" s="174">
        <f t="shared" si="4"/>
        <v>0</v>
      </c>
      <c r="U23" s="175"/>
      <c r="V23" s="502"/>
    </row>
    <row r="24" spans="1:23" ht="30.75" thickBot="1">
      <c r="A24" s="134" t="s">
        <v>410</v>
      </c>
      <c r="B24" s="139" t="str">
        <f>VLOOKUP(A24,'Feature Raw Data'!$A$3:$B$3923,2,FALSE)</f>
        <v>Support Resizable for Doorbell Aper</v>
      </c>
      <c r="C24" s="140" t="str">
        <f>VLOOKUP(A24,'Feature Raw Data'!$A$3:$C$3923,3,FALSE)</f>
        <v>P1</v>
      </c>
      <c r="D24" s="141" t="str">
        <f t="array" ref="D24">_xlfn.TEXTJOIN("",TRUE,IF(ISNUMBER(SEARCH($A24,'Diags Raw Data'!$A$6:$A$3898)),CONCATENATE('Diags Raw Data'!$H$6:$H$3898,", "),""))</f>
        <v xml:space="preserve">AG007.007, AG007.008, </v>
      </c>
      <c r="E24" s="142" t="str">
        <f>VLOOKUP(A24,'Diags Raw Data'!$A$6:$D$3898,4,FALSE)</f>
        <v>nBIF</v>
      </c>
      <c r="F24" s="142" t="str">
        <f>VLOOKUP(A24,'Feature Raw Data'!$A$3:$E$3923,5,FALSE)</f>
        <v>Legacy</v>
      </c>
      <c r="G24" s="142" t="str">
        <f t="shared" si="6"/>
        <v>Yes</v>
      </c>
      <c r="H24" s="142" t="str">
        <f t="shared" si="0"/>
        <v>Yes</v>
      </c>
      <c r="I24" s="140">
        <f>SUMIF('Diags Raw Data'!$A$6:$A$3898,"*"&amp;$A24&amp;"*",'Diags Raw Data'!$K$6:$K$3898)</f>
        <v>2</v>
      </c>
      <c r="J24" s="157">
        <f>SUMIF('Diags Raw Data'!$A$6:$A$3898,"*"&amp;$A24&amp;"*",'Diags Raw Data'!$L$6:$L$3898)</f>
        <v>2</v>
      </c>
      <c r="K24" s="158">
        <f t="array" ref="K24">IF(D24="",0,SUMPRODUCT(--(ISNUMBER(SEARCH($A24,'Diags Raw Data'!$A$6:$A$3898))),'Diags Raw Data'!$L$6:$L$3898,'Diags Raw Data'!$N$6:$N$3898)/J24)</f>
        <v>1</v>
      </c>
      <c r="L24" s="159">
        <f t="array" ref="L24">IF(D24="",0,SUMPRODUCT(--(ISNUMBER(SEARCH($A24,'Diags Raw Data'!$A$6:$A$3898))),'Diags Raw Data'!$L$6:$L$3898,'Diags Raw Data'!$P$6:$P$3898)/J24)</f>
        <v>1</v>
      </c>
      <c r="M24" s="160">
        <f t="array" ref="M24">SUMPRODUCT(--(ISNUMBER(SEARCH($A24,'Diags Raw Data'!$A$6:$A$3898))),--('Diags Raw Data'!$Q$6:$Q$3898&lt;&gt;"N/A"),'Diags Raw Data'!$R$6:$R$3898)</f>
        <v>2</v>
      </c>
      <c r="N24" s="161">
        <f t="array" ref="N24">SUMPRODUCT(--(ISNUMBER(SEARCH($A24,'Diags Raw Data'!$A$6:$A$3898))),--('Diags Raw Data'!$Q$6:$Q$3898&lt;&gt;"N/A"),'Diags Raw Data'!$T$6:$T$3898)+SUMPRODUCT(--(ISNUMBER(SEARCH($A24,'Diags Raw Data'!$A$6:$A$3898))),--('Diags Raw Data'!$Q$6:$Q$3898&lt;&gt;"N/A"),'Diags Raw Data'!$U$6:$U$3898)</f>
        <v>2</v>
      </c>
      <c r="O24" s="162">
        <f t="shared" si="1"/>
        <v>1</v>
      </c>
      <c r="P24" s="163">
        <f>SUMIF('Diags Raw Data'!$A$6:$A$3898,"*"&amp;$A24&amp;"*",'Diags Raw Data'!$Z$6:$Z$3898)</f>
        <v>0</v>
      </c>
      <c r="Q24" s="172">
        <f>SUM(SUMIF('Diags Raw Data'!$A$6:$A$3898,"*"&amp;$A24&amp;"*",'Diags Raw Data'!$AA$6:$AA$3898),SUMIF('Diags Raw Data'!$A$6:$A$3898,"*"&amp;$A24&amp;"*",'Diags Raw Data'!$AB$6:$AB$3898))</f>
        <v>0</v>
      </c>
      <c r="R24" s="173">
        <f t="shared" si="2"/>
        <v>0</v>
      </c>
      <c r="S24" s="173">
        <f t="shared" si="3"/>
        <v>0</v>
      </c>
      <c r="T24" s="174">
        <f t="shared" si="4"/>
        <v>0</v>
      </c>
      <c r="U24" s="175"/>
      <c r="V24" s="166"/>
    </row>
    <row r="25" spans="1:23" ht="30.75" thickBot="1">
      <c r="A25" s="134" t="s">
        <v>628</v>
      </c>
      <c r="B25" s="139" t="str">
        <f>VLOOKUP(A25,'Feature Raw Data'!$A$3:$B$3923,2,FALSE)</f>
        <v>Doorbell sub-decoding to avoid multicast for doorbell trans in SOC15</v>
      </c>
      <c r="C25" s="140" t="str">
        <f>VLOOKUP(A25,'Feature Raw Data'!$A$3:$C$3923,3,FALSE)</f>
        <v>P2</v>
      </c>
      <c r="D25" s="141" t="str">
        <f t="array" ref="D25">_xlfn.TEXTJOIN("",TRUE,IF(ISNUMBER(SEARCH($A25,'Diags Raw Data'!$A$6:$A$3898)),CONCATENATE('Diags Raw Data'!$H$6:$H$3898,", "),""))</f>
        <v xml:space="preserve">AG044.003, AG044.004, </v>
      </c>
      <c r="E25" s="142" t="str">
        <f>VLOOKUP(A25,'Diags Raw Data'!$A$6:$D$3898,4,FALSE)</f>
        <v>nBIF</v>
      </c>
      <c r="F25" s="142" t="str">
        <f>VLOOKUP(A25,'Feature Raw Data'!$A$3:$E$3923,5,FALSE)</f>
        <v>Legacy</v>
      </c>
      <c r="G25" s="142" t="str">
        <f t="shared" si="6"/>
        <v>Yes</v>
      </c>
      <c r="H25" s="142" t="str">
        <f t="shared" si="0"/>
        <v>Yes</v>
      </c>
      <c r="I25" s="140">
        <f>SUMIF('Diags Raw Data'!$A$6:$A$3898,"*"&amp;$A25&amp;"*",'Diags Raw Data'!$K$6:$K$3898)</f>
        <v>2</v>
      </c>
      <c r="J25" s="157">
        <f>SUMIF('Diags Raw Data'!$A$6:$A$3898,"*"&amp;$A25&amp;"*",'Diags Raw Data'!$L$6:$L$3898)</f>
        <v>2</v>
      </c>
      <c r="K25" s="158">
        <f t="array" ref="K25">IF(D25="",0,SUMPRODUCT(--(ISNUMBER(SEARCH($A25,'Diags Raw Data'!$A$6:$A$3898))),'Diags Raw Data'!$L$6:$L$3898,'Diags Raw Data'!$N$6:$N$3898)/J25)</f>
        <v>1</v>
      </c>
      <c r="L25" s="159">
        <f t="array" ref="L25">IF(D25="",0,SUMPRODUCT(--(ISNUMBER(SEARCH($A25,'Diags Raw Data'!$A$6:$A$3898))),'Diags Raw Data'!$L$6:$L$3898,'Diags Raw Data'!$P$6:$P$3898)/J25)</f>
        <v>1</v>
      </c>
      <c r="M25" s="160">
        <f t="array" ref="M25">SUMPRODUCT(--(ISNUMBER(SEARCH($A25,'Diags Raw Data'!$A$6:$A$3898))),--('Diags Raw Data'!$Q$6:$Q$3898&lt;&gt;"N/A"),'Diags Raw Data'!$R$6:$R$3898)</f>
        <v>2</v>
      </c>
      <c r="N25" s="161">
        <f t="array" ref="N25">SUMPRODUCT(--(ISNUMBER(SEARCH($A25,'Diags Raw Data'!$A$6:$A$3898))),--('Diags Raw Data'!$Q$6:$Q$3898&lt;&gt;"N/A"),'Diags Raw Data'!$T$6:$T$3898)+SUMPRODUCT(--(ISNUMBER(SEARCH($A25,'Diags Raw Data'!$A$6:$A$3898))),--('Diags Raw Data'!$Q$6:$Q$3898&lt;&gt;"N/A"),'Diags Raw Data'!$U$6:$U$3898)</f>
        <v>0</v>
      </c>
      <c r="O25" s="162">
        <f t="shared" si="1"/>
        <v>0</v>
      </c>
      <c r="P25" s="163">
        <f>SUMIF('Diags Raw Data'!$A$6:$A$3898,"*"&amp;$A25&amp;"*",'Diags Raw Data'!$Z$6:$Z$3898)</f>
        <v>0</v>
      </c>
      <c r="Q25" s="172">
        <f>SUM(SUMIF('Diags Raw Data'!$A$6:$A$3898,"*"&amp;$A25&amp;"*",'Diags Raw Data'!$AA$6:$AA$3898),SUMIF('Diags Raw Data'!$A$6:$A$3898,"*"&amp;$A25&amp;"*",'Diags Raw Data'!$AB$6:$AB$3898))</f>
        <v>0</v>
      </c>
      <c r="R25" s="173">
        <f t="shared" si="2"/>
        <v>0</v>
      </c>
      <c r="S25" s="173">
        <f t="shared" si="3"/>
        <v>0</v>
      </c>
      <c r="T25" s="174">
        <f t="shared" si="4"/>
        <v>0</v>
      </c>
      <c r="U25" s="175"/>
      <c r="V25" s="166"/>
    </row>
    <row r="26" spans="1:23" ht="45">
      <c r="A26" s="134" t="s">
        <v>970</v>
      </c>
      <c r="B26" s="139" t="str">
        <f>VLOOKUP(A26,'Feature Raw Data'!$A$3:$B$3923,2,FALSE)</f>
        <v>ACPI (D3 state)</v>
      </c>
      <c r="C26" s="140" t="str">
        <f>VLOOKUP(A26,'Feature Raw Data'!$A$3:$C$3923,3,FALSE)</f>
        <v>P2</v>
      </c>
      <c r="D26" s="141" t="str">
        <f t="array" ref="D26">_xlfn.TEXTJOIN("",TRUE,IF(ISNUMBER(SEARCH($A26,'Diags Raw Data'!$A$6:$A$3898)),CONCATENATE('Diags Raw Data'!$H$6:$H$3898,", "),""))</f>
        <v/>
      </c>
      <c r="E26" s="142" t="e">
        <f>VLOOKUP(A26,'Diags Raw Data'!$A$6:$D$3898,4,FALSE)</f>
        <v>#N/A</v>
      </c>
      <c r="F26" s="142" t="str">
        <f>VLOOKUP(A26,'Feature Raw Data'!$A$3:$E$3923,5,FALSE)</f>
        <v>Legacy</v>
      </c>
      <c r="G26" s="142" t="s">
        <v>31</v>
      </c>
      <c r="H26" s="142" t="str">
        <f t="shared" si="0"/>
        <v>No</v>
      </c>
      <c r="I26" s="140">
        <f>SUMIF('Diags Raw Data'!$A$6:$A$3898,"*"&amp;$A26&amp;"*",'Diags Raw Data'!$K$6:$K$3898)</f>
        <v>0</v>
      </c>
      <c r="J26" s="157">
        <f>SUMIF('Diags Raw Data'!$A$6:$A$3898,"*"&amp;$A26&amp;"*",'Diags Raw Data'!$L$6:$L$3898)</f>
        <v>0</v>
      </c>
      <c r="K26" s="158">
        <f t="array" ref="K26">IF(D26="",0,SUMPRODUCT(--(ISNUMBER(SEARCH($A26,'Diags Raw Data'!$A$6:$A$3898))),'Diags Raw Data'!$L$6:$L$3898,'Diags Raw Data'!$N$6:$N$3898)/J26)</f>
        <v>0</v>
      </c>
      <c r="L26" s="159">
        <f t="array" ref="L26">IF(D26="",0,SUMPRODUCT(--(ISNUMBER(SEARCH($A26,'Diags Raw Data'!$A$6:$A$3898))),'Diags Raw Data'!$L$6:$L$3898,'Diags Raw Data'!$P$6:$P$3898)/J26)</f>
        <v>0</v>
      </c>
      <c r="M26" s="160">
        <f t="array" ref="M26">SUMPRODUCT(--(ISNUMBER(SEARCH($A26,'Diags Raw Data'!$A$6:$A$3898))),--('Diags Raw Data'!$Q$6:$Q$3898&lt;&gt;"N/A"),'Diags Raw Data'!$R$6:$R$3898)</f>
        <v>0</v>
      </c>
      <c r="N26" s="161">
        <f t="array" ref="N26">SUMPRODUCT(--(ISNUMBER(SEARCH($A26,'Diags Raw Data'!$A$6:$A$3898))),--('Diags Raw Data'!$Q$6:$Q$3898&lt;&gt;"N/A"),'Diags Raw Data'!$T$6:$T$3898)+SUMPRODUCT(--(ISNUMBER(SEARCH($A26,'Diags Raw Data'!$A$6:$A$3898))),--('Diags Raw Data'!$Q$6:$Q$3898&lt;&gt;"N/A"),'Diags Raw Data'!$U$6:$U$3898)</f>
        <v>0</v>
      </c>
      <c r="O26" s="162">
        <f t="shared" si="1"/>
        <v>0</v>
      </c>
      <c r="P26" s="163">
        <f>SUMIF('Diags Raw Data'!$A$6:$A$3898,"*"&amp;$A26&amp;"*",'Diags Raw Data'!$Z$6:$Z$3898)</f>
        <v>0</v>
      </c>
      <c r="Q26" s="172">
        <f>SUM(SUMIF('Diags Raw Data'!$A$6:$A$3898,"*"&amp;$A26&amp;"*",'Diags Raw Data'!$AA$6:$AA$3898),SUMIF('Diags Raw Data'!$A$6:$A$3898,"*"&amp;$A26&amp;"*",'Diags Raw Data'!$AB$6:$AB$3898))</f>
        <v>0</v>
      </c>
      <c r="R26" s="173">
        <f t="shared" si="2"/>
        <v>0</v>
      </c>
      <c r="S26" s="173">
        <f t="shared" si="3"/>
        <v>0</v>
      </c>
      <c r="T26" s="174">
        <f t="shared" si="4"/>
        <v>0</v>
      </c>
      <c r="U26" s="175"/>
      <c r="V26" s="166"/>
      <c r="W26" s="121" t="s">
        <v>1114</v>
      </c>
    </row>
    <row r="27" spans="1:23" ht="60">
      <c r="A27" s="134" t="s">
        <v>972</v>
      </c>
      <c r="B27" s="139" t="str">
        <f>VLOOKUP(A27,'Feature Raw Data'!$A$3:$B$3923,2,FALSE)</f>
        <v>Latency Tolerance Reporting</v>
      </c>
      <c r="C27" s="140" t="str">
        <f>VLOOKUP(A27,'Feature Raw Data'!$A$3:$C$3923,3,FALSE)</f>
        <v>P2</v>
      </c>
      <c r="D27" s="141" t="str">
        <f t="array" ref="D27">_xlfn.TEXTJOIN("",TRUE,IF(ISNUMBER(SEARCH($A27,'Diags Raw Data'!$A$6:$A$3898)),CONCATENATE('Diags Raw Data'!$H$6:$H$3898,", "),""))</f>
        <v/>
      </c>
      <c r="E27" s="142" t="e">
        <f>VLOOKUP(A27,'Diags Raw Data'!$A$6:$D$3898,4,FALSE)</f>
        <v>#N/A</v>
      </c>
      <c r="F27" s="142" t="str">
        <f>VLOOKUP(A27,'Feature Raw Data'!$A$3:$E$3923,5,FALSE)</f>
        <v>Legacy</v>
      </c>
      <c r="G27" s="142" t="s">
        <v>36</v>
      </c>
      <c r="H27" s="142" t="str">
        <f t="shared" si="0"/>
        <v>No</v>
      </c>
      <c r="I27" s="140">
        <f>SUMIF('Diags Raw Data'!$A$6:$A$3898,"*"&amp;$A27&amp;"*",'Diags Raw Data'!$K$6:$K$3898)</f>
        <v>0</v>
      </c>
      <c r="J27" s="157">
        <f>SUMIF('Diags Raw Data'!$A$6:$A$3898,"*"&amp;$A27&amp;"*",'Diags Raw Data'!$L$6:$L$3898)</f>
        <v>0</v>
      </c>
      <c r="K27" s="158">
        <f t="array" ref="K27">IF(D27="",0,SUMPRODUCT(--(ISNUMBER(SEARCH($A27,'Diags Raw Data'!$A$6:$A$3898))),'Diags Raw Data'!$L$6:$L$3898,'Diags Raw Data'!$N$6:$N$3898)/J27)</f>
        <v>0</v>
      </c>
      <c r="L27" s="159">
        <f t="array" ref="L27">IF(D27="",0,SUMPRODUCT(--(ISNUMBER(SEARCH($A27,'Diags Raw Data'!$A$6:$A$3898))),'Diags Raw Data'!$L$6:$L$3898,'Diags Raw Data'!$P$6:$P$3898)/J27)</f>
        <v>0</v>
      </c>
      <c r="M27" s="160">
        <f t="array" ref="M27">SUMPRODUCT(--(ISNUMBER(SEARCH($A27,'Diags Raw Data'!$A$6:$A$3898))),--('Diags Raw Data'!$Q$6:$Q$3898&lt;&gt;"N/A"),'Diags Raw Data'!$R$6:$R$3898)</f>
        <v>0</v>
      </c>
      <c r="N27" s="161">
        <f t="array" ref="N27">SUMPRODUCT(--(ISNUMBER(SEARCH($A27,'Diags Raw Data'!$A$6:$A$3898))),--('Diags Raw Data'!$Q$6:$Q$3898&lt;&gt;"N/A"),'Diags Raw Data'!$T$6:$T$3898)+SUMPRODUCT(--(ISNUMBER(SEARCH($A27,'Diags Raw Data'!$A$6:$A$3898))),--('Diags Raw Data'!$Q$6:$Q$3898&lt;&gt;"N/A"),'Diags Raw Data'!$U$6:$U$3898)</f>
        <v>0</v>
      </c>
      <c r="O27" s="162">
        <f t="shared" si="1"/>
        <v>0</v>
      </c>
      <c r="P27" s="163">
        <f>SUMIF('Diags Raw Data'!$A$6:$A$3898,"*"&amp;$A27&amp;"*",'Diags Raw Data'!$Z$6:$Z$3898)</f>
        <v>0</v>
      </c>
      <c r="Q27" s="172">
        <f>SUM(SUMIF('Diags Raw Data'!$A$6:$A$3898,"*"&amp;$A27&amp;"*",'Diags Raw Data'!$AA$6:$AA$3898),SUMIF('Diags Raw Data'!$A$6:$A$3898,"*"&amp;$A27&amp;"*",'Diags Raw Data'!$AB$6:$AB$3898))</f>
        <v>0</v>
      </c>
      <c r="R27" s="173">
        <f t="shared" si="2"/>
        <v>0</v>
      </c>
      <c r="S27" s="173">
        <f t="shared" si="3"/>
        <v>0</v>
      </c>
      <c r="T27" s="174">
        <f t="shared" si="4"/>
        <v>0</v>
      </c>
      <c r="U27" s="175"/>
      <c r="V27" s="166" t="s">
        <v>1115</v>
      </c>
    </row>
    <row r="28" spans="1:23" ht="30.75" thickBot="1">
      <c r="A28" s="134" t="s">
        <v>597</v>
      </c>
      <c r="B28" s="139" t="str">
        <f>VLOOKUP(A28,'Feature Raw Data'!$A$3:$B$3923,2,FALSE)</f>
        <v>Multi-function support</v>
      </c>
      <c r="C28" s="140" t="str">
        <f>VLOOKUP(A28,'Feature Raw Data'!$A$3:$C$3923,3,FALSE)</f>
        <v>P2</v>
      </c>
      <c r="D28" s="141" t="str">
        <f t="array" ref="D28">_xlfn.TEXTJOIN("",TRUE,IF(ISNUMBER(SEARCH($A28,'Diags Raw Data'!$A$6:$A$3898)),CONCATENATE('Diags Raw Data'!$H$6:$H$3898,", "),""))</f>
        <v xml:space="preserve">AG033.001, AG033.003, </v>
      </c>
      <c r="E28" s="142" t="str">
        <f>VLOOKUP(A28,'Diags Raw Data'!$A$6:$D$3898,4,FALSE)</f>
        <v>nBIF</v>
      </c>
      <c r="F28" s="142" t="str">
        <f>VLOOKUP(A28,'Feature Raw Data'!$A$3:$E$3923,5,FALSE)</f>
        <v>Legacy</v>
      </c>
      <c r="G28" s="142" t="str">
        <f t="shared" si="6"/>
        <v>Yes</v>
      </c>
      <c r="H28" s="142" t="str">
        <f t="shared" si="0"/>
        <v>Yes</v>
      </c>
      <c r="I28" s="140">
        <f>SUMIF('Diags Raw Data'!$A$6:$A$3898,"*"&amp;$A28&amp;"*",'Diags Raw Data'!$K$6:$K$3898)</f>
        <v>2</v>
      </c>
      <c r="J28" s="157">
        <f>SUMIF('Diags Raw Data'!$A$6:$A$3898,"*"&amp;$A28&amp;"*",'Diags Raw Data'!$L$6:$L$3898)</f>
        <v>2</v>
      </c>
      <c r="K28" s="158">
        <f t="array" ref="K28">IF(D28="",0,SUMPRODUCT(--(ISNUMBER(SEARCH($A28,'Diags Raw Data'!$A$6:$A$3898))),'Diags Raw Data'!$L$6:$L$3898,'Diags Raw Data'!$N$6:$N$3898)/J28)</f>
        <v>1</v>
      </c>
      <c r="L28" s="159">
        <f t="array" ref="L28">IF(D28="",0,SUMPRODUCT(--(ISNUMBER(SEARCH($A28,'Diags Raw Data'!$A$6:$A$3898))),'Diags Raw Data'!$L$6:$L$3898,'Diags Raw Data'!$P$6:$P$3898)/J28)</f>
        <v>1</v>
      </c>
      <c r="M28" s="160">
        <f t="array" ref="M28">SUMPRODUCT(--(ISNUMBER(SEARCH($A28,'Diags Raw Data'!$A$6:$A$3898))),--('Diags Raw Data'!$Q$6:$Q$3898&lt;&gt;"N/A"),'Diags Raw Data'!$R$6:$R$3898)</f>
        <v>2</v>
      </c>
      <c r="N28" s="161">
        <f t="array" ref="N28">SUMPRODUCT(--(ISNUMBER(SEARCH($A28,'Diags Raw Data'!$A$6:$A$3898))),--('Diags Raw Data'!$Q$6:$Q$3898&lt;&gt;"N/A"),'Diags Raw Data'!$T$6:$T$3898)+SUMPRODUCT(--(ISNUMBER(SEARCH($A28,'Diags Raw Data'!$A$6:$A$3898))),--('Diags Raw Data'!$Q$6:$Q$3898&lt;&gt;"N/A"),'Diags Raw Data'!$U$6:$U$3898)</f>
        <v>0</v>
      </c>
      <c r="O28" s="162">
        <f t="shared" si="1"/>
        <v>0</v>
      </c>
      <c r="P28" s="163">
        <f>SUMIF('Diags Raw Data'!$A$6:$A$3898,"*"&amp;$A28&amp;"*",'Diags Raw Data'!$Z$6:$Z$3898)</f>
        <v>0</v>
      </c>
      <c r="Q28" s="172">
        <f>SUM(SUMIF('Diags Raw Data'!$A$6:$A$3898,"*"&amp;$A28&amp;"*",'Diags Raw Data'!$AA$6:$AA$3898),SUMIF('Diags Raw Data'!$A$6:$A$3898,"*"&amp;$A28&amp;"*",'Diags Raw Data'!$AB$6:$AB$3898))</f>
        <v>0</v>
      </c>
      <c r="R28" s="173">
        <f t="shared" si="2"/>
        <v>0</v>
      </c>
      <c r="S28" s="173">
        <f t="shared" si="3"/>
        <v>0</v>
      </c>
      <c r="T28" s="174">
        <f t="shared" si="4"/>
        <v>0</v>
      </c>
      <c r="U28" s="175"/>
      <c r="V28" s="166"/>
    </row>
    <row r="29" spans="1:23" ht="30.75" thickBot="1">
      <c r="A29" s="134" t="s">
        <v>679</v>
      </c>
      <c r="B29" s="139" t="str">
        <f>VLOOKUP(A29,'Feature Raw Data'!$A$3:$B$3923,2,FALSE)</f>
        <v>Bus_master_en control</v>
      </c>
      <c r="C29" s="140" t="str">
        <f>VLOOKUP(A29,'Feature Raw Data'!$A$3:$C$3923,3,FALSE)</f>
        <v>P2</v>
      </c>
      <c r="D29" s="141" t="str">
        <f t="array" ref="D29">_xlfn.TEXTJOIN("",TRUE,IF(ISNUMBER(SEARCH($A29,'Diags Raw Data'!$A$6:$A$3898)),CONCATENATE('Diags Raw Data'!$H$6:$H$3898,", "),""))</f>
        <v xml:space="preserve">AG065.001, AG065.002, </v>
      </c>
      <c r="E29" s="142" t="str">
        <f>VLOOKUP(A29,'Diags Raw Data'!$A$6:$D$3898,4,FALSE)</f>
        <v>nBIF</v>
      </c>
      <c r="F29" s="142" t="str">
        <f>VLOOKUP(A29,'Feature Raw Data'!$A$3:$E$3923,5,FALSE)</f>
        <v>Legacy</v>
      </c>
      <c r="G29" s="142" t="str">
        <f t="shared" si="6"/>
        <v>Yes</v>
      </c>
      <c r="H29" s="142" t="str">
        <f t="shared" si="0"/>
        <v>Yes</v>
      </c>
      <c r="I29" s="140">
        <f>SUMIF('Diags Raw Data'!$A$6:$A$3898,"*"&amp;$A29&amp;"*",'Diags Raw Data'!$K$6:$K$3898)</f>
        <v>2</v>
      </c>
      <c r="J29" s="157">
        <f>SUMIF('Diags Raw Data'!$A$6:$A$3898,"*"&amp;$A29&amp;"*",'Diags Raw Data'!$L$6:$L$3898)</f>
        <v>2</v>
      </c>
      <c r="K29" s="158">
        <f t="array" ref="K29">IF(D29="",0,SUMPRODUCT(--(ISNUMBER(SEARCH($A29,'Diags Raw Data'!$A$6:$A$3898))),'Diags Raw Data'!$L$6:$L$3898,'Diags Raw Data'!$N$6:$N$3898)/J29)</f>
        <v>1</v>
      </c>
      <c r="L29" s="159">
        <f t="array" ref="L29">IF(D29="",0,SUMPRODUCT(--(ISNUMBER(SEARCH($A29,'Diags Raw Data'!$A$6:$A$3898))),'Diags Raw Data'!$L$6:$L$3898,'Diags Raw Data'!$P$6:$P$3898)/J29)</f>
        <v>1</v>
      </c>
      <c r="M29" s="160">
        <f t="array" ref="M29">SUMPRODUCT(--(ISNUMBER(SEARCH($A29,'Diags Raw Data'!$A$6:$A$3898))),--('Diags Raw Data'!$Q$6:$Q$3898&lt;&gt;"N/A"),'Diags Raw Data'!$R$6:$R$3898)</f>
        <v>2</v>
      </c>
      <c r="N29" s="161">
        <f t="array" ref="N29">SUMPRODUCT(--(ISNUMBER(SEARCH($A29,'Diags Raw Data'!$A$6:$A$3898))),--('Diags Raw Data'!$Q$6:$Q$3898&lt;&gt;"N/A"),'Diags Raw Data'!$T$6:$T$3898)+SUMPRODUCT(--(ISNUMBER(SEARCH($A29,'Diags Raw Data'!$A$6:$A$3898))),--('Diags Raw Data'!$Q$6:$Q$3898&lt;&gt;"N/A"),'Diags Raw Data'!$U$6:$U$3898)</f>
        <v>0</v>
      </c>
      <c r="O29" s="162">
        <f t="shared" si="1"/>
        <v>0</v>
      </c>
      <c r="P29" s="163">
        <f>SUMIF('Diags Raw Data'!$A$6:$A$3898,"*"&amp;$A29&amp;"*",'Diags Raw Data'!$Z$6:$Z$3898)</f>
        <v>0</v>
      </c>
      <c r="Q29" s="172">
        <f>SUM(SUMIF('Diags Raw Data'!$A$6:$A$3898,"*"&amp;$A29&amp;"*",'Diags Raw Data'!$AA$6:$AA$3898),SUMIF('Diags Raw Data'!$A$6:$A$3898,"*"&amp;$A29&amp;"*",'Diags Raw Data'!$AB$6:$AB$3898))</f>
        <v>0</v>
      </c>
      <c r="R29" s="173">
        <f t="shared" si="2"/>
        <v>0</v>
      </c>
      <c r="S29" s="173">
        <f t="shared" si="3"/>
        <v>0</v>
      </c>
      <c r="T29" s="174">
        <f t="shared" si="4"/>
        <v>0</v>
      </c>
      <c r="U29" s="175"/>
      <c r="V29" s="166"/>
    </row>
    <row r="30" spans="1:23" ht="49.5" customHeight="1" thickBot="1">
      <c r="A30" s="134" t="s">
        <v>848</v>
      </c>
      <c r="B30" s="139" t="str">
        <f>VLOOKUP(A30,'Feature Raw Data'!$A$3:$B$3923,2,FALSE)</f>
        <v xml:space="preserve">Atomic Op </v>
      </c>
      <c r="C30" s="140" t="str">
        <f>VLOOKUP(A30,'Feature Raw Data'!$A$3:$C$3923,3,FALSE)</f>
        <v>P2</v>
      </c>
      <c r="D30" s="141" t="str">
        <f t="array" ref="D30">_xlfn.TEXTJOIN("",TRUE,IF(ISNUMBER(SEARCH($A30,'Diags Raw Data'!$A$6:$A$3898)),CONCATENATE('Diags Raw Data'!$H$6:$H$3898,", "),""))</f>
        <v xml:space="preserve">AG902.1, AG902.2, AG902.3, AG902.4, AG902.5, AG904.1, </v>
      </c>
      <c r="E30" s="142" t="str">
        <f>VLOOKUP(A30,'Diags Raw Data'!$A$6:$D$3898,4,FALSE)</f>
        <v>PCIE</v>
      </c>
      <c r="F30" s="142" t="str">
        <f>VLOOKUP(A30,'Feature Raw Data'!$A$3:$E$3923,5,FALSE)</f>
        <v>Legacy</v>
      </c>
      <c r="G30" s="501" t="s">
        <v>31</v>
      </c>
      <c r="H30" s="142" t="str">
        <f t="shared" si="0"/>
        <v>Yes</v>
      </c>
      <c r="I30" s="140">
        <f>SUMIF('Diags Raw Data'!$A$6:$A$3898,"*"&amp;$A30&amp;"*",'Diags Raw Data'!$K$6:$K$3898)</f>
        <v>6</v>
      </c>
      <c r="J30" s="157">
        <f>SUMIF('Diags Raw Data'!$A$6:$A$3898,"*"&amp;$A30&amp;"*",'Diags Raw Data'!$L$6:$L$3898)</f>
        <v>6</v>
      </c>
      <c r="K30" s="158">
        <f t="array" ref="K30">IF(D30="",0,SUMPRODUCT(--(ISNUMBER(SEARCH($A30,'Diags Raw Data'!$A$6:$A$3898))),'Diags Raw Data'!$L$6:$L$3898,'Diags Raw Data'!$N$6:$N$3898)/J30)</f>
        <v>1</v>
      </c>
      <c r="L30" s="159">
        <f t="array" ref="L30">IF(D30="",0,SUMPRODUCT(--(ISNUMBER(SEARCH($A30,'Diags Raw Data'!$A$6:$A$3898))),'Diags Raw Data'!$L$6:$L$3898,'Diags Raw Data'!$P$6:$P$3898)/J30)</f>
        <v>1</v>
      </c>
      <c r="M30" s="160">
        <f t="array" ref="M30">SUMPRODUCT(--(ISNUMBER(SEARCH($A30,'Diags Raw Data'!$A$6:$A$3898))),--('Diags Raw Data'!$Q$6:$Q$3898&lt;&gt;"N/A"),'Diags Raw Data'!$R$6:$R$3898)</f>
        <v>6</v>
      </c>
      <c r="N30" s="161">
        <f t="array" ref="N30">SUMPRODUCT(--(ISNUMBER(SEARCH($A30,'Diags Raw Data'!$A$6:$A$3898))),--('Diags Raw Data'!$Q$6:$Q$3898&lt;&gt;"N/A"),'Diags Raw Data'!$T$6:$T$3898)+SUMPRODUCT(--(ISNUMBER(SEARCH($A30,'Diags Raw Data'!$A$6:$A$3898))),--('Diags Raw Data'!$Q$6:$Q$3898&lt;&gt;"N/A"),'Diags Raw Data'!$U$6:$U$3898)</f>
        <v>0</v>
      </c>
      <c r="O30" s="162">
        <f t="shared" si="1"/>
        <v>0</v>
      </c>
      <c r="P30" s="163">
        <f>SUMIF('Diags Raw Data'!$A$6:$A$3898,"*"&amp;$A30&amp;"*",'Diags Raw Data'!$Z$6:$Z$3898)</f>
        <v>0</v>
      </c>
      <c r="Q30" s="172">
        <f>SUM(SUMIF('Diags Raw Data'!$A$6:$A$3898,"*"&amp;$A30&amp;"*",'Diags Raw Data'!$AA$6:$AA$3898),SUMIF('Diags Raw Data'!$A$6:$A$3898,"*"&amp;$A30&amp;"*",'Diags Raw Data'!$AB$6:$AB$3898))</f>
        <v>0</v>
      </c>
      <c r="R30" s="173">
        <f t="shared" si="2"/>
        <v>0</v>
      </c>
      <c r="S30" s="173">
        <f t="shared" si="3"/>
        <v>0</v>
      </c>
      <c r="T30" s="174">
        <f t="shared" si="4"/>
        <v>0</v>
      </c>
      <c r="U30" s="175"/>
      <c r="V30" s="166"/>
      <c r="W30" s="500"/>
    </row>
    <row r="31" spans="1:23" ht="60">
      <c r="A31" s="134" t="s">
        <v>975</v>
      </c>
      <c r="B31" s="139" t="str">
        <f>VLOOKUP(A31,'Feature Raw Data'!$A$3:$B$3923,2,FALSE)</f>
        <v>PCIECV (SI lab does execution)</v>
      </c>
      <c r="C31" s="140" t="str">
        <f>VLOOKUP(A31,'Feature Raw Data'!$A$3:$C$3923,3,FALSE)</f>
        <v>P2</v>
      </c>
      <c r="D31" s="141" t="str">
        <f t="array" ref="D31">_xlfn.TEXTJOIN("",TRUE,IF(ISNUMBER(SEARCH($A31,'Diags Raw Data'!$A$6:$A$3898)),CONCATENATE('Diags Raw Data'!$H$6:$H$3898,", "),""))</f>
        <v/>
      </c>
      <c r="E31" s="142" t="e">
        <f>VLOOKUP(A31,'Diags Raw Data'!$A$6:$D$3898,4,FALSE)</f>
        <v>#N/A</v>
      </c>
      <c r="F31" s="142" t="str">
        <f>VLOOKUP(A31,'Feature Raw Data'!$A$3:$E$3923,5,FALSE)</f>
        <v>Legacy</v>
      </c>
      <c r="G31" s="142" t="str">
        <f>IF(D31="","No","Yes")</f>
        <v>No</v>
      </c>
      <c r="H31" s="142" t="str">
        <f t="shared" si="0"/>
        <v>No</v>
      </c>
      <c r="I31" s="140">
        <f>SUMIF('Diags Raw Data'!$A$6:$A$3898,"*"&amp;$A31&amp;"*",'Diags Raw Data'!$K$6:$K$3898)</f>
        <v>0</v>
      </c>
      <c r="J31" s="157">
        <f>SUMIF('Diags Raw Data'!$A$6:$A$3898,"*"&amp;$A31&amp;"*",'Diags Raw Data'!$L$6:$L$3898)</f>
        <v>0</v>
      </c>
      <c r="K31" s="158">
        <f t="array" ref="K31">IF(D31="",0,SUMPRODUCT(--(ISNUMBER(SEARCH($A31,'Diags Raw Data'!$A$6:$A$3898))),'Diags Raw Data'!$L$6:$L$3898,'Diags Raw Data'!$N$6:$N$3898)/J31)</f>
        <v>0</v>
      </c>
      <c r="L31" s="159">
        <f t="array" ref="L31">IF(D31="",0,SUMPRODUCT(--(ISNUMBER(SEARCH($A31,'Diags Raw Data'!$A$6:$A$3898))),'Diags Raw Data'!$L$6:$L$3898,'Diags Raw Data'!$P$6:$P$3898)/J31)</f>
        <v>0</v>
      </c>
      <c r="M31" s="160">
        <f t="array" ref="M31">SUMPRODUCT(--(ISNUMBER(SEARCH($A31,'Diags Raw Data'!$A$6:$A$3898))),--('Diags Raw Data'!$Q$6:$Q$3898&lt;&gt;"N/A"),'Diags Raw Data'!$R$6:$R$3898)</f>
        <v>0</v>
      </c>
      <c r="N31" s="161">
        <f t="array" ref="N31">SUMPRODUCT(--(ISNUMBER(SEARCH($A31,'Diags Raw Data'!$A$6:$A$3898))),--('Diags Raw Data'!$Q$6:$Q$3898&lt;&gt;"N/A"),'Diags Raw Data'!$T$6:$T$3898)+SUMPRODUCT(--(ISNUMBER(SEARCH($A31,'Diags Raw Data'!$A$6:$A$3898))),--('Diags Raw Data'!$Q$6:$Q$3898&lt;&gt;"N/A"),'Diags Raw Data'!$U$6:$U$3898)</f>
        <v>0</v>
      </c>
      <c r="O31" s="162">
        <f t="shared" si="1"/>
        <v>0</v>
      </c>
      <c r="P31" s="163">
        <f>SUMIF('Diags Raw Data'!$A$6:$A$3898,"*"&amp;$A31&amp;"*",'Diags Raw Data'!$Z$6:$Z$3898)</f>
        <v>0</v>
      </c>
      <c r="Q31" s="172">
        <f>SUM(SUMIF('Diags Raw Data'!$A$6:$A$3898,"*"&amp;$A31&amp;"*",'Diags Raw Data'!$AA$6:$AA$3898),SUMIF('Diags Raw Data'!$A$6:$A$3898,"*"&amp;$A31&amp;"*",'Diags Raw Data'!$AB$6:$AB$3898))</f>
        <v>0</v>
      </c>
      <c r="R31" s="173">
        <f t="shared" si="2"/>
        <v>0</v>
      </c>
      <c r="S31" s="173">
        <f t="shared" si="3"/>
        <v>0</v>
      </c>
      <c r="T31" s="174">
        <f t="shared" si="4"/>
        <v>0</v>
      </c>
      <c r="U31" s="175"/>
      <c r="V31" s="166" t="s">
        <v>1116</v>
      </c>
    </row>
    <row r="32" spans="1:23">
      <c r="A32" s="134" t="s">
        <v>977</v>
      </c>
      <c r="B32" s="139" t="str">
        <f>VLOOKUP(A32,'Feature Raw Data'!$A$3:$B$3923,2,FALSE)</f>
        <v>Message Signal Interrupt</v>
      </c>
      <c r="C32" s="140" t="str">
        <f>VLOOKUP(A32,'Feature Raw Data'!$A$3:$C$3923,3,FALSE)</f>
        <v>P2</v>
      </c>
      <c r="D32" s="141" t="str">
        <f t="array" ref="D32">_xlfn.TEXTJOIN("",TRUE,IF(ISNUMBER(SEARCH($A32,'Diags Raw Data'!$A$6:$A$3898)),CONCATENATE('Diags Raw Data'!$H$6:$H$3898,", "),""))</f>
        <v/>
      </c>
      <c r="E32" s="142" t="e">
        <f>VLOOKUP(A32,'Diags Raw Data'!$A$6:$D$3898,4,FALSE)</f>
        <v>#N/A</v>
      </c>
      <c r="F32" s="142" t="str">
        <f>VLOOKUP(A32,'Feature Raw Data'!$A$3:$E$3923,5,FALSE)</f>
        <v>Legacy</v>
      </c>
      <c r="G32" s="142" t="s">
        <v>31</v>
      </c>
      <c r="H32" s="142" t="s">
        <v>31</v>
      </c>
      <c r="I32" s="140">
        <f>SUMIF('Diags Raw Data'!$A$6:$A$3898,"*"&amp;$A32&amp;"*",'Diags Raw Data'!$K$6:$K$3898)</f>
        <v>0</v>
      </c>
      <c r="J32" s="157">
        <f>SUMIF('Diags Raw Data'!$A$6:$A$3898,"*"&amp;$A32&amp;"*",'Diags Raw Data'!$L$6:$L$3898)</f>
        <v>0</v>
      </c>
      <c r="K32" s="158">
        <f t="array" ref="K32">IF(D32="",0,SUMPRODUCT(--(ISNUMBER(SEARCH($A32,'Diags Raw Data'!$A$6:$A$3898))),'Diags Raw Data'!$L$6:$L$3898,'Diags Raw Data'!$N$6:$N$3898)/J32)</f>
        <v>0</v>
      </c>
      <c r="L32" s="159">
        <f t="array" ref="L32">IF(D32="",0,SUMPRODUCT(--(ISNUMBER(SEARCH($A32,'Diags Raw Data'!$A$6:$A$3898))),'Diags Raw Data'!$L$6:$L$3898,'Diags Raw Data'!$P$6:$P$3898)/J32)</f>
        <v>0</v>
      </c>
      <c r="M32" s="160">
        <f t="array" ref="M32">SUMPRODUCT(--(ISNUMBER(SEARCH($A32,'Diags Raw Data'!$A$6:$A$3898))),--('Diags Raw Data'!$Q$6:$Q$3898&lt;&gt;"N/A"),'Diags Raw Data'!$R$6:$R$3898)</f>
        <v>0</v>
      </c>
      <c r="N32" s="161">
        <f t="array" ref="N32">SUMPRODUCT(--(ISNUMBER(SEARCH($A32,'Diags Raw Data'!$A$6:$A$3898))),--('Diags Raw Data'!$Q$6:$Q$3898&lt;&gt;"N/A"),'Diags Raw Data'!$T$6:$T$3898)+SUMPRODUCT(--(ISNUMBER(SEARCH($A32,'Diags Raw Data'!$A$6:$A$3898))),--('Diags Raw Data'!$Q$6:$Q$3898&lt;&gt;"N/A"),'Diags Raw Data'!$U$6:$U$3898)</f>
        <v>0</v>
      </c>
      <c r="O32" s="162">
        <f t="shared" si="1"/>
        <v>0</v>
      </c>
      <c r="P32" s="163">
        <f>SUMIF('Diags Raw Data'!$A$6:$A$3898,"*"&amp;$A32&amp;"*",'Diags Raw Data'!$Z$6:$Z$3898)</f>
        <v>0</v>
      </c>
      <c r="Q32" s="172">
        <f>SUM(SUMIF('Diags Raw Data'!$A$6:$A$3898,"*"&amp;$A32&amp;"*",'Diags Raw Data'!$AA$6:$AA$3898),SUMIF('Diags Raw Data'!$A$6:$A$3898,"*"&amp;$A32&amp;"*",'Diags Raw Data'!$AB$6:$AB$3898))</f>
        <v>0</v>
      </c>
      <c r="R32" s="173">
        <f t="shared" si="2"/>
        <v>0</v>
      </c>
      <c r="S32" s="173">
        <f t="shared" si="3"/>
        <v>0</v>
      </c>
      <c r="T32" s="174">
        <f t="shared" si="4"/>
        <v>0</v>
      </c>
      <c r="U32" s="175"/>
      <c r="V32" s="166"/>
    </row>
    <row r="33" spans="1:23" ht="15.75" thickBot="1">
      <c r="A33" s="134" t="s">
        <v>979</v>
      </c>
      <c r="B33" s="139" t="str">
        <f>VLOOKUP(A33,'Feature Raw Data'!$A$3:$B$3923,2,FALSE)</f>
        <v>MSIX</v>
      </c>
      <c r="C33" s="140" t="str">
        <f>VLOOKUP(A33,'Feature Raw Data'!$A$3:$C$3923,3,FALSE)</f>
        <v>P2</v>
      </c>
      <c r="D33" s="141" t="str">
        <f t="array" ref="D33">_xlfn.TEXTJOIN("",TRUE,IF(ISNUMBER(SEARCH($A33,'Diags Raw Data'!$A$6:$A$3898)),CONCATENATE('Diags Raw Data'!$H$6:$H$3898,", "),""))</f>
        <v/>
      </c>
      <c r="E33" s="142" t="e">
        <f>VLOOKUP(A33,'Diags Raw Data'!$A$6:$D$3898,4,FALSE)</f>
        <v>#N/A</v>
      </c>
      <c r="F33" s="142" t="str">
        <f>VLOOKUP(A33,'Feature Raw Data'!$A$3:$E$3923,5,FALSE)</f>
        <v>Legacy</v>
      </c>
      <c r="G33" s="142" t="str">
        <f>IF(D33="","No","Yes")</f>
        <v>No</v>
      </c>
      <c r="H33" s="142" t="str">
        <f t="shared" si="0"/>
        <v>No</v>
      </c>
      <c r="I33" s="140">
        <f>SUMIF('Diags Raw Data'!$A$6:$A$3898,"*"&amp;$A33&amp;"*",'Diags Raw Data'!$K$6:$K$3898)</f>
        <v>0</v>
      </c>
      <c r="J33" s="157">
        <f>SUMIF('Diags Raw Data'!$A$6:$A$3898,"*"&amp;$A33&amp;"*",'Diags Raw Data'!$L$6:$L$3898)</f>
        <v>0</v>
      </c>
      <c r="K33" s="158">
        <f t="array" ref="K33">IF(D33="",0,SUMPRODUCT(--(ISNUMBER(SEARCH($A33,'Diags Raw Data'!$A$6:$A$3898))),'Diags Raw Data'!$L$6:$L$3898,'Diags Raw Data'!$N$6:$N$3898)/J33)</f>
        <v>0</v>
      </c>
      <c r="L33" s="159">
        <f t="array" ref="L33">IF(D33="",0,SUMPRODUCT(--(ISNUMBER(SEARCH($A33,'Diags Raw Data'!$A$6:$A$3898))),'Diags Raw Data'!$L$6:$L$3898,'Diags Raw Data'!$P$6:$P$3898)/J33)</f>
        <v>0</v>
      </c>
      <c r="M33" s="160">
        <f t="array" ref="M33">SUMPRODUCT(--(ISNUMBER(SEARCH($A33,'Diags Raw Data'!$A$6:$A$3898))),--('Diags Raw Data'!$Q$6:$Q$3898&lt;&gt;"N/A"),'Diags Raw Data'!$R$6:$R$3898)</f>
        <v>0</v>
      </c>
      <c r="N33" s="161">
        <f t="array" ref="N33">SUMPRODUCT(--(ISNUMBER(SEARCH($A33,'Diags Raw Data'!$A$6:$A$3898))),--('Diags Raw Data'!$Q$6:$Q$3898&lt;&gt;"N/A"),'Diags Raw Data'!$T$6:$T$3898)+SUMPRODUCT(--(ISNUMBER(SEARCH($A33,'Diags Raw Data'!$A$6:$A$3898))),--('Diags Raw Data'!$Q$6:$Q$3898&lt;&gt;"N/A"),'Diags Raw Data'!$U$6:$U$3898)</f>
        <v>0</v>
      </c>
      <c r="O33" s="162">
        <f t="shared" si="1"/>
        <v>0</v>
      </c>
      <c r="P33" s="163">
        <f>SUMIF('Diags Raw Data'!$A$6:$A$3898,"*"&amp;$A33&amp;"*",'Diags Raw Data'!$Z$6:$Z$3898)</f>
        <v>0</v>
      </c>
      <c r="Q33" s="172">
        <f>SUM(SUMIF('Diags Raw Data'!$A$6:$A$3898,"*"&amp;$A33&amp;"*",'Diags Raw Data'!$AA$6:$AA$3898),SUMIF('Diags Raw Data'!$A$6:$A$3898,"*"&amp;$A33&amp;"*",'Diags Raw Data'!$AB$6:$AB$3898))</f>
        <v>0</v>
      </c>
      <c r="R33" s="173">
        <f t="shared" si="2"/>
        <v>0</v>
      </c>
      <c r="S33" s="173">
        <f t="shared" si="3"/>
        <v>0</v>
      </c>
      <c r="T33" s="174">
        <f t="shared" si="4"/>
        <v>0</v>
      </c>
      <c r="U33" s="175"/>
      <c r="V33" s="166"/>
    </row>
    <row r="34" spans="1:23" ht="38.25" customHeight="1" thickBot="1">
      <c r="A34" s="134" t="s">
        <v>981</v>
      </c>
      <c r="B34" s="139" t="str">
        <f>VLOOKUP(A34,'Feature Raw Data'!$A$3:$B$3923,2,FALSE)</f>
        <v>Legacy interrupt</v>
      </c>
      <c r="C34" s="140" t="str">
        <f>VLOOKUP(A34,'Feature Raw Data'!$A$3:$C$3923,3,FALSE)</f>
        <v>P2</v>
      </c>
      <c r="D34" s="141" t="str">
        <f t="array" ref="D34">_xlfn.TEXTJOIN("",TRUE,IF(ISNUMBER(SEARCH($A34,'Diags Raw Data'!$A$6:$A$3898)),CONCATENATE('Diags Raw Data'!$H$6:$H$3898,", "),""))</f>
        <v/>
      </c>
      <c r="E34" s="142" t="e">
        <f>VLOOKUP(A34,'Diags Raw Data'!$A$6:$D$3898,4,FALSE)</f>
        <v>#N/A</v>
      </c>
      <c r="F34" s="142" t="str">
        <f>VLOOKUP(A34,'Feature Raw Data'!$A$3:$E$3923,5,FALSE)</f>
        <v>Legacy</v>
      </c>
      <c r="G34" s="142" t="str">
        <f>IF(D34="","No","Yes")</f>
        <v>No</v>
      </c>
      <c r="H34" s="142" t="str">
        <f t="shared" si="0"/>
        <v>No</v>
      </c>
      <c r="I34" s="140">
        <f>SUMIF('Diags Raw Data'!$A$6:$A$3898,"*"&amp;$A34&amp;"*",'Diags Raw Data'!$K$6:$K$3898)</f>
        <v>0</v>
      </c>
      <c r="J34" s="157">
        <f>SUMIF('Diags Raw Data'!$A$6:$A$3898,"*"&amp;$A34&amp;"*",'Diags Raw Data'!$L$6:$L$3898)</f>
        <v>0</v>
      </c>
      <c r="K34" s="158">
        <f t="array" ref="K34">IF(D34="",0,SUMPRODUCT(--(ISNUMBER(SEARCH($A34,'Diags Raw Data'!$A$6:$A$3898))),'Diags Raw Data'!$L$6:$L$3898,'Diags Raw Data'!$N$6:$N$3898)/J34)</f>
        <v>0</v>
      </c>
      <c r="L34" s="159">
        <f t="array" ref="L34">IF(D34="",0,SUMPRODUCT(--(ISNUMBER(SEARCH($A34,'Diags Raw Data'!$A$6:$A$3898))),'Diags Raw Data'!$L$6:$L$3898,'Diags Raw Data'!$P$6:$P$3898)/J34)</f>
        <v>0</v>
      </c>
      <c r="M34" s="160">
        <f t="array" ref="M34">SUMPRODUCT(--(ISNUMBER(SEARCH($A34,'Diags Raw Data'!$A$6:$A$3898))),--('Diags Raw Data'!$Q$6:$Q$3898&lt;&gt;"N/A"),'Diags Raw Data'!$R$6:$R$3898)</f>
        <v>0</v>
      </c>
      <c r="N34" s="161">
        <f t="array" ref="N34">SUMPRODUCT(--(ISNUMBER(SEARCH($A34,'Diags Raw Data'!$A$6:$A$3898))),--('Diags Raw Data'!$Q$6:$Q$3898&lt;&gt;"N/A"),'Diags Raw Data'!$T$6:$T$3898)+SUMPRODUCT(--(ISNUMBER(SEARCH($A34,'Diags Raw Data'!$A$6:$A$3898))),--('Diags Raw Data'!$Q$6:$Q$3898&lt;&gt;"N/A"),'Diags Raw Data'!$U$6:$U$3898)</f>
        <v>0</v>
      </c>
      <c r="O34" s="162">
        <f t="shared" si="1"/>
        <v>0</v>
      </c>
      <c r="P34" s="163">
        <f>SUMIF('Diags Raw Data'!$A$6:$A$3898,"*"&amp;$A34&amp;"*",'Diags Raw Data'!$Z$6:$Z$3898)</f>
        <v>0</v>
      </c>
      <c r="Q34" s="172">
        <f>SUM(SUMIF('Diags Raw Data'!$A$6:$A$3898,"*"&amp;$A34&amp;"*",'Diags Raw Data'!$AA$6:$AA$3898),SUMIF('Diags Raw Data'!$A$6:$A$3898,"*"&amp;$A34&amp;"*",'Diags Raw Data'!$AB$6:$AB$3898))</f>
        <v>0</v>
      </c>
      <c r="R34" s="173">
        <f t="shared" si="2"/>
        <v>0</v>
      </c>
      <c r="S34" s="173">
        <f t="shared" si="3"/>
        <v>0</v>
      </c>
      <c r="T34" s="174">
        <f t="shared" si="4"/>
        <v>0</v>
      </c>
      <c r="U34" s="175"/>
      <c r="V34" s="179"/>
    </row>
    <row r="35" spans="1:23" ht="15.75" thickBot="1">
      <c r="A35" s="134" t="s">
        <v>618</v>
      </c>
      <c r="B35" s="139" t="str">
        <f>VLOOKUP(A35,'Feature Raw Data'!$A$3:$B$3923,2,FALSE)</f>
        <v>FLR (Func 0/1/2/??)</v>
      </c>
      <c r="C35" s="140" t="str">
        <f>VLOOKUP(A35,'Feature Raw Data'!$A$3:$C$3923,3,FALSE)</f>
        <v>P3</v>
      </c>
      <c r="D35" s="141" t="str">
        <f t="array" ref="D35">_xlfn.TEXTJOIN("",TRUE,IF(ISNUMBER(SEARCH($A35,'Diags Raw Data'!$A$6:$A$3898)),CONCATENATE('Diags Raw Data'!$H$6:$H$3898,", "),""))</f>
        <v xml:space="preserve">AG043.001, </v>
      </c>
      <c r="E35" s="142" t="str">
        <f>VLOOKUP(A35,'Diags Raw Data'!$A$6:$D$3898,4,FALSE)</f>
        <v>nBIF</v>
      </c>
      <c r="F35" s="142" t="str">
        <f>VLOOKUP(A35,'Feature Raw Data'!$A$3:$E$3923,5,FALSE)</f>
        <v>Delta</v>
      </c>
      <c r="G35" s="501" t="s">
        <v>31</v>
      </c>
      <c r="H35" s="142" t="str">
        <f t="shared" si="0"/>
        <v>Yes</v>
      </c>
      <c r="I35" s="140">
        <f>SUMIF('Diags Raw Data'!$A$6:$A$3898,"*"&amp;$A35&amp;"*",'Diags Raw Data'!$K$6:$K$3898)</f>
        <v>1</v>
      </c>
      <c r="J35" s="157">
        <f>SUMIF('Diags Raw Data'!$A$6:$A$3898,"*"&amp;$A35&amp;"*",'Diags Raw Data'!$L$6:$L$3898)</f>
        <v>1</v>
      </c>
      <c r="K35" s="158">
        <f t="array" ref="K35">IF(D35="",0,SUMPRODUCT(--(ISNUMBER(SEARCH($A35,'Diags Raw Data'!$A$6:$A$3898))),'Diags Raw Data'!$L$6:$L$3898,'Diags Raw Data'!$N$6:$N$3898)/J35)</f>
        <v>1</v>
      </c>
      <c r="L35" s="159">
        <f t="array" ref="L35">IF(D35="",0,SUMPRODUCT(--(ISNUMBER(SEARCH($A35,'Diags Raw Data'!$A$6:$A$3898))),'Diags Raw Data'!$L$6:$L$3898,'Diags Raw Data'!$P$6:$P$3898)/J35)</f>
        <v>1</v>
      </c>
      <c r="M35" s="160">
        <f t="array" ref="M35">SUMPRODUCT(--(ISNUMBER(SEARCH($A35,'Diags Raw Data'!$A$6:$A$3898))),--('Diags Raw Data'!$Q$6:$Q$3898&lt;&gt;"N/A"),'Diags Raw Data'!$R$6:$R$3898)</f>
        <v>0</v>
      </c>
      <c r="N35" s="161">
        <f t="array" ref="N35">SUMPRODUCT(--(ISNUMBER(SEARCH($A35,'Diags Raw Data'!$A$6:$A$3898))),--('Diags Raw Data'!$Q$6:$Q$3898&lt;&gt;"N/A"),'Diags Raw Data'!$T$6:$T$3898)+SUMPRODUCT(--(ISNUMBER(SEARCH($A35,'Diags Raw Data'!$A$6:$A$3898))),--('Diags Raw Data'!$Q$6:$Q$3898&lt;&gt;"N/A"),'Diags Raw Data'!$U$6:$U$3898)</f>
        <v>0</v>
      </c>
      <c r="O35" s="162">
        <f t="shared" si="1"/>
        <v>0</v>
      </c>
      <c r="P35" s="163">
        <f>SUMIF('Diags Raw Data'!$A$6:$A$3898,"*"&amp;$A35&amp;"*",'Diags Raw Data'!$Z$6:$Z$3898)</f>
        <v>0</v>
      </c>
      <c r="Q35" s="172">
        <f>SUM(SUMIF('Diags Raw Data'!$A$6:$A$3898,"*"&amp;$A35&amp;"*",'Diags Raw Data'!$AA$6:$AA$3898),SUMIF('Diags Raw Data'!$A$6:$A$3898,"*"&amp;$A35&amp;"*",'Diags Raw Data'!$AB$6:$AB$3898))</f>
        <v>0</v>
      </c>
      <c r="R35" s="173">
        <f t="shared" si="2"/>
        <v>0</v>
      </c>
      <c r="S35" s="173">
        <f t="shared" si="3"/>
        <v>0</v>
      </c>
      <c r="T35" s="174">
        <f t="shared" si="4"/>
        <v>0</v>
      </c>
      <c r="U35" s="175"/>
      <c r="V35" s="166"/>
      <c r="W35" s="500"/>
    </row>
    <row r="36" spans="1:23" ht="15.75" thickBot="1">
      <c r="A36" s="134" t="s">
        <v>647</v>
      </c>
      <c r="B36" s="139" t="str">
        <f>VLOOKUP(A36,'Feature Raw Data'!$A$3:$B$3923,2,FALSE)</f>
        <v>Link Down</v>
      </c>
      <c r="C36" s="140" t="str">
        <f>VLOOKUP(A36,'Feature Raw Data'!$A$3:$C$3923,3,FALSE)</f>
        <v>P3</v>
      </c>
      <c r="D36" s="141" t="str">
        <f t="array" ref="D36">_xlfn.TEXTJOIN("",TRUE,IF(ISNUMBER(SEARCH($A36,'Diags Raw Data'!$A$6:$A$3898)),CONCATENATE('Diags Raw Data'!$H$6:$H$3898,", "),""))</f>
        <v xml:space="preserve">AG056.001, </v>
      </c>
      <c r="E36" s="142" t="str">
        <f>VLOOKUP(A36,'Diags Raw Data'!$A$6:$D$3898,4,FALSE)</f>
        <v>PCIE</v>
      </c>
      <c r="F36" s="142" t="str">
        <f>VLOOKUP(A36,'Feature Raw Data'!$A$3:$E$3923,5,FALSE)</f>
        <v>Delta</v>
      </c>
      <c r="G36" s="142" t="str">
        <f t="shared" ref="G36:G51" si="7">IF(D36="","No","Yes")</f>
        <v>Yes</v>
      </c>
      <c r="H36" s="142" t="str">
        <f t="shared" si="0"/>
        <v>Yes</v>
      </c>
      <c r="I36" s="140">
        <f>SUMIF('Diags Raw Data'!$A$6:$A$3898,"*"&amp;$A36&amp;"*",'Diags Raw Data'!$K$6:$K$3898)</f>
        <v>1</v>
      </c>
      <c r="J36" s="157">
        <f>SUMIF('Diags Raw Data'!$A$6:$A$3898,"*"&amp;$A36&amp;"*",'Diags Raw Data'!$L$6:$L$3898)</f>
        <v>1</v>
      </c>
      <c r="K36" s="158">
        <f t="array" ref="K36">IF(D36="",0,SUMPRODUCT(--(ISNUMBER(SEARCH($A36,'Diags Raw Data'!$A$6:$A$3898))),'Diags Raw Data'!$L$6:$L$3898,'Diags Raw Data'!$N$6:$N$3898)/J36)</f>
        <v>0</v>
      </c>
      <c r="L36" s="159">
        <f t="array" ref="L36">IF(D36="",0,SUMPRODUCT(--(ISNUMBER(SEARCH($A36,'Diags Raw Data'!$A$6:$A$3898))),'Diags Raw Data'!$L$6:$L$3898,'Diags Raw Data'!$P$6:$P$3898)/J36)</f>
        <v>0</v>
      </c>
      <c r="M36" s="160">
        <f t="array" ref="M36">SUMPRODUCT(--(ISNUMBER(SEARCH($A36,'Diags Raw Data'!$A$6:$A$3898))),--('Diags Raw Data'!$Q$6:$Q$3898&lt;&gt;"N/A"),'Diags Raw Data'!$R$6:$R$3898)</f>
        <v>0</v>
      </c>
      <c r="N36" s="161">
        <f t="array" ref="N36">SUMPRODUCT(--(ISNUMBER(SEARCH($A36,'Diags Raw Data'!$A$6:$A$3898))),--('Diags Raw Data'!$Q$6:$Q$3898&lt;&gt;"N/A"),'Diags Raw Data'!$T$6:$T$3898)+SUMPRODUCT(--(ISNUMBER(SEARCH($A36,'Diags Raw Data'!$A$6:$A$3898))),--('Diags Raw Data'!$Q$6:$Q$3898&lt;&gt;"N/A"),'Diags Raw Data'!$U$6:$U$3898)</f>
        <v>0</v>
      </c>
      <c r="O36" s="162">
        <f t="shared" si="1"/>
        <v>0</v>
      </c>
      <c r="P36" s="163">
        <f>SUMIF('Diags Raw Data'!$A$6:$A$3898,"*"&amp;$A36&amp;"*",'Diags Raw Data'!$Z$6:$Z$3898)</f>
        <v>0</v>
      </c>
      <c r="Q36" s="172">
        <f>SUM(SUMIF('Diags Raw Data'!$A$6:$A$3898,"*"&amp;$A36&amp;"*",'Diags Raw Data'!$AA$6:$AA$3898),SUMIF('Diags Raw Data'!$A$6:$A$3898,"*"&amp;$A36&amp;"*",'Diags Raw Data'!$AB$6:$AB$3898))</f>
        <v>0</v>
      </c>
      <c r="R36" s="173">
        <f t="shared" si="2"/>
        <v>0</v>
      </c>
      <c r="S36" s="173">
        <f t="shared" si="3"/>
        <v>0</v>
      </c>
      <c r="T36" s="174">
        <f t="shared" si="4"/>
        <v>0</v>
      </c>
      <c r="U36" s="175"/>
      <c r="V36" s="166"/>
    </row>
    <row r="37" spans="1:23" ht="15.75" thickBot="1">
      <c r="A37" s="134" t="s">
        <v>605</v>
      </c>
      <c r="B37" s="139" t="str">
        <f>VLOOKUP(A37,'Feature Raw Data'!$A$3:$B$3923,2,FALSE)</f>
        <v>Hot Reset</v>
      </c>
      <c r="C37" s="140" t="str">
        <f>VLOOKUP(A37,'Feature Raw Data'!$A$3:$C$3923,3,FALSE)</f>
        <v>P3</v>
      </c>
      <c r="D37" s="141" t="str">
        <f t="array" ref="D37">_xlfn.TEXTJOIN("",TRUE,IF(ISNUMBER(SEARCH($A37,'Diags Raw Data'!$A$6:$A$3898)),CONCATENATE('Diags Raw Data'!$H$6:$H$3898,", "),""))</f>
        <v xml:space="preserve">AG038.004, </v>
      </c>
      <c r="E37" s="142" t="str">
        <f>VLOOKUP(A37,'Diags Raw Data'!$A$6:$D$3898,4,FALSE)</f>
        <v>nBIF</v>
      </c>
      <c r="F37" s="142" t="str">
        <f>VLOOKUP(A37,'Feature Raw Data'!$A$3:$E$3923,5,FALSE)</f>
        <v>Delta</v>
      </c>
      <c r="G37" s="142" t="str">
        <f t="shared" si="7"/>
        <v>Yes</v>
      </c>
      <c r="H37" s="142" t="str">
        <f t="shared" si="0"/>
        <v>Yes</v>
      </c>
      <c r="I37" s="140">
        <f>SUMIF('Diags Raw Data'!$A$6:$A$3898,"*"&amp;$A37&amp;"*",'Diags Raw Data'!$K$6:$K$3898)</f>
        <v>1</v>
      </c>
      <c r="J37" s="157">
        <f>SUMIF('Diags Raw Data'!$A$6:$A$3898,"*"&amp;$A37&amp;"*",'Diags Raw Data'!$L$6:$L$3898)</f>
        <v>1</v>
      </c>
      <c r="K37" s="158">
        <f t="array" ref="K37">IF(D37="",0,SUMPRODUCT(--(ISNUMBER(SEARCH($A37,'Diags Raw Data'!$A$6:$A$3898))),'Diags Raw Data'!$L$6:$L$3898,'Diags Raw Data'!$N$6:$N$3898)/J37)</f>
        <v>0</v>
      </c>
      <c r="L37" s="159">
        <f t="array" ref="L37">IF(D37="",0,SUMPRODUCT(--(ISNUMBER(SEARCH($A37,'Diags Raw Data'!$A$6:$A$3898))),'Diags Raw Data'!$L$6:$L$3898,'Diags Raw Data'!$P$6:$P$3898)/J37)</f>
        <v>0</v>
      </c>
      <c r="M37" s="160">
        <f t="array" ref="M37">SUMPRODUCT(--(ISNUMBER(SEARCH($A37,'Diags Raw Data'!$A$6:$A$3898))),--('Diags Raw Data'!$Q$6:$Q$3898&lt;&gt;"N/A"),'Diags Raw Data'!$R$6:$R$3898)</f>
        <v>0</v>
      </c>
      <c r="N37" s="161">
        <f t="array" ref="N37">SUMPRODUCT(--(ISNUMBER(SEARCH($A37,'Diags Raw Data'!$A$6:$A$3898))),--('Diags Raw Data'!$Q$6:$Q$3898&lt;&gt;"N/A"),'Diags Raw Data'!$T$6:$T$3898)+SUMPRODUCT(--(ISNUMBER(SEARCH($A37,'Diags Raw Data'!$A$6:$A$3898))),--('Diags Raw Data'!$Q$6:$Q$3898&lt;&gt;"N/A"),'Diags Raw Data'!$U$6:$U$3898)</f>
        <v>0</v>
      </c>
      <c r="O37" s="162">
        <f t="shared" si="1"/>
        <v>0</v>
      </c>
      <c r="P37" s="163">
        <f>SUMIF('Diags Raw Data'!$A$6:$A$3898,"*"&amp;$A37&amp;"*",'Diags Raw Data'!$Z$6:$Z$3898)</f>
        <v>0</v>
      </c>
      <c r="Q37" s="172">
        <f>SUM(SUMIF('Diags Raw Data'!$A$6:$A$3898,"*"&amp;$A37&amp;"*",'Diags Raw Data'!$AA$6:$AA$3898),SUMIF('Diags Raw Data'!$A$6:$A$3898,"*"&amp;$A37&amp;"*",'Diags Raw Data'!$AB$6:$AB$3898))</f>
        <v>0</v>
      </c>
      <c r="R37" s="173">
        <f t="shared" si="2"/>
        <v>0</v>
      </c>
      <c r="S37" s="173">
        <f t="shared" si="3"/>
        <v>0</v>
      </c>
      <c r="T37" s="174">
        <f t="shared" si="4"/>
        <v>0</v>
      </c>
      <c r="U37" s="175"/>
      <c r="V37" s="179"/>
    </row>
    <row r="38" spans="1:23" s="120" customFormat="1" ht="15.75" thickBot="1">
      <c r="A38" s="134" t="s">
        <v>610</v>
      </c>
      <c r="B38" s="139" t="str">
        <f>VLOOKUP(A38,'Feature Raw Data'!$A$3:$B$3923,2,FALSE)</f>
        <v>Link Disable</v>
      </c>
      <c r="C38" s="140" t="str">
        <f>VLOOKUP(A38,'Feature Raw Data'!$A$3:$C$3923,3,FALSE)</f>
        <v>P2</v>
      </c>
      <c r="D38" s="141" t="str">
        <f t="array" ref="D38">_xlfn.TEXTJOIN("",TRUE,IF(ISNUMBER(SEARCH($A38,'Diags Raw Data'!$A$6:$A$3898)),CONCATENATE('Diags Raw Data'!$H$6:$H$3898,", "),""))</f>
        <v xml:space="preserve">AG038.005, </v>
      </c>
      <c r="E38" s="142" t="str">
        <f>VLOOKUP(A38,'Diags Raw Data'!$A$6:$D$3898,4,FALSE)</f>
        <v>nBIF</v>
      </c>
      <c r="F38" s="142" t="str">
        <f>VLOOKUP(A38,'Feature Raw Data'!$A$3:$E$3923,5,FALSE)</f>
        <v>Legacy</v>
      </c>
      <c r="G38" s="142" t="str">
        <f t="shared" si="7"/>
        <v>Yes</v>
      </c>
      <c r="H38" s="142" t="str">
        <f t="shared" ref="H38:H74" si="8">IF(D38="","No","Yes")</f>
        <v>Yes</v>
      </c>
      <c r="I38" s="140">
        <f>SUMIF('Diags Raw Data'!$A$6:$A$3898,"*"&amp;$A38&amp;"*",'Diags Raw Data'!$K$6:$K$3898)</f>
        <v>1</v>
      </c>
      <c r="J38" s="157">
        <f>SUMIF('Diags Raw Data'!$A$6:$A$3898,"*"&amp;$A38&amp;"*",'Diags Raw Data'!$L$6:$L$3898)</f>
        <v>1</v>
      </c>
      <c r="K38" s="158">
        <f t="array" ref="K38">IF(D38="",0,SUMPRODUCT(--(ISNUMBER(SEARCH($A38,'Diags Raw Data'!$A$6:$A$3898))),'Diags Raw Data'!$L$6:$L$3898,'Diags Raw Data'!$N$6:$N$3898)/J38)</f>
        <v>0</v>
      </c>
      <c r="L38" s="159">
        <f t="array" ref="L38">IF(D38="",0,SUMPRODUCT(--(ISNUMBER(SEARCH($A38,'Diags Raw Data'!$A$6:$A$3898))),'Diags Raw Data'!$L$6:$L$3898,'Diags Raw Data'!$P$6:$P$3898)/J38)</f>
        <v>0</v>
      </c>
      <c r="M38" s="160">
        <f t="array" ref="M38">SUMPRODUCT(--(ISNUMBER(SEARCH($A38,'Diags Raw Data'!$A$6:$A$3898))),--('Diags Raw Data'!$Q$6:$Q$3898&lt;&gt;"N/A"),'Diags Raw Data'!$R$6:$R$3898)</f>
        <v>0</v>
      </c>
      <c r="N38" s="161">
        <f t="array" ref="N38">SUMPRODUCT(--(ISNUMBER(SEARCH($A38,'Diags Raw Data'!$A$6:$A$3898))),--('Diags Raw Data'!$Q$6:$Q$3898&lt;&gt;"N/A"),'Diags Raw Data'!$T$6:$T$3898)+SUMPRODUCT(--(ISNUMBER(SEARCH($A38,'Diags Raw Data'!$A$6:$A$3898))),--('Diags Raw Data'!$Q$6:$Q$3898&lt;&gt;"N/A"),'Diags Raw Data'!$U$6:$U$3898)</f>
        <v>0</v>
      </c>
      <c r="O38" s="162">
        <f t="shared" ref="O38:O69" si="9">IF((M38=0),0,N38/M38)</f>
        <v>0</v>
      </c>
      <c r="P38" s="163">
        <f>SUMIF('Diags Raw Data'!$A$6:$A$3898,"*"&amp;$A38&amp;"*",'Diags Raw Data'!$Z$6:$Z$3898)</f>
        <v>0</v>
      </c>
      <c r="Q38" s="172">
        <f>SUM(SUMIF('Diags Raw Data'!$A$6:$A$3898,"*"&amp;$A38&amp;"*",'Diags Raw Data'!$AA$6:$AA$3898),SUMIF('Diags Raw Data'!$A$6:$A$3898,"*"&amp;$A38&amp;"*",'Diags Raw Data'!$AB$6:$AB$3898))</f>
        <v>0</v>
      </c>
      <c r="R38" s="176">
        <f t="shared" ref="R38:R74" si="10">IF((J38=0),0,P38/J38)</f>
        <v>0</v>
      </c>
      <c r="S38" s="176">
        <f t="shared" ref="S38:S74" si="11">IF((P38=0),0,Q38/P38)</f>
        <v>0</v>
      </c>
      <c r="T38" s="177">
        <f t="shared" ref="T38:T69" si="12">R38*S38</f>
        <v>0</v>
      </c>
      <c r="U38" s="175"/>
      <c r="V38" s="178"/>
      <c r="W38" s="119"/>
    </row>
    <row r="39" spans="1:23" ht="45">
      <c r="A39" s="134" t="s">
        <v>985</v>
      </c>
      <c r="B39" s="139" t="str">
        <f>VLOOKUP(A39,'Feature Raw Data'!$A$3:$B$3923,2,FALSE)</f>
        <v>Warm Reset/Cold Reset</v>
      </c>
      <c r="C39" s="140" t="str">
        <f>VLOOKUP(A39,'Feature Raw Data'!$A$3:$C$3923,3,FALSE)</f>
        <v>P2</v>
      </c>
      <c r="D39" s="141" t="str">
        <f t="array" ref="D39">_xlfn.TEXTJOIN("",TRUE,IF(ISNUMBER(SEARCH($A39,'Diags Raw Data'!$A$6:$A$3898)),CONCATENATE('Diags Raw Data'!$H$6:$H$3898,", "),""))</f>
        <v/>
      </c>
      <c r="E39" s="142" t="e">
        <f>VLOOKUP(A39,'Diags Raw Data'!$A$6:$D$3898,4,FALSE)</f>
        <v>#N/A</v>
      </c>
      <c r="F39" s="142" t="str">
        <f>VLOOKUP(A39,'Feature Raw Data'!$A$3:$E$3923,5,FALSE)</f>
        <v>Legacy</v>
      </c>
      <c r="G39" s="142" t="s">
        <v>31</v>
      </c>
      <c r="H39" s="142" t="str">
        <f t="shared" si="8"/>
        <v>No</v>
      </c>
      <c r="I39" s="140">
        <f>SUMIF('Diags Raw Data'!$A$6:$A$3898,"*"&amp;$A39&amp;"*",'Diags Raw Data'!$K$6:$K$3898)</f>
        <v>0</v>
      </c>
      <c r="J39" s="157">
        <f>SUMIF('Diags Raw Data'!$A$6:$A$3898,"*"&amp;$A39&amp;"*",'Diags Raw Data'!$L$6:$L$3898)</f>
        <v>0</v>
      </c>
      <c r="K39" s="158">
        <f t="array" ref="K39">IF(D39="",0,SUMPRODUCT(--(ISNUMBER(SEARCH($A39,'Diags Raw Data'!$A$6:$A$3898))),'Diags Raw Data'!$L$6:$L$3898,'Diags Raw Data'!$N$6:$N$3898)/J39)</f>
        <v>0</v>
      </c>
      <c r="L39" s="159">
        <f t="array" ref="L39">IF(D39="",0,SUMPRODUCT(--(ISNUMBER(SEARCH($A39,'Diags Raw Data'!$A$6:$A$3898))),'Diags Raw Data'!$L$6:$L$3898,'Diags Raw Data'!$P$6:$P$3898)/J39)</f>
        <v>0</v>
      </c>
      <c r="M39" s="160">
        <f t="array" ref="M39">SUMPRODUCT(--(ISNUMBER(SEARCH($A39,'Diags Raw Data'!$A$6:$A$3898))),--('Diags Raw Data'!$Q$6:$Q$3898&lt;&gt;"N/A"),'Diags Raw Data'!$R$6:$R$3898)</f>
        <v>0</v>
      </c>
      <c r="N39" s="161">
        <f t="array" ref="N39">SUMPRODUCT(--(ISNUMBER(SEARCH($A39,'Diags Raw Data'!$A$6:$A$3898))),--('Diags Raw Data'!$Q$6:$Q$3898&lt;&gt;"N/A"),'Diags Raw Data'!$T$6:$T$3898)+SUMPRODUCT(--(ISNUMBER(SEARCH($A39,'Diags Raw Data'!$A$6:$A$3898))),--('Diags Raw Data'!$Q$6:$Q$3898&lt;&gt;"N/A"),'Diags Raw Data'!$U$6:$U$3898)</f>
        <v>0</v>
      </c>
      <c r="O39" s="162">
        <f t="shared" si="9"/>
        <v>0</v>
      </c>
      <c r="P39" s="163">
        <f>SUMIF('Diags Raw Data'!$A$6:$A$3898,"*"&amp;$A39&amp;"*",'Diags Raw Data'!$Z$6:$Z$3898)</f>
        <v>0</v>
      </c>
      <c r="Q39" s="172">
        <f>SUM(SUMIF('Diags Raw Data'!$A$6:$A$3898,"*"&amp;$A39&amp;"*",'Diags Raw Data'!$AA$6:$AA$3898),SUMIF('Diags Raw Data'!$A$6:$A$3898,"*"&amp;$A39&amp;"*",'Diags Raw Data'!$AB$6:$AB$3898))</f>
        <v>0</v>
      </c>
      <c r="R39" s="173">
        <f t="shared" si="10"/>
        <v>0</v>
      </c>
      <c r="S39" s="173">
        <f t="shared" si="11"/>
        <v>0</v>
      </c>
      <c r="T39" s="174">
        <f t="shared" si="12"/>
        <v>0</v>
      </c>
      <c r="U39" s="175"/>
      <c r="V39" s="166"/>
      <c r="W39" s="121" t="s">
        <v>1117</v>
      </c>
    </row>
    <row r="40" spans="1:23" ht="60">
      <c r="A40" s="134" t="s">
        <v>987</v>
      </c>
      <c r="B40" s="139" t="str">
        <f>VLOOKUP(A40,'Feature Raw Data'!$A$3:$B$3923,2,FALSE)</f>
        <v>Scalable FC</v>
      </c>
      <c r="C40" s="140" t="str">
        <f>VLOOKUP(A40,'Feature Raw Data'!$A$3:$C$3923,3,FALSE)</f>
        <v>P2</v>
      </c>
      <c r="D40" s="141" t="str">
        <f t="array" ref="D40">_xlfn.TEXTJOIN("",TRUE,IF(ISNUMBER(SEARCH($A40,'Diags Raw Data'!$A$6:$A$3898)),CONCATENATE('Diags Raw Data'!$H$6:$H$3898,", "),""))</f>
        <v/>
      </c>
      <c r="E40" s="142" t="e">
        <f>VLOOKUP(A40,'Diags Raw Data'!$A$6:$D$3898,4,FALSE)</f>
        <v>#N/A</v>
      </c>
      <c r="F40" s="142" t="str">
        <f>VLOOKUP(A40,'Feature Raw Data'!$A$3:$E$3923,5,FALSE)</f>
        <v>Legacy</v>
      </c>
      <c r="G40" s="142" t="str">
        <f t="shared" si="7"/>
        <v>No</v>
      </c>
      <c r="H40" s="142" t="str">
        <f t="shared" si="8"/>
        <v>No</v>
      </c>
      <c r="I40" s="140">
        <f>SUMIF('Diags Raw Data'!$A$6:$A$3898,"*"&amp;$A40&amp;"*",'Diags Raw Data'!$K$6:$K$3898)</f>
        <v>0</v>
      </c>
      <c r="J40" s="157">
        <f>SUMIF('Diags Raw Data'!$A$6:$A$3898,"*"&amp;$A40&amp;"*",'Diags Raw Data'!$L$6:$L$3898)</f>
        <v>0</v>
      </c>
      <c r="K40" s="158">
        <f t="array" ref="K40">IF(D40="",0,SUMPRODUCT(--(ISNUMBER(SEARCH($A40,'Diags Raw Data'!$A$6:$A$3898))),'Diags Raw Data'!$L$6:$L$3898,'Diags Raw Data'!$N$6:$N$3898)/J40)</f>
        <v>0</v>
      </c>
      <c r="L40" s="159">
        <f t="array" ref="L40">IF(D40="",0,SUMPRODUCT(--(ISNUMBER(SEARCH($A40,'Diags Raw Data'!$A$6:$A$3898))),'Diags Raw Data'!$L$6:$L$3898,'Diags Raw Data'!$P$6:$P$3898)/J40)</f>
        <v>0</v>
      </c>
      <c r="M40" s="160">
        <f t="array" ref="M40">SUMPRODUCT(--(ISNUMBER(SEARCH($A40,'Diags Raw Data'!$A$6:$A$3898))),--('Diags Raw Data'!$Q$6:$Q$3898&lt;&gt;"N/A"),'Diags Raw Data'!$R$6:$R$3898)</f>
        <v>0</v>
      </c>
      <c r="N40" s="161">
        <f t="array" ref="N40">SUMPRODUCT(--(ISNUMBER(SEARCH($A40,'Diags Raw Data'!$A$6:$A$3898))),--('Diags Raw Data'!$Q$6:$Q$3898&lt;&gt;"N/A"),'Diags Raw Data'!$T$6:$T$3898)+SUMPRODUCT(--(ISNUMBER(SEARCH($A40,'Diags Raw Data'!$A$6:$A$3898))),--('Diags Raw Data'!$Q$6:$Q$3898&lt;&gt;"N/A"),'Diags Raw Data'!$U$6:$U$3898)</f>
        <v>0</v>
      </c>
      <c r="O40" s="162">
        <f t="shared" si="9"/>
        <v>0</v>
      </c>
      <c r="P40" s="163">
        <f>SUMIF('Diags Raw Data'!$A$6:$A$3898,"*"&amp;$A40&amp;"*",'Diags Raw Data'!$Z$6:$Z$3898)</f>
        <v>0</v>
      </c>
      <c r="Q40" s="172">
        <f>SUM(SUMIF('Diags Raw Data'!$A$6:$A$3898,"*"&amp;$A40&amp;"*",'Diags Raw Data'!$AA$6:$AA$3898),SUMIF('Diags Raw Data'!$A$6:$A$3898,"*"&amp;$A40&amp;"*",'Diags Raw Data'!$AB$6:$AB$3898))</f>
        <v>0</v>
      </c>
      <c r="R40" s="173">
        <f t="shared" si="10"/>
        <v>0</v>
      </c>
      <c r="S40" s="173">
        <f t="shared" si="11"/>
        <v>0</v>
      </c>
      <c r="T40" s="174">
        <f t="shared" si="12"/>
        <v>0</v>
      </c>
      <c r="U40" s="175"/>
      <c r="V40" s="166" t="s">
        <v>1115</v>
      </c>
    </row>
    <row r="41" spans="1:23" ht="30.75" thickBot="1">
      <c r="A41" s="134" t="s">
        <v>633</v>
      </c>
      <c r="B41" s="139" t="str">
        <f>VLOOKUP(A41,'Feature Raw Data'!$A$3:$B$3923,2,FALSE)</f>
        <v>New RSMU_INDEX/DATA pair 0x50/0x54</v>
      </c>
      <c r="C41" s="140" t="str">
        <f>VLOOKUP(A41,'Feature Raw Data'!$A$3:$C$3923,3,FALSE)</f>
        <v>P2</v>
      </c>
      <c r="D41" s="141" t="str">
        <f t="array" ref="D41">_xlfn.TEXTJOIN("",TRUE,IF(ISNUMBER(SEARCH($A41,'Diags Raw Data'!$A$6:$A$3898)),CONCATENATE('Diags Raw Data'!$H$6:$H$3898,", "),""))</f>
        <v xml:space="preserve">AG054.001, AG060.001, </v>
      </c>
      <c r="E41" s="142" t="str">
        <f>VLOOKUP(A41,'Diags Raw Data'!$A$6:$D$3898,4,FALSE)</f>
        <v>nBIF</v>
      </c>
      <c r="F41" s="142" t="str">
        <f>VLOOKUP(A41,'Feature Raw Data'!$A$3:$E$3923,5,FALSE)</f>
        <v>Legacy</v>
      </c>
      <c r="G41" s="142" t="str">
        <f t="shared" si="7"/>
        <v>Yes</v>
      </c>
      <c r="H41" s="142" t="str">
        <f t="shared" si="8"/>
        <v>Yes</v>
      </c>
      <c r="I41" s="140">
        <f>SUMIF('Diags Raw Data'!$A$6:$A$3898,"*"&amp;$A41&amp;"*",'Diags Raw Data'!$K$6:$K$3898)</f>
        <v>2</v>
      </c>
      <c r="J41" s="157">
        <f>SUMIF('Diags Raw Data'!$A$6:$A$3898,"*"&amp;$A41&amp;"*",'Diags Raw Data'!$L$6:$L$3898)</f>
        <v>2</v>
      </c>
      <c r="K41" s="158">
        <f t="array" ref="K41">IF(D41="",0,SUMPRODUCT(--(ISNUMBER(SEARCH($A41,'Diags Raw Data'!$A$6:$A$3898))),'Diags Raw Data'!$L$6:$L$3898,'Diags Raw Data'!$N$6:$N$3898)/J41)</f>
        <v>1</v>
      </c>
      <c r="L41" s="159">
        <f t="array" ref="L41">IF(D41="",0,SUMPRODUCT(--(ISNUMBER(SEARCH($A41,'Diags Raw Data'!$A$6:$A$3898))),'Diags Raw Data'!$L$6:$L$3898,'Diags Raw Data'!$P$6:$P$3898)/J41)</f>
        <v>1</v>
      </c>
      <c r="M41" s="160">
        <f t="array" ref="M41">SUMPRODUCT(--(ISNUMBER(SEARCH($A41,'Diags Raw Data'!$A$6:$A$3898))),--('Diags Raw Data'!$Q$6:$Q$3898&lt;&gt;"N/A"),'Diags Raw Data'!$R$6:$R$3898)</f>
        <v>2</v>
      </c>
      <c r="N41" s="161">
        <f t="array" ref="N41">SUMPRODUCT(--(ISNUMBER(SEARCH($A41,'Diags Raw Data'!$A$6:$A$3898))),--('Diags Raw Data'!$Q$6:$Q$3898&lt;&gt;"N/A"),'Diags Raw Data'!$T$6:$T$3898)+SUMPRODUCT(--(ISNUMBER(SEARCH($A41,'Diags Raw Data'!$A$6:$A$3898))),--('Diags Raw Data'!$Q$6:$Q$3898&lt;&gt;"N/A"),'Diags Raw Data'!$U$6:$U$3898)</f>
        <v>2</v>
      </c>
      <c r="O41" s="162">
        <f t="shared" si="9"/>
        <v>1</v>
      </c>
      <c r="P41" s="163">
        <f>SUMIF('Diags Raw Data'!$A$6:$A$3898,"*"&amp;$A41&amp;"*",'Diags Raw Data'!$Z$6:$Z$3898)</f>
        <v>0</v>
      </c>
      <c r="Q41" s="172">
        <f>SUM(SUMIF('Diags Raw Data'!$A$6:$A$3898,"*"&amp;$A41&amp;"*",'Diags Raw Data'!$AA$6:$AA$3898),SUMIF('Diags Raw Data'!$A$6:$A$3898,"*"&amp;$A41&amp;"*",'Diags Raw Data'!$AB$6:$AB$3898))</f>
        <v>0</v>
      </c>
      <c r="R41" s="173">
        <f t="shared" si="10"/>
        <v>0</v>
      </c>
      <c r="S41" s="173">
        <f t="shared" si="11"/>
        <v>0</v>
      </c>
      <c r="T41" s="174">
        <f t="shared" si="12"/>
        <v>0</v>
      </c>
      <c r="U41" s="175"/>
      <c r="V41" s="166"/>
    </row>
    <row r="42" spans="1:23" ht="60.75" thickBot="1">
      <c r="A42" s="134" t="s">
        <v>416</v>
      </c>
      <c r="B42" s="139" t="str">
        <f>VLOOKUP(A42,'Feature Raw Data'!$A$3:$B$3923,2,FALSE)</f>
        <v>I/O access control</v>
      </c>
      <c r="C42" s="140" t="str">
        <f>VLOOKUP(A42,'Feature Raw Data'!$A$3:$C$3923,3,FALSE)</f>
        <v>P1</v>
      </c>
      <c r="D42" s="141" t="str">
        <f t="array" ref="D42">_xlfn.TEXTJOIN("",TRUE,IF(ISNUMBER(SEARCH($A42,'Diags Raw Data'!$A$6:$A$3898)),CONCATENATE('Diags Raw Data'!$H$6:$H$3898,", "),""))</f>
        <v xml:space="preserve">AG007.009, AG013.001, AG013.002, AG013.003, </v>
      </c>
      <c r="E42" s="142" t="str">
        <f>VLOOKUP(A42,'Diags Raw Data'!$A$6:$D$3898,4,FALSE)</f>
        <v>nBIF</v>
      </c>
      <c r="F42" s="142" t="str">
        <f>VLOOKUP(A42,'Feature Raw Data'!$A$3:$E$3923,5,FALSE)</f>
        <v>Legacy</v>
      </c>
      <c r="G42" s="142" t="str">
        <f t="shared" si="7"/>
        <v>Yes</v>
      </c>
      <c r="H42" s="142" t="str">
        <f t="shared" si="8"/>
        <v>Yes</v>
      </c>
      <c r="I42" s="140">
        <f>SUMIF('Diags Raw Data'!$A$6:$A$3898,"*"&amp;$A42&amp;"*",'Diags Raw Data'!$K$6:$K$3898)</f>
        <v>4</v>
      </c>
      <c r="J42" s="157">
        <f>SUMIF('Diags Raw Data'!$A$6:$A$3898,"*"&amp;$A42&amp;"*",'Diags Raw Data'!$L$6:$L$3898)</f>
        <v>4</v>
      </c>
      <c r="K42" s="158">
        <f t="array" ref="K42">IF(D42="",0,SUMPRODUCT(--(ISNUMBER(SEARCH($A42,'Diags Raw Data'!$A$6:$A$3898))),'Diags Raw Data'!$L$6:$L$3898,'Diags Raw Data'!$N$6:$N$3898)/J42)</f>
        <v>1</v>
      </c>
      <c r="L42" s="159">
        <f t="array" ref="L42">IF(D42="",0,SUMPRODUCT(--(ISNUMBER(SEARCH($A42,'Diags Raw Data'!$A$6:$A$3898))),'Diags Raw Data'!$L$6:$L$3898,'Diags Raw Data'!$P$6:$P$3898)/J42)</f>
        <v>1</v>
      </c>
      <c r="M42" s="160">
        <f t="array" ref="M42">SUMPRODUCT(--(ISNUMBER(SEARCH($A42,'Diags Raw Data'!$A$6:$A$3898))),--('Diags Raw Data'!$Q$6:$Q$3898&lt;&gt;"N/A"),'Diags Raw Data'!$R$6:$R$3898)</f>
        <v>4</v>
      </c>
      <c r="N42" s="161">
        <f t="array" ref="N42">SUMPRODUCT(--(ISNUMBER(SEARCH($A42,'Diags Raw Data'!$A$6:$A$3898))),--('Diags Raw Data'!$Q$6:$Q$3898&lt;&gt;"N/A"),'Diags Raw Data'!$T$6:$T$3898)+SUMPRODUCT(--(ISNUMBER(SEARCH($A42,'Diags Raw Data'!$A$6:$A$3898))),--('Diags Raw Data'!$Q$6:$Q$3898&lt;&gt;"N/A"),'Diags Raw Data'!$U$6:$U$3898)</f>
        <v>4</v>
      </c>
      <c r="O42" s="162">
        <f t="shared" si="9"/>
        <v>1</v>
      </c>
      <c r="P42" s="163">
        <f>SUMIF('Diags Raw Data'!$A$6:$A$3898,"*"&amp;$A42&amp;"*",'Diags Raw Data'!$Z$6:$Z$3898)</f>
        <v>0</v>
      </c>
      <c r="Q42" s="172">
        <f>SUM(SUMIF('Diags Raw Data'!$A$6:$A$3898,"*"&amp;$A42&amp;"*",'Diags Raw Data'!$AA$6:$AA$3898),SUMIF('Diags Raw Data'!$A$6:$A$3898,"*"&amp;$A42&amp;"*",'Diags Raw Data'!$AB$6:$AB$3898))</f>
        <v>0</v>
      </c>
      <c r="R42" s="173">
        <f t="shared" si="10"/>
        <v>0</v>
      </c>
      <c r="S42" s="173">
        <f t="shared" si="11"/>
        <v>0</v>
      </c>
      <c r="T42" s="174">
        <f t="shared" si="12"/>
        <v>0</v>
      </c>
      <c r="U42" s="175"/>
      <c r="V42" s="166"/>
    </row>
    <row r="43" spans="1:23" ht="409.6" thickBot="1">
      <c r="A43" s="134" t="s">
        <v>253</v>
      </c>
      <c r="B43" s="139" t="str">
        <f>VLOOKUP(A43,'Feature Raw Data'!$A$3:$B$3923,2,FALSE)</f>
        <v>Memory access control</v>
      </c>
      <c r="C43" s="140" t="str">
        <f>VLOOKUP(A43,'Feature Raw Data'!$A$3:$C$3923,3,FALSE)</f>
        <v>P1</v>
      </c>
      <c r="D43" s="141" t="str">
        <f t="array" ref="D43">_xlfn.TEXTJOIN("",TRUE,IF(ISNUMBER(SEARCH($A43,'Diags Raw Data'!$A$6:$A$3898)),CONCATENATE('Diags Raw Data'!$H$6:$H$3898,", "),""))</f>
        <v xml:space="preserve">AG002.001, AG002.002, AG002.003, AG002.004, AG002.005, AG002.006, AG002.007, AG002.008, AG010.001, AG010.002, AG010.003, AG010.004, AG010.005, AG010.006, AG010.007, AG010.008, AG010.009, AG014.001, AG014.002, AG014.003, AG015.001, AG015.002, AG015.003, AG022.001, AG022.004, AG022.006, AG029.001, AG029.002, AG029.003, AG029.004, AG029.005, AG029.006, AG029.007, AG029.008, </v>
      </c>
      <c r="E43" s="142" t="str">
        <f>VLOOKUP(A43,'Diags Raw Data'!$A$6:$D$3898,4,FALSE)</f>
        <v>nBIF</v>
      </c>
      <c r="F43" s="142" t="str">
        <f>VLOOKUP(A43,'Feature Raw Data'!$A$3:$E$3923,5,FALSE)</f>
        <v>Legacy</v>
      </c>
      <c r="G43" s="142" t="str">
        <f t="shared" si="7"/>
        <v>Yes</v>
      </c>
      <c r="H43" s="142" t="str">
        <f t="shared" si="8"/>
        <v>Yes</v>
      </c>
      <c r="I43" s="140">
        <f>SUMIF('Diags Raw Data'!$A$6:$A$3898,"*"&amp;$A43&amp;"*",'Diags Raw Data'!$K$6:$K$3898)</f>
        <v>34</v>
      </c>
      <c r="J43" s="157">
        <f>SUMIF('Diags Raw Data'!$A$6:$A$3898,"*"&amp;$A43&amp;"*",'Diags Raw Data'!$L$6:$L$3898)</f>
        <v>34</v>
      </c>
      <c r="K43" s="158">
        <f t="array" ref="K43">IF(D43="",0,SUMPRODUCT(--(ISNUMBER(SEARCH($A43,'Diags Raw Data'!$A$6:$A$3898))),'Diags Raw Data'!$L$6:$L$3898,'Diags Raw Data'!$N$6:$N$3898)/J43)</f>
        <v>1</v>
      </c>
      <c r="L43" s="159">
        <f t="array" ref="L43">IF(D43="",0,SUMPRODUCT(--(ISNUMBER(SEARCH($A43,'Diags Raw Data'!$A$6:$A$3898))),'Diags Raw Data'!$L$6:$L$3898,'Diags Raw Data'!$P$6:$P$3898)/J43)</f>
        <v>1</v>
      </c>
      <c r="M43" s="160">
        <f t="array" ref="M43">SUMPRODUCT(--(ISNUMBER(SEARCH($A43,'Diags Raw Data'!$A$6:$A$3898))),--('Diags Raw Data'!$Q$6:$Q$3898&lt;&gt;"N/A"),'Diags Raw Data'!$R$6:$R$3898)</f>
        <v>34</v>
      </c>
      <c r="N43" s="161">
        <f t="array" ref="N43">SUMPRODUCT(--(ISNUMBER(SEARCH($A43,'Diags Raw Data'!$A$6:$A$3898))),--('Diags Raw Data'!$Q$6:$Q$3898&lt;&gt;"N/A"),'Diags Raw Data'!$T$6:$T$3898)+SUMPRODUCT(--(ISNUMBER(SEARCH($A43,'Diags Raw Data'!$A$6:$A$3898))),--('Diags Raw Data'!$Q$6:$Q$3898&lt;&gt;"N/A"),'Diags Raw Data'!$U$6:$U$3898)</f>
        <v>30</v>
      </c>
      <c r="O43" s="162">
        <f t="shared" si="9"/>
        <v>0.88235294117647056</v>
      </c>
      <c r="P43" s="163">
        <f>SUMIF('Diags Raw Data'!$A$6:$A$3898,"*"&amp;$A43&amp;"*",'Diags Raw Data'!$Z$6:$Z$3898)</f>
        <v>0</v>
      </c>
      <c r="Q43" s="172">
        <f>SUM(SUMIF('Diags Raw Data'!$A$6:$A$3898,"*"&amp;$A43&amp;"*",'Diags Raw Data'!$AA$6:$AA$3898),SUMIF('Diags Raw Data'!$A$6:$A$3898,"*"&amp;$A43&amp;"*",'Diags Raw Data'!$AB$6:$AB$3898))</f>
        <v>0</v>
      </c>
      <c r="R43" s="173">
        <f t="shared" si="10"/>
        <v>0</v>
      </c>
      <c r="S43" s="173">
        <f t="shared" si="11"/>
        <v>0</v>
      </c>
      <c r="T43" s="174">
        <f t="shared" si="12"/>
        <v>0</v>
      </c>
      <c r="U43" s="175"/>
      <c r="V43" s="166"/>
    </row>
    <row r="44" spans="1:23" ht="60.75" thickBot="1">
      <c r="A44" s="134" t="s">
        <v>395</v>
      </c>
      <c r="B44" s="139" t="str">
        <f>VLOOKUP(A44,'Feature Raw Data'!$A$3:$B$3923,2,FALSE)</f>
        <v>BAR resizing</v>
      </c>
      <c r="C44" s="140" t="str">
        <f>VLOOKUP(A44,'Feature Raw Data'!$A$3:$C$3923,3,FALSE)</f>
        <v>P2</v>
      </c>
      <c r="D44" s="141" t="str">
        <f t="array" ref="D44">_xlfn.TEXTJOIN("",TRUE,IF(ISNUMBER(SEARCH($A44,'Diags Raw Data'!$A$6:$A$3898)),CONCATENATE('Diags Raw Data'!$H$6:$H$3898,", "),""))</f>
        <v xml:space="preserve">AG007.001, AG031.001, AG031.002, AG031.003, </v>
      </c>
      <c r="E44" s="142" t="str">
        <f>VLOOKUP(A44,'Diags Raw Data'!$A$6:$D$3898,4,FALSE)</f>
        <v>nBIF</v>
      </c>
      <c r="F44" s="142" t="str">
        <f>VLOOKUP(A44,'Feature Raw Data'!$A$3:$E$3923,5,FALSE)</f>
        <v>Legacy</v>
      </c>
      <c r="G44" s="142" t="str">
        <f t="shared" si="7"/>
        <v>Yes</v>
      </c>
      <c r="H44" s="142" t="str">
        <f t="shared" si="8"/>
        <v>Yes</v>
      </c>
      <c r="I44" s="140">
        <f>SUMIF('Diags Raw Data'!$A$6:$A$3898,"*"&amp;$A44&amp;"*",'Diags Raw Data'!$K$6:$K$3898)</f>
        <v>4</v>
      </c>
      <c r="J44" s="157">
        <f>SUMIF('Diags Raw Data'!$A$6:$A$3898,"*"&amp;$A44&amp;"*",'Diags Raw Data'!$L$6:$L$3898)</f>
        <v>4</v>
      </c>
      <c r="K44" s="158">
        <f t="array" ref="K44">IF(D44="",0,SUMPRODUCT(--(ISNUMBER(SEARCH($A44,'Diags Raw Data'!$A$6:$A$3898))),'Diags Raw Data'!$L$6:$L$3898,'Diags Raw Data'!$N$6:$N$3898)/J44)</f>
        <v>1</v>
      </c>
      <c r="L44" s="159">
        <f t="array" ref="L44">IF(D44="",0,SUMPRODUCT(--(ISNUMBER(SEARCH($A44,'Diags Raw Data'!$A$6:$A$3898))),'Diags Raw Data'!$L$6:$L$3898,'Diags Raw Data'!$P$6:$P$3898)/J44)</f>
        <v>1</v>
      </c>
      <c r="M44" s="160">
        <f t="array" ref="M44">SUMPRODUCT(--(ISNUMBER(SEARCH($A44,'Diags Raw Data'!$A$6:$A$3898))),--('Diags Raw Data'!$Q$6:$Q$3898&lt;&gt;"N/A"),'Diags Raw Data'!$R$6:$R$3898)</f>
        <v>2</v>
      </c>
      <c r="N44" s="161">
        <f t="array" ref="N44">SUMPRODUCT(--(ISNUMBER(SEARCH($A44,'Diags Raw Data'!$A$6:$A$3898))),--('Diags Raw Data'!$Q$6:$Q$3898&lt;&gt;"N/A"),'Diags Raw Data'!$T$6:$T$3898)+SUMPRODUCT(--(ISNUMBER(SEARCH($A44,'Diags Raw Data'!$A$6:$A$3898))),--('Diags Raw Data'!$Q$6:$Q$3898&lt;&gt;"N/A"),'Diags Raw Data'!$U$6:$U$3898)</f>
        <v>4</v>
      </c>
      <c r="O44" s="162">
        <f t="shared" si="9"/>
        <v>2</v>
      </c>
      <c r="P44" s="163">
        <f>SUMIF('Diags Raw Data'!$A$6:$A$3898,"*"&amp;$A44&amp;"*",'Diags Raw Data'!$Z$6:$Z$3898)</f>
        <v>0</v>
      </c>
      <c r="Q44" s="172">
        <f>SUM(SUMIF('Diags Raw Data'!$A$6:$A$3898,"*"&amp;$A44&amp;"*",'Diags Raw Data'!$AA$6:$AA$3898),SUMIF('Diags Raw Data'!$A$6:$A$3898,"*"&amp;$A44&amp;"*",'Diags Raw Data'!$AB$6:$AB$3898))</f>
        <v>0</v>
      </c>
      <c r="R44" s="173">
        <f t="shared" si="10"/>
        <v>0</v>
      </c>
      <c r="S44" s="173">
        <f t="shared" si="11"/>
        <v>0</v>
      </c>
      <c r="T44" s="174">
        <f t="shared" si="12"/>
        <v>0</v>
      </c>
      <c r="U44" s="175"/>
      <c r="V44" s="166"/>
    </row>
    <row r="45" spans="1:23" ht="75.75" thickBot="1">
      <c r="A45" s="134" t="s">
        <v>383</v>
      </c>
      <c r="B45" s="139" t="str">
        <f>VLOOKUP(A45,'Feature Raw Data'!$A$3:$B$3923,2,FALSE)</f>
        <v>BAR allocation and Access</v>
      </c>
      <c r="C45" s="140" t="str">
        <f>VLOOKUP(A45,'Feature Raw Data'!$A$3:$C$3923,3,FALSE)</f>
        <v>P2</v>
      </c>
      <c r="D45" s="141" t="str">
        <f t="array" ref="D45">_xlfn.TEXTJOIN("",TRUE,IF(ISNUMBER(SEARCH($A45,'Diags Raw Data'!$A$6:$A$3898)),CONCATENATE('Diags Raw Data'!$H$6:$H$3898,", "),""))</f>
        <v xml:space="preserve">AG006.001, AG006.002, AG006.003, AG006.004, AG006.005, </v>
      </c>
      <c r="E45" s="142" t="str">
        <f>VLOOKUP(A45,'Diags Raw Data'!$A$6:$D$3898,4,FALSE)</f>
        <v>nBIF</v>
      </c>
      <c r="F45" s="142" t="str">
        <f>VLOOKUP(A45,'Feature Raw Data'!$A$3:$E$3923,5,FALSE)</f>
        <v>Legacy</v>
      </c>
      <c r="G45" s="142" t="str">
        <f t="shared" si="7"/>
        <v>Yes</v>
      </c>
      <c r="H45" s="142" t="str">
        <f t="shared" si="8"/>
        <v>Yes</v>
      </c>
      <c r="I45" s="140">
        <f>SUMIF('Diags Raw Data'!$A$6:$A$3898,"*"&amp;$A45&amp;"*",'Diags Raw Data'!$K$6:$K$3898)</f>
        <v>5</v>
      </c>
      <c r="J45" s="157">
        <f>SUMIF('Diags Raw Data'!$A$6:$A$3898,"*"&amp;$A45&amp;"*",'Diags Raw Data'!$L$6:$L$3898)</f>
        <v>5</v>
      </c>
      <c r="K45" s="158">
        <f t="array" ref="K45">IF(D45="",0,SUMPRODUCT(--(ISNUMBER(SEARCH($A45,'Diags Raw Data'!$A$6:$A$3898))),'Diags Raw Data'!$L$6:$L$3898,'Diags Raw Data'!$N$6:$N$3898)/J45)</f>
        <v>1</v>
      </c>
      <c r="L45" s="159">
        <f t="array" ref="L45">IF(D45="",0,SUMPRODUCT(--(ISNUMBER(SEARCH($A45,'Diags Raw Data'!$A$6:$A$3898))),'Diags Raw Data'!$L$6:$L$3898,'Diags Raw Data'!$P$6:$P$3898)/J45)</f>
        <v>1</v>
      </c>
      <c r="M45" s="160">
        <f t="array" ref="M45">SUMPRODUCT(--(ISNUMBER(SEARCH($A45,'Diags Raw Data'!$A$6:$A$3898))),--('Diags Raw Data'!$Q$6:$Q$3898&lt;&gt;"N/A"),'Diags Raw Data'!$R$6:$R$3898)</f>
        <v>5</v>
      </c>
      <c r="N45" s="161">
        <f t="array" ref="N45">SUMPRODUCT(--(ISNUMBER(SEARCH($A45,'Diags Raw Data'!$A$6:$A$3898))),--('Diags Raw Data'!$Q$6:$Q$3898&lt;&gt;"N/A"),'Diags Raw Data'!$T$6:$T$3898)+SUMPRODUCT(--(ISNUMBER(SEARCH($A45,'Diags Raw Data'!$A$6:$A$3898))),--('Diags Raw Data'!$Q$6:$Q$3898&lt;&gt;"N/A"),'Diags Raw Data'!$U$6:$U$3898)</f>
        <v>5</v>
      </c>
      <c r="O45" s="162">
        <f t="shared" si="9"/>
        <v>1</v>
      </c>
      <c r="P45" s="163">
        <f>SUMIF('Diags Raw Data'!$A$6:$A$3898,"*"&amp;$A45&amp;"*",'Diags Raw Data'!$Z$6:$Z$3898)</f>
        <v>0</v>
      </c>
      <c r="Q45" s="172">
        <f>SUM(SUMIF('Diags Raw Data'!$A$6:$A$3898,"*"&amp;$A45&amp;"*",'Diags Raw Data'!$AA$6:$AA$3898),SUMIF('Diags Raw Data'!$A$6:$A$3898,"*"&amp;$A45&amp;"*",'Diags Raw Data'!$AB$6:$AB$3898))</f>
        <v>0</v>
      </c>
      <c r="R45" s="173">
        <f t="shared" si="10"/>
        <v>0</v>
      </c>
      <c r="S45" s="173">
        <f t="shared" si="11"/>
        <v>0</v>
      </c>
      <c r="T45" s="174">
        <f t="shared" si="12"/>
        <v>0</v>
      </c>
      <c r="U45" s="175"/>
      <c r="V45" s="166"/>
    </row>
    <row r="46" spans="1:23" ht="255.75" thickBot="1">
      <c r="A46" s="134" t="s">
        <v>419</v>
      </c>
      <c r="B46" s="139" t="str">
        <f>VLOOKUP(A46,'Feature Raw Data'!$A$3:$B$3923,2,FALSE)</f>
        <v>Register Accesses</v>
      </c>
      <c r="C46" s="140" t="str">
        <f>VLOOKUP(A46,'Feature Raw Data'!$A$3:$C$3923,3,FALSE)</f>
        <v>P2</v>
      </c>
      <c r="D46" s="141" t="str">
        <f t="array" ref="D46">_xlfn.TEXTJOIN("",TRUE,IF(ISNUMBER(SEARCH($A46,'Diags Raw Data'!$A$6:$A$3898)),CONCATENATE('Diags Raw Data'!$H$6:$H$3898,", "),""))</f>
        <v xml:space="preserve">AG008.001, AG008.002, AG008.003, AG008.004, AG008.005, AG008.006, AG008.007, AG008.008, AG008.009, AG008.010, AG009.001, AG009.002, AG009.003, AG009.004, AG009.005, AG016.001, AG017.001, </v>
      </c>
      <c r="E46" s="142" t="str">
        <f>VLOOKUP(A46,'Diags Raw Data'!$A$6:$D$3898,4,FALSE)</f>
        <v>nBIF</v>
      </c>
      <c r="F46" s="142" t="str">
        <f>VLOOKUP(A46,'Feature Raw Data'!$A$3:$E$3923,5,FALSE)</f>
        <v>Legacy</v>
      </c>
      <c r="G46" s="142" t="str">
        <f t="shared" si="7"/>
        <v>Yes</v>
      </c>
      <c r="H46" s="142" t="str">
        <f t="shared" si="8"/>
        <v>Yes</v>
      </c>
      <c r="I46" s="140">
        <f>SUMIF('Diags Raw Data'!$A$6:$A$3898,"*"&amp;$A46&amp;"*",'Diags Raw Data'!$K$6:$K$3898)</f>
        <v>17</v>
      </c>
      <c r="J46" s="157">
        <f>SUMIF('Diags Raw Data'!$A$6:$A$3898,"*"&amp;$A46&amp;"*",'Diags Raw Data'!$L$6:$L$3898)</f>
        <v>17</v>
      </c>
      <c r="K46" s="158">
        <f t="array" ref="K46">IF(D46="",0,SUMPRODUCT(--(ISNUMBER(SEARCH($A46,'Diags Raw Data'!$A$6:$A$3898))),'Diags Raw Data'!$L$6:$L$3898,'Diags Raw Data'!$N$6:$N$3898)/J46)</f>
        <v>1</v>
      </c>
      <c r="L46" s="159">
        <f t="array" ref="L46">IF(D46="",0,SUMPRODUCT(--(ISNUMBER(SEARCH($A46,'Diags Raw Data'!$A$6:$A$3898))),'Diags Raw Data'!$L$6:$L$3898,'Diags Raw Data'!$P$6:$P$3898)/J46)</f>
        <v>1</v>
      </c>
      <c r="M46" s="160">
        <f t="array" ref="M46">SUMPRODUCT(--(ISNUMBER(SEARCH($A46,'Diags Raw Data'!$A$6:$A$3898))),--('Diags Raw Data'!$Q$6:$Q$3898&lt;&gt;"N/A"),'Diags Raw Data'!$R$6:$R$3898)</f>
        <v>17</v>
      </c>
      <c r="N46" s="161">
        <f t="array" ref="N46">SUMPRODUCT(--(ISNUMBER(SEARCH($A46,'Diags Raw Data'!$A$6:$A$3898))),--('Diags Raw Data'!$Q$6:$Q$3898&lt;&gt;"N/A"),'Diags Raw Data'!$T$6:$T$3898)+SUMPRODUCT(--(ISNUMBER(SEARCH($A46,'Diags Raw Data'!$A$6:$A$3898))),--('Diags Raw Data'!$Q$6:$Q$3898&lt;&gt;"N/A"),'Diags Raw Data'!$U$6:$U$3898)</f>
        <v>16</v>
      </c>
      <c r="O46" s="162">
        <f t="shared" si="9"/>
        <v>0.94117647058823528</v>
      </c>
      <c r="P46" s="163">
        <f>SUMIF('Diags Raw Data'!$A$6:$A$3898,"*"&amp;$A46&amp;"*",'Diags Raw Data'!$Z$6:$Z$3898)</f>
        <v>0</v>
      </c>
      <c r="Q46" s="172">
        <f>SUM(SUMIF('Diags Raw Data'!$A$6:$A$3898,"*"&amp;$A46&amp;"*",'Diags Raw Data'!$AA$6:$AA$3898),SUMIF('Diags Raw Data'!$A$6:$A$3898,"*"&amp;$A46&amp;"*",'Diags Raw Data'!$AB$6:$AB$3898))</f>
        <v>0</v>
      </c>
      <c r="R46" s="173">
        <f t="shared" si="10"/>
        <v>0</v>
      </c>
      <c r="S46" s="173">
        <f t="shared" si="11"/>
        <v>0</v>
      </c>
      <c r="T46" s="174">
        <f t="shared" si="12"/>
        <v>0</v>
      </c>
      <c r="U46" s="175"/>
      <c r="V46" s="166"/>
    </row>
    <row r="47" spans="1:23">
      <c r="A47" s="134" t="s">
        <v>990</v>
      </c>
      <c r="B47" s="139" t="str">
        <f>VLOOKUP(A47,'Feature Raw Data'!$A$3:$B$3923,2,FALSE)</f>
        <v>Link Bandwidth Management Status</v>
      </c>
      <c r="C47" s="140" t="str">
        <f>VLOOKUP(A47,'Feature Raw Data'!$A$3:$C$3923,3,FALSE)</f>
        <v>P2</v>
      </c>
      <c r="D47" s="141" t="str">
        <f t="array" ref="D47">_xlfn.TEXTJOIN("",TRUE,IF(ISNUMBER(SEARCH($A47,'Diags Raw Data'!$A$6:$A$3898)),CONCATENATE('Diags Raw Data'!$H$6:$H$3898,", "),""))</f>
        <v/>
      </c>
      <c r="E47" s="142" t="e">
        <f>VLOOKUP(A47,'Diags Raw Data'!$A$6:$D$3898,4,FALSE)</f>
        <v>#N/A</v>
      </c>
      <c r="F47" s="142" t="str">
        <f>VLOOKUP(A47,'Feature Raw Data'!$A$3:$E$3923,5,FALSE)</f>
        <v>Legacy</v>
      </c>
      <c r="G47" s="142" t="s">
        <v>31</v>
      </c>
      <c r="H47" s="142" t="s">
        <v>31</v>
      </c>
      <c r="I47" s="140">
        <f>SUMIF('Diags Raw Data'!$A$6:$A$3898,"*"&amp;$A47&amp;"*",'Diags Raw Data'!$K$6:$K$3898)</f>
        <v>0</v>
      </c>
      <c r="J47" s="157">
        <f>SUMIF('Diags Raw Data'!$A$6:$A$3898,"*"&amp;$A47&amp;"*",'Diags Raw Data'!$L$6:$L$3898)</f>
        <v>0</v>
      </c>
      <c r="K47" s="158">
        <f t="array" ref="K47">IF(D47="",0,SUMPRODUCT(--(ISNUMBER(SEARCH($A47,'Diags Raw Data'!$A$6:$A$3898))),'Diags Raw Data'!$L$6:$L$3898,'Diags Raw Data'!$N$6:$N$3898)/J47)</f>
        <v>0</v>
      </c>
      <c r="L47" s="159">
        <f t="array" ref="L47">IF(D47="",0,SUMPRODUCT(--(ISNUMBER(SEARCH($A47,'Diags Raw Data'!$A$6:$A$3898))),'Diags Raw Data'!$L$6:$L$3898,'Diags Raw Data'!$P$6:$P$3898)/J47)</f>
        <v>0</v>
      </c>
      <c r="M47" s="160">
        <f t="array" ref="M47">SUMPRODUCT(--(ISNUMBER(SEARCH($A47,'Diags Raw Data'!$A$6:$A$3898))),--('Diags Raw Data'!$Q$6:$Q$3898&lt;&gt;"N/A"),'Diags Raw Data'!$R$6:$R$3898)</f>
        <v>0</v>
      </c>
      <c r="N47" s="161">
        <f t="array" ref="N47">SUMPRODUCT(--(ISNUMBER(SEARCH($A47,'Diags Raw Data'!$A$6:$A$3898))),--('Diags Raw Data'!$Q$6:$Q$3898&lt;&gt;"N/A"),'Diags Raw Data'!$T$6:$T$3898)+SUMPRODUCT(--(ISNUMBER(SEARCH($A47,'Diags Raw Data'!$A$6:$A$3898))),--('Diags Raw Data'!$Q$6:$Q$3898&lt;&gt;"N/A"),'Diags Raw Data'!$U$6:$U$3898)</f>
        <v>0</v>
      </c>
      <c r="O47" s="162">
        <f t="shared" si="9"/>
        <v>0</v>
      </c>
      <c r="P47" s="163">
        <f>SUMIF('Diags Raw Data'!$A$6:$A$3898,"*"&amp;$A47&amp;"*",'Diags Raw Data'!$Z$6:$Z$3898)</f>
        <v>0</v>
      </c>
      <c r="Q47" s="172">
        <f>SUM(SUMIF('Diags Raw Data'!$A$6:$A$3898,"*"&amp;$A47&amp;"*",'Diags Raw Data'!$AA$6:$AA$3898),SUMIF('Diags Raw Data'!$A$6:$A$3898,"*"&amp;$A47&amp;"*",'Diags Raw Data'!$AB$6:$AB$3898))</f>
        <v>0</v>
      </c>
      <c r="R47" s="173">
        <f t="shared" si="10"/>
        <v>0</v>
      </c>
      <c r="S47" s="173">
        <f t="shared" si="11"/>
        <v>0</v>
      </c>
      <c r="T47" s="174">
        <f t="shared" si="12"/>
        <v>0</v>
      </c>
      <c r="U47" s="175"/>
      <c r="V47" s="166"/>
    </row>
    <row r="48" spans="1:23" ht="30.75" thickBot="1">
      <c r="A48" s="134" t="s">
        <v>537</v>
      </c>
      <c r="B48" s="139" t="str">
        <f>VLOOKUP(A48,'Feature Raw Data'!$A$3:$B$3923,2,FALSE)</f>
        <v>Training Check (only DL_Active status bit)</v>
      </c>
      <c r="C48" s="140" t="str">
        <f>VLOOKUP(A48,'Feature Raw Data'!$A$3:$C$3923,3,FALSE)</f>
        <v>P3</v>
      </c>
      <c r="D48" s="141" t="str">
        <f t="array" ref="D48">_xlfn.TEXTJOIN("",TRUE,IF(ISNUMBER(SEARCH($A48,'Diags Raw Data'!$A$6:$A$3898)),CONCATENATE('Diags Raw Data'!$H$6:$H$3898,", "),""))</f>
        <v xml:space="preserve">AG020.004, AG020.006, </v>
      </c>
      <c r="E48" s="142" t="str">
        <f>VLOOKUP(A48,'Diags Raw Data'!$A$6:$D$3898,4,FALSE)</f>
        <v>PCIE</v>
      </c>
      <c r="F48" s="142" t="str">
        <f>VLOOKUP(A48,'Feature Raw Data'!$A$3:$E$3923,5,FALSE)</f>
        <v>Legacy</v>
      </c>
      <c r="G48" s="142" t="str">
        <f t="shared" si="7"/>
        <v>Yes</v>
      </c>
      <c r="H48" s="142" t="str">
        <f t="shared" si="8"/>
        <v>Yes</v>
      </c>
      <c r="I48" s="140">
        <f>SUMIF('Diags Raw Data'!$A$6:$A$3898,"*"&amp;$A48&amp;"*",'Diags Raw Data'!$K$6:$K$3898)</f>
        <v>2</v>
      </c>
      <c r="J48" s="157">
        <f>SUMIF('Diags Raw Data'!$A$6:$A$3898,"*"&amp;$A48&amp;"*",'Diags Raw Data'!$L$6:$L$3898)</f>
        <v>2</v>
      </c>
      <c r="K48" s="158">
        <f t="array" ref="K48">IF(D48="",0,SUMPRODUCT(--(ISNUMBER(SEARCH($A48,'Diags Raw Data'!$A$6:$A$3898))),'Diags Raw Data'!$L$6:$L$3898,'Diags Raw Data'!$N$6:$N$3898)/J48)</f>
        <v>1</v>
      </c>
      <c r="L48" s="159">
        <f t="array" ref="L48">IF(D48="",0,SUMPRODUCT(--(ISNUMBER(SEARCH($A48,'Diags Raw Data'!$A$6:$A$3898))),'Diags Raw Data'!$L$6:$L$3898,'Diags Raw Data'!$P$6:$P$3898)/J48)</f>
        <v>1</v>
      </c>
      <c r="M48" s="160">
        <f t="array" ref="M48">SUMPRODUCT(--(ISNUMBER(SEARCH($A48,'Diags Raw Data'!$A$6:$A$3898))),--('Diags Raw Data'!$Q$6:$Q$3898&lt;&gt;"N/A"),'Diags Raw Data'!$R$6:$R$3898)</f>
        <v>2</v>
      </c>
      <c r="N48" s="161">
        <f t="array" ref="N48">SUMPRODUCT(--(ISNUMBER(SEARCH($A48,'Diags Raw Data'!$A$6:$A$3898))),--('Diags Raw Data'!$Q$6:$Q$3898&lt;&gt;"N/A"),'Diags Raw Data'!$T$6:$T$3898)+SUMPRODUCT(--(ISNUMBER(SEARCH($A48,'Diags Raw Data'!$A$6:$A$3898))),--('Diags Raw Data'!$Q$6:$Q$3898&lt;&gt;"N/A"),'Diags Raw Data'!$U$6:$U$3898)</f>
        <v>2</v>
      </c>
      <c r="O48" s="162">
        <f t="shared" si="9"/>
        <v>1</v>
      </c>
      <c r="P48" s="163">
        <f>SUMIF('Diags Raw Data'!$A$6:$A$3898,"*"&amp;$A48&amp;"*",'Diags Raw Data'!$Z$6:$Z$3898)</f>
        <v>0</v>
      </c>
      <c r="Q48" s="172">
        <f>SUM(SUMIF('Diags Raw Data'!$A$6:$A$3898,"*"&amp;$A48&amp;"*",'Diags Raw Data'!$AA$6:$AA$3898),SUMIF('Diags Raw Data'!$A$6:$A$3898,"*"&amp;$A48&amp;"*",'Diags Raw Data'!$AB$6:$AB$3898))</f>
        <v>0</v>
      </c>
      <c r="R48" s="173">
        <f t="shared" si="10"/>
        <v>0</v>
      </c>
      <c r="S48" s="173">
        <f t="shared" si="11"/>
        <v>0</v>
      </c>
      <c r="T48" s="174">
        <f t="shared" si="12"/>
        <v>0</v>
      </c>
      <c r="U48" s="175"/>
      <c r="V48" s="166"/>
    </row>
    <row r="49" spans="1:24" ht="30.75" thickBot="1">
      <c r="A49" s="134" t="s">
        <v>375</v>
      </c>
      <c r="B49" s="139" t="str">
        <f>VLOOKUP(A49,'Feature Raw Data'!$A$3:$B$3923,2,FALSE)</f>
        <v>lane margining at the receiver extended capability</v>
      </c>
      <c r="C49" s="140" t="str">
        <f>VLOOKUP(A49,'Feature Raw Data'!$A$3:$C$3923,3,FALSE)</f>
        <v>P2</v>
      </c>
      <c r="D49" s="141" t="str">
        <f t="array" ref="D49">_xlfn.TEXTJOIN("",TRUE,IF(ISNUMBER(SEARCH($A49,'Diags Raw Data'!$A$6:$A$3898)),CONCATENATE('Diags Raw Data'!$H$6:$H$3898,", "),""))</f>
        <v xml:space="preserve">AG005.021, </v>
      </c>
      <c r="E49" s="142" t="str">
        <f>VLOOKUP(A49,'Diags Raw Data'!$A$6:$D$3898,4,FALSE)</f>
        <v>nBIF</v>
      </c>
      <c r="F49" s="142" t="str">
        <f>VLOOKUP(A49,'Feature Raw Data'!$A$3:$E$3923,5,FALSE)</f>
        <v>Legacy</v>
      </c>
      <c r="G49" s="142" t="str">
        <f t="shared" si="7"/>
        <v>Yes</v>
      </c>
      <c r="H49" s="142" t="str">
        <f t="shared" si="8"/>
        <v>Yes</v>
      </c>
      <c r="I49" s="140">
        <f>SUMIF('Diags Raw Data'!$A$6:$A$3898,"*"&amp;$A49&amp;"*",'Diags Raw Data'!$K$6:$K$3898)</f>
        <v>1</v>
      </c>
      <c r="J49" s="157">
        <f>SUMIF('Diags Raw Data'!$A$6:$A$3898,"*"&amp;$A49&amp;"*",'Diags Raw Data'!$L$6:$L$3898)</f>
        <v>1</v>
      </c>
      <c r="K49" s="158">
        <f t="array" ref="K49">IF(D49="",0,SUMPRODUCT(--(ISNUMBER(SEARCH($A49,'Diags Raw Data'!$A$6:$A$3898))),'Diags Raw Data'!$L$6:$L$3898,'Diags Raw Data'!$N$6:$N$3898)/J49)</f>
        <v>1</v>
      </c>
      <c r="L49" s="159">
        <f t="array" ref="L49">IF(D49="",0,SUMPRODUCT(--(ISNUMBER(SEARCH($A49,'Diags Raw Data'!$A$6:$A$3898))),'Diags Raw Data'!$L$6:$L$3898,'Diags Raw Data'!$P$6:$P$3898)/J49)</f>
        <v>1</v>
      </c>
      <c r="M49" s="160">
        <f t="array" ref="M49">SUMPRODUCT(--(ISNUMBER(SEARCH($A49,'Diags Raw Data'!$A$6:$A$3898))),--('Diags Raw Data'!$Q$6:$Q$3898&lt;&gt;"N/A"),'Diags Raw Data'!$R$6:$R$3898)</f>
        <v>1</v>
      </c>
      <c r="N49" s="161">
        <f t="array" ref="N49">SUMPRODUCT(--(ISNUMBER(SEARCH($A49,'Diags Raw Data'!$A$6:$A$3898))),--('Diags Raw Data'!$Q$6:$Q$3898&lt;&gt;"N/A"),'Diags Raw Data'!$T$6:$T$3898)+SUMPRODUCT(--(ISNUMBER(SEARCH($A49,'Diags Raw Data'!$A$6:$A$3898))),--('Diags Raw Data'!$Q$6:$Q$3898&lt;&gt;"N/A"),'Diags Raw Data'!$U$6:$U$3898)</f>
        <v>1</v>
      </c>
      <c r="O49" s="162">
        <f t="shared" si="9"/>
        <v>1</v>
      </c>
      <c r="P49" s="163">
        <f>SUMIF('Diags Raw Data'!$A$6:$A$3898,"*"&amp;$A49&amp;"*",'Diags Raw Data'!$Z$6:$Z$3898)</f>
        <v>0</v>
      </c>
      <c r="Q49" s="172">
        <f>SUM(SUMIF('Diags Raw Data'!$A$6:$A$3898,"*"&amp;$A49&amp;"*",'Diags Raw Data'!$AA$6:$AA$3898),SUMIF('Diags Raw Data'!$A$6:$A$3898,"*"&amp;$A49&amp;"*",'Diags Raw Data'!$AB$6:$AB$3898))</f>
        <v>0</v>
      </c>
      <c r="R49" s="173">
        <f t="shared" si="10"/>
        <v>0</v>
      </c>
      <c r="S49" s="173">
        <f t="shared" si="11"/>
        <v>0</v>
      </c>
      <c r="T49" s="174">
        <f t="shared" si="12"/>
        <v>0</v>
      </c>
      <c r="U49" s="175"/>
      <c r="V49" s="166"/>
    </row>
    <row r="50" spans="1:24" ht="129" customHeight="1" thickBot="1">
      <c r="A50" s="134" t="s">
        <v>371</v>
      </c>
      <c r="B50" s="139" t="str">
        <f>VLOOKUP(A50,'Feature Raw Data'!$A$3:$B$3923,2,FALSE)</f>
        <v>physical layer 16GT extended capability</v>
      </c>
      <c r="C50" s="140" t="str">
        <f>VLOOKUP(A50,'Feature Raw Data'!$A$3:$C$3923,3,FALSE)</f>
        <v>P2</v>
      </c>
      <c r="D50" s="141" t="str">
        <f t="array" ref="D50">_xlfn.TEXTJOIN("",TRUE,IF(ISNUMBER(SEARCH($A50,'Diags Raw Data'!$A$6:$A$3898)),CONCATENATE('Diags Raw Data'!$H$6:$H$3898,", "),""))</f>
        <v xml:space="preserve">AG005.020, </v>
      </c>
      <c r="E50" s="142" t="str">
        <f>VLOOKUP(A50,'Diags Raw Data'!$A$6:$D$3898,4,FALSE)</f>
        <v>nBIF</v>
      </c>
      <c r="F50" s="142" t="str">
        <f>VLOOKUP(A50,'Feature Raw Data'!$A$3:$E$3923,5,FALSE)</f>
        <v>Legacy</v>
      </c>
      <c r="G50" s="142" t="str">
        <f t="shared" si="7"/>
        <v>Yes</v>
      </c>
      <c r="H50" s="142" t="str">
        <f t="shared" si="8"/>
        <v>Yes</v>
      </c>
      <c r="I50" s="140">
        <f>SUMIF('Diags Raw Data'!$A$6:$A$3898,"*"&amp;$A50&amp;"*",'Diags Raw Data'!$K$6:$K$3898)</f>
        <v>1</v>
      </c>
      <c r="J50" s="157">
        <f>SUMIF('Diags Raw Data'!$A$6:$A$3898,"*"&amp;$A50&amp;"*",'Diags Raw Data'!$L$6:$L$3898)</f>
        <v>1</v>
      </c>
      <c r="K50" s="158">
        <f t="array" ref="K50">IF(D50="",0,SUMPRODUCT(--(ISNUMBER(SEARCH($A50,'Diags Raw Data'!$A$6:$A$3898))),'Diags Raw Data'!$L$6:$L$3898,'Diags Raw Data'!$N$6:$N$3898)/J50)</f>
        <v>1</v>
      </c>
      <c r="L50" s="159">
        <f t="array" ref="L50">IF(D50="",0,SUMPRODUCT(--(ISNUMBER(SEARCH($A50,'Diags Raw Data'!$A$6:$A$3898))),'Diags Raw Data'!$L$6:$L$3898,'Diags Raw Data'!$P$6:$P$3898)/J50)</f>
        <v>1</v>
      </c>
      <c r="M50" s="160" cm="1">
        <f t="array" ref="M50">SUMPRODUCT(--(ISNUMBER(SEARCH($A50,'Diags Raw Data'!$A$6:$A$3898))),--('Diags Raw Data'!$Q$6:$Q$3898&lt;&gt;"N/A"),'Diags Raw Data'!$R$6:$R$3898)</f>
        <v>1</v>
      </c>
      <c r="N50" s="161">
        <f t="array" ref="N50">SUMPRODUCT(--(ISNUMBER(SEARCH($A50,'Diags Raw Data'!$A$6:$A$3898))),--('Diags Raw Data'!$Q$6:$Q$3898&lt;&gt;"N/A"),'Diags Raw Data'!$T$6:$T$3898)+SUMPRODUCT(--(ISNUMBER(SEARCH($A50,'Diags Raw Data'!$A$6:$A$3898))),--('Diags Raw Data'!$Q$6:$Q$3898&lt;&gt;"N/A"),'Diags Raw Data'!$U$6:$U$3898)</f>
        <v>1</v>
      </c>
      <c r="O50" s="162">
        <f t="shared" si="9"/>
        <v>1</v>
      </c>
      <c r="P50" s="163">
        <f>SUMIF('Diags Raw Data'!$A$6:$A$3898,"*"&amp;$A50&amp;"*",'Diags Raw Data'!$Z$6:$Z$3898)</f>
        <v>0</v>
      </c>
      <c r="Q50" s="172">
        <f>SUM(SUMIF('Diags Raw Data'!$A$6:$A$3898,"*"&amp;$A50&amp;"*",'Diags Raw Data'!$AA$6:$AA$3898),SUMIF('Diags Raw Data'!$A$6:$A$3898,"*"&amp;$A50&amp;"*",'Diags Raw Data'!$AB$6:$AB$3898))</f>
        <v>0</v>
      </c>
      <c r="R50" s="173">
        <f t="shared" si="10"/>
        <v>0</v>
      </c>
      <c r="S50" s="173">
        <f t="shared" si="11"/>
        <v>0</v>
      </c>
      <c r="T50" s="174">
        <f t="shared" si="12"/>
        <v>0</v>
      </c>
      <c r="U50" s="175"/>
      <c r="V50" s="166"/>
    </row>
    <row r="51" spans="1:24" ht="15.75" thickBot="1">
      <c r="A51" s="134" t="s">
        <v>367</v>
      </c>
      <c r="B51" s="139" t="str">
        <f>VLOOKUP(A51,'Feature Raw Data'!$A$3:$B$3923,2,FALSE)</f>
        <v>data link feature extended capability</v>
      </c>
      <c r="C51" s="140" t="str">
        <f>VLOOKUP(A51,'Feature Raw Data'!$A$3:$C$3923,3,FALSE)</f>
        <v>P3</v>
      </c>
      <c r="D51" s="141" t="str">
        <f t="array" ref="D51">_xlfn.TEXTJOIN("",TRUE,IF(ISNUMBER(SEARCH($A51,'Diags Raw Data'!$A$6:$A$3898)),CONCATENATE('Diags Raw Data'!$H$6:$H$3898,", "),""))</f>
        <v xml:space="preserve">AG005.019, </v>
      </c>
      <c r="E51" s="142" t="str">
        <f>VLOOKUP(A51,'Diags Raw Data'!$A$6:$D$3898,4,FALSE)</f>
        <v>nBIF</v>
      </c>
      <c r="F51" s="142" t="str">
        <f>VLOOKUP(A51,'Feature Raw Data'!$A$3:$E$3923,5,FALSE)</f>
        <v>Legacy</v>
      </c>
      <c r="G51" s="142" t="str">
        <f t="shared" si="7"/>
        <v>Yes</v>
      </c>
      <c r="H51" s="142" t="str">
        <f t="shared" si="8"/>
        <v>Yes</v>
      </c>
      <c r="I51" s="140">
        <f>SUMIF('Diags Raw Data'!$A$6:$A$3898,"*"&amp;$A51&amp;"*",'Diags Raw Data'!$K$6:$K$3898)</f>
        <v>1</v>
      </c>
      <c r="J51" s="157">
        <f>SUMIF('Diags Raw Data'!$A$6:$A$3898,"*"&amp;$A51&amp;"*",'Diags Raw Data'!$L$6:$L$3898)</f>
        <v>1</v>
      </c>
      <c r="K51" s="158">
        <f t="array" ref="K51">IF(D51="",0,SUMPRODUCT(--(ISNUMBER(SEARCH($A51,'Diags Raw Data'!$A$6:$A$3898))),'Diags Raw Data'!$L$6:$L$3898,'Diags Raw Data'!$N$6:$N$3898)/J51)</f>
        <v>1</v>
      </c>
      <c r="L51" s="159">
        <f t="array" ref="L51">IF(D51="",0,SUMPRODUCT(--(ISNUMBER(SEARCH($A51,'Diags Raw Data'!$A$6:$A$3898))),'Diags Raw Data'!$L$6:$L$3898,'Diags Raw Data'!$P$6:$P$3898)/J51)</f>
        <v>1</v>
      </c>
      <c r="M51" s="160">
        <f t="array" ref="M51">SUMPRODUCT(--(ISNUMBER(SEARCH($A51,'Diags Raw Data'!$A$6:$A$3898))),--('Diags Raw Data'!$Q$6:$Q$3898&lt;&gt;"N/A"),'Diags Raw Data'!$R$6:$R$3898)</f>
        <v>1</v>
      </c>
      <c r="N51" s="161">
        <f t="array" ref="N51">SUMPRODUCT(--(ISNUMBER(SEARCH($A51,'Diags Raw Data'!$A$6:$A$3898))),--('Diags Raw Data'!$Q$6:$Q$3898&lt;&gt;"N/A"),'Diags Raw Data'!$T$6:$T$3898)+SUMPRODUCT(--(ISNUMBER(SEARCH($A51,'Diags Raw Data'!$A$6:$A$3898))),--('Diags Raw Data'!$Q$6:$Q$3898&lt;&gt;"N/A"),'Diags Raw Data'!$U$6:$U$3898)</f>
        <v>1</v>
      </c>
      <c r="O51" s="162">
        <f t="shared" si="9"/>
        <v>1</v>
      </c>
      <c r="P51" s="163">
        <f>SUMIF('Diags Raw Data'!$A$6:$A$3898,"*"&amp;$A51&amp;"*",'Diags Raw Data'!$Z$6:$Z$3898)</f>
        <v>0</v>
      </c>
      <c r="Q51" s="172">
        <f>SUM(SUMIF('Diags Raw Data'!$A$6:$A$3898,"*"&amp;$A51&amp;"*",'Diags Raw Data'!$AA$6:$AA$3898),SUMIF('Diags Raw Data'!$A$6:$A$3898,"*"&amp;$A51&amp;"*",'Diags Raw Data'!$AB$6:$AB$3898))</f>
        <v>0</v>
      </c>
      <c r="R51" s="173">
        <f t="shared" si="10"/>
        <v>0</v>
      </c>
      <c r="S51" s="173">
        <f t="shared" si="11"/>
        <v>0</v>
      </c>
      <c r="T51" s="174">
        <f t="shared" si="12"/>
        <v>0</v>
      </c>
      <c r="U51" s="175"/>
      <c r="V51" s="166"/>
    </row>
    <row r="52" spans="1:24" ht="45">
      <c r="A52" s="134" t="s">
        <v>993</v>
      </c>
      <c r="B52" s="139" t="str">
        <f>VLOOKUP(A52,'Feature Raw Data'!$A$3:$B$3923,2,FALSE)</f>
        <v>SSID</v>
      </c>
      <c r="C52" s="140" t="str">
        <f>VLOOKUP(A52,'Feature Raw Data'!$A$3:$C$3923,3,FALSE)</f>
        <v>P2</v>
      </c>
      <c r="D52" s="141" t="str">
        <f t="array" ref="D52">_xlfn.TEXTJOIN("",TRUE,IF(ISNUMBER(SEARCH($A52,'Diags Raw Data'!$A$6:$A$3898)),CONCATENATE('Diags Raw Data'!$H$6:$H$3898,", "),""))</f>
        <v/>
      </c>
      <c r="E52" s="142" t="e">
        <f>VLOOKUP(A52,'Diags Raw Data'!$A$6:$D$3898,4,FALSE)</f>
        <v>#N/A</v>
      </c>
      <c r="F52" s="142" t="str">
        <f>VLOOKUP(A52,'Feature Raw Data'!$A$3:$E$3923,5,FALSE)</f>
        <v>Legacy</v>
      </c>
      <c r="G52" s="142" t="s">
        <v>31</v>
      </c>
      <c r="H52" s="142" t="str">
        <f t="shared" si="8"/>
        <v>No</v>
      </c>
      <c r="I52" s="140">
        <f>SUMIF('Diags Raw Data'!$A$6:$A$3898,"*"&amp;$A52&amp;"*",'Diags Raw Data'!$K$6:$K$3898)</f>
        <v>0</v>
      </c>
      <c r="J52" s="157">
        <f>SUMIF('Diags Raw Data'!$A$6:$A$3898,"*"&amp;$A52&amp;"*",'Diags Raw Data'!$L$6:$L$3898)</f>
        <v>0</v>
      </c>
      <c r="K52" s="158">
        <f t="array" ref="K52">IF(D52="",0,SUMPRODUCT(--(ISNUMBER(SEARCH($A52,'Diags Raw Data'!$A$6:$A$3898))),'Diags Raw Data'!$L$6:$L$3898,'Diags Raw Data'!$N$6:$N$3898)/J52)</f>
        <v>0</v>
      </c>
      <c r="L52" s="159">
        <f t="array" ref="L52">IF(D52="",0,SUMPRODUCT(--(ISNUMBER(SEARCH($A52,'Diags Raw Data'!$A$6:$A$3898))),'Diags Raw Data'!$L$6:$L$3898,'Diags Raw Data'!$P$6:$P$3898)/J52)</f>
        <v>0</v>
      </c>
      <c r="M52" s="160">
        <f t="array" ref="M52">SUMPRODUCT(--(ISNUMBER(SEARCH($A52,'Diags Raw Data'!$A$6:$A$3898))),--('Diags Raw Data'!$Q$6:$Q$3898&lt;&gt;"N/A"),'Diags Raw Data'!$R$6:$R$3898)</f>
        <v>0</v>
      </c>
      <c r="N52" s="161">
        <f t="array" ref="N52">SUMPRODUCT(--(ISNUMBER(SEARCH($A52,'Diags Raw Data'!$A$6:$A$3898))),--('Diags Raw Data'!$Q$6:$Q$3898&lt;&gt;"N/A"),'Diags Raw Data'!$T$6:$T$3898)+SUMPRODUCT(--(ISNUMBER(SEARCH($A52,'Diags Raw Data'!$A$6:$A$3898))),--('Diags Raw Data'!$Q$6:$Q$3898&lt;&gt;"N/A"),'Diags Raw Data'!$U$6:$U$3898)</f>
        <v>0</v>
      </c>
      <c r="O52" s="162">
        <f t="shared" si="9"/>
        <v>0</v>
      </c>
      <c r="P52" s="163">
        <f>SUMIF('Diags Raw Data'!$A$6:$A$3898,"*"&amp;$A52&amp;"*",'Diags Raw Data'!$Z$6:$Z$3898)</f>
        <v>0</v>
      </c>
      <c r="Q52" s="172">
        <f>SUM(SUMIF('Diags Raw Data'!$A$6:$A$3898,"*"&amp;$A52&amp;"*",'Diags Raw Data'!$AA$6:$AA$3898),SUMIF('Diags Raw Data'!$A$6:$A$3898,"*"&amp;$A52&amp;"*",'Diags Raw Data'!$AB$6:$AB$3898))</f>
        <v>0</v>
      </c>
      <c r="R52" s="173">
        <f t="shared" si="10"/>
        <v>0</v>
      </c>
      <c r="S52" s="173">
        <f t="shared" si="11"/>
        <v>0</v>
      </c>
      <c r="T52" s="174">
        <f t="shared" si="12"/>
        <v>0</v>
      </c>
      <c r="U52" s="175"/>
      <c r="V52" s="166"/>
      <c r="W52" s="121" t="s">
        <v>1112</v>
      </c>
    </row>
    <row r="53" spans="1:24" ht="53.25" customHeight="1" thickBot="1">
      <c r="A53" s="134" t="s">
        <v>356</v>
      </c>
      <c r="B53" s="139" t="str">
        <f>VLOOKUP(A53,'Feature Raw Data'!$A$3:$B$3923,2,FALSE)</f>
        <v>ARI</v>
      </c>
      <c r="C53" s="140" t="str">
        <f>VLOOKUP(A53,'Feature Raw Data'!$A$3:$C$3923,3,FALSE)</f>
        <v>P2</v>
      </c>
      <c r="D53" s="141" t="str">
        <f t="array" ref="D53">_xlfn.TEXTJOIN("",TRUE,IF(ISNUMBER(SEARCH($A53,'Diags Raw Data'!$A$6:$A$3898)),CONCATENATE('Diags Raw Data'!$H$6:$H$3898,", "),""))</f>
        <v xml:space="preserve">AG005.016, </v>
      </c>
      <c r="E53" s="142" t="str">
        <f>VLOOKUP(A53,'Diags Raw Data'!$A$6:$D$3898,4,FALSE)</f>
        <v>nBIF</v>
      </c>
      <c r="F53" s="142" t="str">
        <f>VLOOKUP(A53,'Feature Raw Data'!$A$3:$E$3923,5,FALSE)</f>
        <v>Legacy</v>
      </c>
      <c r="G53" s="501" t="s">
        <v>31</v>
      </c>
      <c r="H53" s="142" t="str">
        <f t="shared" si="8"/>
        <v>Yes</v>
      </c>
      <c r="I53" s="140">
        <f>SUMIF('Diags Raw Data'!$A$6:$A$3898,"*"&amp;$A53&amp;"*",'Diags Raw Data'!$K$6:$K$3898)</f>
        <v>1</v>
      </c>
      <c r="J53" s="157">
        <f>SUMIF('Diags Raw Data'!$A$6:$A$3898,"*"&amp;$A53&amp;"*",'Diags Raw Data'!$L$6:$L$3898)</f>
        <v>1</v>
      </c>
      <c r="K53" s="158">
        <f t="array" ref="K53">IF(D53="",0,SUMPRODUCT(--(ISNUMBER(SEARCH($A53,'Diags Raw Data'!$A$6:$A$3898))),'Diags Raw Data'!$L$6:$L$3898,'Diags Raw Data'!$N$6:$N$3898)/J53)</f>
        <v>1</v>
      </c>
      <c r="L53" s="159">
        <f t="array" ref="L53">IF(D53="",0,SUMPRODUCT(--(ISNUMBER(SEARCH($A53,'Diags Raw Data'!$A$6:$A$3898))),'Diags Raw Data'!$L$6:$L$3898,'Diags Raw Data'!$P$6:$P$3898)/J53)</f>
        <v>1</v>
      </c>
      <c r="M53" s="160">
        <f t="array" ref="M53">SUMPRODUCT(--(ISNUMBER(SEARCH($A53,'Diags Raw Data'!$A$6:$A$3898))),--('Diags Raw Data'!$Q$6:$Q$3898&lt;&gt;"N/A"),'Diags Raw Data'!$R$6:$R$3898)</f>
        <v>1</v>
      </c>
      <c r="N53" s="161">
        <f t="array" ref="N53">SUMPRODUCT(--(ISNUMBER(SEARCH($A53,'Diags Raw Data'!$A$6:$A$3898))),--('Diags Raw Data'!$Q$6:$Q$3898&lt;&gt;"N/A"),'Diags Raw Data'!$T$6:$T$3898)+SUMPRODUCT(--(ISNUMBER(SEARCH($A53,'Diags Raw Data'!$A$6:$A$3898))),--('Diags Raw Data'!$Q$6:$Q$3898&lt;&gt;"N/A"),'Diags Raw Data'!$U$6:$U$3898)</f>
        <v>1</v>
      </c>
      <c r="O53" s="162">
        <f t="shared" si="9"/>
        <v>1</v>
      </c>
      <c r="P53" s="163">
        <f>SUMIF('Diags Raw Data'!$A$6:$A$3898,"*"&amp;$A53&amp;"*",'Diags Raw Data'!$Z$6:$Z$3898)</f>
        <v>0</v>
      </c>
      <c r="Q53" s="172">
        <f>SUM(SUMIF('Diags Raw Data'!$A$6:$A$3898,"*"&amp;$A53&amp;"*",'Diags Raw Data'!$AA$6:$AA$3898),SUMIF('Diags Raw Data'!$A$6:$A$3898,"*"&amp;$A53&amp;"*",'Diags Raw Data'!$AB$6:$AB$3898))</f>
        <v>0</v>
      </c>
      <c r="R53" s="173">
        <f t="shared" si="10"/>
        <v>0</v>
      </c>
      <c r="S53" s="173">
        <f t="shared" si="11"/>
        <v>0</v>
      </c>
      <c r="T53" s="174">
        <f t="shared" si="12"/>
        <v>0</v>
      </c>
      <c r="U53" s="175"/>
      <c r="V53" s="166"/>
      <c r="W53" s="500"/>
    </row>
    <row r="54" spans="1:24" ht="15.75" thickBot="1">
      <c r="A54" s="134" t="s">
        <v>378</v>
      </c>
      <c r="B54" s="139" t="str">
        <f>VLOOKUP(A54,'Feature Raw Data'!$A$3:$B$3923,2,FALSE)</f>
        <v>PCIE Physical Layer 16GT/32GT </v>
      </c>
      <c r="C54" s="140" t="str">
        <f>VLOOKUP(A54,'Feature Raw Data'!$A$3:$C$3923,3,FALSE)</f>
        <v>P2</v>
      </c>
      <c r="D54" s="141" t="str">
        <f t="array" ref="D54">_xlfn.TEXTJOIN("",TRUE,IF(ISNUMBER(SEARCH($A54,'Diags Raw Data'!$A$6:$A$3898)),CONCATENATE('Diags Raw Data'!$H$6:$H$3898,", "),""))</f>
        <v xml:space="preserve">AG005.023, </v>
      </c>
      <c r="E54" s="142" t="str">
        <f>VLOOKUP(A54,'Diags Raw Data'!$A$6:$D$3898,4,FALSE)</f>
        <v>nBIF</v>
      </c>
      <c r="F54" s="142" t="str">
        <f>VLOOKUP(A54,'Feature Raw Data'!$A$3:$E$3923,5,FALSE)</f>
        <v>Legacy</v>
      </c>
      <c r="G54" s="142" t="str">
        <f t="shared" ref="G54:G74" si="13">IF(D54="","No","Yes")</f>
        <v>Yes</v>
      </c>
      <c r="H54" s="142" t="str">
        <f t="shared" si="8"/>
        <v>Yes</v>
      </c>
      <c r="I54" s="140">
        <f>SUMIF('Diags Raw Data'!$A$6:$A$3898,"*"&amp;$A54&amp;"*",'Diags Raw Data'!$K$6:$K$3898)</f>
        <v>1</v>
      </c>
      <c r="J54" s="157">
        <f>SUMIF('Diags Raw Data'!$A$6:$A$3898,"*"&amp;$A54&amp;"*",'Diags Raw Data'!$L$6:$L$3898)</f>
        <v>1</v>
      </c>
      <c r="K54" s="158">
        <f t="array" ref="K54">IF(D54="",0,SUMPRODUCT(--(ISNUMBER(SEARCH($A54,'Diags Raw Data'!$A$6:$A$3898))),'Diags Raw Data'!$L$6:$L$3898,'Diags Raw Data'!$N$6:$N$3898)/J54)</f>
        <v>1</v>
      </c>
      <c r="L54" s="159">
        <f t="array" ref="L54">IF(D54="",0,SUMPRODUCT(--(ISNUMBER(SEARCH($A54,'Diags Raw Data'!$A$6:$A$3898))),'Diags Raw Data'!$L$6:$L$3898,'Diags Raw Data'!$P$6:$P$3898)/J54)</f>
        <v>1</v>
      </c>
      <c r="M54" s="160">
        <f t="array" ref="M54">SUMPRODUCT(--(ISNUMBER(SEARCH($A54,'Diags Raw Data'!$A$6:$A$3898))),--('Diags Raw Data'!$Q$6:$Q$3898&lt;&gt;"N/A"),'Diags Raw Data'!$R$6:$R$3898)</f>
        <v>1</v>
      </c>
      <c r="N54" s="161">
        <f t="array" ref="N54">SUMPRODUCT(--(ISNUMBER(SEARCH($A54,'Diags Raw Data'!$A$6:$A$3898))),--('Diags Raw Data'!$Q$6:$Q$3898&lt;&gt;"N/A"),'Diags Raw Data'!$T$6:$T$3898)+SUMPRODUCT(--(ISNUMBER(SEARCH($A54,'Diags Raw Data'!$A$6:$A$3898))),--('Diags Raw Data'!$Q$6:$Q$3898&lt;&gt;"N/A"),'Diags Raw Data'!$U$6:$U$3898)</f>
        <v>1</v>
      </c>
      <c r="O54" s="162">
        <f t="shared" si="9"/>
        <v>1</v>
      </c>
      <c r="P54" s="163">
        <f>SUMIF('Diags Raw Data'!$A$6:$A$3898,"*"&amp;$A54&amp;"*",'Diags Raw Data'!$Z$6:$Z$3898)</f>
        <v>0</v>
      </c>
      <c r="Q54" s="172">
        <f>SUM(SUMIF('Diags Raw Data'!$A$6:$A$3898,"*"&amp;$A54&amp;"*",'Diags Raw Data'!$AA$6:$AA$3898),SUMIF('Diags Raw Data'!$A$6:$A$3898,"*"&amp;$A54&amp;"*",'Diags Raw Data'!$AB$6:$AB$3898))</f>
        <v>0</v>
      </c>
      <c r="R54" s="173">
        <f t="shared" si="10"/>
        <v>0</v>
      </c>
      <c r="S54" s="173">
        <f t="shared" si="11"/>
        <v>0</v>
      </c>
      <c r="T54" s="174">
        <f t="shared" si="12"/>
        <v>0</v>
      </c>
      <c r="U54" s="175"/>
      <c r="V54" s="166"/>
    </row>
    <row r="55" spans="1:24" ht="15.75" thickBot="1">
      <c r="A55" s="134" t="s">
        <v>341</v>
      </c>
      <c r="B55" s="139" t="str">
        <f>VLOOKUP(A55,'Feature Raw Data'!$A$3:$B$3923,2,FALSE)</f>
        <v>ACS</v>
      </c>
      <c r="C55" s="140" t="str">
        <f>VLOOKUP(A55,'Feature Raw Data'!$A$3:$C$3923,3,FALSE)</f>
        <v>P2</v>
      </c>
      <c r="D55" s="141" t="str">
        <f t="array" ref="D55">_xlfn.TEXTJOIN("",TRUE,IF(ISNUMBER(SEARCH($A55,'Diags Raw Data'!$A$6:$A$3898)),CONCATENATE('Diags Raw Data'!$H$6:$H$3898,", "),""))</f>
        <v xml:space="preserve">AG005.009, </v>
      </c>
      <c r="E55" s="142" t="str">
        <f>VLOOKUP(A55,'Diags Raw Data'!$A$6:$D$3898,4,FALSE)</f>
        <v>nBIF</v>
      </c>
      <c r="F55" s="142" t="str">
        <f>VLOOKUP(A55,'Feature Raw Data'!$A$3:$E$3923,5,FALSE)</f>
        <v>Legacy</v>
      </c>
      <c r="G55" s="142" t="str">
        <f t="shared" si="13"/>
        <v>Yes</v>
      </c>
      <c r="H55" s="142" t="str">
        <f t="shared" si="8"/>
        <v>Yes</v>
      </c>
      <c r="I55" s="140">
        <f>SUMIF('Diags Raw Data'!$A$6:$A$3898,"*"&amp;$A55&amp;"*",'Diags Raw Data'!$K$6:$K$3898)</f>
        <v>1</v>
      </c>
      <c r="J55" s="157">
        <f>SUMIF('Diags Raw Data'!$A$6:$A$3898,"*"&amp;$A55&amp;"*",'Diags Raw Data'!$L$6:$L$3898)</f>
        <v>1</v>
      </c>
      <c r="K55" s="158">
        <f t="array" ref="K55">IF(D55="",0,SUMPRODUCT(--(ISNUMBER(SEARCH($A55,'Diags Raw Data'!$A$6:$A$3898))),'Diags Raw Data'!$L$6:$L$3898,'Diags Raw Data'!$N$6:$N$3898)/J55)</f>
        <v>1</v>
      </c>
      <c r="L55" s="159">
        <f t="array" ref="L55">IF(D55="",0,SUMPRODUCT(--(ISNUMBER(SEARCH($A55,'Diags Raw Data'!$A$6:$A$3898))),'Diags Raw Data'!$L$6:$L$3898,'Diags Raw Data'!$P$6:$P$3898)/J55)</f>
        <v>1</v>
      </c>
      <c r="M55" s="160">
        <f t="array" ref="M55">SUMPRODUCT(--(ISNUMBER(SEARCH($A55,'Diags Raw Data'!$A$6:$A$3898))),--('Diags Raw Data'!$Q$6:$Q$3898&lt;&gt;"N/A"),'Diags Raw Data'!$R$6:$R$3898)</f>
        <v>1</v>
      </c>
      <c r="N55" s="161">
        <f t="array" ref="N55">SUMPRODUCT(--(ISNUMBER(SEARCH($A55,'Diags Raw Data'!$A$6:$A$3898))),--('Diags Raw Data'!$Q$6:$Q$3898&lt;&gt;"N/A"),'Diags Raw Data'!$T$6:$T$3898)+SUMPRODUCT(--(ISNUMBER(SEARCH($A55,'Diags Raw Data'!$A$6:$A$3898))),--('Diags Raw Data'!$Q$6:$Q$3898&lt;&gt;"N/A"),'Diags Raw Data'!$U$6:$U$3898)</f>
        <v>1</v>
      </c>
      <c r="O55" s="162">
        <f t="shared" si="9"/>
        <v>1</v>
      </c>
      <c r="P55" s="163">
        <f>SUMIF('Diags Raw Data'!$A$6:$A$3898,"*"&amp;$A55&amp;"*",'Diags Raw Data'!$Z$6:$Z$3898)</f>
        <v>0</v>
      </c>
      <c r="Q55" s="172">
        <f>SUM(SUMIF('Diags Raw Data'!$A$6:$A$3898,"*"&amp;$A55&amp;"*",'Diags Raw Data'!$AA$6:$AA$3898),SUMIF('Diags Raw Data'!$A$6:$A$3898,"*"&amp;$A55&amp;"*",'Diags Raw Data'!$AB$6:$AB$3898))</f>
        <v>0</v>
      </c>
      <c r="R55" s="173">
        <f t="shared" si="10"/>
        <v>0</v>
      </c>
      <c r="S55" s="173">
        <f t="shared" si="11"/>
        <v>0</v>
      </c>
      <c r="T55" s="174">
        <f t="shared" si="12"/>
        <v>0</v>
      </c>
      <c r="U55" s="175"/>
      <c r="V55" s="166"/>
    </row>
    <row r="56" spans="1:24" ht="15.75" thickBot="1">
      <c r="A56" s="134" t="s">
        <v>333</v>
      </c>
      <c r="B56" s="139" t="str">
        <f>VLOOKUP(A56,'Feature Raw Data'!$A$3:$B$3923,2,FALSE)</f>
        <v>Secondary PCIe Capability</v>
      </c>
      <c r="C56" s="140" t="str">
        <f>VLOOKUP(A56,'Feature Raw Data'!$A$3:$C$3923,3,FALSE)</f>
        <v>P2</v>
      </c>
      <c r="D56" s="141" t="str">
        <f t="array" ref="D56">_xlfn.TEXTJOIN("",TRUE,IF(ISNUMBER(SEARCH($A56,'Diags Raw Data'!$A$6:$A$3898)),CONCATENATE('Diags Raw Data'!$H$6:$H$3898,", "),""))</f>
        <v xml:space="preserve">AG005.007, </v>
      </c>
      <c r="E56" s="142" t="str">
        <f>VLOOKUP(A56,'Diags Raw Data'!$A$6:$D$3898,4,FALSE)</f>
        <v>nBIF</v>
      </c>
      <c r="F56" s="142" t="str">
        <f>VLOOKUP(A56,'Feature Raw Data'!$A$3:$E$3923,5,FALSE)</f>
        <v>Legacy</v>
      </c>
      <c r="G56" s="142" t="str">
        <f t="shared" si="13"/>
        <v>Yes</v>
      </c>
      <c r="H56" s="142" t="str">
        <f t="shared" si="8"/>
        <v>Yes</v>
      </c>
      <c r="I56" s="140">
        <f>SUMIF('Diags Raw Data'!$A$6:$A$3898,"*"&amp;$A56&amp;"*",'Diags Raw Data'!$K$6:$K$3898)</f>
        <v>1</v>
      </c>
      <c r="J56" s="157">
        <f>SUMIF('Diags Raw Data'!$A$6:$A$3898,"*"&amp;$A56&amp;"*",'Diags Raw Data'!$L$6:$L$3898)</f>
        <v>1</v>
      </c>
      <c r="K56" s="158">
        <f t="array" ref="K56">IF(D56="",0,SUMPRODUCT(--(ISNUMBER(SEARCH($A56,'Diags Raw Data'!$A$6:$A$3898))),'Diags Raw Data'!$L$6:$L$3898,'Diags Raw Data'!$N$6:$N$3898)/J56)</f>
        <v>1</v>
      </c>
      <c r="L56" s="159">
        <f t="array" ref="L56">IF(D56="",0,SUMPRODUCT(--(ISNUMBER(SEARCH($A56,'Diags Raw Data'!$A$6:$A$3898))),'Diags Raw Data'!$L$6:$L$3898,'Diags Raw Data'!$P$6:$P$3898)/J56)</f>
        <v>1</v>
      </c>
      <c r="M56" s="160">
        <f t="array" ref="M56">SUMPRODUCT(--(ISNUMBER(SEARCH($A56,'Diags Raw Data'!$A$6:$A$3898))),--('Diags Raw Data'!$Q$6:$Q$3898&lt;&gt;"N/A"),'Diags Raw Data'!$R$6:$R$3898)</f>
        <v>1</v>
      </c>
      <c r="N56" s="161">
        <f t="array" ref="N56">SUMPRODUCT(--(ISNUMBER(SEARCH($A56,'Diags Raw Data'!$A$6:$A$3898))),--('Diags Raw Data'!$Q$6:$Q$3898&lt;&gt;"N/A"),'Diags Raw Data'!$T$6:$T$3898)+SUMPRODUCT(--(ISNUMBER(SEARCH($A56,'Diags Raw Data'!$A$6:$A$3898))),--('Diags Raw Data'!$Q$6:$Q$3898&lt;&gt;"N/A"),'Diags Raw Data'!$U$6:$U$3898)</f>
        <v>1</v>
      </c>
      <c r="O56" s="162">
        <f t="shared" si="9"/>
        <v>1</v>
      </c>
      <c r="P56" s="163">
        <f>SUMIF('Diags Raw Data'!$A$6:$A$3898,"*"&amp;$A56&amp;"*",'Diags Raw Data'!$Z$6:$Z$3898)</f>
        <v>0</v>
      </c>
      <c r="Q56" s="172">
        <f>SUM(SUMIF('Diags Raw Data'!$A$6:$A$3898,"*"&amp;$A56&amp;"*",'Diags Raw Data'!$AA$6:$AA$3898),SUMIF('Diags Raw Data'!$A$6:$A$3898,"*"&amp;$A56&amp;"*",'Diags Raw Data'!$AB$6:$AB$3898))</f>
        <v>0</v>
      </c>
      <c r="R56" s="173">
        <f t="shared" si="10"/>
        <v>0</v>
      </c>
      <c r="S56" s="173">
        <f t="shared" si="11"/>
        <v>0</v>
      </c>
      <c r="T56" s="174">
        <f t="shared" si="12"/>
        <v>0</v>
      </c>
      <c r="U56" s="503"/>
      <c r="V56" s="166"/>
      <c r="X56" s="486"/>
    </row>
    <row r="57" spans="1:24" ht="15.75" thickBot="1">
      <c r="A57" s="134" t="s">
        <v>345</v>
      </c>
      <c r="B57" s="139" t="str">
        <f>VLOOKUP(A57,'Feature Raw Data'!$A$3:$B$3923,2,FALSE)</f>
        <v>DPA</v>
      </c>
      <c r="C57" s="140" t="str">
        <f>VLOOKUP(A57,'Feature Raw Data'!$A$3:$C$3923,3,FALSE)</f>
        <v>P2</v>
      </c>
      <c r="D57" s="141" t="str">
        <f t="array" ref="D57">_xlfn.TEXTJOIN("",TRUE,IF(ISNUMBER(SEARCH($A57,'Diags Raw Data'!$A$6:$A$3898)),CONCATENATE('Diags Raw Data'!$H$6:$H$3898,", "),""))</f>
        <v xml:space="preserve">AG005.012, </v>
      </c>
      <c r="E57" s="142" t="str">
        <f>VLOOKUP(A57,'Diags Raw Data'!$A$6:$D$3898,4,FALSE)</f>
        <v>nBIF</v>
      </c>
      <c r="F57" s="142" t="str">
        <f>VLOOKUP(A57,'Feature Raw Data'!$A$3:$E$3923,5,FALSE)</f>
        <v>Legacy</v>
      </c>
      <c r="G57" s="142" t="str">
        <f t="shared" si="13"/>
        <v>Yes</v>
      </c>
      <c r="H57" s="142" t="str">
        <f t="shared" si="8"/>
        <v>Yes</v>
      </c>
      <c r="I57" s="140">
        <f>SUMIF('Diags Raw Data'!$A$6:$A$3898,"*"&amp;$A57&amp;"*",'Diags Raw Data'!$K$6:$K$3898)</f>
        <v>1</v>
      </c>
      <c r="J57" s="157">
        <f>SUMIF('Diags Raw Data'!$A$6:$A$3898,"*"&amp;$A57&amp;"*",'Diags Raw Data'!$L$6:$L$3898)</f>
        <v>1</v>
      </c>
      <c r="K57" s="158">
        <f t="array" ref="K57">IF(D57="",0,SUMPRODUCT(--(ISNUMBER(SEARCH($A57,'Diags Raw Data'!$A$6:$A$3898))),'Diags Raw Data'!$L$6:$L$3898,'Diags Raw Data'!$N$6:$N$3898)/J57)</f>
        <v>1</v>
      </c>
      <c r="L57" s="159">
        <f t="array" ref="L57">IF(D57="",0,SUMPRODUCT(--(ISNUMBER(SEARCH($A57,'Diags Raw Data'!$A$6:$A$3898))),'Diags Raw Data'!$L$6:$L$3898,'Diags Raw Data'!$P$6:$P$3898)/J57)</f>
        <v>1</v>
      </c>
      <c r="M57" s="160">
        <f t="array" ref="M57">SUMPRODUCT(--(ISNUMBER(SEARCH($A57,'Diags Raw Data'!$A$6:$A$3898))),--('Diags Raw Data'!$Q$6:$Q$3898&lt;&gt;"N/A"),'Diags Raw Data'!$R$6:$R$3898)</f>
        <v>1</v>
      </c>
      <c r="N57" s="161">
        <f t="array" ref="N57">SUMPRODUCT(--(ISNUMBER(SEARCH($A57,'Diags Raw Data'!$A$6:$A$3898))),--('Diags Raw Data'!$Q$6:$Q$3898&lt;&gt;"N/A"),'Diags Raw Data'!$T$6:$T$3898)+SUMPRODUCT(--(ISNUMBER(SEARCH($A57,'Diags Raw Data'!$A$6:$A$3898))),--('Diags Raw Data'!$Q$6:$Q$3898&lt;&gt;"N/A"),'Diags Raw Data'!$U$6:$U$3898)</f>
        <v>1</v>
      </c>
      <c r="O57" s="162">
        <f t="shared" si="9"/>
        <v>1</v>
      </c>
      <c r="P57" s="163">
        <f>SUMIF('Diags Raw Data'!$A$6:$A$3898,"*"&amp;$A57&amp;"*",'Diags Raw Data'!$Z$6:$Z$3898)</f>
        <v>0</v>
      </c>
      <c r="Q57" s="172">
        <f>SUM(SUMIF('Diags Raw Data'!$A$6:$A$3898,"*"&amp;$A57&amp;"*",'Diags Raw Data'!$AA$6:$AA$3898),SUMIF('Diags Raw Data'!$A$6:$A$3898,"*"&amp;$A57&amp;"*",'Diags Raw Data'!$AB$6:$AB$3898))</f>
        <v>0</v>
      </c>
      <c r="R57" s="173">
        <f t="shared" si="10"/>
        <v>0</v>
      </c>
      <c r="S57" s="173">
        <f t="shared" si="11"/>
        <v>0</v>
      </c>
      <c r="T57" s="174">
        <f t="shared" si="12"/>
        <v>0</v>
      </c>
      <c r="U57" s="503"/>
      <c r="V57" s="166"/>
      <c r="X57" s="486"/>
    </row>
    <row r="58" spans="1:24" ht="60.75" thickBot="1">
      <c r="A58" s="134" t="s">
        <v>329</v>
      </c>
      <c r="B58" s="139" t="str">
        <f>VLOOKUP(A58,'Feature Raw Data'!$A$3:$B$3923,2,FALSE)</f>
        <v>PWR budgeting</v>
      </c>
      <c r="C58" s="140" t="str">
        <f>VLOOKUP(A58,'Feature Raw Data'!$A$3:$C$3923,3,FALSE)</f>
        <v>P2</v>
      </c>
      <c r="D58" s="141" t="str">
        <f t="array" ref="D58">_xlfn.TEXTJOIN("",TRUE,IF(ISNUMBER(SEARCH($A58,'Diags Raw Data'!$A$6:$A$3898)),CONCATENATE('Diags Raw Data'!$H$6:$H$3898,", "),""))</f>
        <v xml:space="preserve">AG005.006, AG032.001, AG032.002, AG032.003, </v>
      </c>
      <c r="E58" s="142" t="str">
        <f>VLOOKUP(A58,'Diags Raw Data'!$A$6:$D$3898,4,FALSE)</f>
        <v>nBIF</v>
      </c>
      <c r="F58" s="142" t="str">
        <f>VLOOKUP(A58,'Feature Raw Data'!$A$3:$E$3923,5,FALSE)</f>
        <v>Legacy</v>
      </c>
      <c r="G58" s="142" t="str">
        <f t="shared" si="13"/>
        <v>Yes</v>
      </c>
      <c r="H58" s="142" t="str">
        <f t="shared" si="8"/>
        <v>Yes</v>
      </c>
      <c r="I58" s="140">
        <f>SUMIF('Diags Raw Data'!$A$6:$A$3898,"*"&amp;$A58&amp;"*",'Diags Raw Data'!$K$6:$K$3898)</f>
        <v>4</v>
      </c>
      <c r="J58" s="157">
        <f>SUMIF('Diags Raw Data'!$A$6:$A$3898,"*"&amp;$A58&amp;"*",'Diags Raw Data'!$L$6:$L$3898)</f>
        <v>4</v>
      </c>
      <c r="K58" s="158">
        <f t="array" ref="K58">IF(D58="",0,SUMPRODUCT(--(ISNUMBER(SEARCH($A58,'Diags Raw Data'!$A$6:$A$3898))),'Diags Raw Data'!$L$6:$L$3898,'Diags Raw Data'!$N$6:$N$3898)/J58)</f>
        <v>1</v>
      </c>
      <c r="L58" s="159">
        <f t="array" ref="L58">IF(D58="",0,SUMPRODUCT(--(ISNUMBER(SEARCH($A58,'Diags Raw Data'!$A$6:$A$3898))),'Diags Raw Data'!$L$6:$L$3898,'Diags Raw Data'!$P$6:$P$3898)/J58)</f>
        <v>1</v>
      </c>
      <c r="M58" s="160">
        <f t="array" ref="M58">SUMPRODUCT(--(ISNUMBER(SEARCH($A58,'Diags Raw Data'!$A$6:$A$3898))),--('Diags Raw Data'!$Q$6:$Q$3898&lt;&gt;"N/A"),'Diags Raw Data'!$R$6:$R$3898)</f>
        <v>4</v>
      </c>
      <c r="N58" s="161">
        <f t="array" ref="N58">SUMPRODUCT(--(ISNUMBER(SEARCH($A58,'Diags Raw Data'!$A$6:$A$3898))),--('Diags Raw Data'!$Q$6:$Q$3898&lt;&gt;"N/A"),'Diags Raw Data'!$T$6:$T$3898)+SUMPRODUCT(--(ISNUMBER(SEARCH($A58,'Diags Raw Data'!$A$6:$A$3898))),--('Diags Raw Data'!$Q$6:$Q$3898&lt;&gt;"N/A"),'Diags Raw Data'!$U$6:$U$3898)</f>
        <v>4</v>
      </c>
      <c r="O58" s="162">
        <f t="shared" si="9"/>
        <v>1</v>
      </c>
      <c r="P58" s="163">
        <f>SUMIF('Diags Raw Data'!$A$6:$A$3898,"*"&amp;$A58&amp;"*",'Diags Raw Data'!$Z$6:$Z$3898)</f>
        <v>0</v>
      </c>
      <c r="Q58" s="172">
        <f>SUM(SUMIF('Diags Raw Data'!$A$6:$A$3898,"*"&amp;$A58&amp;"*",'Diags Raw Data'!$AA$6:$AA$3898),SUMIF('Diags Raw Data'!$A$6:$A$3898,"*"&amp;$A58&amp;"*",'Diags Raw Data'!$AB$6:$AB$3898))</f>
        <v>0</v>
      </c>
      <c r="R58" s="173">
        <f t="shared" si="10"/>
        <v>0</v>
      </c>
      <c r="S58" s="173">
        <f t="shared" si="11"/>
        <v>0</v>
      </c>
      <c r="T58" s="174">
        <f t="shared" si="12"/>
        <v>0</v>
      </c>
      <c r="U58" s="503"/>
      <c r="V58" s="166"/>
      <c r="X58" s="486"/>
    </row>
    <row r="59" spans="1:24" ht="27.6" customHeight="1" thickBot="1">
      <c r="A59" s="134" t="s">
        <v>801</v>
      </c>
      <c r="B59" s="139" t="str">
        <f>VLOOKUP(A59,'Feature Raw Data'!$A$3:$B$3923,2,FALSE)</f>
        <v>Data Throughput</v>
      </c>
      <c r="C59" s="140" t="str">
        <f>VLOOKUP(A59,'Feature Raw Data'!$A$3:$C$3923,3,FALSE)</f>
        <v>P2</v>
      </c>
      <c r="D59" s="141" t="str">
        <f t="array" ref="D59">_xlfn.TEXTJOIN("",TRUE,IF(ISNUMBER(SEARCH($A59,'Diags Raw Data'!$A$6:$A$3898)),CONCATENATE('Diags Raw Data'!$H$6:$H$3898,", "),""))</f>
        <v xml:space="preserve">CR001.002, CR001.003, CR001.004, CR001.007, CR008.001, CR008.002, CR008.003, CR010.001, CR010.002, CR010.003, CR010.004, CR010.005, CR010.006, CR010.007, CR015.001, CR015.002, CR015.003, CR015.004, CR015.005, CR015.006, CR015.007, CR015.008, CR015.009, </v>
      </c>
      <c r="E59" s="142" t="str">
        <f>VLOOKUP(A59,'Diags Raw Data'!$A$6:$D$3898,4,FALSE)</f>
        <v>PCIE</v>
      </c>
      <c r="F59" s="142" t="str">
        <f>VLOOKUP(A59,'Feature Raw Data'!$A$3:$E$3923,5,FALSE)</f>
        <v>Legacy</v>
      </c>
      <c r="G59" s="142" t="str">
        <f t="shared" si="13"/>
        <v>Yes</v>
      </c>
      <c r="H59" s="142" t="str">
        <f t="shared" si="8"/>
        <v>Yes</v>
      </c>
      <c r="I59" s="140">
        <f>SUMIF('Diags Raw Data'!$A$6:$A$3898,"*"&amp;$A59&amp;"*",'Diags Raw Data'!$K$6:$K$3898)</f>
        <v>23</v>
      </c>
      <c r="J59" s="157">
        <f>SUMIF('Diags Raw Data'!$A$6:$A$3898,"*"&amp;$A59&amp;"*",'Diags Raw Data'!$L$6:$L$3898)</f>
        <v>23</v>
      </c>
      <c r="K59" s="158">
        <f t="array" ref="K59">IF(D59="",0,SUMPRODUCT(--(ISNUMBER(SEARCH($A59,'Diags Raw Data'!$A$6:$A$3898))),'Diags Raw Data'!$L$6:$L$3898,'Diags Raw Data'!$N$6:$N$3898)/J59)</f>
        <v>1</v>
      </c>
      <c r="L59" s="159">
        <f t="array" ref="L59">IF(D59="",0,SUMPRODUCT(--(ISNUMBER(SEARCH($A59,'Diags Raw Data'!$A$6:$A$3898))),'Diags Raw Data'!$L$6:$L$3898,'Diags Raw Data'!$P$6:$P$3898)/J59)</f>
        <v>1</v>
      </c>
      <c r="M59" s="160">
        <f t="array" ref="M59">SUMPRODUCT(--(ISNUMBER(SEARCH($A59,'Diags Raw Data'!$A$6:$A$3898))),--('Diags Raw Data'!$Q$6:$Q$3898&lt;&gt;"N/A"),'Diags Raw Data'!$R$6:$R$3898)</f>
        <v>23</v>
      </c>
      <c r="N59" s="161">
        <f t="array" ref="N59">SUMPRODUCT(--(ISNUMBER(SEARCH($A59,'Diags Raw Data'!$A$6:$A$3898))),--('Diags Raw Data'!$Q$6:$Q$3898&lt;&gt;"N/A"),'Diags Raw Data'!$T$6:$T$3898)+SUMPRODUCT(--(ISNUMBER(SEARCH($A59,'Diags Raw Data'!$A$6:$A$3898))),--('Diags Raw Data'!$Q$6:$Q$3898&lt;&gt;"N/A"),'Diags Raw Data'!$U$6:$U$3898)</f>
        <v>0</v>
      </c>
      <c r="O59" s="162">
        <f t="shared" si="9"/>
        <v>0</v>
      </c>
      <c r="P59" s="163">
        <f>SUMIF('Diags Raw Data'!$A$6:$A$3898,"*"&amp;$A59&amp;"*",'Diags Raw Data'!$Z$6:$Z$3898)</f>
        <v>0</v>
      </c>
      <c r="Q59" s="172">
        <f>SUM(SUMIF('Diags Raw Data'!$A$6:$A$3898,"*"&amp;$A59&amp;"*",'Diags Raw Data'!$AA$6:$AA$3898),SUMIF('Diags Raw Data'!$A$6:$A$3898,"*"&amp;$A59&amp;"*",'Diags Raw Data'!$AB$6:$AB$3898))</f>
        <v>0</v>
      </c>
      <c r="R59" s="173">
        <f t="shared" si="10"/>
        <v>0</v>
      </c>
      <c r="S59" s="173">
        <f t="shared" si="11"/>
        <v>0</v>
      </c>
      <c r="T59" s="174">
        <f t="shared" si="12"/>
        <v>0</v>
      </c>
      <c r="U59" s="503"/>
      <c r="V59" s="166"/>
      <c r="X59" s="486"/>
    </row>
    <row r="60" spans="1:24" ht="90.75" thickBot="1">
      <c r="A60" s="134" t="s">
        <v>319</v>
      </c>
      <c r="B60" s="139" t="str">
        <f>VLOOKUP(A60,'Feature Raw Data'!$A$3:$B$3923,2,FALSE)</f>
        <v xml:space="preserve">AER </v>
      </c>
      <c r="C60" s="140" t="str">
        <f>VLOOKUP(A60,'Feature Raw Data'!$A$3:$C$3923,3,FALSE)</f>
        <v>P2</v>
      </c>
      <c r="D60" s="141" t="str">
        <f t="array" ref="D60">_xlfn.TEXTJOIN("",TRUE,IF(ISNUMBER(SEARCH($A60,'Diags Raw Data'!$A$6:$A$3898)),CONCATENATE('Diags Raw Data'!$H$6:$H$3898,", "),""))</f>
        <v xml:space="preserve">AG005.002, AG005.004, AG024.001, AG024.002, AG026.001, AG026.002, </v>
      </c>
      <c r="E60" s="142" t="str">
        <f>VLOOKUP(A60,'Diags Raw Data'!$A$6:$D$3898,4,FALSE)</f>
        <v>nBIF</v>
      </c>
      <c r="F60" s="142" t="str">
        <f>VLOOKUP(A60,'Feature Raw Data'!$A$3:$E$3923,5,FALSE)</f>
        <v>Legacy</v>
      </c>
      <c r="G60" s="142" t="str">
        <f t="shared" si="13"/>
        <v>Yes</v>
      </c>
      <c r="H60" s="142" t="str">
        <f t="shared" si="8"/>
        <v>Yes</v>
      </c>
      <c r="I60" s="140">
        <f>SUMIF('Diags Raw Data'!$A$6:$A$3898,"*"&amp;$A60&amp;"*",'Diags Raw Data'!$K$6:$K$3898)</f>
        <v>6</v>
      </c>
      <c r="J60" s="157">
        <f>SUMIF('Diags Raw Data'!$A$6:$A$3898,"*"&amp;$A60&amp;"*",'Diags Raw Data'!$L$6:$L$3898)</f>
        <v>6</v>
      </c>
      <c r="K60" s="158">
        <f t="array" ref="K60">IF(D60="",0,SUMPRODUCT(--(ISNUMBER(SEARCH($A60,'Diags Raw Data'!$A$6:$A$3898))),'Diags Raw Data'!$L$6:$L$3898,'Diags Raw Data'!$N$6:$N$3898)/J60)</f>
        <v>1</v>
      </c>
      <c r="L60" s="159">
        <f t="array" ref="L60">IF(D60="",0,SUMPRODUCT(--(ISNUMBER(SEARCH($A60,'Diags Raw Data'!$A$6:$A$3898))),'Diags Raw Data'!$L$6:$L$3898,'Diags Raw Data'!$P$6:$P$3898)/J60)</f>
        <v>1</v>
      </c>
      <c r="M60" s="160">
        <f t="array" ref="M60">SUMPRODUCT(--(ISNUMBER(SEARCH($A60,'Diags Raw Data'!$A$6:$A$3898))),--('Diags Raw Data'!$Q$6:$Q$3898&lt;&gt;"N/A"),'Diags Raw Data'!$R$6:$R$3898)</f>
        <v>6</v>
      </c>
      <c r="N60" s="161">
        <f t="array" ref="N60">SUMPRODUCT(--(ISNUMBER(SEARCH($A60,'Diags Raw Data'!$A$6:$A$3898))),--('Diags Raw Data'!$Q$6:$Q$3898&lt;&gt;"N/A"),'Diags Raw Data'!$T$6:$T$3898)+SUMPRODUCT(--(ISNUMBER(SEARCH($A60,'Diags Raw Data'!$A$6:$A$3898))),--('Diags Raw Data'!$Q$6:$Q$3898&lt;&gt;"N/A"),'Diags Raw Data'!$U$6:$U$3898)</f>
        <v>2</v>
      </c>
      <c r="O60" s="162">
        <f t="shared" si="9"/>
        <v>0.33333333333333331</v>
      </c>
      <c r="P60" s="163">
        <f>SUMIF('Diags Raw Data'!$A$6:$A$3898,"*"&amp;$A60&amp;"*",'Diags Raw Data'!$Z$6:$Z$3898)</f>
        <v>0</v>
      </c>
      <c r="Q60" s="172">
        <f>SUM(SUMIF('Diags Raw Data'!$A$6:$A$3898,"*"&amp;$A60&amp;"*",'Diags Raw Data'!$AA$6:$AA$3898),SUMIF('Diags Raw Data'!$A$6:$A$3898,"*"&amp;$A60&amp;"*",'Diags Raw Data'!$AB$6:$AB$3898))</f>
        <v>0</v>
      </c>
      <c r="R60" s="173">
        <f t="shared" si="10"/>
        <v>0</v>
      </c>
      <c r="S60" s="173">
        <f t="shared" si="11"/>
        <v>0</v>
      </c>
      <c r="T60" s="174">
        <f t="shared" si="12"/>
        <v>0</v>
      </c>
      <c r="U60" s="175"/>
      <c r="V60" s="179"/>
    </row>
    <row r="61" spans="1:24" ht="15.75" thickBot="1">
      <c r="A61" s="134" t="s">
        <v>337</v>
      </c>
      <c r="B61" s="139" t="str">
        <f>VLOOKUP(A61,'Feature Raw Data'!$A$3:$B$3923,2,FALSE)</f>
        <v>DSN</v>
      </c>
      <c r="C61" s="140" t="str">
        <f>VLOOKUP(A61,'Feature Raw Data'!$A$3:$C$3923,3,FALSE)</f>
        <v>P2</v>
      </c>
      <c r="D61" s="141" t="str">
        <f t="array" ref="D61">_xlfn.TEXTJOIN("",TRUE,IF(ISNUMBER(SEARCH($A61,'Diags Raw Data'!$A$6:$A$3898)),CONCATENATE('Diags Raw Data'!$H$6:$H$3898,", "),""))</f>
        <v xml:space="preserve">AG005.008, </v>
      </c>
      <c r="E61" s="142" t="str">
        <f>VLOOKUP(A61,'Diags Raw Data'!$A$6:$D$3898,4,FALSE)</f>
        <v>nBIF</v>
      </c>
      <c r="F61" s="142" t="str">
        <f>VLOOKUP(A61,'Feature Raw Data'!$A$3:$E$3923,5,FALSE)</f>
        <v>Legacy</v>
      </c>
      <c r="G61" s="142" t="str">
        <f t="shared" si="13"/>
        <v>Yes</v>
      </c>
      <c r="H61" s="142" t="str">
        <f t="shared" si="8"/>
        <v>Yes</v>
      </c>
      <c r="I61" s="140">
        <f>SUMIF('Diags Raw Data'!$A$6:$A$3898,"*"&amp;$A61&amp;"*",'Diags Raw Data'!$K$6:$K$3898)</f>
        <v>1</v>
      </c>
      <c r="J61" s="157">
        <f>SUMIF('Diags Raw Data'!$A$6:$A$3898,"*"&amp;$A61&amp;"*",'Diags Raw Data'!$L$6:$L$3898)</f>
        <v>1</v>
      </c>
      <c r="K61" s="158">
        <f t="array" ref="K61">IF(D61="",0,SUMPRODUCT(--(ISNUMBER(SEARCH($A61,'Diags Raw Data'!$A$6:$A$3898))),'Diags Raw Data'!$L$6:$L$3898,'Diags Raw Data'!$N$6:$N$3898)/J61)</f>
        <v>1</v>
      </c>
      <c r="L61" s="159">
        <f t="array" ref="L61">IF(D61="",0,SUMPRODUCT(--(ISNUMBER(SEARCH($A61,'Diags Raw Data'!$A$6:$A$3898))),'Diags Raw Data'!$L$6:$L$3898,'Diags Raw Data'!$P$6:$P$3898)/J61)</f>
        <v>1</v>
      </c>
      <c r="M61" s="160">
        <f t="array" ref="M61">SUMPRODUCT(--(ISNUMBER(SEARCH($A61,'Diags Raw Data'!$A$6:$A$3898))),--('Diags Raw Data'!$Q$6:$Q$3898&lt;&gt;"N/A"),'Diags Raw Data'!$R$6:$R$3898)</f>
        <v>1</v>
      </c>
      <c r="N61" s="161">
        <f t="array" ref="N61">SUMPRODUCT(--(ISNUMBER(SEARCH($A61,'Diags Raw Data'!$A$6:$A$3898))),--('Diags Raw Data'!$Q$6:$Q$3898&lt;&gt;"N/A"),'Diags Raw Data'!$T$6:$T$3898)+SUMPRODUCT(--(ISNUMBER(SEARCH($A61,'Diags Raw Data'!$A$6:$A$3898))),--('Diags Raw Data'!$Q$6:$Q$3898&lt;&gt;"N/A"),'Diags Raw Data'!$U$6:$U$3898)</f>
        <v>1</v>
      </c>
      <c r="O61" s="162">
        <f t="shared" si="9"/>
        <v>1</v>
      </c>
      <c r="P61" s="163">
        <f>SUMIF('Diags Raw Data'!$A$6:$A$3898,"*"&amp;$A61&amp;"*",'Diags Raw Data'!$Z$6:$Z$3898)</f>
        <v>0</v>
      </c>
      <c r="Q61" s="172">
        <f>SUM(SUMIF('Diags Raw Data'!$A$6:$A$3898,"*"&amp;$A61&amp;"*",'Diags Raw Data'!$AA$6:$AA$3898),SUMIF('Diags Raw Data'!$A$6:$A$3898,"*"&amp;$A61&amp;"*",'Diags Raw Data'!$AB$6:$AB$3898))</f>
        <v>0</v>
      </c>
      <c r="R61" s="173">
        <f t="shared" si="10"/>
        <v>0</v>
      </c>
      <c r="S61" s="173">
        <f t="shared" si="11"/>
        <v>0</v>
      </c>
      <c r="T61" s="174">
        <f t="shared" si="12"/>
        <v>0</v>
      </c>
      <c r="U61" s="503"/>
      <c r="V61" s="166"/>
    </row>
    <row r="62" spans="1:24" ht="30.75" thickBot="1">
      <c r="A62" s="134" t="s">
        <v>322</v>
      </c>
      <c r="B62" s="139" t="str">
        <f>VLOOKUP(A62,'Feature Raw Data'!$A$3:$B$3923,2,FALSE)</f>
        <v>Vendor Specific Capability</v>
      </c>
      <c r="C62" s="140" t="str">
        <f>VLOOKUP(A62,'Feature Raw Data'!$A$3:$C$3923,3,FALSE)</f>
        <v>P2</v>
      </c>
      <c r="D62" s="141" t="str">
        <f t="array" ref="D62">_xlfn.TEXTJOIN("",TRUE,IF(ISNUMBER(SEARCH($A62,'Diags Raw Data'!$A$6:$A$3898)),CONCATENATE('Diags Raw Data'!$H$6:$H$3898,", "),""))</f>
        <v xml:space="preserve">AG005.003, AG005.015, </v>
      </c>
      <c r="E62" s="142" t="str">
        <f>VLOOKUP(A62,'Diags Raw Data'!$A$6:$D$3898,4,FALSE)</f>
        <v>nBIF</v>
      </c>
      <c r="F62" s="142" t="str">
        <f>VLOOKUP(A62,'Feature Raw Data'!$A$3:$E$3923,5,FALSE)</f>
        <v>Legacy</v>
      </c>
      <c r="G62" s="142" t="str">
        <f t="shared" si="13"/>
        <v>Yes</v>
      </c>
      <c r="H62" s="142" t="str">
        <f t="shared" si="8"/>
        <v>Yes</v>
      </c>
      <c r="I62" s="140">
        <f>SUMIF('Diags Raw Data'!$A$6:$A$3898,"*"&amp;$A62&amp;"*",'Diags Raw Data'!$K$6:$K$3898)</f>
        <v>2</v>
      </c>
      <c r="J62" s="157">
        <f>SUMIF('Diags Raw Data'!$A$6:$A$3898,"*"&amp;$A62&amp;"*",'Diags Raw Data'!$L$6:$L$3898)</f>
        <v>2</v>
      </c>
      <c r="K62" s="158">
        <f t="array" ref="K62">IF(D62="",0,SUMPRODUCT(--(ISNUMBER(SEARCH($A62,'Diags Raw Data'!$A$6:$A$3898))),'Diags Raw Data'!$L$6:$L$3898,'Diags Raw Data'!$N$6:$N$3898)/J62)</f>
        <v>1</v>
      </c>
      <c r="L62" s="159">
        <f t="array" ref="L62">IF(D62="",0,SUMPRODUCT(--(ISNUMBER(SEARCH($A62,'Diags Raw Data'!$A$6:$A$3898))),'Diags Raw Data'!$L$6:$L$3898,'Diags Raw Data'!$P$6:$P$3898)/J62)</f>
        <v>1</v>
      </c>
      <c r="M62" s="160">
        <f t="array" ref="M62">SUMPRODUCT(--(ISNUMBER(SEARCH($A62,'Diags Raw Data'!$A$6:$A$3898))),--('Diags Raw Data'!$Q$6:$Q$3898&lt;&gt;"N/A"),'Diags Raw Data'!$R$6:$R$3898)</f>
        <v>2</v>
      </c>
      <c r="N62" s="161">
        <f t="array" ref="N62">SUMPRODUCT(--(ISNUMBER(SEARCH($A62,'Diags Raw Data'!$A$6:$A$3898))),--('Diags Raw Data'!$Q$6:$Q$3898&lt;&gt;"N/A"),'Diags Raw Data'!$T$6:$T$3898)+SUMPRODUCT(--(ISNUMBER(SEARCH($A62,'Diags Raw Data'!$A$6:$A$3898))),--('Diags Raw Data'!$Q$6:$Q$3898&lt;&gt;"N/A"),'Diags Raw Data'!$U$6:$U$3898)</f>
        <v>2</v>
      </c>
      <c r="O62" s="162">
        <f t="shared" si="9"/>
        <v>1</v>
      </c>
      <c r="P62" s="163">
        <f>SUMIF('Diags Raw Data'!$A$6:$A$3898,"*"&amp;$A62&amp;"*",'Diags Raw Data'!$Z$6:$Z$3898)</f>
        <v>0</v>
      </c>
      <c r="Q62" s="172">
        <f>SUM(SUMIF('Diags Raw Data'!$A$6:$A$3898,"*"&amp;$A62&amp;"*",'Diags Raw Data'!$AA$6:$AA$3898),SUMIF('Diags Raw Data'!$A$6:$A$3898,"*"&amp;$A62&amp;"*",'Diags Raw Data'!$AB$6:$AB$3898))</f>
        <v>0</v>
      </c>
      <c r="R62" s="173">
        <f t="shared" si="10"/>
        <v>0</v>
      </c>
      <c r="S62" s="173">
        <f t="shared" si="11"/>
        <v>0</v>
      </c>
      <c r="T62" s="174">
        <f t="shared" si="12"/>
        <v>0</v>
      </c>
      <c r="U62" s="503"/>
      <c r="V62" s="166"/>
      <c r="X62" s="486"/>
    </row>
    <row r="63" spans="1:24" ht="120.75" thickBot="1">
      <c r="A63" s="134" t="s">
        <v>301</v>
      </c>
      <c r="B63" s="139" t="str">
        <f>VLOOKUP(A63,'Feature Raw Data'!$A$3:$B$3923,2,FALSE)</f>
        <v>PCIe Capability</v>
      </c>
      <c r="C63" s="140" t="str">
        <f>VLOOKUP(A63,'Feature Raw Data'!$A$3:$C$3923,3,FALSE)</f>
        <v>P2</v>
      </c>
      <c r="D63" s="141" t="str">
        <f t="array" ref="D63">_xlfn.TEXTJOIN("",TRUE,IF(ISNUMBER(SEARCH($A63,'Diags Raw Data'!$A$6:$A$3898)),CONCATENATE('Diags Raw Data'!$H$6:$H$3898,", "),""))</f>
        <v xml:space="preserve">AG004.001, AG004.002, AG004.003, AG004.005, AG005.001, AG005.005, AG005.013, AG005.024, </v>
      </c>
      <c r="E63" s="142" t="str">
        <f>VLOOKUP(A63,'Diags Raw Data'!$A$6:$D$3898,4,FALSE)</f>
        <v>nBIF</v>
      </c>
      <c r="F63" s="142" t="str">
        <f>VLOOKUP(A63,'Feature Raw Data'!$A$3:$E$3923,5,FALSE)</f>
        <v>Legacy</v>
      </c>
      <c r="G63" s="142" t="str">
        <f t="shared" si="13"/>
        <v>Yes</v>
      </c>
      <c r="H63" s="142" t="str">
        <f t="shared" si="8"/>
        <v>Yes</v>
      </c>
      <c r="I63" s="140">
        <f>SUMIF('Diags Raw Data'!$A$6:$A$3898,"*"&amp;$A63&amp;"*",'Diags Raw Data'!$K$6:$K$3898)</f>
        <v>8</v>
      </c>
      <c r="J63" s="157">
        <f>SUMIF('Diags Raw Data'!$A$6:$A$3898,"*"&amp;$A63&amp;"*",'Diags Raw Data'!$L$6:$L$3898)</f>
        <v>8</v>
      </c>
      <c r="K63" s="158">
        <f t="array" ref="K63">IF(D63="",0,SUMPRODUCT(--(ISNUMBER(SEARCH($A63,'Diags Raw Data'!$A$6:$A$3898))),'Diags Raw Data'!$L$6:$L$3898,'Diags Raw Data'!$N$6:$N$3898)/J63)</f>
        <v>1</v>
      </c>
      <c r="L63" s="159">
        <f t="array" ref="L63">IF(D63="",0,SUMPRODUCT(--(ISNUMBER(SEARCH($A63,'Diags Raw Data'!$A$6:$A$3898))),'Diags Raw Data'!$L$6:$L$3898,'Diags Raw Data'!$P$6:$P$3898)/J63)</f>
        <v>1</v>
      </c>
      <c r="M63" s="160">
        <f t="array" ref="M63">SUMPRODUCT(--(ISNUMBER(SEARCH($A63,'Diags Raw Data'!$A$6:$A$3898))),--('Diags Raw Data'!$Q$6:$Q$3898&lt;&gt;"N/A"),'Diags Raw Data'!$R$6:$R$3898)</f>
        <v>8</v>
      </c>
      <c r="N63" s="161">
        <f t="array" ref="N63">SUMPRODUCT(--(ISNUMBER(SEARCH($A63,'Diags Raw Data'!$A$6:$A$3898))),--('Diags Raw Data'!$Q$6:$Q$3898&lt;&gt;"N/A"),'Diags Raw Data'!$T$6:$T$3898)+SUMPRODUCT(--(ISNUMBER(SEARCH($A63,'Diags Raw Data'!$A$6:$A$3898))),--('Diags Raw Data'!$Q$6:$Q$3898&lt;&gt;"N/A"),'Diags Raw Data'!$U$6:$U$3898)</f>
        <v>8</v>
      </c>
      <c r="O63" s="162">
        <f t="shared" si="9"/>
        <v>1</v>
      </c>
      <c r="P63" s="163">
        <f>SUMIF('Diags Raw Data'!$A$6:$A$3898,"*"&amp;$A63&amp;"*",'Diags Raw Data'!$Z$6:$Z$3898)</f>
        <v>0</v>
      </c>
      <c r="Q63" s="172">
        <f>SUM(SUMIF('Diags Raw Data'!$A$6:$A$3898,"*"&amp;$A63&amp;"*",'Diags Raw Data'!$AA$6:$AA$3898),SUMIF('Diags Raw Data'!$A$6:$A$3898,"*"&amp;$A63&amp;"*",'Diags Raw Data'!$AB$6:$AB$3898))</f>
        <v>0</v>
      </c>
      <c r="R63" s="173">
        <f t="shared" si="10"/>
        <v>0</v>
      </c>
      <c r="S63" s="173">
        <f t="shared" si="11"/>
        <v>0</v>
      </c>
      <c r="T63" s="174">
        <f t="shared" si="12"/>
        <v>0</v>
      </c>
      <c r="U63" s="503"/>
      <c r="V63" s="166"/>
      <c r="X63" s="486"/>
    </row>
    <row r="64" spans="1:24" ht="15.75" thickBot="1">
      <c r="A64" s="134" t="s">
        <v>310</v>
      </c>
      <c r="B64" s="139" t="str">
        <f>VLOOKUP(A64,'Feature Raw Data'!$A$3:$B$3923,2,FALSE)</f>
        <v>MSI and MSI-X</v>
      </c>
      <c r="C64" s="140" t="str">
        <f>VLOOKUP(A64,'Feature Raw Data'!$A$3:$C$3923,3,FALSE)</f>
        <v>P2</v>
      </c>
      <c r="D64" s="141" t="str">
        <f t="array" ref="D64">_xlfn.TEXTJOIN("",TRUE,IF(ISNUMBER(SEARCH($A64,'Diags Raw Data'!$A$6:$A$3898)),CONCATENATE('Diags Raw Data'!$H$6:$H$3898,", "),""))</f>
        <v xml:space="preserve">AG004.004, </v>
      </c>
      <c r="E64" s="142" t="str">
        <f>VLOOKUP(A64,'Diags Raw Data'!$A$6:$D$3898,4,FALSE)</f>
        <v>nBIF</v>
      </c>
      <c r="F64" s="142" t="str">
        <f>VLOOKUP(A64,'Feature Raw Data'!$A$3:$E$3923,5,FALSE)</f>
        <v>Legacy</v>
      </c>
      <c r="G64" s="142" t="str">
        <f t="shared" si="13"/>
        <v>Yes</v>
      </c>
      <c r="H64" s="142" t="str">
        <f t="shared" si="8"/>
        <v>Yes</v>
      </c>
      <c r="I64" s="140">
        <f>SUMIF('Diags Raw Data'!$A$6:$A$3898,"*"&amp;$A64&amp;"*",'Diags Raw Data'!$K$6:$K$3898)</f>
        <v>1</v>
      </c>
      <c r="J64" s="157">
        <f>SUMIF('Diags Raw Data'!$A$6:$A$3898,"*"&amp;$A64&amp;"*",'Diags Raw Data'!$L$6:$L$3898)</f>
        <v>1</v>
      </c>
      <c r="K64" s="158">
        <f t="array" ref="K64">IF(D64="",0,SUMPRODUCT(--(ISNUMBER(SEARCH($A64,'Diags Raw Data'!$A$6:$A$3898))),'Diags Raw Data'!$L$6:$L$3898,'Diags Raw Data'!$N$6:$N$3898)/J64)</f>
        <v>1</v>
      </c>
      <c r="L64" s="159">
        <f t="array" ref="L64">IF(D64="",0,SUMPRODUCT(--(ISNUMBER(SEARCH($A64,'Diags Raw Data'!$A$6:$A$3898))),'Diags Raw Data'!$L$6:$L$3898,'Diags Raw Data'!$P$6:$P$3898)/J64)</f>
        <v>1</v>
      </c>
      <c r="M64" s="160">
        <f t="array" ref="M64">SUMPRODUCT(--(ISNUMBER(SEARCH($A64,'Diags Raw Data'!$A$6:$A$3898))),--('Diags Raw Data'!$Q$6:$Q$3898&lt;&gt;"N/A"),'Diags Raw Data'!$R$6:$R$3898)</f>
        <v>1</v>
      </c>
      <c r="N64" s="161">
        <f t="array" ref="N64">SUMPRODUCT(--(ISNUMBER(SEARCH($A64,'Diags Raw Data'!$A$6:$A$3898))),--('Diags Raw Data'!$Q$6:$Q$3898&lt;&gt;"N/A"),'Diags Raw Data'!$T$6:$T$3898)+SUMPRODUCT(--(ISNUMBER(SEARCH($A64,'Diags Raw Data'!$A$6:$A$3898))),--('Diags Raw Data'!$Q$6:$Q$3898&lt;&gt;"N/A"),'Diags Raw Data'!$U$6:$U$3898)</f>
        <v>1</v>
      </c>
      <c r="O64" s="162">
        <f t="shared" si="9"/>
        <v>1</v>
      </c>
      <c r="P64" s="163">
        <f>SUMIF('Diags Raw Data'!$A$6:$A$3898,"*"&amp;$A64&amp;"*",'Diags Raw Data'!$Z$6:$Z$3898)</f>
        <v>0</v>
      </c>
      <c r="Q64" s="172">
        <f>SUM(SUMIF('Diags Raw Data'!$A$6:$A$3898,"*"&amp;$A64&amp;"*",'Diags Raw Data'!$AA$6:$AA$3898),SUMIF('Diags Raw Data'!$A$6:$A$3898,"*"&amp;$A64&amp;"*",'Diags Raw Data'!$AB$6:$AB$3898))</f>
        <v>0</v>
      </c>
      <c r="R64" s="173">
        <f t="shared" si="10"/>
        <v>0</v>
      </c>
      <c r="S64" s="173">
        <f t="shared" si="11"/>
        <v>0</v>
      </c>
      <c r="T64" s="174">
        <f t="shared" si="12"/>
        <v>0</v>
      </c>
      <c r="U64" s="503"/>
      <c r="V64" s="166"/>
      <c r="X64" s="487"/>
    </row>
    <row r="65" spans="1:24" ht="45">
      <c r="A65" s="134" t="s">
        <v>996</v>
      </c>
      <c r="B65" s="139" t="str">
        <f>VLOOKUP(A65,'Feature Raw Data'!$A$3:$B$3923,2,FALSE)</f>
        <v>PME and PME_turn_off</v>
      </c>
      <c r="C65" s="140" t="str">
        <f>VLOOKUP(A65,'Feature Raw Data'!$A$3:$C$3923,3,FALSE)</f>
        <v>P2</v>
      </c>
      <c r="D65" s="141" t="str">
        <f t="array" ref="D65">_xlfn.TEXTJOIN("",TRUE,IF(ISNUMBER(SEARCH($A65,'Diags Raw Data'!$A$6:$A$3898)),CONCATENATE('Diags Raw Data'!$H$6:$H$3898,", "),""))</f>
        <v/>
      </c>
      <c r="E65" s="142" t="e">
        <f>VLOOKUP(A65,'Diags Raw Data'!$A$6:$D$3898,4,FALSE)</f>
        <v>#N/A</v>
      </c>
      <c r="F65" s="142" t="str">
        <f>VLOOKUP(A65,'Feature Raw Data'!$A$3:$E$3923,5,FALSE)</f>
        <v>Legacy</v>
      </c>
      <c r="G65" s="142" t="s">
        <v>31</v>
      </c>
      <c r="H65" s="142" t="str">
        <f t="shared" si="8"/>
        <v>No</v>
      </c>
      <c r="I65" s="140">
        <f>SUMIF('Diags Raw Data'!$A$6:$A$3898,"*"&amp;$A65&amp;"*",'Diags Raw Data'!$K$6:$K$3898)</f>
        <v>0</v>
      </c>
      <c r="J65" s="157">
        <f>SUMIF('Diags Raw Data'!$A$6:$A$3898,"*"&amp;$A65&amp;"*",'Diags Raw Data'!$L$6:$L$3898)</f>
        <v>0</v>
      </c>
      <c r="K65" s="158">
        <f t="array" ref="K65">IF(D65="",0,SUMPRODUCT(--(ISNUMBER(SEARCH($A65,'Diags Raw Data'!$A$6:$A$3898))),'Diags Raw Data'!$L$6:$L$3898,'Diags Raw Data'!$N$6:$N$3898)/J65)</f>
        <v>0</v>
      </c>
      <c r="L65" s="159">
        <f t="array" ref="L65">IF(D65="",0,SUMPRODUCT(--(ISNUMBER(SEARCH($A65,'Diags Raw Data'!$A$6:$A$3898))),'Diags Raw Data'!$L$6:$L$3898,'Diags Raw Data'!$P$6:$P$3898)/J65)</f>
        <v>0</v>
      </c>
      <c r="M65" s="160">
        <f t="array" ref="M65">SUMPRODUCT(--(ISNUMBER(SEARCH($A65,'Diags Raw Data'!$A$6:$A$3898))),--('Diags Raw Data'!$Q$6:$Q$3898&lt;&gt;"N/A"),'Diags Raw Data'!$R$6:$R$3898)</f>
        <v>0</v>
      </c>
      <c r="N65" s="161">
        <f t="array" ref="N65">SUMPRODUCT(--(ISNUMBER(SEARCH($A65,'Diags Raw Data'!$A$6:$A$3898))),--('Diags Raw Data'!$Q$6:$Q$3898&lt;&gt;"N/A"),'Diags Raw Data'!$T$6:$T$3898)+SUMPRODUCT(--(ISNUMBER(SEARCH($A65,'Diags Raw Data'!$A$6:$A$3898))),--('Diags Raw Data'!$Q$6:$Q$3898&lt;&gt;"N/A"),'Diags Raw Data'!$U$6:$U$3898)</f>
        <v>0</v>
      </c>
      <c r="O65" s="162">
        <f t="shared" si="9"/>
        <v>0</v>
      </c>
      <c r="P65" s="163">
        <f>SUMIF('Diags Raw Data'!$A$6:$A$3898,"*"&amp;$A65&amp;"*",'Diags Raw Data'!$Z$6:$Z$3898)</f>
        <v>0</v>
      </c>
      <c r="Q65" s="172">
        <f>SUM(SUMIF('Diags Raw Data'!$A$6:$A$3898,"*"&amp;$A65&amp;"*",'Diags Raw Data'!$AA$6:$AA$3898),SUMIF('Diags Raw Data'!$A$6:$A$3898,"*"&amp;$A65&amp;"*",'Diags Raw Data'!$AB$6:$AB$3898))</f>
        <v>0</v>
      </c>
      <c r="R65" s="173">
        <f t="shared" si="10"/>
        <v>0</v>
      </c>
      <c r="S65" s="173">
        <f t="shared" si="11"/>
        <v>0</v>
      </c>
      <c r="T65" s="174">
        <f t="shared" si="12"/>
        <v>0</v>
      </c>
      <c r="U65" s="503"/>
      <c r="V65" s="166"/>
      <c r="W65" s="121" t="s">
        <v>1113</v>
      </c>
    </row>
    <row r="66" spans="1:24">
      <c r="A66" s="134" t="s">
        <v>857</v>
      </c>
      <c r="B66" s="139" t="str">
        <f>VLOOKUP(A66,'Feature Raw Data'!$A$3:$B$3923,2,FALSE)</f>
        <v>USB in s5 domain</v>
      </c>
      <c r="C66" s="140" t="str">
        <f>VLOOKUP(A66,'Feature Raw Data'!$A$3:$C$3923,3,FALSE)</f>
        <v>P2</v>
      </c>
      <c r="D66" s="141" t="str">
        <f t="array" ref="D66">_xlfn.TEXTJOIN("",TRUE,IF(ISNUMBER(SEARCH($A66,'Diags Raw Data'!$A$6:$A$3898)),CONCATENATE('Diags Raw Data'!$H$6:$H$3898,", "),""))</f>
        <v xml:space="preserve">AG901.1, AG901.2, </v>
      </c>
      <c r="E66" s="142" t="str">
        <f>VLOOKUP(A66,'Diags Raw Data'!$A$6:$D$3898,4,FALSE)</f>
        <v>nBIF</v>
      </c>
      <c r="F66" s="142" t="str">
        <f>VLOOKUP(A66,'Feature Raw Data'!$A$3:$E$3923,5,FALSE)</f>
        <v>Legacy</v>
      </c>
      <c r="G66" s="142" t="s">
        <v>31</v>
      </c>
      <c r="H66" s="142" t="s">
        <v>31</v>
      </c>
      <c r="I66" s="140">
        <f>SUMIF('Diags Raw Data'!$A$6:$A$3898,"*"&amp;$A66&amp;"*",'Diags Raw Data'!$K$6:$K$3898)</f>
        <v>2</v>
      </c>
      <c r="J66" s="157">
        <f>SUMIF('Diags Raw Data'!$A$6:$A$3898,"*"&amp;$A66&amp;"*",'Diags Raw Data'!$L$6:$L$3898)</f>
        <v>2</v>
      </c>
      <c r="K66" s="158">
        <f t="array" ref="K66">IF(D66="",0,SUMPRODUCT(--(ISNUMBER(SEARCH($A66,'Diags Raw Data'!$A$6:$A$3898))),'Diags Raw Data'!$L$6:$L$3898,'Diags Raw Data'!$N$6:$N$3898)/J66)</f>
        <v>1</v>
      </c>
      <c r="L66" s="159">
        <f t="array" ref="L66">IF(D66="",0,SUMPRODUCT(--(ISNUMBER(SEARCH($A66,'Diags Raw Data'!$A$6:$A$3898))),'Diags Raw Data'!$L$6:$L$3898,'Diags Raw Data'!$P$6:$P$3898)/J66)</f>
        <v>1</v>
      </c>
      <c r="M66" s="160">
        <f t="array" ref="M66">SUMPRODUCT(--(ISNUMBER(SEARCH($A66,'Diags Raw Data'!$A$6:$A$3898))),--('Diags Raw Data'!$Q$6:$Q$3898&lt;&gt;"N/A"),'Diags Raw Data'!$R$6:$R$3898)</f>
        <v>2</v>
      </c>
      <c r="N66" s="161">
        <f t="array" ref="N66">SUMPRODUCT(--(ISNUMBER(SEARCH($A66,'Diags Raw Data'!$A$6:$A$3898))),--('Diags Raw Data'!$Q$6:$Q$3898&lt;&gt;"N/A"),'Diags Raw Data'!$T$6:$T$3898)+SUMPRODUCT(--(ISNUMBER(SEARCH($A66,'Diags Raw Data'!$A$6:$A$3898))),--('Diags Raw Data'!$Q$6:$Q$3898&lt;&gt;"N/A"),'Diags Raw Data'!$U$6:$U$3898)</f>
        <v>0</v>
      </c>
      <c r="O66" s="162">
        <f t="shared" si="9"/>
        <v>0</v>
      </c>
      <c r="P66" s="163">
        <f>SUMIF('Diags Raw Data'!$A$6:$A$3898,"*"&amp;$A66&amp;"*",'Diags Raw Data'!$Z$6:$Z$3898)</f>
        <v>0</v>
      </c>
      <c r="Q66" s="172">
        <f>SUM(SUMIF('Diags Raw Data'!$A$6:$A$3898,"*"&amp;$A66&amp;"*",'Diags Raw Data'!$AA$6:$AA$3898),SUMIF('Diags Raw Data'!$A$6:$A$3898,"*"&amp;$A66&amp;"*",'Diags Raw Data'!$AB$6:$AB$3898))</f>
        <v>0</v>
      </c>
      <c r="R66" s="173">
        <f t="shared" si="10"/>
        <v>0</v>
      </c>
      <c r="S66" s="173">
        <f t="shared" si="11"/>
        <v>0</v>
      </c>
      <c r="T66" s="174">
        <f t="shared" si="12"/>
        <v>0</v>
      </c>
      <c r="U66" s="503"/>
      <c r="V66" s="166"/>
    </row>
    <row r="67" spans="1:24" ht="30.75" thickBot="1">
      <c r="A67" s="134" t="s">
        <v>405</v>
      </c>
      <c r="B67" s="139" t="str">
        <f>VLOOKUP(A67,'Feature Raw Data'!$A$3:$B$3923,2,FALSE)</f>
        <v>PCIE Function Aperture Size</v>
      </c>
      <c r="C67" s="140" t="str">
        <f>VLOOKUP(A67,'Feature Raw Data'!$A$3:$C$3923,3,FALSE)</f>
        <v>P2</v>
      </c>
      <c r="D67" s="141" t="str">
        <f t="array" ref="D67">_xlfn.TEXTJOIN("",TRUE,IF(ISNUMBER(SEARCH($A67,'Diags Raw Data'!$A$6:$A$3898)),CONCATENATE('Diags Raw Data'!$H$6:$H$3898,", "),""))</f>
        <v xml:space="preserve">AG007.004, AG007.006, </v>
      </c>
      <c r="E67" s="142" t="str">
        <f>VLOOKUP(A67,'Diags Raw Data'!$A$6:$D$3898,4,FALSE)</f>
        <v>nBIF</v>
      </c>
      <c r="F67" s="142" t="str">
        <f>VLOOKUP(A67,'Feature Raw Data'!$A$3:$E$3923,5,FALSE)</f>
        <v>Legacy</v>
      </c>
      <c r="G67" s="142" t="str">
        <f t="shared" si="13"/>
        <v>Yes</v>
      </c>
      <c r="H67" s="142" t="str">
        <f t="shared" si="8"/>
        <v>Yes</v>
      </c>
      <c r="I67" s="140">
        <f>SUMIF('Diags Raw Data'!$A$6:$A$3898,"*"&amp;$A67&amp;"*",'Diags Raw Data'!$K$6:$K$3898)</f>
        <v>2</v>
      </c>
      <c r="J67" s="157">
        <f>SUMIF('Diags Raw Data'!$A$6:$A$3898,"*"&amp;$A67&amp;"*",'Diags Raw Data'!$L$6:$L$3898)</f>
        <v>2</v>
      </c>
      <c r="K67" s="158">
        <f t="array" ref="K67">IF(D67="",0,SUMPRODUCT(--(ISNUMBER(SEARCH($A67,'Diags Raw Data'!$A$6:$A$3898))),'Diags Raw Data'!$L$6:$L$3898,'Diags Raw Data'!$N$6:$N$3898)/J67)</f>
        <v>1</v>
      </c>
      <c r="L67" s="159">
        <f t="array" ref="L67">IF(D67="",0,SUMPRODUCT(--(ISNUMBER(SEARCH($A67,'Diags Raw Data'!$A$6:$A$3898))),'Diags Raw Data'!$L$6:$L$3898,'Diags Raw Data'!$P$6:$P$3898)/J67)</f>
        <v>1</v>
      </c>
      <c r="M67" s="160">
        <f t="array" ref="M67">SUMPRODUCT(--(ISNUMBER(SEARCH($A67,'Diags Raw Data'!$A$6:$A$3898))),--('Diags Raw Data'!$Q$6:$Q$3898&lt;&gt;"N/A"),'Diags Raw Data'!$R$6:$R$3898)</f>
        <v>2</v>
      </c>
      <c r="N67" s="161">
        <f t="array" ref="N67">SUMPRODUCT(--(ISNUMBER(SEARCH($A67,'Diags Raw Data'!$A$6:$A$3898))),--('Diags Raw Data'!$Q$6:$Q$3898&lt;&gt;"N/A"),'Diags Raw Data'!$T$6:$T$3898)+SUMPRODUCT(--(ISNUMBER(SEARCH($A67,'Diags Raw Data'!$A$6:$A$3898))),--('Diags Raw Data'!$Q$6:$Q$3898&lt;&gt;"N/A"),'Diags Raw Data'!$U$6:$U$3898)</f>
        <v>2</v>
      </c>
      <c r="O67" s="162">
        <f t="shared" si="9"/>
        <v>1</v>
      </c>
      <c r="P67" s="163">
        <f>SUMIF('Diags Raw Data'!$A$6:$A$3898,"*"&amp;$A67&amp;"*",'Diags Raw Data'!$Z$6:$Z$3898)</f>
        <v>0</v>
      </c>
      <c r="Q67" s="172">
        <f>SUM(SUMIF('Diags Raw Data'!$A$6:$A$3898,"*"&amp;$A67&amp;"*",'Diags Raw Data'!$AA$6:$AA$3898),SUMIF('Diags Raw Data'!$A$6:$A$3898,"*"&amp;$A67&amp;"*",'Diags Raw Data'!$AB$6:$AB$3898))</f>
        <v>0</v>
      </c>
      <c r="R67" s="173">
        <f t="shared" si="10"/>
        <v>0</v>
      </c>
      <c r="S67" s="173">
        <f t="shared" si="11"/>
        <v>0</v>
      </c>
      <c r="T67" s="174">
        <f t="shared" si="12"/>
        <v>0</v>
      </c>
      <c r="U67" s="175"/>
      <c r="V67" s="502"/>
      <c r="W67" s="500"/>
    </row>
    <row r="68" spans="1:24" ht="30.75" thickBot="1">
      <c r="A68" s="134" t="s">
        <v>275</v>
      </c>
      <c r="B68" s="139" t="str">
        <f>VLOOKUP(A68,'Feature Raw Data'!$A$3:$B$3923,2,FALSE)</f>
        <v>Vendor ID and Device ID</v>
      </c>
      <c r="C68" s="140" t="str">
        <f>VLOOKUP(A68,'Feature Raw Data'!$A$3:$C$3923,3,FALSE)</f>
        <v>P2</v>
      </c>
      <c r="D68" s="141" t="str">
        <f t="array" ref="D68">_xlfn.TEXTJOIN("",TRUE,IF(ISNUMBER(SEARCH($A68,'Diags Raw Data'!$A$6:$A$3898)),CONCATENATE('Diags Raw Data'!$H$6:$H$3898,", "),""))</f>
        <v xml:space="preserve">AG003.001, AG003.002, </v>
      </c>
      <c r="E68" s="142" t="str">
        <f>VLOOKUP(A68,'Diags Raw Data'!$A$6:$D$3898,4,FALSE)</f>
        <v>nBIF</v>
      </c>
      <c r="F68" s="142" t="str">
        <f>VLOOKUP(A68,'Feature Raw Data'!$A$3:$E$3923,5,FALSE)</f>
        <v>Legacy</v>
      </c>
      <c r="G68" s="142" t="str">
        <f t="shared" si="13"/>
        <v>Yes</v>
      </c>
      <c r="H68" s="142" t="str">
        <f t="shared" si="8"/>
        <v>Yes</v>
      </c>
      <c r="I68" s="140">
        <f>SUMIF('Diags Raw Data'!$A$6:$A$3898,"*"&amp;$A68&amp;"*",'Diags Raw Data'!$K$6:$K$3898)</f>
        <v>2</v>
      </c>
      <c r="J68" s="157">
        <f>SUMIF('Diags Raw Data'!$A$6:$A$3898,"*"&amp;$A68&amp;"*",'Diags Raw Data'!$L$6:$L$3898)</f>
        <v>2</v>
      </c>
      <c r="K68" s="158">
        <f t="array" ref="K68">IF(D68="",0,SUMPRODUCT(--(ISNUMBER(SEARCH($A68,'Diags Raw Data'!$A$6:$A$3898))),'Diags Raw Data'!$L$6:$L$3898,'Diags Raw Data'!$N$6:$N$3898)/J68)</f>
        <v>1</v>
      </c>
      <c r="L68" s="159">
        <f t="array" ref="L68">IF(D68="",0,SUMPRODUCT(--(ISNUMBER(SEARCH($A68,'Diags Raw Data'!$A$6:$A$3898))),'Diags Raw Data'!$L$6:$L$3898,'Diags Raw Data'!$P$6:$P$3898)/J68)</f>
        <v>1</v>
      </c>
      <c r="M68" s="160">
        <f t="array" ref="M68">SUMPRODUCT(--(ISNUMBER(SEARCH($A68,'Diags Raw Data'!$A$6:$A$3898))),--('Diags Raw Data'!$Q$6:$Q$3898&lt;&gt;"N/A"),'Diags Raw Data'!$R$6:$R$3898)</f>
        <v>2</v>
      </c>
      <c r="N68" s="161">
        <f t="array" ref="N68">SUMPRODUCT(--(ISNUMBER(SEARCH($A68,'Diags Raw Data'!$A$6:$A$3898))),--('Diags Raw Data'!$Q$6:$Q$3898&lt;&gt;"N/A"),'Diags Raw Data'!$T$6:$T$3898)+SUMPRODUCT(--(ISNUMBER(SEARCH($A68,'Diags Raw Data'!$A$6:$A$3898))),--('Diags Raw Data'!$Q$6:$Q$3898&lt;&gt;"N/A"),'Diags Raw Data'!$U$6:$U$3898)</f>
        <v>2</v>
      </c>
      <c r="O68" s="162">
        <f t="shared" si="9"/>
        <v>1</v>
      </c>
      <c r="P68" s="163">
        <f>SUMIF('Diags Raw Data'!$A$6:$A$3898,"*"&amp;$A68&amp;"*",'Diags Raw Data'!$Z$6:$Z$3898)</f>
        <v>0</v>
      </c>
      <c r="Q68" s="172">
        <f>SUM(SUMIF('Diags Raw Data'!$A$6:$A$3898,"*"&amp;$A68&amp;"*",'Diags Raw Data'!$AA$6:$AA$3898),SUMIF('Diags Raw Data'!$A$6:$A$3898,"*"&amp;$A68&amp;"*",'Diags Raw Data'!$AB$6:$AB$3898))</f>
        <v>0</v>
      </c>
      <c r="R68" s="173">
        <f t="shared" si="10"/>
        <v>0</v>
      </c>
      <c r="S68" s="173">
        <f t="shared" si="11"/>
        <v>0</v>
      </c>
      <c r="T68" s="174">
        <f t="shared" si="12"/>
        <v>0</v>
      </c>
      <c r="U68" s="503"/>
      <c r="V68" s="166"/>
    </row>
    <row r="69" spans="1:24" ht="30" customHeight="1" thickBot="1">
      <c r="A69" s="134" t="s">
        <v>496</v>
      </c>
      <c r="B69" s="139" t="str">
        <f>VLOOKUP(A69,'Feature Raw Data'!$A$3:$B$3923,2,FALSE)</f>
        <v xml:space="preserve">HDP Flush and mmindex/data cross check </v>
      </c>
      <c r="C69" s="140" t="str">
        <f>VLOOKUP(A69,'Feature Raw Data'!$A$3:$C$3923,3,FALSE)</f>
        <v>P2</v>
      </c>
      <c r="D69" s="141" t="str">
        <f t="array" ref="D69">_xlfn.TEXTJOIN("",TRUE,IF(ISNUMBER(SEARCH($A69,'Diags Raw Data'!$A$6:$A$3898)),CONCATENATE('Diags Raw Data'!$H$6:$H$3898,", "),""))</f>
        <v xml:space="preserve">AG012.001, AG012.002, AG012.003, </v>
      </c>
      <c r="E69" s="142" t="str">
        <f>VLOOKUP(A69,'Diags Raw Data'!$A$6:$D$3898,4,FALSE)</f>
        <v>nBIF</v>
      </c>
      <c r="F69" s="142" t="str">
        <f>VLOOKUP(A69,'Feature Raw Data'!$A$3:$E$3923,5,FALSE)</f>
        <v>Legacy</v>
      </c>
      <c r="G69" s="142" t="str">
        <f t="shared" si="13"/>
        <v>Yes</v>
      </c>
      <c r="H69" s="142" t="str">
        <f t="shared" si="8"/>
        <v>Yes</v>
      </c>
      <c r="I69" s="140">
        <f>SUMIF('Diags Raw Data'!$A$6:$A$3898,"*"&amp;$A69&amp;"*",'Diags Raw Data'!$K$6:$K$3898)</f>
        <v>3</v>
      </c>
      <c r="J69" s="157">
        <f>SUMIF('Diags Raw Data'!$A$6:$A$3898,"*"&amp;$A69&amp;"*",'Diags Raw Data'!$L$6:$L$3898)</f>
        <v>3</v>
      </c>
      <c r="K69" s="158">
        <f t="array" ref="K69">IF(D69="",0,SUMPRODUCT(--(ISNUMBER(SEARCH($A69,'Diags Raw Data'!$A$6:$A$3898))),'Diags Raw Data'!$L$6:$L$3898,'Diags Raw Data'!$N$6:$N$3898)/J69)</f>
        <v>1</v>
      </c>
      <c r="L69" s="159">
        <f t="array" ref="L69">IF(D69="",0,SUMPRODUCT(--(ISNUMBER(SEARCH($A69,'Diags Raw Data'!$A$6:$A$3898))),'Diags Raw Data'!$L$6:$L$3898,'Diags Raw Data'!$P$6:$P$3898)/J69)</f>
        <v>1</v>
      </c>
      <c r="M69" s="160">
        <f t="array" ref="M69">SUMPRODUCT(--(ISNUMBER(SEARCH($A69,'Diags Raw Data'!$A$6:$A$3898))),--('Diags Raw Data'!$Q$6:$Q$3898&lt;&gt;"N/A"),'Diags Raw Data'!$R$6:$R$3898)</f>
        <v>3</v>
      </c>
      <c r="N69" s="161">
        <f t="array" ref="N69">SUMPRODUCT(--(ISNUMBER(SEARCH($A69,'Diags Raw Data'!$A$6:$A$3898))),--('Diags Raw Data'!$Q$6:$Q$3898&lt;&gt;"N/A"),'Diags Raw Data'!$T$6:$T$3898)+SUMPRODUCT(--(ISNUMBER(SEARCH($A69,'Diags Raw Data'!$A$6:$A$3898))),--('Diags Raw Data'!$Q$6:$Q$3898&lt;&gt;"N/A"),'Diags Raw Data'!$U$6:$U$3898)</f>
        <v>3</v>
      </c>
      <c r="O69" s="162">
        <f t="shared" si="9"/>
        <v>1</v>
      </c>
      <c r="P69" s="163">
        <f>SUMIF('Diags Raw Data'!$A$6:$A$3898,"*"&amp;$A69&amp;"*",'Diags Raw Data'!$Z$6:$Z$3898)</f>
        <v>0</v>
      </c>
      <c r="Q69" s="172">
        <f>SUM(SUMIF('Diags Raw Data'!$A$6:$A$3898,"*"&amp;$A69&amp;"*",'Diags Raw Data'!$AA$6:$AA$3898),SUMIF('Diags Raw Data'!$A$6:$A$3898,"*"&amp;$A69&amp;"*",'Diags Raw Data'!$AB$6:$AB$3898))</f>
        <v>0</v>
      </c>
      <c r="R69" s="173">
        <f t="shared" si="10"/>
        <v>0</v>
      </c>
      <c r="S69" s="173">
        <f t="shared" si="11"/>
        <v>0</v>
      </c>
      <c r="T69" s="174">
        <f t="shared" si="12"/>
        <v>0</v>
      </c>
      <c r="U69" s="175"/>
      <c r="V69" s="502"/>
    </row>
    <row r="70" spans="1:24" ht="15.75" thickBot="1">
      <c r="A70" s="134" t="s">
        <v>614</v>
      </c>
      <c r="B70" s="139" t="str">
        <f>VLOOKUP(A70,'Feature Raw Data'!$A$3:$B$3923,2,FALSE)</f>
        <v>GPU reset finish indication(delta, per VF)</v>
      </c>
      <c r="C70" s="140" t="str">
        <f>VLOOKUP(A70,'Feature Raw Data'!$A$3:$C$3923,3,FALSE)</f>
        <v>P2</v>
      </c>
      <c r="D70" s="141" t="str">
        <f t="array" ref="D70">_xlfn.TEXTJOIN("",TRUE,IF(ISNUMBER(SEARCH($A70,'Diags Raw Data'!$A$6:$A$3898)),CONCATENATE('Diags Raw Data'!$H$6:$H$3898,", "),""))</f>
        <v xml:space="preserve">AG038.006, </v>
      </c>
      <c r="E70" s="142" t="str">
        <f>VLOOKUP(A70,'Diags Raw Data'!$A$6:$D$3898,4,FALSE)</f>
        <v>nBIF</v>
      </c>
      <c r="F70" s="142" t="str">
        <f>VLOOKUP(A70,'Feature Raw Data'!$A$3:$E$3923,5,FALSE)</f>
        <v>Legacy</v>
      </c>
      <c r="G70" s="142" t="str">
        <f t="shared" si="13"/>
        <v>Yes</v>
      </c>
      <c r="H70" s="142" t="str">
        <f t="shared" si="8"/>
        <v>Yes</v>
      </c>
      <c r="I70" s="140">
        <f>SUMIF('Diags Raw Data'!$A$6:$A$3898,"*"&amp;$A70&amp;"*",'Diags Raw Data'!$K$6:$K$3898)</f>
        <v>1</v>
      </c>
      <c r="J70" s="157">
        <f>SUMIF('Diags Raw Data'!$A$6:$A$3898,"*"&amp;$A70&amp;"*",'Diags Raw Data'!$L$6:$L$3898)</f>
        <v>1</v>
      </c>
      <c r="K70" s="158">
        <f t="array" ref="K70">IF(D70="",0,SUMPRODUCT(--(ISNUMBER(SEARCH($A70,'Diags Raw Data'!$A$6:$A$3898))),'Diags Raw Data'!$L$6:$L$3898,'Diags Raw Data'!$N$6:$N$3898)/J70)</f>
        <v>0</v>
      </c>
      <c r="L70" s="159">
        <f t="array" ref="L70">IF(D70="",0,SUMPRODUCT(--(ISNUMBER(SEARCH($A70,'Diags Raw Data'!$A$6:$A$3898))),'Diags Raw Data'!$L$6:$L$3898,'Diags Raw Data'!$P$6:$P$3898)/J70)</f>
        <v>0</v>
      </c>
      <c r="M70" s="160">
        <f t="array" ref="M70">SUMPRODUCT(--(ISNUMBER(SEARCH($A70,'Diags Raw Data'!$A$6:$A$3898))),--('Diags Raw Data'!$Q$6:$Q$3898&lt;&gt;"N/A"),'Diags Raw Data'!$R$6:$R$3898)</f>
        <v>0</v>
      </c>
      <c r="N70" s="161">
        <f t="array" ref="N70">SUMPRODUCT(--(ISNUMBER(SEARCH($A70,'Diags Raw Data'!$A$6:$A$3898))),--('Diags Raw Data'!$Q$6:$Q$3898&lt;&gt;"N/A"),'Diags Raw Data'!$T$6:$T$3898)+SUMPRODUCT(--(ISNUMBER(SEARCH($A70,'Diags Raw Data'!$A$6:$A$3898))),--('Diags Raw Data'!$Q$6:$Q$3898&lt;&gt;"N/A"),'Diags Raw Data'!$U$6:$U$3898)</f>
        <v>0</v>
      </c>
      <c r="O70" s="162">
        <f t="shared" ref="O70:O74" si="14">IF((M70=0),0,N70/M70)</f>
        <v>0</v>
      </c>
      <c r="P70" s="163">
        <f>SUMIF('Diags Raw Data'!$A$6:$A$3898,"*"&amp;$A70&amp;"*",'Diags Raw Data'!$Z$6:$Z$3898)</f>
        <v>0</v>
      </c>
      <c r="Q70" s="172">
        <f>SUM(SUMIF('Diags Raw Data'!$A$6:$A$3898,"*"&amp;$A70&amp;"*",'Diags Raw Data'!$AA$6:$AA$3898),SUMIF('Diags Raw Data'!$A$6:$A$3898,"*"&amp;$A70&amp;"*",'Diags Raw Data'!$AB$6:$AB$3898))</f>
        <v>0</v>
      </c>
      <c r="R70" s="173">
        <f t="shared" si="10"/>
        <v>0</v>
      </c>
      <c r="S70" s="173">
        <f t="shared" si="11"/>
        <v>0</v>
      </c>
      <c r="T70" s="174">
        <f t="shared" ref="T70:T74" si="15">R70*S70</f>
        <v>0</v>
      </c>
      <c r="U70" s="175"/>
      <c r="V70" s="166"/>
    </row>
    <row r="71" spans="1:24" ht="45">
      <c r="A71" s="134" t="s">
        <v>1002</v>
      </c>
      <c r="B71" s="139" t="str">
        <f>VLOOKUP(A71,'Feature Raw Data'!$A$3:$B$3923,2,FALSE)</f>
        <v>TLP Prefix/Processing Hints</v>
      </c>
      <c r="C71" s="140" t="str">
        <f>VLOOKUP(A71,'Feature Raw Data'!$A$3:$C$3923,3,FALSE)</f>
        <v>P2</v>
      </c>
      <c r="D71" s="141" t="str">
        <f t="array" ref="D71">_xlfn.TEXTJOIN("",TRUE,IF(ISNUMBER(SEARCH($A71,'Diags Raw Data'!$A$6:$A$3898)),CONCATENATE('Diags Raw Data'!$H$6:$H$3898,", "),""))</f>
        <v/>
      </c>
      <c r="E71" s="142" t="e">
        <f>VLOOKUP(A71,'Diags Raw Data'!$A$6:$D$3898,4,FALSE)</f>
        <v>#N/A</v>
      </c>
      <c r="F71" s="142" t="str">
        <f>VLOOKUP(A71,'Feature Raw Data'!$A$3:$E$3923,5,FALSE)</f>
        <v>Legacy</v>
      </c>
      <c r="G71" s="142" t="s">
        <v>31</v>
      </c>
      <c r="H71" s="142" t="str">
        <f t="shared" si="8"/>
        <v>No</v>
      </c>
      <c r="I71" s="140">
        <f>SUMIF('Diags Raw Data'!$A$6:$A$3898,"*"&amp;$A71&amp;"*",'Diags Raw Data'!$K$6:$K$3898)</f>
        <v>0</v>
      </c>
      <c r="J71" s="157">
        <f>SUMIF('Diags Raw Data'!$A$6:$A$3898,"*"&amp;$A71&amp;"*",'Diags Raw Data'!$L$6:$L$3898)</f>
        <v>0</v>
      </c>
      <c r="K71" s="158">
        <f t="array" ref="K71">IF(D71="",0,SUMPRODUCT(--(ISNUMBER(SEARCH($A71,'Diags Raw Data'!$A$6:$A$3898))),'Diags Raw Data'!$L$6:$L$3898,'Diags Raw Data'!$N$6:$N$3898)/J71)</f>
        <v>0</v>
      </c>
      <c r="L71" s="159">
        <f t="array" ref="L71">IF(D71="",0,SUMPRODUCT(--(ISNUMBER(SEARCH($A71,'Diags Raw Data'!$A$6:$A$3898))),'Diags Raw Data'!$L$6:$L$3898,'Diags Raw Data'!$P$6:$P$3898)/J71)</f>
        <v>0</v>
      </c>
      <c r="M71" s="160">
        <f t="array" ref="M71">SUMPRODUCT(--(ISNUMBER(SEARCH($A71,'Diags Raw Data'!$A$6:$A$3898))),--('Diags Raw Data'!$Q$6:$Q$3898&lt;&gt;"N/A"),'Diags Raw Data'!$R$6:$R$3898)</f>
        <v>0</v>
      </c>
      <c r="N71" s="161">
        <f t="array" ref="N71">SUMPRODUCT(--(ISNUMBER(SEARCH($A71,'Diags Raw Data'!$A$6:$A$3898))),--('Diags Raw Data'!$Q$6:$Q$3898&lt;&gt;"N/A"),'Diags Raw Data'!$T$6:$T$3898)+SUMPRODUCT(--(ISNUMBER(SEARCH($A71,'Diags Raw Data'!$A$6:$A$3898))),--('Diags Raw Data'!$Q$6:$Q$3898&lt;&gt;"N/A"),'Diags Raw Data'!$U$6:$U$3898)</f>
        <v>0</v>
      </c>
      <c r="O71" s="162">
        <f t="shared" si="14"/>
        <v>0</v>
      </c>
      <c r="P71" s="163">
        <f>SUMIF('Diags Raw Data'!$A$6:$A$3898,"*"&amp;$A71&amp;"*",'Diags Raw Data'!$Z$6:$Z$3898)</f>
        <v>0</v>
      </c>
      <c r="Q71" s="172">
        <f>SUM(SUMIF('Diags Raw Data'!$A$6:$A$3898,"*"&amp;$A71&amp;"*",'Diags Raw Data'!$AA$6:$AA$3898),SUMIF('Diags Raw Data'!$A$6:$A$3898,"*"&amp;$A71&amp;"*",'Diags Raw Data'!$AB$6:$AB$3898))</f>
        <v>0</v>
      </c>
      <c r="R71" s="173">
        <f t="shared" si="10"/>
        <v>0</v>
      </c>
      <c r="S71" s="173">
        <f t="shared" si="11"/>
        <v>0</v>
      </c>
      <c r="T71" s="174">
        <f t="shared" si="15"/>
        <v>0</v>
      </c>
      <c r="U71" s="175"/>
      <c r="V71" s="166"/>
      <c r="W71" s="121" t="s">
        <v>1118</v>
      </c>
    </row>
    <row r="72" spans="1:24" ht="15.75" thickBot="1">
      <c r="A72" s="134" t="s">
        <v>638</v>
      </c>
      <c r="B72" s="139" t="str">
        <f>VLOOKUP(A72,'Feature Raw Data'!$A$3:$B$3923,2,FALSE)</f>
        <v>Expansion ROM Validation ECN</v>
      </c>
      <c r="C72" s="140" t="str">
        <f>VLOOKUP(A72,'Feature Raw Data'!$A$3:$C$3923,3,FALSE)</f>
        <v>P2</v>
      </c>
      <c r="D72" s="141" t="str">
        <f t="array" ref="D72">_xlfn.TEXTJOIN("",TRUE,IF(ISNUMBER(SEARCH($A72,'Diags Raw Data'!$A$6:$A$3898)),CONCATENATE('Diags Raw Data'!$H$6:$H$3898,", "),""))</f>
        <v xml:space="preserve">AG055.001, </v>
      </c>
      <c r="E72" s="142" t="str">
        <f>VLOOKUP(A72,'Diags Raw Data'!$A$6:$D$3898,4,FALSE)</f>
        <v>nBIF</v>
      </c>
      <c r="F72" s="142" t="str">
        <f>VLOOKUP(A72,'Feature Raw Data'!$A$3:$E$3923,5,FALSE)</f>
        <v>Legacy</v>
      </c>
      <c r="G72" s="142" t="str">
        <f t="shared" si="13"/>
        <v>Yes</v>
      </c>
      <c r="H72" s="142" t="str">
        <f t="shared" si="8"/>
        <v>Yes</v>
      </c>
      <c r="I72" s="140">
        <f>SUMIF('Diags Raw Data'!$A$6:$A$3898,"*"&amp;$A72&amp;"*",'Diags Raw Data'!$K$6:$K$3898)</f>
        <v>1</v>
      </c>
      <c r="J72" s="157">
        <f>SUMIF('Diags Raw Data'!$A$6:$A$3898,"*"&amp;$A72&amp;"*",'Diags Raw Data'!$L$6:$L$3898)</f>
        <v>1</v>
      </c>
      <c r="K72" s="158">
        <f t="array" ref="K72">IF(D72="",0,SUMPRODUCT(--(ISNUMBER(SEARCH($A72,'Diags Raw Data'!$A$6:$A$3898))),'Diags Raw Data'!$L$6:$L$3898,'Diags Raw Data'!$N$6:$N$3898)/J72)</f>
        <v>1</v>
      </c>
      <c r="L72" s="159">
        <f t="array" ref="L72">IF(D72="",0,SUMPRODUCT(--(ISNUMBER(SEARCH($A72,'Diags Raw Data'!$A$6:$A$3898))),'Diags Raw Data'!$L$6:$L$3898,'Diags Raw Data'!$P$6:$P$3898)/J72)</f>
        <v>1</v>
      </c>
      <c r="M72" s="160">
        <f t="array" ref="M72">SUMPRODUCT(--(ISNUMBER(SEARCH($A72,'Diags Raw Data'!$A$6:$A$3898))),--('Diags Raw Data'!$Q$6:$Q$3898&lt;&gt;"N/A"),'Diags Raw Data'!$R$6:$R$3898)</f>
        <v>1</v>
      </c>
      <c r="N72" s="161">
        <f t="array" ref="N72">SUMPRODUCT(--(ISNUMBER(SEARCH($A72,'Diags Raw Data'!$A$6:$A$3898))),--('Diags Raw Data'!$Q$6:$Q$3898&lt;&gt;"N/A"),'Diags Raw Data'!$T$6:$T$3898)+SUMPRODUCT(--(ISNUMBER(SEARCH($A72,'Diags Raw Data'!$A$6:$A$3898))),--('Diags Raw Data'!$Q$6:$Q$3898&lt;&gt;"N/A"),'Diags Raw Data'!$U$6:$U$3898)</f>
        <v>0</v>
      </c>
      <c r="O72" s="162">
        <f t="shared" si="14"/>
        <v>0</v>
      </c>
      <c r="P72" s="163">
        <f>SUMIF('Diags Raw Data'!$A$6:$A$3898,"*"&amp;$A72&amp;"*",'Diags Raw Data'!$Z$6:$Z$3898)</f>
        <v>0</v>
      </c>
      <c r="Q72" s="172">
        <f>SUM(SUMIF('Diags Raw Data'!$A$6:$A$3898,"*"&amp;$A72&amp;"*",'Diags Raw Data'!$AA$6:$AA$3898),SUMIF('Diags Raw Data'!$A$6:$A$3898,"*"&amp;$A72&amp;"*",'Diags Raw Data'!$AB$6:$AB$3898))</f>
        <v>0</v>
      </c>
      <c r="R72" s="173">
        <f t="shared" si="10"/>
        <v>0</v>
      </c>
      <c r="S72" s="173">
        <f t="shared" si="11"/>
        <v>0</v>
      </c>
      <c r="T72" s="174">
        <f t="shared" si="15"/>
        <v>0</v>
      </c>
      <c r="U72" s="175"/>
      <c r="V72" s="166"/>
    </row>
    <row r="73" spans="1:24" ht="30.75" thickBot="1">
      <c r="A73" s="134" t="s">
        <v>673</v>
      </c>
      <c r="B73" s="139" t="str">
        <f>VLOOKUP(A73,'Feature Raw Data'!$A$3:$B$3923,2,FALSE)</f>
        <v>Common doorbell for SDMA</v>
      </c>
      <c r="C73" s="140" t="str">
        <f>VLOOKUP(A73,'Feature Raw Data'!$A$3:$C$3923,3,FALSE)</f>
        <v>P2</v>
      </c>
      <c r="D73" s="141" t="str">
        <f t="array" ref="D73">_xlfn.TEXTJOIN("",TRUE,IF(ISNUMBER(SEARCH($A73,'Diags Raw Data'!$A$6:$A$3898)),CONCATENATE('Diags Raw Data'!$H$6:$H$3898,", "),""))</f>
        <v xml:space="preserve">AG064.001, AG064.002, </v>
      </c>
      <c r="E73" s="142" t="str">
        <f>VLOOKUP(A73,'Diags Raw Data'!$A$6:$D$3898,4,FALSE)</f>
        <v>nBIF</v>
      </c>
      <c r="F73" s="142" t="str">
        <f>VLOOKUP(A73,'Feature Raw Data'!$A$3:$E$3923,5,FALSE)</f>
        <v>Delta</v>
      </c>
      <c r="G73" s="142" t="str">
        <f t="shared" si="13"/>
        <v>Yes</v>
      </c>
      <c r="H73" s="142" t="str">
        <f t="shared" si="8"/>
        <v>Yes</v>
      </c>
      <c r="I73" s="140">
        <f>SUMIF('Diags Raw Data'!$A$6:$A$3898,"*"&amp;$A73&amp;"*",'Diags Raw Data'!$K$6:$K$3898)</f>
        <v>2</v>
      </c>
      <c r="J73" s="157">
        <f>SUMIF('Diags Raw Data'!$A$6:$A$3898,"*"&amp;$A73&amp;"*",'Diags Raw Data'!$L$6:$L$3898)</f>
        <v>2</v>
      </c>
      <c r="K73" s="158">
        <f t="array" ref="K73">IF(D73="",0,SUMPRODUCT(--(ISNUMBER(SEARCH($A73,'Diags Raw Data'!$A$6:$A$3898))),'Diags Raw Data'!$L$6:$L$3898,'Diags Raw Data'!$N$6:$N$3898)/J73)</f>
        <v>1</v>
      </c>
      <c r="L73" s="159">
        <f t="array" ref="L73">IF(D73="",0,SUMPRODUCT(--(ISNUMBER(SEARCH($A73,'Diags Raw Data'!$A$6:$A$3898))),'Diags Raw Data'!$L$6:$L$3898,'Diags Raw Data'!$P$6:$P$3898)/J73)</f>
        <v>1</v>
      </c>
      <c r="M73" s="160">
        <f t="array" ref="M73">SUMPRODUCT(--(ISNUMBER(SEARCH($A73,'Diags Raw Data'!$A$6:$A$3898))),--('Diags Raw Data'!$Q$6:$Q$3898&lt;&gt;"N/A"),'Diags Raw Data'!$R$6:$R$3898)</f>
        <v>2</v>
      </c>
      <c r="N73" s="161">
        <f t="array" ref="N73">SUMPRODUCT(--(ISNUMBER(SEARCH($A73,'Diags Raw Data'!$A$6:$A$3898))),--('Diags Raw Data'!$Q$6:$Q$3898&lt;&gt;"N/A"),'Diags Raw Data'!$T$6:$T$3898)+SUMPRODUCT(--(ISNUMBER(SEARCH($A73,'Diags Raw Data'!$A$6:$A$3898))),--('Diags Raw Data'!$Q$6:$Q$3898&lt;&gt;"N/A"),'Diags Raw Data'!$U$6:$U$3898)</f>
        <v>0</v>
      </c>
      <c r="O73" s="162">
        <f t="shared" si="14"/>
        <v>0</v>
      </c>
      <c r="P73" s="163">
        <f>SUMIF('Diags Raw Data'!$A$6:$A$3898,"*"&amp;$A73&amp;"*",'Diags Raw Data'!$Z$6:$Z$3898)</f>
        <v>0</v>
      </c>
      <c r="Q73" s="172">
        <f>SUM(SUMIF('Diags Raw Data'!$A$6:$A$3898,"*"&amp;$A73&amp;"*",'Diags Raw Data'!$AA$6:$AA$3898),SUMIF('Diags Raw Data'!$A$6:$A$3898,"*"&amp;$A73&amp;"*",'Diags Raw Data'!$AB$6:$AB$3898))</f>
        <v>0</v>
      </c>
      <c r="R73" s="173">
        <f t="shared" si="10"/>
        <v>0</v>
      </c>
      <c r="S73" s="173">
        <f t="shared" si="11"/>
        <v>0</v>
      </c>
      <c r="T73" s="174">
        <f t="shared" si="15"/>
        <v>0</v>
      </c>
      <c r="U73" s="175"/>
      <c r="V73" s="166"/>
    </row>
    <row r="74" spans="1:24" ht="90.75" thickBot="1">
      <c r="A74" s="134" t="s">
        <v>452</v>
      </c>
      <c r="B74" s="139" t="str">
        <f>VLOOKUP(A74,'Feature Raw Data'!$A$3:$B$3923,2,FALSE)</f>
        <v>Add normal RW registers for scratch usage by sw/fw</v>
      </c>
      <c r="C74" s="140" t="str">
        <f>VLOOKUP(A74,'Feature Raw Data'!$A$3:$C$3923,3,FALSE)</f>
        <v>P2</v>
      </c>
      <c r="D74" s="141" t="str">
        <f t="array" ref="D74">_xlfn.TEXTJOIN("",TRUE,IF(ISNUMBER(SEARCH($A74,'Diags Raw Data'!$A$6:$A$3898)),CONCATENATE('Diags Raw Data'!$H$6:$H$3898,", "),""))</f>
        <v xml:space="preserve">AG009.006, AG009.007, AG009.008, AG009.009, AG009.010, AG009.012, </v>
      </c>
      <c r="E74" s="142" t="str">
        <f>VLOOKUP(A74,'Diags Raw Data'!$A$6:$D$3898,4,FALSE)</f>
        <v>nBIF</v>
      </c>
      <c r="F74" s="142" t="str">
        <f>VLOOKUP(A74,'Feature Raw Data'!$A$3:$E$3923,5,FALSE)</f>
        <v>Legacy</v>
      </c>
      <c r="G74" s="142" t="str">
        <f t="shared" si="13"/>
        <v>Yes</v>
      </c>
      <c r="H74" s="142" t="str">
        <f t="shared" si="8"/>
        <v>Yes</v>
      </c>
      <c r="I74" s="140">
        <f>SUMIF('Diags Raw Data'!$A$6:$A$3898,"*"&amp;$A74&amp;"*",'Diags Raw Data'!$K$6:$K$3898)</f>
        <v>6</v>
      </c>
      <c r="J74" s="157">
        <f>SUMIF('Diags Raw Data'!$A$6:$A$3898,"*"&amp;$A74&amp;"*",'Diags Raw Data'!$L$6:$L$3898)</f>
        <v>6</v>
      </c>
      <c r="K74" s="158">
        <f t="array" ref="K74">IF(D74="",0,SUMPRODUCT(--(ISNUMBER(SEARCH($A74,'Diags Raw Data'!$A$6:$A$3898))),'Diags Raw Data'!$L$6:$L$3898,'Diags Raw Data'!$N$6:$N$3898)/J74)</f>
        <v>1</v>
      </c>
      <c r="L74" s="159">
        <f t="array" ref="L74">IF(D74="",0,SUMPRODUCT(--(ISNUMBER(SEARCH($A74,'Diags Raw Data'!$A$6:$A$3898))),'Diags Raw Data'!$L$6:$L$3898,'Diags Raw Data'!$P$6:$P$3898)/J74)</f>
        <v>1</v>
      </c>
      <c r="M74" s="160">
        <f t="array" ref="M74">SUMPRODUCT(--(ISNUMBER(SEARCH($A74,'Diags Raw Data'!$A$6:$A$3898))),--('Diags Raw Data'!$Q$6:$Q$3898&lt;&gt;"N/A"),'Diags Raw Data'!$R$6:$R$3898)</f>
        <v>6</v>
      </c>
      <c r="N74" s="161">
        <f t="array" ref="N74">SUMPRODUCT(--(ISNUMBER(SEARCH($A74,'Diags Raw Data'!$A$6:$A$3898))),--('Diags Raw Data'!$Q$6:$Q$3898&lt;&gt;"N/A"),'Diags Raw Data'!$T$6:$T$3898)+SUMPRODUCT(--(ISNUMBER(SEARCH($A74,'Diags Raw Data'!$A$6:$A$3898))),--('Diags Raw Data'!$Q$6:$Q$3898&lt;&gt;"N/A"),'Diags Raw Data'!$U$6:$U$3898)</f>
        <v>6</v>
      </c>
      <c r="O74" s="162">
        <f t="shared" si="14"/>
        <v>1</v>
      </c>
      <c r="P74" s="163">
        <f>SUMIF('Diags Raw Data'!$A$6:$A$3898,"*"&amp;$A74&amp;"*",'Diags Raw Data'!$Z$6:$Z$3898)</f>
        <v>0</v>
      </c>
      <c r="Q74" s="172">
        <f>SUM(SUMIF('Diags Raw Data'!$A$6:$A$3898,"*"&amp;$A74&amp;"*",'Diags Raw Data'!$AA$6:$AA$3898),SUMIF('Diags Raw Data'!$A$6:$A$3898,"*"&amp;$A74&amp;"*",'Diags Raw Data'!$AB$6:$AB$3898))</f>
        <v>0</v>
      </c>
      <c r="R74" s="173">
        <f t="shared" si="10"/>
        <v>0</v>
      </c>
      <c r="S74" s="173">
        <f t="shared" si="11"/>
        <v>0</v>
      </c>
      <c r="T74" s="174">
        <f t="shared" si="15"/>
        <v>0</v>
      </c>
      <c r="U74" s="503"/>
      <c r="V74" s="178"/>
      <c r="X74" s="486"/>
    </row>
    <row r="75" spans="1:24" ht="30.75" thickBot="1">
      <c r="A75" s="134" t="s">
        <v>642</v>
      </c>
      <c r="B75" s="139" t="str">
        <f>VLOOKUP(A75,'Feature Raw Data'!$A$3:$B$3923,2,FALSE)</f>
        <v>ROM_OFFSET</v>
      </c>
      <c r="C75" s="140" t="str">
        <f>VLOOKUP(A75,'Feature Raw Data'!$A$3:$C$3923,3,FALSE)</f>
        <v>P2</v>
      </c>
      <c r="D75" s="141" t="str">
        <f t="array" ref="D75">_xlfn.TEXTJOIN("",TRUE,IF(ISNUMBER(SEARCH($A75,'Diags Raw Data'!$A$6:$A$3898)),CONCATENATE('Diags Raw Data'!$H$6:$H$3898,", "),""))</f>
        <v xml:space="preserve">AG055.002, AG055.003, </v>
      </c>
      <c r="E75" s="142" t="str">
        <f>VLOOKUP(A75,'Diags Raw Data'!$A$6:$D$3898,4,FALSE)</f>
        <v>nBIF</v>
      </c>
      <c r="F75" s="142" t="str">
        <f>VLOOKUP(A75,'Feature Raw Data'!$A$3:$E$3923,5,FALSE)</f>
        <v>Legacy</v>
      </c>
      <c r="G75" s="142" t="str">
        <f t="shared" ref="G75:G79" si="16">IF(D75="","No","Yes")</f>
        <v>Yes</v>
      </c>
      <c r="H75" s="142" t="str">
        <f t="shared" ref="H75:H80" si="17">IF(D75="","No","Yes")</f>
        <v>Yes</v>
      </c>
      <c r="I75" s="140">
        <f>SUMIF('Diags Raw Data'!$A$6:$A$3898,"*"&amp;$A75&amp;"*",'Diags Raw Data'!$K$6:$K$3898)</f>
        <v>2</v>
      </c>
      <c r="J75" s="157">
        <f>SUMIF('Diags Raw Data'!$A$6:$A$3898,"*"&amp;$A75&amp;"*",'Diags Raw Data'!$L$6:$L$3898)</f>
        <v>2</v>
      </c>
      <c r="K75" s="158">
        <f t="array" ref="K75">IF(D75="",0,SUMPRODUCT(--(ISNUMBER(SEARCH($A75,'Diags Raw Data'!$A$6:$A$3898))),'Diags Raw Data'!$L$6:$L$3898,'Diags Raw Data'!$N$6:$N$3898)/J75)</f>
        <v>1</v>
      </c>
      <c r="L75" s="159">
        <f t="array" ref="L75">IF(D75="",0,SUMPRODUCT(--(ISNUMBER(SEARCH($A75,'Diags Raw Data'!$A$6:$A$3898))),'Diags Raw Data'!$L$6:$L$3898,'Diags Raw Data'!$P$6:$P$3898)/J75)</f>
        <v>1</v>
      </c>
      <c r="M75" s="160">
        <f t="array" ref="M75">SUMPRODUCT(--(ISNUMBER(SEARCH($A75,'Diags Raw Data'!$A$6:$A$3898))),--('Diags Raw Data'!$Q$6:$Q$3898&lt;&gt;"N/A"),'Diags Raw Data'!$R$6:$R$3898)</f>
        <v>2</v>
      </c>
      <c r="N75" s="161">
        <f t="array" ref="N75">SUMPRODUCT(--(ISNUMBER(SEARCH($A75,'Diags Raw Data'!$A$6:$A$3898))),--('Diags Raw Data'!$Q$6:$Q$3898&lt;&gt;"N/A"),'Diags Raw Data'!$T$6:$T$3898)+SUMPRODUCT(--(ISNUMBER(SEARCH($A75,'Diags Raw Data'!$A$6:$A$3898))),--('Diags Raw Data'!$Q$6:$Q$3898&lt;&gt;"N/A"),'Diags Raw Data'!$U$6:$U$3898)</f>
        <v>0</v>
      </c>
      <c r="O75" s="162">
        <f t="shared" ref="O75:O79" si="18">IF((M75=0),0,N75/M75)</f>
        <v>0</v>
      </c>
      <c r="P75" s="163">
        <f>SUMIF('Diags Raw Data'!$A$6:$A$3898,"*"&amp;$A75&amp;"*",'Diags Raw Data'!$Z$6:$Z$3898)</f>
        <v>0</v>
      </c>
      <c r="Q75" s="172">
        <f>SUM(SUMIF('Diags Raw Data'!$A$6:$A$3898,"*"&amp;$A75&amp;"*",'Diags Raw Data'!$AA$6:$AA$3898),SUMIF('Diags Raw Data'!$A$6:$A$3898,"*"&amp;$A75&amp;"*",'Diags Raw Data'!$AB$6:$AB$3898))</f>
        <v>0</v>
      </c>
      <c r="R75" s="173">
        <f t="shared" ref="R75:R79" si="19">IF((J75=0),0,P75/J75)</f>
        <v>0</v>
      </c>
      <c r="S75" s="173">
        <f t="shared" ref="S75:S79" si="20">IF((P75=0),0,Q75/P75)</f>
        <v>0</v>
      </c>
      <c r="T75" s="174">
        <f t="shared" ref="T75:T79" si="21">R75*S75</f>
        <v>0</v>
      </c>
      <c r="U75" s="503"/>
      <c r="V75" s="178"/>
      <c r="X75" s="486"/>
    </row>
    <row r="76" spans="1:24" ht="15.75" thickBot="1">
      <c r="A76" s="134" t="s">
        <v>360</v>
      </c>
      <c r="B76" s="139" t="str">
        <f>VLOOKUP(A76,'Feature Raw Data'!$A$3:$B$3923,2,FALSE)</f>
        <v>GPUIOV</v>
      </c>
      <c r="C76" s="140" t="str">
        <f>VLOOKUP(A76,'Feature Raw Data'!$A$3:$C$3923,3,FALSE)</f>
        <v>P2</v>
      </c>
      <c r="D76" s="141" t="str">
        <f t="array" ref="D76">_xlfn.TEXTJOIN("",TRUE,IF(ISNUMBER(SEARCH($A76,'Diags Raw Data'!$A$6:$A$3898)),CONCATENATE('Diags Raw Data'!$H$6:$H$3898,", "),""))</f>
        <v xml:space="preserve">AG005.017, </v>
      </c>
      <c r="E76" s="142" t="str">
        <f>VLOOKUP(A76,'Diags Raw Data'!$A$6:$D$3898,4,FALSE)</f>
        <v>nBIF</v>
      </c>
      <c r="F76" s="142" t="str">
        <f>VLOOKUP(A76,'Feature Raw Data'!$A$3:$E$3923,5,FALSE)</f>
        <v>Delta</v>
      </c>
      <c r="G76" s="142" t="str">
        <f t="shared" si="16"/>
        <v>Yes</v>
      </c>
      <c r="H76" s="142" t="str">
        <f t="shared" si="17"/>
        <v>Yes</v>
      </c>
      <c r="I76" s="140">
        <f>SUMIF('Diags Raw Data'!$A$6:$A$3898,"*"&amp;$A76&amp;"*",'Diags Raw Data'!$K$6:$K$3898)</f>
        <v>1</v>
      </c>
      <c r="J76" s="157">
        <f>SUMIF('Diags Raw Data'!$A$6:$A$3898,"*"&amp;$A76&amp;"*",'Diags Raw Data'!$L$6:$L$3898)</f>
        <v>1</v>
      </c>
      <c r="K76" s="158">
        <f t="array" ref="K76">IF(D76="",0,SUMPRODUCT(--(ISNUMBER(SEARCH($A76,'Diags Raw Data'!$A$6:$A$3898))),'Diags Raw Data'!$L$6:$L$3898,'Diags Raw Data'!$N$6:$N$3898)/J76)</f>
        <v>1</v>
      </c>
      <c r="L76" s="159">
        <f t="array" ref="L76">IF(D76="",0,SUMPRODUCT(--(ISNUMBER(SEARCH($A76,'Diags Raw Data'!$A$6:$A$3898))),'Diags Raw Data'!$L$6:$L$3898,'Diags Raw Data'!$P$6:$P$3898)/J76)</f>
        <v>1</v>
      </c>
      <c r="M76" s="160">
        <f t="array" ref="M76">SUMPRODUCT(--(ISNUMBER(SEARCH($A76,'Diags Raw Data'!$A$6:$A$3898))),--('Diags Raw Data'!$Q$6:$Q$3898&lt;&gt;"N/A"),'Diags Raw Data'!$R$6:$R$3898)</f>
        <v>1</v>
      </c>
      <c r="N76" s="161">
        <f t="array" ref="N76">SUMPRODUCT(--(ISNUMBER(SEARCH($A76,'Diags Raw Data'!$A$6:$A$3898))),--('Diags Raw Data'!$Q$6:$Q$3898&lt;&gt;"N/A"),'Diags Raw Data'!$T$6:$T$3898)+SUMPRODUCT(--(ISNUMBER(SEARCH($A76,'Diags Raw Data'!$A$6:$A$3898))),--('Diags Raw Data'!$Q$6:$Q$3898&lt;&gt;"N/A"),'Diags Raw Data'!$U$6:$U$3898)</f>
        <v>1</v>
      </c>
      <c r="O76" s="162">
        <f t="shared" si="18"/>
        <v>1</v>
      </c>
      <c r="P76" s="163">
        <f>SUMIF('Diags Raw Data'!$A$6:$A$3898,"*"&amp;$A76&amp;"*",'Diags Raw Data'!$Z$6:$Z$3898)</f>
        <v>0</v>
      </c>
      <c r="Q76" s="172">
        <f>SUM(SUMIF('Diags Raw Data'!$A$6:$A$3898,"*"&amp;$A76&amp;"*",'Diags Raw Data'!$AA$6:$AA$3898),SUMIF('Diags Raw Data'!$A$6:$A$3898,"*"&amp;$A76&amp;"*",'Diags Raw Data'!$AB$6:$AB$3898))</f>
        <v>0</v>
      </c>
      <c r="R76" s="173">
        <f t="shared" si="19"/>
        <v>0</v>
      </c>
      <c r="S76" s="173">
        <f t="shared" si="20"/>
        <v>0</v>
      </c>
      <c r="T76" s="174">
        <f t="shared" si="21"/>
        <v>0</v>
      </c>
      <c r="U76" s="175"/>
      <c r="V76" s="166"/>
    </row>
    <row r="77" spans="1:24" ht="90.75" thickBot="1">
      <c r="A77" s="134" t="s">
        <v>288</v>
      </c>
      <c r="B77" s="139" t="str">
        <f>VLOOKUP(A77,'Feature Raw Data'!$A$3:$B$3923,2,FALSE)</f>
        <v>PCIe CFG layout check</v>
      </c>
      <c r="C77" s="140" t="str">
        <f>VLOOKUP(A77,'Feature Raw Data'!$A$3:$C$3923,3,FALSE)</f>
        <v>P2</v>
      </c>
      <c r="D77" s="141" t="str">
        <f t="array" ref="D77">_xlfn.TEXTJOIN("",TRUE,IF(ISNUMBER(SEARCH($A77,'Diags Raw Data'!$A$6:$A$3898)),CONCATENATE('Diags Raw Data'!$H$6:$H$3898,", "),""))</f>
        <v xml:space="preserve">AG003.005, AG003.006, AG003.007, AG003.008, AG003.009, AG003.010, </v>
      </c>
      <c r="E77" s="142" t="str">
        <f>VLOOKUP(A77,'Diags Raw Data'!$A$6:$D$3898,4,FALSE)</f>
        <v>nBIF</v>
      </c>
      <c r="F77" s="142" t="str">
        <f>VLOOKUP(A77,'Feature Raw Data'!$A$3:$E$3923,5,FALSE)</f>
        <v>Legacy</v>
      </c>
      <c r="G77" s="142" t="str">
        <f t="shared" si="16"/>
        <v>Yes</v>
      </c>
      <c r="H77" s="142" t="str">
        <f t="shared" si="17"/>
        <v>Yes</v>
      </c>
      <c r="I77" s="140">
        <f>SUMIF('Diags Raw Data'!$A$6:$A$3898,"*"&amp;$A77&amp;"*",'Diags Raw Data'!$K$6:$K$3898)</f>
        <v>6</v>
      </c>
      <c r="J77" s="157">
        <f>SUMIF('Diags Raw Data'!$A$6:$A$3898,"*"&amp;$A77&amp;"*",'Diags Raw Data'!$L$6:$L$3898)</f>
        <v>6</v>
      </c>
      <c r="K77" s="158">
        <f t="array" ref="K77">IF(D77="",0,SUMPRODUCT(--(ISNUMBER(SEARCH($A77,'Diags Raw Data'!$A$6:$A$3898))),'Diags Raw Data'!$L$6:$L$3898,'Diags Raw Data'!$N$6:$N$3898)/J77)</f>
        <v>1</v>
      </c>
      <c r="L77" s="159">
        <f t="array" ref="L77">IF(D77="",0,SUMPRODUCT(--(ISNUMBER(SEARCH($A77,'Diags Raw Data'!$A$6:$A$3898))),'Diags Raw Data'!$L$6:$L$3898,'Diags Raw Data'!$P$6:$P$3898)/J77)</f>
        <v>1</v>
      </c>
      <c r="M77" s="160">
        <f t="array" ref="M77">SUMPRODUCT(--(ISNUMBER(SEARCH($A77,'Diags Raw Data'!$A$6:$A$3898))),--('Diags Raw Data'!$Q$6:$Q$3898&lt;&gt;"N/A"),'Diags Raw Data'!$R$6:$R$3898)</f>
        <v>6</v>
      </c>
      <c r="N77" s="161">
        <f t="array" ref="N77">SUMPRODUCT(--(ISNUMBER(SEARCH($A77,'Diags Raw Data'!$A$6:$A$3898))),--('Diags Raw Data'!$Q$6:$Q$3898&lt;&gt;"N/A"),'Diags Raw Data'!$T$6:$T$3898)+SUMPRODUCT(--(ISNUMBER(SEARCH($A77,'Diags Raw Data'!$A$6:$A$3898))),--('Diags Raw Data'!$Q$6:$Q$3898&lt;&gt;"N/A"),'Diags Raw Data'!$U$6:$U$3898)</f>
        <v>6</v>
      </c>
      <c r="O77" s="162">
        <f t="shared" si="18"/>
        <v>1</v>
      </c>
      <c r="P77" s="163">
        <f>SUMIF('Diags Raw Data'!$A$6:$A$3898,"*"&amp;$A77&amp;"*",'Diags Raw Data'!$Z$6:$Z$3898)</f>
        <v>0</v>
      </c>
      <c r="Q77" s="172">
        <f>SUM(SUMIF('Diags Raw Data'!$A$6:$A$3898,"*"&amp;$A77&amp;"*",'Diags Raw Data'!$AA$6:$AA$3898),SUMIF('Diags Raw Data'!$A$6:$A$3898,"*"&amp;$A77&amp;"*",'Diags Raw Data'!$AB$6:$AB$3898))</f>
        <v>0</v>
      </c>
      <c r="R77" s="173">
        <f t="shared" si="19"/>
        <v>0</v>
      </c>
      <c r="S77" s="173">
        <f t="shared" si="20"/>
        <v>0</v>
      </c>
      <c r="T77" s="174">
        <f t="shared" si="21"/>
        <v>0</v>
      </c>
      <c r="U77" s="175"/>
      <c r="V77" s="166"/>
    </row>
    <row r="78" spans="1:24" ht="45">
      <c r="A78" s="134" t="s">
        <v>1008</v>
      </c>
      <c r="B78" s="139" t="str">
        <f>VLOOKUP(A78,'Feature Raw Data'!$A$3:$B$3923,2,FALSE)</f>
        <v>Fuse and rom strap check</v>
      </c>
      <c r="C78" s="140" t="str">
        <f>VLOOKUP(A78,'Feature Raw Data'!$A$3:$C$3923,3,FALSE)</f>
        <v>P2</v>
      </c>
      <c r="D78" s="141" t="str">
        <f t="array" ref="D78">_xlfn.TEXTJOIN("",TRUE,IF(ISNUMBER(SEARCH($A78,'Diags Raw Data'!$A$6:$A$3898)),CONCATENATE('Diags Raw Data'!$H$6:$H$3898,", "),""))</f>
        <v/>
      </c>
      <c r="E78" s="142" t="e">
        <f>VLOOKUP(A78,'Diags Raw Data'!$A$6:$D$3898,4,FALSE)</f>
        <v>#N/A</v>
      </c>
      <c r="F78" s="142" t="str">
        <f>VLOOKUP(A78,'Feature Raw Data'!$A$3:$E$3923,5,FALSE)</f>
        <v>Legacy</v>
      </c>
      <c r="G78" s="142" t="s">
        <v>31</v>
      </c>
      <c r="H78" s="142" t="str">
        <f t="shared" si="17"/>
        <v>No</v>
      </c>
      <c r="I78" s="140">
        <f>SUMIF('Diags Raw Data'!$A$6:$A$3898,"*"&amp;$A78&amp;"*",'Diags Raw Data'!$K$6:$K$3898)</f>
        <v>0</v>
      </c>
      <c r="J78" s="157">
        <f>SUMIF('Diags Raw Data'!$A$6:$A$3898,"*"&amp;$A78&amp;"*",'Diags Raw Data'!$L$6:$L$3898)</f>
        <v>0</v>
      </c>
      <c r="K78" s="158">
        <f t="array" ref="K78">IF(D78="",0,SUMPRODUCT(--(ISNUMBER(SEARCH($A78,'Diags Raw Data'!$A$6:$A$3898))),'Diags Raw Data'!$L$6:$L$3898,'Diags Raw Data'!$N$6:$N$3898)/J78)</f>
        <v>0</v>
      </c>
      <c r="L78" s="159">
        <f t="array" ref="L78">IF(D78="",0,SUMPRODUCT(--(ISNUMBER(SEARCH($A78,'Diags Raw Data'!$A$6:$A$3898))),'Diags Raw Data'!$L$6:$L$3898,'Diags Raw Data'!$P$6:$P$3898)/J78)</f>
        <v>0</v>
      </c>
      <c r="M78" s="160">
        <f t="array" ref="M78">SUMPRODUCT(--(ISNUMBER(SEARCH($A78,'Diags Raw Data'!$A$6:$A$3898))),--('Diags Raw Data'!$Q$6:$Q$3898&lt;&gt;"N/A"),'Diags Raw Data'!$R$6:$R$3898)</f>
        <v>0</v>
      </c>
      <c r="N78" s="161">
        <f t="array" ref="N78">SUMPRODUCT(--(ISNUMBER(SEARCH($A78,'Diags Raw Data'!$A$6:$A$3898))),--('Diags Raw Data'!$Q$6:$Q$3898&lt;&gt;"N/A"),'Diags Raw Data'!$T$6:$T$3898)+SUMPRODUCT(--(ISNUMBER(SEARCH($A78,'Diags Raw Data'!$A$6:$A$3898))),--('Diags Raw Data'!$Q$6:$Q$3898&lt;&gt;"N/A"),'Diags Raw Data'!$U$6:$U$3898)</f>
        <v>0</v>
      </c>
      <c r="O78" s="162">
        <f t="shared" si="18"/>
        <v>0</v>
      </c>
      <c r="P78" s="163">
        <f>SUMIF('Diags Raw Data'!$A$6:$A$3898,"*"&amp;$A78&amp;"*",'Diags Raw Data'!$Z$6:$Z$3898)</f>
        <v>0</v>
      </c>
      <c r="Q78" s="172">
        <f>SUM(SUMIF('Diags Raw Data'!$A$6:$A$3898,"*"&amp;$A78&amp;"*",'Diags Raw Data'!$AA$6:$AA$3898),SUMIF('Diags Raw Data'!$A$6:$A$3898,"*"&amp;$A78&amp;"*",'Diags Raw Data'!$AB$6:$AB$3898))</f>
        <v>0</v>
      </c>
      <c r="R78" s="173">
        <f t="shared" si="19"/>
        <v>0</v>
      </c>
      <c r="S78" s="173">
        <f t="shared" si="20"/>
        <v>0</v>
      </c>
      <c r="T78" s="174">
        <f t="shared" si="21"/>
        <v>0</v>
      </c>
      <c r="U78" s="175"/>
      <c r="V78" s="166"/>
      <c r="W78" s="121" t="s">
        <v>1119</v>
      </c>
    </row>
    <row r="79" spans="1:24" ht="60">
      <c r="A79" s="134" t="s">
        <v>1010</v>
      </c>
      <c r="B79" s="139" t="str">
        <f>VLOOKUP(A79,'Feature Raw Data'!$A$3:$B$3923,2,FALSE)</f>
        <v>GMI timeout</v>
      </c>
      <c r="C79" s="140" t="str">
        <f>VLOOKUP(A79,'Feature Raw Data'!$A$3:$C$3923,3,FALSE)</f>
        <v>P2</v>
      </c>
      <c r="D79" s="141" t="str">
        <f t="array" ref="D79">_xlfn.TEXTJOIN("",TRUE,IF(ISNUMBER(SEARCH($A79,'Diags Raw Data'!$A$6:$A$3898)),CONCATENATE('Diags Raw Data'!$H$6:$H$3898,", "),""))</f>
        <v/>
      </c>
      <c r="E79" s="142" t="e">
        <f>VLOOKUP(A79,'Diags Raw Data'!$A$6:$D$3898,4,FALSE)</f>
        <v>#N/A</v>
      </c>
      <c r="F79" s="142" t="str">
        <f>VLOOKUP(A79,'Feature Raw Data'!$A$3:$E$3923,5,FALSE)</f>
        <v>Legacy</v>
      </c>
      <c r="G79" s="142" t="str">
        <f t="shared" si="16"/>
        <v>No</v>
      </c>
      <c r="H79" s="142" t="str">
        <f t="shared" si="17"/>
        <v>No</v>
      </c>
      <c r="I79" s="140">
        <f>SUMIF('Diags Raw Data'!$A$6:$A$3898,"*"&amp;$A79&amp;"*",'Diags Raw Data'!$K$6:$K$3898)</f>
        <v>0</v>
      </c>
      <c r="J79" s="157">
        <f>SUMIF('Diags Raw Data'!$A$6:$A$3898,"*"&amp;$A79&amp;"*",'Diags Raw Data'!$L$6:$L$3898)</f>
        <v>0</v>
      </c>
      <c r="K79" s="158">
        <f t="array" ref="K79">IF(D79="",0,SUMPRODUCT(--(ISNUMBER(SEARCH($A79,'Diags Raw Data'!$A$6:$A$3898))),'Diags Raw Data'!$L$6:$L$3898,'Diags Raw Data'!$N$6:$N$3898)/J79)</f>
        <v>0</v>
      </c>
      <c r="L79" s="159">
        <f t="array" ref="L79">IF(D79="",0,SUMPRODUCT(--(ISNUMBER(SEARCH($A79,'Diags Raw Data'!$A$6:$A$3898))),'Diags Raw Data'!$L$6:$L$3898,'Diags Raw Data'!$P$6:$P$3898)/J79)</f>
        <v>0</v>
      </c>
      <c r="M79" s="160">
        <f t="array" ref="M79">SUMPRODUCT(--(ISNUMBER(SEARCH($A79,'Diags Raw Data'!$A$6:$A$3898))),--('Diags Raw Data'!$Q$6:$Q$3898&lt;&gt;"N/A"),'Diags Raw Data'!$R$6:$R$3898)</f>
        <v>0</v>
      </c>
      <c r="N79" s="161">
        <f t="array" ref="N79">SUMPRODUCT(--(ISNUMBER(SEARCH($A79,'Diags Raw Data'!$A$6:$A$3898))),--('Diags Raw Data'!$Q$6:$Q$3898&lt;&gt;"N/A"),'Diags Raw Data'!$T$6:$T$3898)+SUMPRODUCT(--(ISNUMBER(SEARCH($A79,'Diags Raw Data'!$A$6:$A$3898))),--('Diags Raw Data'!$Q$6:$Q$3898&lt;&gt;"N/A"),'Diags Raw Data'!$U$6:$U$3898)</f>
        <v>0</v>
      </c>
      <c r="O79" s="162">
        <f t="shared" si="18"/>
        <v>0</v>
      </c>
      <c r="P79" s="163">
        <f>SUMIF('Diags Raw Data'!$A$6:$A$3898,"*"&amp;$A79&amp;"*",'Diags Raw Data'!$Z$6:$Z$3898)</f>
        <v>0</v>
      </c>
      <c r="Q79" s="172">
        <f>SUM(SUMIF('Diags Raw Data'!$A$6:$A$3898,"*"&amp;$A79&amp;"*",'Diags Raw Data'!$AA$6:$AA$3898),SUMIF('Diags Raw Data'!$A$6:$A$3898,"*"&amp;$A79&amp;"*",'Diags Raw Data'!$AB$6:$AB$3898))</f>
        <v>0</v>
      </c>
      <c r="R79" s="173">
        <f t="shared" si="19"/>
        <v>0</v>
      </c>
      <c r="S79" s="173">
        <f t="shared" si="20"/>
        <v>0</v>
      </c>
      <c r="T79" s="174">
        <f t="shared" si="21"/>
        <v>0</v>
      </c>
      <c r="U79" s="503"/>
      <c r="V79" s="166" t="s">
        <v>1115</v>
      </c>
      <c r="X79" s="486"/>
    </row>
    <row r="80" spans="1:24" ht="45">
      <c r="A80" s="134" t="s">
        <v>1012</v>
      </c>
      <c r="B80" s="139" t="str">
        <f>VLOOKUP(A80,'Feature Raw Data'!$A$3:$B$3923,2,FALSE)</f>
        <v>Surprise Down/TX/RX Powerdown (Modified)</v>
      </c>
      <c r="C80" s="140" t="str">
        <f>VLOOKUP(A80,'Feature Raw Data'!$A$3:$C$3923,3,FALSE)</f>
        <v>P2</v>
      </c>
      <c r="D80" s="141" t="str">
        <f t="array" ref="D80">_xlfn.TEXTJOIN("",TRUE,IF(ISNUMBER(SEARCH($A80,'Diags Raw Data'!$A$6:$A$3898)),CONCATENATE('Diags Raw Data'!$H$6:$H$3898,", "),""))</f>
        <v/>
      </c>
      <c r="E80" s="142" t="e">
        <f>VLOOKUP(A80,'Diags Raw Data'!$A$6:$D$3898,4,FALSE)</f>
        <v>#N/A</v>
      </c>
      <c r="F80" s="142" t="str">
        <f>VLOOKUP(A80,'Feature Raw Data'!$A$3:$E$3923,5,FALSE)</f>
        <v>Legacy</v>
      </c>
      <c r="G80" s="142" t="s">
        <v>31</v>
      </c>
      <c r="H80" s="142" t="str">
        <f t="shared" si="17"/>
        <v>No</v>
      </c>
      <c r="I80" s="140">
        <f>SUMIF('Diags Raw Data'!$A$6:$A$3898,"*"&amp;$A80&amp;"*",'Diags Raw Data'!$K$6:$K$3898)</f>
        <v>0</v>
      </c>
      <c r="J80" s="157">
        <f>SUMIF('Diags Raw Data'!$A$6:$A$3898,"*"&amp;$A80&amp;"*",'Diags Raw Data'!$L$6:$L$3898)</f>
        <v>0</v>
      </c>
      <c r="K80" s="158">
        <f t="array" ref="K80">IF(D80="",0,SUMPRODUCT(--(ISNUMBER(SEARCH($A80,'Diags Raw Data'!$A$6:$A$3898))),'Diags Raw Data'!$L$6:$L$3898,'Diags Raw Data'!$N$6:$N$3898)/J80)</f>
        <v>0</v>
      </c>
      <c r="L80" s="159">
        <f t="array" ref="L80">IF(D80="",0,SUMPRODUCT(--(ISNUMBER(SEARCH($A80,'Diags Raw Data'!$A$6:$A$3898))),'Diags Raw Data'!$L$6:$L$3898,'Diags Raw Data'!$P$6:$P$3898)/J80)</f>
        <v>0</v>
      </c>
      <c r="M80" s="160">
        <f t="array" ref="M80">SUMPRODUCT(--(ISNUMBER(SEARCH($A80,'Diags Raw Data'!$A$6:$A$3898))),--('Diags Raw Data'!$Q$6:$Q$3898&lt;&gt;"N/A"),'Diags Raw Data'!$R$6:$R$3898)</f>
        <v>0</v>
      </c>
      <c r="N80" s="161">
        <f t="array" ref="N80">SUMPRODUCT(--(ISNUMBER(SEARCH($A80,'Diags Raw Data'!$A$6:$A$3898))),--('Diags Raw Data'!$Q$6:$Q$3898&lt;&gt;"N/A"),'Diags Raw Data'!$T$6:$T$3898)+SUMPRODUCT(--(ISNUMBER(SEARCH($A80,'Diags Raw Data'!$A$6:$A$3898))),--('Diags Raw Data'!$Q$6:$Q$3898&lt;&gt;"N/A"),'Diags Raw Data'!$U$6:$U$3898)</f>
        <v>0</v>
      </c>
      <c r="O80" s="162">
        <f t="shared" ref="O80:O90" si="22">IF((M80=0),0,N80/M80)</f>
        <v>0</v>
      </c>
      <c r="P80" s="163">
        <f>SUMIF('Diags Raw Data'!$A$6:$A$3898,"*"&amp;$A80&amp;"*",'Diags Raw Data'!$Z$6:$Z$3898)</f>
        <v>0</v>
      </c>
      <c r="Q80" s="172">
        <f>SUM(SUMIF('Diags Raw Data'!$A$6:$A$3898,"*"&amp;$A80&amp;"*",'Diags Raw Data'!$AA$6:$AA$3898),SUMIF('Diags Raw Data'!$A$6:$A$3898,"*"&amp;$A80&amp;"*",'Diags Raw Data'!$AB$6:$AB$3898))</f>
        <v>0</v>
      </c>
      <c r="R80" s="173">
        <f t="shared" ref="R80:R90" si="23">IF((J80=0),0,P80/J80)</f>
        <v>0</v>
      </c>
      <c r="S80" s="173">
        <f t="shared" ref="S80:S90" si="24">IF((P80=0),0,Q80/P80)</f>
        <v>0</v>
      </c>
      <c r="T80" s="174">
        <f t="shared" ref="T80:T90" si="25">R80*S80</f>
        <v>0</v>
      </c>
      <c r="U80" s="503"/>
      <c r="V80" s="178"/>
      <c r="W80" s="121" t="s">
        <v>1119</v>
      </c>
      <c r="X80" s="486"/>
    </row>
    <row r="81" spans="1:24" ht="45.75" thickBot="1">
      <c r="A81" s="134" t="s">
        <v>706</v>
      </c>
      <c r="B81" s="139" t="str">
        <f>VLOOKUP(A81,'Feature Raw Data'!$A$3:$B$3923,2,FALSE)</f>
        <v>Forward Boot Gen1/2/3/4/5</v>
      </c>
      <c r="C81" s="140" t="str">
        <f>VLOOKUP(A81,'Feature Raw Data'!$A$3:$C$3923,3,FALSE)</f>
        <v>P2</v>
      </c>
      <c r="D81" s="141" t="str">
        <f t="array" ref="D81">_xlfn.TEXTJOIN("",TRUE,IF(ISNUMBER(SEARCH($A81,'Diags Raw Data'!$A$6:$A$3898)),CONCATENATE('Diags Raw Data'!$H$6:$H$3898,", "),""))</f>
        <v xml:space="preserve">AJ015.004, AJ015.010, AJ016.010, </v>
      </c>
      <c r="E81" s="142" t="str">
        <f>VLOOKUP(A81,'Diags Raw Data'!$A$6:$D$3898,4,FALSE)</f>
        <v>PCIE</v>
      </c>
      <c r="F81" s="142" t="str">
        <f>VLOOKUP(A81,'Feature Raw Data'!$A$3:$E$3923,5,FALSE)</f>
        <v>Legacy</v>
      </c>
      <c r="G81" s="142" t="str">
        <f t="shared" ref="G81:G90" si="26">IF(D81="","No","Yes")</f>
        <v>Yes</v>
      </c>
      <c r="H81" s="142" t="str">
        <f t="shared" ref="H81:H90" si="27">IF(D81="","No","Yes")</f>
        <v>Yes</v>
      </c>
      <c r="I81" s="140">
        <f>SUMIF('Diags Raw Data'!$A$6:$A$3898,"*"&amp;$A81&amp;"*",'Diags Raw Data'!$K$6:$K$3898)</f>
        <v>3</v>
      </c>
      <c r="J81" s="157">
        <f>SUMIF('Diags Raw Data'!$A$6:$A$3898,"*"&amp;$A81&amp;"*",'Diags Raw Data'!$L$6:$L$3898)</f>
        <v>3</v>
      </c>
      <c r="K81" s="158">
        <f t="array" ref="K81">IF(D81="",0,SUMPRODUCT(--(ISNUMBER(SEARCH($A81,'Diags Raw Data'!$A$6:$A$3898))),'Diags Raw Data'!$L$6:$L$3898,'Diags Raw Data'!$N$6:$N$3898)/J81)</f>
        <v>1</v>
      </c>
      <c r="L81" s="159">
        <f t="array" ref="L81">IF(D81="",0,SUMPRODUCT(--(ISNUMBER(SEARCH($A81,'Diags Raw Data'!$A$6:$A$3898))),'Diags Raw Data'!$L$6:$L$3898,'Diags Raw Data'!$P$6:$P$3898)/J81)</f>
        <v>1</v>
      </c>
      <c r="M81" s="160">
        <f t="array" ref="M81">SUMPRODUCT(--(ISNUMBER(SEARCH($A81,'Diags Raw Data'!$A$6:$A$3898))),--('Diags Raw Data'!$Q$6:$Q$3898&lt;&gt;"N/A"),'Diags Raw Data'!$R$6:$R$3898)</f>
        <v>0</v>
      </c>
      <c r="N81" s="161">
        <f t="array" ref="N81">SUMPRODUCT(--(ISNUMBER(SEARCH($A81,'Diags Raw Data'!$A$6:$A$3898))),--('Diags Raw Data'!$Q$6:$Q$3898&lt;&gt;"N/A"),'Diags Raw Data'!$T$6:$T$3898)+SUMPRODUCT(--(ISNUMBER(SEARCH($A81,'Diags Raw Data'!$A$6:$A$3898))),--('Diags Raw Data'!$Q$6:$Q$3898&lt;&gt;"N/A"),'Diags Raw Data'!$U$6:$U$3898)</f>
        <v>0</v>
      </c>
      <c r="O81" s="162">
        <f t="shared" si="22"/>
        <v>0</v>
      </c>
      <c r="P81" s="163">
        <f>SUMIF('Diags Raw Data'!$A$6:$A$3898,"*"&amp;$A81&amp;"*",'Diags Raw Data'!$Z$6:$Z$3898)</f>
        <v>0</v>
      </c>
      <c r="Q81" s="172">
        <f>SUM(SUMIF('Diags Raw Data'!$A$6:$A$3898,"*"&amp;$A81&amp;"*",'Diags Raw Data'!$AA$6:$AA$3898),SUMIF('Diags Raw Data'!$A$6:$A$3898,"*"&amp;$A81&amp;"*",'Diags Raw Data'!$AB$6:$AB$3898))</f>
        <v>0</v>
      </c>
      <c r="R81" s="173">
        <f t="shared" si="23"/>
        <v>0</v>
      </c>
      <c r="S81" s="173">
        <f t="shared" si="24"/>
        <v>0</v>
      </c>
      <c r="T81" s="174">
        <f t="shared" si="25"/>
        <v>0</v>
      </c>
      <c r="U81" s="175"/>
      <c r="V81" s="166"/>
    </row>
    <row r="82" spans="1:24" ht="60">
      <c r="A82" s="134" t="s">
        <v>1015</v>
      </c>
      <c r="B82" s="139" t="str">
        <f>VLOOKUP(A82,'Feature Raw Data'!$A$3:$B$3923,2,FALSE)</f>
        <v>Reverse Boot</v>
      </c>
      <c r="C82" s="140" t="str">
        <f>VLOOKUP(A82,'Feature Raw Data'!$A$3:$C$3923,3,FALSE)</f>
        <v>P2</v>
      </c>
      <c r="D82" s="141" t="str">
        <f t="array" ref="D82">_xlfn.TEXTJOIN("",TRUE,IF(ISNUMBER(SEARCH($A82,'Diags Raw Data'!$A$6:$A$3898)),CONCATENATE('Diags Raw Data'!$H$6:$H$3898,", "),""))</f>
        <v/>
      </c>
      <c r="E82" s="142" t="e">
        <f>VLOOKUP(A82,'Diags Raw Data'!$A$6:$D$3898,4,FALSE)</f>
        <v>#N/A</v>
      </c>
      <c r="F82" s="142" t="str">
        <f>VLOOKUP(A82,'Feature Raw Data'!$A$3:$E$3923,5,FALSE)</f>
        <v>Legacy</v>
      </c>
      <c r="G82" s="142" t="str">
        <f t="shared" si="26"/>
        <v>No</v>
      </c>
      <c r="H82" s="142" t="str">
        <f t="shared" si="27"/>
        <v>No</v>
      </c>
      <c r="I82" s="140">
        <f>SUMIF('Diags Raw Data'!$A$6:$A$3898,"*"&amp;$A82&amp;"*",'Diags Raw Data'!$K$6:$K$3898)</f>
        <v>0</v>
      </c>
      <c r="J82" s="157">
        <f>SUMIF('Diags Raw Data'!$A$6:$A$3898,"*"&amp;$A82&amp;"*",'Diags Raw Data'!$L$6:$L$3898)</f>
        <v>0</v>
      </c>
      <c r="K82" s="158">
        <f t="array" ref="K82">IF(D82="",0,SUMPRODUCT(--(ISNUMBER(SEARCH($A82,'Diags Raw Data'!$A$6:$A$3898))),'Diags Raw Data'!$L$6:$L$3898,'Diags Raw Data'!$N$6:$N$3898)/J82)</f>
        <v>0</v>
      </c>
      <c r="L82" s="159">
        <f t="array" ref="L82">IF(D82="",0,SUMPRODUCT(--(ISNUMBER(SEARCH($A82,'Diags Raw Data'!$A$6:$A$3898))),'Diags Raw Data'!$L$6:$L$3898,'Diags Raw Data'!$P$6:$P$3898)/J82)</f>
        <v>0</v>
      </c>
      <c r="M82" s="160">
        <f t="array" ref="M82">SUMPRODUCT(--(ISNUMBER(SEARCH($A82,'Diags Raw Data'!$A$6:$A$3898))),--('Diags Raw Data'!$Q$6:$Q$3898&lt;&gt;"N/A"),'Diags Raw Data'!$R$6:$R$3898)</f>
        <v>0</v>
      </c>
      <c r="N82" s="161">
        <f t="array" ref="N82">SUMPRODUCT(--(ISNUMBER(SEARCH($A82,'Diags Raw Data'!$A$6:$A$3898))),--('Diags Raw Data'!$Q$6:$Q$3898&lt;&gt;"N/A"),'Diags Raw Data'!$T$6:$T$3898)+SUMPRODUCT(--(ISNUMBER(SEARCH($A82,'Diags Raw Data'!$A$6:$A$3898))),--('Diags Raw Data'!$Q$6:$Q$3898&lt;&gt;"N/A"),'Diags Raw Data'!$U$6:$U$3898)</f>
        <v>0</v>
      </c>
      <c r="O82" s="162">
        <f t="shared" si="22"/>
        <v>0</v>
      </c>
      <c r="P82" s="163">
        <f>SUMIF('Diags Raw Data'!$A$6:$A$3898,"*"&amp;$A82&amp;"*",'Diags Raw Data'!$Z$6:$Z$3898)</f>
        <v>0</v>
      </c>
      <c r="Q82" s="172">
        <f>SUM(SUMIF('Diags Raw Data'!$A$6:$A$3898,"*"&amp;$A82&amp;"*",'Diags Raw Data'!$AA$6:$AA$3898),SUMIF('Diags Raw Data'!$A$6:$A$3898,"*"&amp;$A82&amp;"*",'Diags Raw Data'!$AB$6:$AB$3898))</f>
        <v>0</v>
      </c>
      <c r="R82" s="173">
        <f t="shared" si="23"/>
        <v>0</v>
      </c>
      <c r="S82" s="173">
        <f t="shared" si="24"/>
        <v>0</v>
      </c>
      <c r="T82" s="174">
        <f t="shared" si="25"/>
        <v>0</v>
      </c>
      <c r="U82" s="175"/>
      <c r="V82" s="166" t="s">
        <v>1115</v>
      </c>
    </row>
    <row r="83" spans="1:24" ht="45.75" thickBot="1">
      <c r="A83" s="134" t="s">
        <v>544</v>
      </c>
      <c r="B83" s="139" t="str">
        <f>VLOOKUP(A83,'Feature Raw Data'!$A$3:$B$3923,2,FALSE)</f>
        <v>Training Check</v>
      </c>
      <c r="C83" s="140" t="str">
        <f>VLOOKUP(A83,'Feature Raw Data'!$A$3:$C$3923,3,FALSE)</f>
        <v>P2</v>
      </c>
      <c r="D83" s="141" t="str">
        <f t="array" ref="D83">_xlfn.TEXTJOIN("",TRUE,IF(ISNUMBER(SEARCH($A83,'Diags Raw Data'!$A$6:$A$3898)),CONCATENATE('Diags Raw Data'!$H$6:$H$3898,", "),""))</f>
        <v xml:space="preserve">AG020.008, AG020.010, AJ015.001, </v>
      </c>
      <c r="E83" s="142" t="str">
        <f>VLOOKUP(A83,'Diags Raw Data'!$A$6:$D$3898,4,FALSE)</f>
        <v>PCIE</v>
      </c>
      <c r="F83" s="142" t="str">
        <f>VLOOKUP(A83,'Feature Raw Data'!$A$3:$E$3923,5,FALSE)</f>
        <v>Legacy</v>
      </c>
      <c r="G83" s="142" t="str">
        <f t="shared" si="26"/>
        <v>Yes</v>
      </c>
      <c r="H83" s="142" t="str">
        <f t="shared" si="27"/>
        <v>Yes</v>
      </c>
      <c r="I83" s="140">
        <f>SUMIF('Diags Raw Data'!$A$6:$A$3898,"*"&amp;$A83&amp;"*",'Diags Raw Data'!$K$6:$K$3898)</f>
        <v>3</v>
      </c>
      <c r="J83" s="157">
        <f>SUMIF('Diags Raw Data'!$A$6:$A$3898,"*"&amp;$A83&amp;"*",'Diags Raw Data'!$L$6:$L$3898)</f>
        <v>3</v>
      </c>
      <c r="K83" s="158">
        <f t="array" ref="K83">IF(D83="",0,SUMPRODUCT(--(ISNUMBER(SEARCH($A83,'Diags Raw Data'!$A$6:$A$3898))),'Diags Raw Data'!$L$6:$L$3898,'Diags Raw Data'!$N$6:$N$3898)/J83)</f>
        <v>1</v>
      </c>
      <c r="L83" s="159">
        <f t="array" ref="L83">IF(D83="",0,SUMPRODUCT(--(ISNUMBER(SEARCH($A83,'Diags Raw Data'!$A$6:$A$3898))),'Diags Raw Data'!$L$6:$L$3898,'Diags Raw Data'!$P$6:$P$3898)/J83)</f>
        <v>1</v>
      </c>
      <c r="M83" s="160">
        <f t="array" ref="M83">SUMPRODUCT(--(ISNUMBER(SEARCH($A83,'Diags Raw Data'!$A$6:$A$3898))),--('Diags Raw Data'!$Q$6:$Q$3898&lt;&gt;"N/A"),'Diags Raw Data'!$R$6:$R$3898)</f>
        <v>3</v>
      </c>
      <c r="N83" s="161">
        <f t="array" ref="N83">SUMPRODUCT(--(ISNUMBER(SEARCH($A83,'Diags Raw Data'!$A$6:$A$3898))),--('Diags Raw Data'!$Q$6:$Q$3898&lt;&gt;"N/A"),'Diags Raw Data'!$T$6:$T$3898)+SUMPRODUCT(--(ISNUMBER(SEARCH($A83,'Diags Raw Data'!$A$6:$A$3898))),--('Diags Raw Data'!$Q$6:$Q$3898&lt;&gt;"N/A"),'Diags Raw Data'!$U$6:$U$3898)</f>
        <v>2</v>
      </c>
      <c r="O83" s="162">
        <f t="shared" si="22"/>
        <v>0.66666666666666663</v>
      </c>
      <c r="P83" s="163">
        <f>SUMIF('Diags Raw Data'!$A$6:$A$3898,"*"&amp;$A83&amp;"*",'Diags Raw Data'!$Z$6:$Z$3898)</f>
        <v>0</v>
      </c>
      <c r="Q83" s="172">
        <f>SUM(SUMIF('Diags Raw Data'!$A$6:$A$3898,"*"&amp;$A83&amp;"*",'Diags Raw Data'!$AA$6:$AA$3898),SUMIF('Diags Raw Data'!$A$6:$A$3898,"*"&amp;$A83&amp;"*",'Diags Raw Data'!$AB$6:$AB$3898))</f>
        <v>0</v>
      </c>
      <c r="R83" s="173">
        <f t="shared" si="23"/>
        <v>0</v>
      </c>
      <c r="S83" s="173">
        <f t="shared" si="24"/>
        <v>0</v>
      </c>
      <c r="T83" s="174">
        <f t="shared" si="25"/>
        <v>0</v>
      </c>
      <c r="U83" s="175"/>
      <c r="V83" s="166"/>
    </row>
    <row r="84" spans="1:24" ht="45">
      <c r="A84" s="134" t="s">
        <v>1018</v>
      </c>
      <c r="B84" s="139" t="str">
        <f>VLOOKUP(A84,'Feature Raw Data'!$A$3:$B$3923,2,FALSE)</f>
        <v>Extended Tag</v>
      </c>
      <c r="C84" s="140" t="str">
        <f>VLOOKUP(A84,'Feature Raw Data'!$A$3:$C$3923,3,FALSE)</f>
        <v>P2</v>
      </c>
      <c r="D84" s="141" t="str">
        <f t="array" ref="D84">_xlfn.TEXTJOIN("",TRUE,IF(ISNUMBER(SEARCH($A84,'Diags Raw Data'!$A$6:$A$3898)),CONCATENATE('Diags Raw Data'!$H$6:$H$3898,", "),""))</f>
        <v/>
      </c>
      <c r="E84" s="142" t="e">
        <f>VLOOKUP(A84,'Diags Raw Data'!$A$6:$D$3898,4,FALSE)</f>
        <v>#N/A</v>
      </c>
      <c r="F84" s="142" t="str">
        <f>VLOOKUP(A84,'Feature Raw Data'!$A$3:$E$3923,5,FALSE)</f>
        <v>Legacy</v>
      </c>
      <c r="G84" s="142" t="s">
        <v>31</v>
      </c>
      <c r="H84" s="142" t="str">
        <f t="shared" si="27"/>
        <v>No</v>
      </c>
      <c r="I84" s="140">
        <f>SUMIF('Diags Raw Data'!$A$6:$A$3898,"*"&amp;$A84&amp;"*",'Diags Raw Data'!$K$6:$K$3898)</f>
        <v>0</v>
      </c>
      <c r="J84" s="157">
        <f>SUMIF('Diags Raw Data'!$A$6:$A$3898,"*"&amp;$A84&amp;"*",'Diags Raw Data'!$L$6:$L$3898)</f>
        <v>0</v>
      </c>
      <c r="K84" s="158">
        <f t="array" ref="K84">IF(D84="",0,SUMPRODUCT(--(ISNUMBER(SEARCH($A84,'Diags Raw Data'!$A$6:$A$3898))),'Diags Raw Data'!$L$6:$L$3898,'Diags Raw Data'!$N$6:$N$3898)/J84)</f>
        <v>0</v>
      </c>
      <c r="L84" s="159">
        <f t="array" ref="L84">IF(D84="",0,SUMPRODUCT(--(ISNUMBER(SEARCH($A84,'Diags Raw Data'!$A$6:$A$3898))),'Diags Raw Data'!$L$6:$L$3898,'Diags Raw Data'!$P$6:$P$3898)/J84)</f>
        <v>0</v>
      </c>
      <c r="M84" s="160">
        <f t="array" ref="M84">SUMPRODUCT(--(ISNUMBER(SEARCH($A84,'Diags Raw Data'!$A$6:$A$3898))),--('Diags Raw Data'!$Q$6:$Q$3898&lt;&gt;"N/A"),'Diags Raw Data'!$R$6:$R$3898)</f>
        <v>0</v>
      </c>
      <c r="N84" s="161">
        <f t="array" ref="N84">SUMPRODUCT(--(ISNUMBER(SEARCH($A84,'Diags Raw Data'!$A$6:$A$3898))),--('Diags Raw Data'!$Q$6:$Q$3898&lt;&gt;"N/A"),'Diags Raw Data'!$T$6:$T$3898)+SUMPRODUCT(--(ISNUMBER(SEARCH($A84,'Diags Raw Data'!$A$6:$A$3898))),--('Diags Raw Data'!$Q$6:$Q$3898&lt;&gt;"N/A"),'Diags Raw Data'!$U$6:$U$3898)</f>
        <v>0</v>
      </c>
      <c r="O84" s="162">
        <f t="shared" si="22"/>
        <v>0</v>
      </c>
      <c r="P84" s="163">
        <f>SUMIF('Diags Raw Data'!$A$6:$A$3898,"*"&amp;$A84&amp;"*",'Diags Raw Data'!$Z$6:$Z$3898)</f>
        <v>0</v>
      </c>
      <c r="Q84" s="172">
        <f>SUM(SUMIF('Diags Raw Data'!$A$6:$A$3898,"*"&amp;$A84&amp;"*",'Diags Raw Data'!$AA$6:$AA$3898),SUMIF('Diags Raw Data'!$A$6:$A$3898,"*"&amp;$A84&amp;"*",'Diags Raw Data'!$AB$6:$AB$3898))</f>
        <v>0</v>
      </c>
      <c r="R84" s="173">
        <f t="shared" si="23"/>
        <v>0</v>
      </c>
      <c r="S84" s="173">
        <f t="shared" si="24"/>
        <v>0</v>
      </c>
      <c r="T84" s="174">
        <f t="shared" si="25"/>
        <v>0</v>
      </c>
      <c r="U84" s="175"/>
      <c r="V84" s="166"/>
      <c r="W84" s="121" t="s">
        <v>1120</v>
      </c>
    </row>
    <row r="85" spans="1:24" ht="45.75" thickBot="1">
      <c r="A85" s="134" t="s">
        <v>738</v>
      </c>
      <c r="B85" s="139" t="str">
        <f>VLOOKUP(A85,'Feature Raw Data'!$A$3:$B$3923,2,FALSE)</f>
        <v>Multi lane/port support  (Only 1 port supported for GPU)</v>
      </c>
      <c r="C85" s="140" t="str">
        <f>VLOOKUP(A85,'Feature Raw Data'!$A$3:$C$3923,3,FALSE)</f>
        <v>P2</v>
      </c>
      <c r="D85" s="141" t="str">
        <f t="array" ref="D85">_xlfn.TEXTJOIN("",TRUE,IF(ISNUMBER(SEARCH($A85,'Diags Raw Data'!$A$6:$A$3898)),CONCATENATE('Diags Raw Data'!$H$6:$H$3898,", "),""))</f>
        <v xml:space="preserve">AJ016.004, AJ016.005, AJ016.006, </v>
      </c>
      <c r="E85" s="142" t="str">
        <f>VLOOKUP(A85,'Diags Raw Data'!$A$6:$D$3898,4,FALSE)</f>
        <v>PCIE</v>
      </c>
      <c r="F85" s="142" t="str">
        <f>VLOOKUP(A85,'Feature Raw Data'!$A$3:$E$3923,5,FALSE)</f>
        <v>Legacy</v>
      </c>
      <c r="G85" s="142" t="str">
        <f t="shared" si="26"/>
        <v>Yes</v>
      </c>
      <c r="H85" s="142" t="str">
        <f t="shared" si="27"/>
        <v>Yes</v>
      </c>
      <c r="I85" s="140">
        <f>SUMIF('Diags Raw Data'!$A$6:$A$3898,"*"&amp;$A85&amp;"*",'Diags Raw Data'!$K$6:$K$3898)</f>
        <v>3</v>
      </c>
      <c r="J85" s="157">
        <f>SUMIF('Diags Raw Data'!$A$6:$A$3898,"*"&amp;$A85&amp;"*",'Diags Raw Data'!$L$6:$L$3898)</f>
        <v>3</v>
      </c>
      <c r="K85" s="158">
        <f t="array" ref="K85">IF(D85="",0,SUMPRODUCT(--(ISNUMBER(SEARCH($A85,'Diags Raw Data'!$A$6:$A$3898))),'Diags Raw Data'!$L$6:$L$3898,'Diags Raw Data'!$N$6:$N$3898)/J85)</f>
        <v>1</v>
      </c>
      <c r="L85" s="159">
        <f t="array" ref="L85">IF(D85="",0,SUMPRODUCT(--(ISNUMBER(SEARCH($A85,'Diags Raw Data'!$A$6:$A$3898))),'Diags Raw Data'!$L$6:$L$3898,'Diags Raw Data'!$P$6:$P$3898)/J85)</f>
        <v>1</v>
      </c>
      <c r="M85" s="160">
        <f t="array" ref="M85">SUMPRODUCT(--(ISNUMBER(SEARCH($A85,'Diags Raw Data'!$A$6:$A$3898))),--('Diags Raw Data'!$Q$6:$Q$3898&lt;&gt;"N/A"),'Diags Raw Data'!$R$6:$R$3898)</f>
        <v>0</v>
      </c>
      <c r="N85" s="161">
        <f t="array" ref="N85">SUMPRODUCT(--(ISNUMBER(SEARCH($A85,'Diags Raw Data'!$A$6:$A$3898))),--('Diags Raw Data'!$Q$6:$Q$3898&lt;&gt;"N/A"),'Diags Raw Data'!$T$6:$T$3898)+SUMPRODUCT(--(ISNUMBER(SEARCH($A85,'Diags Raw Data'!$A$6:$A$3898))),--('Diags Raw Data'!$Q$6:$Q$3898&lt;&gt;"N/A"),'Diags Raw Data'!$U$6:$U$3898)</f>
        <v>0</v>
      </c>
      <c r="O85" s="162">
        <f t="shared" si="22"/>
        <v>0</v>
      </c>
      <c r="P85" s="163">
        <f>SUMIF('Diags Raw Data'!$A$6:$A$3898,"*"&amp;$A85&amp;"*",'Diags Raw Data'!$Z$6:$Z$3898)</f>
        <v>0</v>
      </c>
      <c r="Q85" s="172">
        <f>SUM(SUMIF('Diags Raw Data'!$A$6:$A$3898,"*"&amp;$A85&amp;"*",'Diags Raw Data'!$AA$6:$AA$3898),SUMIF('Diags Raw Data'!$A$6:$A$3898,"*"&amp;$A85&amp;"*",'Diags Raw Data'!$AB$6:$AB$3898))</f>
        <v>0</v>
      </c>
      <c r="R85" s="173">
        <f t="shared" si="23"/>
        <v>0</v>
      </c>
      <c r="S85" s="173">
        <f t="shared" si="24"/>
        <v>0</v>
      </c>
      <c r="T85" s="174">
        <f t="shared" si="25"/>
        <v>0</v>
      </c>
      <c r="U85" s="503"/>
      <c r="V85" s="178"/>
      <c r="X85" s="486"/>
    </row>
    <row r="86" spans="1:24" ht="60">
      <c r="A86" s="134" t="s">
        <v>1021</v>
      </c>
      <c r="B86" s="139" t="str">
        <f>VLOOKUP(A86,'Feature Raw Data'!$A$3:$B$3923,2,FALSE)</f>
        <v>Polarity Reversal</v>
      </c>
      <c r="C86" s="140" t="str">
        <f>VLOOKUP(A86,'Feature Raw Data'!$A$3:$C$3923,3,FALSE)</f>
        <v>P2</v>
      </c>
      <c r="D86" s="141" t="str">
        <f t="array" ref="D86">_xlfn.TEXTJOIN("",TRUE,IF(ISNUMBER(SEARCH($A86,'Diags Raw Data'!$A$6:$A$3898)),CONCATENATE('Diags Raw Data'!$H$6:$H$3898,", "),""))</f>
        <v/>
      </c>
      <c r="E86" s="142" t="e">
        <f>VLOOKUP(A86,'Diags Raw Data'!$A$6:$D$3898,4,FALSE)</f>
        <v>#N/A</v>
      </c>
      <c r="F86" s="142" t="str">
        <f>VLOOKUP(A86,'Feature Raw Data'!$A$3:$E$3923,5,FALSE)</f>
        <v>Legacy</v>
      </c>
      <c r="G86" s="142" t="str">
        <f t="shared" si="26"/>
        <v>No</v>
      </c>
      <c r="H86" s="142" t="str">
        <f t="shared" si="27"/>
        <v>No</v>
      </c>
      <c r="I86" s="140">
        <f>SUMIF('Diags Raw Data'!$A$6:$A$3898,"*"&amp;$A86&amp;"*",'Diags Raw Data'!$K$6:$K$3898)</f>
        <v>0</v>
      </c>
      <c r="J86" s="157">
        <f>SUMIF('Diags Raw Data'!$A$6:$A$3898,"*"&amp;$A86&amp;"*",'Diags Raw Data'!$L$6:$L$3898)</f>
        <v>0</v>
      </c>
      <c r="K86" s="158">
        <f t="array" ref="K86">IF(D86="",0,SUMPRODUCT(--(ISNUMBER(SEARCH($A86,'Diags Raw Data'!$A$6:$A$3898))),'Diags Raw Data'!$L$6:$L$3898,'Diags Raw Data'!$N$6:$N$3898)/J86)</f>
        <v>0</v>
      </c>
      <c r="L86" s="159">
        <f t="array" ref="L86">IF(D86="",0,SUMPRODUCT(--(ISNUMBER(SEARCH($A86,'Diags Raw Data'!$A$6:$A$3898))),'Diags Raw Data'!$L$6:$L$3898,'Diags Raw Data'!$P$6:$P$3898)/J86)</f>
        <v>0</v>
      </c>
      <c r="M86" s="160">
        <f t="array" ref="M86">SUMPRODUCT(--(ISNUMBER(SEARCH($A86,'Diags Raw Data'!$A$6:$A$3898))),--('Diags Raw Data'!$Q$6:$Q$3898&lt;&gt;"N/A"),'Diags Raw Data'!$R$6:$R$3898)</f>
        <v>0</v>
      </c>
      <c r="N86" s="161">
        <f t="array" ref="N86">SUMPRODUCT(--(ISNUMBER(SEARCH($A86,'Diags Raw Data'!$A$6:$A$3898))),--('Diags Raw Data'!$Q$6:$Q$3898&lt;&gt;"N/A"),'Diags Raw Data'!$T$6:$T$3898)+SUMPRODUCT(--(ISNUMBER(SEARCH($A86,'Diags Raw Data'!$A$6:$A$3898))),--('Diags Raw Data'!$Q$6:$Q$3898&lt;&gt;"N/A"),'Diags Raw Data'!$U$6:$U$3898)</f>
        <v>0</v>
      </c>
      <c r="O86" s="162">
        <f t="shared" si="22"/>
        <v>0</v>
      </c>
      <c r="P86" s="163">
        <f>SUMIF('Diags Raw Data'!$A$6:$A$3898,"*"&amp;$A86&amp;"*",'Diags Raw Data'!$Z$6:$Z$3898)</f>
        <v>0</v>
      </c>
      <c r="Q86" s="172">
        <f>SUM(SUMIF('Diags Raw Data'!$A$6:$A$3898,"*"&amp;$A86&amp;"*",'Diags Raw Data'!$AA$6:$AA$3898),SUMIF('Diags Raw Data'!$A$6:$A$3898,"*"&amp;$A86&amp;"*",'Diags Raw Data'!$AB$6:$AB$3898))</f>
        <v>0</v>
      </c>
      <c r="R86" s="173">
        <f t="shared" si="23"/>
        <v>0</v>
      </c>
      <c r="S86" s="173">
        <f t="shared" si="24"/>
        <v>0</v>
      </c>
      <c r="T86" s="174">
        <f t="shared" si="25"/>
        <v>0</v>
      </c>
      <c r="U86" s="503"/>
      <c r="V86" s="166" t="s">
        <v>1115</v>
      </c>
      <c r="X86" s="486"/>
    </row>
    <row r="87" spans="1:24" ht="15.75" thickBot="1">
      <c r="A87" s="134" t="s">
        <v>767</v>
      </c>
      <c r="B87" s="139" t="str">
        <f>VLOOKUP(A87,'Feature Raw Data'!$A$3:$B$3923,2,FALSE)</f>
        <v>Standard Gen3 Equalization</v>
      </c>
      <c r="C87" s="140" t="str">
        <f>VLOOKUP(A87,'Feature Raw Data'!$A$3:$C$3923,3,FALSE)</f>
        <v>P1</v>
      </c>
      <c r="D87" s="141" t="str">
        <f t="array" ref="D87">_xlfn.TEXTJOIN("",TRUE,IF(ISNUMBER(SEARCH($A87,'Diags Raw Data'!$A$6:$A$3898)),CONCATENATE('Diags Raw Data'!$H$6:$H$3898,", "),""))</f>
        <v xml:space="preserve">AJ019.001, </v>
      </c>
      <c r="E87" s="142" t="str">
        <f>VLOOKUP(A87,'Diags Raw Data'!$A$6:$D$3898,4,FALSE)</f>
        <v>PCIE</v>
      </c>
      <c r="F87" s="142" t="str">
        <f>VLOOKUP(A87,'Feature Raw Data'!$A$3:$E$3923,5,FALSE)</f>
        <v>Legacy</v>
      </c>
      <c r="G87" s="142" t="str">
        <f t="shared" si="26"/>
        <v>Yes</v>
      </c>
      <c r="H87" s="142" t="str">
        <f t="shared" si="27"/>
        <v>Yes</v>
      </c>
      <c r="I87" s="140">
        <f>SUMIF('Diags Raw Data'!$A$6:$A$3898,"*"&amp;$A87&amp;"*",'Diags Raw Data'!$K$6:$K$3898)</f>
        <v>1</v>
      </c>
      <c r="J87" s="157">
        <f>SUMIF('Diags Raw Data'!$A$6:$A$3898,"*"&amp;$A87&amp;"*",'Diags Raw Data'!$L$6:$L$3898)</f>
        <v>1</v>
      </c>
      <c r="K87" s="158">
        <f t="array" ref="K87">IF(D87="",0,SUMPRODUCT(--(ISNUMBER(SEARCH($A87,'Diags Raw Data'!$A$6:$A$3898))),'Diags Raw Data'!$L$6:$L$3898,'Diags Raw Data'!$N$6:$N$3898)/J87)</f>
        <v>1</v>
      </c>
      <c r="L87" s="159">
        <f t="array" ref="L87">IF(D87="",0,SUMPRODUCT(--(ISNUMBER(SEARCH($A87,'Diags Raw Data'!$A$6:$A$3898))),'Diags Raw Data'!$L$6:$L$3898,'Diags Raw Data'!$P$6:$P$3898)/J87)</f>
        <v>1</v>
      </c>
      <c r="M87" s="160">
        <f t="array" ref="M87">SUMPRODUCT(--(ISNUMBER(SEARCH($A87,'Diags Raw Data'!$A$6:$A$3898))),--('Diags Raw Data'!$Q$6:$Q$3898&lt;&gt;"N/A"),'Diags Raw Data'!$R$6:$R$3898)</f>
        <v>0</v>
      </c>
      <c r="N87" s="161">
        <f t="array" ref="N87">SUMPRODUCT(--(ISNUMBER(SEARCH($A87,'Diags Raw Data'!$A$6:$A$3898))),--('Diags Raw Data'!$Q$6:$Q$3898&lt;&gt;"N/A"),'Diags Raw Data'!$T$6:$T$3898)+SUMPRODUCT(--(ISNUMBER(SEARCH($A87,'Diags Raw Data'!$A$6:$A$3898))),--('Diags Raw Data'!$Q$6:$Q$3898&lt;&gt;"N/A"),'Diags Raw Data'!$U$6:$U$3898)</f>
        <v>0</v>
      </c>
      <c r="O87" s="162">
        <f t="shared" si="22"/>
        <v>0</v>
      </c>
      <c r="P87" s="163">
        <f>SUMIF('Diags Raw Data'!$A$6:$A$3898,"*"&amp;$A87&amp;"*",'Diags Raw Data'!$Z$6:$Z$3898)</f>
        <v>0</v>
      </c>
      <c r="Q87" s="172">
        <f>SUM(SUMIF('Diags Raw Data'!$A$6:$A$3898,"*"&amp;$A87&amp;"*",'Diags Raw Data'!$AA$6:$AA$3898),SUMIF('Diags Raw Data'!$A$6:$A$3898,"*"&amp;$A87&amp;"*",'Diags Raw Data'!$AB$6:$AB$3898))</f>
        <v>0</v>
      </c>
      <c r="R87" s="173">
        <f t="shared" si="23"/>
        <v>0</v>
      </c>
      <c r="S87" s="173">
        <f t="shared" si="24"/>
        <v>0</v>
      </c>
      <c r="T87" s="174">
        <f t="shared" si="25"/>
        <v>0</v>
      </c>
      <c r="U87" s="175"/>
      <c r="V87" s="166"/>
    </row>
    <row r="88" spans="1:24" ht="15.75" thickBot="1">
      <c r="A88" s="134" t="s">
        <v>771</v>
      </c>
      <c r="B88" s="139" t="str">
        <f>VLOOKUP(A88,'Feature Raw Data'!$A$3:$B$3923,2,FALSE)</f>
        <v>Standard Gen4 Equalization</v>
      </c>
      <c r="C88" s="140" t="str">
        <f>VLOOKUP(A88,'Feature Raw Data'!$A$3:$C$3923,3,FALSE)</f>
        <v>P2</v>
      </c>
      <c r="D88" s="141" t="str">
        <f t="array" ref="D88">_xlfn.TEXTJOIN("",TRUE,IF(ISNUMBER(SEARCH($A88,'Diags Raw Data'!$A$6:$A$3898)),CONCATENATE('Diags Raw Data'!$H$6:$H$3898,", "),""))</f>
        <v xml:space="preserve">AJ019.002, </v>
      </c>
      <c r="E88" s="142" t="str">
        <f>VLOOKUP(A88,'Diags Raw Data'!$A$6:$D$3898,4,FALSE)</f>
        <v>PCIE</v>
      </c>
      <c r="F88" s="142" t="str">
        <f>VLOOKUP(A88,'Feature Raw Data'!$A$3:$E$3923,5,FALSE)</f>
        <v>Legacy</v>
      </c>
      <c r="G88" s="142" t="str">
        <f t="shared" si="26"/>
        <v>Yes</v>
      </c>
      <c r="H88" s="142" t="str">
        <f t="shared" si="27"/>
        <v>Yes</v>
      </c>
      <c r="I88" s="140">
        <f>SUMIF('Diags Raw Data'!$A$6:$A$3898,"*"&amp;$A88&amp;"*",'Diags Raw Data'!$K$6:$K$3898)</f>
        <v>1</v>
      </c>
      <c r="J88" s="157">
        <f>SUMIF('Diags Raw Data'!$A$6:$A$3898,"*"&amp;$A88&amp;"*",'Diags Raw Data'!$L$6:$L$3898)</f>
        <v>1</v>
      </c>
      <c r="K88" s="158">
        <f t="array" ref="K88">IF(D88="",0,SUMPRODUCT(--(ISNUMBER(SEARCH($A88,'Diags Raw Data'!$A$6:$A$3898))),'Diags Raw Data'!$L$6:$L$3898,'Diags Raw Data'!$N$6:$N$3898)/J88)</f>
        <v>1</v>
      </c>
      <c r="L88" s="159">
        <f t="array" ref="L88">IF(D88="",0,SUMPRODUCT(--(ISNUMBER(SEARCH($A88,'Diags Raw Data'!$A$6:$A$3898))),'Diags Raw Data'!$L$6:$L$3898,'Diags Raw Data'!$P$6:$P$3898)/J88)</f>
        <v>1</v>
      </c>
      <c r="M88" s="160">
        <f t="array" ref="M88">SUMPRODUCT(--(ISNUMBER(SEARCH($A88,'Diags Raw Data'!$A$6:$A$3898))),--('Diags Raw Data'!$Q$6:$Q$3898&lt;&gt;"N/A"),'Diags Raw Data'!$R$6:$R$3898)</f>
        <v>0</v>
      </c>
      <c r="N88" s="161">
        <f t="array" ref="N88">SUMPRODUCT(--(ISNUMBER(SEARCH($A88,'Diags Raw Data'!$A$6:$A$3898))),--('Diags Raw Data'!$Q$6:$Q$3898&lt;&gt;"N/A"),'Diags Raw Data'!$T$6:$T$3898)+SUMPRODUCT(--(ISNUMBER(SEARCH($A88,'Diags Raw Data'!$A$6:$A$3898))),--('Diags Raw Data'!$Q$6:$Q$3898&lt;&gt;"N/A"),'Diags Raw Data'!$U$6:$U$3898)</f>
        <v>0</v>
      </c>
      <c r="O88" s="162">
        <f t="shared" si="22"/>
        <v>0</v>
      </c>
      <c r="P88" s="163">
        <f>SUMIF('Diags Raw Data'!$A$6:$A$3898,"*"&amp;$A88&amp;"*",'Diags Raw Data'!$Z$6:$Z$3898)</f>
        <v>0</v>
      </c>
      <c r="Q88" s="172">
        <f>SUM(SUMIF('Diags Raw Data'!$A$6:$A$3898,"*"&amp;$A88&amp;"*",'Diags Raw Data'!$AA$6:$AA$3898),SUMIF('Diags Raw Data'!$A$6:$A$3898,"*"&amp;$A88&amp;"*",'Diags Raw Data'!$AB$6:$AB$3898))</f>
        <v>0</v>
      </c>
      <c r="R88" s="173">
        <f t="shared" si="23"/>
        <v>0</v>
      </c>
      <c r="S88" s="173">
        <f t="shared" si="24"/>
        <v>0</v>
      </c>
      <c r="T88" s="174">
        <f t="shared" si="25"/>
        <v>0</v>
      </c>
      <c r="U88" s="175"/>
      <c r="V88" s="166"/>
    </row>
    <row r="89" spans="1:24" ht="15.75" thickBot="1">
      <c r="A89" s="134" t="s">
        <v>778</v>
      </c>
      <c r="B89" s="139" t="str">
        <f>VLOOKUP(A89,'Feature Raw Data'!$A$3:$B$3923,2,FALSE)</f>
        <v>Standard Gen5 Equalization</v>
      </c>
      <c r="C89" s="140" t="str">
        <f>VLOOKUP(A89,'Feature Raw Data'!$A$3:$C$3923,3,FALSE)</f>
        <v>P2</v>
      </c>
      <c r="D89" s="141" t="str">
        <f t="array" ref="D89">_xlfn.TEXTJOIN("",TRUE,IF(ISNUMBER(SEARCH($A89,'Diags Raw Data'!$A$6:$A$3898)),CONCATENATE('Diags Raw Data'!$H$6:$H$3898,", "),""))</f>
        <v xml:space="preserve">AJ019.005, </v>
      </c>
      <c r="E89" s="142" t="str">
        <f>VLOOKUP(A89,'Diags Raw Data'!$A$6:$D$3898,4,FALSE)</f>
        <v>PCIE</v>
      </c>
      <c r="F89" s="142" t="str">
        <f>VLOOKUP(A89,'Feature Raw Data'!$A$3:$E$3923,5,FALSE)</f>
        <v>Delta</v>
      </c>
      <c r="G89" s="142" t="str">
        <f t="shared" si="26"/>
        <v>Yes</v>
      </c>
      <c r="H89" s="142" t="str">
        <f t="shared" si="27"/>
        <v>Yes</v>
      </c>
      <c r="I89" s="140">
        <f>SUMIF('Diags Raw Data'!$A$6:$A$3898,"*"&amp;$A89&amp;"*",'Diags Raw Data'!$K$6:$K$3898)</f>
        <v>1</v>
      </c>
      <c r="J89" s="157">
        <f>SUMIF('Diags Raw Data'!$A$6:$A$3898,"*"&amp;$A89&amp;"*",'Diags Raw Data'!$L$6:$L$3898)</f>
        <v>1</v>
      </c>
      <c r="K89" s="158">
        <f t="array" ref="K89">IF(D89="",0,SUMPRODUCT(--(ISNUMBER(SEARCH($A89,'Diags Raw Data'!$A$6:$A$3898))),'Diags Raw Data'!$L$6:$L$3898,'Diags Raw Data'!$N$6:$N$3898)/J89)</f>
        <v>1</v>
      </c>
      <c r="L89" s="159">
        <f t="array" ref="L89">IF(D89="",0,SUMPRODUCT(--(ISNUMBER(SEARCH($A89,'Diags Raw Data'!$A$6:$A$3898))),'Diags Raw Data'!$L$6:$L$3898,'Diags Raw Data'!$P$6:$P$3898)/J89)</f>
        <v>1</v>
      </c>
      <c r="M89" s="160">
        <f t="array" ref="M89">SUMPRODUCT(--(ISNUMBER(SEARCH($A89,'Diags Raw Data'!$A$6:$A$3898))),--('Diags Raw Data'!$Q$6:$Q$3898&lt;&gt;"N/A"),'Diags Raw Data'!$R$6:$R$3898)</f>
        <v>0</v>
      </c>
      <c r="N89" s="161">
        <f t="array" ref="N89">SUMPRODUCT(--(ISNUMBER(SEARCH($A89,'Diags Raw Data'!$A$6:$A$3898))),--('Diags Raw Data'!$Q$6:$Q$3898&lt;&gt;"N/A"),'Diags Raw Data'!$T$6:$T$3898)+SUMPRODUCT(--(ISNUMBER(SEARCH($A89,'Diags Raw Data'!$A$6:$A$3898))),--('Diags Raw Data'!$Q$6:$Q$3898&lt;&gt;"N/A"),'Diags Raw Data'!$U$6:$U$3898)</f>
        <v>0</v>
      </c>
      <c r="O89" s="162">
        <f t="shared" si="22"/>
        <v>0</v>
      </c>
      <c r="P89" s="163">
        <f>SUMIF('Diags Raw Data'!$A$6:$A$3898,"*"&amp;$A89&amp;"*",'Diags Raw Data'!$Z$6:$Z$3898)</f>
        <v>0</v>
      </c>
      <c r="Q89" s="172">
        <f>SUM(SUMIF('Diags Raw Data'!$A$6:$A$3898,"*"&amp;$A89&amp;"*",'Diags Raw Data'!$AA$6:$AA$3898),SUMIF('Diags Raw Data'!$A$6:$A$3898,"*"&amp;$A89&amp;"*",'Diags Raw Data'!$AB$6:$AB$3898))</f>
        <v>0</v>
      </c>
      <c r="R89" s="173">
        <f t="shared" si="23"/>
        <v>0</v>
      </c>
      <c r="S89" s="173">
        <f t="shared" si="24"/>
        <v>0</v>
      </c>
      <c r="T89" s="174">
        <f t="shared" si="25"/>
        <v>0</v>
      </c>
      <c r="U89" s="175"/>
      <c r="V89" s="166"/>
    </row>
    <row r="90" spans="1:24" ht="60">
      <c r="A90" s="134" t="s">
        <v>1026</v>
      </c>
      <c r="B90" s="139" t="str">
        <f>VLOOKUP(A90,'Feature Raw Data'!$A$3:$B$3923,2,FALSE)</f>
        <v>Preset Search/Mask</v>
      </c>
      <c r="C90" s="140" t="str">
        <f>VLOOKUP(A90,'Feature Raw Data'!$A$3:$C$3923,3,FALSE)</f>
        <v>P2</v>
      </c>
      <c r="D90" s="141" t="str">
        <f t="array" ref="D90">_xlfn.TEXTJOIN("",TRUE,IF(ISNUMBER(SEARCH($A90,'Diags Raw Data'!$A$6:$A$3898)),CONCATENATE('Diags Raw Data'!$H$6:$H$3898,", "),""))</f>
        <v/>
      </c>
      <c r="E90" s="142" t="e">
        <f>VLOOKUP(A90,'Diags Raw Data'!$A$6:$D$3898,4,FALSE)</f>
        <v>#N/A</v>
      </c>
      <c r="F90" s="142" t="str">
        <f>VLOOKUP(A90,'Feature Raw Data'!$A$3:$E$3923,5,FALSE)</f>
        <v>Legacy</v>
      </c>
      <c r="G90" s="142" t="str">
        <f t="shared" si="26"/>
        <v>No</v>
      </c>
      <c r="H90" s="142" t="str">
        <f t="shared" si="27"/>
        <v>No</v>
      </c>
      <c r="I90" s="140">
        <f>SUMIF('Diags Raw Data'!$A$6:$A$3898,"*"&amp;$A90&amp;"*",'Diags Raw Data'!$K$6:$K$3898)</f>
        <v>0</v>
      </c>
      <c r="J90" s="157">
        <f>SUMIF('Diags Raw Data'!$A$6:$A$3898,"*"&amp;$A90&amp;"*",'Diags Raw Data'!$L$6:$L$3898)</f>
        <v>0</v>
      </c>
      <c r="K90" s="158">
        <f t="array" ref="K90">IF(D90="",0,SUMPRODUCT(--(ISNUMBER(SEARCH($A90,'Diags Raw Data'!$A$6:$A$3898))),'Diags Raw Data'!$L$6:$L$3898,'Diags Raw Data'!$N$6:$N$3898)/J90)</f>
        <v>0</v>
      </c>
      <c r="L90" s="159">
        <f t="array" ref="L90">IF(D90="",0,SUMPRODUCT(--(ISNUMBER(SEARCH($A90,'Diags Raw Data'!$A$6:$A$3898))),'Diags Raw Data'!$L$6:$L$3898,'Diags Raw Data'!$P$6:$P$3898)/J90)</f>
        <v>0</v>
      </c>
      <c r="M90" s="160">
        <f t="array" ref="M90">SUMPRODUCT(--(ISNUMBER(SEARCH($A90,'Diags Raw Data'!$A$6:$A$3898))),--('Diags Raw Data'!$Q$6:$Q$3898&lt;&gt;"N/A"),'Diags Raw Data'!$R$6:$R$3898)</f>
        <v>0</v>
      </c>
      <c r="N90" s="161">
        <f t="array" ref="N90">SUMPRODUCT(--(ISNUMBER(SEARCH($A90,'Diags Raw Data'!$A$6:$A$3898))),--('Diags Raw Data'!$Q$6:$Q$3898&lt;&gt;"N/A"),'Diags Raw Data'!$T$6:$T$3898)+SUMPRODUCT(--(ISNUMBER(SEARCH($A90,'Diags Raw Data'!$A$6:$A$3898))),--('Diags Raw Data'!$Q$6:$Q$3898&lt;&gt;"N/A"),'Diags Raw Data'!$U$6:$U$3898)</f>
        <v>0</v>
      </c>
      <c r="O90" s="162">
        <f t="shared" si="22"/>
        <v>0</v>
      </c>
      <c r="P90" s="163">
        <f>SUMIF('Diags Raw Data'!$A$6:$A$3898,"*"&amp;$A90&amp;"*",'Diags Raw Data'!$Z$6:$Z$3898)</f>
        <v>0</v>
      </c>
      <c r="Q90" s="172">
        <f>SUM(SUMIF('Diags Raw Data'!$A$6:$A$3898,"*"&amp;$A90&amp;"*",'Diags Raw Data'!$AA$6:$AA$3898),SUMIF('Diags Raw Data'!$A$6:$A$3898,"*"&amp;$A90&amp;"*",'Diags Raw Data'!$AB$6:$AB$3898))</f>
        <v>0</v>
      </c>
      <c r="R90" s="173">
        <f t="shared" si="23"/>
        <v>0</v>
      </c>
      <c r="S90" s="173">
        <f t="shared" si="24"/>
        <v>0</v>
      </c>
      <c r="T90" s="174">
        <f t="shared" si="25"/>
        <v>0</v>
      </c>
      <c r="U90" s="503"/>
      <c r="V90" s="166" t="s">
        <v>1115</v>
      </c>
      <c r="X90" s="486"/>
    </row>
    <row r="91" spans="1:24" ht="60">
      <c r="A91" s="134" t="s">
        <v>1028</v>
      </c>
      <c r="B91" s="139" t="str">
        <f>VLOOKUP(A91,'Feature Raw Data'!$A$3:$B$3923,2,FALSE)</f>
        <v>Coeﬀicient Search</v>
      </c>
      <c r="C91" s="140" t="str">
        <f>VLOOKUP(A91,'Feature Raw Data'!$A$3:$C$3923,3,FALSE)</f>
        <v>P2</v>
      </c>
      <c r="D91" s="141" t="str">
        <f t="array" ref="D91">_xlfn.TEXTJOIN("",TRUE,IF(ISNUMBER(SEARCH($A91,'Diags Raw Data'!$A$6:$A$3898)),CONCATENATE('Diags Raw Data'!$H$6:$H$3898,", "),""))</f>
        <v/>
      </c>
      <c r="E91" s="142" t="e">
        <f>VLOOKUP(A91,'Diags Raw Data'!$A$6:$D$3898,4,FALSE)</f>
        <v>#N/A</v>
      </c>
      <c r="F91" s="142" t="str">
        <f>VLOOKUP(A91,'Feature Raw Data'!$A$3:$E$3923,5,FALSE)</f>
        <v>Legacy</v>
      </c>
      <c r="G91" s="142" t="str">
        <f t="shared" ref="G91:G99" si="28">IF(D91="","No","Yes")</f>
        <v>No</v>
      </c>
      <c r="H91" s="142" t="str">
        <f t="shared" ref="H91:H99" si="29">IF(D91="","No","Yes")</f>
        <v>No</v>
      </c>
      <c r="I91" s="140">
        <f>SUMIF('Diags Raw Data'!$A$6:$A$3898,"*"&amp;$A91&amp;"*",'Diags Raw Data'!$K$6:$K$3898)</f>
        <v>0</v>
      </c>
      <c r="J91" s="157">
        <f>SUMIF('Diags Raw Data'!$A$6:$A$3898,"*"&amp;$A91&amp;"*",'Diags Raw Data'!$L$6:$L$3898)</f>
        <v>0</v>
      </c>
      <c r="K91" s="158">
        <f t="array" ref="K91">IF(D91="",0,SUMPRODUCT(--(ISNUMBER(SEARCH($A91,'Diags Raw Data'!$A$6:$A$3898))),'Diags Raw Data'!$L$6:$L$3898,'Diags Raw Data'!$N$6:$N$3898)/J91)</f>
        <v>0</v>
      </c>
      <c r="L91" s="159">
        <f t="array" ref="L91">IF(D91="",0,SUMPRODUCT(--(ISNUMBER(SEARCH($A91,'Diags Raw Data'!$A$6:$A$3898))),'Diags Raw Data'!$L$6:$L$3898,'Diags Raw Data'!$P$6:$P$3898)/J91)</f>
        <v>0</v>
      </c>
      <c r="M91" s="160">
        <f t="array" ref="M91">SUMPRODUCT(--(ISNUMBER(SEARCH($A91,'Diags Raw Data'!$A$6:$A$3898))),--('Diags Raw Data'!$Q$6:$Q$3898&lt;&gt;"N/A"),'Diags Raw Data'!$R$6:$R$3898)</f>
        <v>0</v>
      </c>
      <c r="N91" s="161">
        <f t="array" ref="N91">SUMPRODUCT(--(ISNUMBER(SEARCH($A91,'Diags Raw Data'!$A$6:$A$3898))),--('Diags Raw Data'!$Q$6:$Q$3898&lt;&gt;"N/A"),'Diags Raw Data'!$T$6:$T$3898)+SUMPRODUCT(--(ISNUMBER(SEARCH($A91,'Diags Raw Data'!$A$6:$A$3898))),--('Diags Raw Data'!$Q$6:$Q$3898&lt;&gt;"N/A"),'Diags Raw Data'!$U$6:$U$3898)</f>
        <v>0</v>
      </c>
      <c r="O91" s="162">
        <f t="shared" ref="O91:O99" si="30">IF((M91=0),0,N91/M91)</f>
        <v>0</v>
      </c>
      <c r="P91" s="163">
        <f>SUMIF('Diags Raw Data'!$A$6:$A$3898,"*"&amp;$A91&amp;"*",'Diags Raw Data'!$Z$6:$Z$3898)</f>
        <v>0</v>
      </c>
      <c r="Q91" s="172">
        <f>SUM(SUMIF('Diags Raw Data'!$A$6:$A$3898,"*"&amp;$A91&amp;"*",'Diags Raw Data'!$AA$6:$AA$3898),SUMIF('Diags Raw Data'!$A$6:$A$3898,"*"&amp;$A91&amp;"*",'Diags Raw Data'!$AB$6:$AB$3898))</f>
        <v>0</v>
      </c>
      <c r="R91" s="173">
        <f t="shared" ref="R91:R99" si="31">IF((J91=0),0,P91/J91)</f>
        <v>0</v>
      </c>
      <c r="S91" s="173">
        <f t="shared" ref="S91:S99" si="32">IF((P91=0),0,Q91/P91)</f>
        <v>0</v>
      </c>
      <c r="T91" s="174">
        <f t="shared" ref="T91:T99" si="33">R91*S91</f>
        <v>0</v>
      </c>
      <c r="U91" s="503"/>
      <c r="V91" s="178" t="s">
        <v>1115</v>
      </c>
      <c r="X91" s="486"/>
    </row>
    <row r="92" spans="1:24" ht="45.75" thickBot="1">
      <c r="A92" s="134" t="s">
        <v>796</v>
      </c>
      <c r="B92" s="139" t="str">
        <f>VLOOKUP(A92,'Feature Raw Data'!$A$3:$B$3923,2,FALSE)</f>
        <v>DMA Payload Size/Zero Byte Read</v>
      </c>
      <c r="C92" s="140" t="str">
        <f>VLOOKUP(A92,'Feature Raw Data'!$A$3:$C$3923,3,FALSE)</f>
        <v>P2</v>
      </c>
      <c r="D92" s="141" t="str">
        <f t="array" ref="D92">_xlfn.TEXTJOIN("",TRUE,IF(ISNUMBER(SEARCH($A92,'Diags Raw Data'!$A$6:$A$3898)),CONCATENATE('Diags Raw Data'!$H$6:$H$3898,", "),""))</f>
        <v xml:space="preserve">CR001.001, CR001.005, CR001.006, </v>
      </c>
      <c r="E92" s="142" t="str">
        <f>VLOOKUP(A92,'Diags Raw Data'!$A$6:$D$3898,4,FALSE)</f>
        <v>PCIE</v>
      </c>
      <c r="F92" s="142" t="str">
        <f>VLOOKUP(A92,'Feature Raw Data'!$A$3:$E$3923,5,FALSE)</f>
        <v>Legacy</v>
      </c>
      <c r="G92" s="142" t="str">
        <f t="shared" si="28"/>
        <v>Yes</v>
      </c>
      <c r="H92" s="142" t="str">
        <f t="shared" si="29"/>
        <v>Yes</v>
      </c>
      <c r="I92" s="140">
        <f>SUMIF('Diags Raw Data'!$A$6:$A$3898,"*"&amp;$A92&amp;"*",'Diags Raw Data'!$K$6:$K$3898)</f>
        <v>3</v>
      </c>
      <c r="J92" s="157">
        <f>SUMIF('Diags Raw Data'!$A$6:$A$3898,"*"&amp;$A92&amp;"*",'Diags Raw Data'!$L$6:$L$3898)</f>
        <v>3</v>
      </c>
      <c r="K92" s="158">
        <f t="array" ref="K92">IF(D92="",0,SUMPRODUCT(--(ISNUMBER(SEARCH($A92,'Diags Raw Data'!$A$6:$A$3898))),'Diags Raw Data'!$L$6:$L$3898,'Diags Raw Data'!$N$6:$N$3898)/J92)</f>
        <v>1</v>
      </c>
      <c r="L92" s="159">
        <f t="array" ref="L92">IF(D92="",0,SUMPRODUCT(--(ISNUMBER(SEARCH($A92,'Diags Raw Data'!$A$6:$A$3898))),'Diags Raw Data'!$L$6:$L$3898,'Diags Raw Data'!$P$6:$P$3898)/J92)</f>
        <v>1</v>
      </c>
      <c r="M92" s="160">
        <f t="array" ref="M92">SUMPRODUCT(--(ISNUMBER(SEARCH($A92,'Diags Raw Data'!$A$6:$A$3898))),--('Diags Raw Data'!$Q$6:$Q$3898&lt;&gt;"N/A"),'Diags Raw Data'!$R$6:$R$3898)</f>
        <v>3</v>
      </c>
      <c r="N92" s="161">
        <f t="array" ref="N92">SUMPRODUCT(--(ISNUMBER(SEARCH($A92,'Diags Raw Data'!$A$6:$A$3898))),--('Diags Raw Data'!$Q$6:$Q$3898&lt;&gt;"N/A"),'Diags Raw Data'!$T$6:$T$3898)+SUMPRODUCT(--(ISNUMBER(SEARCH($A92,'Diags Raw Data'!$A$6:$A$3898))),--('Diags Raw Data'!$Q$6:$Q$3898&lt;&gt;"N/A"),'Diags Raw Data'!$U$6:$U$3898)</f>
        <v>0</v>
      </c>
      <c r="O92" s="162">
        <f t="shared" si="30"/>
        <v>0</v>
      </c>
      <c r="P92" s="163">
        <f>SUMIF('Diags Raw Data'!$A$6:$A$3898,"*"&amp;$A92&amp;"*",'Diags Raw Data'!$Z$6:$Z$3898)</f>
        <v>0</v>
      </c>
      <c r="Q92" s="172">
        <f>SUM(SUMIF('Diags Raw Data'!$A$6:$A$3898,"*"&amp;$A92&amp;"*",'Diags Raw Data'!$AA$6:$AA$3898),SUMIF('Diags Raw Data'!$A$6:$A$3898,"*"&amp;$A92&amp;"*",'Diags Raw Data'!$AB$6:$AB$3898))</f>
        <v>0</v>
      </c>
      <c r="R92" s="173">
        <f t="shared" si="31"/>
        <v>0</v>
      </c>
      <c r="S92" s="173">
        <f t="shared" si="32"/>
        <v>0</v>
      </c>
      <c r="T92" s="174">
        <f t="shared" si="33"/>
        <v>0</v>
      </c>
      <c r="U92" s="175"/>
      <c r="V92" s="166"/>
    </row>
    <row r="93" spans="1:24" ht="30.75" thickBot="1">
      <c r="A93" s="134" t="s">
        <v>776</v>
      </c>
      <c r="B93" s="139" t="str">
        <f>VLOOKUP(A93,'Feature Raw Data'!$A$3:$B$3923,2,FALSE)</f>
        <v xml:space="preserve">equalization bypass to highest rate -- PCIe Compliant </v>
      </c>
      <c r="C93" s="140" t="str">
        <f>VLOOKUP(A93,'Feature Raw Data'!$A$3:$C$3923,3,FALSE)</f>
        <v>P2</v>
      </c>
      <c r="D93" s="141" t="str">
        <f t="array" ref="D93">_xlfn.TEXTJOIN("",TRUE,IF(ISNUMBER(SEARCH($A93,'Diags Raw Data'!$A$6:$A$3898)),CONCATENATE('Diags Raw Data'!$H$6:$H$3898,", "),""))</f>
        <v xml:space="preserve">AJ019.004, </v>
      </c>
      <c r="E93" s="142" t="str">
        <f>VLOOKUP(A93,'Diags Raw Data'!$A$6:$D$3898,4,FALSE)</f>
        <v>PCIE</v>
      </c>
      <c r="F93" s="142" t="str">
        <f>VLOOKUP(A93,'Feature Raw Data'!$A$3:$E$3923,5,FALSE)</f>
        <v>Legacy</v>
      </c>
      <c r="G93" s="142" t="str">
        <f t="shared" si="28"/>
        <v>Yes</v>
      </c>
      <c r="H93" s="142" t="str">
        <f t="shared" si="29"/>
        <v>Yes</v>
      </c>
      <c r="I93" s="140">
        <f>SUMIF('Diags Raw Data'!$A$6:$A$3898,"*"&amp;$A93&amp;"*",'Diags Raw Data'!$K$6:$K$3898)</f>
        <v>1</v>
      </c>
      <c r="J93" s="157">
        <f>SUMIF('Diags Raw Data'!$A$6:$A$3898,"*"&amp;$A93&amp;"*",'Diags Raw Data'!$L$6:$L$3898)</f>
        <v>1</v>
      </c>
      <c r="K93" s="158">
        <f t="array" ref="K93">IF(D93="",0,SUMPRODUCT(--(ISNUMBER(SEARCH($A93,'Diags Raw Data'!$A$6:$A$3898))),'Diags Raw Data'!$L$6:$L$3898,'Diags Raw Data'!$N$6:$N$3898)/J93)</f>
        <v>1</v>
      </c>
      <c r="L93" s="159">
        <f t="array" ref="L93">IF(D93="",0,SUMPRODUCT(--(ISNUMBER(SEARCH($A93,'Diags Raw Data'!$A$6:$A$3898))),'Diags Raw Data'!$L$6:$L$3898,'Diags Raw Data'!$P$6:$P$3898)/J93)</f>
        <v>1</v>
      </c>
      <c r="M93" s="160">
        <f t="array" ref="M93">SUMPRODUCT(--(ISNUMBER(SEARCH($A93,'Diags Raw Data'!$A$6:$A$3898))),--('Diags Raw Data'!$Q$6:$Q$3898&lt;&gt;"N/A"),'Diags Raw Data'!$R$6:$R$3898)</f>
        <v>0</v>
      </c>
      <c r="N93" s="161">
        <f t="array" ref="N93">SUMPRODUCT(--(ISNUMBER(SEARCH($A93,'Diags Raw Data'!$A$6:$A$3898))),--('Diags Raw Data'!$Q$6:$Q$3898&lt;&gt;"N/A"),'Diags Raw Data'!$T$6:$T$3898)+SUMPRODUCT(--(ISNUMBER(SEARCH($A93,'Diags Raw Data'!$A$6:$A$3898))),--('Diags Raw Data'!$Q$6:$Q$3898&lt;&gt;"N/A"),'Diags Raw Data'!$U$6:$U$3898)</f>
        <v>0</v>
      </c>
      <c r="O93" s="162">
        <f t="shared" si="30"/>
        <v>0</v>
      </c>
      <c r="P93" s="163">
        <f>SUMIF('Diags Raw Data'!$A$6:$A$3898,"*"&amp;$A93&amp;"*",'Diags Raw Data'!$Z$6:$Z$3898)</f>
        <v>0</v>
      </c>
      <c r="Q93" s="172">
        <f>SUM(SUMIF('Diags Raw Data'!$A$6:$A$3898,"*"&amp;$A93&amp;"*",'Diags Raw Data'!$AA$6:$AA$3898),SUMIF('Diags Raw Data'!$A$6:$A$3898,"*"&amp;$A93&amp;"*",'Diags Raw Data'!$AB$6:$AB$3898))</f>
        <v>0</v>
      </c>
      <c r="R93" s="173">
        <f t="shared" si="31"/>
        <v>0</v>
      </c>
      <c r="S93" s="173">
        <f t="shared" si="32"/>
        <v>0</v>
      </c>
      <c r="T93" s="174">
        <f t="shared" si="33"/>
        <v>0</v>
      </c>
      <c r="U93" s="175"/>
      <c r="V93" s="166"/>
    </row>
    <row r="94" spans="1:24" ht="15.75" thickBot="1">
      <c r="A94" s="134" t="s">
        <v>774</v>
      </c>
      <c r="B94" s="139" t="str">
        <f>VLOOKUP(A94,'Feature Raw Data'!$A$3:$B$3923,2,FALSE)</f>
        <v>Equalization with Phase 2 and Phase 3</v>
      </c>
      <c r="C94" s="140" t="str">
        <f>VLOOKUP(A94,'Feature Raw Data'!$A$3:$C$3923,3,FALSE)</f>
        <v>P2</v>
      </c>
      <c r="D94" s="141" t="str">
        <f t="array" ref="D94">_xlfn.TEXTJOIN("",TRUE,IF(ISNUMBER(SEARCH($A94,'Diags Raw Data'!$A$6:$A$3898)),CONCATENATE('Diags Raw Data'!$H$6:$H$3898,", "),""))</f>
        <v xml:space="preserve">AJ019.003, </v>
      </c>
      <c r="E94" s="142" t="str">
        <f>VLOOKUP(A94,'Diags Raw Data'!$A$6:$D$3898,4,FALSE)</f>
        <v>PCIE</v>
      </c>
      <c r="F94" s="142" t="str">
        <f>VLOOKUP(A94,'Feature Raw Data'!$A$3:$E$3923,5,FALSE)</f>
        <v>Legacy</v>
      </c>
      <c r="G94" s="142" t="str">
        <f t="shared" si="28"/>
        <v>Yes</v>
      </c>
      <c r="H94" s="142" t="str">
        <f t="shared" si="29"/>
        <v>Yes</v>
      </c>
      <c r="I94" s="140">
        <f>SUMIF('Diags Raw Data'!$A$6:$A$3898,"*"&amp;$A94&amp;"*",'Diags Raw Data'!$K$6:$K$3898)</f>
        <v>1</v>
      </c>
      <c r="J94" s="157">
        <f>SUMIF('Diags Raw Data'!$A$6:$A$3898,"*"&amp;$A94&amp;"*",'Diags Raw Data'!$L$6:$L$3898)</f>
        <v>1</v>
      </c>
      <c r="K94" s="158">
        <f t="array" ref="K94">IF(D94="",0,SUMPRODUCT(--(ISNUMBER(SEARCH($A94,'Diags Raw Data'!$A$6:$A$3898))),'Diags Raw Data'!$L$6:$L$3898,'Diags Raw Data'!$N$6:$N$3898)/J94)</f>
        <v>1</v>
      </c>
      <c r="L94" s="159">
        <f t="array" ref="L94">IF(D94="",0,SUMPRODUCT(--(ISNUMBER(SEARCH($A94,'Diags Raw Data'!$A$6:$A$3898))),'Diags Raw Data'!$L$6:$L$3898,'Diags Raw Data'!$P$6:$P$3898)/J94)</f>
        <v>1</v>
      </c>
      <c r="M94" s="160">
        <f t="array" ref="M94">SUMPRODUCT(--(ISNUMBER(SEARCH($A94,'Diags Raw Data'!$A$6:$A$3898))),--('Diags Raw Data'!$Q$6:$Q$3898&lt;&gt;"N/A"),'Diags Raw Data'!$R$6:$R$3898)</f>
        <v>0</v>
      </c>
      <c r="N94" s="161">
        <f t="array" ref="N94">SUMPRODUCT(--(ISNUMBER(SEARCH($A94,'Diags Raw Data'!$A$6:$A$3898))),--('Diags Raw Data'!$Q$6:$Q$3898&lt;&gt;"N/A"),'Diags Raw Data'!$T$6:$T$3898)+SUMPRODUCT(--(ISNUMBER(SEARCH($A94,'Diags Raw Data'!$A$6:$A$3898))),--('Diags Raw Data'!$Q$6:$Q$3898&lt;&gt;"N/A"),'Diags Raw Data'!$U$6:$U$3898)</f>
        <v>0</v>
      </c>
      <c r="O94" s="162">
        <f t="shared" si="30"/>
        <v>0</v>
      </c>
      <c r="P94" s="163">
        <f>SUMIF('Diags Raw Data'!$A$6:$A$3898,"*"&amp;$A94&amp;"*",'Diags Raw Data'!$Z$6:$Z$3898)</f>
        <v>0</v>
      </c>
      <c r="Q94" s="172">
        <f>SUM(SUMIF('Diags Raw Data'!$A$6:$A$3898,"*"&amp;$A94&amp;"*",'Diags Raw Data'!$AA$6:$AA$3898),SUMIF('Diags Raw Data'!$A$6:$A$3898,"*"&amp;$A94&amp;"*",'Diags Raw Data'!$AB$6:$AB$3898))</f>
        <v>0</v>
      </c>
      <c r="R94" s="173">
        <f t="shared" si="31"/>
        <v>0</v>
      </c>
      <c r="S94" s="173">
        <f t="shared" si="32"/>
        <v>0</v>
      </c>
      <c r="T94" s="174">
        <f t="shared" si="33"/>
        <v>0</v>
      </c>
      <c r="U94" s="503"/>
      <c r="V94" s="178"/>
      <c r="X94" s="486"/>
    </row>
    <row r="95" spans="1:24" ht="60">
      <c r="A95" s="134" t="s">
        <v>781</v>
      </c>
      <c r="B95" s="139" t="str">
        <f>VLOOKUP(A95,'Feature Raw Data'!$A$3:$B$3923,2,FALSE)</f>
        <v>Equalization with Phase 2 (USP) or Phase 3 (DSP) Bypassed  (3.17.2.15)</v>
      </c>
      <c r="C95" s="140" t="str">
        <f>VLOOKUP(A95,'Feature Raw Data'!$A$3:$C$3923,3,FALSE)</f>
        <v>P2</v>
      </c>
      <c r="D95" s="141" t="str">
        <f t="array" ref="D95">_xlfn.TEXTJOIN("",TRUE,IF(ISNUMBER(SEARCH($A95,'Diags Raw Data'!$A$6:$A$3898)),CONCATENATE('Diags Raw Data'!$H$6:$H$3898,", "),""))</f>
        <v xml:space="preserve">AJ020.001, </v>
      </c>
      <c r="E95" s="142" t="str">
        <f>VLOOKUP(A95,'Diags Raw Data'!$A$6:$D$3898,4,FALSE)</f>
        <v>PCIE</v>
      </c>
      <c r="F95" s="142" t="str">
        <f>VLOOKUP(A95,'Feature Raw Data'!$A$3:$E$3923,5,FALSE)</f>
        <v>Legacy</v>
      </c>
      <c r="G95" s="142" t="s">
        <v>31</v>
      </c>
      <c r="H95" s="142" t="s">
        <v>31</v>
      </c>
      <c r="I95" s="140">
        <f>SUMIF('Diags Raw Data'!$A$6:$A$3898,"*"&amp;$A95&amp;"*",'Diags Raw Data'!$K$6:$K$3898)</f>
        <v>1</v>
      </c>
      <c r="J95" s="157">
        <f>SUMIF('Diags Raw Data'!$A$6:$A$3898,"*"&amp;$A95&amp;"*",'Diags Raw Data'!$L$6:$L$3898)</f>
        <v>1</v>
      </c>
      <c r="K95" s="158">
        <f t="array" ref="K95">IF(D95="",0,SUMPRODUCT(--(ISNUMBER(SEARCH($A95,'Diags Raw Data'!$A$6:$A$3898))),'Diags Raw Data'!$L$6:$L$3898,'Diags Raw Data'!$N$6:$N$3898)/J95)</f>
        <v>1</v>
      </c>
      <c r="L95" s="159">
        <f t="array" ref="L95">IF(D95="",0,SUMPRODUCT(--(ISNUMBER(SEARCH($A95,'Diags Raw Data'!$A$6:$A$3898))),'Diags Raw Data'!$L$6:$L$3898,'Diags Raw Data'!$P$6:$P$3898)/J95)</f>
        <v>1</v>
      </c>
      <c r="M95" s="160">
        <f t="array" ref="M95">SUMPRODUCT(--(ISNUMBER(SEARCH($A95,'Diags Raw Data'!$A$6:$A$3898))),--('Diags Raw Data'!$Q$6:$Q$3898&lt;&gt;"N/A"),'Diags Raw Data'!$R$6:$R$3898)</f>
        <v>1</v>
      </c>
      <c r="N95" s="161">
        <f t="array" ref="N95">SUMPRODUCT(--(ISNUMBER(SEARCH($A95,'Diags Raw Data'!$A$6:$A$3898))),--('Diags Raw Data'!$Q$6:$Q$3898&lt;&gt;"N/A"),'Diags Raw Data'!$T$6:$T$3898)+SUMPRODUCT(--(ISNUMBER(SEARCH($A95,'Diags Raw Data'!$A$6:$A$3898))),--('Diags Raw Data'!$Q$6:$Q$3898&lt;&gt;"N/A"),'Diags Raw Data'!$U$6:$U$3898)</f>
        <v>0</v>
      </c>
      <c r="O95" s="162">
        <f t="shared" si="30"/>
        <v>0</v>
      </c>
      <c r="P95" s="163">
        <f>SUMIF('Diags Raw Data'!$A$6:$A$3898,"*"&amp;$A95&amp;"*",'Diags Raw Data'!$Z$6:$Z$3898)</f>
        <v>0</v>
      </c>
      <c r="Q95" s="172">
        <f>SUM(SUMIF('Diags Raw Data'!$A$6:$A$3898,"*"&amp;$A95&amp;"*",'Diags Raw Data'!$AA$6:$AA$3898),SUMIF('Diags Raw Data'!$A$6:$A$3898,"*"&amp;$A95&amp;"*",'Diags Raw Data'!$AB$6:$AB$3898))</f>
        <v>0</v>
      </c>
      <c r="R95" s="173">
        <f t="shared" si="31"/>
        <v>0</v>
      </c>
      <c r="S95" s="173">
        <f t="shared" si="32"/>
        <v>0</v>
      </c>
      <c r="T95" s="174">
        <f t="shared" si="33"/>
        <v>0</v>
      </c>
      <c r="U95" s="503"/>
      <c r="V95" s="166" t="s">
        <v>1115</v>
      </c>
      <c r="X95" s="486"/>
    </row>
    <row r="96" spans="1:24" ht="30.75" thickBot="1">
      <c r="A96" s="134" t="s">
        <v>716</v>
      </c>
      <c r="B96" s="139" t="str">
        <f>VLOOKUP(A96,'Feature Raw Data'!$A$3:$B$3923,2,FALSE)</f>
        <v>Transmitter Precoding at 32.0 GT/s</v>
      </c>
      <c r="C96" s="140" t="str">
        <f>VLOOKUP(A96,'Feature Raw Data'!$A$3:$C$3923,3,FALSE)</f>
        <v>P2</v>
      </c>
      <c r="D96" s="141" t="str">
        <f t="array" ref="D96">_xlfn.TEXTJOIN("",TRUE,IF(ISNUMBER(SEARCH($A96,'Diags Raw Data'!$A$6:$A$3898)),CONCATENATE('Diags Raw Data'!$H$6:$H$3898,", "),""))</f>
        <v xml:space="preserve">AJ015.008, AJ015.009, </v>
      </c>
      <c r="E96" s="142" t="str">
        <f>VLOOKUP(A96,'Diags Raw Data'!$A$6:$D$3898,4,FALSE)</f>
        <v>PCIE</v>
      </c>
      <c r="F96" s="142" t="str">
        <f>VLOOKUP(A96,'Feature Raw Data'!$A$3:$E$3923,5,FALSE)</f>
        <v>Legacy</v>
      </c>
      <c r="G96" s="142" t="str">
        <f t="shared" si="28"/>
        <v>Yes</v>
      </c>
      <c r="H96" s="142" t="str">
        <f t="shared" si="29"/>
        <v>Yes</v>
      </c>
      <c r="I96" s="140">
        <f>SUMIF('Diags Raw Data'!$A$6:$A$3898,"*"&amp;$A96&amp;"*",'Diags Raw Data'!$K$6:$K$3898)</f>
        <v>2</v>
      </c>
      <c r="J96" s="157">
        <f>SUMIF('Diags Raw Data'!$A$6:$A$3898,"*"&amp;$A96&amp;"*",'Diags Raw Data'!$L$6:$L$3898)</f>
        <v>2</v>
      </c>
      <c r="K96" s="158">
        <f t="array" ref="K96">IF(D96="",0,SUMPRODUCT(--(ISNUMBER(SEARCH($A96,'Diags Raw Data'!$A$6:$A$3898))),'Diags Raw Data'!$L$6:$L$3898,'Diags Raw Data'!$N$6:$N$3898)/J96)</f>
        <v>1</v>
      </c>
      <c r="L96" s="159">
        <f t="array" ref="L96">IF(D96="",0,SUMPRODUCT(--(ISNUMBER(SEARCH($A96,'Diags Raw Data'!$A$6:$A$3898))),'Diags Raw Data'!$L$6:$L$3898,'Diags Raw Data'!$P$6:$P$3898)/J96)</f>
        <v>1</v>
      </c>
      <c r="M96" s="160">
        <f t="array" ref="M96">SUMPRODUCT(--(ISNUMBER(SEARCH($A96,'Diags Raw Data'!$A$6:$A$3898))),--('Diags Raw Data'!$Q$6:$Q$3898&lt;&gt;"N/A"),'Diags Raw Data'!$R$6:$R$3898)</f>
        <v>0</v>
      </c>
      <c r="N96" s="161">
        <f t="array" ref="N96">SUMPRODUCT(--(ISNUMBER(SEARCH($A96,'Diags Raw Data'!$A$6:$A$3898))),--('Diags Raw Data'!$Q$6:$Q$3898&lt;&gt;"N/A"),'Diags Raw Data'!$T$6:$T$3898)+SUMPRODUCT(--(ISNUMBER(SEARCH($A96,'Diags Raw Data'!$A$6:$A$3898))),--('Diags Raw Data'!$Q$6:$Q$3898&lt;&gt;"N/A"),'Diags Raw Data'!$U$6:$U$3898)</f>
        <v>0</v>
      </c>
      <c r="O96" s="162">
        <f t="shared" si="30"/>
        <v>0</v>
      </c>
      <c r="P96" s="163">
        <f>SUMIF('Diags Raw Data'!$A$6:$A$3898,"*"&amp;$A96&amp;"*",'Diags Raw Data'!$Z$6:$Z$3898)</f>
        <v>0</v>
      </c>
      <c r="Q96" s="172">
        <f>SUM(SUMIF('Diags Raw Data'!$A$6:$A$3898,"*"&amp;$A96&amp;"*",'Diags Raw Data'!$AA$6:$AA$3898),SUMIF('Diags Raw Data'!$A$6:$A$3898,"*"&amp;$A96&amp;"*",'Diags Raw Data'!$AB$6:$AB$3898))</f>
        <v>0</v>
      </c>
      <c r="R96" s="173">
        <f t="shared" si="31"/>
        <v>0</v>
      </c>
      <c r="S96" s="173">
        <f t="shared" si="32"/>
        <v>0</v>
      </c>
      <c r="T96" s="174">
        <f t="shared" si="33"/>
        <v>0</v>
      </c>
      <c r="U96" s="175"/>
      <c r="V96" s="166"/>
    </row>
    <row r="97" spans="1:24" ht="60">
      <c r="A97" s="134" t="s">
        <v>1035</v>
      </c>
      <c r="B97" s="139" t="str">
        <f>VLOOKUP(A97,'Feature Raw Data'!$A$3:$B$3923,2,FALSE)</f>
        <v>LC Receiver Re-Lock</v>
      </c>
      <c r="C97" s="140" t="str">
        <f>VLOOKUP(A97,'Feature Raw Data'!$A$3:$C$3923,3,FALSE)</f>
        <v>P2</v>
      </c>
      <c r="D97" s="141" t="str">
        <f t="array" ref="D97">_xlfn.TEXTJOIN("",TRUE,IF(ISNUMBER(SEARCH($A97,'Diags Raw Data'!$A$6:$A$3898)),CONCATENATE('Diags Raw Data'!$H$6:$H$3898,", "),""))</f>
        <v/>
      </c>
      <c r="E97" s="142" t="e">
        <f>VLOOKUP(A97,'Diags Raw Data'!$A$6:$D$3898,4,FALSE)</f>
        <v>#N/A</v>
      </c>
      <c r="F97" s="142" t="str">
        <f>VLOOKUP(A97,'Feature Raw Data'!$A$3:$E$3923,5,FALSE)</f>
        <v>Legacy</v>
      </c>
      <c r="G97" s="142" t="str">
        <f t="shared" si="28"/>
        <v>No</v>
      </c>
      <c r="H97" s="142" t="str">
        <f t="shared" si="29"/>
        <v>No</v>
      </c>
      <c r="I97" s="140">
        <f>SUMIF('Diags Raw Data'!$A$6:$A$3898,"*"&amp;$A97&amp;"*",'Diags Raw Data'!$K$6:$K$3898)</f>
        <v>0</v>
      </c>
      <c r="J97" s="157">
        <f>SUMIF('Diags Raw Data'!$A$6:$A$3898,"*"&amp;$A97&amp;"*",'Diags Raw Data'!$L$6:$L$3898)</f>
        <v>0</v>
      </c>
      <c r="K97" s="158">
        <f t="array" ref="K97">IF(D97="",0,SUMPRODUCT(--(ISNUMBER(SEARCH($A97,'Diags Raw Data'!$A$6:$A$3898))),'Diags Raw Data'!$L$6:$L$3898,'Diags Raw Data'!$N$6:$N$3898)/J97)</f>
        <v>0</v>
      </c>
      <c r="L97" s="159">
        <f t="array" ref="L97">IF(D97="",0,SUMPRODUCT(--(ISNUMBER(SEARCH($A97,'Diags Raw Data'!$A$6:$A$3898))),'Diags Raw Data'!$L$6:$L$3898,'Diags Raw Data'!$P$6:$P$3898)/J97)</f>
        <v>0</v>
      </c>
      <c r="M97" s="160">
        <f t="array" ref="M97">SUMPRODUCT(--(ISNUMBER(SEARCH($A97,'Diags Raw Data'!$A$6:$A$3898))),--('Diags Raw Data'!$Q$6:$Q$3898&lt;&gt;"N/A"),'Diags Raw Data'!$R$6:$R$3898)</f>
        <v>0</v>
      </c>
      <c r="N97" s="161">
        <f t="array" ref="N97">SUMPRODUCT(--(ISNUMBER(SEARCH($A97,'Diags Raw Data'!$A$6:$A$3898))),--('Diags Raw Data'!$Q$6:$Q$3898&lt;&gt;"N/A"),'Diags Raw Data'!$T$6:$T$3898)+SUMPRODUCT(--(ISNUMBER(SEARCH($A97,'Diags Raw Data'!$A$6:$A$3898))),--('Diags Raw Data'!$Q$6:$Q$3898&lt;&gt;"N/A"),'Diags Raw Data'!$U$6:$U$3898)</f>
        <v>0</v>
      </c>
      <c r="O97" s="162">
        <f t="shared" si="30"/>
        <v>0</v>
      </c>
      <c r="P97" s="163">
        <f>SUMIF('Diags Raw Data'!$A$6:$A$3898,"*"&amp;$A97&amp;"*",'Diags Raw Data'!$Z$6:$Z$3898)</f>
        <v>0</v>
      </c>
      <c r="Q97" s="172">
        <f>SUM(SUMIF('Diags Raw Data'!$A$6:$A$3898,"*"&amp;$A97&amp;"*",'Diags Raw Data'!$AA$6:$AA$3898),SUMIF('Diags Raw Data'!$A$6:$A$3898,"*"&amp;$A97&amp;"*",'Diags Raw Data'!$AB$6:$AB$3898))</f>
        <v>0</v>
      </c>
      <c r="R97" s="173">
        <f t="shared" si="31"/>
        <v>0</v>
      </c>
      <c r="S97" s="173">
        <f t="shared" si="32"/>
        <v>0</v>
      </c>
      <c r="T97" s="174">
        <f t="shared" si="33"/>
        <v>0</v>
      </c>
      <c r="U97" s="175"/>
      <c r="V97" s="166" t="s">
        <v>1115</v>
      </c>
    </row>
    <row r="98" spans="1:24" ht="60">
      <c r="A98" s="134" t="s">
        <v>1037</v>
      </c>
      <c r="B98" s="139" t="str">
        <f>VLOOKUP(A98,'Feature Raw Data'!$A$3:$B$3923,2,FALSE)</f>
        <v>Retimer Support</v>
      </c>
      <c r="C98" s="140" t="str">
        <f>VLOOKUP(A98,'Feature Raw Data'!$A$3:$C$3923,3,FALSE)</f>
        <v>P2</v>
      </c>
      <c r="D98" s="141" t="str">
        <f t="array" ref="D98">_xlfn.TEXTJOIN("",TRUE,IF(ISNUMBER(SEARCH($A98,'Diags Raw Data'!$A$6:$A$3898)),CONCATENATE('Diags Raw Data'!$H$6:$H$3898,", "),""))</f>
        <v/>
      </c>
      <c r="E98" s="142" t="e">
        <f>VLOOKUP(A98,'Diags Raw Data'!$A$6:$D$3898,4,FALSE)</f>
        <v>#N/A</v>
      </c>
      <c r="F98" s="142" t="str">
        <f>VLOOKUP(A98,'Feature Raw Data'!$A$3:$E$3923,5,FALSE)</f>
        <v>Legacy</v>
      </c>
      <c r="G98" s="142" t="str">
        <f t="shared" si="28"/>
        <v>No</v>
      </c>
      <c r="H98" s="142" t="str">
        <f t="shared" si="29"/>
        <v>No</v>
      </c>
      <c r="I98" s="140">
        <f>SUMIF('Diags Raw Data'!$A$6:$A$3898,"*"&amp;$A98&amp;"*",'Diags Raw Data'!$K$6:$K$3898)</f>
        <v>0</v>
      </c>
      <c r="J98" s="157">
        <f>SUMIF('Diags Raw Data'!$A$6:$A$3898,"*"&amp;$A98&amp;"*",'Diags Raw Data'!$L$6:$L$3898)</f>
        <v>0</v>
      </c>
      <c r="K98" s="158">
        <f t="array" ref="K98">IF(D98="",0,SUMPRODUCT(--(ISNUMBER(SEARCH($A98,'Diags Raw Data'!$A$6:$A$3898))),'Diags Raw Data'!$L$6:$L$3898,'Diags Raw Data'!$N$6:$N$3898)/J98)</f>
        <v>0</v>
      </c>
      <c r="L98" s="159">
        <f t="array" ref="L98">IF(D98="",0,SUMPRODUCT(--(ISNUMBER(SEARCH($A98,'Diags Raw Data'!$A$6:$A$3898))),'Diags Raw Data'!$L$6:$L$3898,'Diags Raw Data'!$P$6:$P$3898)/J98)</f>
        <v>0</v>
      </c>
      <c r="M98" s="160">
        <f t="array" ref="M98">SUMPRODUCT(--(ISNUMBER(SEARCH($A98,'Diags Raw Data'!$A$6:$A$3898))),--('Diags Raw Data'!$Q$6:$Q$3898&lt;&gt;"N/A"),'Diags Raw Data'!$R$6:$R$3898)</f>
        <v>0</v>
      </c>
      <c r="N98" s="161">
        <f t="array" ref="N98">SUMPRODUCT(--(ISNUMBER(SEARCH($A98,'Diags Raw Data'!$A$6:$A$3898))),--('Diags Raw Data'!$Q$6:$Q$3898&lt;&gt;"N/A"),'Diags Raw Data'!$T$6:$T$3898)+SUMPRODUCT(--(ISNUMBER(SEARCH($A98,'Diags Raw Data'!$A$6:$A$3898))),--('Diags Raw Data'!$Q$6:$Q$3898&lt;&gt;"N/A"),'Diags Raw Data'!$U$6:$U$3898)</f>
        <v>0</v>
      </c>
      <c r="O98" s="162">
        <f t="shared" si="30"/>
        <v>0</v>
      </c>
      <c r="P98" s="163">
        <f>SUMIF('Diags Raw Data'!$A$6:$A$3898,"*"&amp;$A98&amp;"*",'Diags Raw Data'!$Z$6:$Z$3898)</f>
        <v>0</v>
      </c>
      <c r="Q98" s="172">
        <f>SUM(SUMIF('Diags Raw Data'!$A$6:$A$3898,"*"&amp;$A98&amp;"*",'Diags Raw Data'!$AA$6:$AA$3898),SUMIF('Diags Raw Data'!$A$6:$A$3898,"*"&amp;$A98&amp;"*",'Diags Raw Data'!$AB$6:$AB$3898))</f>
        <v>0</v>
      </c>
      <c r="R98" s="173">
        <f t="shared" si="31"/>
        <v>0</v>
      </c>
      <c r="S98" s="173">
        <f t="shared" si="32"/>
        <v>0</v>
      </c>
      <c r="T98" s="174">
        <f t="shared" si="33"/>
        <v>0</v>
      </c>
      <c r="U98" s="175"/>
      <c r="V98" s="166" t="s">
        <v>1115</v>
      </c>
    </row>
    <row r="99" spans="1:24" ht="105.75" thickBot="1">
      <c r="A99" s="134" t="s">
        <v>745</v>
      </c>
      <c r="B99" s="139" t="str">
        <f>VLOOKUP(A99,'Feature Raw Data'!$A$3:$B$3923,2,FALSE)</f>
        <v>Link Width Reconfiguration</v>
      </c>
      <c r="C99" s="140" t="str">
        <f>VLOOKUP(A99,'Feature Raw Data'!$A$3:$C$3923,3,FALSE)</f>
        <v>P1</v>
      </c>
      <c r="D99" s="141" t="str">
        <f t="array" ref="D99">_xlfn.TEXTJOIN("",TRUE,IF(ISNUMBER(SEARCH($A99,'Diags Raw Data'!$A$6:$A$3898)),CONCATENATE('Diags Raw Data'!$H$6:$H$3898,", "),""))</f>
        <v xml:space="preserve">AJ018.002, AJ018.003, AJ018.004, AJ018.006, AJ018.008, AJ018.009, AJ018.011, </v>
      </c>
      <c r="E99" s="142" t="str">
        <f>VLOOKUP(A99,'Diags Raw Data'!$A$6:$D$3898,4,FALSE)</f>
        <v>PCIE</v>
      </c>
      <c r="F99" s="142" t="str">
        <f>VLOOKUP(A99,'Feature Raw Data'!$A$3:$E$3923,5,FALSE)</f>
        <v>Legacy</v>
      </c>
      <c r="G99" s="142" t="str">
        <f t="shared" si="28"/>
        <v>Yes</v>
      </c>
      <c r="H99" s="142" t="str">
        <f t="shared" si="29"/>
        <v>Yes</v>
      </c>
      <c r="I99" s="140">
        <f>SUMIF('Diags Raw Data'!$A$6:$A$3898,"*"&amp;$A99&amp;"*",'Diags Raw Data'!$K$6:$K$3898)</f>
        <v>7</v>
      </c>
      <c r="J99" s="157">
        <f>SUMIF('Diags Raw Data'!$A$6:$A$3898,"*"&amp;$A99&amp;"*",'Diags Raw Data'!$L$6:$L$3898)</f>
        <v>7</v>
      </c>
      <c r="K99" s="158">
        <f t="array" ref="K99">IF(D99="",0,SUMPRODUCT(--(ISNUMBER(SEARCH($A99,'Diags Raw Data'!$A$6:$A$3898))),'Diags Raw Data'!$L$6:$L$3898,'Diags Raw Data'!$N$6:$N$3898)/J99)</f>
        <v>1</v>
      </c>
      <c r="L99" s="159">
        <f t="array" ref="L99">IF(D99="",0,SUMPRODUCT(--(ISNUMBER(SEARCH($A99,'Diags Raw Data'!$A$6:$A$3898))),'Diags Raw Data'!$L$6:$L$3898,'Diags Raw Data'!$P$6:$P$3898)/J99)</f>
        <v>1</v>
      </c>
      <c r="M99" s="160">
        <f t="array" ref="M99">SUMPRODUCT(--(ISNUMBER(SEARCH($A99,'Diags Raw Data'!$A$6:$A$3898))),--('Diags Raw Data'!$Q$6:$Q$3898&lt;&gt;"N/A"),'Diags Raw Data'!$R$6:$R$3898)</f>
        <v>0</v>
      </c>
      <c r="N99" s="161">
        <f t="array" ref="N99">SUMPRODUCT(--(ISNUMBER(SEARCH($A99,'Diags Raw Data'!$A$6:$A$3898))),--('Diags Raw Data'!$Q$6:$Q$3898&lt;&gt;"N/A"),'Diags Raw Data'!$T$6:$T$3898)+SUMPRODUCT(--(ISNUMBER(SEARCH($A99,'Diags Raw Data'!$A$6:$A$3898))),--('Diags Raw Data'!$Q$6:$Q$3898&lt;&gt;"N/A"),'Diags Raw Data'!$U$6:$U$3898)</f>
        <v>0</v>
      </c>
      <c r="O99" s="162">
        <f t="shared" si="30"/>
        <v>0</v>
      </c>
      <c r="P99" s="163">
        <f>SUMIF('Diags Raw Data'!$A$6:$A$3898,"*"&amp;$A99&amp;"*",'Diags Raw Data'!$Z$6:$Z$3898)</f>
        <v>0</v>
      </c>
      <c r="Q99" s="172">
        <f>SUM(SUMIF('Diags Raw Data'!$A$6:$A$3898,"*"&amp;$A99&amp;"*",'Diags Raw Data'!$AA$6:$AA$3898),SUMIF('Diags Raw Data'!$A$6:$A$3898,"*"&amp;$A99&amp;"*",'Diags Raw Data'!$AB$6:$AB$3898))</f>
        <v>0</v>
      </c>
      <c r="R99" s="173">
        <f t="shared" si="31"/>
        <v>0</v>
      </c>
      <c r="S99" s="173">
        <f t="shared" si="32"/>
        <v>0</v>
      </c>
      <c r="T99" s="174">
        <f t="shared" si="33"/>
        <v>0</v>
      </c>
      <c r="U99" s="503"/>
      <c r="V99" s="178"/>
      <c r="X99" s="486"/>
    </row>
    <row r="100" spans="1:24" ht="165.75" thickBot="1">
      <c r="A100" s="134" t="s">
        <v>701</v>
      </c>
      <c r="B100" s="139" t="str">
        <f>VLOOKUP(A100,'Feature Raw Data'!$A$3:$B$3923,2,FALSE)</f>
        <v>Link Speed Renegotiation</v>
      </c>
      <c r="C100" s="140" t="str">
        <f>VLOOKUP(A100,'Feature Raw Data'!$A$3:$C$3923,3,FALSE)</f>
        <v>P1</v>
      </c>
      <c r="D100" s="141" t="str">
        <f t="array" ref="D100">_xlfn.TEXTJOIN("",TRUE,IF(ISNUMBER(SEARCH($A100,'Diags Raw Data'!$A$6:$A$3898)),CONCATENATE('Diags Raw Data'!$H$6:$H$3898,", "),""))</f>
        <v xml:space="preserve">AJ015.002, AJ015.003, AJ015.005, AJ015.006, AJ015.007, AJ016.007, AJ016.008, AJ016.009, AJ016.001, AJ016.002, AJ016.003, </v>
      </c>
      <c r="E100" s="142" t="str">
        <f>VLOOKUP(A100,'Diags Raw Data'!$A$6:$D$3898,4,FALSE)</f>
        <v>PCIE</v>
      </c>
      <c r="F100" s="142" t="str">
        <f>VLOOKUP(A100,'Feature Raw Data'!$A$3:$E$3923,5,FALSE)</f>
        <v>Legacy</v>
      </c>
      <c r="G100" s="142" t="str">
        <f t="shared" ref="G100:G110" si="34">IF(D100="","No","Yes")</f>
        <v>Yes</v>
      </c>
      <c r="H100" s="142" t="str">
        <f t="shared" ref="H100:H110" si="35">IF(D100="","No","Yes")</f>
        <v>Yes</v>
      </c>
      <c r="I100" s="140">
        <f>SUMIF('Diags Raw Data'!$A$6:$A$3898,"*"&amp;$A100&amp;"*",'Diags Raw Data'!$K$6:$K$3898)</f>
        <v>11</v>
      </c>
      <c r="J100" s="157">
        <f>SUMIF('Diags Raw Data'!$A$6:$A$3898,"*"&amp;$A100&amp;"*",'Diags Raw Data'!$L$6:$L$3898)</f>
        <v>11</v>
      </c>
      <c r="K100" s="158">
        <f t="array" ref="K100">IF(D100="",0,SUMPRODUCT(--(ISNUMBER(SEARCH($A100,'Diags Raw Data'!$A$6:$A$3898))),'Diags Raw Data'!$L$6:$L$3898,'Diags Raw Data'!$N$6:$N$3898)/J100)</f>
        <v>1</v>
      </c>
      <c r="L100" s="159">
        <f t="array" ref="L100">IF(D100="",0,SUMPRODUCT(--(ISNUMBER(SEARCH($A100,'Diags Raw Data'!$A$6:$A$3898))),'Diags Raw Data'!$L$6:$L$3898,'Diags Raw Data'!$P$6:$P$3898)/J100)</f>
        <v>1</v>
      </c>
      <c r="M100" s="160">
        <f t="array" ref="M100">SUMPRODUCT(--(ISNUMBER(SEARCH($A100,'Diags Raw Data'!$A$6:$A$3898))),--('Diags Raw Data'!$Q$6:$Q$3898&lt;&gt;"N/A"),'Diags Raw Data'!$R$6:$R$3898)</f>
        <v>1</v>
      </c>
      <c r="N100" s="161">
        <f t="array" ref="N100">SUMPRODUCT(--(ISNUMBER(SEARCH($A100,'Diags Raw Data'!$A$6:$A$3898))),--('Diags Raw Data'!$Q$6:$Q$3898&lt;&gt;"N/A"),'Diags Raw Data'!$T$6:$T$3898)+SUMPRODUCT(--(ISNUMBER(SEARCH($A100,'Diags Raw Data'!$A$6:$A$3898))),--('Diags Raw Data'!$Q$6:$Q$3898&lt;&gt;"N/A"),'Diags Raw Data'!$U$6:$U$3898)</f>
        <v>0</v>
      </c>
      <c r="O100" s="162">
        <f t="shared" ref="O100:O110" si="36">IF((M100=0),0,N100/M100)</f>
        <v>0</v>
      </c>
      <c r="P100" s="163">
        <f>SUMIF('Diags Raw Data'!$A$6:$A$3898,"*"&amp;$A100&amp;"*",'Diags Raw Data'!$Z$6:$Z$3898)</f>
        <v>0</v>
      </c>
      <c r="Q100" s="172">
        <f>SUM(SUMIF('Diags Raw Data'!$A$6:$A$3898,"*"&amp;$A100&amp;"*",'Diags Raw Data'!$AA$6:$AA$3898),SUMIF('Diags Raw Data'!$A$6:$A$3898,"*"&amp;$A100&amp;"*",'Diags Raw Data'!$AB$6:$AB$3898))</f>
        <v>0</v>
      </c>
      <c r="R100" s="173">
        <f t="shared" ref="R100:R110" si="37">IF((J100=0),0,P100/J100)</f>
        <v>0</v>
      </c>
      <c r="S100" s="173">
        <f t="shared" ref="S100:S110" si="38">IF((P100=0),0,Q100/P100)</f>
        <v>0</v>
      </c>
      <c r="T100" s="174">
        <f t="shared" ref="T100:T110" si="39">R100*S100</f>
        <v>0</v>
      </c>
      <c r="U100" s="503"/>
      <c r="V100" s="178"/>
      <c r="X100" s="486"/>
    </row>
    <row r="101" spans="1:24" ht="45">
      <c r="A101" s="134" t="s">
        <v>1041</v>
      </c>
      <c r="B101" s="139" t="str">
        <f>VLOOKUP(A101,'Feature Raw Data'!$A$3:$B$3923,2,FALSE)</f>
        <v>Broken Lane Feature</v>
      </c>
      <c r="C101" s="140" t="str">
        <f>VLOOKUP(A101,'Feature Raw Data'!$A$3:$C$3923,3,FALSE)</f>
        <v>P2</v>
      </c>
      <c r="D101" s="141" t="str">
        <f t="array" ref="D101">_xlfn.TEXTJOIN("",TRUE,IF(ISNUMBER(SEARCH($A101,'Diags Raw Data'!$A$6:$A$3898)),CONCATENATE('Diags Raw Data'!$H$6:$H$3898,", "),""))</f>
        <v/>
      </c>
      <c r="E101" s="142" t="e">
        <f>VLOOKUP(A101,'Diags Raw Data'!$A$6:$D$3898,4,FALSE)</f>
        <v>#N/A</v>
      </c>
      <c r="F101" s="142" t="str">
        <f>VLOOKUP(A101,'Feature Raw Data'!$A$3:$E$3923,5,FALSE)</f>
        <v>Legacy</v>
      </c>
      <c r="G101" s="142" t="s">
        <v>31</v>
      </c>
      <c r="H101" s="142" t="str">
        <f t="shared" si="35"/>
        <v>No</v>
      </c>
      <c r="I101" s="140">
        <f>SUMIF('Diags Raw Data'!$A$6:$A$3898,"*"&amp;$A101&amp;"*",'Diags Raw Data'!$K$6:$K$3898)</f>
        <v>0</v>
      </c>
      <c r="J101" s="157">
        <f>SUMIF('Diags Raw Data'!$A$6:$A$3898,"*"&amp;$A101&amp;"*",'Diags Raw Data'!$L$6:$L$3898)</f>
        <v>0</v>
      </c>
      <c r="K101" s="158">
        <f t="array" ref="K101">IF(D101="",0,SUMPRODUCT(--(ISNUMBER(SEARCH($A101,'Diags Raw Data'!$A$6:$A$3898))),'Diags Raw Data'!$L$6:$L$3898,'Diags Raw Data'!$N$6:$N$3898)/J101)</f>
        <v>0</v>
      </c>
      <c r="L101" s="159">
        <f t="array" ref="L101">IF(D101="",0,SUMPRODUCT(--(ISNUMBER(SEARCH($A101,'Diags Raw Data'!$A$6:$A$3898))),'Diags Raw Data'!$L$6:$L$3898,'Diags Raw Data'!$P$6:$P$3898)/J101)</f>
        <v>0</v>
      </c>
      <c r="M101" s="160">
        <f t="array" ref="M101">SUMPRODUCT(--(ISNUMBER(SEARCH($A101,'Diags Raw Data'!$A$6:$A$3898))),--('Diags Raw Data'!$Q$6:$Q$3898&lt;&gt;"N/A"),'Diags Raw Data'!$R$6:$R$3898)</f>
        <v>0</v>
      </c>
      <c r="N101" s="161">
        <f t="array" ref="N101">SUMPRODUCT(--(ISNUMBER(SEARCH($A101,'Diags Raw Data'!$A$6:$A$3898))),--('Diags Raw Data'!$Q$6:$Q$3898&lt;&gt;"N/A"),'Diags Raw Data'!$T$6:$T$3898)+SUMPRODUCT(--(ISNUMBER(SEARCH($A101,'Diags Raw Data'!$A$6:$A$3898))),--('Diags Raw Data'!$Q$6:$Q$3898&lt;&gt;"N/A"),'Diags Raw Data'!$U$6:$U$3898)</f>
        <v>0</v>
      </c>
      <c r="O101" s="162">
        <f t="shared" si="36"/>
        <v>0</v>
      </c>
      <c r="P101" s="163">
        <f>SUMIF('Diags Raw Data'!$A$6:$A$3898,"*"&amp;$A101&amp;"*",'Diags Raw Data'!$Z$6:$Z$3898)</f>
        <v>0</v>
      </c>
      <c r="Q101" s="172">
        <f>SUM(SUMIF('Diags Raw Data'!$A$6:$A$3898,"*"&amp;$A101&amp;"*",'Diags Raw Data'!$AA$6:$AA$3898),SUMIF('Diags Raw Data'!$A$6:$A$3898,"*"&amp;$A101&amp;"*",'Diags Raw Data'!$AB$6:$AB$3898))</f>
        <v>0</v>
      </c>
      <c r="R101" s="173">
        <f t="shared" si="37"/>
        <v>0</v>
      </c>
      <c r="S101" s="173">
        <f t="shared" si="38"/>
        <v>0</v>
      </c>
      <c r="T101" s="174">
        <f t="shared" si="39"/>
        <v>0</v>
      </c>
      <c r="U101" s="503"/>
      <c r="V101" s="178"/>
      <c r="W101" s="121" t="s">
        <v>1119</v>
      </c>
      <c r="X101" s="486"/>
    </row>
    <row r="102" spans="1:24" ht="45">
      <c r="A102" s="134" t="s">
        <v>760</v>
      </c>
      <c r="B102" s="139" t="str">
        <f>VLOOKUP(A102,'Feature Raw Data'!$A$3:$B$3923,2,FALSE)</f>
        <v>Link Bandwidth Management Status and Link Autonomous Bandwidth Status</v>
      </c>
      <c r="C102" s="140" t="str">
        <f>VLOOKUP(A102,'Feature Raw Data'!$A$3:$C$3923,3,FALSE)</f>
        <v>P2</v>
      </c>
      <c r="D102" s="141" t="str">
        <f t="array" ref="D102">_xlfn.TEXTJOIN("",TRUE,IF(ISNUMBER(SEARCH($A102,'Diags Raw Data'!$A$6:$A$3898)),CONCATENATE('Diags Raw Data'!$H$6:$H$3898,", "),""))</f>
        <v xml:space="preserve">AJ018.013, AJ018.015, AJ018.018, </v>
      </c>
      <c r="E102" s="142" t="str">
        <f>VLOOKUP(A102,'Diags Raw Data'!$A$6:$D$3898,4,FALSE)</f>
        <v>PCIE</v>
      </c>
      <c r="F102" s="142" t="str">
        <f>VLOOKUP(A102,'Feature Raw Data'!$A$3:$E$3923,5,FALSE)</f>
        <v>Legacy</v>
      </c>
      <c r="G102" s="142" t="s">
        <v>31</v>
      </c>
      <c r="H102" s="142" t="s">
        <v>31</v>
      </c>
      <c r="I102" s="140">
        <f>SUMIF('Diags Raw Data'!$A$6:$A$3898,"*"&amp;$A102&amp;"*",'Diags Raw Data'!$K$6:$K$3898)</f>
        <v>3</v>
      </c>
      <c r="J102" s="157">
        <f>SUMIF('Diags Raw Data'!$A$6:$A$3898,"*"&amp;$A102&amp;"*",'Diags Raw Data'!$L$6:$L$3898)</f>
        <v>3</v>
      </c>
      <c r="K102" s="158">
        <f t="array" ref="K102">IF(D102="",0,SUMPRODUCT(--(ISNUMBER(SEARCH($A102,'Diags Raw Data'!$A$6:$A$3898))),'Diags Raw Data'!$L$6:$L$3898,'Diags Raw Data'!$N$6:$N$3898)/J102)</f>
        <v>1</v>
      </c>
      <c r="L102" s="159">
        <f t="array" ref="L102">IF(D102="",0,SUMPRODUCT(--(ISNUMBER(SEARCH($A102,'Diags Raw Data'!$A$6:$A$3898))),'Diags Raw Data'!$L$6:$L$3898,'Diags Raw Data'!$P$6:$P$3898)/J102)</f>
        <v>1</v>
      </c>
      <c r="M102" s="160">
        <f t="array" ref="M102">SUMPRODUCT(--(ISNUMBER(SEARCH($A102,'Diags Raw Data'!$A$6:$A$3898))),--('Diags Raw Data'!$Q$6:$Q$3898&lt;&gt;"N/A"),'Diags Raw Data'!$R$6:$R$3898)</f>
        <v>0</v>
      </c>
      <c r="N102" s="161">
        <f t="array" ref="N102">SUMPRODUCT(--(ISNUMBER(SEARCH($A102,'Diags Raw Data'!$A$6:$A$3898))),--('Diags Raw Data'!$Q$6:$Q$3898&lt;&gt;"N/A"),'Diags Raw Data'!$T$6:$T$3898)+SUMPRODUCT(--(ISNUMBER(SEARCH($A102,'Diags Raw Data'!$A$6:$A$3898))),--('Diags Raw Data'!$Q$6:$Q$3898&lt;&gt;"N/A"),'Diags Raw Data'!$U$6:$U$3898)</f>
        <v>0</v>
      </c>
      <c r="O102" s="162">
        <f t="shared" si="36"/>
        <v>0</v>
      </c>
      <c r="P102" s="163">
        <f>SUMIF('Diags Raw Data'!$A$6:$A$3898,"*"&amp;$A102&amp;"*",'Diags Raw Data'!$Z$6:$Z$3898)</f>
        <v>0</v>
      </c>
      <c r="Q102" s="172">
        <f>SUM(SUMIF('Diags Raw Data'!$A$6:$A$3898,"*"&amp;$A102&amp;"*",'Diags Raw Data'!$AA$6:$AA$3898),SUMIF('Diags Raw Data'!$A$6:$A$3898,"*"&amp;$A102&amp;"*",'Diags Raw Data'!$AB$6:$AB$3898))</f>
        <v>0</v>
      </c>
      <c r="R102" s="173">
        <f t="shared" si="37"/>
        <v>0</v>
      </c>
      <c r="S102" s="173">
        <f t="shared" si="38"/>
        <v>0</v>
      </c>
      <c r="T102" s="174">
        <f t="shared" si="39"/>
        <v>0</v>
      </c>
      <c r="U102" s="503"/>
      <c r="V102" s="178"/>
      <c r="X102" s="486"/>
    </row>
    <row r="103" spans="1:24" ht="75.75" thickBot="1">
      <c r="A103" s="134" t="s">
        <v>785</v>
      </c>
      <c r="B103" s="139" t="str">
        <f>VLOOKUP(A103,'Feature Raw Data'!$A$3:$B$3923,2,FALSE)</f>
        <v>SPC tests</v>
      </c>
      <c r="C103" s="140" t="str">
        <f>VLOOKUP(A103,'Feature Raw Data'!$A$3:$C$3923,3,FALSE)</f>
        <v>P2</v>
      </c>
      <c r="D103" s="141" t="str">
        <f t="array" ref="D103">_xlfn.TEXTJOIN("",TRUE,IF(ISNUMBER(SEARCH($A103,'Diags Raw Data'!$A$6:$A$3898)),CONCATENATE('Diags Raw Data'!$H$6:$H$3898,", "),""))</f>
        <v xml:space="preserve">AJ020.005, AJ020.008, AJ020.015, AJ020.017, AJ020.019, </v>
      </c>
      <c r="E103" s="142" t="str">
        <f>VLOOKUP(A103,'Diags Raw Data'!$A$6:$D$3898,4,FALSE)</f>
        <v>PCIE</v>
      </c>
      <c r="F103" s="142" t="str">
        <f>VLOOKUP(A103,'Feature Raw Data'!$A$3:$E$3923,5,FALSE)</f>
        <v>Legacy</v>
      </c>
      <c r="G103" s="142" t="str">
        <f t="shared" si="34"/>
        <v>Yes</v>
      </c>
      <c r="H103" s="142" t="str">
        <f t="shared" si="35"/>
        <v>Yes</v>
      </c>
      <c r="I103" s="140">
        <f>SUMIF('Diags Raw Data'!$A$6:$A$3898,"*"&amp;$A103&amp;"*",'Diags Raw Data'!$K$6:$K$3898)</f>
        <v>5</v>
      </c>
      <c r="J103" s="157">
        <f>SUMIF('Diags Raw Data'!$A$6:$A$3898,"*"&amp;$A103&amp;"*",'Diags Raw Data'!$L$6:$L$3898)</f>
        <v>5</v>
      </c>
      <c r="K103" s="158">
        <f t="array" ref="K103">IF(D103="",0,SUMPRODUCT(--(ISNUMBER(SEARCH($A103,'Diags Raw Data'!$A$6:$A$3898))),'Diags Raw Data'!$L$6:$L$3898,'Diags Raw Data'!$N$6:$N$3898)/J103)</f>
        <v>1</v>
      </c>
      <c r="L103" s="159">
        <f t="array" ref="L103">IF(D103="",0,SUMPRODUCT(--(ISNUMBER(SEARCH($A103,'Diags Raw Data'!$A$6:$A$3898))),'Diags Raw Data'!$L$6:$L$3898,'Diags Raw Data'!$P$6:$P$3898)/J103)</f>
        <v>1</v>
      </c>
      <c r="M103" s="160">
        <f t="array" ref="M103">SUMPRODUCT(--(ISNUMBER(SEARCH($A103,'Diags Raw Data'!$A$6:$A$3898))),--('Diags Raw Data'!$Q$6:$Q$3898&lt;&gt;"N/A"),'Diags Raw Data'!$R$6:$R$3898)</f>
        <v>0</v>
      </c>
      <c r="N103" s="161">
        <f t="array" ref="N103">SUMPRODUCT(--(ISNUMBER(SEARCH($A103,'Diags Raw Data'!$A$6:$A$3898))),--('Diags Raw Data'!$Q$6:$Q$3898&lt;&gt;"N/A"),'Diags Raw Data'!$T$6:$T$3898)+SUMPRODUCT(--(ISNUMBER(SEARCH($A103,'Diags Raw Data'!$A$6:$A$3898))),--('Diags Raw Data'!$Q$6:$Q$3898&lt;&gt;"N/A"),'Diags Raw Data'!$U$6:$U$3898)</f>
        <v>0</v>
      </c>
      <c r="O103" s="162">
        <f t="shared" si="36"/>
        <v>0</v>
      </c>
      <c r="P103" s="163">
        <f>SUMIF('Diags Raw Data'!$A$6:$A$3898,"*"&amp;$A103&amp;"*",'Diags Raw Data'!$Z$6:$Z$3898)</f>
        <v>0</v>
      </c>
      <c r="Q103" s="172">
        <f>SUM(SUMIF('Diags Raw Data'!$A$6:$A$3898,"*"&amp;$A103&amp;"*",'Diags Raw Data'!$AA$6:$AA$3898),SUMIF('Diags Raw Data'!$A$6:$A$3898,"*"&amp;$A103&amp;"*",'Diags Raw Data'!$AB$6:$AB$3898))</f>
        <v>0</v>
      </c>
      <c r="R103" s="173">
        <f t="shared" si="37"/>
        <v>0</v>
      </c>
      <c r="S103" s="173">
        <f t="shared" si="38"/>
        <v>0</v>
      </c>
      <c r="T103" s="174">
        <f t="shared" si="39"/>
        <v>0</v>
      </c>
      <c r="U103" s="175"/>
      <c r="V103" s="166"/>
    </row>
    <row r="104" spans="1:24" ht="15.75" thickBot="1">
      <c r="A104" s="134" t="s">
        <v>690</v>
      </c>
      <c r="B104" s="139" t="str">
        <f>VLOOKUP(A104,'Feature Raw Data'!$A$3:$B$3923,2,FALSE)</f>
        <v>ASPM L1</v>
      </c>
      <c r="C104" s="140" t="str">
        <f>VLOOKUP(A104,'Feature Raw Data'!$A$3:$C$3923,3,FALSE)</f>
        <v>P2</v>
      </c>
      <c r="D104" s="141" t="str">
        <f t="array" ref="D104">_xlfn.TEXTJOIN("",TRUE,IF(ISNUMBER(SEARCH($A104,'Diags Raw Data'!$A$6:$A$3898)),CONCATENATE('Diags Raw Data'!$H$6:$H$3898,", "),""))</f>
        <v xml:space="preserve">AJ011.005, </v>
      </c>
      <c r="E104" s="142" t="str">
        <f>VLOOKUP(A104,'Diags Raw Data'!$A$6:$D$3898,4,FALSE)</f>
        <v>PCIE</v>
      </c>
      <c r="F104" s="142" t="str">
        <f>VLOOKUP(A104,'Feature Raw Data'!$A$3:$E$3923,5,FALSE)</f>
        <v>Legacy</v>
      </c>
      <c r="G104" s="142" t="str">
        <f t="shared" si="34"/>
        <v>Yes</v>
      </c>
      <c r="H104" s="142" t="str">
        <f t="shared" si="35"/>
        <v>Yes</v>
      </c>
      <c r="I104" s="140">
        <f>SUMIF('Diags Raw Data'!$A$6:$A$3898,"*"&amp;$A104&amp;"*",'Diags Raw Data'!$K$6:$K$3898)</f>
        <v>1</v>
      </c>
      <c r="J104" s="157">
        <f>SUMIF('Diags Raw Data'!$A$6:$A$3898,"*"&amp;$A104&amp;"*",'Diags Raw Data'!$L$6:$L$3898)</f>
        <v>1</v>
      </c>
      <c r="K104" s="158">
        <f t="array" ref="K104">IF(D104="",0,SUMPRODUCT(--(ISNUMBER(SEARCH($A104,'Diags Raw Data'!$A$6:$A$3898))),'Diags Raw Data'!$L$6:$L$3898,'Diags Raw Data'!$N$6:$N$3898)/J104)</f>
        <v>1</v>
      </c>
      <c r="L104" s="159">
        <f t="array" ref="L104">IF(D104="",0,SUMPRODUCT(--(ISNUMBER(SEARCH($A104,'Diags Raw Data'!$A$6:$A$3898))),'Diags Raw Data'!$L$6:$L$3898,'Diags Raw Data'!$P$6:$P$3898)/J104)</f>
        <v>1</v>
      </c>
      <c r="M104" s="160">
        <f t="array" ref="M104">SUMPRODUCT(--(ISNUMBER(SEARCH($A104,'Diags Raw Data'!$A$6:$A$3898))),--('Diags Raw Data'!$Q$6:$Q$3898&lt;&gt;"N/A"),'Diags Raw Data'!$R$6:$R$3898)</f>
        <v>1</v>
      </c>
      <c r="N104" s="161">
        <f t="array" ref="N104">SUMPRODUCT(--(ISNUMBER(SEARCH($A104,'Diags Raw Data'!$A$6:$A$3898))),--('Diags Raw Data'!$Q$6:$Q$3898&lt;&gt;"N/A"),'Diags Raw Data'!$T$6:$T$3898)+SUMPRODUCT(--(ISNUMBER(SEARCH($A104,'Diags Raw Data'!$A$6:$A$3898))),--('Diags Raw Data'!$Q$6:$Q$3898&lt;&gt;"N/A"),'Diags Raw Data'!$U$6:$U$3898)</f>
        <v>0</v>
      </c>
      <c r="O104" s="162">
        <f t="shared" si="36"/>
        <v>0</v>
      </c>
      <c r="P104" s="163">
        <f>SUMIF('Diags Raw Data'!$A$6:$A$3898,"*"&amp;$A104&amp;"*",'Diags Raw Data'!$Z$6:$Z$3898)</f>
        <v>0</v>
      </c>
      <c r="Q104" s="172">
        <f>SUM(SUMIF('Diags Raw Data'!$A$6:$A$3898,"*"&amp;$A104&amp;"*",'Diags Raw Data'!$AA$6:$AA$3898),SUMIF('Diags Raw Data'!$A$6:$A$3898,"*"&amp;$A104&amp;"*",'Diags Raw Data'!$AB$6:$AB$3898))</f>
        <v>0</v>
      </c>
      <c r="R104" s="173">
        <f t="shared" si="37"/>
        <v>0</v>
      </c>
      <c r="S104" s="173">
        <f t="shared" si="38"/>
        <v>0</v>
      </c>
      <c r="T104" s="174">
        <f t="shared" si="39"/>
        <v>0</v>
      </c>
      <c r="U104" s="175"/>
      <c r="V104" s="166"/>
    </row>
    <row r="105" spans="1:24" ht="15.75" thickBot="1">
      <c r="A105" s="134" t="s">
        <v>364</v>
      </c>
      <c r="B105" s="139" t="str">
        <f>VLOOKUP(A105,'Feature Raw Data'!$A$3:$B$3923,2,FALSE)</f>
        <v>L1 SS</v>
      </c>
      <c r="C105" s="140" t="str">
        <f>VLOOKUP(A105,'Feature Raw Data'!$A$3:$C$3923,3,FALSE)</f>
        <v>P2</v>
      </c>
      <c r="D105" s="141" t="str">
        <f t="array" ref="D105">_xlfn.TEXTJOIN("",TRUE,IF(ISNUMBER(SEARCH($A105,'Diags Raw Data'!$A$6:$A$3898)),CONCATENATE('Diags Raw Data'!$H$6:$H$3898,", "),""))</f>
        <v xml:space="preserve">AG005.018, </v>
      </c>
      <c r="E105" s="142" t="str">
        <f>VLOOKUP(A105,'Diags Raw Data'!$A$6:$D$3898,4,FALSE)</f>
        <v>nBIF</v>
      </c>
      <c r="F105" s="142" t="str">
        <f>VLOOKUP(A105,'Feature Raw Data'!$A$3:$E$3923,5,FALSE)</f>
        <v>Legacy</v>
      </c>
      <c r="G105" s="142" t="str">
        <f t="shared" si="34"/>
        <v>Yes</v>
      </c>
      <c r="H105" s="142" t="str">
        <f t="shared" si="35"/>
        <v>Yes</v>
      </c>
      <c r="I105" s="140">
        <f>SUMIF('Diags Raw Data'!$A$6:$A$3898,"*"&amp;$A105&amp;"*",'Diags Raw Data'!$K$6:$K$3898)</f>
        <v>1</v>
      </c>
      <c r="J105" s="157">
        <f>SUMIF('Diags Raw Data'!$A$6:$A$3898,"*"&amp;$A105&amp;"*",'Diags Raw Data'!$L$6:$L$3898)</f>
        <v>1</v>
      </c>
      <c r="K105" s="158">
        <f t="array" ref="K105">IF(D105="",0,SUMPRODUCT(--(ISNUMBER(SEARCH($A105,'Diags Raw Data'!$A$6:$A$3898))),'Diags Raw Data'!$L$6:$L$3898,'Diags Raw Data'!$N$6:$N$3898)/J105)</f>
        <v>1</v>
      </c>
      <c r="L105" s="159">
        <f t="array" ref="L105">IF(D105="",0,SUMPRODUCT(--(ISNUMBER(SEARCH($A105,'Diags Raw Data'!$A$6:$A$3898))),'Diags Raw Data'!$L$6:$L$3898,'Diags Raw Data'!$P$6:$P$3898)/J105)</f>
        <v>1</v>
      </c>
      <c r="M105" s="160">
        <f t="array" ref="M105">SUMPRODUCT(--(ISNUMBER(SEARCH($A105,'Diags Raw Data'!$A$6:$A$3898))),--('Diags Raw Data'!$Q$6:$Q$3898&lt;&gt;"N/A"),'Diags Raw Data'!$R$6:$R$3898)</f>
        <v>1</v>
      </c>
      <c r="N105" s="161">
        <f t="array" ref="N105">SUMPRODUCT(--(ISNUMBER(SEARCH($A105,'Diags Raw Data'!$A$6:$A$3898))),--('Diags Raw Data'!$Q$6:$Q$3898&lt;&gt;"N/A"),'Diags Raw Data'!$T$6:$T$3898)+SUMPRODUCT(--(ISNUMBER(SEARCH($A105,'Diags Raw Data'!$A$6:$A$3898))),--('Diags Raw Data'!$Q$6:$Q$3898&lt;&gt;"N/A"),'Diags Raw Data'!$U$6:$U$3898)</f>
        <v>1</v>
      </c>
      <c r="O105" s="162">
        <f t="shared" si="36"/>
        <v>1</v>
      </c>
      <c r="P105" s="163">
        <f>SUMIF('Diags Raw Data'!$A$6:$A$3898,"*"&amp;$A105&amp;"*",'Diags Raw Data'!$Z$6:$Z$3898)</f>
        <v>0</v>
      </c>
      <c r="Q105" s="172">
        <f>SUM(SUMIF('Diags Raw Data'!$A$6:$A$3898,"*"&amp;$A105&amp;"*",'Diags Raw Data'!$AA$6:$AA$3898),SUMIF('Diags Raw Data'!$A$6:$A$3898,"*"&amp;$A105&amp;"*",'Diags Raw Data'!$AB$6:$AB$3898))</f>
        <v>0</v>
      </c>
      <c r="R105" s="173">
        <f t="shared" si="37"/>
        <v>0</v>
      </c>
      <c r="S105" s="173">
        <f t="shared" si="38"/>
        <v>0</v>
      </c>
      <c r="T105" s="174">
        <f t="shared" si="39"/>
        <v>0</v>
      </c>
      <c r="U105" s="503"/>
      <c r="V105" s="178"/>
      <c r="X105" s="486"/>
    </row>
    <row r="106" spans="1:24" ht="15.75" thickBot="1">
      <c r="A106" s="134" t="s">
        <v>694</v>
      </c>
      <c r="B106" s="139" t="str">
        <f>VLOOKUP(A106,'Feature Raw Data'!$A$3:$B$3923,2,FALSE)</f>
        <v>PCIE Performance counter</v>
      </c>
      <c r="C106" s="140" t="str">
        <f>VLOOKUP(A106,'Feature Raw Data'!$A$3:$C$3923,3,FALSE)</f>
        <v>P2</v>
      </c>
      <c r="D106" s="141" t="str">
        <f t="array" ref="D106">_xlfn.TEXTJOIN("",TRUE,IF(ISNUMBER(SEARCH($A106,'Diags Raw Data'!$A$6:$A$3898)),CONCATENATE('Diags Raw Data'!$H$6:$H$3898,", "),""))</f>
        <v xml:space="preserve">AJ013.001, </v>
      </c>
      <c r="E106" s="142" t="str">
        <f>VLOOKUP(A106,'Diags Raw Data'!$A$6:$D$3898,4,FALSE)</f>
        <v>PCIE</v>
      </c>
      <c r="F106" s="142" t="str">
        <f>VLOOKUP(A106,'Feature Raw Data'!$A$3:$E$3923,5,FALSE)</f>
        <v>Legacy</v>
      </c>
      <c r="G106" s="142" t="str">
        <f t="shared" si="34"/>
        <v>Yes</v>
      </c>
      <c r="H106" s="142" t="str">
        <f t="shared" si="35"/>
        <v>Yes</v>
      </c>
      <c r="I106" s="140">
        <f>SUMIF('Diags Raw Data'!$A$6:$A$3898,"*"&amp;$A106&amp;"*",'Diags Raw Data'!$K$6:$K$3898)</f>
        <v>1</v>
      </c>
      <c r="J106" s="157">
        <f>SUMIF('Diags Raw Data'!$A$6:$A$3898,"*"&amp;$A106&amp;"*",'Diags Raw Data'!$L$6:$L$3898)</f>
        <v>1</v>
      </c>
      <c r="K106" s="158">
        <f t="array" ref="K106">IF(D106="",0,SUMPRODUCT(--(ISNUMBER(SEARCH($A106,'Diags Raw Data'!$A$6:$A$3898))),'Diags Raw Data'!$L$6:$L$3898,'Diags Raw Data'!$N$6:$N$3898)/J106)</f>
        <v>1</v>
      </c>
      <c r="L106" s="159">
        <f t="array" ref="L106">IF(D106="",0,SUMPRODUCT(--(ISNUMBER(SEARCH($A106,'Diags Raw Data'!$A$6:$A$3898))),'Diags Raw Data'!$L$6:$L$3898,'Diags Raw Data'!$P$6:$P$3898)/J106)</f>
        <v>1</v>
      </c>
      <c r="M106" s="160">
        <f t="array" ref="M106">SUMPRODUCT(--(ISNUMBER(SEARCH($A106,'Diags Raw Data'!$A$6:$A$3898))),--('Diags Raw Data'!$Q$6:$Q$3898&lt;&gt;"N/A"),'Diags Raw Data'!$R$6:$R$3898)</f>
        <v>1</v>
      </c>
      <c r="N106" s="161">
        <f t="array" ref="N106">SUMPRODUCT(--(ISNUMBER(SEARCH($A106,'Diags Raw Data'!$A$6:$A$3898))),--('Diags Raw Data'!$Q$6:$Q$3898&lt;&gt;"N/A"),'Diags Raw Data'!$T$6:$T$3898)+SUMPRODUCT(--(ISNUMBER(SEARCH($A106,'Diags Raw Data'!$A$6:$A$3898))),--('Diags Raw Data'!$Q$6:$Q$3898&lt;&gt;"N/A"),'Diags Raw Data'!$U$6:$U$3898)</f>
        <v>0</v>
      </c>
      <c r="O106" s="162">
        <f t="shared" si="36"/>
        <v>0</v>
      </c>
      <c r="P106" s="163">
        <f>SUMIF('Diags Raw Data'!$A$6:$A$3898,"*"&amp;$A106&amp;"*",'Diags Raw Data'!$Z$6:$Z$3898)</f>
        <v>0</v>
      </c>
      <c r="Q106" s="172">
        <f>SUM(SUMIF('Diags Raw Data'!$A$6:$A$3898,"*"&amp;$A106&amp;"*",'Diags Raw Data'!$AA$6:$AA$3898),SUMIF('Diags Raw Data'!$A$6:$A$3898,"*"&amp;$A106&amp;"*",'Diags Raw Data'!$AB$6:$AB$3898))</f>
        <v>0</v>
      </c>
      <c r="R106" s="173">
        <f t="shared" si="37"/>
        <v>0</v>
      </c>
      <c r="S106" s="173">
        <f t="shared" si="38"/>
        <v>0</v>
      </c>
      <c r="T106" s="174">
        <f t="shared" si="39"/>
        <v>0</v>
      </c>
      <c r="U106" s="503"/>
      <c r="V106" s="178"/>
      <c r="X106" s="486"/>
    </row>
    <row r="107" spans="1:24" ht="15.75" thickBot="1">
      <c r="A107" s="134" t="s">
        <v>1047</v>
      </c>
      <c r="B107" s="139" t="str">
        <f>VLOOKUP(A107,'Feature Raw Data'!$A$3:$B$3923,2,FALSE)</f>
        <v>SWUS-DOE</v>
      </c>
      <c r="C107" s="140" t="str">
        <f>VLOOKUP(A107,'Feature Raw Data'!$A$3:$C$3923,3,FALSE)</f>
        <v>P2</v>
      </c>
      <c r="D107" s="141" t="str">
        <f t="array" ref="D107">_xlfn.TEXTJOIN("",TRUE,IF(ISNUMBER(SEARCH($A107,'Diags Raw Data'!$A$6:$A$3898)),CONCATENATE('Diags Raw Data'!$H$6:$H$3898,", "),""))</f>
        <v/>
      </c>
      <c r="E107" s="142" t="e">
        <f>VLOOKUP(A107,'Diags Raw Data'!$A$6:$D$3898,4,FALSE)</f>
        <v>#N/A</v>
      </c>
      <c r="F107" s="142" t="str">
        <f>VLOOKUP(A107,'Feature Raw Data'!$A$3:$E$3923,5,FALSE)</f>
        <v>Legacy</v>
      </c>
      <c r="G107" s="142" t="str">
        <f t="shared" si="34"/>
        <v>No</v>
      </c>
      <c r="H107" s="142" t="str">
        <f t="shared" si="35"/>
        <v>No</v>
      </c>
      <c r="I107" s="140">
        <f>SUMIF('Diags Raw Data'!$A$6:$A$3898,"*"&amp;$A107&amp;"*",'Diags Raw Data'!$K$6:$K$3898)</f>
        <v>0</v>
      </c>
      <c r="J107" s="157">
        <f>SUMIF('Diags Raw Data'!$A$6:$A$3898,"*"&amp;$A107&amp;"*",'Diags Raw Data'!$L$6:$L$3898)</f>
        <v>0</v>
      </c>
      <c r="K107" s="158">
        <f t="array" ref="K107">IF(D107="",0,SUMPRODUCT(--(ISNUMBER(SEARCH($A107,'Diags Raw Data'!$A$6:$A$3898))),'Diags Raw Data'!$L$6:$L$3898,'Diags Raw Data'!$N$6:$N$3898)/J107)</f>
        <v>0</v>
      </c>
      <c r="L107" s="159">
        <f t="array" ref="L107">IF(D107="",0,SUMPRODUCT(--(ISNUMBER(SEARCH($A107,'Diags Raw Data'!$A$6:$A$3898))),'Diags Raw Data'!$L$6:$L$3898,'Diags Raw Data'!$P$6:$P$3898)/J107)</f>
        <v>0</v>
      </c>
      <c r="M107" s="160">
        <f t="array" ref="M107">SUMPRODUCT(--(ISNUMBER(SEARCH($A107,'Diags Raw Data'!$A$6:$A$3898))),--('Diags Raw Data'!$Q$6:$Q$3898&lt;&gt;"N/A"),'Diags Raw Data'!$R$6:$R$3898)</f>
        <v>0</v>
      </c>
      <c r="N107" s="161">
        <f t="array" ref="N107">SUMPRODUCT(--(ISNUMBER(SEARCH($A107,'Diags Raw Data'!$A$6:$A$3898))),--('Diags Raw Data'!$Q$6:$Q$3898&lt;&gt;"N/A"),'Diags Raw Data'!$T$6:$T$3898)+SUMPRODUCT(--(ISNUMBER(SEARCH($A107,'Diags Raw Data'!$A$6:$A$3898))),--('Diags Raw Data'!$Q$6:$Q$3898&lt;&gt;"N/A"),'Diags Raw Data'!$U$6:$U$3898)</f>
        <v>0</v>
      </c>
      <c r="O107" s="162">
        <f t="shared" si="36"/>
        <v>0</v>
      </c>
      <c r="P107" s="163">
        <f>SUMIF('Diags Raw Data'!$A$6:$A$3898,"*"&amp;$A107&amp;"*",'Diags Raw Data'!$Z$6:$Z$3898)</f>
        <v>0</v>
      </c>
      <c r="Q107" s="172">
        <f>SUM(SUMIF('Diags Raw Data'!$A$6:$A$3898,"*"&amp;$A107&amp;"*",'Diags Raw Data'!$AA$6:$AA$3898),SUMIF('Diags Raw Data'!$A$6:$A$3898,"*"&amp;$A107&amp;"*",'Diags Raw Data'!$AB$6:$AB$3898))</f>
        <v>0</v>
      </c>
      <c r="R107" s="173">
        <f t="shared" si="37"/>
        <v>0</v>
      </c>
      <c r="S107" s="173">
        <f t="shared" si="38"/>
        <v>0</v>
      </c>
      <c r="T107" s="174">
        <f t="shared" si="39"/>
        <v>0</v>
      </c>
      <c r="U107" s="175"/>
      <c r="V107" s="166"/>
    </row>
    <row r="108" spans="1:24" ht="15.75" thickBot="1">
      <c r="A108" s="134" t="s">
        <v>657</v>
      </c>
      <c r="B108" s="139" t="str">
        <f>VLOOKUP(A108,'Feature Raw Data'!$A$3:$B$3923,2,FALSE)</f>
        <v>PCIE hot reset</v>
      </c>
      <c r="C108" s="140" t="str">
        <f>VLOOKUP(A108,'Feature Raw Data'!$A$3:$C$3923,3,FALSE)</f>
        <v>P3</v>
      </c>
      <c r="D108" s="141" t="str">
        <f t="array" ref="D108">_xlfn.TEXTJOIN("",TRUE,IF(ISNUMBER(SEARCH($A108,'Diags Raw Data'!$A$6:$A$3898)),CONCATENATE('Diags Raw Data'!$H$6:$H$3898,", "),""))</f>
        <v xml:space="preserve">AG057.001, </v>
      </c>
      <c r="E108" s="142" t="str">
        <f>VLOOKUP(A108,'Diags Raw Data'!$A$6:$D$3898,4,FALSE)</f>
        <v>nBIF</v>
      </c>
      <c r="F108" s="142" t="str">
        <f>VLOOKUP(A108,'Feature Raw Data'!$A$3:$E$3923,5,FALSE)</f>
        <v>Delta</v>
      </c>
      <c r="G108" s="142" t="str">
        <f t="shared" si="34"/>
        <v>Yes</v>
      </c>
      <c r="H108" s="142" t="str">
        <f t="shared" si="35"/>
        <v>Yes</v>
      </c>
      <c r="I108" s="140">
        <f>SUMIF('Diags Raw Data'!$A$6:$A$3898,"*"&amp;$A108&amp;"*",'Diags Raw Data'!$K$6:$K$3898)</f>
        <v>1</v>
      </c>
      <c r="J108" s="157">
        <f>SUMIF('Diags Raw Data'!$A$6:$A$3898,"*"&amp;$A108&amp;"*",'Diags Raw Data'!$L$6:$L$3898)</f>
        <v>1</v>
      </c>
      <c r="K108" s="158">
        <f t="array" ref="K108">IF(D108="",0,SUMPRODUCT(--(ISNUMBER(SEARCH($A108,'Diags Raw Data'!$A$6:$A$3898))),'Diags Raw Data'!$L$6:$L$3898,'Diags Raw Data'!$N$6:$N$3898)/J108)</f>
        <v>0</v>
      </c>
      <c r="L108" s="159">
        <f t="array" ref="L108">IF(D108="",0,SUMPRODUCT(--(ISNUMBER(SEARCH($A108,'Diags Raw Data'!$A$6:$A$3898))),'Diags Raw Data'!$L$6:$L$3898,'Diags Raw Data'!$P$6:$P$3898)/J108)</f>
        <v>0</v>
      </c>
      <c r="M108" s="160">
        <f t="array" ref="M108">SUMPRODUCT(--(ISNUMBER(SEARCH($A108,'Diags Raw Data'!$A$6:$A$3898))),--('Diags Raw Data'!$Q$6:$Q$3898&lt;&gt;"N/A"),'Diags Raw Data'!$R$6:$R$3898)</f>
        <v>0</v>
      </c>
      <c r="N108" s="161">
        <f t="array" ref="N108">SUMPRODUCT(--(ISNUMBER(SEARCH($A108,'Diags Raw Data'!$A$6:$A$3898))),--('Diags Raw Data'!$Q$6:$Q$3898&lt;&gt;"N/A"),'Diags Raw Data'!$T$6:$T$3898)+SUMPRODUCT(--(ISNUMBER(SEARCH($A108,'Diags Raw Data'!$A$6:$A$3898))),--('Diags Raw Data'!$Q$6:$Q$3898&lt;&gt;"N/A"),'Diags Raw Data'!$U$6:$U$3898)</f>
        <v>0</v>
      </c>
      <c r="O108" s="162">
        <f t="shared" si="36"/>
        <v>0</v>
      </c>
      <c r="P108" s="163">
        <f>SUMIF('Diags Raw Data'!$A$6:$A$3898,"*"&amp;$A108&amp;"*",'Diags Raw Data'!$Z$6:$Z$3898)</f>
        <v>0</v>
      </c>
      <c r="Q108" s="172">
        <f>SUM(SUMIF('Diags Raw Data'!$A$6:$A$3898,"*"&amp;$A108&amp;"*",'Diags Raw Data'!$AA$6:$AA$3898),SUMIF('Diags Raw Data'!$A$6:$A$3898,"*"&amp;$A108&amp;"*",'Diags Raw Data'!$AB$6:$AB$3898))</f>
        <v>0</v>
      </c>
      <c r="R108" s="173">
        <f t="shared" si="37"/>
        <v>0</v>
      </c>
      <c r="S108" s="173">
        <f t="shared" si="38"/>
        <v>0</v>
      </c>
      <c r="T108" s="174">
        <f t="shared" si="39"/>
        <v>0</v>
      </c>
      <c r="U108" s="175"/>
      <c r="V108" s="166"/>
    </row>
    <row r="109" spans="1:24" ht="15.75" thickBot="1">
      <c r="A109" s="134" t="s">
        <v>651</v>
      </c>
      <c r="B109" s="139" t="str">
        <f>VLOOKUP(A109,'Feature Raw Data'!$A$3:$B$3923,2,FALSE)</f>
        <v>PCIE link disable reset</v>
      </c>
      <c r="C109" s="140" t="str">
        <f>VLOOKUP(A109,'Feature Raw Data'!$A$3:$C$3923,3,FALSE)</f>
        <v>P3</v>
      </c>
      <c r="D109" s="141" t="str">
        <f t="array" ref="D109">_xlfn.TEXTJOIN("",TRUE,IF(ISNUMBER(SEARCH($A109,'Diags Raw Data'!$A$6:$A$3898)),CONCATENATE('Diags Raw Data'!$H$6:$H$3898,", "),""))</f>
        <v xml:space="preserve">AG056.002, </v>
      </c>
      <c r="E109" s="142" t="str">
        <f>VLOOKUP(A109,'Diags Raw Data'!$A$6:$D$3898,4,FALSE)</f>
        <v>PCIE</v>
      </c>
      <c r="F109" s="142" t="str">
        <f>VLOOKUP(A109,'Feature Raw Data'!$A$3:$E$3923,5,FALSE)</f>
        <v>Delta</v>
      </c>
      <c r="G109" s="142" t="str">
        <f t="shared" si="34"/>
        <v>Yes</v>
      </c>
      <c r="H109" s="142" t="str">
        <f t="shared" si="35"/>
        <v>Yes</v>
      </c>
      <c r="I109" s="140">
        <f>SUMIF('Diags Raw Data'!$A$6:$A$3898,"*"&amp;$A109&amp;"*",'Diags Raw Data'!$K$6:$K$3898)</f>
        <v>1</v>
      </c>
      <c r="J109" s="157">
        <f>SUMIF('Diags Raw Data'!$A$6:$A$3898,"*"&amp;$A109&amp;"*",'Diags Raw Data'!$L$6:$L$3898)</f>
        <v>1</v>
      </c>
      <c r="K109" s="158">
        <f t="array" ref="K109">IF(D109="",0,SUMPRODUCT(--(ISNUMBER(SEARCH($A109,'Diags Raw Data'!$A$6:$A$3898))),'Diags Raw Data'!$L$6:$L$3898,'Diags Raw Data'!$N$6:$N$3898)/J109)</f>
        <v>0</v>
      </c>
      <c r="L109" s="159">
        <f t="array" ref="L109">IF(D109="",0,SUMPRODUCT(--(ISNUMBER(SEARCH($A109,'Diags Raw Data'!$A$6:$A$3898))),'Diags Raw Data'!$L$6:$L$3898,'Diags Raw Data'!$P$6:$P$3898)/J109)</f>
        <v>0</v>
      </c>
      <c r="M109" s="160">
        <f t="array" ref="M109">SUMPRODUCT(--(ISNUMBER(SEARCH($A109,'Diags Raw Data'!$A$6:$A$3898))),--('Diags Raw Data'!$Q$6:$Q$3898&lt;&gt;"N/A"),'Diags Raw Data'!$R$6:$R$3898)</f>
        <v>0</v>
      </c>
      <c r="N109" s="161">
        <f t="array" ref="N109">SUMPRODUCT(--(ISNUMBER(SEARCH($A109,'Diags Raw Data'!$A$6:$A$3898))),--('Diags Raw Data'!$Q$6:$Q$3898&lt;&gt;"N/A"),'Diags Raw Data'!$T$6:$T$3898)+SUMPRODUCT(--(ISNUMBER(SEARCH($A109,'Diags Raw Data'!$A$6:$A$3898))),--('Diags Raw Data'!$Q$6:$Q$3898&lt;&gt;"N/A"),'Diags Raw Data'!$U$6:$U$3898)</f>
        <v>0</v>
      </c>
      <c r="O109" s="162">
        <f t="shared" si="36"/>
        <v>0</v>
      </c>
      <c r="P109" s="163">
        <f>SUMIF('Diags Raw Data'!$A$6:$A$3898,"*"&amp;$A109&amp;"*",'Diags Raw Data'!$Z$6:$Z$3898)</f>
        <v>0</v>
      </c>
      <c r="Q109" s="172">
        <f>SUM(SUMIF('Diags Raw Data'!$A$6:$A$3898,"*"&amp;$A109&amp;"*",'Diags Raw Data'!$AA$6:$AA$3898),SUMIF('Diags Raw Data'!$A$6:$A$3898,"*"&amp;$A109&amp;"*",'Diags Raw Data'!$AB$6:$AB$3898))</f>
        <v>0</v>
      </c>
      <c r="R109" s="173">
        <f t="shared" si="37"/>
        <v>0</v>
      </c>
      <c r="S109" s="173">
        <f t="shared" si="38"/>
        <v>0</v>
      </c>
      <c r="T109" s="174">
        <f t="shared" si="39"/>
        <v>0</v>
      </c>
      <c r="U109" s="175"/>
      <c r="V109" s="166"/>
    </row>
    <row r="110" spans="1:24" ht="15.75" thickBot="1">
      <c r="A110" s="134" t="s">
        <v>654</v>
      </c>
      <c r="B110" s="139" t="str">
        <f>VLOOKUP(A110,'Feature Raw Data'!$A$3:$B$3923,2,FALSE)</f>
        <v>PCIE link down reset</v>
      </c>
      <c r="C110" s="140" t="str">
        <f>VLOOKUP(A110,'Feature Raw Data'!$A$3:$C$3923,3,FALSE)</f>
        <v>P3</v>
      </c>
      <c r="D110" s="141" t="str">
        <f t="array" ref="D110">_xlfn.TEXTJOIN("",TRUE,IF(ISNUMBER(SEARCH($A110,'Diags Raw Data'!$A$6:$A$3898)),CONCATENATE('Diags Raw Data'!$H$6:$H$3898,", "),""))</f>
        <v xml:space="preserve">AG056.003, </v>
      </c>
      <c r="E110" s="142" t="str">
        <f>VLOOKUP(A110,'Diags Raw Data'!$A$6:$D$3898,4,FALSE)</f>
        <v>PCIE</v>
      </c>
      <c r="F110" s="142" t="str">
        <f>VLOOKUP(A110,'Feature Raw Data'!$A$3:$E$3923,5,FALSE)</f>
        <v>Delta</v>
      </c>
      <c r="G110" s="142" t="str">
        <f t="shared" si="34"/>
        <v>Yes</v>
      </c>
      <c r="H110" s="142" t="str">
        <f t="shared" si="35"/>
        <v>Yes</v>
      </c>
      <c r="I110" s="140">
        <f>SUMIF('Diags Raw Data'!$A$6:$A$3898,"*"&amp;$A110&amp;"*",'Diags Raw Data'!$K$6:$K$3898)</f>
        <v>1</v>
      </c>
      <c r="J110" s="157">
        <f>SUMIF('Diags Raw Data'!$A$6:$A$3898,"*"&amp;$A110&amp;"*",'Diags Raw Data'!$L$6:$L$3898)</f>
        <v>1</v>
      </c>
      <c r="K110" s="158">
        <f t="array" ref="K110">IF(D110="",0,SUMPRODUCT(--(ISNUMBER(SEARCH($A110,'Diags Raw Data'!$A$6:$A$3898))),'Diags Raw Data'!$L$6:$L$3898,'Diags Raw Data'!$N$6:$N$3898)/J110)</f>
        <v>0</v>
      </c>
      <c r="L110" s="159">
        <f t="array" ref="L110">IF(D110="",0,SUMPRODUCT(--(ISNUMBER(SEARCH($A110,'Diags Raw Data'!$A$6:$A$3898))),'Diags Raw Data'!$L$6:$L$3898,'Diags Raw Data'!$P$6:$P$3898)/J110)</f>
        <v>0</v>
      </c>
      <c r="M110" s="160">
        <f t="array" ref="M110">SUMPRODUCT(--(ISNUMBER(SEARCH($A110,'Diags Raw Data'!$A$6:$A$3898))),--('Diags Raw Data'!$Q$6:$Q$3898&lt;&gt;"N/A"),'Diags Raw Data'!$R$6:$R$3898)</f>
        <v>0</v>
      </c>
      <c r="N110" s="161">
        <f t="array" ref="N110">SUMPRODUCT(--(ISNUMBER(SEARCH($A110,'Diags Raw Data'!$A$6:$A$3898))),--('Diags Raw Data'!$Q$6:$Q$3898&lt;&gt;"N/A"),'Diags Raw Data'!$T$6:$T$3898)+SUMPRODUCT(--(ISNUMBER(SEARCH($A110,'Diags Raw Data'!$A$6:$A$3898))),--('Diags Raw Data'!$Q$6:$Q$3898&lt;&gt;"N/A"),'Diags Raw Data'!$U$6:$U$3898)</f>
        <v>0</v>
      </c>
      <c r="O110" s="162">
        <f t="shared" si="36"/>
        <v>0</v>
      </c>
      <c r="P110" s="163">
        <f>SUMIF('Diags Raw Data'!$A$6:$A$3898,"*"&amp;$A110&amp;"*",'Diags Raw Data'!$Z$6:$Z$3898)</f>
        <v>0</v>
      </c>
      <c r="Q110" s="172">
        <f>SUM(SUMIF('Diags Raw Data'!$A$6:$A$3898,"*"&amp;$A110&amp;"*",'Diags Raw Data'!$AA$6:$AA$3898),SUMIF('Diags Raw Data'!$A$6:$A$3898,"*"&amp;$A110&amp;"*",'Diags Raw Data'!$AB$6:$AB$3898))</f>
        <v>0</v>
      </c>
      <c r="R110" s="173">
        <f t="shared" si="37"/>
        <v>0</v>
      </c>
      <c r="S110" s="173">
        <f t="shared" si="38"/>
        <v>0</v>
      </c>
      <c r="T110" s="174">
        <f t="shared" si="39"/>
        <v>0</v>
      </c>
      <c r="U110" s="503"/>
      <c r="V110" s="178"/>
      <c r="X110" s="486"/>
    </row>
    <row r="111" spans="1:24" ht="409.5">
      <c r="A111" s="134" t="s">
        <v>861</v>
      </c>
      <c r="B111" s="139" t="str">
        <f>VLOOKUP(A111,'Feature Raw Data'!$A$3:$B$3923,2,FALSE)</f>
        <v>Ras</v>
      </c>
      <c r="C111" s="140" t="str">
        <f>VLOOKUP(A111,'Feature Raw Data'!$A$3:$C$3923,3,FALSE)</f>
        <v>P3</v>
      </c>
      <c r="D111" s="141" t="str">
        <f t="array" ref="D111">_xlfn.TEXTJOIN("",TRUE,IF(ISNUMBER(SEARCH($A111,'Diags Raw Data'!$A$6:$A$3898)),CONCATENATE('Diags Raw Data'!$H$6:$H$3898,", "),""))</f>
        <v xml:space="preserve">AG550.001, AG550.002, AG550.005, AG550.006, AG551.001, AG551.002, AG551.005, AG551.006, AG552.001, AG552.002, AG552.005, AG552.006, AG563.001, AG563.002, AG563.005, AG563.006, AG553.001, AG553.002, AG553.005, AG553.006, AG554.001, AG554.002, AG554.005, AG554.006, AG555.001, AG555.002, AG555.005, AG555.006, AG556.001, AG556.002, AG556.005, AG556.006, AG557.001, AG557.002, AG557.005, AG557.006, AG558.001, AG558.002, AG558.005, AG558.006, </v>
      </c>
      <c r="E111" s="142" t="str">
        <f>VLOOKUP(A111,'Diags Raw Data'!$A$6:$D$3898,4,FALSE)</f>
        <v>nBIF</v>
      </c>
      <c r="F111" s="142" t="str">
        <f>VLOOKUP(A111,'Feature Raw Data'!$A$3:$E$3923,5,FALSE)</f>
        <v>Delta</v>
      </c>
      <c r="G111" s="142" t="str">
        <f t="shared" ref="G111" si="40">IF(D111="","No","Yes")</f>
        <v>Yes</v>
      </c>
      <c r="H111" s="142" t="str">
        <f t="shared" ref="H111" si="41">IF(D111="","No","Yes")</f>
        <v>Yes</v>
      </c>
      <c r="I111" s="140">
        <f>SUMIF('Diags Raw Data'!$A$6:$A$3898,"*"&amp;$A111&amp;"*",'Diags Raw Data'!$K$6:$K$3898)</f>
        <v>40</v>
      </c>
      <c r="J111" s="157">
        <f>SUMIF('Diags Raw Data'!$A$6:$A$3898,"*"&amp;$A111&amp;"*",'Diags Raw Data'!$L$6:$L$3898)</f>
        <v>40</v>
      </c>
      <c r="K111" s="158">
        <f t="array" ref="K111">IF(D111="",0,SUMPRODUCT(--(ISNUMBER(SEARCH($A111,'Diags Raw Data'!$A$6:$A$3898))),'Diags Raw Data'!$L$6:$L$3898,'Diags Raw Data'!$N$6:$N$3898)/J111)</f>
        <v>1</v>
      </c>
      <c r="L111" s="159">
        <f t="array" ref="L111">IF(D111="",0,SUMPRODUCT(--(ISNUMBER(SEARCH($A111,'Diags Raw Data'!$A$6:$A$3898))),'Diags Raw Data'!$L$6:$L$3898,'Diags Raw Data'!$P$6:$P$3898)/J111)</f>
        <v>0</v>
      </c>
      <c r="M111" s="160">
        <f t="array" ref="M111">SUMPRODUCT(--(ISNUMBER(SEARCH($A111,'Diags Raw Data'!$A$6:$A$3898))),--('Diags Raw Data'!$Q$6:$Q$3898&lt;&gt;"N/A"),'Diags Raw Data'!$R$6:$R$3898)</f>
        <v>40</v>
      </c>
      <c r="N111" s="161">
        <f t="array" ref="N111">SUMPRODUCT(--(ISNUMBER(SEARCH($A111,'Diags Raw Data'!$A$6:$A$3898))),--('Diags Raw Data'!$Q$6:$Q$3898&lt;&gt;"N/A"),'Diags Raw Data'!$T$6:$T$3898)+SUMPRODUCT(--(ISNUMBER(SEARCH($A111,'Diags Raw Data'!$A$6:$A$3898))),--('Diags Raw Data'!$Q$6:$Q$3898&lt;&gt;"N/A"),'Diags Raw Data'!$U$6:$U$3898)</f>
        <v>0</v>
      </c>
      <c r="O111" s="162">
        <f t="shared" ref="O111" si="42">IF((M111=0),0,N111/M111)</f>
        <v>0</v>
      </c>
      <c r="P111" s="163">
        <f>SUMIF('Diags Raw Data'!$A$6:$A$3898,"*"&amp;$A111&amp;"*",'Diags Raw Data'!$Z$6:$Z$3898)</f>
        <v>0</v>
      </c>
      <c r="Q111" s="172">
        <f>SUM(SUMIF('Diags Raw Data'!$A$6:$A$3898,"*"&amp;$A111&amp;"*",'Diags Raw Data'!$AA$6:$AA$3898),SUMIF('Diags Raw Data'!$A$6:$A$3898,"*"&amp;$A111&amp;"*",'Diags Raw Data'!$AB$6:$AB$3898))</f>
        <v>0</v>
      </c>
      <c r="R111" s="173">
        <f t="shared" ref="R111" si="43">IF((J111=0),0,P111/J111)</f>
        <v>0</v>
      </c>
      <c r="S111" s="173">
        <f t="shared" ref="S111" si="44">IF((P111=0),0,Q111/P111)</f>
        <v>0</v>
      </c>
      <c r="T111" s="174">
        <f t="shared" ref="T111" si="45">R111*S111</f>
        <v>0</v>
      </c>
      <c r="U111" s="503"/>
      <c r="V111" s="178"/>
      <c r="X111" s="486"/>
    </row>
    <row r="112" spans="1:24" ht="15.75" thickBot="1">
      <c r="A112" s="180"/>
      <c r="B112" s="181"/>
      <c r="C112" s="182"/>
      <c r="D112" s="183"/>
      <c r="E112" s="184"/>
      <c r="F112" s="184"/>
      <c r="G112" s="184"/>
      <c r="H112" s="184"/>
      <c r="I112" s="182"/>
      <c r="J112" s="185"/>
      <c r="K112" s="186"/>
      <c r="L112" s="187"/>
      <c r="M112" s="188"/>
      <c r="N112" s="189"/>
      <c r="O112" s="190"/>
      <c r="P112" s="191"/>
      <c r="Q112" s="192"/>
      <c r="R112" s="193"/>
      <c r="S112" s="193"/>
      <c r="T112" s="194"/>
      <c r="U112" s="195"/>
      <c r="V112" s="166"/>
    </row>
    <row r="113" spans="1:22" ht="14.45" customHeight="1">
      <c r="A113" s="599" t="s">
        <v>1121</v>
      </c>
      <c r="B113" s="600"/>
      <c r="C113" s="600"/>
      <c r="D113" s="600"/>
      <c r="E113" s="600"/>
      <c r="F113" s="600"/>
      <c r="G113" s="600"/>
      <c r="H113" s="600"/>
      <c r="I113" s="600"/>
      <c r="J113" s="600"/>
      <c r="K113" s="600"/>
      <c r="L113" s="600"/>
      <c r="M113" s="600"/>
      <c r="N113" s="600"/>
      <c r="O113" s="600"/>
      <c r="P113" s="600"/>
      <c r="Q113" s="600"/>
      <c r="R113" s="600"/>
      <c r="S113" s="600"/>
      <c r="T113" s="600"/>
      <c r="U113" s="601"/>
      <c r="V113" s="166"/>
    </row>
    <row r="114" spans="1:22" ht="15.75" thickBot="1">
      <c r="A114" s="602"/>
      <c r="B114" s="603"/>
      <c r="C114" s="603"/>
      <c r="D114" s="603"/>
      <c r="E114" s="603"/>
      <c r="F114" s="603"/>
      <c r="G114" s="603"/>
      <c r="H114" s="603"/>
      <c r="I114" s="603"/>
      <c r="J114" s="603"/>
      <c r="K114" s="603"/>
      <c r="L114" s="603"/>
      <c r="M114" s="603"/>
      <c r="N114" s="603"/>
      <c r="O114" s="603"/>
      <c r="P114" s="603"/>
      <c r="Q114" s="603"/>
      <c r="R114" s="603"/>
      <c r="S114" s="603"/>
      <c r="T114" s="603"/>
      <c r="U114" s="604"/>
      <c r="V114" s="166"/>
    </row>
    <row r="115" spans="1:22" s="117" customFormat="1" ht="18.75">
      <c r="A115" s="593" t="s">
        <v>247</v>
      </c>
      <c r="B115" s="594"/>
      <c r="C115" s="594"/>
      <c r="D115" s="594"/>
      <c r="E115" s="594"/>
      <c r="F115" s="595"/>
      <c r="G115" s="129">
        <f>COUNTIF(G7:G112,"Yes")</f>
        <v>91</v>
      </c>
      <c r="H115" s="129">
        <f>COUNTIF(H7:H112,"Yes")</f>
        <v>77</v>
      </c>
      <c r="I115" s="629">
        <f>'Diags Raw Data'!K288</f>
        <v>279</v>
      </c>
      <c r="J115" s="633">
        <f>'Diags Raw Data'!L288</f>
        <v>279</v>
      </c>
      <c r="K115" s="637">
        <f>'Diags Raw Data'!N288</f>
        <v>0.97491039426523296</v>
      </c>
      <c r="L115" s="619">
        <f>'Diags Raw Data'!P288</f>
        <v>0.82437275985663083</v>
      </c>
      <c r="M115" s="623">
        <f>'Diags Raw Data'!R288</f>
        <v>229</v>
      </c>
      <c r="N115" s="627">
        <f>SUM('Diags Raw Data'!T288+'Diags Raw Data'!U288)</f>
        <v>125</v>
      </c>
      <c r="O115" s="609">
        <f>IF((M115=0),0,N115/M115)</f>
        <v>0.54585152838427953</v>
      </c>
      <c r="P115" s="613">
        <f>'Diags Raw Data'!Z288</f>
        <v>0</v>
      </c>
      <c r="Q115" s="617">
        <f>SUM('Diags Raw Data'!AA288+'Diags Raw Data'!AB288)</f>
        <v>0</v>
      </c>
      <c r="R115" s="605">
        <f>IF((J115=0),0,P115/J115)</f>
        <v>0</v>
      </c>
      <c r="S115" s="605">
        <f>IF((P115=0),0,Q115/P115)</f>
        <v>0</v>
      </c>
      <c r="T115" s="605">
        <f>R115*S115</f>
        <v>0</v>
      </c>
      <c r="U115" s="591"/>
      <c r="V115" s="165"/>
    </row>
    <row r="116" spans="1:22" ht="19.5" thickBot="1">
      <c r="A116" s="596"/>
      <c r="B116" s="597"/>
      <c r="C116" s="597"/>
      <c r="D116" s="597"/>
      <c r="E116" s="597"/>
      <c r="F116" s="598"/>
      <c r="G116" s="130">
        <f>COUNTIF(G7:G112,"Yes")/COUNTA(A7:A112)</f>
        <v>0.8666666666666667</v>
      </c>
      <c r="H116" s="130">
        <f>(COUNTIF(H7:H112,"Yes")/G115)</f>
        <v>0.84615384615384615</v>
      </c>
      <c r="I116" s="630"/>
      <c r="J116" s="634"/>
      <c r="K116" s="638"/>
      <c r="L116" s="620"/>
      <c r="M116" s="624"/>
      <c r="N116" s="628"/>
      <c r="O116" s="610"/>
      <c r="P116" s="614"/>
      <c r="Q116" s="618"/>
      <c r="R116" s="606"/>
      <c r="S116" s="606"/>
      <c r="T116" s="606"/>
      <c r="U116" s="592"/>
      <c r="V116" s="166"/>
    </row>
    <row r="117" spans="1:22">
      <c r="G117" s="122">
        <f>COUNTA(G7:G112)</f>
        <v>105</v>
      </c>
    </row>
  </sheetData>
  <sheetProtection insertColumns="0" insertRows="0" deleteRows="0" sort="0"/>
  <autoFilter ref="A6:W110" xr:uid="{00000000-0001-0000-0700-000000000000}">
    <sortState xmlns:xlrd2="http://schemas.microsoft.com/office/spreadsheetml/2017/richdata2" ref="A7:W74">
      <sortCondition ref="A6:A74"/>
    </sortState>
  </autoFilter>
  <mergeCells count="36">
    <mergeCell ref="V2:X3"/>
    <mergeCell ref="A1:U1"/>
    <mergeCell ref="A4:U4"/>
    <mergeCell ref="A5:J5"/>
    <mergeCell ref="K5:L5"/>
    <mergeCell ref="M5:O5"/>
    <mergeCell ref="P5:U5"/>
    <mergeCell ref="I2:I3"/>
    <mergeCell ref="L2:L3"/>
    <mergeCell ref="O2:O3"/>
    <mergeCell ref="R2:R3"/>
    <mergeCell ref="U2:U3"/>
    <mergeCell ref="M115:M116"/>
    <mergeCell ref="N2:N3"/>
    <mergeCell ref="N115:N116"/>
    <mergeCell ref="I115:I116"/>
    <mergeCell ref="J2:J3"/>
    <mergeCell ref="J115:J116"/>
    <mergeCell ref="K2:K3"/>
    <mergeCell ref="K115:K116"/>
    <mergeCell ref="U115:U116"/>
    <mergeCell ref="A2:F3"/>
    <mergeCell ref="A115:F116"/>
    <mergeCell ref="A113:U114"/>
    <mergeCell ref="R115:R116"/>
    <mergeCell ref="S2:S3"/>
    <mergeCell ref="S115:S116"/>
    <mergeCell ref="T2:T3"/>
    <mergeCell ref="T115:T116"/>
    <mergeCell ref="O115:O116"/>
    <mergeCell ref="P2:P3"/>
    <mergeCell ref="P115:P116"/>
    <mergeCell ref="Q2:Q3"/>
    <mergeCell ref="Q115:Q116"/>
    <mergeCell ref="L115:L116"/>
    <mergeCell ref="M2:M3"/>
  </mergeCells>
  <phoneticPr fontId="35" type="noConversion"/>
  <conditionalFormatting sqref="A7:A111">
    <cfRule type="duplicateValues" dxfId="1" priority="554"/>
    <cfRule type="duplicateValues" dxfId="0" priority="555"/>
  </conditionalFormatting>
  <pageMargins left="0.7" right="0.7" top="0.75" bottom="0.75" header="0.3" footer="0.3"/>
  <pageSetup orientation="portrait" r:id="rId1"/>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28395-C6DC-406C-9FD1-F20B1B0D175B}">
  <dimension ref="A1:G61"/>
  <sheetViews>
    <sheetView topLeftCell="B19" workbookViewId="0">
      <selection activeCell="X40" sqref="X40"/>
    </sheetView>
  </sheetViews>
  <sheetFormatPr defaultRowHeight="15"/>
  <cols>
    <col min="1" max="1" width="17" bestFit="1" customWidth="1"/>
    <col min="2" max="2" width="16.28515625" bestFit="1" customWidth="1"/>
    <col min="3" max="3" width="6.85546875" bestFit="1" customWidth="1"/>
    <col min="4" max="4" width="8.140625" customWidth="1"/>
    <col min="5" max="5" width="11.28515625" bestFit="1" customWidth="1"/>
  </cols>
  <sheetData>
    <row r="1" spans="1:5">
      <c r="A1" s="485" t="s">
        <v>213</v>
      </c>
      <c r="B1" t="s">
        <v>31</v>
      </c>
    </row>
    <row r="3" spans="1:5">
      <c r="A3" s="485" t="s">
        <v>1122</v>
      </c>
      <c r="B3" s="485" t="s">
        <v>1123</v>
      </c>
    </row>
    <row r="4" spans="1:5">
      <c r="A4" s="485" t="s">
        <v>1124</v>
      </c>
      <c r="B4" t="s">
        <v>38</v>
      </c>
      <c r="C4" t="s">
        <v>33</v>
      </c>
      <c r="D4" t="s">
        <v>42</v>
      </c>
      <c r="E4" t="s">
        <v>938</v>
      </c>
    </row>
    <row r="5" spans="1:5">
      <c r="A5" s="2" t="s">
        <v>1125</v>
      </c>
      <c r="C5">
        <v>4</v>
      </c>
      <c r="E5">
        <v>4</v>
      </c>
    </row>
    <row r="6" spans="1:5">
      <c r="A6" s="2" t="s">
        <v>1126</v>
      </c>
      <c r="C6">
        <v>13</v>
      </c>
      <c r="E6">
        <v>13</v>
      </c>
    </row>
    <row r="7" spans="1:5">
      <c r="A7" s="2" t="s">
        <v>1127</v>
      </c>
      <c r="C7">
        <v>13</v>
      </c>
      <c r="E7">
        <v>13</v>
      </c>
    </row>
    <row r="8" spans="1:5">
      <c r="A8" s="2" t="s">
        <v>1128</v>
      </c>
      <c r="C8">
        <v>2</v>
      </c>
      <c r="E8">
        <v>2</v>
      </c>
    </row>
    <row r="9" spans="1:5">
      <c r="A9" s="2" t="s">
        <v>1129</v>
      </c>
      <c r="B9">
        <v>2</v>
      </c>
      <c r="C9">
        <v>5</v>
      </c>
      <c r="E9">
        <v>7</v>
      </c>
    </row>
    <row r="10" spans="1:5">
      <c r="A10" s="2" t="s">
        <v>1130</v>
      </c>
      <c r="C10">
        <v>4</v>
      </c>
      <c r="E10">
        <v>4</v>
      </c>
    </row>
    <row r="11" spans="1:5">
      <c r="A11" s="2" t="s">
        <v>1131</v>
      </c>
      <c r="C11">
        <v>6</v>
      </c>
      <c r="E11">
        <v>6</v>
      </c>
    </row>
    <row r="12" spans="1:5">
      <c r="A12" s="2" t="s">
        <v>1132</v>
      </c>
      <c r="C12">
        <v>4</v>
      </c>
      <c r="E12">
        <v>4</v>
      </c>
    </row>
    <row r="13" spans="1:5">
      <c r="A13" s="2" t="s">
        <v>866</v>
      </c>
      <c r="D13">
        <v>1</v>
      </c>
      <c r="E13">
        <v>1</v>
      </c>
    </row>
    <row r="14" spans="1:5">
      <c r="A14" s="2" t="s">
        <v>938</v>
      </c>
      <c r="B14">
        <v>2</v>
      </c>
      <c r="C14">
        <v>51</v>
      </c>
      <c r="D14">
        <v>1</v>
      </c>
      <c r="E14">
        <v>54</v>
      </c>
    </row>
    <row r="23" spans="1:7">
      <c r="A23" t="s">
        <v>1124</v>
      </c>
      <c r="B23" t="s">
        <v>38</v>
      </c>
      <c r="C23" t="s">
        <v>33</v>
      </c>
      <c r="D23" t="s">
        <v>42</v>
      </c>
      <c r="E23" t="s">
        <v>938</v>
      </c>
      <c r="F23" t="s">
        <v>1133</v>
      </c>
      <c r="G23" t="s">
        <v>1134</v>
      </c>
    </row>
    <row r="24" spans="1:7">
      <c r="A24" t="s">
        <v>1125</v>
      </c>
      <c r="C24">
        <v>4</v>
      </c>
      <c r="E24">
        <f>SUM(B24:D24)</f>
        <v>4</v>
      </c>
      <c r="F24">
        <f>E24</f>
        <v>4</v>
      </c>
      <c r="G24" s="252">
        <f t="shared" ref="G24:G32" si="0">F24/$E$33</f>
        <v>7.407407407407407E-2</v>
      </c>
    </row>
    <row r="25" spans="1:7">
      <c r="A25" t="s">
        <v>1126</v>
      </c>
      <c r="C25">
        <v>13</v>
      </c>
      <c r="E25">
        <f t="shared" ref="E25:E33" si="1">SUM(B25:D25)</f>
        <v>13</v>
      </c>
      <c r="F25">
        <f>F24+E25</f>
        <v>17</v>
      </c>
      <c r="G25" s="252">
        <f t="shared" si="0"/>
        <v>0.31481481481481483</v>
      </c>
    </row>
    <row r="26" spans="1:7">
      <c r="A26" t="s">
        <v>1127</v>
      </c>
      <c r="C26">
        <v>13</v>
      </c>
      <c r="E26">
        <f t="shared" si="1"/>
        <v>13</v>
      </c>
      <c r="F26">
        <f t="shared" ref="F26:F32" si="2">F25+E26</f>
        <v>30</v>
      </c>
      <c r="G26" s="252">
        <f t="shared" si="0"/>
        <v>0.55555555555555558</v>
      </c>
    </row>
    <row r="27" spans="1:7">
      <c r="A27" t="s">
        <v>1128</v>
      </c>
      <c r="C27">
        <v>2</v>
      </c>
      <c r="E27">
        <f t="shared" si="1"/>
        <v>2</v>
      </c>
      <c r="F27">
        <f t="shared" si="2"/>
        <v>32</v>
      </c>
      <c r="G27" s="252">
        <f t="shared" si="0"/>
        <v>0.59259259259259256</v>
      </c>
    </row>
    <row r="28" spans="1:7">
      <c r="A28" t="s">
        <v>1129</v>
      </c>
      <c r="B28">
        <v>2</v>
      </c>
      <c r="C28">
        <v>5</v>
      </c>
      <c r="E28">
        <f t="shared" si="1"/>
        <v>7</v>
      </c>
      <c r="F28">
        <f t="shared" si="2"/>
        <v>39</v>
      </c>
      <c r="G28" s="252">
        <f t="shared" si="0"/>
        <v>0.72222222222222221</v>
      </c>
    </row>
    <row r="29" spans="1:7">
      <c r="A29" t="s">
        <v>1130</v>
      </c>
      <c r="C29">
        <v>4</v>
      </c>
      <c r="E29">
        <f t="shared" si="1"/>
        <v>4</v>
      </c>
      <c r="F29">
        <f t="shared" si="2"/>
        <v>43</v>
      </c>
      <c r="G29" s="252">
        <f t="shared" si="0"/>
        <v>0.79629629629629628</v>
      </c>
    </row>
    <row r="30" spans="1:7">
      <c r="A30" t="s">
        <v>1131</v>
      </c>
      <c r="C30">
        <v>6</v>
      </c>
      <c r="E30">
        <f t="shared" si="1"/>
        <v>6</v>
      </c>
      <c r="F30">
        <f t="shared" si="2"/>
        <v>49</v>
      </c>
      <c r="G30" s="252">
        <f t="shared" si="0"/>
        <v>0.90740740740740744</v>
      </c>
    </row>
    <row r="31" spans="1:7">
      <c r="A31" t="s">
        <v>1135</v>
      </c>
      <c r="D31">
        <v>1</v>
      </c>
      <c r="E31">
        <f t="shared" si="1"/>
        <v>1</v>
      </c>
      <c r="F31">
        <f t="shared" si="2"/>
        <v>50</v>
      </c>
      <c r="G31" s="252">
        <f t="shared" si="0"/>
        <v>0.92592592592592593</v>
      </c>
    </row>
    <row r="32" spans="1:7">
      <c r="A32" t="s">
        <v>1132</v>
      </c>
      <c r="C32">
        <v>4</v>
      </c>
      <c r="E32">
        <f t="shared" si="1"/>
        <v>4</v>
      </c>
      <c r="F32">
        <f t="shared" si="2"/>
        <v>54</v>
      </c>
      <c r="G32" s="252">
        <f t="shared" si="0"/>
        <v>1</v>
      </c>
    </row>
    <row r="33" spans="1:5">
      <c r="A33" s="504" t="s">
        <v>938</v>
      </c>
      <c r="B33">
        <v>2</v>
      </c>
      <c r="C33">
        <f>SUM(C24:C32)</f>
        <v>51</v>
      </c>
      <c r="D33">
        <v>1</v>
      </c>
      <c r="E33">
        <f t="shared" si="1"/>
        <v>54</v>
      </c>
    </row>
    <row r="38" spans="1:5">
      <c r="A38" t="s">
        <v>1124</v>
      </c>
      <c r="B38" t="s">
        <v>33</v>
      </c>
      <c r="C38" s="504" t="s">
        <v>1136</v>
      </c>
      <c r="E38" t="s">
        <v>1134</v>
      </c>
    </row>
    <row r="39" spans="1:5">
      <c r="A39" t="s">
        <v>1125</v>
      </c>
      <c r="B39">
        <v>4</v>
      </c>
      <c r="C39">
        <f>B39</f>
        <v>4</v>
      </c>
      <c r="D39" s="252"/>
      <c r="E39" s="252">
        <f>C39/$B$48</f>
        <v>7.8431372549019607E-2</v>
      </c>
    </row>
    <row r="40" spans="1:5">
      <c r="A40" t="s">
        <v>1126</v>
      </c>
      <c r="B40">
        <v>13</v>
      </c>
      <c r="C40">
        <f>C39+B40</f>
        <v>17</v>
      </c>
      <c r="D40" s="252"/>
      <c r="E40" s="252">
        <f t="shared" ref="E40:E47" si="3">C40/$B$48</f>
        <v>0.33333333333333331</v>
      </c>
    </row>
    <row r="41" spans="1:5">
      <c r="A41" t="s">
        <v>1127</v>
      </c>
      <c r="B41">
        <v>13</v>
      </c>
      <c r="C41">
        <f t="shared" ref="C41:C47" si="4">C40+B41</f>
        <v>30</v>
      </c>
      <c r="D41" s="252"/>
      <c r="E41" s="252">
        <f t="shared" si="3"/>
        <v>0.58823529411764708</v>
      </c>
    </row>
    <row r="42" spans="1:5">
      <c r="A42" t="s">
        <v>1128</v>
      </c>
      <c r="B42">
        <v>2</v>
      </c>
      <c r="C42">
        <f t="shared" si="4"/>
        <v>32</v>
      </c>
      <c r="D42" s="252"/>
      <c r="E42" s="252">
        <f t="shared" si="3"/>
        <v>0.62745098039215685</v>
      </c>
    </row>
    <row r="43" spans="1:5">
      <c r="A43" t="s">
        <v>1129</v>
      </c>
      <c r="B43">
        <v>5</v>
      </c>
      <c r="C43">
        <f t="shared" si="4"/>
        <v>37</v>
      </c>
      <c r="D43" s="252"/>
      <c r="E43" s="252">
        <f t="shared" si="3"/>
        <v>0.72549019607843135</v>
      </c>
    </row>
    <row r="44" spans="1:5">
      <c r="A44" t="s">
        <v>1130</v>
      </c>
      <c r="B44">
        <v>4</v>
      </c>
      <c r="C44">
        <f t="shared" si="4"/>
        <v>41</v>
      </c>
      <c r="D44" s="252"/>
      <c r="E44" s="252">
        <f t="shared" si="3"/>
        <v>0.80392156862745101</v>
      </c>
    </row>
    <row r="45" spans="1:5">
      <c r="A45" t="s">
        <v>1131</v>
      </c>
      <c r="B45">
        <v>6</v>
      </c>
      <c r="C45">
        <f t="shared" si="4"/>
        <v>47</v>
      </c>
      <c r="D45" s="252"/>
      <c r="E45" s="252">
        <f t="shared" si="3"/>
        <v>0.92156862745098034</v>
      </c>
    </row>
    <row r="46" spans="1:5">
      <c r="A46" t="s">
        <v>1135</v>
      </c>
      <c r="C46">
        <f t="shared" si="4"/>
        <v>47</v>
      </c>
      <c r="D46" s="252"/>
      <c r="E46" s="252">
        <f t="shared" si="3"/>
        <v>0.92156862745098034</v>
      </c>
    </row>
    <row r="47" spans="1:5">
      <c r="A47" t="s">
        <v>1132</v>
      </c>
      <c r="B47">
        <v>4</v>
      </c>
      <c r="C47">
        <f t="shared" si="4"/>
        <v>51</v>
      </c>
      <c r="D47" s="252"/>
      <c r="E47" s="252">
        <f t="shared" si="3"/>
        <v>1</v>
      </c>
    </row>
    <row r="48" spans="1:5">
      <c r="A48" t="s">
        <v>938</v>
      </c>
      <c r="B48">
        <v>51</v>
      </c>
    </row>
    <row r="51" spans="1:4">
      <c r="A51" t="s">
        <v>1124</v>
      </c>
      <c r="B51" s="504" t="s">
        <v>939</v>
      </c>
      <c r="C51" s="504" t="s">
        <v>1137</v>
      </c>
      <c r="D51" s="504" t="s">
        <v>1134</v>
      </c>
    </row>
    <row r="52" spans="1:4">
      <c r="A52" t="s">
        <v>1125</v>
      </c>
      <c r="B52">
        <f>B24+D24</f>
        <v>0</v>
      </c>
      <c r="C52">
        <f>B52</f>
        <v>0</v>
      </c>
      <c r="D52" s="252">
        <f>C52/$B$61</f>
        <v>0</v>
      </c>
    </row>
    <row r="53" spans="1:4">
      <c r="A53" t="s">
        <v>1126</v>
      </c>
      <c r="B53">
        <f t="shared" ref="B53:B60" si="5">B25+D25</f>
        <v>0</v>
      </c>
      <c r="C53">
        <f>C52+B53</f>
        <v>0</v>
      </c>
      <c r="D53" s="252">
        <f t="shared" ref="D53:D60" si="6">C53/$B$61</f>
        <v>0</v>
      </c>
    </row>
    <row r="54" spans="1:4">
      <c r="A54" t="s">
        <v>1127</v>
      </c>
      <c r="B54">
        <f t="shared" si="5"/>
        <v>0</v>
      </c>
      <c r="C54">
        <f t="shared" ref="C54:C60" si="7">C53+B54</f>
        <v>0</v>
      </c>
      <c r="D54" s="252">
        <f t="shared" si="6"/>
        <v>0</v>
      </c>
    </row>
    <row r="55" spans="1:4">
      <c r="A55" t="s">
        <v>1128</v>
      </c>
      <c r="B55">
        <f t="shared" si="5"/>
        <v>0</v>
      </c>
      <c r="C55">
        <f t="shared" si="7"/>
        <v>0</v>
      </c>
      <c r="D55" s="252">
        <f t="shared" si="6"/>
        <v>0</v>
      </c>
    </row>
    <row r="56" spans="1:4">
      <c r="A56" t="s">
        <v>1129</v>
      </c>
      <c r="B56">
        <f t="shared" si="5"/>
        <v>2</v>
      </c>
      <c r="C56">
        <f t="shared" si="7"/>
        <v>2</v>
      </c>
      <c r="D56" s="252">
        <f t="shared" si="6"/>
        <v>0.66666666666666663</v>
      </c>
    </row>
    <row r="57" spans="1:4">
      <c r="A57" t="s">
        <v>1130</v>
      </c>
      <c r="B57">
        <f t="shared" si="5"/>
        <v>0</v>
      </c>
      <c r="C57">
        <f t="shared" si="7"/>
        <v>2</v>
      </c>
      <c r="D57" s="252">
        <f t="shared" si="6"/>
        <v>0.66666666666666663</v>
      </c>
    </row>
    <row r="58" spans="1:4">
      <c r="A58" t="s">
        <v>1131</v>
      </c>
      <c r="B58">
        <f t="shared" si="5"/>
        <v>0</v>
      </c>
      <c r="C58">
        <f t="shared" si="7"/>
        <v>2</v>
      </c>
      <c r="D58" s="252">
        <f t="shared" si="6"/>
        <v>0.66666666666666663</v>
      </c>
    </row>
    <row r="59" spans="1:4">
      <c r="A59" t="s">
        <v>1135</v>
      </c>
      <c r="B59">
        <f t="shared" si="5"/>
        <v>1</v>
      </c>
      <c r="C59">
        <f t="shared" si="7"/>
        <v>3</v>
      </c>
      <c r="D59" s="252">
        <f t="shared" si="6"/>
        <v>1</v>
      </c>
    </row>
    <row r="60" spans="1:4">
      <c r="A60" t="s">
        <v>1132</v>
      </c>
      <c r="B60">
        <f t="shared" si="5"/>
        <v>0</v>
      </c>
      <c r="C60">
        <f t="shared" si="7"/>
        <v>3</v>
      </c>
      <c r="D60" s="252">
        <f t="shared" si="6"/>
        <v>1</v>
      </c>
    </row>
    <row r="61" spans="1:4">
      <c r="A61" s="504" t="s">
        <v>938</v>
      </c>
      <c r="B61">
        <f>SUM(B52:B60)</f>
        <v>3</v>
      </c>
      <c r="D61" s="252"/>
    </row>
  </sheetData>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96C38-14EF-4A77-9307-44701FDC1783}">
  <dimension ref="A3:D12"/>
  <sheetViews>
    <sheetView workbookViewId="0">
      <selection activeCell="C18" sqref="C18"/>
    </sheetView>
  </sheetViews>
  <sheetFormatPr defaultRowHeight="15"/>
  <cols>
    <col min="1" max="1" width="36" bestFit="1" customWidth="1"/>
    <col min="2" max="2" width="21.85546875" bestFit="1" customWidth="1"/>
    <col min="3" max="3" width="16" customWidth="1"/>
    <col min="4" max="4" width="16.42578125" customWidth="1"/>
  </cols>
  <sheetData>
    <row r="3" spans="1:4">
      <c r="A3" s="504" t="s">
        <v>1124</v>
      </c>
      <c r="B3" t="s">
        <v>1138</v>
      </c>
      <c r="C3" t="s">
        <v>1136</v>
      </c>
      <c r="D3" t="s">
        <v>1134</v>
      </c>
    </row>
    <row r="4" spans="1:4">
      <c r="A4" t="s">
        <v>1139</v>
      </c>
      <c r="B4">
        <v>25</v>
      </c>
      <c r="C4">
        <f>B4</f>
        <v>25</v>
      </c>
      <c r="D4" s="252">
        <f t="shared" ref="D4:D11" si="0">C4/$B$12</f>
        <v>0.10040160642570281</v>
      </c>
    </row>
    <row r="5" spans="1:4">
      <c r="A5" t="s">
        <v>1126</v>
      </c>
      <c r="B5">
        <v>69</v>
      </c>
      <c r="C5">
        <f t="shared" ref="C5:C11" si="1">C4+B5</f>
        <v>94</v>
      </c>
      <c r="D5" s="252">
        <f t="shared" si="0"/>
        <v>0.37751004016064255</v>
      </c>
    </row>
    <row r="6" spans="1:4">
      <c r="A6" t="s">
        <v>1127</v>
      </c>
      <c r="B6">
        <v>51</v>
      </c>
      <c r="C6">
        <f t="shared" si="1"/>
        <v>145</v>
      </c>
      <c r="D6" s="252">
        <f t="shared" si="0"/>
        <v>0.58232931726907633</v>
      </c>
    </row>
    <row r="7" spans="1:4">
      <c r="A7" t="s">
        <v>1128</v>
      </c>
      <c r="B7">
        <v>3</v>
      </c>
      <c r="C7">
        <f t="shared" si="1"/>
        <v>148</v>
      </c>
      <c r="D7" s="252">
        <f t="shared" si="0"/>
        <v>0.59437751004016059</v>
      </c>
    </row>
    <row r="8" spans="1:4">
      <c r="A8" t="s">
        <v>1129</v>
      </c>
      <c r="B8">
        <v>27</v>
      </c>
      <c r="C8">
        <f t="shared" si="1"/>
        <v>175</v>
      </c>
      <c r="D8" s="252">
        <f t="shared" si="0"/>
        <v>0.70281124497991965</v>
      </c>
    </row>
    <row r="9" spans="1:4">
      <c r="A9" t="s">
        <v>1130</v>
      </c>
      <c r="B9">
        <v>30</v>
      </c>
      <c r="C9">
        <f t="shared" si="1"/>
        <v>205</v>
      </c>
      <c r="D9" s="252">
        <f t="shared" si="0"/>
        <v>0.82329317269076308</v>
      </c>
    </row>
    <row r="10" spans="1:4">
      <c r="A10" t="s">
        <v>1131</v>
      </c>
      <c r="B10">
        <v>40</v>
      </c>
      <c r="C10">
        <f t="shared" si="1"/>
        <v>245</v>
      </c>
      <c r="D10" s="252">
        <f t="shared" si="0"/>
        <v>0.98393574297188757</v>
      </c>
    </row>
    <row r="11" spans="1:4">
      <c r="A11" t="s">
        <v>1140</v>
      </c>
      <c r="B11">
        <v>4</v>
      </c>
      <c r="C11">
        <f t="shared" si="1"/>
        <v>249</v>
      </c>
      <c r="D11" s="252">
        <f t="shared" si="0"/>
        <v>1</v>
      </c>
    </row>
    <row r="12" spans="1:4">
      <c r="A12" t="s">
        <v>938</v>
      </c>
      <c r="B12">
        <f>SUM(B4:B11)</f>
        <v>249</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B16"/>
  <sheetViews>
    <sheetView workbookViewId="0">
      <selection activeCell="B2" sqref="B2:AR8"/>
    </sheetView>
  </sheetViews>
  <sheetFormatPr defaultColWidth="15" defaultRowHeight="12.75"/>
  <cols>
    <col min="1" max="1" width="10.140625" style="6" customWidth="1"/>
    <col min="2" max="27" width="5.7109375" style="7" customWidth="1"/>
    <col min="28" max="28" width="5.28515625" style="7" customWidth="1"/>
    <col min="29" max="54" width="6" style="7" customWidth="1"/>
    <col min="55" max="16384" width="15" style="7"/>
  </cols>
  <sheetData>
    <row r="1" spans="1:54">
      <c r="A1" s="8" t="s">
        <v>1141</v>
      </c>
      <c r="B1" s="9" t="s">
        <v>1142</v>
      </c>
      <c r="C1" s="10" t="s">
        <v>1143</v>
      </c>
      <c r="D1" s="10" t="s">
        <v>1144</v>
      </c>
      <c r="E1" s="10" t="s">
        <v>1145</v>
      </c>
      <c r="F1" s="10" t="s">
        <v>1146</v>
      </c>
      <c r="G1" s="10" t="s">
        <v>1147</v>
      </c>
      <c r="H1" s="10" t="s">
        <v>1148</v>
      </c>
      <c r="I1" s="10" t="s">
        <v>1149</v>
      </c>
      <c r="J1" s="10" t="s">
        <v>1150</v>
      </c>
      <c r="K1" s="10" t="s">
        <v>1151</v>
      </c>
      <c r="L1" s="10" t="s">
        <v>1152</v>
      </c>
      <c r="M1" s="10" t="s">
        <v>1153</v>
      </c>
      <c r="N1" s="10" t="s">
        <v>1154</v>
      </c>
      <c r="O1" s="10" t="s">
        <v>1155</v>
      </c>
      <c r="P1" s="10" t="s">
        <v>1156</v>
      </c>
      <c r="Q1" s="10" t="s">
        <v>1157</v>
      </c>
      <c r="R1" s="10" t="s">
        <v>1158</v>
      </c>
      <c r="S1" s="10" t="s">
        <v>1159</v>
      </c>
      <c r="T1" s="10" t="s">
        <v>1160</v>
      </c>
      <c r="U1" s="10" t="s">
        <v>1161</v>
      </c>
      <c r="V1" s="10" t="s">
        <v>1162</v>
      </c>
      <c r="W1" s="10" t="s">
        <v>1163</v>
      </c>
      <c r="X1" s="10" t="s">
        <v>1164</v>
      </c>
      <c r="Y1" s="10" t="s">
        <v>1165</v>
      </c>
      <c r="Z1" s="10" t="s">
        <v>1166</v>
      </c>
      <c r="AA1" s="10" t="s">
        <v>1167</v>
      </c>
      <c r="AB1" s="10" t="s">
        <v>1168</v>
      </c>
      <c r="AC1" s="10" t="s">
        <v>1169</v>
      </c>
      <c r="AD1" s="10" t="s">
        <v>1170</v>
      </c>
      <c r="AE1" s="10" t="s">
        <v>1171</v>
      </c>
      <c r="AF1" s="10" t="s">
        <v>1172</v>
      </c>
      <c r="AG1" s="10" t="s">
        <v>1173</v>
      </c>
      <c r="AH1" s="10" t="s">
        <v>1174</v>
      </c>
      <c r="AI1" s="10" t="s">
        <v>1175</v>
      </c>
      <c r="AJ1" s="10" t="s">
        <v>1176</v>
      </c>
      <c r="AK1" s="10" t="s">
        <v>1177</v>
      </c>
      <c r="AL1" s="10" t="s">
        <v>1178</v>
      </c>
      <c r="AM1" s="10" t="s">
        <v>1179</v>
      </c>
      <c r="AN1" s="10" t="s">
        <v>1180</v>
      </c>
      <c r="AO1" s="10" t="s">
        <v>1181</v>
      </c>
      <c r="AP1" s="10" t="s">
        <v>1182</v>
      </c>
      <c r="AQ1" s="10" t="s">
        <v>1183</v>
      </c>
      <c r="AR1" s="10" t="s">
        <v>1184</v>
      </c>
      <c r="AS1" s="10" t="s">
        <v>1185</v>
      </c>
      <c r="AT1" s="10" t="s">
        <v>1186</v>
      </c>
      <c r="AU1" s="10" t="s">
        <v>1187</v>
      </c>
      <c r="AV1" s="10" t="s">
        <v>1188</v>
      </c>
      <c r="AW1" s="10" t="s">
        <v>1189</v>
      </c>
      <c r="AX1" s="10" t="s">
        <v>1190</v>
      </c>
      <c r="AY1" s="10" t="s">
        <v>1191</v>
      </c>
      <c r="AZ1" s="10" t="s">
        <v>1192</v>
      </c>
      <c r="BA1" s="10" t="s">
        <v>1193</v>
      </c>
      <c r="BB1" s="33" t="s">
        <v>1194</v>
      </c>
    </row>
    <row r="2" spans="1:54" s="4" customFormat="1">
      <c r="A2" s="11" t="s">
        <v>1101</v>
      </c>
      <c r="B2" s="12">
        <v>0.1</v>
      </c>
      <c r="C2" s="13">
        <v>0.15</v>
      </c>
      <c r="D2" s="13">
        <v>0.17</v>
      </c>
      <c r="E2" s="13">
        <v>0.23</v>
      </c>
      <c r="F2" s="13">
        <v>0.28000000000000003</v>
      </c>
      <c r="G2" s="13">
        <v>0.35</v>
      </c>
      <c r="H2" s="13">
        <v>0.4</v>
      </c>
      <c r="I2" s="13">
        <v>0.45</v>
      </c>
      <c r="J2" s="13">
        <v>0.5</v>
      </c>
      <c r="K2" s="13">
        <v>0.57999999999999996</v>
      </c>
      <c r="L2" s="13">
        <v>0.62</v>
      </c>
      <c r="M2" s="13">
        <v>0.68</v>
      </c>
      <c r="N2" s="13">
        <v>0.75</v>
      </c>
      <c r="O2" s="13">
        <v>0.8</v>
      </c>
      <c r="P2" s="13">
        <v>0.85</v>
      </c>
      <c r="Q2" s="13">
        <v>0.95</v>
      </c>
      <c r="R2" s="13">
        <v>1</v>
      </c>
      <c r="S2" s="13"/>
      <c r="T2" s="13"/>
      <c r="U2" s="13"/>
      <c r="V2" s="13"/>
      <c r="W2" s="13"/>
      <c r="X2" s="13"/>
      <c r="Y2" s="13"/>
      <c r="Z2" s="13"/>
      <c r="AA2" s="13"/>
      <c r="AB2" s="13"/>
      <c r="AC2" s="13"/>
      <c r="AD2" s="13"/>
      <c r="AE2" s="13"/>
      <c r="AF2" s="13"/>
      <c r="AG2" s="13"/>
      <c r="AH2" s="13"/>
      <c r="AI2" s="13"/>
      <c r="AJ2" s="13"/>
      <c r="AK2" s="13"/>
      <c r="AL2" s="13"/>
      <c r="AM2" s="27"/>
      <c r="AN2" s="27"/>
      <c r="AO2" s="27"/>
      <c r="AP2" s="27"/>
      <c r="AQ2" s="27"/>
      <c r="AR2" s="27"/>
      <c r="AS2" s="27"/>
      <c r="AT2" s="27"/>
      <c r="AU2" s="27"/>
      <c r="AV2" s="27"/>
      <c r="AW2" s="27"/>
      <c r="AX2" s="27"/>
      <c r="AY2" s="27"/>
      <c r="AZ2" s="27"/>
      <c r="BA2" s="27"/>
      <c r="BB2" s="34"/>
    </row>
    <row r="3" spans="1:54" s="4" customFormat="1">
      <c r="A3" s="14" t="s">
        <v>1104</v>
      </c>
      <c r="B3" s="15"/>
      <c r="C3" s="16"/>
      <c r="D3" s="16"/>
      <c r="E3" s="16"/>
      <c r="F3" s="16"/>
      <c r="G3" s="16"/>
      <c r="H3" s="16"/>
      <c r="I3" s="16"/>
      <c r="J3" s="16"/>
      <c r="K3" s="16"/>
      <c r="L3" s="16">
        <v>0.1</v>
      </c>
      <c r="M3" s="16">
        <v>0.15</v>
      </c>
      <c r="N3" s="16">
        <v>0.2</v>
      </c>
      <c r="O3" s="16">
        <v>0.3</v>
      </c>
      <c r="P3" s="16">
        <v>0.35</v>
      </c>
      <c r="Q3" s="16">
        <v>0.4</v>
      </c>
      <c r="R3" s="16">
        <v>0.4</v>
      </c>
      <c r="S3" s="16">
        <v>0.5</v>
      </c>
      <c r="T3" s="16">
        <v>0.7</v>
      </c>
      <c r="U3" s="16">
        <v>0.9</v>
      </c>
      <c r="V3" s="16">
        <v>1</v>
      </c>
      <c r="W3" s="16"/>
      <c r="X3" s="16"/>
      <c r="Y3" s="16"/>
      <c r="Z3" s="16"/>
      <c r="AA3" s="16"/>
      <c r="AB3" s="16"/>
      <c r="AC3" s="16"/>
      <c r="AD3" s="16"/>
      <c r="AE3" s="16"/>
      <c r="AF3" s="16"/>
      <c r="AG3" s="16"/>
      <c r="AH3" s="16"/>
      <c r="AI3" s="16"/>
      <c r="AJ3" s="16"/>
      <c r="AK3" s="16"/>
      <c r="AL3" s="16"/>
      <c r="AM3" s="28"/>
      <c r="AN3" s="28"/>
      <c r="AO3" s="28"/>
      <c r="AP3" s="28"/>
      <c r="AQ3" s="28"/>
      <c r="AR3" s="28"/>
      <c r="AS3" s="28"/>
      <c r="AT3" s="28"/>
      <c r="AU3" s="28"/>
      <c r="AV3" s="28"/>
      <c r="AW3" s="28"/>
      <c r="AX3" s="28"/>
      <c r="AY3" s="28"/>
      <c r="AZ3" s="28"/>
      <c r="BA3" s="28"/>
      <c r="BB3" s="35"/>
    </row>
    <row r="4" spans="1:54" s="4" customFormat="1">
      <c r="A4" s="17" t="s">
        <v>182</v>
      </c>
      <c r="B4" s="18"/>
      <c r="C4" s="19"/>
      <c r="D4" s="19"/>
      <c r="E4" s="19"/>
      <c r="F4" s="19"/>
      <c r="G4" s="19"/>
      <c r="H4" s="19"/>
      <c r="I4" s="19"/>
      <c r="J4" s="19"/>
      <c r="K4" s="19"/>
      <c r="L4" s="19"/>
      <c r="M4" s="19"/>
      <c r="N4" s="19"/>
      <c r="O4" s="19"/>
      <c r="P4" s="19"/>
      <c r="Q4" s="19"/>
      <c r="R4" s="19"/>
      <c r="S4" s="19"/>
      <c r="T4" s="19"/>
      <c r="U4" s="19"/>
      <c r="V4" s="19"/>
      <c r="W4" s="19"/>
      <c r="X4" s="19"/>
      <c r="Y4" s="19"/>
      <c r="Z4" s="19"/>
      <c r="AA4" s="19"/>
      <c r="AB4" s="19">
        <v>0.05</v>
      </c>
      <c r="AC4" s="19">
        <v>0.2</v>
      </c>
      <c r="AD4" s="19">
        <v>0.3</v>
      </c>
      <c r="AE4" s="19">
        <v>0.5</v>
      </c>
      <c r="AF4" s="19">
        <v>0.6</v>
      </c>
      <c r="AG4" s="19">
        <v>0.65</v>
      </c>
      <c r="AH4" s="19">
        <v>0.7</v>
      </c>
      <c r="AI4" s="19">
        <v>0.85</v>
      </c>
      <c r="AJ4" s="19">
        <v>0.9</v>
      </c>
      <c r="AK4" s="19">
        <v>0.95</v>
      </c>
      <c r="AL4" s="19">
        <v>1</v>
      </c>
      <c r="AM4" s="29"/>
      <c r="AN4" s="29"/>
      <c r="AO4" s="29"/>
      <c r="AP4" s="29"/>
      <c r="AQ4" s="29"/>
      <c r="AR4" s="29"/>
      <c r="AS4" s="29"/>
      <c r="AT4" s="29"/>
      <c r="AU4" s="29"/>
      <c r="AV4" s="29"/>
      <c r="AW4" s="29"/>
      <c r="AX4" s="29"/>
      <c r="AY4" s="29"/>
      <c r="AZ4" s="29"/>
      <c r="BA4" s="29"/>
      <c r="BB4" s="36"/>
    </row>
    <row r="5" spans="1:54">
      <c r="A5" s="20" t="s">
        <v>1102</v>
      </c>
      <c r="B5" s="21">
        <v>5</v>
      </c>
      <c r="C5" s="22">
        <v>6</v>
      </c>
      <c r="D5" s="22">
        <v>7</v>
      </c>
      <c r="E5" s="22">
        <v>8</v>
      </c>
      <c r="F5" s="22">
        <v>9</v>
      </c>
      <c r="G5" s="22"/>
      <c r="H5" s="22"/>
      <c r="I5" s="22"/>
      <c r="J5" s="22"/>
      <c r="K5" s="22"/>
      <c r="L5" s="22"/>
      <c r="M5" s="22"/>
      <c r="N5" s="22"/>
      <c r="O5" s="22"/>
      <c r="P5" s="22"/>
      <c r="Q5" s="22"/>
      <c r="R5" s="22"/>
      <c r="S5" s="22"/>
      <c r="T5" s="22"/>
      <c r="U5" s="22"/>
      <c r="V5" s="22"/>
      <c r="W5" s="22"/>
      <c r="X5" s="22"/>
      <c r="Y5" s="22"/>
      <c r="Z5" s="22"/>
      <c r="AA5" s="22"/>
      <c r="AB5" s="22"/>
      <c r="AC5" s="22"/>
      <c r="AD5" s="22"/>
      <c r="AE5" s="22"/>
      <c r="AF5" s="25"/>
      <c r="AG5" s="30"/>
      <c r="AH5" s="25"/>
      <c r="AI5" s="31"/>
      <c r="AJ5" s="31"/>
      <c r="AK5" s="31"/>
      <c r="AL5" s="31"/>
      <c r="AM5" s="31"/>
      <c r="AN5" s="31"/>
      <c r="AO5" s="31"/>
      <c r="AP5" s="31"/>
      <c r="AQ5" s="31"/>
      <c r="AR5" s="31"/>
      <c r="AS5" s="31"/>
      <c r="AT5" s="31"/>
      <c r="AU5" s="31"/>
      <c r="AV5" s="31"/>
      <c r="AW5" s="31"/>
      <c r="AX5" s="31"/>
      <c r="AY5" s="31"/>
      <c r="AZ5" s="31"/>
      <c r="BA5" s="31"/>
      <c r="BB5" s="37"/>
    </row>
    <row r="6" spans="1:54" s="4" customFormat="1">
      <c r="A6" s="14" t="s">
        <v>1101</v>
      </c>
      <c r="B6" s="12">
        <v>0.1</v>
      </c>
      <c r="C6" s="13">
        <v>0.15</v>
      </c>
      <c r="D6" s="13">
        <v>0.17</v>
      </c>
      <c r="E6" s="13">
        <v>0.23</v>
      </c>
      <c r="F6" s="13">
        <v>0.28000000000000003</v>
      </c>
      <c r="G6" s="13">
        <v>0.35</v>
      </c>
      <c r="H6" s="13">
        <v>0.4</v>
      </c>
      <c r="I6" s="13">
        <v>0.45</v>
      </c>
      <c r="J6" s="13">
        <v>0.5</v>
      </c>
      <c r="K6" s="13">
        <v>0.57999999999999996</v>
      </c>
      <c r="L6" s="13">
        <v>0.62</v>
      </c>
      <c r="M6" s="13">
        <v>0.68</v>
      </c>
      <c r="N6" s="13">
        <v>0.75</v>
      </c>
      <c r="O6" s="13">
        <v>0.8</v>
      </c>
      <c r="P6" s="13">
        <v>0.85</v>
      </c>
      <c r="Q6" s="13">
        <v>0.95</v>
      </c>
      <c r="R6" s="13">
        <v>1</v>
      </c>
      <c r="S6" s="16"/>
      <c r="T6" s="16"/>
      <c r="U6" s="16"/>
      <c r="V6" s="16"/>
      <c r="W6" s="16"/>
      <c r="X6" s="16"/>
      <c r="Y6" s="16"/>
      <c r="Z6" s="16"/>
      <c r="AA6" s="16"/>
      <c r="AB6" s="16"/>
      <c r="AC6" s="16"/>
      <c r="AD6" s="16"/>
      <c r="AE6" s="16"/>
      <c r="AF6" s="16"/>
      <c r="AG6" s="16"/>
      <c r="AH6" s="16"/>
      <c r="AI6" s="28"/>
      <c r="AJ6" s="28"/>
      <c r="AK6" s="28"/>
      <c r="AL6" s="28"/>
      <c r="AM6" s="28"/>
      <c r="AN6" s="28"/>
      <c r="AO6" s="28"/>
      <c r="AP6" s="28"/>
      <c r="AQ6" s="28"/>
      <c r="AR6" s="28"/>
      <c r="AS6" s="28"/>
      <c r="AT6" s="28"/>
      <c r="AU6" s="28"/>
      <c r="AV6" s="28"/>
      <c r="AW6" s="28"/>
      <c r="AX6" s="28"/>
      <c r="AY6" s="28"/>
      <c r="AZ6" s="28"/>
      <c r="BA6" s="28"/>
      <c r="BB6" s="35"/>
    </row>
    <row r="7" spans="1:54" s="5" customFormat="1">
      <c r="A7" s="23" t="s">
        <v>1103</v>
      </c>
      <c r="B7" s="15"/>
      <c r="C7" s="16"/>
      <c r="D7" s="16"/>
      <c r="E7" s="16"/>
      <c r="F7" s="16"/>
      <c r="G7" s="16"/>
      <c r="H7" s="16"/>
      <c r="I7" s="16"/>
      <c r="J7" s="16"/>
      <c r="K7" s="16"/>
      <c r="L7" s="16">
        <v>0.1</v>
      </c>
      <c r="M7" s="16">
        <v>0.15</v>
      </c>
      <c r="N7" s="16">
        <v>0.2</v>
      </c>
      <c r="O7" s="16">
        <v>0.3</v>
      </c>
      <c r="P7" s="16">
        <v>0.35</v>
      </c>
      <c r="Q7" s="16">
        <v>0.4</v>
      </c>
      <c r="R7" s="16">
        <v>0.4</v>
      </c>
      <c r="S7" s="16">
        <v>0.5</v>
      </c>
      <c r="T7" s="16">
        <v>0.7</v>
      </c>
      <c r="U7" s="16">
        <v>0.9</v>
      </c>
      <c r="V7" s="16">
        <v>1</v>
      </c>
      <c r="W7" s="16"/>
      <c r="X7" s="16"/>
      <c r="Y7" s="16"/>
      <c r="Z7" s="16"/>
      <c r="AA7" s="16"/>
      <c r="AB7" s="16"/>
      <c r="AC7" s="16"/>
      <c r="AD7" s="16"/>
      <c r="AE7" s="16"/>
      <c r="AF7" s="26"/>
      <c r="AG7" s="16"/>
      <c r="AH7" s="26"/>
      <c r="AI7" s="32"/>
      <c r="AJ7" s="32"/>
      <c r="AK7" s="32"/>
      <c r="AL7" s="32"/>
      <c r="AM7" s="32"/>
      <c r="AN7" s="32"/>
      <c r="AO7" s="32"/>
      <c r="AP7" s="32"/>
      <c r="AQ7" s="32"/>
      <c r="AR7" s="32"/>
      <c r="AS7" s="32"/>
      <c r="AT7" s="32"/>
      <c r="AU7" s="32"/>
      <c r="AV7" s="32"/>
      <c r="AW7" s="32"/>
      <c r="AX7" s="32"/>
      <c r="AY7" s="32"/>
      <c r="AZ7" s="32"/>
      <c r="BA7" s="32"/>
      <c r="BB7" s="38"/>
    </row>
    <row r="8" spans="1:54" s="4" customFormat="1">
      <c r="A8" s="17" t="s">
        <v>182</v>
      </c>
      <c r="B8" s="18"/>
      <c r="C8" s="19"/>
      <c r="D8" s="19"/>
      <c r="E8" s="19"/>
      <c r="F8" s="19"/>
      <c r="G8" s="19"/>
      <c r="H8" s="19"/>
      <c r="I8" s="19"/>
      <c r="J8" s="19"/>
      <c r="K8" s="19"/>
      <c r="L8" s="19"/>
      <c r="M8" s="19"/>
      <c r="N8" s="19"/>
      <c r="O8" s="19"/>
      <c r="P8" s="19"/>
      <c r="Q8" s="19"/>
      <c r="R8" s="19"/>
      <c r="S8" s="19"/>
      <c r="T8" s="19"/>
      <c r="U8" s="19"/>
      <c r="V8" s="19"/>
      <c r="W8" s="19"/>
      <c r="X8" s="19"/>
      <c r="Y8" s="19"/>
      <c r="Z8" s="19"/>
      <c r="AA8" s="19"/>
      <c r="AB8" s="19">
        <v>0.08</v>
      </c>
      <c r="AC8" s="19">
        <v>0.15</v>
      </c>
      <c r="AD8" s="19">
        <v>0.26</v>
      </c>
      <c r="AE8" s="19">
        <v>0.4</v>
      </c>
      <c r="AF8" s="19">
        <v>0.5</v>
      </c>
      <c r="AG8" s="19">
        <v>0.55000000000000004</v>
      </c>
      <c r="AH8" s="19">
        <v>0.6</v>
      </c>
      <c r="AI8" s="29">
        <v>0.7</v>
      </c>
      <c r="AJ8" s="29">
        <v>0.75</v>
      </c>
      <c r="AK8" s="29">
        <v>0.78</v>
      </c>
      <c r="AL8" s="29">
        <v>0.8</v>
      </c>
      <c r="AM8" s="29">
        <v>0.85</v>
      </c>
      <c r="AN8" s="29">
        <v>0.88</v>
      </c>
      <c r="AO8" s="29">
        <v>0.9</v>
      </c>
      <c r="AP8" s="29">
        <v>0.95</v>
      </c>
      <c r="AQ8" s="29">
        <v>1</v>
      </c>
      <c r="AR8" s="29"/>
      <c r="AS8" s="29"/>
      <c r="AT8" s="29"/>
      <c r="AU8" s="29"/>
      <c r="AV8" s="29"/>
      <c r="AW8" s="29"/>
      <c r="AX8" s="29"/>
      <c r="AY8" s="29"/>
      <c r="AZ8" s="29"/>
      <c r="BA8" s="29"/>
      <c r="BB8" s="36"/>
    </row>
    <row r="16" spans="1:54">
      <c r="V16" s="24"/>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E13"/>
  <sheetViews>
    <sheetView workbookViewId="0">
      <selection activeCell="D22" sqref="D22"/>
    </sheetView>
  </sheetViews>
  <sheetFormatPr defaultColWidth="9" defaultRowHeight="15"/>
  <cols>
    <col min="1" max="1" width="13.140625" customWidth="1"/>
    <col min="2" max="2" width="13.28515625" customWidth="1"/>
    <col min="4" max="4" width="9.140625" style="1"/>
  </cols>
  <sheetData>
    <row r="3" spans="1:5">
      <c r="A3" t="s">
        <v>1124</v>
      </c>
      <c r="B3" t="s">
        <v>1195</v>
      </c>
    </row>
    <row r="4" spans="1:5">
      <c r="A4" s="2" t="s">
        <v>44</v>
      </c>
      <c r="B4">
        <v>0</v>
      </c>
    </row>
    <row r="5" spans="1:5">
      <c r="A5" s="2" t="s">
        <v>1196</v>
      </c>
      <c r="B5">
        <v>85</v>
      </c>
      <c r="D5" s="1">
        <f>GETPIVOTDATA("#Tests",$A$3,"ETA","wk-1")/GETPIVOTDATA("#Tests",$A$3)</f>
        <v>0.17</v>
      </c>
      <c r="E5" s="3">
        <f>D5</f>
        <v>0.17</v>
      </c>
    </row>
    <row r="6" spans="1:5">
      <c r="A6" s="2" t="s">
        <v>1197</v>
      </c>
      <c r="B6">
        <v>48</v>
      </c>
      <c r="D6" s="1">
        <f>GETPIVOTDATA("#Tests",$A$3,"ETA","wk-2")/GETPIVOTDATA("#Tests",$A$3)</f>
        <v>9.6000000000000002E-2</v>
      </c>
      <c r="E6" s="3">
        <f t="shared" ref="E6:E12" si="0">E5+D6</f>
        <v>0.26600000000000001</v>
      </c>
    </row>
    <row r="7" spans="1:5">
      <c r="A7" s="2" t="s">
        <v>1198</v>
      </c>
      <c r="B7">
        <v>96</v>
      </c>
      <c r="D7" s="1">
        <f>GETPIVOTDATA("#Tests",$A$3,"ETA","wk-3")/GETPIVOTDATA("#Tests",$A$3)</f>
        <v>0.192</v>
      </c>
      <c r="E7" s="3">
        <f t="shared" si="0"/>
        <v>0.45800000000000002</v>
      </c>
    </row>
    <row r="8" spans="1:5">
      <c r="A8" s="2" t="s">
        <v>1199</v>
      </c>
      <c r="B8">
        <v>79</v>
      </c>
      <c r="D8" s="1">
        <f>GETPIVOTDATA("#Tests",$A$3,"ETA","wk-4")/GETPIVOTDATA("#Tests",$A$3)</f>
        <v>0.158</v>
      </c>
      <c r="E8" s="3">
        <f t="shared" si="0"/>
        <v>0.61599999999999999</v>
      </c>
    </row>
    <row r="9" spans="1:5">
      <c r="A9" s="2" t="s">
        <v>1200</v>
      </c>
      <c r="B9">
        <v>82</v>
      </c>
      <c r="D9" s="1">
        <f>GETPIVOTDATA("#Tests",$A$3,"ETA","wk-5")/GETPIVOTDATA("#Tests",$A$3)</f>
        <v>0.16400000000000001</v>
      </c>
      <c r="E9" s="3">
        <f t="shared" si="0"/>
        <v>0.78</v>
      </c>
    </row>
    <row r="10" spans="1:5">
      <c r="A10" s="2" t="s">
        <v>1201</v>
      </c>
      <c r="B10">
        <v>60</v>
      </c>
      <c r="D10" s="1">
        <f>GETPIVOTDATA("#Tests",$A$3,"ETA","wk-6")/GETPIVOTDATA("#Tests",$A$3)</f>
        <v>0.12</v>
      </c>
      <c r="E10" s="3">
        <f t="shared" si="0"/>
        <v>0.9</v>
      </c>
    </row>
    <row r="11" spans="1:5">
      <c r="A11" s="2" t="s">
        <v>1202</v>
      </c>
      <c r="B11">
        <v>30</v>
      </c>
      <c r="D11" s="1">
        <f>GETPIVOTDATA("#Tests",$A$3,"ETA","wk-7")/GETPIVOTDATA("#Tests",$A$3)</f>
        <v>0.06</v>
      </c>
      <c r="E11" s="3">
        <f t="shared" si="0"/>
        <v>0.96</v>
      </c>
    </row>
    <row r="12" spans="1:5">
      <c r="A12" s="2" t="s">
        <v>1203</v>
      </c>
      <c r="B12">
        <v>20</v>
      </c>
      <c r="D12" s="1">
        <f>GETPIVOTDATA("#Tests",$A$3,"ETA","wk-8")/GETPIVOTDATA("#Tests",$A$3)</f>
        <v>0.04</v>
      </c>
      <c r="E12" s="3">
        <f t="shared" si="0"/>
        <v>1</v>
      </c>
    </row>
    <row r="13" spans="1:5">
      <c r="A13" s="2" t="s">
        <v>938</v>
      </c>
      <c r="B13">
        <v>500</v>
      </c>
      <c r="D13" s="1">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F5BF233E-9004-4C3F-AE0D-D9ACFEE6A8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Diags Raw Data</vt:lpstr>
      <vt:lpstr>Sub-IP Block Summary</vt:lpstr>
      <vt:lpstr>Feature Raw Data</vt:lpstr>
      <vt:lpstr>Progress (WIP)</vt:lpstr>
      <vt:lpstr>Feature Summary</vt:lpstr>
      <vt:lpstr>FeatureSHR</vt:lpstr>
      <vt:lpstr>TestSHR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2013-03-11T21:33:00Z</dcterms:created>
  <dcterms:modified xsi:type="dcterms:W3CDTF">2023-09-29T13:41:04Z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KSOProductBuildVer">
    <vt:lpwstr>2052-11.1.0.9662</vt:lpwstr>
  </property>
  <property fmtid="{D5CDD505-2E9C-101B-9397-08002B2CF9AE}" pid="4" name="MSIP_Label_88914ebd-7e6c-4e12-a031-a9906be2db14_Enabled">
    <vt:lpwstr>true</vt:lpwstr>
  </property>
  <property fmtid="{D5CDD505-2E9C-101B-9397-08002B2CF9AE}" pid="5" name="MSIP_Label_88914ebd-7e6c-4e12-a031-a9906be2db14_SetDate">
    <vt:lpwstr>2022-04-13T13:02:19Z</vt:lpwstr>
  </property>
  <property fmtid="{D5CDD505-2E9C-101B-9397-08002B2CF9AE}" pid="6" name="MSIP_Label_88914ebd-7e6c-4e12-a031-a9906be2db14_Method">
    <vt:lpwstr>Standard</vt:lpwstr>
  </property>
  <property fmtid="{D5CDD505-2E9C-101B-9397-08002B2CF9AE}" pid="7" name="MSIP_Label_88914ebd-7e6c-4e12-a031-a9906be2db14_Name">
    <vt:lpwstr>AMD Official Use Only-AIP 2.0</vt:lpwstr>
  </property>
  <property fmtid="{D5CDD505-2E9C-101B-9397-08002B2CF9AE}" pid="8" name="MSIP_Label_88914ebd-7e6c-4e12-a031-a9906be2db14_SiteId">
    <vt:lpwstr>3dd8961f-e488-4e60-8e11-a82d994e183d</vt:lpwstr>
  </property>
  <property fmtid="{D5CDD505-2E9C-101B-9397-08002B2CF9AE}" pid="9" name="MSIP_Label_88914ebd-7e6c-4e12-a031-a9906be2db14_ActionId">
    <vt:lpwstr>4a639609-b49c-4155-be17-ea7e078735e6</vt:lpwstr>
  </property>
  <property fmtid="{D5CDD505-2E9C-101B-9397-08002B2CF9AE}" pid="10" name="MSIP_Label_88914ebd-7e6c-4e12-a031-a9906be2db14_ContentBits">
    <vt:lpwstr>1</vt:lpwstr>
  </property>
</Properties>
</file>