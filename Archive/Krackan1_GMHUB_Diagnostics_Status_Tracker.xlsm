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srizvi\Documents\"/>
    </mc:Choice>
  </mc:AlternateContent>
  <xr:revisionPtr revIDLastSave="0" documentId="13_ncr:1_{6CE85FC6-9D98-41DC-9E02-5003F7BA798C}" xr6:coauthVersionLast="36" xr6:coauthVersionMax="47" xr10:uidLastSave="{00000000-0000-0000-0000-000000000000}"/>
  <bookViews>
    <workbookView xWindow="0" yWindow="0" windowWidth="14220" windowHeight="15600" firstSheet="4"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11343" r:id="rId15"/>
  </pivotCaches>
  <fileRecoveryPr autoRecover="0"/>
</workbook>
</file>

<file path=xl/calcChain.xml><?xml version="1.0" encoding="utf-8"?>
<calcChain xmlns="http://schemas.openxmlformats.org/spreadsheetml/2006/main">
  <c r="S6" i="53" l="1"/>
  <c r="S7" i="53"/>
  <c r="B177" i="55"/>
  <c r="C177" i="55"/>
  <c r="D177" i="55" a="1"/>
  <c r="D177" i="55"/>
  <c r="E177" i="55"/>
  <c r="F177" i="55"/>
  <c r="I177" i="55"/>
  <c r="J177" i="55"/>
  <c r="R1089" i="53"/>
  <c r="M177" i="55" a="1"/>
  <c r="M177" i="55"/>
  <c r="N177" i="55" a="1"/>
  <c r="N177" i="55"/>
  <c r="P177" i="55"/>
  <c r="S177" i="55"/>
  <c r="Q177" i="55"/>
  <c r="B178" i="55"/>
  <c r="C178" i="55"/>
  <c r="D178" i="55" a="1"/>
  <c r="D178" i="55"/>
  <c r="E178" i="55"/>
  <c r="F178" i="55"/>
  <c r="I178" i="55"/>
  <c r="J178" i="55"/>
  <c r="M178" i="55" a="1"/>
  <c r="M178" i="55"/>
  <c r="N178" i="55" a="1"/>
  <c r="N178" i="55"/>
  <c r="P178" i="55"/>
  <c r="S178" i="55"/>
  <c r="Q178" i="55"/>
  <c r="B176" i="55"/>
  <c r="C176" i="55"/>
  <c r="D176" i="55" a="1"/>
  <c r="D176" i="55"/>
  <c r="E176" i="55"/>
  <c r="F176" i="55"/>
  <c r="I176" i="55"/>
  <c r="J176" i="55"/>
  <c r="M176" i="55" a="1"/>
  <c r="M176" i="55"/>
  <c r="N176" i="55" a="1"/>
  <c r="N176" i="55"/>
  <c r="P176" i="55"/>
  <c r="S176" i="55"/>
  <c r="Q176" i="55"/>
  <c r="Z15" i="53"/>
  <c r="Z778" i="53"/>
  <c r="Z340" i="53"/>
  <c r="AE340" i="53"/>
  <c r="P340" i="53"/>
  <c r="S340" i="53"/>
  <c r="X340" i="53"/>
  <c r="G340" i="53"/>
  <c r="Z195" i="53"/>
  <c r="AE195" i="53"/>
  <c r="S195" i="53"/>
  <c r="X195" i="53"/>
  <c r="P195" i="53"/>
  <c r="G195" i="53"/>
  <c r="D149" i="55" a="1"/>
  <c r="D149" i="55"/>
  <c r="H149" i="55"/>
  <c r="K1089" i="53"/>
  <c r="I183" i="55"/>
  <c r="D18" i="59"/>
  <c r="D19" i="59"/>
  <c r="D20" i="59"/>
  <c r="D4" i="59"/>
  <c r="D5" i="59"/>
  <c r="D6" i="59"/>
  <c r="Z208" i="53"/>
  <c r="AE208" i="53"/>
  <c r="G501" i="53"/>
  <c r="Z432" i="53"/>
  <c r="AE432" i="53"/>
  <c r="S432" i="53"/>
  <c r="X432" i="53"/>
  <c r="P432" i="53"/>
  <c r="G432" i="53"/>
  <c r="Z101" i="53"/>
  <c r="AE101" i="53"/>
  <c r="Z102" i="53"/>
  <c r="AE102" i="53"/>
  <c r="AA1089" i="53"/>
  <c r="Z1052" i="53"/>
  <c r="AE1052" i="53"/>
  <c r="S1052" i="53"/>
  <c r="X1052" i="53"/>
  <c r="P1052" i="53"/>
  <c r="Z1062" i="53"/>
  <c r="AE1062" i="53"/>
  <c r="S1062" i="53"/>
  <c r="X1062" i="53"/>
  <c r="P1062" i="53"/>
  <c r="Z824" i="53"/>
  <c r="G1082" i="53"/>
  <c r="G1083" i="53"/>
  <c r="G1084" i="53"/>
  <c r="D32" i="55" a="1"/>
  <c r="D32" i="55"/>
  <c r="B170" i="55"/>
  <c r="C170" i="55"/>
  <c r="D170" i="55" a="1"/>
  <c r="D170" i="55"/>
  <c r="G170" i="55"/>
  <c r="E170" i="55"/>
  <c r="F170" i="55"/>
  <c r="I170" i="55"/>
  <c r="J170" i="55"/>
  <c r="Q170" i="55"/>
  <c r="B144" i="55"/>
  <c r="C144" i="55"/>
  <c r="D144" i="55" a="1"/>
  <c r="D144" i="55"/>
  <c r="E144" i="55"/>
  <c r="F144" i="55"/>
  <c r="I144" i="55"/>
  <c r="J144" i="55"/>
  <c r="Q144" i="55"/>
  <c r="B94" i="55"/>
  <c r="C94" i="55"/>
  <c r="G588" i="53"/>
  <c r="D94" i="55" a="1"/>
  <c r="D94" i="55"/>
  <c r="E94" i="55"/>
  <c r="F94" i="55"/>
  <c r="I94" i="55"/>
  <c r="J94" i="55"/>
  <c r="Q94" i="55"/>
  <c r="B95" i="55"/>
  <c r="C95" i="55"/>
  <c r="D95" i="55" a="1"/>
  <c r="D95" i="55"/>
  <c r="L1089" i="53"/>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c r="J96" i="55"/>
  <c r="E96" i="55"/>
  <c r="F96" i="55"/>
  <c r="I96" i="55"/>
  <c r="Q96" i="55"/>
  <c r="B97" i="55"/>
  <c r="C97" i="55"/>
  <c r="D97" i="55" a="1"/>
  <c r="D97" i="55"/>
  <c r="J97" i="55"/>
  <c r="E97" i="55"/>
  <c r="F97" i="55"/>
  <c r="I97" i="55"/>
  <c r="Q97" i="55"/>
  <c r="B98" i="55"/>
  <c r="C98" i="55"/>
  <c r="G710" i="53"/>
  <c r="D98" i="55" a="1"/>
  <c r="D98" i="55"/>
  <c r="E98" i="55"/>
  <c r="F98" i="55"/>
  <c r="I98" i="55"/>
  <c r="J98" i="55"/>
  <c r="Q98" i="55"/>
  <c r="B99" i="55"/>
  <c r="C99" i="55"/>
  <c r="G650" i="53"/>
  <c r="D99" i="55" a="1"/>
  <c r="D99" i="55"/>
  <c r="G99" i="55"/>
  <c r="E99" i="55"/>
  <c r="F99" i="55"/>
  <c r="I99" i="55"/>
  <c r="J99" i="55"/>
  <c r="Q99" i="55"/>
  <c r="B11" i="55"/>
  <c r="C11" i="55"/>
  <c r="D11" i="55" a="1"/>
  <c r="D11" i="55"/>
  <c r="K11" i="55" a="1"/>
  <c r="K11" i="55"/>
  <c r="E11" i="55"/>
  <c r="F11" i="55"/>
  <c r="I11" i="55"/>
  <c r="J11" i="55"/>
  <c r="R11" i="55"/>
  <c r="P11" i="55"/>
  <c r="S11" i="55"/>
  <c r="Q11" i="55"/>
  <c r="B18" i="55"/>
  <c r="C18" i="55"/>
  <c r="D18" i="55" a="1"/>
  <c r="D18" i="55"/>
  <c r="E18" i="55"/>
  <c r="F18" i="55"/>
  <c r="I18" i="55"/>
  <c r="J18" i="55"/>
  <c r="Q18" i="55"/>
  <c r="Z1070" i="53"/>
  <c r="AE1070" i="53"/>
  <c r="S1070" i="53"/>
  <c r="X1070" i="53"/>
  <c r="Z1082" i="53"/>
  <c r="AE1082" i="53"/>
  <c r="Z1083" i="53"/>
  <c r="AE1083" i="53"/>
  <c r="Z1084" i="53"/>
  <c r="AE1084" i="53"/>
  <c r="S1082" i="53"/>
  <c r="X1082" i="53"/>
  <c r="S1083" i="53"/>
  <c r="X1083" i="53"/>
  <c r="S1084" i="53"/>
  <c r="X1084" i="53"/>
  <c r="C56" i="55"/>
  <c r="G1068" i="53"/>
  <c r="C25" i="55"/>
  <c r="G99" i="53"/>
  <c r="B6" i="59"/>
  <c r="E6" i="59"/>
  <c r="Z1065" i="53"/>
  <c r="AE1065" i="53"/>
  <c r="Z1066" i="53"/>
  <c r="AE1066" i="53"/>
  <c r="Z1067" i="53"/>
  <c r="AE1067" i="53"/>
  <c r="Z1068" i="53"/>
  <c r="AE1068" i="53"/>
  <c r="Z1069" i="53"/>
  <c r="AE1069" i="53"/>
  <c r="Z863" i="53"/>
  <c r="AE863" i="53"/>
  <c r="Z864" i="53"/>
  <c r="AE864" i="53"/>
  <c r="Z865" i="53"/>
  <c r="AE865" i="53"/>
  <c r="Z866" i="53"/>
  <c r="AE866" i="53"/>
  <c r="Z867" i="53"/>
  <c r="AE867" i="53"/>
  <c r="Z868" i="53"/>
  <c r="AE868" i="53"/>
  <c r="Z869" i="53"/>
  <c r="AE869" i="53"/>
  <c r="Z870" i="53"/>
  <c r="AE870" i="53"/>
  <c r="Z871" i="53"/>
  <c r="AE871" i="53"/>
  <c r="Z872" i="53"/>
  <c r="AE872" i="53"/>
  <c r="Z873" i="53"/>
  <c r="AE873" i="53"/>
  <c r="Z874" i="53"/>
  <c r="AE874" i="53"/>
  <c r="Z875" i="53"/>
  <c r="AE875" i="53"/>
  <c r="Z876" i="53"/>
  <c r="AE876" i="53"/>
  <c r="Z877" i="53"/>
  <c r="AE877" i="53"/>
  <c r="Z878" i="53"/>
  <c r="AE878" i="53"/>
  <c r="Z879" i="53"/>
  <c r="AE879" i="53"/>
  <c r="Z880" i="53"/>
  <c r="AE880" i="53"/>
  <c r="Z881" i="53"/>
  <c r="AE881" i="53"/>
  <c r="Z882" i="53"/>
  <c r="AE882" i="53"/>
  <c r="Z883" i="53"/>
  <c r="AE883" i="53"/>
  <c r="Z884" i="53"/>
  <c r="AE884" i="53"/>
  <c r="Z885" i="53"/>
  <c r="AE885" i="53"/>
  <c r="Z886" i="53"/>
  <c r="AE886" i="53"/>
  <c r="Z887" i="53"/>
  <c r="AE887" i="53"/>
  <c r="Z888" i="53"/>
  <c r="AE888" i="53"/>
  <c r="Z889" i="53"/>
  <c r="AE889" i="53"/>
  <c r="Z890" i="53"/>
  <c r="AE890" i="53"/>
  <c r="Z891" i="53"/>
  <c r="AE891" i="53"/>
  <c r="Z892" i="53"/>
  <c r="AE892" i="53"/>
  <c r="Z893" i="53"/>
  <c r="AE893" i="53"/>
  <c r="Z894" i="53"/>
  <c r="AE894" i="53"/>
  <c r="Z895" i="53"/>
  <c r="AE895" i="53"/>
  <c r="Z896" i="53"/>
  <c r="AE896" i="53"/>
  <c r="Z897" i="53"/>
  <c r="AE897" i="53"/>
  <c r="Z898" i="53"/>
  <c r="AE898" i="53"/>
  <c r="Z899" i="53"/>
  <c r="AE899" i="53"/>
  <c r="Z900" i="53"/>
  <c r="AE900" i="53"/>
  <c r="Z901" i="53"/>
  <c r="AE901" i="53"/>
  <c r="Z902" i="53"/>
  <c r="AE902" i="53"/>
  <c r="Z903" i="53"/>
  <c r="AE903" i="53"/>
  <c r="Z904" i="53"/>
  <c r="AE904" i="53"/>
  <c r="Z905" i="53"/>
  <c r="AE905" i="53"/>
  <c r="Z906" i="53"/>
  <c r="AE906" i="53"/>
  <c r="Z907" i="53"/>
  <c r="AE907" i="53"/>
  <c r="Z908" i="53"/>
  <c r="AE908" i="53"/>
  <c r="Z909" i="53"/>
  <c r="AE909" i="53"/>
  <c r="Z910" i="53"/>
  <c r="AE910" i="53"/>
  <c r="Z911" i="53"/>
  <c r="AE911" i="53"/>
  <c r="Z912" i="53"/>
  <c r="AE912" i="53"/>
  <c r="Z913" i="53"/>
  <c r="AE913" i="53"/>
  <c r="Z914" i="53"/>
  <c r="AE914" i="53"/>
  <c r="Z915" i="53"/>
  <c r="AE915" i="53"/>
  <c r="Z916" i="53"/>
  <c r="AE916" i="53"/>
  <c r="Z917" i="53"/>
  <c r="AE917" i="53"/>
  <c r="Z918" i="53"/>
  <c r="AE918" i="53"/>
  <c r="Z919" i="53"/>
  <c r="AE919" i="53"/>
  <c r="Z920" i="53"/>
  <c r="AE920" i="53"/>
  <c r="Z921" i="53"/>
  <c r="AE921" i="53"/>
  <c r="Z922" i="53"/>
  <c r="AE922" i="53"/>
  <c r="Z923" i="53"/>
  <c r="AE923" i="53"/>
  <c r="Z924" i="53"/>
  <c r="AE924" i="53"/>
  <c r="Z925" i="53"/>
  <c r="AE925" i="53"/>
  <c r="Z926" i="53"/>
  <c r="AE926" i="53"/>
  <c r="Z927" i="53"/>
  <c r="AE927" i="53"/>
  <c r="Z928" i="53"/>
  <c r="AE928" i="53"/>
  <c r="Z929" i="53"/>
  <c r="AE929" i="53"/>
  <c r="Z930" i="53"/>
  <c r="AE930" i="53"/>
  <c r="Z931" i="53"/>
  <c r="AE931" i="53"/>
  <c r="Z932" i="53"/>
  <c r="AE932" i="53"/>
  <c r="Z933" i="53"/>
  <c r="AE933" i="53"/>
  <c r="Z934" i="53"/>
  <c r="AE934" i="53"/>
  <c r="Z935" i="53"/>
  <c r="AE935" i="53"/>
  <c r="Z936" i="53"/>
  <c r="AE936" i="53"/>
  <c r="Z937" i="53"/>
  <c r="AE937" i="53"/>
  <c r="Z938" i="53"/>
  <c r="AE938" i="53"/>
  <c r="Z939" i="53"/>
  <c r="AE939" i="53"/>
  <c r="Z940" i="53"/>
  <c r="AE940" i="53"/>
  <c r="Z941" i="53"/>
  <c r="AE941" i="53"/>
  <c r="Z942" i="53"/>
  <c r="AE942" i="53"/>
  <c r="Z943" i="53"/>
  <c r="AE943" i="53"/>
  <c r="Z944" i="53"/>
  <c r="AE944" i="53"/>
  <c r="Z945" i="53"/>
  <c r="AE945" i="53"/>
  <c r="Z946" i="53"/>
  <c r="AE946" i="53"/>
  <c r="Z947" i="53"/>
  <c r="AE947" i="53"/>
  <c r="Z948" i="53"/>
  <c r="AE948" i="53"/>
  <c r="Z949" i="53"/>
  <c r="AE949" i="53"/>
  <c r="Z950" i="53"/>
  <c r="AE950" i="53"/>
  <c r="Z951" i="53"/>
  <c r="AE951" i="53"/>
  <c r="Z952" i="53"/>
  <c r="AE952" i="53"/>
  <c r="Z953" i="53"/>
  <c r="AE953" i="53"/>
  <c r="Z954" i="53"/>
  <c r="AE954" i="53"/>
  <c r="Z955" i="53"/>
  <c r="AE955" i="53"/>
  <c r="Z956" i="53"/>
  <c r="AE956" i="53"/>
  <c r="Z957" i="53"/>
  <c r="AE957" i="53"/>
  <c r="Z958" i="53"/>
  <c r="AE958" i="53"/>
  <c r="Z959" i="53"/>
  <c r="AE959" i="53"/>
  <c r="Z960" i="53"/>
  <c r="AE960" i="53"/>
  <c r="Z961" i="53"/>
  <c r="AE961" i="53"/>
  <c r="Z962" i="53"/>
  <c r="Z963" i="53"/>
  <c r="AE963" i="53"/>
  <c r="Z964" i="53"/>
  <c r="AE964" i="53"/>
  <c r="Z965" i="53"/>
  <c r="AE965" i="53"/>
  <c r="Z966" i="53"/>
  <c r="AE966" i="53"/>
  <c r="Z967" i="53"/>
  <c r="AE967" i="53"/>
  <c r="Z968" i="53"/>
  <c r="AE968" i="53"/>
  <c r="Z969" i="53"/>
  <c r="AE969" i="53"/>
  <c r="Z970" i="53"/>
  <c r="AE970" i="53"/>
  <c r="Z971" i="53"/>
  <c r="AE971" i="53"/>
  <c r="Z972" i="53"/>
  <c r="AE972" i="53"/>
  <c r="Z973" i="53"/>
  <c r="AE973" i="53"/>
  <c r="Z974" i="53"/>
  <c r="AE974" i="53"/>
  <c r="Z975" i="53"/>
  <c r="AE975" i="53"/>
  <c r="Z976" i="53"/>
  <c r="AE976" i="53"/>
  <c r="Z977" i="53"/>
  <c r="AE977" i="53"/>
  <c r="Z978" i="53"/>
  <c r="AE978" i="53"/>
  <c r="Z979" i="53"/>
  <c r="AE979" i="53"/>
  <c r="Z980" i="53"/>
  <c r="AE980" i="53"/>
  <c r="Z981" i="53"/>
  <c r="AE981" i="53"/>
  <c r="Z982" i="53"/>
  <c r="AE982" i="53"/>
  <c r="Z983" i="53"/>
  <c r="AE983" i="53"/>
  <c r="Z984" i="53"/>
  <c r="AE984" i="53"/>
  <c r="Z985" i="53"/>
  <c r="AE985" i="53"/>
  <c r="Z986" i="53"/>
  <c r="AE986" i="53"/>
  <c r="Z987" i="53"/>
  <c r="AE987" i="53"/>
  <c r="Z988" i="53"/>
  <c r="AE988" i="53"/>
  <c r="Z989" i="53"/>
  <c r="AE989" i="53"/>
  <c r="Z990" i="53"/>
  <c r="AE990" i="53"/>
  <c r="Z991" i="53"/>
  <c r="AE991" i="53"/>
  <c r="Z992" i="53"/>
  <c r="AE992" i="53"/>
  <c r="Z993" i="53"/>
  <c r="AE993" i="53"/>
  <c r="Z994" i="53"/>
  <c r="AE994" i="53"/>
  <c r="Z995" i="53"/>
  <c r="AE995" i="53"/>
  <c r="Z996" i="53"/>
  <c r="AE996" i="53"/>
  <c r="Z997" i="53"/>
  <c r="AE997" i="53"/>
  <c r="Z998" i="53"/>
  <c r="AE998" i="53"/>
  <c r="Z999" i="53"/>
  <c r="AE999" i="53"/>
  <c r="Z1000" i="53"/>
  <c r="AE1000" i="53"/>
  <c r="Z1001" i="53"/>
  <c r="AE1001" i="53"/>
  <c r="Z1002" i="53"/>
  <c r="AE1002" i="53"/>
  <c r="Z1003" i="53"/>
  <c r="AE1003" i="53"/>
  <c r="Z1004" i="53"/>
  <c r="AE1004" i="53"/>
  <c r="Z1005" i="53"/>
  <c r="AE1005" i="53"/>
  <c r="Z1006" i="53"/>
  <c r="AE1006" i="53"/>
  <c r="Z1007" i="53"/>
  <c r="AE1007" i="53"/>
  <c r="Z1008" i="53"/>
  <c r="AE1008" i="53"/>
  <c r="Z1009" i="53"/>
  <c r="AE1009" i="53"/>
  <c r="Z1010" i="53"/>
  <c r="AE1010" i="53"/>
  <c r="Z1011" i="53"/>
  <c r="AE1011" i="53"/>
  <c r="Z1012" i="53"/>
  <c r="AE1012" i="53"/>
  <c r="Z1013" i="53"/>
  <c r="AE1013" i="53"/>
  <c r="Z1014" i="53"/>
  <c r="AE1014" i="53"/>
  <c r="Z1015" i="53"/>
  <c r="AE1015" i="53"/>
  <c r="Z1016" i="53"/>
  <c r="AE1016" i="53"/>
  <c r="Z1017" i="53"/>
  <c r="AE1017" i="53"/>
  <c r="Z1018" i="53"/>
  <c r="AE1018" i="53"/>
  <c r="Z1019" i="53"/>
  <c r="AE1019" i="53"/>
  <c r="Z1020" i="53"/>
  <c r="AE1020" i="53"/>
  <c r="Z1021" i="53"/>
  <c r="AE1021" i="53"/>
  <c r="Z1022" i="53"/>
  <c r="AE1022" i="53"/>
  <c r="Z1023" i="53"/>
  <c r="AE1023" i="53"/>
  <c r="Z1024" i="53"/>
  <c r="AE1024" i="53"/>
  <c r="Z1025" i="53"/>
  <c r="AE1025" i="53"/>
  <c r="Z1026" i="53"/>
  <c r="AE1026" i="53"/>
  <c r="Z1027" i="53"/>
  <c r="AE1027" i="53"/>
  <c r="Z1028" i="53"/>
  <c r="AE1028" i="53"/>
  <c r="Z1029" i="53"/>
  <c r="AE1029" i="53"/>
  <c r="Z1030" i="53"/>
  <c r="AE1030" i="53"/>
  <c r="Z1031" i="53"/>
  <c r="AE1031" i="53"/>
  <c r="Z1032" i="53"/>
  <c r="AE1032" i="53"/>
  <c r="Z1033" i="53"/>
  <c r="AE1033" i="53"/>
  <c r="Z1034" i="53"/>
  <c r="AE1034" i="53"/>
  <c r="Z1035" i="53"/>
  <c r="AE1035" i="53"/>
  <c r="Z1036" i="53"/>
  <c r="AE1036" i="53"/>
  <c r="Z1037" i="53"/>
  <c r="AE1037" i="53"/>
  <c r="Z1038" i="53"/>
  <c r="AE1038" i="53"/>
  <c r="Z1039" i="53"/>
  <c r="AE1039" i="53"/>
  <c r="Z1040" i="53"/>
  <c r="AE1040" i="53"/>
  <c r="Z1041" i="53"/>
  <c r="AE1041" i="53"/>
  <c r="Z1042" i="53"/>
  <c r="AE1042" i="53"/>
  <c r="Z1043" i="53"/>
  <c r="AE1043" i="53"/>
  <c r="Z1044" i="53"/>
  <c r="AE1044" i="53"/>
  <c r="Z1045" i="53"/>
  <c r="AE1045" i="53"/>
  <c r="Z1046" i="53"/>
  <c r="AE1046" i="53"/>
  <c r="Z1047" i="53"/>
  <c r="AE1047" i="53"/>
  <c r="Z1048" i="53"/>
  <c r="AE1048" i="53"/>
  <c r="Z1049" i="53"/>
  <c r="AE1049" i="53"/>
  <c r="Z1050" i="53"/>
  <c r="AE1050" i="53"/>
  <c r="Z1051" i="53"/>
  <c r="AE1051" i="53"/>
  <c r="Z1053" i="53"/>
  <c r="AE1053" i="53"/>
  <c r="Z1054" i="53"/>
  <c r="AE1054" i="53"/>
  <c r="Z1055" i="53"/>
  <c r="AE1055" i="53"/>
  <c r="Z1056" i="53"/>
  <c r="AE1056" i="53"/>
  <c r="Z1057" i="53"/>
  <c r="AE1057" i="53"/>
  <c r="Z1058" i="53"/>
  <c r="AE1058" i="53"/>
  <c r="Z1059" i="53"/>
  <c r="AE1059" i="53"/>
  <c r="Z1060" i="53"/>
  <c r="AE1060" i="53"/>
  <c r="Z1061" i="53"/>
  <c r="AE1061" i="53"/>
  <c r="Z1063" i="53"/>
  <c r="AE1063" i="53"/>
  <c r="Z1064" i="53"/>
  <c r="AE1064" i="53"/>
  <c r="Z484" i="53"/>
  <c r="AE484" i="53"/>
  <c r="Z485" i="53"/>
  <c r="AE485" i="53"/>
  <c r="Z486" i="53"/>
  <c r="Z487" i="53"/>
  <c r="AE487" i="53"/>
  <c r="Z488" i="53"/>
  <c r="AE488" i="53"/>
  <c r="Z489" i="53"/>
  <c r="AE489" i="53"/>
  <c r="Z490" i="53"/>
  <c r="AE490" i="53"/>
  <c r="Z491" i="53"/>
  <c r="AE491" i="53"/>
  <c r="Z492" i="53"/>
  <c r="AE492" i="53"/>
  <c r="Z493" i="53"/>
  <c r="AE493" i="53"/>
  <c r="Z494" i="53"/>
  <c r="AE494" i="53"/>
  <c r="Z495" i="53"/>
  <c r="AE495" i="53"/>
  <c r="Z496" i="53"/>
  <c r="AE496" i="53"/>
  <c r="Z497" i="53"/>
  <c r="AE497" i="53"/>
  <c r="Z498" i="53"/>
  <c r="AE498" i="53"/>
  <c r="Z499" i="53"/>
  <c r="AE499" i="53"/>
  <c r="Z500" i="53"/>
  <c r="AE500" i="53"/>
  <c r="Z501" i="53"/>
  <c r="AE501" i="53"/>
  <c r="Z502" i="53"/>
  <c r="AE502" i="53"/>
  <c r="Z503" i="53"/>
  <c r="AE503" i="53"/>
  <c r="Z504" i="53"/>
  <c r="AE504" i="53"/>
  <c r="Z505" i="53"/>
  <c r="AE505" i="53"/>
  <c r="Z506" i="53"/>
  <c r="AE506" i="53"/>
  <c r="Z507" i="53"/>
  <c r="AE507" i="53"/>
  <c r="Z508" i="53"/>
  <c r="AE508" i="53"/>
  <c r="Z509" i="53"/>
  <c r="AE509" i="53"/>
  <c r="Z510" i="53"/>
  <c r="AE510" i="53"/>
  <c r="Z511" i="53"/>
  <c r="AE511" i="53"/>
  <c r="Z512" i="53"/>
  <c r="AE512" i="53"/>
  <c r="Z513" i="53"/>
  <c r="AE513" i="53"/>
  <c r="Z514" i="53"/>
  <c r="AE514" i="53"/>
  <c r="Z515" i="53"/>
  <c r="AE515" i="53"/>
  <c r="Z516" i="53"/>
  <c r="AE516" i="53"/>
  <c r="Z517" i="53"/>
  <c r="AE517" i="53"/>
  <c r="Z518" i="53"/>
  <c r="AE518" i="53"/>
  <c r="Z519" i="53"/>
  <c r="AE519" i="53"/>
  <c r="Z520" i="53"/>
  <c r="AE520" i="53"/>
  <c r="Z521" i="53"/>
  <c r="AE521" i="53"/>
  <c r="Z522" i="53"/>
  <c r="AE522" i="53"/>
  <c r="Z523" i="53"/>
  <c r="AE523" i="53"/>
  <c r="Z524" i="53"/>
  <c r="AE524" i="53"/>
  <c r="Z525" i="53"/>
  <c r="AE525" i="53"/>
  <c r="Z526" i="53"/>
  <c r="AE526" i="53"/>
  <c r="Z527" i="53"/>
  <c r="AE527" i="53"/>
  <c r="Z528" i="53"/>
  <c r="AE528" i="53"/>
  <c r="Z529" i="53"/>
  <c r="AE529" i="53"/>
  <c r="Z530" i="53"/>
  <c r="AE530" i="53"/>
  <c r="Z531" i="53"/>
  <c r="AE531" i="53"/>
  <c r="Z532" i="53"/>
  <c r="AE532" i="53"/>
  <c r="Z533" i="53"/>
  <c r="AE533" i="53"/>
  <c r="Z534" i="53"/>
  <c r="AE534" i="53"/>
  <c r="Z535" i="53"/>
  <c r="AE535" i="53"/>
  <c r="Z536" i="53"/>
  <c r="AE536" i="53"/>
  <c r="Z537" i="53"/>
  <c r="AE537" i="53"/>
  <c r="Z538" i="53"/>
  <c r="AE538" i="53"/>
  <c r="Z539" i="53"/>
  <c r="AE539" i="53"/>
  <c r="Z540" i="53"/>
  <c r="AE540" i="53"/>
  <c r="Z541" i="53"/>
  <c r="AE541" i="53"/>
  <c r="Z542" i="53"/>
  <c r="AE542" i="53"/>
  <c r="Z543" i="53"/>
  <c r="AE543" i="53"/>
  <c r="Z544" i="53"/>
  <c r="AE544" i="53"/>
  <c r="Z545" i="53"/>
  <c r="AE545" i="53"/>
  <c r="Z546" i="53"/>
  <c r="AE546" i="53"/>
  <c r="Z547" i="53"/>
  <c r="AE547" i="53"/>
  <c r="Z548" i="53"/>
  <c r="AE548" i="53"/>
  <c r="Z549" i="53"/>
  <c r="AE549" i="53"/>
  <c r="Z550" i="53"/>
  <c r="AE550" i="53"/>
  <c r="Z551" i="53"/>
  <c r="AE551" i="53"/>
  <c r="Z552" i="53"/>
  <c r="AE552" i="53"/>
  <c r="Z553" i="53"/>
  <c r="AE553" i="53"/>
  <c r="Z690" i="53"/>
  <c r="AE690" i="53"/>
  <c r="Z554" i="53"/>
  <c r="AE554" i="53"/>
  <c r="Z555" i="53"/>
  <c r="AE555" i="53"/>
  <c r="Z556" i="53"/>
  <c r="AE556" i="53"/>
  <c r="Z557" i="53"/>
  <c r="AE557" i="53"/>
  <c r="Z558" i="53"/>
  <c r="AE558" i="53"/>
  <c r="Z559" i="53"/>
  <c r="AE559" i="53"/>
  <c r="Z560" i="53"/>
  <c r="AE560" i="53"/>
  <c r="Z561" i="53"/>
  <c r="AE561" i="53"/>
  <c r="Z562" i="53"/>
  <c r="AE562" i="53"/>
  <c r="Z563" i="53"/>
  <c r="AE563" i="53"/>
  <c r="Z564" i="53"/>
  <c r="AE564" i="53"/>
  <c r="Z565" i="53"/>
  <c r="AE565" i="53"/>
  <c r="Z566" i="53"/>
  <c r="AE566" i="53"/>
  <c r="Z567" i="53"/>
  <c r="AE567" i="53"/>
  <c r="Z568" i="53"/>
  <c r="AE568" i="53"/>
  <c r="Z569" i="53"/>
  <c r="AE569" i="53"/>
  <c r="Z570" i="53"/>
  <c r="AE570" i="53"/>
  <c r="Z571" i="53"/>
  <c r="AE571" i="53"/>
  <c r="Z572" i="53"/>
  <c r="AE572" i="53"/>
  <c r="Z573" i="53"/>
  <c r="AE573" i="53"/>
  <c r="Z574" i="53"/>
  <c r="AE574" i="53"/>
  <c r="Z575" i="53"/>
  <c r="AE575" i="53"/>
  <c r="Z576" i="53"/>
  <c r="AE576" i="53"/>
  <c r="Z577" i="53"/>
  <c r="AE577" i="53"/>
  <c r="Z578" i="53"/>
  <c r="AE578" i="53"/>
  <c r="Z579" i="53"/>
  <c r="AE579" i="53"/>
  <c r="Z580" i="53"/>
  <c r="AE580" i="53"/>
  <c r="Z581" i="53"/>
  <c r="AE581" i="53"/>
  <c r="Z582" i="53"/>
  <c r="AE582" i="53"/>
  <c r="Z583" i="53"/>
  <c r="AE583" i="53"/>
  <c r="Z584" i="53"/>
  <c r="AE584" i="53"/>
  <c r="Z585" i="53"/>
  <c r="AE585" i="53"/>
  <c r="Z586" i="53"/>
  <c r="AE586" i="53"/>
  <c r="Z587" i="53"/>
  <c r="AE587" i="53"/>
  <c r="Z588" i="53"/>
  <c r="AE588" i="53"/>
  <c r="Z589" i="53"/>
  <c r="AE589" i="53"/>
  <c r="Z590" i="53"/>
  <c r="AE590" i="53"/>
  <c r="Z591" i="53"/>
  <c r="AE591" i="53"/>
  <c r="Z592" i="53"/>
  <c r="AE592" i="53"/>
  <c r="Z593" i="53"/>
  <c r="AE593" i="53"/>
  <c r="Z594" i="53"/>
  <c r="AE594" i="53"/>
  <c r="Z595" i="53"/>
  <c r="Z596" i="53"/>
  <c r="AE596" i="53"/>
  <c r="Z597" i="53"/>
  <c r="AE597" i="53"/>
  <c r="Z598" i="53"/>
  <c r="AE598" i="53"/>
  <c r="Z599" i="53"/>
  <c r="AE599" i="53"/>
  <c r="Z600" i="53"/>
  <c r="AE600" i="53"/>
  <c r="Z601" i="53"/>
  <c r="AE601" i="53"/>
  <c r="Z602" i="53"/>
  <c r="AE602" i="53"/>
  <c r="Z603" i="53"/>
  <c r="AE603" i="53"/>
  <c r="Z604" i="53"/>
  <c r="AE604" i="53"/>
  <c r="Z605" i="53"/>
  <c r="AE605" i="53"/>
  <c r="Z606" i="53"/>
  <c r="AE606" i="53"/>
  <c r="Z607" i="53"/>
  <c r="AE607" i="53"/>
  <c r="Z608" i="53"/>
  <c r="AE608" i="53"/>
  <c r="Z609" i="53"/>
  <c r="AE609" i="53"/>
  <c r="Z610" i="53"/>
  <c r="AE610" i="53"/>
  <c r="Z611" i="53"/>
  <c r="AE611" i="53"/>
  <c r="Z612" i="53"/>
  <c r="AE612" i="53"/>
  <c r="Z613" i="53"/>
  <c r="AE613" i="53"/>
  <c r="Z614" i="53"/>
  <c r="AE614" i="53"/>
  <c r="Z615" i="53"/>
  <c r="AE615" i="53"/>
  <c r="Z616" i="53"/>
  <c r="AE616" i="53"/>
  <c r="Z617" i="53"/>
  <c r="AE617" i="53"/>
  <c r="Z618" i="53"/>
  <c r="AE618" i="53"/>
  <c r="Z619" i="53"/>
  <c r="AE619" i="53"/>
  <c r="Z620" i="53"/>
  <c r="AE620" i="53"/>
  <c r="Z621" i="53"/>
  <c r="AE621" i="53"/>
  <c r="Z622" i="53"/>
  <c r="AE622" i="53"/>
  <c r="Z623" i="53"/>
  <c r="AE623" i="53"/>
  <c r="Z624" i="53"/>
  <c r="AE624" i="53"/>
  <c r="Z625" i="53"/>
  <c r="AE625" i="53"/>
  <c r="Z626" i="53"/>
  <c r="AE626" i="53"/>
  <c r="Z627" i="53"/>
  <c r="AE627" i="53"/>
  <c r="Z628" i="53"/>
  <c r="AE628" i="53"/>
  <c r="Z629" i="53"/>
  <c r="AE629" i="53"/>
  <c r="Z630" i="53"/>
  <c r="AE630" i="53"/>
  <c r="Z631" i="53"/>
  <c r="AE631" i="53"/>
  <c r="Z632" i="53"/>
  <c r="AE632" i="53"/>
  <c r="Z633" i="53"/>
  <c r="AE633" i="53"/>
  <c r="Z634" i="53"/>
  <c r="AE634" i="53"/>
  <c r="Z635" i="53"/>
  <c r="Z636" i="53"/>
  <c r="AE636" i="53"/>
  <c r="Z637" i="53"/>
  <c r="AE637" i="53"/>
  <c r="Z638" i="53"/>
  <c r="AE638" i="53"/>
  <c r="Z639" i="53"/>
  <c r="AE639" i="53"/>
  <c r="Z640" i="53"/>
  <c r="AE640" i="53"/>
  <c r="Z641" i="53"/>
  <c r="AE641" i="53"/>
  <c r="Z642" i="53"/>
  <c r="AE642" i="53"/>
  <c r="Z643" i="53"/>
  <c r="AE643" i="53"/>
  <c r="Z644" i="53"/>
  <c r="AE644" i="53"/>
  <c r="Z645" i="53"/>
  <c r="AE645" i="53"/>
  <c r="Z646" i="53"/>
  <c r="AE646" i="53"/>
  <c r="Z647" i="53"/>
  <c r="AE647" i="53"/>
  <c r="Z648" i="53"/>
  <c r="AE648" i="53"/>
  <c r="Z649" i="53"/>
  <c r="AE649" i="53"/>
  <c r="Z650" i="53"/>
  <c r="AE650" i="53"/>
  <c r="Z651" i="53"/>
  <c r="AE651" i="53"/>
  <c r="Z652" i="53"/>
  <c r="AE652" i="53"/>
  <c r="Z653" i="53"/>
  <c r="AE653" i="53"/>
  <c r="Z654" i="53"/>
  <c r="AE654" i="53"/>
  <c r="Z655" i="53"/>
  <c r="AE655" i="53"/>
  <c r="Z656" i="53"/>
  <c r="AE656" i="53"/>
  <c r="Z657" i="53"/>
  <c r="AE657" i="53"/>
  <c r="Z658" i="53"/>
  <c r="AE658" i="53"/>
  <c r="Z659" i="53"/>
  <c r="AE659" i="53"/>
  <c r="Z660" i="53"/>
  <c r="AE660" i="53"/>
  <c r="Z661" i="53"/>
  <c r="AE661" i="53"/>
  <c r="Z662" i="53"/>
  <c r="AE662" i="53"/>
  <c r="Z663" i="53"/>
  <c r="AE663" i="53"/>
  <c r="Z664" i="53"/>
  <c r="AE664" i="53"/>
  <c r="Z665" i="53"/>
  <c r="AE665" i="53"/>
  <c r="Z666" i="53"/>
  <c r="AE666" i="53"/>
  <c r="Z667" i="53"/>
  <c r="AE667" i="53"/>
  <c r="Z668" i="53"/>
  <c r="AE668" i="53"/>
  <c r="Z669" i="53"/>
  <c r="AE669" i="53"/>
  <c r="Z670" i="53"/>
  <c r="AE670" i="53"/>
  <c r="Z671" i="53"/>
  <c r="AE671" i="53"/>
  <c r="Z672" i="53"/>
  <c r="AE672" i="53"/>
  <c r="Z673" i="53"/>
  <c r="AE673" i="53"/>
  <c r="Z674" i="53"/>
  <c r="AE674" i="53"/>
  <c r="Z675" i="53"/>
  <c r="AE675" i="53"/>
  <c r="Z676" i="53"/>
  <c r="AE676" i="53"/>
  <c r="Z677" i="53"/>
  <c r="AE677" i="53"/>
  <c r="Z678" i="53"/>
  <c r="AE678" i="53"/>
  <c r="Z679" i="53"/>
  <c r="AE679" i="53"/>
  <c r="Z680" i="53"/>
  <c r="AE680" i="53"/>
  <c r="Z681" i="53"/>
  <c r="AE681" i="53"/>
  <c r="Z682" i="53"/>
  <c r="AE682" i="53"/>
  <c r="Z683" i="53"/>
  <c r="AE683" i="53"/>
  <c r="Z684" i="53"/>
  <c r="AE684" i="53"/>
  <c r="Z685" i="53"/>
  <c r="AE685" i="53"/>
  <c r="Z686" i="53"/>
  <c r="AE686" i="53"/>
  <c r="Z687" i="53"/>
  <c r="AE687" i="53"/>
  <c r="Z688" i="53"/>
  <c r="AE688" i="53"/>
  <c r="Z689" i="53"/>
  <c r="AE689" i="53"/>
  <c r="Z691" i="53"/>
  <c r="AE691" i="53"/>
  <c r="Z692" i="53"/>
  <c r="AE692" i="53"/>
  <c r="Z693" i="53"/>
  <c r="AE693" i="53"/>
  <c r="Z694" i="53"/>
  <c r="AE694" i="53"/>
  <c r="Z695" i="53"/>
  <c r="AE695" i="53"/>
  <c r="Z696" i="53"/>
  <c r="AE696" i="53"/>
  <c r="Z697" i="53"/>
  <c r="AE697" i="53"/>
  <c r="Z698" i="53"/>
  <c r="AE698" i="53"/>
  <c r="Z699" i="53"/>
  <c r="AE699" i="53"/>
  <c r="Z700" i="53"/>
  <c r="AE700" i="53"/>
  <c r="Z701" i="53"/>
  <c r="AE701" i="53"/>
  <c r="Z702" i="53"/>
  <c r="AE702" i="53"/>
  <c r="Z703" i="53"/>
  <c r="AE703" i="53"/>
  <c r="Z704" i="53"/>
  <c r="AE704" i="53"/>
  <c r="Z705" i="53"/>
  <c r="AE705" i="53"/>
  <c r="Z706" i="53"/>
  <c r="AE706" i="53"/>
  <c r="Z707" i="53"/>
  <c r="AE707" i="53"/>
  <c r="Z708" i="53"/>
  <c r="AE708" i="53"/>
  <c r="Z709" i="53"/>
  <c r="AE709" i="53"/>
  <c r="Z710" i="53"/>
  <c r="AE710" i="53"/>
  <c r="Z711" i="53"/>
  <c r="AE711" i="53"/>
  <c r="Z712" i="53"/>
  <c r="AE712" i="53"/>
  <c r="Z713" i="53"/>
  <c r="AE713" i="53"/>
  <c r="Z714" i="53"/>
  <c r="AE714" i="53"/>
  <c r="Z715" i="53"/>
  <c r="AE715" i="53"/>
  <c r="Z716" i="53"/>
  <c r="AE716" i="53"/>
  <c r="Z717" i="53"/>
  <c r="AE717" i="53"/>
  <c r="Z718" i="53"/>
  <c r="AE718" i="53"/>
  <c r="Z719" i="53"/>
  <c r="AE719" i="53"/>
  <c r="Z720" i="53"/>
  <c r="AE720" i="53"/>
  <c r="Z721" i="53"/>
  <c r="AE721" i="53"/>
  <c r="Z722" i="53"/>
  <c r="AE722" i="53"/>
  <c r="Z723" i="53"/>
  <c r="AE723" i="53"/>
  <c r="Z724" i="53"/>
  <c r="AE724" i="53"/>
  <c r="Z725" i="53"/>
  <c r="AE725" i="53"/>
  <c r="Z726" i="53"/>
  <c r="AE726" i="53"/>
  <c r="Z727" i="53"/>
  <c r="AE727" i="53"/>
  <c r="Z728" i="53"/>
  <c r="AE728" i="53"/>
  <c r="Z729" i="53"/>
  <c r="AE729" i="53"/>
  <c r="Z730" i="53"/>
  <c r="AE730" i="53"/>
  <c r="Z731" i="53"/>
  <c r="AE731" i="53"/>
  <c r="Z732" i="53"/>
  <c r="AE732" i="53"/>
  <c r="Z733" i="53"/>
  <c r="AE733" i="53"/>
  <c r="Z734" i="53"/>
  <c r="Z735" i="53"/>
  <c r="AE735" i="53"/>
  <c r="Z736" i="53"/>
  <c r="AE736" i="53"/>
  <c r="Z737" i="53"/>
  <c r="AE737" i="53"/>
  <c r="Z738" i="53"/>
  <c r="AE738" i="53"/>
  <c r="Z739" i="53"/>
  <c r="AE739" i="53"/>
  <c r="Z740" i="53"/>
  <c r="AE740" i="53"/>
  <c r="Z741" i="53"/>
  <c r="AE741" i="53"/>
  <c r="Z742" i="53"/>
  <c r="AE742" i="53"/>
  <c r="Z743" i="53"/>
  <c r="AE743" i="53"/>
  <c r="Z744" i="53"/>
  <c r="AE744" i="53"/>
  <c r="Z745" i="53"/>
  <c r="AE745" i="53"/>
  <c r="Z746" i="53"/>
  <c r="AE746" i="53"/>
  <c r="Z747" i="53"/>
  <c r="AE747" i="53"/>
  <c r="Z748" i="53"/>
  <c r="AE748" i="53"/>
  <c r="Z749" i="53"/>
  <c r="AE749" i="53"/>
  <c r="Z750" i="53"/>
  <c r="AE750" i="53"/>
  <c r="Z751" i="53"/>
  <c r="AE751" i="53"/>
  <c r="Z752" i="53"/>
  <c r="AE752" i="53"/>
  <c r="Z753" i="53"/>
  <c r="AE753" i="53"/>
  <c r="Z754" i="53"/>
  <c r="AE754" i="53"/>
  <c r="Z755" i="53"/>
  <c r="AE755" i="53"/>
  <c r="Z756" i="53"/>
  <c r="AE756" i="53"/>
  <c r="Z757" i="53"/>
  <c r="AE757" i="53"/>
  <c r="Z758" i="53"/>
  <c r="AE758" i="53"/>
  <c r="Z759" i="53"/>
  <c r="AE759" i="53"/>
  <c r="Z760" i="53"/>
  <c r="AE760" i="53"/>
  <c r="Z761" i="53"/>
  <c r="AE761" i="53"/>
  <c r="Z762" i="53"/>
  <c r="AE762" i="53"/>
  <c r="Z763" i="53"/>
  <c r="AE763" i="53"/>
  <c r="Z764" i="53"/>
  <c r="AE764" i="53"/>
  <c r="Z765" i="53"/>
  <c r="AE765" i="53"/>
  <c r="Z766" i="53"/>
  <c r="AE766" i="53"/>
  <c r="Z767" i="53"/>
  <c r="AE767" i="53"/>
  <c r="Z768" i="53"/>
  <c r="AE768" i="53"/>
  <c r="Z769" i="53"/>
  <c r="Z770" i="53"/>
  <c r="AE770" i="53"/>
  <c r="Z771" i="53"/>
  <c r="AE771" i="53"/>
  <c r="Z772" i="53"/>
  <c r="AE772" i="53"/>
  <c r="Z773" i="53"/>
  <c r="AE773" i="53"/>
  <c r="Z774" i="53"/>
  <c r="AE774" i="53"/>
  <c r="Z775" i="53"/>
  <c r="AE775" i="53"/>
  <c r="Z776" i="53"/>
  <c r="AE776" i="53"/>
  <c r="Z777" i="53"/>
  <c r="AE777" i="53"/>
  <c r="AE778" i="53"/>
  <c r="Z779" i="53"/>
  <c r="AE779" i="53"/>
  <c r="Z780" i="53"/>
  <c r="AE780" i="53"/>
  <c r="Z781" i="53"/>
  <c r="AE781" i="53"/>
  <c r="Z782" i="53"/>
  <c r="AE782" i="53"/>
  <c r="Z783" i="53"/>
  <c r="AE783" i="53"/>
  <c r="Z784" i="53"/>
  <c r="AE784" i="53"/>
  <c r="Z785" i="53"/>
  <c r="AE785" i="53"/>
  <c r="Z786" i="53"/>
  <c r="AE786" i="53"/>
  <c r="Z787" i="53"/>
  <c r="AE787" i="53"/>
  <c r="Z788" i="53"/>
  <c r="AE788" i="53"/>
  <c r="Z789" i="53"/>
  <c r="AE789" i="53"/>
  <c r="Z790" i="53"/>
  <c r="AE790" i="53"/>
  <c r="Z791" i="53"/>
  <c r="AE791" i="53"/>
  <c r="Z792" i="53"/>
  <c r="AE792" i="53"/>
  <c r="Z793" i="53"/>
  <c r="AE793" i="53"/>
  <c r="Z794" i="53"/>
  <c r="AE794" i="53"/>
  <c r="Z795" i="53"/>
  <c r="AE795" i="53"/>
  <c r="Z796" i="53"/>
  <c r="AE796" i="53"/>
  <c r="Z797" i="53"/>
  <c r="AE797" i="53"/>
  <c r="Z798" i="53"/>
  <c r="AE798" i="53"/>
  <c r="Z799" i="53"/>
  <c r="AE799" i="53"/>
  <c r="Z800" i="53"/>
  <c r="AE800" i="53"/>
  <c r="Z801" i="53"/>
  <c r="AE801" i="53"/>
  <c r="Z802" i="53"/>
  <c r="AE802" i="53"/>
  <c r="Z803" i="53"/>
  <c r="AE803" i="53"/>
  <c r="Z804" i="53"/>
  <c r="AE804" i="53"/>
  <c r="Z805" i="53"/>
  <c r="AE805" i="53"/>
  <c r="Z806" i="53"/>
  <c r="AE806" i="53"/>
  <c r="Z807" i="53"/>
  <c r="AE807" i="53"/>
  <c r="Z808" i="53"/>
  <c r="AE808" i="53"/>
  <c r="Z809" i="53"/>
  <c r="AE809" i="53"/>
  <c r="Z810" i="53"/>
  <c r="AE810" i="53"/>
  <c r="Z811" i="53"/>
  <c r="AE811" i="53"/>
  <c r="Z812" i="53"/>
  <c r="AE812" i="53"/>
  <c r="Z813" i="53"/>
  <c r="AE813" i="53"/>
  <c r="Z814" i="53"/>
  <c r="AE814" i="53"/>
  <c r="Z815" i="53"/>
  <c r="AE815" i="53"/>
  <c r="Z816" i="53"/>
  <c r="AE816" i="53"/>
  <c r="Z817" i="53"/>
  <c r="AE817" i="53"/>
  <c r="Z818" i="53"/>
  <c r="AE818" i="53"/>
  <c r="Z819" i="53"/>
  <c r="AE819" i="53"/>
  <c r="Z820" i="53"/>
  <c r="AE820" i="53"/>
  <c r="Z821" i="53"/>
  <c r="P95" i="55"/>
  <c r="Z822" i="53"/>
  <c r="AE822" i="53"/>
  <c r="Z823" i="53"/>
  <c r="AE823" i="53"/>
  <c r="Z825" i="53"/>
  <c r="AE825" i="53"/>
  <c r="Z826" i="53"/>
  <c r="AE826" i="53"/>
  <c r="Z827" i="53"/>
  <c r="AE827" i="53"/>
  <c r="Z828" i="53"/>
  <c r="AE828" i="53"/>
  <c r="Z829" i="53"/>
  <c r="P117" i="55"/>
  <c r="AE829" i="53"/>
  <c r="Z830" i="53"/>
  <c r="AE830" i="53"/>
  <c r="Z831" i="53"/>
  <c r="AE831" i="53"/>
  <c r="Z832" i="53"/>
  <c r="AE832" i="53"/>
  <c r="Z833" i="53"/>
  <c r="AE833" i="53"/>
  <c r="Z834" i="53"/>
  <c r="AE834" i="53"/>
  <c r="Z835" i="53"/>
  <c r="AE835" i="53"/>
  <c r="Z836" i="53"/>
  <c r="AE836" i="53"/>
  <c r="Z837" i="53"/>
  <c r="AE837" i="53"/>
  <c r="Z838" i="53"/>
  <c r="AE838" i="53"/>
  <c r="Z839" i="53"/>
  <c r="AE839" i="53"/>
  <c r="Z840" i="53"/>
  <c r="AE840" i="53"/>
  <c r="Z841" i="53"/>
  <c r="AE841" i="53"/>
  <c r="Z842" i="53"/>
  <c r="P101" i="55"/>
  <c r="Z843" i="53"/>
  <c r="AE843" i="53"/>
  <c r="Z844" i="53"/>
  <c r="AE844" i="53"/>
  <c r="Z845" i="53"/>
  <c r="AE845" i="53"/>
  <c r="Z846" i="53"/>
  <c r="AE846" i="53"/>
  <c r="Z847" i="53"/>
  <c r="AE847" i="53"/>
  <c r="Z848" i="53"/>
  <c r="AE848" i="53"/>
  <c r="Z849" i="53"/>
  <c r="AE849" i="53"/>
  <c r="Z850" i="53"/>
  <c r="AE850" i="53"/>
  <c r="Z851" i="53"/>
  <c r="AE851" i="53"/>
  <c r="Z852" i="53"/>
  <c r="AE852" i="53"/>
  <c r="Z853" i="53"/>
  <c r="AE853" i="53"/>
  <c r="Z854" i="53"/>
  <c r="AE854" i="53"/>
  <c r="Z855" i="53"/>
  <c r="AE855" i="53"/>
  <c r="Z856" i="53"/>
  <c r="AE856" i="53"/>
  <c r="Z857" i="53"/>
  <c r="AE857" i="53"/>
  <c r="Z858" i="53"/>
  <c r="AE858" i="53"/>
  <c r="Z859" i="53"/>
  <c r="AE859" i="53"/>
  <c r="Z860" i="53"/>
  <c r="AE860" i="53"/>
  <c r="Z861" i="53"/>
  <c r="AE861" i="53"/>
  <c r="Z862" i="53"/>
  <c r="AE862" i="53"/>
  <c r="Z277" i="53"/>
  <c r="AE277" i="53"/>
  <c r="Z278" i="53"/>
  <c r="AE278" i="53"/>
  <c r="Z279" i="53"/>
  <c r="AE279" i="53"/>
  <c r="Z280" i="53"/>
  <c r="AE280" i="53"/>
  <c r="Z281" i="53"/>
  <c r="AE281" i="53"/>
  <c r="Z282" i="53"/>
  <c r="AE282" i="53"/>
  <c r="Z283" i="53"/>
  <c r="AE283" i="53"/>
  <c r="Z284" i="53"/>
  <c r="AE284" i="53"/>
  <c r="Z285" i="53"/>
  <c r="AE285" i="53"/>
  <c r="Z286" i="53"/>
  <c r="AE286" i="53"/>
  <c r="Z287" i="53"/>
  <c r="AE287" i="53"/>
  <c r="Z288" i="53"/>
  <c r="AE288" i="53"/>
  <c r="Z289" i="53"/>
  <c r="AE289" i="53"/>
  <c r="Z290" i="53"/>
  <c r="AE290" i="53"/>
  <c r="Z291" i="53"/>
  <c r="AE291" i="53"/>
  <c r="Z292" i="53"/>
  <c r="AE292" i="53"/>
  <c r="Z293" i="53"/>
  <c r="AE293" i="53"/>
  <c r="Z294" i="53"/>
  <c r="AE294" i="53"/>
  <c r="Z295" i="53"/>
  <c r="AE295" i="53"/>
  <c r="Z296" i="53"/>
  <c r="AE296" i="53"/>
  <c r="Z297" i="53"/>
  <c r="AE297" i="53"/>
  <c r="Z298" i="53"/>
  <c r="AE298" i="53"/>
  <c r="Z299" i="53"/>
  <c r="AE299" i="53"/>
  <c r="Z300" i="53"/>
  <c r="AE300" i="53"/>
  <c r="Z301" i="53"/>
  <c r="AE301" i="53"/>
  <c r="Z302" i="53"/>
  <c r="AE302" i="53"/>
  <c r="Z303" i="53"/>
  <c r="AE303" i="53"/>
  <c r="Z304" i="53"/>
  <c r="AE304" i="53"/>
  <c r="Z305" i="53"/>
  <c r="AE305" i="53"/>
  <c r="Z306" i="53"/>
  <c r="AE306" i="53"/>
  <c r="Z307" i="53"/>
  <c r="AE307" i="53"/>
  <c r="Z308" i="53"/>
  <c r="AE308" i="53"/>
  <c r="Z309" i="53"/>
  <c r="AE309" i="53"/>
  <c r="Z310" i="53"/>
  <c r="AE310" i="53"/>
  <c r="Z311" i="53"/>
  <c r="AE311" i="53"/>
  <c r="Z312" i="53"/>
  <c r="AE312" i="53"/>
  <c r="Z313" i="53"/>
  <c r="AE313" i="53"/>
  <c r="Z314" i="53"/>
  <c r="AE314" i="53"/>
  <c r="Z315" i="53"/>
  <c r="AE315" i="53"/>
  <c r="Z316" i="53"/>
  <c r="AE316" i="53"/>
  <c r="Z317" i="53"/>
  <c r="AE317" i="53"/>
  <c r="Z318" i="53"/>
  <c r="AE318" i="53"/>
  <c r="Z319" i="53"/>
  <c r="AE319" i="53"/>
  <c r="Z320" i="53"/>
  <c r="AE320" i="53"/>
  <c r="Z321" i="53"/>
  <c r="AE321" i="53"/>
  <c r="Z322" i="53"/>
  <c r="AE322" i="53"/>
  <c r="Z323" i="53"/>
  <c r="AE323" i="53"/>
  <c r="Z324" i="53"/>
  <c r="AE324" i="53"/>
  <c r="Z325" i="53"/>
  <c r="AE325" i="53"/>
  <c r="Z326" i="53"/>
  <c r="AE326" i="53"/>
  <c r="Z327" i="53"/>
  <c r="AE327" i="53"/>
  <c r="Z328" i="53"/>
  <c r="AE328" i="53"/>
  <c r="Z329" i="53"/>
  <c r="AE329" i="53"/>
  <c r="Z330" i="53"/>
  <c r="AE330" i="53"/>
  <c r="Z331" i="53"/>
  <c r="AE331" i="53"/>
  <c r="Z332" i="53"/>
  <c r="AE332" i="53"/>
  <c r="Z333" i="53"/>
  <c r="AE333" i="53"/>
  <c r="Z334" i="53"/>
  <c r="AE334" i="53"/>
  <c r="Z335" i="53"/>
  <c r="AE335" i="53"/>
  <c r="Z336" i="53"/>
  <c r="AE336" i="53"/>
  <c r="Z337" i="53"/>
  <c r="AE337" i="53"/>
  <c r="Z338" i="53"/>
  <c r="AE338" i="53"/>
  <c r="Z339" i="53"/>
  <c r="AE339" i="53"/>
  <c r="Z341" i="53"/>
  <c r="AE341" i="53"/>
  <c r="Z342" i="53"/>
  <c r="AE342" i="53"/>
  <c r="Z343" i="53"/>
  <c r="AE343" i="53"/>
  <c r="Z344" i="53"/>
  <c r="AE344" i="53"/>
  <c r="Z345" i="53"/>
  <c r="AE345" i="53"/>
  <c r="Z346" i="53"/>
  <c r="AE346" i="53"/>
  <c r="Z347" i="53"/>
  <c r="AE347" i="53"/>
  <c r="Z348" i="53"/>
  <c r="AE348" i="53"/>
  <c r="Z349" i="53"/>
  <c r="AE349" i="53"/>
  <c r="Z350" i="53"/>
  <c r="AE350" i="53"/>
  <c r="Z351" i="53"/>
  <c r="AE351" i="53"/>
  <c r="Z352" i="53"/>
  <c r="AE352" i="53"/>
  <c r="Z353" i="53"/>
  <c r="AE353" i="53"/>
  <c r="Z354" i="53"/>
  <c r="AE354" i="53"/>
  <c r="Z355" i="53"/>
  <c r="AE355" i="53"/>
  <c r="Z356" i="53"/>
  <c r="AE356" i="53"/>
  <c r="Z357" i="53"/>
  <c r="AE357" i="53"/>
  <c r="Z358" i="53"/>
  <c r="AE358" i="53"/>
  <c r="Z359" i="53"/>
  <c r="AE359" i="53"/>
  <c r="Z360" i="53"/>
  <c r="AE360" i="53"/>
  <c r="Z361" i="53"/>
  <c r="AE361" i="53"/>
  <c r="Z362" i="53"/>
  <c r="AE362" i="53"/>
  <c r="Z363" i="53"/>
  <c r="AE363" i="53"/>
  <c r="Z364" i="53"/>
  <c r="AE364" i="53"/>
  <c r="Z365" i="53"/>
  <c r="AE365" i="53"/>
  <c r="Z366" i="53"/>
  <c r="AE366" i="53"/>
  <c r="Z367" i="53"/>
  <c r="AE367" i="53"/>
  <c r="Z368" i="53"/>
  <c r="AE368" i="53"/>
  <c r="Z369" i="53"/>
  <c r="AE369" i="53"/>
  <c r="Z370" i="53"/>
  <c r="AE370" i="53"/>
  <c r="Z371" i="53"/>
  <c r="AE371" i="53"/>
  <c r="Z372" i="53"/>
  <c r="AE372" i="53"/>
  <c r="Z373" i="53"/>
  <c r="AE373" i="53"/>
  <c r="Z374" i="53"/>
  <c r="AE374" i="53"/>
  <c r="Z375" i="53"/>
  <c r="AE375" i="53"/>
  <c r="Z376" i="53"/>
  <c r="AE376" i="53"/>
  <c r="Z377" i="53"/>
  <c r="AE377" i="53"/>
  <c r="Z378" i="53"/>
  <c r="AE378" i="53"/>
  <c r="Z379" i="53"/>
  <c r="AE379" i="53"/>
  <c r="Z380" i="53"/>
  <c r="AE380" i="53"/>
  <c r="Z381" i="53"/>
  <c r="AE381" i="53"/>
  <c r="Z382" i="53"/>
  <c r="AE382" i="53"/>
  <c r="Z383" i="53"/>
  <c r="AE383" i="53"/>
  <c r="Z384" i="53"/>
  <c r="AE384" i="53"/>
  <c r="Z385" i="53"/>
  <c r="AE385" i="53"/>
  <c r="Z386" i="53"/>
  <c r="AE386" i="53"/>
  <c r="Z387" i="53"/>
  <c r="AE387" i="53"/>
  <c r="Z388" i="53"/>
  <c r="AE388" i="53"/>
  <c r="Z389" i="53"/>
  <c r="AE389" i="53"/>
  <c r="Z390" i="53"/>
  <c r="AE390" i="53"/>
  <c r="Z391" i="53"/>
  <c r="AE391" i="53"/>
  <c r="Z392" i="53"/>
  <c r="AE392" i="53"/>
  <c r="Z393" i="53"/>
  <c r="AE393" i="53"/>
  <c r="Z394" i="53"/>
  <c r="AE394" i="53"/>
  <c r="Z395" i="53"/>
  <c r="AE395" i="53"/>
  <c r="Z396" i="53"/>
  <c r="AE396" i="53"/>
  <c r="Z397" i="53"/>
  <c r="AE397" i="53"/>
  <c r="Z398" i="53"/>
  <c r="AE398" i="53"/>
  <c r="Z399" i="53"/>
  <c r="AE399" i="53"/>
  <c r="Z400" i="53"/>
  <c r="AE400" i="53"/>
  <c r="Z401" i="53"/>
  <c r="AE401" i="53"/>
  <c r="Z402" i="53"/>
  <c r="AE402" i="53"/>
  <c r="Z403" i="53"/>
  <c r="AE403" i="53"/>
  <c r="Z404" i="53"/>
  <c r="AE404" i="53"/>
  <c r="Z405" i="53"/>
  <c r="AE405" i="53"/>
  <c r="Z406" i="53"/>
  <c r="AE406" i="53"/>
  <c r="Z407" i="53"/>
  <c r="AE407" i="53"/>
  <c r="Z408" i="53"/>
  <c r="AE408" i="53"/>
  <c r="Z409" i="53"/>
  <c r="AE409" i="53"/>
  <c r="Z410" i="53"/>
  <c r="AE410" i="53"/>
  <c r="Z411" i="53"/>
  <c r="AE411" i="53"/>
  <c r="Z412" i="53"/>
  <c r="AE412" i="53"/>
  <c r="Z413" i="53"/>
  <c r="AE413" i="53"/>
  <c r="Z414" i="53"/>
  <c r="AE414" i="53"/>
  <c r="Z415" i="53"/>
  <c r="AE415" i="53"/>
  <c r="Z416" i="53"/>
  <c r="AE416" i="53"/>
  <c r="Z417" i="53"/>
  <c r="AE417" i="53"/>
  <c r="Z418" i="53"/>
  <c r="AE418" i="53"/>
  <c r="Z419" i="53"/>
  <c r="AE419" i="53"/>
  <c r="Z420" i="53"/>
  <c r="AE420" i="53"/>
  <c r="Z421" i="53"/>
  <c r="AE421" i="53"/>
  <c r="Z422" i="53"/>
  <c r="AE422" i="53"/>
  <c r="Z423" i="53"/>
  <c r="AE423" i="53"/>
  <c r="Z424" i="53"/>
  <c r="AE424" i="53"/>
  <c r="Z425" i="53"/>
  <c r="AE425" i="53"/>
  <c r="Z426" i="53"/>
  <c r="AE426" i="53"/>
  <c r="Z427" i="53"/>
  <c r="AE427" i="53"/>
  <c r="Z428" i="53"/>
  <c r="AE428" i="53"/>
  <c r="Z429" i="53"/>
  <c r="AE429" i="53"/>
  <c r="Z430" i="53"/>
  <c r="AE430" i="53"/>
  <c r="Z431" i="53"/>
  <c r="AE431" i="53"/>
  <c r="Z433" i="53"/>
  <c r="AE433" i="53"/>
  <c r="Z434" i="53"/>
  <c r="AE434" i="53"/>
  <c r="Z435" i="53"/>
  <c r="AE435" i="53"/>
  <c r="Z436" i="53"/>
  <c r="AE436" i="53"/>
  <c r="Z437" i="53"/>
  <c r="AE437" i="53"/>
  <c r="Z438" i="53"/>
  <c r="AE438" i="53"/>
  <c r="Z439" i="53"/>
  <c r="AE439" i="53"/>
  <c r="Z440" i="53"/>
  <c r="AE440" i="53"/>
  <c r="Z441" i="53"/>
  <c r="AE441" i="53"/>
  <c r="Z442" i="53"/>
  <c r="AE442" i="53"/>
  <c r="Z443" i="53"/>
  <c r="AE443" i="53"/>
  <c r="Z444" i="53"/>
  <c r="AE444" i="53"/>
  <c r="Z445" i="53"/>
  <c r="AE445" i="53"/>
  <c r="Z446" i="53"/>
  <c r="AE446" i="53"/>
  <c r="Z447" i="53"/>
  <c r="AE447" i="53"/>
  <c r="Z448" i="53"/>
  <c r="AE448" i="53"/>
  <c r="Z449" i="53"/>
  <c r="AE449" i="53"/>
  <c r="Z450" i="53"/>
  <c r="AE450" i="53"/>
  <c r="Z451" i="53"/>
  <c r="AE451" i="53"/>
  <c r="Z452" i="53"/>
  <c r="AE452" i="53"/>
  <c r="Z453" i="53"/>
  <c r="AE453" i="53"/>
  <c r="Z454" i="53"/>
  <c r="AE454" i="53"/>
  <c r="Z455" i="53"/>
  <c r="AE455" i="53"/>
  <c r="Z456" i="53"/>
  <c r="AE456" i="53"/>
  <c r="Z457" i="53"/>
  <c r="AE457" i="53"/>
  <c r="Z458" i="53"/>
  <c r="AE458" i="53"/>
  <c r="Z459" i="53"/>
  <c r="AE459" i="53"/>
  <c r="Z460" i="53"/>
  <c r="AE460" i="53"/>
  <c r="Z461" i="53"/>
  <c r="AE461" i="53"/>
  <c r="Z462" i="53"/>
  <c r="AE462" i="53"/>
  <c r="Z463" i="53"/>
  <c r="AE463" i="53"/>
  <c r="Z464" i="53"/>
  <c r="AE464" i="53"/>
  <c r="Z465" i="53"/>
  <c r="AE465" i="53"/>
  <c r="Z466" i="53"/>
  <c r="AE466" i="53"/>
  <c r="Z467" i="53"/>
  <c r="AE467" i="53"/>
  <c r="Z468" i="53"/>
  <c r="AE468" i="53"/>
  <c r="Z469" i="53"/>
  <c r="AE469" i="53"/>
  <c r="Z470" i="53"/>
  <c r="AE470" i="53"/>
  <c r="Z471" i="53"/>
  <c r="AE471" i="53"/>
  <c r="Z472" i="53"/>
  <c r="AE472" i="53"/>
  <c r="Z473" i="53"/>
  <c r="AE473" i="53"/>
  <c r="Z474" i="53"/>
  <c r="AE474" i="53"/>
  <c r="Z475" i="53"/>
  <c r="AE475" i="53"/>
  <c r="Z476" i="53"/>
  <c r="AE476" i="53"/>
  <c r="Z477" i="53"/>
  <c r="P129" i="55"/>
  <c r="AE477" i="53"/>
  <c r="Z478" i="53"/>
  <c r="AE478" i="53"/>
  <c r="Z479" i="53"/>
  <c r="AE479" i="53"/>
  <c r="Z480" i="53"/>
  <c r="AE480" i="53"/>
  <c r="Z481" i="53"/>
  <c r="AE481" i="53"/>
  <c r="Z482" i="53"/>
  <c r="AE482" i="53"/>
  <c r="Z483" i="53"/>
  <c r="AE483" i="53"/>
  <c r="Z7" i="53"/>
  <c r="AE7" i="53"/>
  <c r="Z8" i="53"/>
  <c r="AE8" i="53"/>
  <c r="Z9" i="53"/>
  <c r="AE9" i="53"/>
  <c r="Z10" i="53"/>
  <c r="AE10" i="53"/>
  <c r="Z11" i="53"/>
  <c r="AE11" i="53"/>
  <c r="Z12" i="53"/>
  <c r="AE12" i="53"/>
  <c r="Z13" i="53"/>
  <c r="AE13" i="53"/>
  <c r="Z14" i="53"/>
  <c r="AE14" i="53"/>
  <c r="AE15" i="53"/>
  <c r="Z16" i="53"/>
  <c r="AE16" i="53"/>
  <c r="Z17" i="53"/>
  <c r="AE17" i="53"/>
  <c r="Z18" i="53"/>
  <c r="AE18" i="53"/>
  <c r="Z19" i="53"/>
  <c r="AE19" i="53"/>
  <c r="Z20" i="53"/>
  <c r="AE20" i="53"/>
  <c r="Z21" i="53"/>
  <c r="AE21" i="53"/>
  <c r="Z22" i="53"/>
  <c r="AE22" i="53"/>
  <c r="Z23" i="53"/>
  <c r="AE23" i="53"/>
  <c r="Z24" i="53"/>
  <c r="AE24" i="53"/>
  <c r="Z25" i="53"/>
  <c r="AE25" i="53"/>
  <c r="Z26" i="53"/>
  <c r="AE26" i="53"/>
  <c r="Z27" i="53"/>
  <c r="AE27" i="53"/>
  <c r="Z28" i="53"/>
  <c r="AE28" i="53"/>
  <c r="Z29" i="53"/>
  <c r="AE29" i="53"/>
  <c r="Z30" i="53"/>
  <c r="AE30" i="53"/>
  <c r="Z31" i="53"/>
  <c r="AE31" i="53"/>
  <c r="Z32" i="53"/>
  <c r="AE32" i="53"/>
  <c r="Z33" i="53"/>
  <c r="AE33" i="53"/>
  <c r="Z34" i="53"/>
  <c r="AE34" i="53"/>
  <c r="Z35" i="53"/>
  <c r="AE35" i="53"/>
  <c r="Z36" i="53"/>
  <c r="AE36" i="53"/>
  <c r="Z37" i="53"/>
  <c r="AE37" i="53"/>
  <c r="Z38" i="53"/>
  <c r="AE38" i="53"/>
  <c r="Z39" i="53"/>
  <c r="AE39" i="53"/>
  <c r="Z40" i="53"/>
  <c r="AE40" i="53"/>
  <c r="Z41" i="53"/>
  <c r="AE41" i="53"/>
  <c r="Z42" i="53"/>
  <c r="AE42" i="53"/>
  <c r="Z43" i="53"/>
  <c r="AE43" i="53"/>
  <c r="Z44" i="53"/>
  <c r="AE44" i="53"/>
  <c r="Z45" i="53"/>
  <c r="AE45" i="53"/>
  <c r="Z46" i="53"/>
  <c r="AE46" i="53"/>
  <c r="Z47" i="53"/>
  <c r="AE47" i="53"/>
  <c r="Z48" i="53"/>
  <c r="AE48" i="53"/>
  <c r="Z49" i="53"/>
  <c r="AE49" i="53"/>
  <c r="Z50" i="53"/>
  <c r="AE50" i="53"/>
  <c r="Z51" i="53"/>
  <c r="AE51" i="53"/>
  <c r="Z52" i="53"/>
  <c r="AE52" i="53"/>
  <c r="Z53" i="53"/>
  <c r="AE53" i="53"/>
  <c r="Z54" i="53"/>
  <c r="AE54" i="53"/>
  <c r="Z55" i="53"/>
  <c r="AE55" i="53"/>
  <c r="Z56" i="53"/>
  <c r="AE56" i="53"/>
  <c r="Z57" i="53"/>
  <c r="AE57" i="53"/>
  <c r="Z58" i="53"/>
  <c r="AE58" i="53"/>
  <c r="Z59" i="53"/>
  <c r="AE59" i="53"/>
  <c r="Z60" i="53"/>
  <c r="AE60" i="53"/>
  <c r="Z61" i="53"/>
  <c r="AE61" i="53"/>
  <c r="Z62" i="53"/>
  <c r="AE62" i="53"/>
  <c r="Z63" i="53"/>
  <c r="AE63" i="53"/>
  <c r="Z64" i="53"/>
  <c r="AE64" i="53"/>
  <c r="Z65" i="53"/>
  <c r="AE65" i="53"/>
  <c r="Z66" i="53"/>
  <c r="AE66" i="53"/>
  <c r="Z67" i="53"/>
  <c r="AE67" i="53"/>
  <c r="Z68" i="53"/>
  <c r="AE68" i="53"/>
  <c r="Z69" i="53"/>
  <c r="AE69" i="53"/>
  <c r="Z70" i="53"/>
  <c r="AE70" i="53"/>
  <c r="Z71" i="53"/>
  <c r="AE71" i="53"/>
  <c r="Z72" i="53"/>
  <c r="AE72" i="53"/>
  <c r="Z73" i="53"/>
  <c r="AE73" i="53"/>
  <c r="Z74" i="53"/>
  <c r="AE74" i="53"/>
  <c r="Z75" i="53"/>
  <c r="AE75" i="53"/>
  <c r="Z76" i="53"/>
  <c r="AE76" i="53"/>
  <c r="Z77" i="53"/>
  <c r="AE77" i="53"/>
  <c r="Z78" i="53"/>
  <c r="AE78" i="53"/>
  <c r="Z79" i="53"/>
  <c r="AE79" i="53"/>
  <c r="Z80" i="53"/>
  <c r="AE80" i="53"/>
  <c r="Z81" i="53"/>
  <c r="AE81" i="53"/>
  <c r="Z82" i="53"/>
  <c r="AE82" i="53"/>
  <c r="Z83" i="53"/>
  <c r="AE83" i="53"/>
  <c r="Z84" i="53"/>
  <c r="AE84" i="53"/>
  <c r="Z85" i="53"/>
  <c r="AE85" i="53"/>
  <c r="Z86" i="53"/>
  <c r="AE86" i="53"/>
  <c r="Z87" i="53"/>
  <c r="AE87" i="53"/>
  <c r="Z88" i="53"/>
  <c r="AE88" i="53"/>
  <c r="Z89" i="53"/>
  <c r="AE89" i="53"/>
  <c r="Z90" i="53"/>
  <c r="AE90" i="53"/>
  <c r="Z91" i="53"/>
  <c r="AE91" i="53"/>
  <c r="Z92" i="53"/>
  <c r="AE92" i="53"/>
  <c r="Z93" i="53"/>
  <c r="AE93" i="53"/>
  <c r="Z94" i="53"/>
  <c r="AE94" i="53"/>
  <c r="Z95" i="53"/>
  <c r="AE95" i="53"/>
  <c r="Z96" i="53"/>
  <c r="AE96" i="53"/>
  <c r="Z97" i="53"/>
  <c r="AE97" i="53"/>
  <c r="Z98" i="53"/>
  <c r="Z99" i="53"/>
  <c r="AE99" i="53"/>
  <c r="Z100" i="53"/>
  <c r="AE100" i="53"/>
  <c r="Z103" i="53"/>
  <c r="AE103" i="53"/>
  <c r="Z104" i="53"/>
  <c r="AE104" i="53"/>
  <c r="Z105" i="53"/>
  <c r="AE105" i="53"/>
  <c r="Z106" i="53"/>
  <c r="AE106" i="53"/>
  <c r="Z107" i="53"/>
  <c r="AE107" i="53"/>
  <c r="Z108" i="53"/>
  <c r="AE108" i="53"/>
  <c r="Z109" i="53"/>
  <c r="AE109" i="53"/>
  <c r="Z110" i="53"/>
  <c r="AE110" i="53"/>
  <c r="Z111" i="53"/>
  <c r="AE111" i="53"/>
  <c r="Z112" i="53"/>
  <c r="AE112" i="53"/>
  <c r="Z113" i="53"/>
  <c r="AE113" i="53"/>
  <c r="Z114" i="53"/>
  <c r="AE114" i="53"/>
  <c r="Z115" i="53"/>
  <c r="AE115" i="53"/>
  <c r="Z116" i="53"/>
  <c r="AE116" i="53"/>
  <c r="Z117" i="53"/>
  <c r="AE117" i="53"/>
  <c r="Z118" i="53"/>
  <c r="AE118" i="53"/>
  <c r="Z119" i="53"/>
  <c r="AE119" i="53"/>
  <c r="Z120" i="53"/>
  <c r="AE120" i="53"/>
  <c r="Z121" i="53"/>
  <c r="AE121" i="53"/>
  <c r="Z122" i="53"/>
  <c r="AE122" i="53"/>
  <c r="Z123" i="53"/>
  <c r="AE123" i="53"/>
  <c r="Z124" i="53"/>
  <c r="AE124" i="53"/>
  <c r="Z125" i="53"/>
  <c r="AE125" i="53"/>
  <c r="Z126" i="53"/>
  <c r="AE126" i="53"/>
  <c r="Z127" i="53"/>
  <c r="AE127" i="53"/>
  <c r="Z128" i="53"/>
  <c r="AE128" i="53"/>
  <c r="Z129" i="53"/>
  <c r="AE129" i="53"/>
  <c r="Z130" i="53"/>
  <c r="AE130" i="53"/>
  <c r="Z131" i="53"/>
  <c r="AE131" i="53"/>
  <c r="Z132" i="53"/>
  <c r="AE132" i="53"/>
  <c r="Z133" i="53"/>
  <c r="AE133" i="53"/>
  <c r="Z134" i="53"/>
  <c r="AE134" i="53"/>
  <c r="Z135" i="53"/>
  <c r="AE135" i="53"/>
  <c r="Z136" i="53"/>
  <c r="AE136" i="53"/>
  <c r="Z137" i="53"/>
  <c r="AE137" i="53"/>
  <c r="Z138" i="53"/>
  <c r="AE138" i="53"/>
  <c r="Z139" i="53"/>
  <c r="AE139" i="53"/>
  <c r="Z140" i="53"/>
  <c r="AE140" i="53"/>
  <c r="Z141" i="53"/>
  <c r="AE141" i="53"/>
  <c r="Z142" i="53"/>
  <c r="AE142" i="53"/>
  <c r="Z143" i="53"/>
  <c r="AE143" i="53"/>
  <c r="Z144" i="53"/>
  <c r="AE144" i="53"/>
  <c r="Z145" i="53"/>
  <c r="AE145" i="53"/>
  <c r="Z146" i="53"/>
  <c r="AE146" i="53"/>
  <c r="Z147" i="53"/>
  <c r="AE147" i="53"/>
  <c r="Z148" i="53"/>
  <c r="AE148" i="53"/>
  <c r="Z149" i="53"/>
  <c r="AE149" i="53"/>
  <c r="Z150" i="53"/>
  <c r="AE150" i="53"/>
  <c r="Z151" i="53"/>
  <c r="AE151" i="53"/>
  <c r="Z152" i="53"/>
  <c r="AE152" i="53"/>
  <c r="Z153" i="53"/>
  <c r="AE153" i="53"/>
  <c r="Z154" i="53"/>
  <c r="AE154" i="53"/>
  <c r="Z155" i="53"/>
  <c r="AE155" i="53"/>
  <c r="Z156" i="53"/>
  <c r="AE156" i="53"/>
  <c r="Z157" i="53"/>
  <c r="AE157" i="53"/>
  <c r="Z158" i="53"/>
  <c r="AE158" i="53"/>
  <c r="Z159" i="53"/>
  <c r="AE159" i="53"/>
  <c r="Z160" i="53"/>
  <c r="AE160" i="53"/>
  <c r="Z161" i="53"/>
  <c r="AE161" i="53"/>
  <c r="Z162" i="53"/>
  <c r="AE162" i="53"/>
  <c r="Z163" i="53"/>
  <c r="AE163" i="53"/>
  <c r="Z164" i="53"/>
  <c r="AE164" i="53"/>
  <c r="Z165" i="53"/>
  <c r="AE165" i="53"/>
  <c r="Z166" i="53"/>
  <c r="AE166" i="53"/>
  <c r="Z167" i="53"/>
  <c r="AE167" i="53"/>
  <c r="Z168" i="53"/>
  <c r="AE168" i="53"/>
  <c r="Z169" i="53"/>
  <c r="AE169" i="53"/>
  <c r="Z170" i="53"/>
  <c r="AE170" i="53"/>
  <c r="Z171" i="53"/>
  <c r="AE171" i="53"/>
  <c r="Z172" i="53"/>
  <c r="AE172" i="53"/>
  <c r="Z173" i="53"/>
  <c r="AE173" i="53"/>
  <c r="Z174" i="53"/>
  <c r="AE174" i="53"/>
  <c r="Z175" i="53"/>
  <c r="AE175" i="53"/>
  <c r="Z176" i="53"/>
  <c r="AE176" i="53"/>
  <c r="Z177" i="53"/>
  <c r="AE177" i="53"/>
  <c r="Z178" i="53"/>
  <c r="AE178" i="53"/>
  <c r="Z179" i="53"/>
  <c r="AE179" i="53"/>
  <c r="Z180" i="53"/>
  <c r="AE180" i="53"/>
  <c r="Z181" i="53"/>
  <c r="AE181" i="53"/>
  <c r="Z182" i="53"/>
  <c r="AE182" i="53"/>
  <c r="Z183" i="53"/>
  <c r="AE183" i="53"/>
  <c r="Z184" i="53"/>
  <c r="AE184" i="53"/>
  <c r="Z185" i="53"/>
  <c r="AE185" i="53"/>
  <c r="Z186" i="53"/>
  <c r="AE186" i="53"/>
  <c r="Z187" i="53"/>
  <c r="AE187" i="53"/>
  <c r="Z188" i="53"/>
  <c r="AE188" i="53"/>
  <c r="Z189" i="53"/>
  <c r="AE189" i="53"/>
  <c r="Z190" i="53"/>
  <c r="AE190" i="53"/>
  <c r="Z191" i="53"/>
  <c r="AE191" i="53"/>
  <c r="Z192" i="53"/>
  <c r="AE192" i="53"/>
  <c r="Z193" i="53"/>
  <c r="AE193" i="53"/>
  <c r="Z194" i="53"/>
  <c r="AE194" i="53"/>
  <c r="Z196" i="53"/>
  <c r="AE196" i="53"/>
  <c r="Z197" i="53"/>
  <c r="AE197" i="53"/>
  <c r="Z198" i="53"/>
  <c r="AE198" i="53"/>
  <c r="Z199" i="53"/>
  <c r="AE199" i="53"/>
  <c r="Z200" i="53"/>
  <c r="AE200" i="53"/>
  <c r="Z201" i="53"/>
  <c r="AE201" i="53"/>
  <c r="Z202" i="53"/>
  <c r="AE202" i="53"/>
  <c r="Z203" i="53"/>
  <c r="AE203" i="53"/>
  <c r="Z204" i="53"/>
  <c r="AE204" i="53"/>
  <c r="Z205" i="53"/>
  <c r="AE205" i="53"/>
  <c r="Z206" i="53"/>
  <c r="AE206" i="53"/>
  <c r="Z207" i="53"/>
  <c r="AE207" i="53"/>
  <c r="Z209" i="53"/>
  <c r="AE209" i="53"/>
  <c r="Z210" i="53"/>
  <c r="AE210" i="53"/>
  <c r="Z211" i="53"/>
  <c r="AE211" i="53"/>
  <c r="Z212" i="53"/>
  <c r="AE212" i="53"/>
  <c r="Z213" i="53"/>
  <c r="AE213" i="53"/>
  <c r="Z214" i="53"/>
  <c r="AE214" i="53"/>
  <c r="Z215" i="53"/>
  <c r="AE215" i="53"/>
  <c r="Z216" i="53"/>
  <c r="AE216" i="53"/>
  <c r="Z217" i="53"/>
  <c r="AE217" i="53"/>
  <c r="Z218" i="53"/>
  <c r="AE218" i="53"/>
  <c r="Z219" i="53"/>
  <c r="AE219" i="53"/>
  <c r="Z220" i="53"/>
  <c r="AE220" i="53"/>
  <c r="Z221" i="53"/>
  <c r="AE221" i="53"/>
  <c r="Z222" i="53"/>
  <c r="AE222" i="53"/>
  <c r="Z223" i="53"/>
  <c r="AE223" i="53"/>
  <c r="Z224" i="53"/>
  <c r="AE224" i="53"/>
  <c r="Z225" i="53"/>
  <c r="AE225" i="53"/>
  <c r="Z226" i="53"/>
  <c r="AE226" i="53"/>
  <c r="Z227" i="53"/>
  <c r="AE227" i="53"/>
  <c r="Z228" i="53"/>
  <c r="AE228" i="53"/>
  <c r="Z229" i="53"/>
  <c r="AE229" i="53"/>
  <c r="Z230" i="53"/>
  <c r="AE230" i="53"/>
  <c r="Z231" i="53"/>
  <c r="AE231" i="53"/>
  <c r="Z232" i="53"/>
  <c r="AE232" i="53"/>
  <c r="Z233" i="53"/>
  <c r="AE233" i="53"/>
  <c r="Z234" i="53"/>
  <c r="AE234" i="53"/>
  <c r="Z235" i="53"/>
  <c r="AE235" i="53"/>
  <c r="Z236" i="53"/>
  <c r="AE236" i="53"/>
  <c r="Z237" i="53"/>
  <c r="AE237" i="53"/>
  <c r="Z238" i="53"/>
  <c r="AE238" i="53"/>
  <c r="Z239" i="53"/>
  <c r="AE239" i="53"/>
  <c r="Z240" i="53"/>
  <c r="AE240" i="53"/>
  <c r="Z241" i="53"/>
  <c r="AE241" i="53"/>
  <c r="Z242" i="53"/>
  <c r="AE242" i="53"/>
  <c r="Z243" i="53"/>
  <c r="AE243" i="53"/>
  <c r="Z244" i="53"/>
  <c r="AE244" i="53"/>
  <c r="Z245" i="53"/>
  <c r="AE245" i="53"/>
  <c r="Z246" i="53"/>
  <c r="AE246" i="53"/>
  <c r="Z247" i="53"/>
  <c r="AE247" i="53"/>
  <c r="Z248" i="53"/>
  <c r="AE248" i="53"/>
  <c r="Z249" i="53"/>
  <c r="AE249" i="53"/>
  <c r="Z250" i="53"/>
  <c r="AE250" i="53"/>
  <c r="Z251" i="53"/>
  <c r="AE251" i="53"/>
  <c r="Z252" i="53"/>
  <c r="AE252" i="53"/>
  <c r="Z253" i="53"/>
  <c r="AE253" i="53"/>
  <c r="Z254" i="53"/>
  <c r="AE254" i="53"/>
  <c r="Z255" i="53"/>
  <c r="AE255" i="53"/>
  <c r="Z256" i="53"/>
  <c r="AE256" i="53"/>
  <c r="Z257" i="53"/>
  <c r="AE257" i="53"/>
  <c r="Z258" i="53"/>
  <c r="AE258" i="53"/>
  <c r="Z259" i="53"/>
  <c r="AE259" i="53"/>
  <c r="Z260" i="53"/>
  <c r="AE260" i="53"/>
  <c r="Z261" i="53"/>
  <c r="AE261" i="53"/>
  <c r="Z262" i="53"/>
  <c r="AE262" i="53"/>
  <c r="Z263" i="53"/>
  <c r="AE263" i="53"/>
  <c r="Z264" i="53"/>
  <c r="AE264" i="53"/>
  <c r="Z265" i="53"/>
  <c r="AE265" i="53"/>
  <c r="Z266" i="53"/>
  <c r="AE266" i="53"/>
  <c r="Z267" i="53"/>
  <c r="AE267" i="53"/>
  <c r="Z268" i="53"/>
  <c r="AE268" i="53"/>
  <c r="Z269" i="53"/>
  <c r="AE269" i="53"/>
  <c r="Z270" i="53"/>
  <c r="AE270" i="53"/>
  <c r="Z271" i="53"/>
  <c r="AE271" i="53"/>
  <c r="Z272" i="53"/>
  <c r="AE272" i="53"/>
  <c r="Z273" i="53"/>
  <c r="AE273" i="53"/>
  <c r="Z274" i="53"/>
  <c r="AE274" i="53"/>
  <c r="Z275" i="53"/>
  <c r="AE275" i="53"/>
  <c r="Z276" i="53"/>
  <c r="AE276" i="53"/>
  <c r="Z6" i="53"/>
  <c r="AE6" i="53"/>
  <c r="O11" i="59"/>
  <c r="U11" i="59"/>
  <c r="S778" i="53"/>
  <c r="X778" i="53"/>
  <c r="G778" i="53"/>
  <c r="S341" i="53"/>
  <c r="X341" i="53"/>
  <c r="C52" i="55"/>
  <c r="G331" i="53"/>
  <c r="G341" i="53"/>
  <c r="S981" i="53"/>
  <c r="X981" i="53"/>
  <c r="G981" i="53"/>
  <c r="S1006" i="53"/>
  <c r="X1006" i="53"/>
  <c r="G1006" i="53"/>
  <c r="S992" i="53"/>
  <c r="X992" i="53"/>
  <c r="G992" i="53"/>
  <c r="S924" i="53"/>
  <c r="X924" i="53"/>
  <c r="G924" i="53"/>
  <c r="S917" i="53"/>
  <c r="X917" i="53"/>
  <c r="G917" i="53"/>
  <c r="S915" i="53"/>
  <c r="X915" i="53"/>
  <c r="G915" i="53"/>
  <c r="S910" i="53"/>
  <c r="X910" i="53"/>
  <c r="G910" i="53"/>
  <c r="S446" i="53"/>
  <c r="X446" i="53"/>
  <c r="S447" i="53"/>
  <c r="X447" i="53"/>
  <c r="G446" i="53"/>
  <c r="G931" i="53"/>
  <c r="S16" i="53"/>
  <c r="X16" i="53"/>
  <c r="G16" i="53"/>
  <c r="S877" i="53"/>
  <c r="X877" i="53"/>
  <c r="S878" i="53"/>
  <c r="X878" i="53"/>
  <c r="G877" i="53"/>
  <c r="G878" i="53"/>
  <c r="S871" i="53"/>
  <c r="X871" i="53"/>
  <c r="G871" i="53"/>
  <c r="S931" i="53"/>
  <c r="X931" i="53"/>
  <c r="S1068" i="53"/>
  <c r="X1068" i="53"/>
  <c r="S1054" i="53"/>
  <c r="X1054" i="53"/>
  <c r="D7" i="55" a="1"/>
  <c r="D7" i="55"/>
  <c r="H7" i="55"/>
  <c r="D8" i="55" a="1"/>
  <c r="D8" i="55"/>
  <c r="H8" i="55"/>
  <c r="D9" i="55" a="1"/>
  <c r="D9" i="55"/>
  <c r="D10" i="55" a="1"/>
  <c r="D10" i="55"/>
  <c r="D12" i="55" a="1"/>
  <c r="D12" i="55"/>
  <c r="H12" i="55"/>
  <c r="D13" i="55" a="1"/>
  <c r="D13" i="55"/>
  <c r="D14" i="55" a="1"/>
  <c r="D14" i="55"/>
  <c r="D15" i="55" a="1"/>
  <c r="D15" i="55"/>
  <c r="L15" i="55" a="1"/>
  <c r="L15" i="55"/>
  <c r="D16" i="55" a="1"/>
  <c r="D16" i="55"/>
  <c r="G16" i="55"/>
  <c r="D17" i="55" a="1"/>
  <c r="D17" i="55"/>
  <c r="H17" i="55"/>
  <c r="D19" i="55" a="1"/>
  <c r="D19" i="55"/>
  <c r="D20" i="55" a="1"/>
  <c r="D20" i="55"/>
  <c r="D21" i="55" a="1"/>
  <c r="D21" i="55"/>
  <c r="H21" i="55"/>
  <c r="D22" i="55" a="1"/>
  <c r="D22" i="55"/>
  <c r="D23" i="55" a="1"/>
  <c r="D23" i="55"/>
  <c r="H23" i="55"/>
  <c r="D24" i="55" a="1"/>
  <c r="D24" i="55"/>
  <c r="D25" i="55" a="1"/>
  <c r="D25" i="55"/>
  <c r="D26" i="55" a="1"/>
  <c r="D26" i="55"/>
  <c r="D27" i="55" a="1"/>
  <c r="D27" i="55"/>
  <c r="D28" i="55" a="1"/>
  <c r="D28" i="55"/>
  <c r="G28" i="55"/>
  <c r="D29" i="55" a="1"/>
  <c r="D29" i="55"/>
  <c r="H29" i="55"/>
  <c r="D30" i="55" a="1"/>
  <c r="D30" i="55"/>
  <c r="H30" i="55"/>
  <c r="D31" i="55" a="1"/>
  <c r="D31" i="55"/>
  <c r="D33" i="55" a="1"/>
  <c r="D33" i="55"/>
  <c r="D34" i="55" a="1"/>
  <c r="D34" i="55"/>
  <c r="G34" i="55"/>
  <c r="D35" i="55" a="1"/>
  <c r="D35" i="55"/>
  <c r="D36" i="55" a="1"/>
  <c r="D36" i="55"/>
  <c r="J36" i="55"/>
  <c r="R36" i="55"/>
  <c r="D37" i="55" a="1"/>
  <c r="D37" i="55"/>
  <c r="G37" i="55"/>
  <c r="D38" i="55" a="1"/>
  <c r="D38" i="55"/>
  <c r="D39" i="55" a="1"/>
  <c r="D39" i="55"/>
  <c r="D40" i="55" a="1"/>
  <c r="D40" i="55"/>
  <c r="D41" i="55" a="1"/>
  <c r="D41" i="55"/>
  <c r="D42" i="55" a="1"/>
  <c r="D42" i="55"/>
  <c r="H42" i="55"/>
  <c r="D43" i="55" a="1"/>
  <c r="D43" i="55"/>
  <c r="D44" i="55" a="1"/>
  <c r="D44" i="55"/>
  <c r="D45" i="55" a="1"/>
  <c r="D45" i="55"/>
  <c r="K45" i="55" a="1"/>
  <c r="K45" i="55"/>
  <c r="D46" i="55" a="1"/>
  <c r="D46" i="55"/>
  <c r="D47" i="55" a="1"/>
  <c r="D47" i="55"/>
  <c r="H47" i="55"/>
  <c r="D48" i="55" a="1"/>
  <c r="D48" i="55"/>
  <c r="H48" i="55"/>
  <c r="D49" i="55" a="1"/>
  <c r="D49" i="55"/>
  <c r="D50" i="55" a="1"/>
  <c r="D50" i="55"/>
  <c r="G50" i="55"/>
  <c r="D51" i="55" a="1"/>
  <c r="D51" i="55"/>
  <c r="H51" i="55"/>
  <c r="D52" i="55" a="1"/>
  <c r="D52" i="55"/>
  <c r="J52" i="55"/>
  <c r="D53" i="55" a="1"/>
  <c r="D53" i="55"/>
  <c r="D54" i="55" a="1"/>
  <c r="D54" i="55"/>
  <c r="D55" i="55" a="1"/>
  <c r="D55" i="55"/>
  <c r="H55" i="55"/>
  <c r="D56" i="55" a="1"/>
  <c r="D56" i="55"/>
  <c r="H56" i="55"/>
  <c r="D57" i="55" a="1"/>
  <c r="D57" i="55"/>
  <c r="D58" i="55" a="1"/>
  <c r="D58" i="55"/>
  <c r="D59" i="55" a="1"/>
  <c r="D59" i="55"/>
  <c r="G59" i="55"/>
  <c r="D60" i="55" a="1"/>
  <c r="D60" i="55"/>
  <c r="D61" i="55" a="1"/>
  <c r="D61" i="55"/>
  <c r="D62" i="55" a="1"/>
  <c r="D62" i="55"/>
  <c r="G62" i="55"/>
  <c r="D63" i="55" a="1"/>
  <c r="D63" i="55"/>
  <c r="H63" i="55"/>
  <c r="D64" i="55" a="1"/>
  <c r="D64" i="55"/>
  <c r="D65" i="55" a="1"/>
  <c r="D65" i="55"/>
  <c r="G65" i="55"/>
  <c r="D66" i="55" a="1"/>
  <c r="D66" i="55"/>
  <c r="H66" i="55"/>
  <c r="D67" i="55" a="1"/>
  <c r="D67" i="55"/>
  <c r="H67" i="55"/>
  <c r="D68" i="55" a="1"/>
  <c r="D68" i="55"/>
  <c r="G68" i="55"/>
  <c r="J68" i="55"/>
  <c r="D69" i="55" a="1"/>
  <c r="D69" i="55"/>
  <c r="H69" i="55"/>
  <c r="D70" i="55" a="1"/>
  <c r="D70" i="55"/>
  <c r="H70" i="55"/>
  <c r="D71" i="55" a="1"/>
  <c r="D71" i="55"/>
  <c r="D72" i="55" a="1"/>
  <c r="D72" i="55"/>
  <c r="G72" i="55"/>
  <c r="D73" i="55" a="1"/>
  <c r="D73" i="55"/>
  <c r="G73" i="55"/>
  <c r="D74" i="55" a="1"/>
  <c r="D74" i="55"/>
  <c r="G74" i="55"/>
  <c r="D75" i="55" a="1"/>
  <c r="D75" i="55"/>
  <c r="H75" i="55"/>
  <c r="D76" i="55" a="1"/>
  <c r="D76" i="55"/>
  <c r="L76" i="55" a="1"/>
  <c r="L76" i="55"/>
  <c r="D77" i="55" a="1"/>
  <c r="D77" i="55"/>
  <c r="D78" i="55" a="1"/>
  <c r="D78" i="55"/>
  <c r="L78" i="55" a="1"/>
  <c r="L78" i="55"/>
  <c r="D79" i="55" a="1"/>
  <c r="D79" i="55"/>
  <c r="H79" i="55"/>
  <c r="D80" i="55" a="1"/>
  <c r="D80" i="55"/>
  <c r="D81" i="55" a="1"/>
  <c r="D81" i="55"/>
  <c r="D82" i="55" a="1"/>
  <c r="D82" i="55"/>
  <c r="D83" i="55" a="1"/>
  <c r="D83" i="55"/>
  <c r="D84" i="55" a="1"/>
  <c r="D84" i="55"/>
  <c r="D85" i="55" a="1"/>
  <c r="D85" i="55"/>
  <c r="H85" i="55"/>
  <c r="D86" i="55" a="1"/>
  <c r="D86" i="55"/>
  <c r="D87" i="55" a="1"/>
  <c r="D87" i="55"/>
  <c r="D88" i="55" a="1"/>
  <c r="D88" i="55"/>
  <c r="D89" i="55" a="1"/>
  <c r="D89" i="55"/>
  <c r="H89" i="55"/>
  <c r="D90" i="55" a="1"/>
  <c r="D90" i="55"/>
  <c r="D91" i="55" a="1"/>
  <c r="D91" i="55"/>
  <c r="D92" i="55" a="1"/>
  <c r="D92" i="55"/>
  <c r="J92" i="55"/>
  <c r="D93" i="55" a="1"/>
  <c r="D93" i="55"/>
  <c r="D100" i="55" a="1"/>
  <c r="D100" i="55"/>
  <c r="H100" i="55"/>
  <c r="D101" i="55" a="1"/>
  <c r="D101" i="55"/>
  <c r="D102" i="55" a="1"/>
  <c r="D102" i="55"/>
  <c r="G102" i="55"/>
  <c r="D103" i="55" a="1"/>
  <c r="D103" i="55"/>
  <c r="H103" i="55"/>
  <c r="D104" i="55" a="1"/>
  <c r="D104" i="55"/>
  <c r="D105" i="55" a="1"/>
  <c r="D105" i="55"/>
  <c r="D106" i="55" a="1"/>
  <c r="D106" i="55"/>
  <c r="H106" i="55"/>
  <c r="D107" i="55" a="1"/>
  <c r="D107" i="55"/>
  <c r="D108" i="55" a="1"/>
  <c r="D108" i="55"/>
  <c r="H108" i="55"/>
  <c r="D109" i="55" a="1"/>
  <c r="D109" i="55"/>
  <c r="D110" i="55" a="1"/>
  <c r="D110" i="55"/>
  <c r="D111" i="55" a="1"/>
  <c r="D111" i="55"/>
  <c r="H111" i="55"/>
  <c r="D112" i="55" a="1"/>
  <c r="D112" i="55"/>
  <c r="G112" i="55"/>
  <c r="D113" i="55" a="1"/>
  <c r="D113" i="55"/>
  <c r="D114" i="55" a="1"/>
  <c r="D114" i="55"/>
  <c r="H114" i="55"/>
  <c r="D115" i="55" a="1"/>
  <c r="D115" i="55"/>
  <c r="H115" i="55"/>
  <c r="D116" i="55" a="1"/>
  <c r="D116" i="55"/>
  <c r="H116" i="55"/>
  <c r="D117" i="55" a="1"/>
  <c r="D117" i="55"/>
  <c r="H117" i="55"/>
  <c r="D118" i="55" a="1"/>
  <c r="D118" i="55"/>
  <c r="H118" i="55"/>
  <c r="D119" i="55" a="1"/>
  <c r="D119" i="55"/>
  <c r="G119" i="55"/>
  <c r="D120" i="55" a="1"/>
  <c r="D120" i="55"/>
  <c r="D121" i="55" a="1"/>
  <c r="D121" i="55"/>
  <c r="D122" i="55" a="1"/>
  <c r="D122" i="55"/>
  <c r="D123" i="55" a="1"/>
  <c r="D123" i="55"/>
  <c r="K123" i="55" a="1"/>
  <c r="K123" i="55"/>
  <c r="D124" i="55" a="1"/>
  <c r="D124" i="55"/>
  <c r="H124" i="55"/>
  <c r="D125" i="55" a="1"/>
  <c r="D125" i="55"/>
  <c r="D126" i="55" a="1"/>
  <c r="D126" i="55"/>
  <c r="H126" i="55"/>
  <c r="D127" i="55" a="1"/>
  <c r="D127" i="55"/>
  <c r="D128" i="55" a="1"/>
  <c r="D128" i="55"/>
  <c r="G128" i="55"/>
  <c r="D129" i="55" a="1"/>
  <c r="D129" i="55"/>
  <c r="D130" i="55" a="1"/>
  <c r="D130" i="55"/>
  <c r="K130" i="55" a="1"/>
  <c r="K130" i="55"/>
  <c r="D131" i="55" a="1"/>
  <c r="D131" i="55"/>
  <c r="D132" i="55" a="1"/>
  <c r="D132" i="55"/>
  <c r="H132" i="55"/>
  <c r="D133" i="55" a="1"/>
  <c r="D133" i="55"/>
  <c r="H133" i="55"/>
  <c r="D134" i="55" a="1"/>
  <c r="D134" i="55"/>
  <c r="D135" i="55" a="1"/>
  <c r="D135" i="55"/>
  <c r="D136" i="55" a="1"/>
  <c r="D136" i="55"/>
  <c r="H136" i="55"/>
  <c r="D137" i="55" a="1"/>
  <c r="D137" i="55"/>
  <c r="D138" i="55" a="1"/>
  <c r="D138" i="55"/>
  <c r="D139" i="55" a="1"/>
  <c r="D139" i="55"/>
  <c r="J139" i="55"/>
  <c r="D140" i="55" a="1"/>
  <c r="D140" i="55"/>
  <c r="H140" i="55"/>
  <c r="D141" i="55" a="1"/>
  <c r="D141" i="55"/>
  <c r="D142" i="55" a="1"/>
  <c r="D142" i="55"/>
  <c r="H142" i="55"/>
  <c r="D143" i="55" a="1"/>
  <c r="D143" i="55"/>
  <c r="D145" i="55" a="1"/>
  <c r="D145" i="55"/>
  <c r="D146" i="55" a="1"/>
  <c r="D146" i="55"/>
  <c r="G146" i="55"/>
  <c r="D147" i="55" a="1"/>
  <c r="D147" i="55"/>
  <c r="G147" i="55"/>
  <c r="D148" i="55" a="1"/>
  <c r="D148" i="55"/>
  <c r="D150" i="55" a="1"/>
  <c r="D150" i="55"/>
  <c r="H150" i="55"/>
  <c r="D151" i="55" a="1"/>
  <c r="D151" i="55"/>
  <c r="H151" i="55"/>
  <c r="D152" i="55" a="1"/>
  <c r="D152" i="55"/>
  <c r="D153" i="55" a="1"/>
  <c r="D153" i="55"/>
  <c r="H153" i="55"/>
  <c r="D154" i="55" a="1"/>
  <c r="D154" i="55"/>
  <c r="G154" i="55"/>
  <c r="D155" i="55" a="1"/>
  <c r="D155" i="55"/>
  <c r="D156" i="55" a="1"/>
  <c r="D156" i="55"/>
  <c r="G156" i="55"/>
  <c r="D157" i="55" a="1"/>
  <c r="D157" i="55"/>
  <c r="D158" i="55" a="1"/>
  <c r="D158" i="55"/>
  <c r="D159" i="55" a="1"/>
  <c r="D159" i="55"/>
  <c r="D160" i="55" a="1"/>
  <c r="D160" i="55"/>
  <c r="G160" i="55"/>
  <c r="D161" i="55" a="1"/>
  <c r="D161" i="55"/>
  <c r="G161" i="55"/>
  <c r="D162" i="55" a="1"/>
  <c r="D162" i="55"/>
  <c r="H162" i="55"/>
  <c r="D163" i="55" a="1"/>
  <c r="D163" i="55"/>
  <c r="G163" i="55"/>
  <c r="D164" i="55" a="1"/>
  <c r="D164" i="55"/>
  <c r="D165" i="55" a="1"/>
  <c r="D165" i="55"/>
  <c r="G165" i="55"/>
  <c r="D166" i="55" a="1"/>
  <c r="D166" i="55"/>
  <c r="G166" i="55"/>
  <c r="D167" i="55" a="1"/>
  <c r="D167" i="55"/>
  <c r="G167" i="55"/>
  <c r="D168" i="55" a="1"/>
  <c r="D168" i="55"/>
  <c r="D169" i="55" a="1"/>
  <c r="D169" i="55"/>
  <c r="D171" i="55" a="1"/>
  <c r="D171" i="55"/>
  <c r="D172" i="55" a="1"/>
  <c r="D172" i="55"/>
  <c r="G172" i="55"/>
  <c r="D173" i="55" a="1"/>
  <c r="D173" i="55"/>
  <c r="D174" i="55" a="1"/>
  <c r="D174" i="55"/>
  <c r="H174" i="55"/>
  <c r="D175" i="55" a="1"/>
  <c r="D175" i="55"/>
  <c r="H175" i="55"/>
  <c r="D179" i="55" a="1"/>
  <c r="D179" i="55"/>
  <c r="K179" i="55" a="1"/>
  <c r="K179" i="55"/>
  <c r="J179" i="55"/>
  <c r="D180" i="55" a="1"/>
  <c r="D180" i="55"/>
  <c r="D181" i="55" a="1"/>
  <c r="D181" i="55"/>
  <c r="K181" i="55" a="1"/>
  <c r="K181" i="55"/>
  <c r="D182" i="55" a="1"/>
  <c r="D182" i="55"/>
  <c r="G182" i="55"/>
  <c r="X1064" i="53"/>
  <c r="G1064" i="53"/>
  <c r="AG1061" i="53"/>
  <c r="S1061" i="53"/>
  <c r="X1061" i="53"/>
  <c r="G1061" i="53"/>
  <c r="X1060" i="53"/>
  <c r="X1059" i="53"/>
  <c r="X1063" i="53"/>
  <c r="S1017" i="53"/>
  <c r="G20" i="59"/>
  <c r="S431" i="53"/>
  <c r="X431" i="53"/>
  <c r="G431" i="53"/>
  <c r="S1016" i="53"/>
  <c r="X1016" i="53"/>
  <c r="G1016" i="53"/>
  <c r="S870" i="53"/>
  <c r="X870" i="53"/>
  <c r="S689" i="53"/>
  <c r="X689" i="53"/>
  <c r="S401" i="53"/>
  <c r="X401" i="53"/>
  <c r="S402" i="53"/>
  <c r="X402" i="53"/>
  <c r="S403" i="53"/>
  <c r="X403" i="53"/>
  <c r="S404" i="53"/>
  <c r="X404" i="53"/>
  <c r="S405" i="53"/>
  <c r="X405" i="53"/>
  <c r="S406" i="53"/>
  <c r="X406" i="53"/>
  <c r="S407" i="53"/>
  <c r="X407" i="53"/>
  <c r="S408" i="53"/>
  <c r="X408" i="53"/>
  <c r="S608" i="53"/>
  <c r="X608" i="53"/>
  <c r="S609" i="53"/>
  <c r="X609" i="53"/>
  <c r="S610" i="53"/>
  <c r="X610" i="53"/>
  <c r="S611" i="53"/>
  <c r="X611" i="53"/>
  <c r="S612" i="53"/>
  <c r="X612" i="53"/>
  <c r="S613" i="53"/>
  <c r="X613" i="53"/>
  <c r="G608" i="53"/>
  <c r="G609" i="53"/>
  <c r="G610" i="53"/>
  <c r="G611" i="53"/>
  <c r="G612" i="53"/>
  <c r="G613" i="53"/>
  <c r="S448" i="53"/>
  <c r="X448" i="53"/>
  <c r="G447" i="53"/>
  <c r="S179" i="53"/>
  <c r="X179" i="53"/>
  <c r="G179" i="53"/>
  <c r="S17" i="53"/>
  <c r="X17" i="53"/>
  <c r="G17" i="53"/>
  <c r="S908" i="53"/>
  <c r="X908" i="53"/>
  <c r="S1050" i="53"/>
  <c r="X1050" i="53"/>
  <c r="X7" i="53"/>
  <c r="S8" i="53"/>
  <c r="X8" i="53"/>
  <c r="S9" i="53"/>
  <c r="X9" i="53"/>
  <c r="S10" i="53"/>
  <c r="X10" i="53"/>
  <c r="S11" i="53"/>
  <c r="X11" i="53"/>
  <c r="S12" i="53"/>
  <c r="X12" i="53"/>
  <c r="S13" i="53"/>
  <c r="X13" i="53"/>
  <c r="S14" i="53"/>
  <c r="X14" i="53"/>
  <c r="S15" i="53"/>
  <c r="X15" i="53"/>
  <c r="S18" i="53"/>
  <c r="X18" i="53"/>
  <c r="S19" i="53"/>
  <c r="X19" i="53"/>
  <c r="S20" i="53"/>
  <c r="X20" i="53"/>
  <c r="S21" i="53"/>
  <c r="X21" i="53"/>
  <c r="S22" i="53"/>
  <c r="X22" i="53"/>
  <c r="S23" i="53"/>
  <c r="X23" i="53"/>
  <c r="S24" i="53"/>
  <c r="X24" i="53"/>
  <c r="S25" i="53"/>
  <c r="X25" i="53"/>
  <c r="S26" i="53"/>
  <c r="X26" i="53"/>
  <c r="S27" i="53"/>
  <c r="X27" i="53"/>
  <c r="S28" i="53"/>
  <c r="X28" i="53"/>
  <c r="S29" i="53"/>
  <c r="X29" i="53"/>
  <c r="S30" i="53"/>
  <c r="X30" i="53"/>
  <c r="S31" i="53"/>
  <c r="X31" i="53"/>
  <c r="S32" i="53"/>
  <c r="X32" i="53"/>
  <c r="S33" i="53"/>
  <c r="X33" i="53"/>
  <c r="S34" i="53"/>
  <c r="X34" i="53"/>
  <c r="S35" i="53"/>
  <c r="X35" i="53"/>
  <c r="S36" i="53"/>
  <c r="X36" i="53"/>
  <c r="S37" i="53"/>
  <c r="X37" i="53"/>
  <c r="S38" i="53"/>
  <c r="X38" i="53"/>
  <c r="S39" i="53"/>
  <c r="X39" i="53"/>
  <c r="S40" i="53"/>
  <c r="X40" i="53"/>
  <c r="S41" i="53"/>
  <c r="X41" i="53"/>
  <c r="S42" i="53"/>
  <c r="X42" i="53"/>
  <c r="S43" i="53"/>
  <c r="X43" i="53"/>
  <c r="S44" i="53"/>
  <c r="X44" i="53"/>
  <c r="S45" i="53"/>
  <c r="X45" i="53"/>
  <c r="S46" i="53"/>
  <c r="X46" i="53"/>
  <c r="S47" i="53"/>
  <c r="X47" i="53"/>
  <c r="S48" i="53"/>
  <c r="X48" i="53"/>
  <c r="S49" i="53"/>
  <c r="X49" i="53"/>
  <c r="S50" i="53"/>
  <c r="X50" i="53"/>
  <c r="S51" i="53"/>
  <c r="X51" i="53"/>
  <c r="S52" i="53"/>
  <c r="X52" i="53"/>
  <c r="S53" i="53"/>
  <c r="X53" i="53"/>
  <c r="S54" i="53"/>
  <c r="X54" i="53"/>
  <c r="S55" i="53"/>
  <c r="X55" i="53"/>
  <c r="S56" i="53"/>
  <c r="X56" i="53"/>
  <c r="S57" i="53"/>
  <c r="X57" i="53"/>
  <c r="S58" i="53"/>
  <c r="X58" i="53"/>
  <c r="S59" i="53"/>
  <c r="X59" i="53"/>
  <c r="S60" i="53"/>
  <c r="X60" i="53"/>
  <c r="S61" i="53"/>
  <c r="X61" i="53"/>
  <c r="S62" i="53"/>
  <c r="X62" i="53"/>
  <c r="S63" i="53"/>
  <c r="X63" i="53"/>
  <c r="S64" i="53"/>
  <c r="X64" i="53"/>
  <c r="S65" i="53"/>
  <c r="X65" i="53"/>
  <c r="S66" i="53"/>
  <c r="X66" i="53"/>
  <c r="S67" i="53"/>
  <c r="X67" i="53"/>
  <c r="S68" i="53"/>
  <c r="X68" i="53"/>
  <c r="S69" i="53"/>
  <c r="X69" i="53"/>
  <c r="S70" i="53"/>
  <c r="X70" i="53"/>
  <c r="S71" i="53"/>
  <c r="X71" i="53"/>
  <c r="S72" i="53"/>
  <c r="X72" i="53"/>
  <c r="S73" i="53"/>
  <c r="X73" i="53"/>
  <c r="S74" i="53"/>
  <c r="X74" i="53"/>
  <c r="S75" i="53"/>
  <c r="X75" i="53"/>
  <c r="S76" i="53"/>
  <c r="X76" i="53"/>
  <c r="S77" i="53"/>
  <c r="X77" i="53"/>
  <c r="S78" i="53"/>
  <c r="X78" i="53"/>
  <c r="S79" i="53"/>
  <c r="X79" i="53"/>
  <c r="S80" i="53"/>
  <c r="X80" i="53"/>
  <c r="S81" i="53"/>
  <c r="X81" i="53"/>
  <c r="S82" i="53"/>
  <c r="X82" i="53"/>
  <c r="S83" i="53"/>
  <c r="X83" i="53"/>
  <c r="S84" i="53"/>
  <c r="X84" i="53"/>
  <c r="S85" i="53"/>
  <c r="X85" i="53"/>
  <c r="S86" i="53"/>
  <c r="X86" i="53"/>
  <c r="S87" i="53"/>
  <c r="X87" i="53"/>
  <c r="S88" i="53"/>
  <c r="X88" i="53"/>
  <c r="S89" i="53"/>
  <c r="X89" i="53"/>
  <c r="S90" i="53"/>
  <c r="X90" i="53"/>
  <c r="S91" i="53"/>
  <c r="X91" i="53"/>
  <c r="S92" i="53"/>
  <c r="X92" i="53"/>
  <c r="S93" i="53"/>
  <c r="X93" i="53"/>
  <c r="S94" i="53"/>
  <c r="X94" i="53"/>
  <c r="S95" i="53"/>
  <c r="X95" i="53"/>
  <c r="S96" i="53"/>
  <c r="X96" i="53"/>
  <c r="S97" i="53"/>
  <c r="X97" i="53"/>
  <c r="S98" i="53"/>
  <c r="X98" i="53"/>
  <c r="S99" i="53"/>
  <c r="X99" i="53"/>
  <c r="S100" i="53"/>
  <c r="X100" i="53"/>
  <c r="S101" i="53"/>
  <c r="X101" i="53"/>
  <c r="S102" i="53"/>
  <c r="X102" i="53"/>
  <c r="S103" i="53"/>
  <c r="X103" i="53"/>
  <c r="S104" i="53"/>
  <c r="X104" i="53"/>
  <c r="S105" i="53"/>
  <c r="X105" i="53"/>
  <c r="S106" i="53"/>
  <c r="X106" i="53"/>
  <c r="S107" i="53"/>
  <c r="X107" i="53"/>
  <c r="S108" i="53"/>
  <c r="X108" i="53"/>
  <c r="S109" i="53"/>
  <c r="X109" i="53"/>
  <c r="S110" i="53"/>
  <c r="X110" i="53"/>
  <c r="S111" i="53"/>
  <c r="X111" i="53"/>
  <c r="S112" i="53"/>
  <c r="X112" i="53"/>
  <c r="S113" i="53"/>
  <c r="X113" i="53"/>
  <c r="S114" i="53"/>
  <c r="X114" i="53"/>
  <c r="S115" i="53"/>
  <c r="X115" i="53"/>
  <c r="S116" i="53"/>
  <c r="X116" i="53"/>
  <c r="S117" i="53"/>
  <c r="X117" i="53"/>
  <c r="S118" i="53"/>
  <c r="X118" i="53"/>
  <c r="S119" i="53"/>
  <c r="X119" i="53"/>
  <c r="S120" i="53"/>
  <c r="X120" i="53"/>
  <c r="S121" i="53"/>
  <c r="X121" i="53"/>
  <c r="S122" i="53"/>
  <c r="X122" i="53"/>
  <c r="S123" i="53"/>
  <c r="X123" i="53"/>
  <c r="S124" i="53"/>
  <c r="X124" i="53"/>
  <c r="S125" i="53"/>
  <c r="X125" i="53"/>
  <c r="S126" i="53"/>
  <c r="X126" i="53"/>
  <c r="S127" i="53"/>
  <c r="X127" i="53"/>
  <c r="S128" i="53"/>
  <c r="X128" i="53"/>
  <c r="S129" i="53"/>
  <c r="X129" i="53"/>
  <c r="S130" i="53"/>
  <c r="X130" i="53"/>
  <c r="S131" i="53"/>
  <c r="X131" i="53"/>
  <c r="S132" i="53"/>
  <c r="X132" i="53"/>
  <c r="S133" i="53"/>
  <c r="X133" i="53"/>
  <c r="S134" i="53"/>
  <c r="X134" i="53"/>
  <c r="S135" i="53"/>
  <c r="X135" i="53"/>
  <c r="S136" i="53"/>
  <c r="X136" i="53"/>
  <c r="S137" i="53"/>
  <c r="X137" i="53"/>
  <c r="S138" i="53"/>
  <c r="X138" i="53"/>
  <c r="S139" i="53"/>
  <c r="X139" i="53"/>
  <c r="S140" i="53"/>
  <c r="X140" i="53"/>
  <c r="S141" i="53"/>
  <c r="X141" i="53"/>
  <c r="S142" i="53"/>
  <c r="X142" i="53"/>
  <c r="S143" i="53"/>
  <c r="X143" i="53"/>
  <c r="S144" i="53"/>
  <c r="X144" i="53"/>
  <c r="S145" i="53"/>
  <c r="X145" i="53"/>
  <c r="S146" i="53"/>
  <c r="X146" i="53"/>
  <c r="S147" i="53"/>
  <c r="X147" i="53"/>
  <c r="S148" i="53"/>
  <c r="X148" i="53"/>
  <c r="S149" i="53"/>
  <c r="X149" i="53"/>
  <c r="S150" i="53"/>
  <c r="X150" i="53"/>
  <c r="S151" i="53"/>
  <c r="X151" i="53"/>
  <c r="S152" i="53"/>
  <c r="X152" i="53"/>
  <c r="S153" i="53"/>
  <c r="X153" i="53"/>
  <c r="S154" i="53"/>
  <c r="X154" i="53"/>
  <c r="S155" i="53"/>
  <c r="X155" i="53"/>
  <c r="S156" i="53"/>
  <c r="X156" i="53"/>
  <c r="S157" i="53"/>
  <c r="X157" i="53"/>
  <c r="S158" i="53"/>
  <c r="X158" i="53"/>
  <c r="S159" i="53"/>
  <c r="X159" i="53"/>
  <c r="S160" i="53"/>
  <c r="X160" i="53"/>
  <c r="S161" i="53"/>
  <c r="X161" i="53"/>
  <c r="S162" i="53"/>
  <c r="X162" i="53"/>
  <c r="S163" i="53"/>
  <c r="X163" i="53"/>
  <c r="S164" i="53"/>
  <c r="X164" i="53"/>
  <c r="S165" i="53"/>
  <c r="X165" i="53"/>
  <c r="S166" i="53"/>
  <c r="X166" i="53"/>
  <c r="S167" i="53"/>
  <c r="X167" i="53"/>
  <c r="S168" i="53"/>
  <c r="X168" i="53"/>
  <c r="S169" i="53"/>
  <c r="X169" i="53"/>
  <c r="S170" i="53"/>
  <c r="X170" i="53"/>
  <c r="S171" i="53"/>
  <c r="X171" i="53"/>
  <c r="S172" i="53"/>
  <c r="X172" i="53"/>
  <c r="S173" i="53"/>
  <c r="X173" i="53"/>
  <c r="S174" i="53"/>
  <c r="X174" i="53"/>
  <c r="S175" i="53"/>
  <c r="X175" i="53"/>
  <c r="S176" i="53"/>
  <c r="X176" i="53"/>
  <c r="S177" i="53"/>
  <c r="X177" i="53"/>
  <c r="S178" i="53"/>
  <c r="X178" i="53"/>
  <c r="S180" i="53"/>
  <c r="X180" i="53"/>
  <c r="S181" i="53"/>
  <c r="X181" i="53"/>
  <c r="S182" i="53"/>
  <c r="X182" i="53"/>
  <c r="S183" i="53"/>
  <c r="X183" i="53"/>
  <c r="S184" i="53"/>
  <c r="X184" i="53"/>
  <c r="S185" i="53"/>
  <c r="X185" i="53"/>
  <c r="S186" i="53"/>
  <c r="X186" i="53"/>
  <c r="S187" i="53"/>
  <c r="X187" i="53"/>
  <c r="S188" i="53"/>
  <c r="X188" i="53"/>
  <c r="S189" i="53"/>
  <c r="X189" i="53"/>
  <c r="S190" i="53"/>
  <c r="X190" i="53"/>
  <c r="S191" i="53"/>
  <c r="X191" i="53"/>
  <c r="S192" i="53"/>
  <c r="X192" i="53"/>
  <c r="S193" i="53"/>
  <c r="X193" i="53"/>
  <c r="S194" i="53"/>
  <c r="X194" i="53"/>
  <c r="S196" i="53"/>
  <c r="X196" i="53"/>
  <c r="S197" i="53"/>
  <c r="X197" i="53"/>
  <c r="S198" i="53"/>
  <c r="X198" i="53"/>
  <c r="S199" i="53"/>
  <c r="X199" i="53"/>
  <c r="S200" i="53"/>
  <c r="X200" i="53"/>
  <c r="S201" i="53"/>
  <c r="X201" i="53"/>
  <c r="S202" i="53"/>
  <c r="X202" i="53"/>
  <c r="S203" i="53"/>
  <c r="X203" i="53"/>
  <c r="S204" i="53"/>
  <c r="X204" i="53"/>
  <c r="S205" i="53"/>
  <c r="X205" i="53"/>
  <c r="S206" i="53"/>
  <c r="X206" i="53"/>
  <c r="S207" i="53"/>
  <c r="X207" i="53"/>
  <c r="S208" i="53"/>
  <c r="X208" i="53"/>
  <c r="S209" i="53"/>
  <c r="X209" i="53"/>
  <c r="S210" i="53"/>
  <c r="X210" i="53"/>
  <c r="S211" i="53"/>
  <c r="X211" i="53"/>
  <c r="S212" i="53"/>
  <c r="X212" i="53"/>
  <c r="S213" i="53"/>
  <c r="X213" i="53"/>
  <c r="S214" i="53"/>
  <c r="X214" i="53"/>
  <c r="S215" i="53"/>
  <c r="X215" i="53"/>
  <c r="S216" i="53"/>
  <c r="X216" i="53"/>
  <c r="S217" i="53"/>
  <c r="X217" i="53"/>
  <c r="S218" i="53"/>
  <c r="X218" i="53"/>
  <c r="S219" i="53"/>
  <c r="X219" i="53"/>
  <c r="S220" i="53"/>
  <c r="X220" i="53"/>
  <c r="S221" i="53"/>
  <c r="X221" i="53"/>
  <c r="S222" i="53"/>
  <c r="X222" i="53"/>
  <c r="S223" i="53"/>
  <c r="X223" i="53"/>
  <c r="S224" i="53"/>
  <c r="X224" i="53"/>
  <c r="S225" i="53"/>
  <c r="X225" i="53"/>
  <c r="S226" i="53"/>
  <c r="X226" i="53"/>
  <c r="S227" i="53"/>
  <c r="X227" i="53"/>
  <c r="S228" i="53"/>
  <c r="X228" i="53"/>
  <c r="S229" i="53"/>
  <c r="X229" i="53"/>
  <c r="S230" i="53"/>
  <c r="X230" i="53"/>
  <c r="S231" i="53"/>
  <c r="X231" i="53"/>
  <c r="S232" i="53"/>
  <c r="X232" i="53"/>
  <c r="S233" i="53"/>
  <c r="X233" i="53"/>
  <c r="S234" i="53"/>
  <c r="X234" i="53"/>
  <c r="S235" i="53"/>
  <c r="X235" i="53"/>
  <c r="S236" i="53"/>
  <c r="X236" i="53"/>
  <c r="S237" i="53"/>
  <c r="X237" i="53"/>
  <c r="S238" i="53"/>
  <c r="X238" i="53"/>
  <c r="S239" i="53"/>
  <c r="X239" i="53"/>
  <c r="S240" i="53"/>
  <c r="X240" i="53"/>
  <c r="S241" i="53"/>
  <c r="X241" i="53"/>
  <c r="S242" i="53"/>
  <c r="X242" i="53"/>
  <c r="S243" i="53"/>
  <c r="X243" i="53"/>
  <c r="S244" i="53"/>
  <c r="X244" i="53"/>
  <c r="S245" i="53"/>
  <c r="X245" i="53"/>
  <c r="S246" i="53"/>
  <c r="X246" i="53"/>
  <c r="S247" i="53"/>
  <c r="X247" i="53"/>
  <c r="S248" i="53"/>
  <c r="X248" i="53"/>
  <c r="S249" i="53"/>
  <c r="X249" i="53"/>
  <c r="S250" i="53"/>
  <c r="X250" i="53"/>
  <c r="S251" i="53"/>
  <c r="X251" i="53"/>
  <c r="S252" i="53"/>
  <c r="X252" i="53"/>
  <c r="S253" i="53"/>
  <c r="X253" i="53"/>
  <c r="S254" i="53"/>
  <c r="X254" i="53"/>
  <c r="S255" i="53"/>
  <c r="X255" i="53"/>
  <c r="S256" i="53"/>
  <c r="X256" i="53"/>
  <c r="S257" i="53"/>
  <c r="X257" i="53"/>
  <c r="S258" i="53"/>
  <c r="X258" i="53"/>
  <c r="S259" i="53"/>
  <c r="X259" i="53"/>
  <c r="S260" i="53"/>
  <c r="X260" i="53"/>
  <c r="S261" i="53"/>
  <c r="X261" i="53"/>
  <c r="S262" i="53"/>
  <c r="X262" i="53"/>
  <c r="S263" i="53"/>
  <c r="X263" i="53"/>
  <c r="S264" i="53"/>
  <c r="X264" i="53"/>
  <c r="S265" i="53"/>
  <c r="X265" i="53"/>
  <c r="S266" i="53"/>
  <c r="X266" i="53"/>
  <c r="S267" i="53"/>
  <c r="X267" i="53"/>
  <c r="S268" i="53"/>
  <c r="X268" i="53"/>
  <c r="S269" i="53"/>
  <c r="X269" i="53"/>
  <c r="S270" i="53"/>
  <c r="X270" i="53"/>
  <c r="S271" i="53"/>
  <c r="X271" i="53"/>
  <c r="S272" i="53"/>
  <c r="X272" i="53"/>
  <c r="S273" i="53"/>
  <c r="X273" i="53"/>
  <c r="S274" i="53"/>
  <c r="X274" i="53"/>
  <c r="S275" i="53"/>
  <c r="X275" i="53"/>
  <c r="S276" i="53"/>
  <c r="X276" i="53"/>
  <c r="S277" i="53"/>
  <c r="X277" i="53"/>
  <c r="S278" i="53"/>
  <c r="X278" i="53"/>
  <c r="S279" i="53"/>
  <c r="X279" i="53"/>
  <c r="S280" i="53"/>
  <c r="X280" i="53"/>
  <c r="S281" i="53"/>
  <c r="X281" i="53"/>
  <c r="S282" i="53"/>
  <c r="X282" i="53"/>
  <c r="S283" i="53"/>
  <c r="X283" i="53"/>
  <c r="S284" i="53"/>
  <c r="X284" i="53"/>
  <c r="S285" i="53"/>
  <c r="X285" i="53"/>
  <c r="S286" i="53"/>
  <c r="X286" i="53"/>
  <c r="S287" i="53"/>
  <c r="X287" i="53"/>
  <c r="S288" i="53"/>
  <c r="X288" i="53"/>
  <c r="S289" i="53"/>
  <c r="X289" i="53"/>
  <c r="S290" i="53"/>
  <c r="X290" i="53"/>
  <c r="S291" i="53"/>
  <c r="X291" i="53"/>
  <c r="S292" i="53"/>
  <c r="X292" i="53"/>
  <c r="S293" i="53"/>
  <c r="X293" i="53"/>
  <c r="S294" i="53"/>
  <c r="X294" i="53"/>
  <c r="S295" i="53"/>
  <c r="X295" i="53"/>
  <c r="S296" i="53"/>
  <c r="X296" i="53"/>
  <c r="S297" i="53"/>
  <c r="X297" i="53"/>
  <c r="S298" i="53"/>
  <c r="X298" i="53"/>
  <c r="S299" i="53"/>
  <c r="X299" i="53"/>
  <c r="S300" i="53"/>
  <c r="X300" i="53"/>
  <c r="S301" i="53"/>
  <c r="X301" i="53"/>
  <c r="S302" i="53"/>
  <c r="X302" i="53"/>
  <c r="S303" i="53"/>
  <c r="X303" i="53"/>
  <c r="S304" i="53"/>
  <c r="X304" i="53"/>
  <c r="S305" i="53"/>
  <c r="X305" i="53"/>
  <c r="S306" i="53"/>
  <c r="X306" i="53"/>
  <c r="S307" i="53"/>
  <c r="X307" i="53"/>
  <c r="S308" i="53"/>
  <c r="X308" i="53"/>
  <c r="S309" i="53"/>
  <c r="X309" i="53"/>
  <c r="S310" i="53"/>
  <c r="X310" i="53"/>
  <c r="S311" i="53"/>
  <c r="X311" i="53"/>
  <c r="S312" i="53"/>
  <c r="X312" i="53"/>
  <c r="S313" i="53"/>
  <c r="X313" i="53"/>
  <c r="S314" i="53"/>
  <c r="X314" i="53"/>
  <c r="S315" i="53"/>
  <c r="X315" i="53"/>
  <c r="S316" i="53"/>
  <c r="X316" i="53"/>
  <c r="S317" i="53"/>
  <c r="X317" i="53"/>
  <c r="S318" i="53"/>
  <c r="X318" i="53"/>
  <c r="S319" i="53"/>
  <c r="X319" i="53"/>
  <c r="S320" i="53"/>
  <c r="X320" i="53"/>
  <c r="S321" i="53"/>
  <c r="X321" i="53"/>
  <c r="S322" i="53"/>
  <c r="X322" i="53"/>
  <c r="S323" i="53"/>
  <c r="X323" i="53"/>
  <c r="S324" i="53"/>
  <c r="X324" i="53"/>
  <c r="S325" i="53"/>
  <c r="X325" i="53"/>
  <c r="S326" i="53"/>
  <c r="X326" i="53"/>
  <c r="S327" i="53"/>
  <c r="X327" i="53"/>
  <c r="S328" i="53"/>
  <c r="X328" i="53"/>
  <c r="S329" i="53"/>
  <c r="X329" i="53"/>
  <c r="S330" i="53"/>
  <c r="X330" i="53"/>
  <c r="S331" i="53"/>
  <c r="X331" i="53"/>
  <c r="S332" i="53"/>
  <c r="X332" i="53"/>
  <c r="S333" i="53"/>
  <c r="X333" i="53"/>
  <c r="S334" i="53"/>
  <c r="X334" i="53"/>
  <c r="S335" i="53"/>
  <c r="X335" i="53"/>
  <c r="S336" i="53"/>
  <c r="X336" i="53"/>
  <c r="S337" i="53"/>
  <c r="X337" i="53"/>
  <c r="S338" i="53"/>
  <c r="X338" i="53"/>
  <c r="S339" i="53"/>
  <c r="X339" i="53"/>
  <c r="S342" i="53"/>
  <c r="X342" i="53"/>
  <c r="S343" i="53"/>
  <c r="X343" i="53"/>
  <c r="S344" i="53"/>
  <c r="X344" i="53"/>
  <c r="S345" i="53"/>
  <c r="X345" i="53"/>
  <c r="S346" i="53"/>
  <c r="X346" i="53"/>
  <c r="S347" i="53"/>
  <c r="X347" i="53"/>
  <c r="S348" i="53"/>
  <c r="X348" i="53"/>
  <c r="S349" i="53"/>
  <c r="X349" i="53"/>
  <c r="S350" i="53"/>
  <c r="X350" i="53"/>
  <c r="S351" i="53"/>
  <c r="X351" i="53"/>
  <c r="S352" i="53"/>
  <c r="X352" i="53"/>
  <c r="S353" i="53"/>
  <c r="X353" i="53"/>
  <c r="S354" i="53"/>
  <c r="X354" i="53"/>
  <c r="S355" i="53"/>
  <c r="X355" i="53"/>
  <c r="S356" i="53"/>
  <c r="X356" i="53"/>
  <c r="S357" i="53"/>
  <c r="X357" i="53"/>
  <c r="S358" i="53"/>
  <c r="X358" i="53"/>
  <c r="S359" i="53"/>
  <c r="X359" i="53"/>
  <c r="S360" i="53"/>
  <c r="X360" i="53"/>
  <c r="S361" i="53"/>
  <c r="X361" i="53"/>
  <c r="S362" i="53"/>
  <c r="X362" i="53"/>
  <c r="S363" i="53"/>
  <c r="X363" i="53"/>
  <c r="S364" i="53"/>
  <c r="X364" i="53"/>
  <c r="S365" i="53"/>
  <c r="X365" i="53"/>
  <c r="S366" i="53"/>
  <c r="X366" i="53"/>
  <c r="S367" i="53"/>
  <c r="X367" i="53"/>
  <c r="S368" i="53"/>
  <c r="X368" i="53"/>
  <c r="S369" i="53"/>
  <c r="X369" i="53"/>
  <c r="S370" i="53"/>
  <c r="X370" i="53"/>
  <c r="S371" i="53"/>
  <c r="X371" i="53"/>
  <c r="S372" i="53"/>
  <c r="X372" i="53"/>
  <c r="S373" i="53"/>
  <c r="X373" i="53"/>
  <c r="S374" i="53"/>
  <c r="X374" i="53"/>
  <c r="S375" i="53"/>
  <c r="X375" i="53"/>
  <c r="S376" i="53"/>
  <c r="X376" i="53"/>
  <c r="S377" i="53"/>
  <c r="X377" i="53"/>
  <c r="S378" i="53"/>
  <c r="X378" i="53"/>
  <c r="S379" i="53"/>
  <c r="X379" i="53"/>
  <c r="S380" i="53"/>
  <c r="X380" i="53"/>
  <c r="S381" i="53"/>
  <c r="X381" i="53"/>
  <c r="S382" i="53"/>
  <c r="X382" i="53"/>
  <c r="S383" i="53"/>
  <c r="X383" i="53"/>
  <c r="S384" i="53"/>
  <c r="X384" i="53"/>
  <c r="S385" i="53"/>
  <c r="X385" i="53"/>
  <c r="S386" i="53"/>
  <c r="X386" i="53"/>
  <c r="S387" i="53"/>
  <c r="X387" i="53"/>
  <c r="S388" i="53"/>
  <c r="X388" i="53"/>
  <c r="S389" i="53"/>
  <c r="X389" i="53"/>
  <c r="S390" i="53"/>
  <c r="X390" i="53"/>
  <c r="S391" i="53"/>
  <c r="X391" i="53"/>
  <c r="S392" i="53"/>
  <c r="X392" i="53"/>
  <c r="S393" i="53"/>
  <c r="X393" i="53"/>
  <c r="S394" i="53"/>
  <c r="X394" i="53"/>
  <c r="S395" i="53"/>
  <c r="X395" i="53"/>
  <c r="S396" i="53"/>
  <c r="X396" i="53"/>
  <c r="S397" i="53"/>
  <c r="X397" i="53"/>
  <c r="S398" i="53"/>
  <c r="X398" i="53"/>
  <c r="S399" i="53"/>
  <c r="X399" i="53"/>
  <c r="S400" i="53"/>
  <c r="X400" i="53"/>
  <c r="S409" i="53"/>
  <c r="X409" i="53"/>
  <c r="S410" i="53"/>
  <c r="X410" i="53"/>
  <c r="S411" i="53"/>
  <c r="X411" i="53"/>
  <c r="S412" i="53"/>
  <c r="X412" i="53"/>
  <c r="S413" i="53"/>
  <c r="X413" i="53"/>
  <c r="S414" i="53"/>
  <c r="X414" i="53"/>
  <c r="S415" i="53"/>
  <c r="X415" i="53"/>
  <c r="S416" i="53"/>
  <c r="X416" i="53"/>
  <c r="S417" i="53"/>
  <c r="X417" i="53"/>
  <c r="S418" i="53"/>
  <c r="X418" i="53"/>
  <c r="S419" i="53"/>
  <c r="X419" i="53"/>
  <c r="S420" i="53"/>
  <c r="X420" i="53"/>
  <c r="S421" i="53"/>
  <c r="X421" i="53"/>
  <c r="S422" i="53"/>
  <c r="X422" i="53"/>
  <c r="S423" i="53"/>
  <c r="X423" i="53"/>
  <c r="S424" i="53"/>
  <c r="X424" i="53"/>
  <c r="S425" i="53"/>
  <c r="X425" i="53"/>
  <c r="S426" i="53"/>
  <c r="X426" i="53"/>
  <c r="S427" i="53"/>
  <c r="X427" i="53"/>
  <c r="S428" i="53"/>
  <c r="X428" i="53"/>
  <c r="S429" i="53"/>
  <c r="X429" i="53"/>
  <c r="S430" i="53"/>
  <c r="X430" i="53"/>
  <c r="S433" i="53"/>
  <c r="X433" i="53"/>
  <c r="S434" i="53"/>
  <c r="X434" i="53"/>
  <c r="S435" i="53"/>
  <c r="X435" i="53"/>
  <c r="S436" i="53"/>
  <c r="X436" i="53"/>
  <c r="S437" i="53"/>
  <c r="X437" i="53"/>
  <c r="S438" i="53"/>
  <c r="X438" i="53"/>
  <c r="S439" i="53"/>
  <c r="X439" i="53"/>
  <c r="S440" i="53"/>
  <c r="X440" i="53"/>
  <c r="S441" i="53"/>
  <c r="X441" i="53"/>
  <c r="S442" i="53"/>
  <c r="X442" i="53"/>
  <c r="S443" i="53"/>
  <c r="X443" i="53"/>
  <c r="S444" i="53"/>
  <c r="X444" i="53"/>
  <c r="S445" i="53"/>
  <c r="X445" i="53"/>
  <c r="S449" i="53"/>
  <c r="X449" i="53"/>
  <c r="S450" i="53"/>
  <c r="X450" i="53"/>
  <c r="S451" i="53"/>
  <c r="X451" i="53"/>
  <c r="S452" i="53"/>
  <c r="X452" i="53"/>
  <c r="S453" i="53"/>
  <c r="X453" i="53"/>
  <c r="S454" i="53"/>
  <c r="X454" i="53"/>
  <c r="S455" i="53"/>
  <c r="X455" i="53"/>
  <c r="S456" i="53"/>
  <c r="X456" i="53"/>
  <c r="S457" i="53"/>
  <c r="X457" i="53"/>
  <c r="S458" i="53"/>
  <c r="X458" i="53"/>
  <c r="S459" i="53"/>
  <c r="X459" i="53"/>
  <c r="S460" i="53"/>
  <c r="X460" i="53"/>
  <c r="S461" i="53"/>
  <c r="X461" i="53"/>
  <c r="S462" i="53"/>
  <c r="X462" i="53"/>
  <c r="S463" i="53"/>
  <c r="X463" i="53"/>
  <c r="S464" i="53"/>
  <c r="X464" i="53"/>
  <c r="S465" i="53"/>
  <c r="X465" i="53"/>
  <c r="S466" i="53"/>
  <c r="X466" i="53"/>
  <c r="S467" i="53"/>
  <c r="X467" i="53"/>
  <c r="S468" i="53"/>
  <c r="X468" i="53"/>
  <c r="S469" i="53"/>
  <c r="X469" i="53"/>
  <c r="S470" i="53"/>
  <c r="X470" i="53"/>
  <c r="S471" i="53"/>
  <c r="X471" i="53"/>
  <c r="S472" i="53"/>
  <c r="X472" i="53"/>
  <c r="S473" i="53"/>
  <c r="X473" i="53"/>
  <c r="S474" i="53"/>
  <c r="X474" i="53"/>
  <c r="S475" i="53"/>
  <c r="X475" i="53"/>
  <c r="S476" i="53"/>
  <c r="X476" i="53"/>
  <c r="S477" i="53"/>
  <c r="X477" i="53"/>
  <c r="S478" i="53"/>
  <c r="X478" i="53"/>
  <c r="S479" i="53"/>
  <c r="X479" i="53"/>
  <c r="S480" i="53"/>
  <c r="X480" i="53"/>
  <c r="S481" i="53"/>
  <c r="X481" i="53"/>
  <c r="S482" i="53"/>
  <c r="X482" i="53"/>
  <c r="S483" i="53"/>
  <c r="X483" i="53"/>
  <c r="S484" i="53"/>
  <c r="X484" i="53"/>
  <c r="S485" i="53"/>
  <c r="X485" i="53"/>
  <c r="S486" i="53"/>
  <c r="X486" i="53"/>
  <c r="S487" i="53"/>
  <c r="X487" i="53"/>
  <c r="S488" i="53"/>
  <c r="X488" i="53"/>
  <c r="S489" i="53"/>
  <c r="X489" i="53"/>
  <c r="S490" i="53"/>
  <c r="X490" i="53"/>
  <c r="S491" i="53"/>
  <c r="X491" i="53"/>
  <c r="S492" i="53"/>
  <c r="X492" i="53"/>
  <c r="S493" i="53"/>
  <c r="X493" i="53"/>
  <c r="S494" i="53"/>
  <c r="X494" i="53"/>
  <c r="S495" i="53"/>
  <c r="X495" i="53"/>
  <c r="S496" i="53"/>
  <c r="X496" i="53"/>
  <c r="S497" i="53"/>
  <c r="X497" i="53"/>
  <c r="S498" i="53"/>
  <c r="X498" i="53"/>
  <c r="S499" i="53"/>
  <c r="X499" i="53"/>
  <c r="S500" i="53"/>
  <c r="X500" i="53"/>
  <c r="S501" i="53"/>
  <c r="X501" i="53"/>
  <c r="S502" i="53"/>
  <c r="X502" i="53"/>
  <c r="S503" i="53"/>
  <c r="X503" i="53"/>
  <c r="S504" i="53"/>
  <c r="X504" i="53"/>
  <c r="S505" i="53"/>
  <c r="X505" i="53"/>
  <c r="S506" i="53"/>
  <c r="X506" i="53"/>
  <c r="S507" i="53"/>
  <c r="X507" i="53"/>
  <c r="S508" i="53"/>
  <c r="X508" i="53"/>
  <c r="S509" i="53"/>
  <c r="X509" i="53"/>
  <c r="S510" i="53"/>
  <c r="X510" i="53"/>
  <c r="S511" i="53"/>
  <c r="X511" i="53"/>
  <c r="S512" i="53"/>
  <c r="X512" i="53"/>
  <c r="S513" i="53"/>
  <c r="X513" i="53"/>
  <c r="S514" i="53"/>
  <c r="X514" i="53"/>
  <c r="S515" i="53"/>
  <c r="X515" i="53"/>
  <c r="S516" i="53"/>
  <c r="X516" i="53"/>
  <c r="S517" i="53"/>
  <c r="X517" i="53"/>
  <c r="S518" i="53"/>
  <c r="X518" i="53"/>
  <c r="S519" i="53"/>
  <c r="X519" i="53"/>
  <c r="S520" i="53"/>
  <c r="X520" i="53"/>
  <c r="S521" i="53"/>
  <c r="X521" i="53"/>
  <c r="S522" i="53"/>
  <c r="X522" i="53"/>
  <c r="S523" i="53"/>
  <c r="X523" i="53"/>
  <c r="S524" i="53"/>
  <c r="X524" i="53"/>
  <c r="S525" i="53"/>
  <c r="X525" i="53"/>
  <c r="S526" i="53"/>
  <c r="X526" i="53"/>
  <c r="S527" i="53"/>
  <c r="X527" i="53"/>
  <c r="S528" i="53"/>
  <c r="X528" i="53"/>
  <c r="S529" i="53"/>
  <c r="X529" i="53"/>
  <c r="S530" i="53"/>
  <c r="X530" i="53"/>
  <c r="S531" i="53"/>
  <c r="X531" i="53"/>
  <c r="S532" i="53"/>
  <c r="X532" i="53"/>
  <c r="S533" i="53"/>
  <c r="X533" i="53"/>
  <c r="S534" i="53"/>
  <c r="X534" i="53"/>
  <c r="S535" i="53"/>
  <c r="X535" i="53"/>
  <c r="S536" i="53"/>
  <c r="X536" i="53"/>
  <c r="S537" i="53"/>
  <c r="X537" i="53"/>
  <c r="S538" i="53"/>
  <c r="X538" i="53"/>
  <c r="S539" i="53"/>
  <c r="X539" i="53"/>
  <c r="S540" i="53"/>
  <c r="X540" i="53"/>
  <c r="S541" i="53"/>
  <c r="X541" i="53"/>
  <c r="S542" i="53"/>
  <c r="X542" i="53"/>
  <c r="S543" i="53"/>
  <c r="X543" i="53"/>
  <c r="S544" i="53"/>
  <c r="X544" i="53"/>
  <c r="S545" i="53"/>
  <c r="X545" i="53"/>
  <c r="S546" i="53"/>
  <c r="X546" i="53"/>
  <c r="S547" i="53"/>
  <c r="X547" i="53"/>
  <c r="S548" i="53"/>
  <c r="X548" i="53"/>
  <c r="S549" i="53"/>
  <c r="X549" i="53"/>
  <c r="S550" i="53"/>
  <c r="X550" i="53"/>
  <c r="S551" i="53"/>
  <c r="X551" i="53"/>
  <c r="S552" i="53"/>
  <c r="X552" i="53"/>
  <c r="S553" i="53"/>
  <c r="X553" i="53"/>
  <c r="S554" i="53"/>
  <c r="X554" i="53"/>
  <c r="S555" i="53"/>
  <c r="X555" i="53"/>
  <c r="S556" i="53"/>
  <c r="X556" i="53"/>
  <c r="S557" i="53"/>
  <c r="X557" i="53"/>
  <c r="S558" i="53"/>
  <c r="X558" i="53"/>
  <c r="S559" i="53"/>
  <c r="X559" i="53"/>
  <c r="S560" i="53"/>
  <c r="X560" i="53"/>
  <c r="S561" i="53"/>
  <c r="X561" i="53"/>
  <c r="S562" i="53"/>
  <c r="X562" i="53"/>
  <c r="S563" i="53"/>
  <c r="X563" i="53"/>
  <c r="S564" i="53"/>
  <c r="X564" i="53"/>
  <c r="S565" i="53"/>
  <c r="X565" i="53"/>
  <c r="S566" i="53"/>
  <c r="X566" i="53"/>
  <c r="S567" i="53"/>
  <c r="X567" i="53"/>
  <c r="S568" i="53"/>
  <c r="X568" i="53"/>
  <c r="S569" i="53"/>
  <c r="X569" i="53"/>
  <c r="S570" i="53"/>
  <c r="X570" i="53"/>
  <c r="S571" i="53"/>
  <c r="X571" i="53"/>
  <c r="S572" i="53"/>
  <c r="X572" i="53"/>
  <c r="S573" i="53"/>
  <c r="X573" i="53"/>
  <c r="S574" i="53"/>
  <c r="X574" i="53"/>
  <c r="S575" i="53"/>
  <c r="X575" i="53"/>
  <c r="S576" i="53"/>
  <c r="X576" i="53"/>
  <c r="S577" i="53"/>
  <c r="X577" i="53"/>
  <c r="S578" i="53"/>
  <c r="X578" i="53"/>
  <c r="S579" i="53"/>
  <c r="X579" i="53"/>
  <c r="S580" i="53"/>
  <c r="X580" i="53"/>
  <c r="S581" i="53"/>
  <c r="X581" i="53"/>
  <c r="S582" i="53"/>
  <c r="X582" i="53"/>
  <c r="S583" i="53"/>
  <c r="X583" i="53"/>
  <c r="S584" i="53"/>
  <c r="X584" i="53"/>
  <c r="S585" i="53"/>
  <c r="X585" i="53"/>
  <c r="S586" i="53"/>
  <c r="X586" i="53"/>
  <c r="S587" i="53"/>
  <c r="X587" i="53"/>
  <c r="S588" i="53"/>
  <c r="X588" i="53"/>
  <c r="S589" i="53"/>
  <c r="X589" i="53"/>
  <c r="S590" i="53"/>
  <c r="X590" i="53"/>
  <c r="S591" i="53"/>
  <c r="X591" i="53"/>
  <c r="S592" i="53"/>
  <c r="X592" i="53"/>
  <c r="S593" i="53"/>
  <c r="X593" i="53"/>
  <c r="S594" i="53"/>
  <c r="X594" i="53"/>
  <c r="S595" i="53"/>
  <c r="X595" i="53"/>
  <c r="S596" i="53"/>
  <c r="X596" i="53"/>
  <c r="S597" i="53"/>
  <c r="X597" i="53"/>
  <c r="S598" i="53"/>
  <c r="X598" i="53"/>
  <c r="S599" i="53"/>
  <c r="X599" i="53"/>
  <c r="S600" i="53"/>
  <c r="X600" i="53"/>
  <c r="S601" i="53"/>
  <c r="X601" i="53"/>
  <c r="S602" i="53"/>
  <c r="X602" i="53"/>
  <c r="S603" i="53"/>
  <c r="X603" i="53"/>
  <c r="S604" i="53"/>
  <c r="X604" i="53"/>
  <c r="S605" i="53"/>
  <c r="X605" i="53"/>
  <c r="S606" i="53"/>
  <c r="X606" i="53"/>
  <c r="S607" i="53"/>
  <c r="X607" i="53"/>
  <c r="S614" i="53"/>
  <c r="X614" i="53"/>
  <c r="S615" i="53"/>
  <c r="X615" i="53"/>
  <c r="S616" i="53"/>
  <c r="X616" i="53"/>
  <c r="S617" i="53"/>
  <c r="X617" i="53"/>
  <c r="S618" i="53"/>
  <c r="X618" i="53"/>
  <c r="S619" i="53"/>
  <c r="X619" i="53"/>
  <c r="S620" i="53"/>
  <c r="X620" i="53"/>
  <c r="S621" i="53"/>
  <c r="X621" i="53"/>
  <c r="S622" i="53"/>
  <c r="X622" i="53"/>
  <c r="S623" i="53"/>
  <c r="X623" i="53"/>
  <c r="S624" i="53"/>
  <c r="X624" i="53"/>
  <c r="S625" i="53"/>
  <c r="X625" i="53"/>
  <c r="S626" i="53"/>
  <c r="X626" i="53"/>
  <c r="S627" i="53"/>
  <c r="X627" i="53"/>
  <c r="S628" i="53"/>
  <c r="X628" i="53"/>
  <c r="S629" i="53"/>
  <c r="X629" i="53"/>
  <c r="S630" i="53"/>
  <c r="X630" i="53"/>
  <c r="S631" i="53"/>
  <c r="X631" i="53"/>
  <c r="S632" i="53"/>
  <c r="X632" i="53"/>
  <c r="S633" i="53"/>
  <c r="X633" i="53"/>
  <c r="S634" i="53"/>
  <c r="X634" i="53"/>
  <c r="S635" i="53"/>
  <c r="X635" i="53"/>
  <c r="S636" i="53"/>
  <c r="X636" i="53"/>
  <c r="S637" i="53"/>
  <c r="X637" i="53"/>
  <c r="S638" i="53"/>
  <c r="X638" i="53"/>
  <c r="S639" i="53"/>
  <c r="X639" i="53"/>
  <c r="S640" i="53"/>
  <c r="X640" i="53"/>
  <c r="S641" i="53"/>
  <c r="X641" i="53"/>
  <c r="S642" i="53"/>
  <c r="X642" i="53"/>
  <c r="S643" i="53"/>
  <c r="X643" i="53"/>
  <c r="S644" i="53"/>
  <c r="X644" i="53"/>
  <c r="S645" i="53"/>
  <c r="X645" i="53"/>
  <c r="S646" i="53"/>
  <c r="X646" i="53"/>
  <c r="S647" i="53"/>
  <c r="X647" i="53"/>
  <c r="S648" i="53"/>
  <c r="X648" i="53"/>
  <c r="S649" i="53"/>
  <c r="X649" i="53"/>
  <c r="S650" i="53"/>
  <c r="X650" i="53"/>
  <c r="S651" i="53"/>
  <c r="X651" i="53"/>
  <c r="S652" i="53"/>
  <c r="X652" i="53"/>
  <c r="S653" i="53"/>
  <c r="X653" i="53"/>
  <c r="S654" i="53"/>
  <c r="X654" i="53"/>
  <c r="S655" i="53"/>
  <c r="X655" i="53"/>
  <c r="S656" i="53"/>
  <c r="X656" i="53"/>
  <c r="S657" i="53"/>
  <c r="X657" i="53"/>
  <c r="S658" i="53"/>
  <c r="X658" i="53"/>
  <c r="S659" i="53"/>
  <c r="X659" i="53"/>
  <c r="S660" i="53"/>
  <c r="X660" i="53"/>
  <c r="S661" i="53"/>
  <c r="X661" i="53"/>
  <c r="S662" i="53"/>
  <c r="X662" i="53"/>
  <c r="S663" i="53"/>
  <c r="X663" i="53"/>
  <c r="S664" i="53"/>
  <c r="X664" i="53"/>
  <c r="S665" i="53"/>
  <c r="X665" i="53"/>
  <c r="S666" i="53"/>
  <c r="X666" i="53"/>
  <c r="S667" i="53"/>
  <c r="X667" i="53"/>
  <c r="S668" i="53"/>
  <c r="X668" i="53"/>
  <c r="S669" i="53"/>
  <c r="X669" i="53"/>
  <c r="S670" i="53"/>
  <c r="X670" i="53"/>
  <c r="S671" i="53"/>
  <c r="X671" i="53"/>
  <c r="S672" i="53"/>
  <c r="X672" i="53"/>
  <c r="S673" i="53"/>
  <c r="X673" i="53"/>
  <c r="S674" i="53"/>
  <c r="X674" i="53"/>
  <c r="S675" i="53"/>
  <c r="X675" i="53"/>
  <c r="S676" i="53"/>
  <c r="X676" i="53"/>
  <c r="S677" i="53"/>
  <c r="X677" i="53"/>
  <c r="S678" i="53"/>
  <c r="X678" i="53"/>
  <c r="S679" i="53"/>
  <c r="X679" i="53"/>
  <c r="S680" i="53"/>
  <c r="X680" i="53"/>
  <c r="S681" i="53"/>
  <c r="X681" i="53"/>
  <c r="S682" i="53"/>
  <c r="X682" i="53"/>
  <c r="S683" i="53"/>
  <c r="X683" i="53"/>
  <c r="S684" i="53"/>
  <c r="X684" i="53"/>
  <c r="S685" i="53"/>
  <c r="X685" i="53"/>
  <c r="S686" i="53"/>
  <c r="X686" i="53"/>
  <c r="S687" i="53"/>
  <c r="X687" i="53"/>
  <c r="S688" i="53"/>
  <c r="X688" i="53"/>
  <c r="S690" i="53"/>
  <c r="X690" i="53"/>
  <c r="S691" i="53"/>
  <c r="X691" i="53"/>
  <c r="S692" i="53"/>
  <c r="X692" i="53"/>
  <c r="S693" i="53"/>
  <c r="X693" i="53"/>
  <c r="S694" i="53"/>
  <c r="X694" i="53"/>
  <c r="S695" i="53"/>
  <c r="X695" i="53"/>
  <c r="S696" i="53"/>
  <c r="X696" i="53"/>
  <c r="S697" i="53"/>
  <c r="X697" i="53"/>
  <c r="S698" i="53"/>
  <c r="X698" i="53"/>
  <c r="S699" i="53"/>
  <c r="X699" i="53"/>
  <c r="S700" i="53"/>
  <c r="X700" i="53"/>
  <c r="S701" i="53"/>
  <c r="X701" i="53"/>
  <c r="S702" i="53"/>
  <c r="X702" i="53"/>
  <c r="S703" i="53"/>
  <c r="X703" i="53"/>
  <c r="S704" i="53"/>
  <c r="X704" i="53"/>
  <c r="S705" i="53"/>
  <c r="X705" i="53"/>
  <c r="S706" i="53"/>
  <c r="X706" i="53"/>
  <c r="S707" i="53"/>
  <c r="X707" i="53"/>
  <c r="S708" i="53"/>
  <c r="X708" i="53"/>
  <c r="S709" i="53"/>
  <c r="X709" i="53"/>
  <c r="S710" i="53"/>
  <c r="X710" i="53"/>
  <c r="S711" i="53"/>
  <c r="X711" i="53"/>
  <c r="S712" i="53"/>
  <c r="X712" i="53"/>
  <c r="S713" i="53"/>
  <c r="X713" i="53"/>
  <c r="S714" i="53"/>
  <c r="X714" i="53"/>
  <c r="S715" i="53"/>
  <c r="X715" i="53"/>
  <c r="S716" i="53"/>
  <c r="X716" i="53"/>
  <c r="S717" i="53"/>
  <c r="X717" i="53"/>
  <c r="S718" i="53"/>
  <c r="X718" i="53"/>
  <c r="S719" i="53"/>
  <c r="X719" i="53"/>
  <c r="S720" i="53"/>
  <c r="X720" i="53"/>
  <c r="S721" i="53"/>
  <c r="X721" i="53"/>
  <c r="S722" i="53"/>
  <c r="X722" i="53"/>
  <c r="S723" i="53"/>
  <c r="X723" i="53"/>
  <c r="S724" i="53"/>
  <c r="X724" i="53"/>
  <c r="S725" i="53"/>
  <c r="X725" i="53"/>
  <c r="S726" i="53"/>
  <c r="X726" i="53"/>
  <c r="S727" i="53"/>
  <c r="X727" i="53"/>
  <c r="S728" i="53"/>
  <c r="X728" i="53"/>
  <c r="S729" i="53"/>
  <c r="X729" i="53"/>
  <c r="S730" i="53"/>
  <c r="X730" i="53"/>
  <c r="S731" i="53"/>
  <c r="X731" i="53"/>
  <c r="S732" i="53"/>
  <c r="X732" i="53"/>
  <c r="S733" i="53"/>
  <c r="X733" i="53"/>
  <c r="S734" i="53"/>
  <c r="X734" i="53"/>
  <c r="S735" i="53"/>
  <c r="X735" i="53"/>
  <c r="S736" i="53"/>
  <c r="X736" i="53"/>
  <c r="S737" i="53"/>
  <c r="X737" i="53"/>
  <c r="S738" i="53"/>
  <c r="X738" i="53"/>
  <c r="S739" i="53"/>
  <c r="X739" i="53"/>
  <c r="S740" i="53"/>
  <c r="X740" i="53"/>
  <c r="S741" i="53"/>
  <c r="X741" i="53"/>
  <c r="S742" i="53"/>
  <c r="X742" i="53"/>
  <c r="S743" i="53"/>
  <c r="X743" i="53"/>
  <c r="S744" i="53"/>
  <c r="X744" i="53"/>
  <c r="S745" i="53"/>
  <c r="X745" i="53"/>
  <c r="S746" i="53"/>
  <c r="X746" i="53"/>
  <c r="S747" i="53"/>
  <c r="X747" i="53"/>
  <c r="S748" i="53"/>
  <c r="X748" i="53"/>
  <c r="S749" i="53"/>
  <c r="X749" i="53"/>
  <c r="S750" i="53"/>
  <c r="X750" i="53"/>
  <c r="S751" i="53"/>
  <c r="X751" i="53"/>
  <c r="S752" i="53"/>
  <c r="X752" i="53"/>
  <c r="S753" i="53"/>
  <c r="X753" i="53"/>
  <c r="S754" i="53"/>
  <c r="X754" i="53"/>
  <c r="S755" i="53"/>
  <c r="X755" i="53"/>
  <c r="S756" i="53"/>
  <c r="X756" i="53"/>
  <c r="S757" i="53"/>
  <c r="X757" i="53"/>
  <c r="S758" i="53"/>
  <c r="X758" i="53"/>
  <c r="S759" i="53"/>
  <c r="X759" i="53"/>
  <c r="S760" i="53"/>
  <c r="X760" i="53"/>
  <c r="S761" i="53"/>
  <c r="X761" i="53"/>
  <c r="S762" i="53"/>
  <c r="X762" i="53"/>
  <c r="S763" i="53"/>
  <c r="X763" i="53"/>
  <c r="S764" i="53"/>
  <c r="X764" i="53"/>
  <c r="S765" i="53"/>
  <c r="X765" i="53"/>
  <c r="S766" i="53"/>
  <c r="X766" i="53"/>
  <c r="S767" i="53"/>
  <c r="X767" i="53"/>
  <c r="S768" i="53"/>
  <c r="X768" i="53"/>
  <c r="S769" i="53"/>
  <c r="X769" i="53"/>
  <c r="S770" i="53"/>
  <c r="X770" i="53"/>
  <c r="S771" i="53"/>
  <c r="X771" i="53"/>
  <c r="S772" i="53"/>
  <c r="X772" i="53"/>
  <c r="S773" i="53"/>
  <c r="X773" i="53"/>
  <c r="S774" i="53"/>
  <c r="X774" i="53"/>
  <c r="S775" i="53"/>
  <c r="X775" i="53"/>
  <c r="S776" i="53"/>
  <c r="X776" i="53"/>
  <c r="S777" i="53"/>
  <c r="X777" i="53"/>
  <c r="S779" i="53"/>
  <c r="X779" i="53"/>
  <c r="S780" i="53"/>
  <c r="X780" i="53"/>
  <c r="S781" i="53"/>
  <c r="X781" i="53"/>
  <c r="S782" i="53"/>
  <c r="X782" i="53"/>
  <c r="S783" i="53"/>
  <c r="X783" i="53"/>
  <c r="S784" i="53"/>
  <c r="X784" i="53"/>
  <c r="S785" i="53"/>
  <c r="X785" i="53"/>
  <c r="S786" i="53"/>
  <c r="X786" i="53"/>
  <c r="S787" i="53"/>
  <c r="X787" i="53"/>
  <c r="S788" i="53"/>
  <c r="X788" i="53"/>
  <c r="S789" i="53"/>
  <c r="X789" i="53"/>
  <c r="S790" i="53"/>
  <c r="X790" i="53"/>
  <c r="S791" i="53"/>
  <c r="X791" i="53"/>
  <c r="S792" i="53"/>
  <c r="X792" i="53"/>
  <c r="S793" i="53"/>
  <c r="X793" i="53"/>
  <c r="S794" i="53"/>
  <c r="X794" i="53"/>
  <c r="S795" i="53"/>
  <c r="X795" i="53"/>
  <c r="S796" i="53"/>
  <c r="X796" i="53"/>
  <c r="S797" i="53"/>
  <c r="X797" i="53"/>
  <c r="S798" i="53"/>
  <c r="X798" i="53"/>
  <c r="S799" i="53"/>
  <c r="X799" i="53"/>
  <c r="S800" i="53"/>
  <c r="X800" i="53"/>
  <c r="S801" i="53"/>
  <c r="X801" i="53"/>
  <c r="S802" i="53"/>
  <c r="X802" i="53"/>
  <c r="S803" i="53"/>
  <c r="X803" i="53"/>
  <c r="S804" i="53"/>
  <c r="X804" i="53"/>
  <c r="S805" i="53"/>
  <c r="X805" i="53"/>
  <c r="S806" i="53"/>
  <c r="X806" i="53"/>
  <c r="S807" i="53"/>
  <c r="X807" i="53"/>
  <c r="S808" i="53"/>
  <c r="X808" i="53"/>
  <c r="S809" i="53"/>
  <c r="X809" i="53"/>
  <c r="S810" i="53"/>
  <c r="X810" i="53"/>
  <c r="S811" i="53"/>
  <c r="X811" i="53"/>
  <c r="S812" i="53"/>
  <c r="X812" i="53"/>
  <c r="S813" i="53"/>
  <c r="X813" i="53"/>
  <c r="S814" i="53"/>
  <c r="X814" i="53"/>
  <c r="S815" i="53"/>
  <c r="X815" i="53"/>
  <c r="S816" i="53"/>
  <c r="X816" i="53"/>
  <c r="S817" i="53"/>
  <c r="X817" i="53"/>
  <c r="S818" i="53"/>
  <c r="X818" i="53"/>
  <c r="S819" i="53"/>
  <c r="X819" i="53"/>
  <c r="S820" i="53"/>
  <c r="X820" i="53"/>
  <c r="S821" i="53"/>
  <c r="X821" i="53"/>
  <c r="S822" i="53"/>
  <c r="X822" i="53"/>
  <c r="S823" i="53"/>
  <c r="X823" i="53"/>
  <c r="S824" i="53"/>
  <c r="X824" i="53"/>
  <c r="S825" i="53"/>
  <c r="X825" i="53"/>
  <c r="S826" i="53"/>
  <c r="X826" i="53"/>
  <c r="S827" i="53"/>
  <c r="X827" i="53"/>
  <c r="S828" i="53"/>
  <c r="X828" i="53"/>
  <c r="S829" i="53"/>
  <c r="X829" i="53"/>
  <c r="S830" i="53"/>
  <c r="X830" i="53"/>
  <c r="S831" i="53"/>
  <c r="X831" i="53"/>
  <c r="S832" i="53"/>
  <c r="X832" i="53"/>
  <c r="S833" i="53"/>
  <c r="X833" i="53"/>
  <c r="S834" i="53"/>
  <c r="X834" i="53"/>
  <c r="S835" i="53"/>
  <c r="X835" i="53"/>
  <c r="S836" i="53"/>
  <c r="X836" i="53"/>
  <c r="S837" i="53"/>
  <c r="X837" i="53"/>
  <c r="S838" i="53"/>
  <c r="X838" i="53"/>
  <c r="S839" i="53"/>
  <c r="X839" i="53"/>
  <c r="S840" i="53"/>
  <c r="X840" i="53"/>
  <c r="S841" i="53"/>
  <c r="X841" i="53"/>
  <c r="S842" i="53"/>
  <c r="X842" i="53"/>
  <c r="S843" i="53"/>
  <c r="X843" i="53"/>
  <c r="S844" i="53"/>
  <c r="X844" i="53"/>
  <c r="S845" i="53"/>
  <c r="X845" i="53"/>
  <c r="S846" i="53"/>
  <c r="X846" i="53"/>
  <c r="S847" i="53"/>
  <c r="X847" i="53"/>
  <c r="S848" i="53"/>
  <c r="X848" i="53"/>
  <c r="S849" i="53"/>
  <c r="X849" i="53"/>
  <c r="S850" i="53"/>
  <c r="X850" i="53"/>
  <c r="S851" i="53"/>
  <c r="X851" i="53"/>
  <c r="S852" i="53"/>
  <c r="X852" i="53"/>
  <c r="S853" i="53"/>
  <c r="X853" i="53"/>
  <c r="S854" i="53"/>
  <c r="X854" i="53"/>
  <c r="S855" i="53"/>
  <c r="X855" i="53"/>
  <c r="S856" i="53"/>
  <c r="X856" i="53"/>
  <c r="S857" i="53"/>
  <c r="X857" i="53"/>
  <c r="S858" i="53"/>
  <c r="X858" i="53"/>
  <c r="S859" i="53"/>
  <c r="X859" i="53"/>
  <c r="S860" i="53"/>
  <c r="X860" i="53"/>
  <c r="S861" i="53"/>
  <c r="X861" i="53"/>
  <c r="S862" i="53"/>
  <c r="X862" i="53"/>
  <c r="S863" i="53"/>
  <c r="X863" i="53"/>
  <c r="S864" i="53"/>
  <c r="X864" i="53"/>
  <c r="S865" i="53"/>
  <c r="X865" i="53"/>
  <c r="S866" i="53"/>
  <c r="X866" i="53"/>
  <c r="S867" i="53"/>
  <c r="X867" i="53"/>
  <c r="S868" i="53"/>
  <c r="X868" i="53"/>
  <c r="S869" i="53"/>
  <c r="X869" i="53"/>
  <c r="S872" i="53"/>
  <c r="X872" i="53"/>
  <c r="S873" i="53"/>
  <c r="X873" i="53"/>
  <c r="S874" i="53"/>
  <c r="X874" i="53"/>
  <c r="S875" i="53"/>
  <c r="X875" i="53"/>
  <c r="S876" i="53"/>
  <c r="X876" i="53"/>
  <c r="S879" i="53"/>
  <c r="X879" i="53"/>
  <c r="S880" i="53"/>
  <c r="X880" i="53"/>
  <c r="S881" i="53"/>
  <c r="X881" i="53"/>
  <c r="S882" i="53"/>
  <c r="X882" i="53"/>
  <c r="S883" i="53"/>
  <c r="X883" i="53"/>
  <c r="S884" i="53"/>
  <c r="X884" i="53"/>
  <c r="S885" i="53"/>
  <c r="X885" i="53"/>
  <c r="S886" i="53"/>
  <c r="X886" i="53"/>
  <c r="S887" i="53"/>
  <c r="X887" i="53"/>
  <c r="S888" i="53"/>
  <c r="X888" i="53"/>
  <c r="S889" i="53"/>
  <c r="X889" i="53"/>
  <c r="S890" i="53"/>
  <c r="X890" i="53"/>
  <c r="S891" i="53"/>
  <c r="X891" i="53"/>
  <c r="S892" i="53"/>
  <c r="X892" i="53"/>
  <c r="S893" i="53"/>
  <c r="X893" i="53"/>
  <c r="S894" i="53"/>
  <c r="X894" i="53"/>
  <c r="S895" i="53"/>
  <c r="X895" i="53"/>
  <c r="S896" i="53"/>
  <c r="X896" i="53"/>
  <c r="S897" i="53"/>
  <c r="X897" i="53"/>
  <c r="S898" i="53"/>
  <c r="X898" i="53"/>
  <c r="S899" i="53"/>
  <c r="X899" i="53"/>
  <c r="S900" i="53"/>
  <c r="X900" i="53"/>
  <c r="S901" i="53"/>
  <c r="X901" i="53"/>
  <c r="S902" i="53"/>
  <c r="X902" i="53"/>
  <c r="S903" i="53"/>
  <c r="X903" i="53"/>
  <c r="S904" i="53"/>
  <c r="X904" i="53"/>
  <c r="S905" i="53"/>
  <c r="X905" i="53"/>
  <c r="S906" i="53"/>
  <c r="X906" i="53"/>
  <c r="S907" i="53"/>
  <c r="X907" i="53"/>
  <c r="S909" i="53"/>
  <c r="X909" i="53"/>
  <c r="S911" i="53"/>
  <c r="X911" i="53"/>
  <c r="S912" i="53"/>
  <c r="X912" i="53"/>
  <c r="S913" i="53"/>
  <c r="X913" i="53"/>
  <c r="S914" i="53"/>
  <c r="X914" i="53"/>
  <c r="S916" i="53"/>
  <c r="X916" i="53"/>
  <c r="S918" i="53"/>
  <c r="X918" i="53"/>
  <c r="S919" i="53"/>
  <c r="X919" i="53"/>
  <c r="S920" i="53"/>
  <c r="X920" i="53"/>
  <c r="S921" i="53"/>
  <c r="X921" i="53"/>
  <c r="S922" i="53"/>
  <c r="X922" i="53"/>
  <c r="S923" i="53"/>
  <c r="X923" i="53"/>
  <c r="S925" i="53"/>
  <c r="X925" i="53"/>
  <c r="S926" i="53"/>
  <c r="X926" i="53"/>
  <c r="S927" i="53"/>
  <c r="X927" i="53"/>
  <c r="S928" i="53"/>
  <c r="X928" i="53"/>
  <c r="S929" i="53"/>
  <c r="X929" i="53"/>
  <c r="S930" i="53"/>
  <c r="X930" i="53"/>
  <c r="S932" i="53"/>
  <c r="X932" i="53"/>
  <c r="S933" i="53"/>
  <c r="X933" i="53"/>
  <c r="S934" i="53"/>
  <c r="X934" i="53"/>
  <c r="S935" i="53"/>
  <c r="X935" i="53"/>
  <c r="S936" i="53"/>
  <c r="X936" i="53"/>
  <c r="S937" i="53"/>
  <c r="X937" i="53"/>
  <c r="S938" i="53"/>
  <c r="X938" i="53"/>
  <c r="S939" i="53"/>
  <c r="X939" i="53"/>
  <c r="S940" i="53"/>
  <c r="X940" i="53"/>
  <c r="S941" i="53"/>
  <c r="X941" i="53"/>
  <c r="S942" i="53"/>
  <c r="X942" i="53"/>
  <c r="S943" i="53"/>
  <c r="X943" i="53"/>
  <c r="S944" i="53"/>
  <c r="X944" i="53"/>
  <c r="S945" i="53"/>
  <c r="X945" i="53"/>
  <c r="S946" i="53"/>
  <c r="X946" i="53"/>
  <c r="S947" i="53"/>
  <c r="X947" i="53"/>
  <c r="S948" i="53"/>
  <c r="X948" i="53"/>
  <c r="S949" i="53"/>
  <c r="X949" i="53"/>
  <c r="S950" i="53"/>
  <c r="X950" i="53"/>
  <c r="S951" i="53"/>
  <c r="X951" i="53"/>
  <c r="S952" i="53"/>
  <c r="X952" i="53"/>
  <c r="S953" i="53"/>
  <c r="X953" i="53"/>
  <c r="S954" i="53"/>
  <c r="X954" i="53"/>
  <c r="S955" i="53"/>
  <c r="X955" i="53"/>
  <c r="S956" i="53"/>
  <c r="X956" i="53"/>
  <c r="S957" i="53"/>
  <c r="X957" i="53"/>
  <c r="S958" i="53"/>
  <c r="X958" i="53"/>
  <c r="S959" i="53"/>
  <c r="X959" i="53"/>
  <c r="S960" i="53"/>
  <c r="X960" i="53"/>
  <c r="S961" i="53"/>
  <c r="X961" i="53"/>
  <c r="S962" i="53"/>
  <c r="X962" i="53"/>
  <c r="S963" i="53"/>
  <c r="X963" i="53"/>
  <c r="S964" i="53"/>
  <c r="X964" i="53"/>
  <c r="S965" i="53"/>
  <c r="X965" i="53"/>
  <c r="S966" i="53"/>
  <c r="X966" i="53"/>
  <c r="S967" i="53"/>
  <c r="X967" i="53"/>
  <c r="S968" i="53"/>
  <c r="X968" i="53"/>
  <c r="S969" i="53"/>
  <c r="X969" i="53"/>
  <c r="S970" i="53"/>
  <c r="X970" i="53"/>
  <c r="S971" i="53"/>
  <c r="X971" i="53"/>
  <c r="S972" i="53"/>
  <c r="X972" i="53"/>
  <c r="S973" i="53"/>
  <c r="X973" i="53"/>
  <c r="S974" i="53"/>
  <c r="X974" i="53"/>
  <c r="S975" i="53"/>
  <c r="X975" i="53"/>
  <c r="S976" i="53"/>
  <c r="X976" i="53"/>
  <c r="S977" i="53"/>
  <c r="X977" i="53"/>
  <c r="S978" i="53"/>
  <c r="X978" i="53"/>
  <c r="S979" i="53"/>
  <c r="X979" i="53"/>
  <c r="S980" i="53"/>
  <c r="X980" i="53"/>
  <c r="S982" i="53"/>
  <c r="X982" i="53"/>
  <c r="S983" i="53"/>
  <c r="X983" i="53"/>
  <c r="S984" i="53"/>
  <c r="X984" i="53"/>
  <c r="S985" i="53"/>
  <c r="X985" i="53"/>
  <c r="S986" i="53"/>
  <c r="X986" i="53"/>
  <c r="S987" i="53"/>
  <c r="X987" i="53"/>
  <c r="S988" i="53"/>
  <c r="X988" i="53"/>
  <c r="S989" i="53"/>
  <c r="X989" i="53"/>
  <c r="S990" i="53"/>
  <c r="X990" i="53"/>
  <c r="S991" i="53"/>
  <c r="X991" i="53"/>
  <c r="S993" i="53"/>
  <c r="X993" i="53"/>
  <c r="S994" i="53"/>
  <c r="X994" i="53"/>
  <c r="S995" i="53"/>
  <c r="X995" i="53"/>
  <c r="S996" i="53"/>
  <c r="X996" i="53"/>
  <c r="S997" i="53"/>
  <c r="X997" i="53"/>
  <c r="S998" i="53"/>
  <c r="X998" i="53"/>
  <c r="S999" i="53"/>
  <c r="X999" i="53"/>
  <c r="S1000" i="53"/>
  <c r="X1000" i="53"/>
  <c r="S1001" i="53"/>
  <c r="X1001" i="53"/>
  <c r="S1002" i="53"/>
  <c r="X1002" i="53"/>
  <c r="S1003" i="53"/>
  <c r="X1003" i="53"/>
  <c r="S1004" i="53"/>
  <c r="X1004" i="53"/>
  <c r="S1005" i="53"/>
  <c r="X1005" i="53"/>
  <c r="S1007" i="53"/>
  <c r="X1007" i="53"/>
  <c r="S1008" i="53"/>
  <c r="X1008" i="53"/>
  <c r="S1009" i="53"/>
  <c r="X1009" i="53"/>
  <c r="S1010" i="53"/>
  <c r="X1010" i="53"/>
  <c r="S1011" i="53"/>
  <c r="X1011" i="53"/>
  <c r="S1012" i="53"/>
  <c r="X1012" i="53"/>
  <c r="S1013" i="53"/>
  <c r="X1013" i="53"/>
  <c r="S1014" i="53"/>
  <c r="X1014" i="53"/>
  <c r="S1015" i="53"/>
  <c r="X1015" i="53"/>
  <c r="S1018" i="53"/>
  <c r="X1018" i="53"/>
  <c r="S1019" i="53"/>
  <c r="X1019" i="53"/>
  <c r="S1020" i="53"/>
  <c r="X1020" i="53"/>
  <c r="S1021" i="53"/>
  <c r="X1021" i="53"/>
  <c r="S1022" i="53"/>
  <c r="X1022" i="53"/>
  <c r="S1023" i="53"/>
  <c r="X1023" i="53"/>
  <c r="S1024" i="53"/>
  <c r="X1024" i="53"/>
  <c r="S1025" i="53"/>
  <c r="X1025" i="53"/>
  <c r="S1026" i="53"/>
  <c r="X1026" i="53"/>
  <c r="S1027" i="53"/>
  <c r="X1027" i="53"/>
  <c r="S1028" i="53"/>
  <c r="X1028" i="53"/>
  <c r="S1029" i="53"/>
  <c r="X1029" i="53"/>
  <c r="S1030" i="53"/>
  <c r="X1030" i="53"/>
  <c r="S1031" i="53"/>
  <c r="X1031" i="53"/>
  <c r="S1032" i="53"/>
  <c r="X1032" i="53"/>
  <c r="S1033" i="53"/>
  <c r="X1033" i="53"/>
  <c r="S1034" i="53"/>
  <c r="X1034" i="53"/>
  <c r="S1035" i="53"/>
  <c r="X1035" i="53"/>
  <c r="S1036" i="53"/>
  <c r="X1036" i="53"/>
  <c r="S1037" i="53"/>
  <c r="X1037" i="53"/>
  <c r="S1038" i="53"/>
  <c r="X1038" i="53"/>
  <c r="S1039" i="53"/>
  <c r="X1039" i="53"/>
  <c r="S1040" i="53"/>
  <c r="X1040" i="53"/>
  <c r="S1041" i="53"/>
  <c r="X1041" i="53"/>
  <c r="S1042" i="53"/>
  <c r="X1042" i="53"/>
  <c r="S1043" i="53"/>
  <c r="X1043" i="53"/>
  <c r="S1044" i="53"/>
  <c r="X1044" i="53"/>
  <c r="S1045" i="53"/>
  <c r="X1045" i="53"/>
  <c r="S1046" i="53"/>
  <c r="X1046" i="53"/>
  <c r="S1047" i="53"/>
  <c r="X1047" i="53"/>
  <c r="S1048" i="53"/>
  <c r="X1048" i="53"/>
  <c r="S1049" i="53"/>
  <c r="X1049" i="53"/>
  <c r="S1051" i="53"/>
  <c r="X1051" i="53"/>
  <c r="S1053" i="53"/>
  <c r="X1053" i="53"/>
  <c r="S1055" i="53"/>
  <c r="X1055" i="53"/>
  <c r="S1056" i="53"/>
  <c r="X1056" i="53"/>
  <c r="S1057" i="53"/>
  <c r="X1057" i="53"/>
  <c r="S1058" i="53"/>
  <c r="X1058" i="53"/>
  <c r="S1065" i="53"/>
  <c r="X1065" i="53"/>
  <c r="S1066" i="53"/>
  <c r="X1066" i="53"/>
  <c r="S1067" i="53"/>
  <c r="X1067" i="53"/>
  <c r="X1069" i="53"/>
  <c r="X6" i="53"/>
  <c r="G954" i="53"/>
  <c r="G950" i="53"/>
  <c r="G946" i="53"/>
  <c r="G942" i="53"/>
  <c r="G938" i="53"/>
  <c r="G934" i="53"/>
  <c r="G935" i="53"/>
  <c r="B4" i="59"/>
  <c r="P4" i="59"/>
  <c r="T1089" i="53"/>
  <c r="U1089" i="53"/>
  <c r="P182" i="55"/>
  <c r="S182" i="55"/>
  <c r="J182" i="55"/>
  <c r="R182" i="55"/>
  <c r="Q182" i="55"/>
  <c r="Q171" i="55"/>
  <c r="Q172" i="55"/>
  <c r="Q173" i="55"/>
  <c r="Q174" i="55"/>
  <c r="P175" i="55"/>
  <c r="S175" i="55"/>
  <c r="Q175" i="55"/>
  <c r="Q179" i="55"/>
  <c r="P180" i="55"/>
  <c r="S180" i="55"/>
  <c r="J180" i="55"/>
  <c r="R180" i="55"/>
  <c r="Q180" i="55"/>
  <c r="P181" i="55"/>
  <c r="S181" i="55"/>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B175" i="55"/>
  <c r="C175" i="55"/>
  <c r="E175" i="55"/>
  <c r="F175" i="55"/>
  <c r="I175" i="55"/>
  <c r="J175" i="55"/>
  <c r="B179" i="55"/>
  <c r="C179" i="55"/>
  <c r="G879" i="53"/>
  <c r="E179" i="55"/>
  <c r="F179" i="55"/>
  <c r="I179" i="55"/>
  <c r="B180" i="55"/>
  <c r="C180" i="55"/>
  <c r="E180" i="55"/>
  <c r="F180" i="55"/>
  <c r="I180" i="55"/>
  <c r="B181" i="55"/>
  <c r="C181" i="55"/>
  <c r="E181" i="55"/>
  <c r="F181" i="55"/>
  <c r="I181" i="55"/>
  <c r="J181" i="55"/>
  <c r="R181" i="55"/>
  <c r="Q158" i="55"/>
  <c r="J158" i="55"/>
  <c r="P159" i="55"/>
  <c r="S159" i="55"/>
  <c r="J159" i="55"/>
  <c r="R159" i="55"/>
  <c r="Q159" i="55"/>
  <c r="Q160" i="55"/>
  <c r="J160" i="55"/>
  <c r="Q161" i="55"/>
  <c r="J161" i="55"/>
  <c r="P162" i="55"/>
  <c r="S162" i="55"/>
  <c r="Q162" i="55"/>
  <c r="J162" i="55"/>
  <c r="R162" i="55"/>
  <c r="P163" i="55"/>
  <c r="S163" i="55"/>
  <c r="Q163" i="55"/>
  <c r="J163" i="55"/>
  <c r="R163" i="55"/>
  <c r="Q164" i="55"/>
  <c r="J164" i="55"/>
  <c r="Q165" i="55"/>
  <c r="J165" i="55"/>
  <c r="J166" i="55"/>
  <c r="Q166" i="55"/>
  <c r="J167" i="55"/>
  <c r="Q167" i="55"/>
  <c r="P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c r="E167" i="55"/>
  <c r="F167" i="55"/>
  <c r="I167" i="55"/>
  <c r="B168" i="55"/>
  <c r="C168" i="55"/>
  <c r="E168" i="55"/>
  <c r="F168" i="55"/>
  <c r="I168" i="55"/>
  <c r="B169" i="55"/>
  <c r="C169" i="55"/>
  <c r="G784" i="53"/>
  <c r="E169" i="55"/>
  <c r="F169" i="55"/>
  <c r="I169" i="55"/>
  <c r="P153" i="55"/>
  <c r="S153" i="55"/>
  <c r="J153" i="55"/>
  <c r="R153" i="55"/>
  <c r="Q153" i="55"/>
  <c r="P154" i="55"/>
  <c r="S154" i="55"/>
  <c r="Q154" i="55"/>
  <c r="J154" i="55"/>
  <c r="R154" i="55"/>
  <c r="P155" i="55"/>
  <c r="S155" i="55"/>
  <c r="J155" i="55"/>
  <c r="R155" i="55"/>
  <c r="Q155" i="55"/>
  <c r="Q156" i="55"/>
  <c r="J156" i="55"/>
  <c r="P157" i="55"/>
  <c r="S157" i="55"/>
  <c r="J157" i="55"/>
  <c r="R157" i="55"/>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c r="Q147" i="55"/>
  <c r="J147" i="55"/>
  <c r="R147" i="55"/>
  <c r="P148" i="55"/>
  <c r="S148" i="55"/>
  <c r="Q148" i="55"/>
  <c r="J148" i="55"/>
  <c r="R148" i="55"/>
  <c r="P149" i="55"/>
  <c r="S149" i="55"/>
  <c r="J149" i="55"/>
  <c r="R149" i="55"/>
  <c r="Q149" i="55"/>
  <c r="Q150" i="55"/>
  <c r="J150" i="55"/>
  <c r="K150" i="55" a="1"/>
  <c r="K150" i="55"/>
  <c r="Q151" i="55"/>
  <c r="J151" i="55"/>
  <c r="P152" i="55"/>
  <c r="S152" i="55"/>
  <c r="J152" i="55"/>
  <c r="R152" i="55"/>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c r="Q135" i="55"/>
  <c r="J135" i="55"/>
  <c r="R135" i="55"/>
  <c r="Q136" i="55"/>
  <c r="J136" i="55"/>
  <c r="P137" i="55"/>
  <c r="S137" i="55"/>
  <c r="Q137" i="55"/>
  <c r="J137" i="55"/>
  <c r="R137" i="55"/>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Q128" i="55"/>
  <c r="J128" i="55"/>
  <c r="J129" i="55"/>
  <c r="Q129" i="55"/>
  <c r="P130" i="55"/>
  <c r="S130" i="55"/>
  <c r="Q130" i="55"/>
  <c r="J130" i="55"/>
  <c r="R130" i="55"/>
  <c r="P131" i="55"/>
  <c r="S131" i="55"/>
  <c r="Q131" i="55"/>
  <c r="J131" i="55"/>
  <c r="R131" i="55"/>
  <c r="Q132" i="55"/>
  <c r="J132" i="55"/>
  <c r="Q133" i="55"/>
  <c r="J133" i="55"/>
  <c r="K133" i="55" a="1"/>
  <c r="K133" i="55"/>
  <c r="P134"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c r="J123" i="55"/>
  <c r="R123" i="55"/>
  <c r="Q123" i="55"/>
  <c r="P124" i="55"/>
  <c r="S124" i="55"/>
  <c r="J124" i="55"/>
  <c r="R124" i="55"/>
  <c r="Q124" i="55"/>
  <c r="P125" i="55"/>
  <c r="S125" i="55"/>
  <c r="Q125" i="55"/>
  <c r="J125" i="55"/>
  <c r="R125" i="55"/>
  <c r="J126" i="55"/>
  <c r="K126" i="55" a="1"/>
  <c r="K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c r="C121" i="55"/>
  <c r="G526" i="53"/>
  <c r="C122" i="55"/>
  <c r="G491" i="53"/>
  <c r="C123" i="55"/>
  <c r="C124" i="55"/>
  <c r="C125" i="55"/>
  <c r="C126" i="55"/>
  <c r="G594" i="53"/>
  <c r="B119" i="55"/>
  <c r="B120" i="55"/>
  <c r="B121" i="55"/>
  <c r="B122" i="55"/>
  <c r="B123" i="55"/>
  <c r="B124" i="55"/>
  <c r="B125" i="55"/>
  <c r="B126" i="55"/>
  <c r="P110" i="55"/>
  <c r="S110" i="55"/>
  <c r="Q110" i="55"/>
  <c r="J110" i="55"/>
  <c r="R110" i="55"/>
  <c r="Q111" i="55"/>
  <c r="J111" i="55"/>
  <c r="Q112" i="55"/>
  <c r="J112" i="55"/>
  <c r="J113" i="55"/>
  <c r="Q113" i="55"/>
  <c r="Q114" i="55"/>
  <c r="J114" i="55"/>
  <c r="Q115" i="55"/>
  <c r="J115" i="55"/>
  <c r="Q116" i="55"/>
  <c r="J116" i="55"/>
  <c r="J117" i="55"/>
  <c r="Q117" i="55"/>
  <c r="Q118" i="55"/>
  <c r="J118" i="55"/>
  <c r="C110" i="55"/>
  <c r="E110" i="55"/>
  <c r="F110" i="55"/>
  <c r="I110" i="55"/>
  <c r="C111" i="55"/>
  <c r="G561" i="53"/>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c r="E116" i="55"/>
  <c r="F116" i="55"/>
  <c r="I116" i="55"/>
  <c r="C117" i="55"/>
  <c r="G818" i="53"/>
  <c r="E117" i="55"/>
  <c r="F117" i="55"/>
  <c r="I117" i="55"/>
  <c r="C118" i="55"/>
  <c r="E118" i="55"/>
  <c r="F118" i="55"/>
  <c r="I118" i="55"/>
  <c r="B110" i="55"/>
  <c r="B111" i="55"/>
  <c r="B112" i="55"/>
  <c r="B113" i="55"/>
  <c r="B114" i="55"/>
  <c r="B115" i="55"/>
  <c r="B116" i="55"/>
  <c r="B117" i="55"/>
  <c r="B118" i="55"/>
  <c r="J101" i="55"/>
  <c r="Q101" i="55"/>
  <c r="Q102" i="55"/>
  <c r="J102" i="55"/>
  <c r="Q103" i="55"/>
  <c r="J103" i="55"/>
  <c r="P1089" i="53"/>
  <c r="L103" i="55" a="1"/>
  <c r="L103" i="55"/>
  <c r="P104" i="55"/>
  <c r="S104" i="55"/>
  <c r="J104" i="55"/>
  <c r="R104" i="55"/>
  <c r="Q104" i="55"/>
  <c r="Q105" i="55"/>
  <c r="J105" i="55"/>
  <c r="P106" i="55"/>
  <c r="S106" i="55"/>
  <c r="Q106" i="55"/>
  <c r="J106" i="55"/>
  <c r="R106" i="55"/>
  <c r="P107" i="55"/>
  <c r="S107" i="55"/>
  <c r="Q107" i="55"/>
  <c r="J107" i="55"/>
  <c r="R107" i="55"/>
  <c r="Q108" i="55"/>
  <c r="J108" i="55"/>
  <c r="L108" i="55" a="1"/>
  <c r="L108" i="55"/>
  <c r="J109" i="55"/>
  <c r="K109" i="55" a="1"/>
  <c r="K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c r="E109" i="55"/>
  <c r="F109" i="55"/>
  <c r="I109" i="55"/>
  <c r="Q100" i="55"/>
  <c r="J100" i="55"/>
  <c r="I100" i="55"/>
  <c r="F100" i="55"/>
  <c r="E100" i="55"/>
  <c r="G821" i="53"/>
  <c r="C100" i="55"/>
  <c r="G661" i="53"/>
  <c r="B100" i="55"/>
  <c r="P90" i="55"/>
  <c r="S90" i="55"/>
  <c r="J90" i="55"/>
  <c r="R90" i="55"/>
  <c r="Q90" i="55"/>
  <c r="Q91" i="55"/>
  <c r="J91" i="55"/>
  <c r="Q92" i="55"/>
  <c r="P93" i="55"/>
  <c r="S93" i="55"/>
  <c r="Q93" i="55"/>
  <c r="J93" i="55"/>
  <c r="R93" i="55"/>
  <c r="B90" i="55"/>
  <c r="C90" i="55"/>
  <c r="E90" i="55"/>
  <c r="F90" i="55"/>
  <c r="I90" i="55"/>
  <c r="B91" i="55"/>
  <c r="C91" i="55"/>
  <c r="G1054" i="53"/>
  <c r="E91" i="55"/>
  <c r="F91" i="55"/>
  <c r="I91" i="55"/>
  <c r="B92" i="55"/>
  <c r="C92" i="55"/>
  <c r="G689" i="53"/>
  <c r="E92" i="55"/>
  <c r="F92" i="55"/>
  <c r="I92" i="55"/>
  <c r="B93" i="55"/>
  <c r="C93" i="55"/>
  <c r="E93" i="55"/>
  <c r="F93" i="55"/>
  <c r="I93" i="55"/>
  <c r="P86" i="55"/>
  <c r="S86" i="55"/>
  <c r="Q86" i="55"/>
  <c r="J86" i="55"/>
  <c r="R86" i="55"/>
  <c r="P87" i="55"/>
  <c r="S87" i="55"/>
  <c r="Q87" i="55"/>
  <c r="J87" i="55"/>
  <c r="R87" i="55"/>
  <c r="P88" i="55"/>
  <c r="S88" i="55"/>
  <c r="J88" i="55"/>
  <c r="R88" i="55"/>
  <c r="Q88" i="55"/>
  <c r="P89" i="55"/>
  <c r="S89" i="55"/>
  <c r="J89" i="55"/>
  <c r="R89" i="55"/>
  <c r="Q89" i="55"/>
  <c r="I86" i="55"/>
  <c r="I87" i="55"/>
  <c r="I88" i="55"/>
  <c r="I89" i="55"/>
  <c r="B86" i="55"/>
  <c r="C86" i="55"/>
  <c r="E86" i="55"/>
  <c r="F86" i="55"/>
  <c r="B87" i="55"/>
  <c r="C87" i="55"/>
  <c r="E87" i="55"/>
  <c r="F87" i="55"/>
  <c r="B88" i="55"/>
  <c r="C88" i="55"/>
  <c r="E88" i="55"/>
  <c r="F88" i="55"/>
  <c r="B89" i="55"/>
  <c r="C89" i="55"/>
  <c r="E89" i="55"/>
  <c r="F89" i="55"/>
  <c r="P77" i="55"/>
  <c r="S77" i="55"/>
  <c r="Q77" i="55"/>
  <c r="J77" i="55"/>
  <c r="R77" i="55"/>
  <c r="P78" i="55"/>
  <c r="S78" i="55"/>
  <c r="Q78" i="55"/>
  <c r="J78" i="55"/>
  <c r="R78" i="55"/>
  <c r="P79" i="55"/>
  <c r="S79" i="55"/>
  <c r="Q79" i="55"/>
  <c r="J79" i="55"/>
  <c r="R79" i="55"/>
  <c r="P80" i="55"/>
  <c r="S80" i="55"/>
  <c r="Q80" i="55"/>
  <c r="J80" i="55"/>
  <c r="R80" i="55"/>
  <c r="P81" i="55"/>
  <c r="S81" i="55"/>
  <c r="Q81" i="55"/>
  <c r="J81" i="55"/>
  <c r="R81" i="55"/>
  <c r="P82" i="55"/>
  <c r="S82" i="55"/>
  <c r="Q82" i="55"/>
  <c r="J82" i="55"/>
  <c r="R82" i="55"/>
  <c r="P83" i="55"/>
  <c r="S83" i="55"/>
  <c r="Q83" i="55"/>
  <c r="J83" i="55"/>
  <c r="R83" i="55"/>
  <c r="P84" i="55"/>
  <c r="Q84" i="55"/>
  <c r="J84" i="55"/>
  <c r="P85" i="55"/>
  <c r="S85" i="55"/>
  <c r="J85" i="55"/>
  <c r="R85" i="55"/>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P75" i="55"/>
  <c r="Q75" i="55"/>
  <c r="J76" i="55"/>
  <c r="R76" i="55"/>
  <c r="P76" i="55"/>
  <c r="S76" i="55"/>
  <c r="Q73" i="55"/>
  <c r="Q76" i="55"/>
  <c r="I73" i="55"/>
  <c r="I74" i="55"/>
  <c r="I75" i="55"/>
  <c r="I76" i="55"/>
  <c r="F73" i="55"/>
  <c r="F74" i="55"/>
  <c r="F75" i="55"/>
  <c r="F76" i="55"/>
  <c r="E73" i="55"/>
  <c r="E74" i="55"/>
  <c r="E75" i="55"/>
  <c r="E76" i="55"/>
  <c r="C73" i="55"/>
  <c r="C74" i="55"/>
  <c r="C75" i="55"/>
  <c r="C76" i="55"/>
  <c r="B73" i="55"/>
  <c r="B74" i="55"/>
  <c r="B75" i="55"/>
  <c r="B76" i="55"/>
  <c r="J69" i="55"/>
  <c r="J70" i="55"/>
  <c r="K70" i="55" a="1"/>
  <c r="K70" i="55"/>
  <c r="J71" i="55"/>
  <c r="J72" i="55"/>
  <c r="K72" i="55" a="1"/>
  <c r="K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L65" i="55" a="1"/>
  <c r="L65" i="55"/>
  <c r="P66" i="55"/>
  <c r="J66" i="55"/>
  <c r="P67" i="55"/>
  <c r="S67" i="55"/>
  <c r="P68" i="55"/>
  <c r="R68" i="55"/>
  <c r="J63" i="55"/>
  <c r="J64" i="55"/>
  <c r="P64" i="55"/>
  <c r="J67" i="55"/>
  <c r="R67" i="55"/>
  <c r="I63" i="55"/>
  <c r="I64" i="55"/>
  <c r="I65" i="55"/>
  <c r="I66" i="55"/>
  <c r="I67" i="55"/>
  <c r="I68" i="55"/>
  <c r="F63" i="55"/>
  <c r="F64" i="55"/>
  <c r="F65" i="55"/>
  <c r="F66" i="55"/>
  <c r="F67" i="55"/>
  <c r="F68" i="55"/>
  <c r="E63" i="55"/>
  <c r="E64" i="55"/>
  <c r="E65" i="55"/>
  <c r="E66" i="55"/>
  <c r="E67" i="55"/>
  <c r="E68" i="55"/>
  <c r="C63" i="55"/>
  <c r="G154" i="53"/>
  <c r="C64" i="55"/>
  <c r="C65" i="55"/>
  <c r="G635" i="53"/>
  <c r="C66" i="55"/>
  <c r="G181" i="53"/>
  <c r="C67" i="55"/>
  <c r="C68" i="55"/>
  <c r="B63" i="55"/>
  <c r="B64" i="55"/>
  <c r="B65" i="55"/>
  <c r="B66" i="55"/>
  <c r="B67" i="55"/>
  <c r="B68" i="55"/>
  <c r="Q62" i="55"/>
  <c r="J62" i="55"/>
  <c r="I62" i="55"/>
  <c r="F62" i="55"/>
  <c r="E62" i="55"/>
  <c r="C62" i="55"/>
  <c r="B62" i="55"/>
  <c r="Q45" i="55"/>
  <c r="P45" i="55"/>
  <c r="S45" i="55"/>
  <c r="J45" i="55"/>
  <c r="R45" i="55"/>
  <c r="I45" i="55"/>
  <c r="F45" i="55"/>
  <c r="E45" i="55"/>
  <c r="C45" i="55"/>
  <c r="B45" i="55"/>
  <c r="B17" i="55"/>
  <c r="G243" i="53"/>
  <c r="C9" i="55"/>
  <c r="G6" i="53"/>
  <c r="G874" i="53"/>
  <c r="G875" i="53"/>
  <c r="I4" i="60"/>
  <c r="H4" i="60"/>
  <c r="G4" i="60"/>
  <c r="F4" i="60"/>
  <c r="E4" i="60"/>
  <c r="D4" i="60"/>
  <c r="C4" i="60"/>
  <c r="B4" i="60"/>
  <c r="G1028" i="53"/>
  <c r="G1027" i="53"/>
  <c r="P62" i="55"/>
  <c r="G397" i="53"/>
  <c r="G414" i="53"/>
  <c r="G413" i="53"/>
  <c r="G411" i="53"/>
  <c r="G410" i="53"/>
  <c r="G1048" i="53"/>
  <c r="G1049" i="53"/>
  <c r="S18" i="59"/>
  <c r="R18" i="59"/>
  <c r="P18" i="59"/>
  <c r="K18" i="59"/>
  <c r="J18" i="59"/>
  <c r="J19" i="59"/>
  <c r="J20" i="59"/>
  <c r="J21" i="59"/>
  <c r="I18" i="59"/>
  <c r="H18" i="59"/>
  <c r="E18" i="59"/>
  <c r="B18" i="59"/>
  <c r="F18" i="59"/>
  <c r="C18" i="59"/>
  <c r="S19" i="59"/>
  <c r="S20" i="59"/>
  <c r="R19" i="59"/>
  <c r="Q19" i="59"/>
  <c r="P19" i="59"/>
  <c r="B19" i="59"/>
  <c r="K19" i="59"/>
  <c r="I19" i="59"/>
  <c r="I21" i="59"/>
  <c r="H19" i="59"/>
  <c r="E19" i="59"/>
  <c r="C19" i="59"/>
  <c r="S11" i="59"/>
  <c r="R11" i="59"/>
  <c r="R12" i="59"/>
  <c r="R13" i="59"/>
  <c r="Q11" i="59"/>
  <c r="P11" i="59"/>
  <c r="K11" i="59"/>
  <c r="J11" i="59"/>
  <c r="I11" i="59"/>
  <c r="H11" i="59"/>
  <c r="E11" i="59"/>
  <c r="D11" i="59"/>
  <c r="C11" i="59"/>
  <c r="B11" i="59"/>
  <c r="F11" i="59"/>
  <c r="S12" i="59"/>
  <c r="Q12" i="59"/>
  <c r="P12" i="59"/>
  <c r="B12" i="59"/>
  <c r="P13" i="59"/>
  <c r="K12" i="59"/>
  <c r="J12" i="59"/>
  <c r="I12" i="59"/>
  <c r="H12" i="59"/>
  <c r="G12" i="59"/>
  <c r="E12" i="59"/>
  <c r="D12" i="59"/>
  <c r="C12" i="59"/>
  <c r="S5" i="59"/>
  <c r="R5" i="59"/>
  <c r="R4" i="59"/>
  <c r="R6" i="59"/>
  <c r="Q5" i="59"/>
  <c r="P5" i="59"/>
  <c r="B5" i="59"/>
  <c r="B7" i="59"/>
  <c r="K5" i="59"/>
  <c r="J5" i="59"/>
  <c r="I5" i="59"/>
  <c r="C5" i="59"/>
  <c r="H5" i="59"/>
  <c r="E5" i="59"/>
  <c r="S4" i="59"/>
  <c r="K4" i="59"/>
  <c r="J4" i="59"/>
  <c r="I4" i="59"/>
  <c r="H4" i="59"/>
  <c r="C4" i="59"/>
  <c r="E4" i="59"/>
  <c r="F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c r="I57" i="55"/>
  <c r="F57" i="55"/>
  <c r="E57" i="55"/>
  <c r="C57" i="55"/>
  <c r="B57" i="55"/>
  <c r="Q56" i="55"/>
  <c r="J56" i="55"/>
  <c r="K56" i="55" a="1"/>
  <c r="K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I53" i="55"/>
  <c r="F53" i="55"/>
  <c r="E53" i="55"/>
  <c r="C53" i="55"/>
  <c r="G713" i="53"/>
  <c r="B53" i="55"/>
  <c r="Q52" i="55"/>
  <c r="I52" i="55"/>
  <c r="F52" i="55"/>
  <c r="E52" i="55"/>
  <c r="G769" i="53"/>
  <c r="G732" i="53"/>
  <c r="B52" i="55"/>
  <c r="Q51" i="55"/>
  <c r="J51" i="55"/>
  <c r="L51" i="55" a="1"/>
  <c r="L51" i="55"/>
  <c r="I51" i="55"/>
  <c r="F51" i="55"/>
  <c r="E51" i="55"/>
  <c r="C51" i="55"/>
  <c r="G359" i="53"/>
  <c r="G978" i="53"/>
  <c r="B51" i="55"/>
  <c r="Q50" i="55"/>
  <c r="J50" i="55"/>
  <c r="L50" i="55" a="1"/>
  <c r="L50" i="55"/>
  <c r="I50" i="55"/>
  <c r="F50" i="55"/>
  <c r="E50" i="55"/>
  <c r="C50" i="55"/>
  <c r="G28" i="53"/>
  <c r="B50" i="55"/>
  <c r="Q49" i="55"/>
  <c r="J49" i="55"/>
  <c r="I49" i="55"/>
  <c r="F49" i="55"/>
  <c r="E49" i="55"/>
  <c r="C49" i="55"/>
  <c r="G168" i="53"/>
  <c r="B49" i="55"/>
  <c r="Q48" i="55"/>
  <c r="J48" i="55"/>
  <c r="I48" i="55"/>
  <c r="F48" i="55"/>
  <c r="E48" i="55"/>
  <c r="C48" i="55"/>
  <c r="G965" i="53"/>
  <c r="B48" i="55"/>
  <c r="Q47" i="55"/>
  <c r="J47" i="55"/>
  <c r="L47" i="55" a="1"/>
  <c r="L47" i="55"/>
  <c r="I47" i="55"/>
  <c r="F47" i="55"/>
  <c r="E47" i="55"/>
  <c r="C47" i="55"/>
  <c r="B47" i="55"/>
  <c r="Q46" i="55"/>
  <c r="J46" i="55"/>
  <c r="I46" i="55"/>
  <c r="F46" i="55"/>
  <c r="E46" i="55"/>
  <c r="C46" i="55"/>
  <c r="G240" i="53"/>
  <c r="B46" i="55"/>
  <c r="Q44" i="55"/>
  <c r="J44" i="55"/>
  <c r="I44" i="55"/>
  <c r="F44" i="55"/>
  <c r="E44" i="55"/>
  <c r="C44" i="55"/>
  <c r="G426" i="53"/>
  <c r="G876" i="53"/>
  <c r="B44" i="55"/>
  <c r="Q43" i="55"/>
  <c r="J43" i="55"/>
  <c r="K43" i="55" a="1"/>
  <c r="K43" i="55"/>
  <c r="I43" i="55"/>
  <c r="F43" i="55"/>
  <c r="E43" i="55"/>
  <c r="C43" i="55"/>
  <c r="G423" i="53"/>
  <c r="G174" i="53"/>
  <c r="B43" i="55"/>
  <c r="Q42" i="55"/>
  <c r="J42" i="55"/>
  <c r="I42" i="55"/>
  <c r="F42" i="55"/>
  <c r="E42" i="55"/>
  <c r="C42" i="55"/>
  <c r="G393" i="53"/>
  <c r="B42" i="55"/>
  <c r="Q41" i="55"/>
  <c r="J41" i="55"/>
  <c r="K41" i="55" a="1"/>
  <c r="K41" i="55"/>
  <c r="I41" i="55"/>
  <c r="F41" i="55"/>
  <c r="E41" i="55"/>
  <c r="C41" i="55"/>
  <c r="B41" i="55"/>
  <c r="Q40" i="55"/>
  <c r="J40" i="55"/>
  <c r="K40" i="55" a="1"/>
  <c r="K40" i="55"/>
  <c r="I40" i="55"/>
  <c r="F40" i="55"/>
  <c r="E40" i="55"/>
  <c r="C40" i="55"/>
  <c r="B40" i="55"/>
  <c r="Q39" i="55"/>
  <c r="J39" i="55"/>
  <c r="I39" i="55"/>
  <c r="F39" i="55"/>
  <c r="E39" i="55"/>
  <c r="C39" i="55"/>
  <c r="G961" i="53"/>
  <c r="G967" i="53"/>
  <c r="B39" i="55"/>
  <c r="Q38" i="55"/>
  <c r="J38" i="55"/>
  <c r="K38" i="55" a="1"/>
  <c r="K38" i="55"/>
  <c r="I38" i="55"/>
  <c r="F38" i="55"/>
  <c r="E38" i="55"/>
  <c r="C38" i="55"/>
  <c r="G128" i="53"/>
  <c r="G966" i="53"/>
  <c r="B38" i="55"/>
  <c r="Q37" i="55"/>
  <c r="J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J34" i="55"/>
  <c r="K34" i="55" a="1"/>
  <c r="K34" i="55"/>
  <c r="I34" i="55"/>
  <c r="F34" i="55"/>
  <c r="E34" i="55"/>
  <c r="C34" i="55"/>
  <c r="G197" i="53"/>
  <c r="B34" i="55"/>
  <c r="Q33" i="55"/>
  <c r="J33" i="55"/>
  <c r="I33" i="55"/>
  <c r="F33" i="55"/>
  <c r="E33" i="55"/>
  <c r="C33" i="55"/>
  <c r="B33" i="55"/>
  <c r="Q32" i="55"/>
  <c r="P32" i="55"/>
  <c r="S32" i="55"/>
  <c r="J32" i="55"/>
  <c r="R32" i="55"/>
  <c r="I32" i="55"/>
  <c r="F32" i="55"/>
  <c r="E32" i="55"/>
  <c r="C32" i="55"/>
  <c r="B32" i="55"/>
  <c r="Q31" i="55"/>
  <c r="J31" i="55"/>
  <c r="R31" i="55"/>
  <c r="I31" i="55"/>
  <c r="F31" i="55"/>
  <c r="E31" i="55"/>
  <c r="C31" i="55"/>
  <c r="G1065" i="53"/>
  <c r="B31" i="55"/>
  <c r="Q30" i="55"/>
  <c r="J30" i="55"/>
  <c r="K30" i="55" a="1"/>
  <c r="K30" i="55"/>
  <c r="I30" i="55"/>
  <c r="F30" i="55"/>
  <c r="E30" i="55"/>
  <c r="C30" i="55"/>
  <c r="B30" i="55"/>
  <c r="Q29" i="55"/>
  <c r="J29" i="55"/>
  <c r="I29" i="55"/>
  <c r="F29" i="55"/>
  <c r="E29" i="55"/>
  <c r="C29" i="55"/>
  <c r="G1069" i="53"/>
  <c r="G1057" i="53"/>
  <c r="B29" i="55"/>
  <c r="Q28" i="55"/>
  <c r="J28" i="55"/>
  <c r="I28" i="55"/>
  <c r="F28" i="55"/>
  <c r="E28" i="55"/>
  <c r="C28" i="55"/>
  <c r="G384" i="53"/>
  <c r="G956" i="53"/>
  <c r="B28" i="55"/>
  <c r="Q27" i="55"/>
  <c r="J27" i="55"/>
  <c r="I27" i="55"/>
  <c r="F27" i="55"/>
  <c r="E27" i="55"/>
  <c r="C27" i="55"/>
  <c r="G1052" i="53"/>
  <c r="B27" i="55"/>
  <c r="Q26" i="55"/>
  <c r="J26" i="55"/>
  <c r="K26" i="55" a="1"/>
  <c r="K26" i="55"/>
  <c r="I26" i="55"/>
  <c r="E26" i="55"/>
  <c r="C26" i="55"/>
  <c r="B26" i="55"/>
  <c r="Q25" i="55"/>
  <c r="J25" i="55"/>
  <c r="I25" i="55"/>
  <c r="E25" i="55"/>
  <c r="B25" i="55"/>
  <c r="Q24" i="55"/>
  <c r="J24" i="55"/>
  <c r="R24" i="55"/>
  <c r="P24" i="55"/>
  <c r="S24" i="55"/>
  <c r="I24" i="55"/>
  <c r="F24" i="55"/>
  <c r="E24" i="55"/>
  <c r="C24" i="55"/>
  <c r="B24" i="55"/>
  <c r="Q23" i="55"/>
  <c r="J23" i="55"/>
  <c r="K23" i="55" a="1"/>
  <c r="K23" i="55"/>
  <c r="I23" i="55"/>
  <c r="F23" i="55"/>
  <c r="E23" i="55"/>
  <c r="C23" i="55"/>
  <c r="B23" i="55"/>
  <c r="Q22" i="55"/>
  <c r="J22" i="55"/>
  <c r="K22" i="55" a="1"/>
  <c r="K22" i="55"/>
  <c r="I22" i="55"/>
  <c r="F22" i="55"/>
  <c r="E22" i="55"/>
  <c r="C22" i="55"/>
  <c r="G1056" i="53"/>
  <c r="B22" i="55"/>
  <c r="Q21" i="55"/>
  <c r="J21" i="55"/>
  <c r="I21" i="55"/>
  <c r="F21" i="55"/>
  <c r="E21" i="55"/>
  <c r="C21" i="55"/>
  <c r="B21" i="55"/>
  <c r="Q20" i="55"/>
  <c r="J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c r="I17" i="55"/>
  <c r="F17" i="55"/>
  <c r="E17" i="55"/>
  <c r="C17" i="55"/>
  <c r="G114" i="53"/>
  <c r="G115" i="53"/>
  <c r="Q16" i="55"/>
  <c r="J16" i="55"/>
  <c r="K16" i="55" a="1"/>
  <c r="K16" i="55"/>
  <c r="I16" i="55"/>
  <c r="F16" i="55"/>
  <c r="E16" i="55"/>
  <c r="I2" i="55"/>
  <c r="C16" i="55"/>
  <c r="B16" i="55"/>
  <c r="Q15" i="55"/>
  <c r="J15" i="55"/>
  <c r="R15" i="55"/>
  <c r="P15" i="55"/>
  <c r="S15" i="55"/>
  <c r="I15" i="55"/>
  <c r="F15" i="55"/>
  <c r="E15" i="55"/>
  <c r="C15" i="55"/>
  <c r="B15" i="55"/>
  <c r="Q14" i="55"/>
  <c r="J14" i="55"/>
  <c r="R14" i="55"/>
  <c r="P14" i="55"/>
  <c r="S14" i="55"/>
  <c r="I14" i="55"/>
  <c r="F14" i="55"/>
  <c r="E14" i="55"/>
  <c r="C14" i="55"/>
  <c r="B14" i="55"/>
  <c r="Q13" i="55"/>
  <c r="J13" i="55"/>
  <c r="K13" i="55" a="1"/>
  <c r="K13" i="55"/>
  <c r="I13" i="55"/>
  <c r="F13" i="55"/>
  <c r="E13" i="55"/>
  <c r="C13" i="55"/>
  <c r="G1050" i="53"/>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c r="I7" i="55"/>
  <c r="D13" i="59"/>
  <c r="I8" i="55"/>
  <c r="AD2" i="53"/>
  <c r="AC2" i="53"/>
  <c r="AA2" i="53"/>
  <c r="W2" i="53"/>
  <c r="V2" i="53"/>
  <c r="U2" i="53"/>
  <c r="R2" i="53"/>
  <c r="O2" i="53"/>
  <c r="L2" i="53"/>
  <c r="S6" i="59"/>
  <c r="Q6" i="59"/>
  <c r="Q4" i="59"/>
  <c r="P6" i="59"/>
  <c r="K6" i="59"/>
  <c r="J6" i="59"/>
  <c r="I6" i="59"/>
  <c r="H6" i="59"/>
  <c r="C6" i="59"/>
  <c r="J9" i="55"/>
  <c r="J10" i="55"/>
  <c r="R10" i="55"/>
  <c r="P10" i="55"/>
  <c r="S10" i="55"/>
  <c r="I9" i="55"/>
  <c r="I10" i="55"/>
  <c r="I12" i="55"/>
  <c r="Q9" i="55"/>
  <c r="Q10" i="55"/>
  <c r="Q12" i="55"/>
  <c r="Q8" i="55"/>
  <c r="Q7" i="55"/>
  <c r="J12" i="55"/>
  <c r="R12" i="55"/>
  <c r="P12" i="55"/>
  <c r="S12" i="55"/>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AD1089" i="53"/>
  <c r="AC1089" i="53"/>
  <c r="W1089" i="53"/>
  <c r="V1089" i="53"/>
  <c r="H20" i="59"/>
  <c r="C20" i="59"/>
  <c r="B20" i="59"/>
  <c r="P20" i="59"/>
  <c r="Q20" i="59"/>
  <c r="Q18" i="59"/>
  <c r="B13" i="59"/>
  <c r="F13" i="59"/>
  <c r="Q13" i="59"/>
  <c r="I13" i="59"/>
  <c r="H13" i="59"/>
  <c r="E13" i="59"/>
  <c r="I20" i="59"/>
  <c r="E20" i="59"/>
  <c r="G13" i="59"/>
  <c r="M13" i="59"/>
  <c r="C7" i="26"/>
  <c r="D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S14" i="26"/>
  <c r="AE14" i="26"/>
  <c r="P17" i="55"/>
  <c r="S17" i="55"/>
  <c r="O13" i="59"/>
  <c r="U13" i="59"/>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P60" i="55"/>
  <c r="G1013" i="53"/>
  <c r="G996" i="53"/>
  <c r="G872" i="53"/>
  <c r="G774" i="53"/>
  <c r="G985" i="53"/>
  <c r="G977" i="53"/>
  <c r="G11" i="59"/>
  <c r="M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161" i="55"/>
  <c r="P43" i="55"/>
  <c r="P37" i="55"/>
  <c r="P40" i="55"/>
  <c r="P23" i="55"/>
  <c r="P55" i="55"/>
  <c r="P31" i="55"/>
  <c r="S31" i="55"/>
  <c r="P36" i="55"/>
  <c r="S36" i="55"/>
  <c r="P41" i="55"/>
  <c r="P44" i="55"/>
  <c r="P39" i="55"/>
  <c r="P51" i="55"/>
  <c r="P61" i="55"/>
  <c r="P53" i="55"/>
  <c r="P19" i="55"/>
  <c r="P29" i="55"/>
  <c r="P59" i="55"/>
  <c r="P46" i="55"/>
  <c r="P16" i="55"/>
  <c r="P26" i="55"/>
  <c r="G306" i="53"/>
  <c r="G303" i="53"/>
  <c r="N2" i="53"/>
  <c r="P21" i="55"/>
  <c r="P38" i="55"/>
  <c r="G1063" i="53"/>
  <c r="G974" i="53"/>
  <c r="G633" i="53"/>
  <c r="G637" i="53"/>
  <c r="G988" i="53"/>
  <c r="L17" i="55" a="1"/>
  <c r="L17" i="55"/>
  <c r="G409" i="53"/>
  <c r="K15" i="55" a="1"/>
  <c r="K15" i="55"/>
  <c r="G958" i="53"/>
  <c r="H28" i="55"/>
  <c r="G902" i="53"/>
  <c r="H10" i="55"/>
  <c r="P92" i="55"/>
  <c r="AE769" i="53"/>
  <c r="AE962" i="53"/>
  <c r="AE486" i="53"/>
  <c r="AE595" i="53"/>
  <c r="AE635" i="53"/>
  <c r="H22" i="55"/>
  <c r="G22" i="55"/>
  <c r="AE821" i="53"/>
  <c r="H73" i="55"/>
  <c r="G12" i="26"/>
  <c r="F12" i="26"/>
  <c r="AE824" i="53"/>
  <c r="G98" i="55"/>
  <c r="H98" i="55"/>
  <c r="G26" i="55"/>
  <c r="H26" i="55"/>
  <c r="Y12" i="26"/>
  <c r="P100" i="55"/>
  <c r="Z12" i="26"/>
  <c r="P174" i="55"/>
  <c r="K12" i="55" a="1"/>
  <c r="K12" i="55"/>
  <c r="H109" i="55"/>
  <c r="K89" i="55" a="1"/>
  <c r="K89" i="55"/>
  <c r="G89" i="55"/>
  <c r="L89" i="55" a="1"/>
  <c r="L89" i="55"/>
  <c r="G17" i="55"/>
  <c r="M125" i="55" a="1"/>
  <c r="M125" i="55"/>
  <c r="O125" i="55"/>
  <c r="M134" i="55" a="1"/>
  <c r="M134" i="55"/>
  <c r="P108" i="55"/>
  <c r="P22" i="55"/>
  <c r="P8" i="55"/>
  <c r="P146" i="55"/>
  <c r="P118" i="55"/>
  <c r="P35" i="55"/>
  <c r="P105" i="55"/>
  <c r="J2" i="55"/>
  <c r="G42" i="55"/>
  <c r="N12" i="26"/>
  <c r="Q14" i="26"/>
  <c r="M12" i="55" a="1"/>
  <c r="M12" i="55"/>
  <c r="O12" i="55"/>
  <c r="M142" i="55" a="1"/>
  <c r="M142" i="55"/>
  <c r="M18" i="55" a="1"/>
  <c r="M18" i="55"/>
  <c r="M43" i="55" a="1"/>
  <c r="M43" i="55"/>
  <c r="M26" i="55" a="1"/>
  <c r="M26" i="55"/>
  <c r="M104" i="55" a="1"/>
  <c r="M104" i="55"/>
  <c r="O104" i="55"/>
  <c r="M37" i="55" a="1"/>
  <c r="M37" i="55"/>
  <c r="M90" i="55" a="1"/>
  <c r="M90" i="55"/>
  <c r="O90" i="55"/>
  <c r="M166" i="55" a="1"/>
  <c r="M166" i="55"/>
  <c r="M45" i="55" a="1"/>
  <c r="M45" i="55"/>
  <c r="O45" i="55"/>
  <c r="H16" i="55"/>
  <c r="G47" i="55"/>
  <c r="N1089" i="53"/>
  <c r="AC12" i="26"/>
  <c r="J14" i="26"/>
  <c r="R14" i="26"/>
  <c r="AJ14" i="26"/>
  <c r="D12" i="26"/>
  <c r="AG12" i="26"/>
  <c r="AH12" i="26"/>
  <c r="G14" i="26"/>
  <c r="U12" i="26"/>
  <c r="I12" i="26"/>
  <c r="AE12" i="26"/>
  <c r="AL14" i="26"/>
  <c r="B6" i="26"/>
  <c r="AI12" i="26"/>
  <c r="S12" i="26"/>
  <c r="AJ12" i="26"/>
  <c r="X12" i="26"/>
  <c r="O14" i="26"/>
  <c r="AB14" i="26"/>
  <c r="W12" i="26"/>
  <c r="V14" i="26"/>
  <c r="L12" i="26"/>
  <c r="V12" i="26"/>
  <c r="C6" i="26"/>
  <c r="H14" i="26"/>
  <c r="AA14" i="26"/>
  <c r="J12" i="26"/>
  <c r="N14" i="26"/>
  <c r="P12" i="26"/>
  <c r="AH14" i="26"/>
  <c r="T12" i="26"/>
  <c r="K12" i="26"/>
  <c r="AA12" i="26"/>
  <c r="T14" i="26"/>
  <c r="P9" i="55"/>
  <c r="G109" i="55"/>
  <c r="H95" i="55"/>
  <c r="G95" i="55"/>
  <c r="H94" i="55"/>
  <c r="G94" i="55"/>
  <c r="H144" i="55"/>
  <c r="G144" i="55"/>
  <c r="H72" i="55"/>
  <c r="D21" i="59"/>
  <c r="N137" i="55" a="1"/>
  <c r="N137" i="55"/>
  <c r="N106" i="55" a="1"/>
  <c r="N106" i="55"/>
  <c r="N59" i="55" a="1"/>
  <c r="N59" i="55"/>
  <c r="N86" i="55" a="1"/>
  <c r="N86" i="55"/>
  <c r="N26" i="55" a="1"/>
  <c r="N26" i="55"/>
  <c r="N145" i="55" a="1"/>
  <c r="N145" i="55"/>
  <c r="D7" i="59"/>
  <c r="P63" i="55"/>
  <c r="N57" i="55" a="1"/>
  <c r="N57" i="55"/>
  <c r="N25" i="55" a="1"/>
  <c r="N25" i="55"/>
  <c r="N71" i="55" a="1"/>
  <c r="N71" i="55"/>
  <c r="N13" i="55" a="1"/>
  <c r="N13" i="55"/>
  <c r="N89" i="55" a="1"/>
  <c r="N89" i="55"/>
  <c r="N140" i="55" a="1"/>
  <c r="N140" i="55"/>
  <c r="N130" i="55" a="1"/>
  <c r="N130" i="55"/>
  <c r="N109" i="55" a="1"/>
  <c r="N109" i="55"/>
  <c r="N94" i="55" a="1"/>
  <c r="N94" i="55"/>
  <c r="N143" i="55" a="1"/>
  <c r="N143" i="55"/>
  <c r="N40" i="55" a="1"/>
  <c r="N40" i="55"/>
  <c r="M27" i="55" a="1"/>
  <c r="M27" i="55"/>
  <c r="M156" i="55" a="1"/>
  <c r="M156" i="55"/>
  <c r="N79" i="55" a="1"/>
  <c r="N79" i="55"/>
  <c r="N110" i="55" a="1"/>
  <c r="N110" i="55"/>
  <c r="N162" i="55" a="1"/>
  <c r="N162" i="55"/>
  <c r="M105" i="55" a="1"/>
  <c r="M105" i="55"/>
  <c r="N142" i="55" a="1"/>
  <c r="N142" i="55"/>
  <c r="N34" i="55" a="1"/>
  <c r="N34" i="55"/>
  <c r="N108" i="55" a="1"/>
  <c r="N108" i="55"/>
  <c r="AB12" i="26"/>
  <c r="AG14" i="26"/>
  <c r="AI14" i="26"/>
  <c r="I14" i="26"/>
  <c r="AK14" i="26"/>
  <c r="H12" i="26"/>
  <c r="Z14" i="26"/>
  <c r="M12" i="26"/>
  <c r="P14" i="26"/>
  <c r="N63" i="55" a="1"/>
  <c r="N63" i="55"/>
  <c r="M113" i="55" a="1"/>
  <c r="M113" i="55"/>
  <c r="N135" i="55" a="1"/>
  <c r="N135" i="55"/>
  <c r="M106" i="55" a="1"/>
  <c r="M106" i="55"/>
  <c r="O106" i="55"/>
  <c r="N55" i="55" a="1"/>
  <c r="N55" i="55"/>
  <c r="N91" i="55" a="1"/>
  <c r="N91" i="55"/>
  <c r="N68" i="55" a="1"/>
  <c r="N68" i="55"/>
  <c r="N113" i="55" a="1"/>
  <c r="N113" i="55"/>
  <c r="R14" i="59"/>
  <c r="R21" i="59"/>
  <c r="M39" i="55" a="1"/>
  <c r="M39" i="55"/>
  <c r="M158" i="55" a="1"/>
  <c r="M158" i="55"/>
  <c r="M91" i="55" a="1"/>
  <c r="M91" i="55"/>
  <c r="M183" i="55"/>
  <c r="M102" i="55" a="1"/>
  <c r="M102" i="55"/>
  <c r="M144" i="55" a="1"/>
  <c r="M144" i="55"/>
  <c r="N76" i="55" a="1"/>
  <c r="N76" i="55"/>
  <c r="N84" i="55" a="1"/>
  <c r="N84" i="55"/>
  <c r="N48" i="55" a="1"/>
  <c r="N48" i="55"/>
  <c r="N41" i="55" a="1"/>
  <c r="N41" i="55"/>
  <c r="N29" i="55" a="1"/>
  <c r="N29" i="55"/>
  <c r="N121" i="55" a="1"/>
  <c r="N121" i="55"/>
  <c r="N50" i="55" a="1"/>
  <c r="N50" i="55"/>
  <c r="N159" i="55" a="1"/>
  <c r="N159" i="55"/>
  <c r="N168" i="55" a="1"/>
  <c r="N168" i="55"/>
  <c r="N32" i="55" a="1"/>
  <c r="N32" i="55"/>
  <c r="C7" i="59"/>
  <c r="N126" i="55" a="1"/>
  <c r="N126" i="55"/>
  <c r="N85" i="55" a="1"/>
  <c r="N85" i="55"/>
  <c r="N167" i="55" a="1"/>
  <c r="N167" i="55"/>
  <c r="N46" i="55" a="1"/>
  <c r="N46" i="55"/>
  <c r="N164" i="55" a="1"/>
  <c r="N164" i="55"/>
  <c r="N67" i="55" a="1"/>
  <c r="N67" i="55"/>
  <c r="N58" i="55" a="1"/>
  <c r="N58" i="55"/>
  <c r="N104" i="55" a="1"/>
  <c r="N104" i="55"/>
  <c r="N81" i="55" a="1"/>
  <c r="N81" i="55"/>
  <c r="N93" i="55" a="1"/>
  <c r="N93" i="55"/>
  <c r="N15" i="55" a="1"/>
  <c r="N15" i="55"/>
  <c r="N53" i="55" a="1"/>
  <c r="N53" i="55"/>
  <c r="N127" i="55" a="1"/>
  <c r="N127" i="55"/>
  <c r="N23" i="55" a="1"/>
  <c r="N23" i="55"/>
  <c r="N17" i="55" a="1"/>
  <c r="N17" i="55"/>
  <c r="N150" i="55" a="1"/>
  <c r="N150" i="55"/>
  <c r="N134" i="55" a="1"/>
  <c r="N134" i="55"/>
  <c r="N45" i="55" a="1"/>
  <c r="N45" i="55"/>
  <c r="N60" i="55" a="1"/>
  <c r="N60" i="55"/>
  <c r="N95" i="55" a="1"/>
  <c r="N95" i="55"/>
  <c r="M95" i="55" a="1"/>
  <c r="M95" i="55"/>
  <c r="M78" i="55" a="1"/>
  <c r="M78" i="55"/>
  <c r="O78" i="55"/>
  <c r="M93" i="55" a="1"/>
  <c r="M93" i="55"/>
  <c r="O93" i="55"/>
  <c r="M88" i="55" a="1"/>
  <c r="M88" i="55"/>
  <c r="O88" i="55"/>
  <c r="M59" i="55" a="1"/>
  <c r="M59" i="55"/>
  <c r="M38" i="55" a="1"/>
  <c r="M38" i="55"/>
  <c r="M57" i="55" a="1"/>
  <c r="M57" i="55"/>
  <c r="O57" i="55"/>
  <c r="M109" i="55" a="1"/>
  <c r="M109" i="55"/>
  <c r="O109" i="55"/>
  <c r="M170" i="55" a="1"/>
  <c r="M170" i="55"/>
  <c r="M10" i="55" a="1"/>
  <c r="M10" i="55"/>
  <c r="O10" i="55"/>
  <c r="M29" i="55" a="1"/>
  <c r="M29" i="55"/>
  <c r="M36" i="55" a="1"/>
  <c r="M36" i="55"/>
  <c r="O36" i="55"/>
  <c r="M152" i="55" a="1"/>
  <c r="M152" i="55"/>
  <c r="O152" i="55"/>
  <c r="M83" i="55" a="1"/>
  <c r="M83" i="55"/>
  <c r="O83" i="55"/>
  <c r="M79" i="55" a="1"/>
  <c r="M79" i="55"/>
  <c r="O79" i="55"/>
  <c r="M31" i="55" a="1"/>
  <c r="M31" i="55"/>
  <c r="O31" i="55"/>
  <c r="M47" i="55" a="1"/>
  <c r="M47" i="55"/>
  <c r="M9" i="55" a="1"/>
  <c r="M9" i="55"/>
  <c r="M87" i="55" a="1"/>
  <c r="M87" i="55"/>
  <c r="O87" i="55"/>
  <c r="M123" i="55" a="1"/>
  <c r="M123" i="55"/>
  <c r="O123" i="55"/>
  <c r="M172" i="55" a="1"/>
  <c r="M172" i="55"/>
  <c r="M139" i="55" a="1"/>
  <c r="M139" i="55"/>
  <c r="M133" i="55" a="1"/>
  <c r="M133" i="55"/>
  <c r="M165" i="55" a="1"/>
  <c r="M165" i="55"/>
  <c r="M132" i="55" a="1"/>
  <c r="M132" i="55"/>
  <c r="M8" i="55" a="1"/>
  <c r="M8" i="55"/>
  <c r="M66" i="55" a="1"/>
  <c r="M66" i="55"/>
  <c r="M146" i="55" a="1"/>
  <c r="M146" i="55"/>
  <c r="M71" i="55" a="1"/>
  <c r="M71" i="55"/>
  <c r="M74" i="55" a="1"/>
  <c r="M74" i="55"/>
  <c r="M174" i="55" a="1"/>
  <c r="M174" i="55"/>
  <c r="M148" i="55" a="1"/>
  <c r="M148" i="55"/>
  <c r="O148" i="55"/>
  <c r="M77" i="55" a="1"/>
  <c r="M77" i="55"/>
  <c r="O77" i="55"/>
  <c r="M155" i="55" a="1"/>
  <c r="M155" i="55"/>
  <c r="O155" i="55"/>
  <c r="M149" i="55" a="1"/>
  <c r="M149" i="55"/>
  <c r="O149" i="55"/>
  <c r="M157" i="55" a="1"/>
  <c r="M157" i="55"/>
  <c r="O157" i="55"/>
  <c r="M182" i="55" a="1"/>
  <c r="M182" i="55"/>
  <c r="O182" i="55"/>
  <c r="M53" i="55" a="1"/>
  <c r="M53" i="55"/>
  <c r="M173" i="55" a="1"/>
  <c r="M173" i="55"/>
  <c r="M54" i="55" a="1"/>
  <c r="M54" i="55"/>
  <c r="M73" i="55" a="1"/>
  <c r="M73" i="55"/>
  <c r="N73" i="55" a="1"/>
  <c r="N73" i="55"/>
  <c r="M34" i="55" a="1"/>
  <c r="M34" i="55"/>
  <c r="M50" i="55" a="1"/>
  <c r="M50" i="55"/>
  <c r="M107" i="55" a="1"/>
  <c r="M107" i="55"/>
  <c r="O107" i="55"/>
  <c r="M51" i="55" a="1"/>
  <c r="M51" i="55"/>
  <c r="M115" i="55" a="1"/>
  <c r="M115" i="55"/>
  <c r="M128" i="55" a="1"/>
  <c r="M128" i="55"/>
  <c r="M61" i="55" a="1"/>
  <c r="M61" i="55"/>
  <c r="M17" i="55" a="1"/>
  <c r="M17" i="55"/>
  <c r="O17" i="55"/>
  <c r="M135" i="55" a="1"/>
  <c r="M135" i="55"/>
  <c r="O135" i="55"/>
  <c r="M120" i="55" a="1"/>
  <c r="M120" i="55"/>
  <c r="N120" i="55" a="1"/>
  <c r="N120" i="55"/>
  <c r="M163" i="55" a="1"/>
  <c r="M163" i="55"/>
  <c r="O163" i="55"/>
  <c r="M98" i="55" a="1"/>
  <c r="M98" i="55"/>
  <c r="M118" i="55" a="1"/>
  <c r="M118" i="55"/>
  <c r="M116" i="55" a="1"/>
  <c r="M116" i="55"/>
  <c r="M69" i="55" a="1"/>
  <c r="M69" i="55"/>
  <c r="M58" i="55" a="1"/>
  <c r="M58" i="55"/>
  <c r="M159" i="55" a="1"/>
  <c r="M159" i="55"/>
  <c r="O159" i="55"/>
  <c r="M22" i="55" a="1"/>
  <c r="M22" i="55"/>
  <c r="M24" i="55" a="1"/>
  <c r="M24" i="55"/>
  <c r="O24" i="55"/>
  <c r="M181" i="55" a="1"/>
  <c r="M181" i="55"/>
  <c r="O181" i="55"/>
  <c r="M99" i="55" a="1"/>
  <c r="M99" i="55"/>
  <c r="M108" i="55" a="1"/>
  <c r="M108" i="55"/>
  <c r="M84" i="55" a="1"/>
  <c r="M84" i="55"/>
  <c r="M143" i="55" a="1"/>
  <c r="M143" i="55"/>
  <c r="M164" i="55" a="1"/>
  <c r="M164" i="55"/>
  <c r="M145" i="55" a="1"/>
  <c r="M145" i="55"/>
  <c r="M62" i="55" a="1"/>
  <c r="M62" i="55"/>
  <c r="N62" i="55" a="1"/>
  <c r="N62" i="55"/>
  <c r="M140" i="55" a="1"/>
  <c r="M140" i="55"/>
  <c r="M85" i="55" a="1"/>
  <c r="M85" i="55"/>
  <c r="O85" i="55"/>
  <c r="M80" i="55" a="1"/>
  <c r="M80" i="55"/>
  <c r="O80" i="55"/>
  <c r="M82" i="55" a="1"/>
  <c r="M82" i="55"/>
  <c r="O82" i="55"/>
  <c r="M72" i="55" a="1"/>
  <c r="M72" i="55"/>
  <c r="M11" i="55" a="1"/>
  <c r="M11" i="55"/>
  <c r="O11" i="55"/>
  <c r="M40" i="55" a="1"/>
  <c r="M40" i="55"/>
  <c r="M23" i="55" a="1"/>
  <c r="M23" i="55"/>
  <c r="M126" i="55" a="1"/>
  <c r="M126" i="55"/>
  <c r="M68" i="55" a="1"/>
  <c r="M68" i="55"/>
  <c r="N30" i="55" a="1"/>
  <c r="N30" i="55"/>
  <c r="M30" i="55" a="1"/>
  <c r="M30" i="55"/>
  <c r="N166" i="55" a="1"/>
  <c r="N166" i="55"/>
  <c r="N44" i="55" a="1"/>
  <c r="N44" i="55"/>
  <c r="N173" i="55" a="1"/>
  <c r="N173" i="55"/>
  <c r="N14" i="55" a="1"/>
  <c r="N14" i="55"/>
  <c r="N70" i="55" a="1"/>
  <c r="N70" i="55"/>
  <c r="M70" i="55" a="1"/>
  <c r="M70" i="55"/>
  <c r="N148" i="55" a="1"/>
  <c r="N148" i="55"/>
  <c r="N8" i="55" a="1"/>
  <c r="N8" i="55"/>
  <c r="N42" i="55" a="1"/>
  <c r="N42" i="55"/>
  <c r="N179" i="55" a="1"/>
  <c r="N179" i="55"/>
  <c r="N128" i="55" a="1"/>
  <c r="N128" i="55"/>
  <c r="N19" i="55" a="1"/>
  <c r="N19" i="55"/>
  <c r="N52" i="55" a="1"/>
  <c r="N52" i="55"/>
  <c r="N183" i="55"/>
  <c r="O183" i="55"/>
  <c r="N21" i="55" a="1"/>
  <c r="N21" i="55"/>
  <c r="N151" i="55" a="1"/>
  <c r="N151" i="55"/>
  <c r="N22" i="55" a="1"/>
  <c r="N22" i="55"/>
  <c r="N136" i="55" a="1"/>
  <c r="N136" i="55"/>
  <c r="N38" i="55" a="1"/>
  <c r="N38" i="55"/>
  <c r="O38" i="55"/>
  <c r="N119" i="55" a="1"/>
  <c r="N119" i="55"/>
  <c r="J7" i="59"/>
  <c r="N174" i="55" a="1"/>
  <c r="N174" i="55"/>
  <c r="N98" i="55" a="1"/>
  <c r="N98" i="55"/>
  <c r="N112" i="55" a="1"/>
  <c r="N112" i="55"/>
  <c r="M112" i="55" a="1"/>
  <c r="M112" i="55"/>
  <c r="N12" i="55" a="1"/>
  <c r="N12" i="55"/>
  <c r="L13" i="59"/>
  <c r="K98" i="55" a="1"/>
  <c r="K98" i="55"/>
  <c r="K21" i="59"/>
  <c r="N144" i="55" a="1"/>
  <c r="N144" i="55"/>
  <c r="O144" i="55"/>
  <c r="N11" i="55" a="1"/>
  <c r="N11" i="55"/>
  <c r="N156" i="55" a="1"/>
  <c r="N156" i="55"/>
  <c r="G123" i="55"/>
  <c r="N24" i="55" a="1"/>
  <c r="N24" i="55"/>
  <c r="N36" i="55" a="1"/>
  <c r="N36" i="55"/>
  <c r="K29" i="55" a="1"/>
  <c r="K29" i="55"/>
  <c r="N39" i="55" a="1"/>
  <c r="N39" i="55"/>
  <c r="N61" i="55" a="1"/>
  <c r="N61" i="55"/>
  <c r="P2" i="53"/>
  <c r="F12" i="59"/>
  <c r="N64" i="55" a="1"/>
  <c r="N64" i="55"/>
  <c r="N138" i="55" a="1"/>
  <c r="N138" i="55"/>
  <c r="G55" i="55"/>
  <c r="N69" i="55" a="1"/>
  <c r="N69" i="55"/>
  <c r="N132" i="55" a="1"/>
  <c r="N132" i="55"/>
  <c r="B21" i="59"/>
  <c r="N4" i="59"/>
  <c r="G56" i="55"/>
  <c r="G108" i="55"/>
  <c r="J14" i="59"/>
  <c r="K28" i="55" a="1"/>
  <c r="K28" i="55"/>
  <c r="D14" i="59"/>
  <c r="K116" i="55" a="1"/>
  <c r="K116" i="55"/>
  <c r="K149" i="55" a="1"/>
  <c r="K149" i="55"/>
  <c r="G4" i="59"/>
  <c r="M4" i="59"/>
  <c r="K156" i="55" a="1"/>
  <c r="K156" i="55"/>
  <c r="K99" i="55" a="1"/>
  <c r="K99" i="55"/>
  <c r="K117" i="55" a="1"/>
  <c r="K117" i="55"/>
  <c r="K102" i="55" a="1"/>
  <c r="K102" i="55"/>
  <c r="K27" i="55" a="1"/>
  <c r="K27" i="55"/>
  <c r="K118" i="55" a="1"/>
  <c r="K118" i="55"/>
  <c r="K114" i="55" a="1"/>
  <c r="K114" i="55"/>
  <c r="K95" i="55" a="1"/>
  <c r="K95" i="55"/>
  <c r="K106" i="55" a="1"/>
  <c r="K106" i="55"/>
  <c r="K121" i="55" a="1"/>
  <c r="K121" i="55"/>
  <c r="C14" i="59"/>
  <c r="K68" i="55" a="1"/>
  <c r="K68" i="55"/>
  <c r="K62" i="55" a="1"/>
  <c r="K62" i="55"/>
  <c r="V11" i="59"/>
  <c r="T11" i="59"/>
  <c r="G63" i="55"/>
  <c r="G48" i="55"/>
  <c r="P132" i="55"/>
  <c r="P166" i="55"/>
  <c r="R166" i="55"/>
  <c r="K14" i="59"/>
  <c r="S21" i="59"/>
  <c r="N18" i="59"/>
  <c r="G78" i="55"/>
  <c r="G5" i="59"/>
  <c r="L5" i="59"/>
  <c r="G23" i="55"/>
  <c r="G69" i="55"/>
  <c r="S1089" i="53"/>
  <c r="X2" i="53"/>
  <c r="G19" i="59"/>
  <c r="L19" i="59"/>
  <c r="F5" i="59"/>
  <c r="I14" i="59"/>
  <c r="K39" i="55" a="1"/>
  <c r="K39" i="55"/>
  <c r="G18" i="59"/>
  <c r="M18" i="59"/>
  <c r="N5" i="59"/>
  <c r="G114" i="55"/>
  <c r="N20" i="59"/>
  <c r="S7" i="59"/>
  <c r="H53" i="55"/>
  <c r="G53" i="55"/>
  <c r="K53" i="55" a="1"/>
  <c r="K53" i="55"/>
  <c r="H105" i="55"/>
  <c r="G105" i="55"/>
  <c r="K105" i="55" a="1"/>
  <c r="K105" i="55"/>
  <c r="C21" i="59"/>
  <c r="N147" i="55" a="1"/>
  <c r="N147" i="55"/>
  <c r="N172" i="55" a="1"/>
  <c r="N172" i="55"/>
  <c r="N16" i="55" a="1"/>
  <c r="N16" i="55"/>
  <c r="M16" i="55" a="1"/>
  <c r="M16" i="55"/>
  <c r="N20" i="55" a="1"/>
  <c r="N20" i="55"/>
  <c r="N31" i="55" a="1"/>
  <c r="N31" i="55"/>
  <c r="N125" i="55" a="1"/>
  <c r="N125" i="55"/>
  <c r="N170" i="55" a="1"/>
  <c r="N170" i="55"/>
  <c r="N49" i="55" a="1"/>
  <c r="N49" i="55"/>
  <c r="N27" i="55" a="1"/>
  <c r="N27" i="55"/>
  <c r="N182" i="55" a="1"/>
  <c r="N182" i="55"/>
  <c r="N96" i="55" a="1"/>
  <c r="N96" i="55"/>
  <c r="N157" i="55" a="1"/>
  <c r="N157" i="55"/>
  <c r="N129" i="55" a="1"/>
  <c r="N129" i="55"/>
  <c r="N155" i="55" a="1"/>
  <c r="N155" i="55"/>
  <c r="N56" i="55" a="1"/>
  <c r="N56" i="55"/>
  <c r="N11" i="59"/>
  <c r="L11" i="59"/>
  <c r="K7" i="59"/>
  <c r="K76" i="55" a="1"/>
  <c r="K76" i="55"/>
  <c r="G76" i="55"/>
  <c r="H76" i="55"/>
  <c r="L123" i="55" a="1"/>
  <c r="L123" i="55"/>
  <c r="G121" i="55"/>
  <c r="H121" i="55"/>
  <c r="N65" i="55" a="1"/>
  <c r="N65" i="55"/>
  <c r="G84" i="55"/>
  <c r="H84" i="55"/>
  <c r="P139" i="55"/>
  <c r="M15" i="55" a="1"/>
  <c r="M15" i="55"/>
  <c r="O15" i="55"/>
  <c r="H14" i="59"/>
  <c r="N14" i="59"/>
  <c r="M101" i="55" a="1"/>
  <c r="M101" i="55"/>
  <c r="P126" i="55"/>
  <c r="M131" i="55" a="1"/>
  <c r="M131" i="55"/>
  <c r="O131" i="55"/>
  <c r="M103" i="55" a="1"/>
  <c r="M103" i="55"/>
  <c r="M122" i="55" a="1"/>
  <c r="M122" i="55"/>
  <c r="M55" i="55" a="1"/>
  <c r="M55" i="55"/>
  <c r="M162" i="55" a="1"/>
  <c r="M162" i="55"/>
  <c r="O162" i="55"/>
  <c r="M7" i="55" a="1"/>
  <c r="M7" i="55"/>
  <c r="P50" i="55"/>
  <c r="P65" i="55"/>
  <c r="H7" i="59"/>
  <c r="M44" i="55" a="1"/>
  <c r="M44" i="55"/>
  <c r="M117" i="55" a="1"/>
  <c r="M117" i="55"/>
  <c r="M121" i="55" a="1"/>
  <c r="M121" i="55"/>
  <c r="P54" i="55"/>
  <c r="M179" i="55" a="1"/>
  <c r="M179" i="55"/>
  <c r="M75" i="55" a="1"/>
  <c r="M75" i="55"/>
  <c r="M67" i="55" a="1"/>
  <c r="M67" i="55"/>
  <c r="O67" i="55"/>
  <c r="K24" i="55" a="1"/>
  <c r="K24" i="55"/>
  <c r="M96" i="55" a="1"/>
  <c r="M96" i="55"/>
  <c r="M129" i="55" a="1"/>
  <c r="M129" i="55"/>
  <c r="M153" i="55" a="1"/>
  <c r="M153" i="55"/>
  <c r="O153" i="55"/>
  <c r="M138" i="55" a="1"/>
  <c r="M138" i="55"/>
  <c r="M175" i="55" a="1"/>
  <c r="M175" i="55"/>
  <c r="G24" i="55"/>
  <c r="M81" i="55" a="1"/>
  <c r="M81" i="55"/>
  <c r="O81" i="55"/>
  <c r="M2" i="55"/>
  <c r="M41" i="55" a="1"/>
  <c r="M41" i="55"/>
  <c r="O41" i="55"/>
  <c r="P141" i="55"/>
  <c r="M171" i="55" a="1"/>
  <c r="M171" i="55"/>
  <c r="M167" i="55" a="1"/>
  <c r="M167" i="55"/>
  <c r="P72" i="55"/>
  <c r="G150" i="55"/>
  <c r="L154" i="55" a="1"/>
  <c r="L154" i="55"/>
  <c r="M111" i="55" a="1"/>
  <c r="M111" i="55"/>
  <c r="N111" i="55" a="1"/>
  <c r="N111" i="55"/>
  <c r="M46" i="55" a="1"/>
  <c r="M46" i="55"/>
  <c r="R7" i="59"/>
  <c r="K108" i="55" a="1"/>
  <c r="K108" i="55"/>
  <c r="K183" i="55"/>
  <c r="X14" i="26"/>
  <c r="U14" i="26"/>
  <c r="M64" i="55" a="1"/>
  <c r="M64" i="55"/>
  <c r="M13" i="55" a="1"/>
  <c r="M13" i="55"/>
  <c r="O13" i="55"/>
  <c r="B12" i="26"/>
  <c r="G2" i="26"/>
  <c r="K2" i="55"/>
  <c r="C12" i="26"/>
  <c r="Q12" i="26"/>
  <c r="AD14" i="26"/>
  <c r="R12" i="26"/>
  <c r="L62" i="55" a="1"/>
  <c r="L62" i="55"/>
  <c r="L73" i="55" a="1"/>
  <c r="L73" i="55"/>
  <c r="L100" i="55" a="1"/>
  <c r="L100" i="55"/>
  <c r="L121" i="55" a="1"/>
  <c r="L121" i="55"/>
  <c r="L42" i="55" a="1"/>
  <c r="L42" i="55"/>
  <c r="L27" i="55" a="1"/>
  <c r="L27" i="55"/>
  <c r="L99" i="55" a="1"/>
  <c r="L99" i="55"/>
  <c r="L22" i="55" a="1"/>
  <c r="L22" i="55"/>
  <c r="L10" i="55" a="1"/>
  <c r="L10" i="55"/>
  <c r="L69" i="55" a="1"/>
  <c r="L69" i="55"/>
  <c r="L105" i="55" a="1"/>
  <c r="L105" i="55"/>
  <c r="L106" i="55" a="1"/>
  <c r="L106" i="55"/>
  <c r="L39" i="55" a="1"/>
  <c r="L39" i="55"/>
  <c r="L59" i="55" a="1"/>
  <c r="L59" i="55"/>
  <c r="L149" i="55" a="1"/>
  <c r="L149" i="55"/>
  <c r="L98" i="55" a="1"/>
  <c r="L98" i="55"/>
  <c r="L43" i="55" a="1"/>
  <c r="L43" i="55"/>
  <c r="L140" i="55" a="1"/>
  <c r="L140" i="55"/>
  <c r="F7" i="59" a="1"/>
  <c r="F7" i="59"/>
  <c r="L63" i="55" a="1"/>
  <c r="L63" i="55"/>
  <c r="L150" i="55" a="1"/>
  <c r="L150" i="55"/>
  <c r="L48" i="55" a="1"/>
  <c r="L48" i="55"/>
  <c r="L95" i="55" a="1"/>
  <c r="L95" i="55"/>
  <c r="L183" i="55"/>
  <c r="F21" i="59" a="1"/>
  <c r="F21" i="59"/>
  <c r="L156" i="55" a="1"/>
  <c r="L156" i="55"/>
  <c r="L66" i="55" a="1"/>
  <c r="L66" i="55"/>
  <c r="L72" i="55" a="1"/>
  <c r="L72" i="55"/>
  <c r="L144" i="55" a="1"/>
  <c r="L144" i="55"/>
  <c r="L84" i="55" a="1"/>
  <c r="L84" i="55"/>
  <c r="M25" i="55" a="1"/>
  <c r="M25" i="55"/>
  <c r="M114" i="55" a="1"/>
  <c r="M114" i="55"/>
  <c r="N114" i="55" a="1"/>
  <c r="N114" i="55"/>
  <c r="M49" i="55" a="1"/>
  <c r="M49" i="55"/>
  <c r="M147" i="55" a="1"/>
  <c r="M147" i="55"/>
  <c r="O147" i="55"/>
  <c r="E21" i="59"/>
  <c r="K144" i="55" a="1"/>
  <c r="K144" i="55"/>
  <c r="M92" i="55" a="1"/>
  <c r="M92" i="55"/>
  <c r="M136" i="55" a="1"/>
  <c r="M136" i="55"/>
  <c r="M14" i="55" a="1"/>
  <c r="M14" i="55"/>
  <c r="O14" i="55"/>
  <c r="M180" i="55" a="1"/>
  <c r="M180" i="55"/>
  <c r="O180" i="55"/>
  <c r="M130" i="55" a="1"/>
  <c r="M130" i="55"/>
  <c r="O130" i="55"/>
  <c r="M124" i="55" a="1"/>
  <c r="M124" i="55"/>
  <c r="O124" i="55"/>
  <c r="K69" i="55" a="1"/>
  <c r="K69" i="55"/>
  <c r="M20" i="55" a="1"/>
  <c r="M20" i="55"/>
  <c r="M19" i="55" a="1"/>
  <c r="M19" i="55"/>
  <c r="M56" i="55" a="1"/>
  <c r="M56" i="55"/>
  <c r="M52" i="55" a="1"/>
  <c r="M52" i="55"/>
  <c r="O52" i="55"/>
  <c r="M160" i="55" a="1"/>
  <c r="M160" i="55"/>
  <c r="M127" i="55" a="1"/>
  <c r="M127" i="55"/>
  <c r="M89" i="55" a="1"/>
  <c r="M89" i="55"/>
  <c r="O89" i="55"/>
  <c r="M141" i="55" a="1"/>
  <c r="M141" i="55"/>
  <c r="M63" i="55" a="1"/>
  <c r="M63" i="55"/>
  <c r="M33" i="55" a="1"/>
  <c r="M33" i="55"/>
  <c r="N33" i="55" a="1"/>
  <c r="N33" i="55"/>
  <c r="M137" i="55" a="1"/>
  <c r="M137" i="55"/>
  <c r="O137" i="55"/>
  <c r="M151" i="55" a="1"/>
  <c r="M151" i="55"/>
  <c r="M119" i="55" a="1"/>
  <c r="M119" i="55"/>
  <c r="M97" i="55" a="1"/>
  <c r="M97" i="55"/>
  <c r="M169" i="55" a="1"/>
  <c r="M169" i="55"/>
  <c r="K51" i="55" a="1"/>
  <c r="K51" i="55"/>
  <c r="M110" i="55" a="1"/>
  <c r="M110" i="55"/>
  <c r="O110" i="55"/>
  <c r="M150" i="55" a="1"/>
  <c r="M150" i="55"/>
  <c r="M32" i="55" a="1"/>
  <c r="M32" i="55"/>
  <c r="O32" i="55"/>
  <c r="M86" i="55" a="1"/>
  <c r="M86" i="55"/>
  <c r="O86" i="55"/>
  <c r="M76" i="55" a="1"/>
  <c r="M76" i="55"/>
  <c r="O76" i="55"/>
  <c r="M154" i="55" a="1"/>
  <c r="M154" i="55"/>
  <c r="O154" i="55"/>
  <c r="M21" i="55" a="1"/>
  <c r="M21" i="55"/>
  <c r="M48" i="55" a="1"/>
  <c r="M48" i="55"/>
  <c r="M28" i="55" a="1"/>
  <c r="M28" i="55"/>
  <c r="M94" i="55" a="1"/>
  <c r="M94" i="55"/>
  <c r="N83" i="55" a="1"/>
  <c r="N83" i="55"/>
  <c r="N74" i="55" a="1"/>
  <c r="N74" i="55"/>
  <c r="N87" i="55" a="1"/>
  <c r="N87" i="55"/>
  <c r="N37" i="55" a="1"/>
  <c r="N37" i="55"/>
  <c r="N165" i="55" a="1"/>
  <c r="N165" i="55"/>
  <c r="N103" i="55" a="1"/>
  <c r="N103" i="55"/>
  <c r="N80" i="55" a="1"/>
  <c r="N80" i="55"/>
  <c r="N181" i="55" a="1"/>
  <c r="N181" i="55"/>
  <c r="N107" i="55" a="1"/>
  <c r="N107" i="55"/>
  <c r="N117" i="55" a="1"/>
  <c r="N117" i="55"/>
  <c r="N158" i="55" a="1"/>
  <c r="N158" i="55"/>
  <c r="N54" i="55" a="1"/>
  <c r="N54" i="55"/>
  <c r="O54" i="55"/>
  <c r="N77" i="55" a="1"/>
  <c r="N77" i="55"/>
  <c r="N141" i="55" a="1"/>
  <c r="N141" i="55"/>
  <c r="N152" i="55" a="1"/>
  <c r="N152" i="55"/>
  <c r="N149" i="55" a="1"/>
  <c r="N149" i="55"/>
  <c r="N35" i="55" a="1"/>
  <c r="N35" i="55"/>
  <c r="N116" i="55" a="1"/>
  <c r="N116" i="55"/>
  <c r="O116" i="55"/>
  <c r="N105" i="55" a="1"/>
  <c r="N105" i="55"/>
  <c r="N139" i="55" a="1"/>
  <c r="N139" i="55"/>
  <c r="N9" i="55" a="1"/>
  <c r="N9" i="55"/>
  <c r="N180" i="55" a="1"/>
  <c r="N180" i="55"/>
  <c r="N122" i="55" a="1"/>
  <c r="N122" i="55"/>
  <c r="N123" i="55" a="1"/>
  <c r="N123" i="55"/>
  <c r="N102" i="55" a="1"/>
  <c r="N102" i="55"/>
  <c r="O102" i="55"/>
  <c r="N124" i="55" a="1"/>
  <c r="N124" i="55"/>
  <c r="L4" i="59"/>
  <c r="M5" i="59"/>
  <c r="E7" i="59"/>
  <c r="E14" i="59"/>
  <c r="F19" i="59"/>
  <c r="F20" i="59"/>
  <c r="K73" i="55" a="1"/>
  <c r="K73" i="55"/>
  <c r="K84" i="55" a="1"/>
  <c r="K84" i="55"/>
  <c r="V13" i="59"/>
  <c r="T13" i="59"/>
  <c r="K128" i="55" a="1"/>
  <c r="K128" i="55"/>
  <c r="K47" i="55" a="1"/>
  <c r="K47" i="55"/>
  <c r="J183" i="55"/>
  <c r="K100" i="55" a="1"/>
  <c r="K100" i="55"/>
  <c r="K48" i="55" a="1"/>
  <c r="K48" i="55"/>
  <c r="K50" i="55" a="1"/>
  <c r="K50" i="55"/>
  <c r="K42" i="55" a="1"/>
  <c r="K42" i="55"/>
  <c r="K94" i="55" a="1"/>
  <c r="K94" i="55"/>
  <c r="L118" i="55" a="1"/>
  <c r="L118" i="55"/>
  <c r="L53" i="55" a="1"/>
  <c r="L53" i="55"/>
  <c r="B14" i="59"/>
  <c r="H141" i="55"/>
  <c r="G141" i="55"/>
  <c r="G120" i="55"/>
  <c r="G61" i="55"/>
  <c r="H61" i="55"/>
  <c r="K61" i="55" a="1"/>
  <c r="K61" i="55"/>
  <c r="L61" i="55" a="1"/>
  <c r="L61" i="55"/>
  <c r="L147" i="55" a="1"/>
  <c r="L147" i="55"/>
  <c r="H146" i="55"/>
  <c r="G133" i="55"/>
  <c r="G140" i="55"/>
  <c r="G126" i="55"/>
  <c r="G52" i="55"/>
  <c r="H52" i="55"/>
  <c r="K52" i="55" a="1"/>
  <c r="K52" i="55"/>
  <c r="G20" i="55"/>
  <c r="K20" i="55" a="1"/>
  <c r="K20" i="55"/>
  <c r="H20" i="55"/>
  <c r="L20" i="55" a="1"/>
  <c r="L20" i="55"/>
  <c r="G151" i="55"/>
  <c r="K151" i="55" a="1"/>
  <c r="K151" i="55"/>
  <c r="G9" i="55"/>
  <c r="L9" i="55" a="1"/>
  <c r="L9" i="55"/>
  <c r="K9" i="55" a="1"/>
  <c r="K9" i="55"/>
  <c r="H9" i="55"/>
  <c r="G96" i="55"/>
  <c r="K96" i="55" a="1"/>
  <c r="K96" i="55"/>
  <c r="H96" i="55"/>
  <c r="L96" i="55" a="1"/>
  <c r="L96" i="55"/>
  <c r="K115" i="55" a="1"/>
  <c r="K115" i="55"/>
  <c r="H41" i="55"/>
  <c r="G41" i="55"/>
  <c r="H77" i="55"/>
  <c r="L77" i="55" a="1"/>
  <c r="L77" i="55"/>
  <c r="G77" i="55"/>
  <c r="K77" i="55" a="1"/>
  <c r="K77" i="55"/>
  <c r="G40" i="55"/>
  <c r="L40" i="55" a="1"/>
  <c r="L40" i="55"/>
  <c r="H40" i="55"/>
  <c r="L33" i="55" a="1"/>
  <c r="L33" i="55"/>
  <c r="H33" i="55"/>
  <c r="K33" i="55" a="1"/>
  <c r="K33" i="55"/>
  <c r="G33" i="55"/>
  <c r="G14" i="55"/>
  <c r="K14" i="55" a="1"/>
  <c r="K14" i="55"/>
  <c r="L14" i="55" a="1"/>
  <c r="L14" i="55"/>
  <c r="H14" i="55"/>
  <c r="K60" i="55" a="1"/>
  <c r="K60" i="55"/>
  <c r="H101" i="55"/>
  <c r="G101" i="55"/>
  <c r="L82" i="55" a="1"/>
  <c r="L82" i="55"/>
  <c r="K82" i="55" a="1"/>
  <c r="K82" i="55"/>
  <c r="G82" i="55"/>
  <c r="H82" i="55"/>
  <c r="L130" i="55" a="1"/>
  <c r="L130" i="55"/>
  <c r="G143" i="55"/>
  <c r="L124" i="55" a="1"/>
  <c r="L124" i="55"/>
  <c r="K124" i="55" a="1"/>
  <c r="K124" i="55"/>
  <c r="H130" i="55"/>
  <c r="K78" i="55" a="1"/>
  <c r="K78" i="55"/>
  <c r="H123" i="55"/>
  <c r="H147" i="55"/>
  <c r="G116" i="55"/>
  <c r="N154" i="55" a="1"/>
  <c r="N154" i="55"/>
  <c r="D6" i="26"/>
  <c r="E7" i="26"/>
  <c r="F7" i="26"/>
  <c r="K14" i="26"/>
  <c r="AK12" i="26"/>
  <c r="F14" i="26"/>
  <c r="E12" i="26"/>
  <c r="AC14" i="26"/>
  <c r="M14" i="26"/>
  <c r="AD12" i="26"/>
  <c r="W14" i="26"/>
  <c r="AF12" i="26"/>
  <c r="AL12" i="26"/>
  <c r="H91" i="55"/>
  <c r="G91" i="55"/>
  <c r="H38" i="55"/>
  <c r="G38" i="55"/>
  <c r="L24" i="55" a="1"/>
  <c r="L24" i="55"/>
  <c r="H24" i="55"/>
  <c r="H13" i="55"/>
  <c r="G13" i="55"/>
  <c r="N75" i="55" a="1"/>
  <c r="N75" i="55"/>
  <c r="S2" i="53"/>
  <c r="N131" i="55" a="1"/>
  <c r="N131" i="55"/>
  <c r="N118" i="55" a="1"/>
  <c r="N118" i="55"/>
  <c r="N12" i="59"/>
  <c r="N169" i="55" a="1"/>
  <c r="N169" i="55"/>
  <c r="N78" i="55" a="1"/>
  <c r="N78" i="55"/>
  <c r="N7" i="55" a="1"/>
  <c r="N7" i="55"/>
  <c r="L13" i="55" a="1"/>
  <c r="L13" i="55"/>
  <c r="N18" i="55" a="1"/>
  <c r="N18" i="55"/>
  <c r="N82" i="55" a="1"/>
  <c r="N82" i="55"/>
  <c r="N161" i="55" a="1"/>
  <c r="N161" i="55"/>
  <c r="N2" i="55"/>
  <c r="N175" i="55" a="1"/>
  <c r="N175" i="55"/>
  <c r="N51" i="55" a="1"/>
  <c r="N51" i="55"/>
  <c r="N171" i="55" a="1"/>
  <c r="N171" i="55"/>
  <c r="N43" i="55" a="1"/>
  <c r="N43" i="55"/>
  <c r="N10" i="55" a="1"/>
  <c r="N10" i="55"/>
  <c r="N100" i="55" a="1"/>
  <c r="N100" i="55"/>
  <c r="N66" i="55" a="1"/>
  <c r="N66" i="55"/>
  <c r="N28" i="55" a="1"/>
  <c r="N28" i="55"/>
  <c r="N146" i="55" a="1"/>
  <c r="N146" i="55"/>
  <c r="N88" i="55" a="1"/>
  <c r="N88" i="55"/>
  <c r="N115" i="55" a="1"/>
  <c r="N115" i="55"/>
  <c r="N163" i="55" a="1"/>
  <c r="N163" i="55"/>
  <c r="F6" i="59"/>
  <c r="AF14" i="26"/>
  <c r="Y14" i="26"/>
  <c r="O12" i="26"/>
  <c r="L14" i="26"/>
  <c r="N133" i="55" a="1"/>
  <c r="N133" i="55"/>
  <c r="N101" i="55" a="1"/>
  <c r="N101" i="55"/>
  <c r="N99" i="55" a="1"/>
  <c r="N99" i="55"/>
  <c r="G152" i="55"/>
  <c r="G39" i="55"/>
  <c r="H39" i="55"/>
  <c r="N90" i="55" a="1"/>
  <c r="N90" i="55"/>
  <c r="N47" i="55" a="1"/>
  <c r="N47" i="55"/>
  <c r="N92" i="55" a="1"/>
  <c r="N92" i="55"/>
  <c r="D11" i="57"/>
  <c r="D5" i="57"/>
  <c r="D7" i="57"/>
  <c r="D9" i="57"/>
  <c r="D12" i="57"/>
  <c r="D6" i="57"/>
  <c r="D10" i="57"/>
  <c r="D8" i="57"/>
  <c r="O46" i="55"/>
  <c r="O127" i="55"/>
  <c r="K132" i="55" a="1"/>
  <c r="K132" i="55"/>
  <c r="L116" i="55" a="1"/>
  <c r="L116" i="55"/>
  <c r="K140" i="55" a="1"/>
  <c r="K140" i="55"/>
  <c r="O26" i="55"/>
  <c r="L141" i="55" a="1"/>
  <c r="L141" i="55"/>
  <c r="R39" i="55"/>
  <c r="O44" i="55"/>
  <c r="K154" i="55" a="1"/>
  <c r="K154" i="55"/>
  <c r="O91" i="55"/>
  <c r="K143" i="55" a="1"/>
  <c r="K143" i="55"/>
  <c r="L60" i="55" a="1"/>
  <c r="L60" i="55"/>
  <c r="L120" i="55" a="1"/>
  <c r="L120" i="55"/>
  <c r="K104" i="55" a="1"/>
  <c r="K104" i="55"/>
  <c r="L52" i="55" a="1"/>
  <c r="L52" i="55"/>
  <c r="O139" i="55"/>
  <c r="K55" i="55" a="1"/>
  <c r="K55" i="55"/>
  <c r="K146" i="55" a="1"/>
  <c r="K146" i="55"/>
  <c r="K91" i="55" a="1"/>
  <c r="K91" i="55"/>
  <c r="O165" i="55"/>
  <c r="O18" i="55"/>
  <c r="O37" i="55"/>
  <c r="L26" i="55" a="1"/>
  <c r="L26" i="55"/>
  <c r="K7" i="55" a="1"/>
  <c r="K7" i="55"/>
  <c r="L101" i="55" a="1"/>
  <c r="L101" i="55"/>
  <c r="G115" i="55"/>
  <c r="L126" i="55" a="1"/>
  <c r="L126" i="55"/>
  <c r="L11" i="55" a="1"/>
  <c r="L11" i="55"/>
  <c r="R84" i="55"/>
  <c r="L70" i="55" a="1"/>
  <c r="L70" i="55"/>
  <c r="K63" i="55" a="1"/>
  <c r="K63" i="55"/>
  <c r="H34" i="55"/>
  <c r="O118" i="55"/>
  <c r="G103" i="55"/>
  <c r="L68" i="55" a="1"/>
  <c r="L68" i="55"/>
  <c r="O142" i="55"/>
  <c r="L104" i="55" a="1"/>
  <c r="L104" i="55"/>
  <c r="K120" i="55" a="1"/>
  <c r="K120" i="55"/>
  <c r="G29" i="55"/>
  <c r="L143" i="55" a="1"/>
  <c r="L143" i="55"/>
  <c r="H143" i="55"/>
  <c r="K141" i="55" a="1"/>
  <c r="K141" i="55"/>
  <c r="L85" i="55" a="1"/>
  <c r="L85" i="55"/>
  <c r="H37" i="55"/>
  <c r="O40" i="55"/>
  <c r="H128" i="55"/>
  <c r="G60" i="55"/>
  <c r="O71" i="55"/>
  <c r="H60" i="55"/>
  <c r="L30" i="55" a="1"/>
  <c r="L30" i="55"/>
  <c r="H112" i="55"/>
  <c r="K111" i="55" a="1"/>
  <c r="K111" i="55"/>
  <c r="H104" i="55"/>
  <c r="L75" i="55" a="1"/>
  <c r="L75" i="55"/>
  <c r="H78" i="55"/>
  <c r="L136" i="55" a="1"/>
  <c r="L136" i="55"/>
  <c r="L153" i="55" a="1"/>
  <c r="L153" i="55"/>
  <c r="R50" i="55"/>
  <c r="L41" i="55" a="1"/>
  <c r="L41" i="55"/>
  <c r="H74" i="55"/>
  <c r="H120" i="55"/>
  <c r="L16" i="55" a="1"/>
  <c r="L16" i="55"/>
  <c r="L7" i="55" a="1"/>
  <c r="L7" i="55"/>
  <c r="K21" i="55" a="1"/>
  <c r="K21" i="55"/>
  <c r="L151" i="55" a="1"/>
  <c r="L151" i="55"/>
  <c r="L55" i="55" a="1"/>
  <c r="L55" i="55"/>
  <c r="G75" i="55"/>
  <c r="H99" i="55"/>
  <c r="H62" i="55"/>
  <c r="K112" i="55" a="1"/>
  <c r="K112" i="55"/>
  <c r="O34" i="55"/>
  <c r="H45" i="55"/>
  <c r="O140" i="55"/>
  <c r="L112" i="55" a="1"/>
  <c r="L112" i="55"/>
  <c r="O167" i="55"/>
  <c r="R54" i="55"/>
  <c r="O133" i="55"/>
  <c r="K147" i="55" a="1"/>
  <c r="K147" i="55"/>
  <c r="O121" i="55"/>
  <c r="K75" i="55" a="1"/>
  <c r="K75" i="55"/>
  <c r="L67" i="55" a="1"/>
  <c r="L67" i="55"/>
  <c r="L115" i="55" a="1"/>
  <c r="L115" i="55"/>
  <c r="L146" i="55" a="1"/>
  <c r="L146" i="55"/>
  <c r="O63" i="55"/>
  <c r="K85" i="55" a="1"/>
  <c r="K85" i="55"/>
  <c r="L38" i="55" a="1"/>
  <c r="L38" i="55"/>
  <c r="R65" i="55"/>
  <c r="G67" i="55"/>
  <c r="L23" i="55" a="1"/>
  <c r="L23" i="55"/>
  <c r="G70" i="55"/>
  <c r="R60" i="55"/>
  <c r="K37" i="55" a="1"/>
  <c r="K37" i="55"/>
  <c r="K101" i="55" a="1"/>
  <c r="K101" i="55"/>
  <c r="G7" i="55"/>
  <c r="O151" i="55"/>
  <c r="L132" i="55" a="1"/>
  <c r="L132" i="55"/>
  <c r="L34" i="55" a="1"/>
  <c r="L34" i="55"/>
  <c r="O172" i="55"/>
  <c r="O174" i="55"/>
  <c r="G136" i="55"/>
  <c r="O53" i="55"/>
  <c r="L45" i="55" a="1"/>
  <c r="L45" i="55"/>
  <c r="K119" i="55" a="1"/>
  <c r="K119" i="55"/>
  <c r="L37" i="55" a="1"/>
  <c r="L37" i="55"/>
  <c r="O9" i="55"/>
  <c r="K67" i="55" a="1"/>
  <c r="K67" i="55"/>
  <c r="K59" i="55" a="1"/>
  <c r="K59" i="55"/>
  <c r="H68" i="55"/>
  <c r="O177" i="55"/>
  <c r="L12" i="55" a="1"/>
  <c r="L12" i="55"/>
  <c r="G132" i="55"/>
  <c r="G111" i="55"/>
  <c r="G15" i="55"/>
  <c r="G12" i="55"/>
  <c r="G66" i="55"/>
  <c r="O94" i="55"/>
  <c r="K74" i="55" a="1"/>
  <c r="K74" i="55"/>
  <c r="O47" i="55"/>
  <c r="L21" i="55" a="1"/>
  <c r="L21" i="55"/>
  <c r="L74" i="55" a="1"/>
  <c r="L74" i="55"/>
  <c r="L142" i="55" a="1"/>
  <c r="L142" i="55"/>
  <c r="K136" i="55" a="1"/>
  <c r="K136" i="55"/>
  <c r="K66" i="55" a="1"/>
  <c r="K66" i="55"/>
  <c r="L128" i="55" a="1"/>
  <c r="L128" i="55"/>
  <c r="G30" i="55"/>
  <c r="O146" i="55"/>
  <c r="O21" i="55"/>
  <c r="H59" i="55"/>
  <c r="L28" i="55" a="1"/>
  <c r="L28" i="55"/>
  <c r="L111" i="55" a="1"/>
  <c r="L111" i="55"/>
  <c r="K142" i="55" a="1"/>
  <c r="K142" i="55"/>
  <c r="O145" i="55"/>
  <c r="O59" i="55"/>
  <c r="O74" i="55"/>
  <c r="L117" i="55" a="1"/>
  <c r="L117" i="55"/>
  <c r="O39" i="55"/>
  <c r="O98" i="55"/>
  <c r="K17" i="55" a="1"/>
  <c r="K17" i="55"/>
  <c r="H15" i="55"/>
  <c r="L79" i="55" a="1"/>
  <c r="L79" i="55"/>
  <c r="G118" i="55"/>
  <c r="G100" i="55"/>
  <c r="G51" i="55"/>
  <c r="H102" i="55"/>
  <c r="H50" i="55"/>
  <c r="G117" i="55"/>
  <c r="G79" i="55"/>
  <c r="G21" i="55"/>
  <c r="K79" i="55" a="1"/>
  <c r="K79" i="55"/>
  <c r="R177" i="55"/>
  <c r="T177" i="55"/>
  <c r="O66" i="55"/>
  <c r="O166" i="55"/>
  <c r="H119" i="55"/>
  <c r="K153" i="55" a="1"/>
  <c r="K153" i="55"/>
  <c r="H65" i="55"/>
  <c r="R21" i="55"/>
  <c r="R95" i="55"/>
  <c r="O170" i="55"/>
  <c r="O171" i="55"/>
  <c r="L133" i="55" a="1"/>
  <c r="L133" i="55"/>
  <c r="L109" i="55" a="1"/>
  <c r="L109" i="55"/>
  <c r="K103" i="55" a="1"/>
  <c r="K103" i="55"/>
  <c r="K10" i="55" a="1"/>
  <c r="K10" i="55"/>
  <c r="R178" i="55"/>
  <c r="T178" i="55"/>
  <c r="O150" i="55"/>
  <c r="K65" i="55" a="1"/>
  <c r="K65" i="55"/>
  <c r="G142" i="55"/>
  <c r="L178" i="55" a="1"/>
  <c r="L178" i="55"/>
  <c r="G178" i="55"/>
  <c r="H178" i="55"/>
  <c r="K178" i="55" a="1"/>
  <c r="K178" i="55"/>
  <c r="O178" i="55"/>
  <c r="G177" i="55"/>
  <c r="H177" i="55"/>
  <c r="K177" i="55" a="1"/>
  <c r="K177" i="55"/>
  <c r="L177" i="55" a="1"/>
  <c r="L177" i="55"/>
  <c r="R38" i="55"/>
  <c r="O176" i="55"/>
  <c r="R176" i="55"/>
  <c r="T176" i="55"/>
  <c r="R19" i="55"/>
  <c r="G176" i="55"/>
  <c r="H176" i="55"/>
  <c r="K176" i="55" a="1"/>
  <c r="K176" i="55"/>
  <c r="L176" i="55" a="1"/>
  <c r="L176" i="55"/>
  <c r="G959" i="53"/>
  <c r="H156" i="55"/>
  <c r="O132" i="55"/>
  <c r="R63" i="55"/>
  <c r="R53" i="55"/>
  <c r="L169" i="55" a="1"/>
  <c r="L169" i="55"/>
  <c r="R22" i="55"/>
  <c r="R40" i="55"/>
  <c r="R34" i="55"/>
  <c r="K158" i="55" a="1"/>
  <c r="K158" i="55"/>
  <c r="R66" i="55"/>
  <c r="R134" i="55"/>
  <c r="R146" i="55"/>
  <c r="R37" i="55"/>
  <c r="O126" i="55"/>
  <c r="R8" i="55"/>
  <c r="K168" i="55" a="1"/>
  <c r="K168" i="55"/>
  <c r="O29" i="55"/>
  <c r="R16" i="55"/>
  <c r="R101" i="55"/>
  <c r="O50" i="55"/>
  <c r="R51" i="55"/>
  <c r="R62" i="55"/>
  <c r="R41" i="55"/>
  <c r="O95" i="55"/>
  <c r="R35" i="55"/>
  <c r="R175" i="55"/>
  <c r="T175" i="55"/>
  <c r="L182" i="55" a="1"/>
  <c r="L182" i="55"/>
  <c r="H182" i="55"/>
  <c r="K182" i="55" a="1"/>
  <c r="K182" i="55"/>
  <c r="H181" i="55"/>
  <c r="L181" i="55" a="1"/>
  <c r="L181" i="55"/>
  <c r="H179" i="55"/>
  <c r="G179" i="55"/>
  <c r="L179" i="55" a="1"/>
  <c r="L179" i="55"/>
  <c r="O175" i="55"/>
  <c r="L175" i="55" a="1"/>
  <c r="L175" i="55"/>
  <c r="G174" i="55"/>
  <c r="R174" i="55"/>
  <c r="L174" i="55" a="1"/>
  <c r="L174" i="55"/>
  <c r="K174" i="55" a="1"/>
  <c r="K174" i="55"/>
  <c r="K172" i="55" a="1"/>
  <c r="K172" i="55"/>
  <c r="H172" i="55"/>
  <c r="L170" i="55" a="1"/>
  <c r="L170" i="55"/>
  <c r="K170" i="55" a="1"/>
  <c r="K170" i="55"/>
  <c r="H170" i="55"/>
  <c r="G169" i="55"/>
  <c r="K169" i="55" a="1"/>
  <c r="K169" i="55"/>
  <c r="H169" i="55"/>
  <c r="L168" i="55" a="1"/>
  <c r="L168" i="55"/>
  <c r="H168" i="55"/>
  <c r="G168" i="55"/>
  <c r="H167" i="55"/>
  <c r="K167" i="55" a="1"/>
  <c r="K167" i="55"/>
  <c r="L167" i="55" a="1"/>
  <c r="L167" i="55"/>
  <c r="H166" i="55"/>
  <c r="L166" i="55" a="1"/>
  <c r="L166" i="55"/>
  <c r="K166" i="55" a="1"/>
  <c r="K166" i="55"/>
  <c r="K165" i="55" a="1"/>
  <c r="K165" i="55"/>
  <c r="L165" i="55" a="1"/>
  <c r="L165" i="55"/>
  <c r="H165" i="55"/>
  <c r="H164" i="55"/>
  <c r="G164" i="55"/>
  <c r="L164" i="55" a="1"/>
  <c r="L164" i="55"/>
  <c r="K164" i="55" a="1"/>
  <c r="K164" i="55"/>
  <c r="K162" i="55" a="1"/>
  <c r="K162" i="55"/>
  <c r="L162" i="55" a="1"/>
  <c r="L162" i="55"/>
  <c r="L163" i="55" a="1"/>
  <c r="L163" i="55"/>
  <c r="H163" i="55"/>
  <c r="K163" i="55" a="1"/>
  <c r="K163" i="55"/>
  <c r="K161" i="55" a="1"/>
  <c r="K161" i="55"/>
  <c r="L161" i="55" a="1"/>
  <c r="L161" i="55"/>
  <c r="K160" i="55" a="1"/>
  <c r="K160" i="55"/>
  <c r="L160" i="55" a="1"/>
  <c r="L160" i="55"/>
  <c r="H160" i="55"/>
  <c r="G523" i="53"/>
  <c r="H158" i="55"/>
  <c r="G158" i="55"/>
  <c r="L158" i="55" a="1"/>
  <c r="L158" i="55"/>
  <c r="G332" i="53"/>
  <c r="P47" i="55"/>
  <c r="R47" i="55"/>
  <c r="O12" i="59"/>
  <c r="O14" i="59"/>
  <c r="T14" i="59"/>
  <c r="P25" i="55"/>
  <c r="R25" i="55"/>
  <c r="O19" i="59"/>
  <c r="T19" i="59"/>
  <c r="P96" i="55"/>
  <c r="R96" i="55"/>
  <c r="P30" i="55"/>
  <c r="R30" i="55"/>
  <c r="P13" i="55"/>
  <c r="R13" i="55"/>
  <c r="P70" i="55"/>
  <c r="R70" i="55"/>
  <c r="P49" i="55"/>
  <c r="R49" i="55"/>
  <c r="O5" i="59"/>
  <c r="U5" i="59"/>
  <c r="O6" i="59"/>
  <c r="T6" i="59"/>
  <c r="O20" i="59"/>
  <c r="T20" i="59"/>
  <c r="P140" i="55"/>
  <c r="R140" i="55"/>
  <c r="P71" i="55"/>
  <c r="R71" i="55"/>
  <c r="P138" i="55"/>
  <c r="R138" i="55"/>
  <c r="P48" i="55"/>
  <c r="R48" i="55"/>
  <c r="P173" i="55"/>
  <c r="R173" i="55"/>
  <c r="P172" i="55"/>
  <c r="S172" i="55"/>
  <c r="P69" i="55"/>
  <c r="S69" i="55"/>
  <c r="P170" i="55"/>
  <c r="R170" i="55"/>
  <c r="P119" i="55"/>
  <c r="R119" i="55"/>
  <c r="P58" i="55"/>
  <c r="R58" i="55"/>
  <c r="P128" i="55"/>
  <c r="R128" i="55"/>
  <c r="P18" i="55"/>
  <c r="R18" i="55"/>
  <c r="P20" i="55"/>
  <c r="R20" i="55"/>
  <c r="P167" i="55"/>
  <c r="R167" i="55"/>
  <c r="P165" i="55"/>
  <c r="R165" i="55"/>
  <c r="P171" i="55"/>
  <c r="S171" i="55"/>
  <c r="P145" i="55"/>
  <c r="R145" i="55"/>
  <c r="P179" i="55"/>
  <c r="R179" i="55"/>
  <c r="P164" i="55"/>
  <c r="R164" i="55"/>
  <c r="P7" i="55"/>
  <c r="R7" i="55"/>
  <c r="P158" i="55"/>
  <c r="S158" i="55"/>
  <c r="P160" i="55"/>
  <c r="R160" i="55"/>
  <c r="P74" i="55"/>
  <c r="S74" i="55"/>
  <c r="N19" i="59"/>
  <c r="G14" i="59"/>
  <c r="L14" i="59"/>
  <c r="O48" i="55"/>
  <c r="O179" i="55"/>
  <c r="O25" i="55"/>
  <c r="O64" i="55"/>
  <c r="L18" i="59"/>
  <c r="O55" i="55"/>
  <c r="O68" i="55"/>
  <c r="O19" i="55"/>
  <c r="O138" i="55"/>
  <c r="O164" i="55"/>
  <c r="O136" i="55"/>
  <c r="O143" i="55"/>
  <c r="L12" i="59"/>
  <c r="O108" i="55"/>
  <c r="P112" i="55"/>
  <c r="R112" i="55"/>
  <c r="P109" i="55"/>
  <c r="S109" i="55"/>
  <c r="P102" i="55"/>
  <c r="R102" i="55"/>
  <c r="AE842" i="53"/>
  <c r="P144" i="55"/>
  <c r="R144" i="55"/>
  <c r="P156" i="55"/>
  <c r="R156" i="55"/>
  <c r="P151" i="55"/>
  <c r="R151" i="55"/>
  <c r="P150" i="55"/>
  <c r="R150" i="55"/>
  <c r="P121" i="55"/>
  <c r="R121" i="55"/>
  <c r="P73" i="55"/>
  <c r="R73" i="55"/>
  <c r="P169" i="55"/>
  <c r="R169" i="55"/>
  <c r="P142" i="55"/>
  <c r="R142" i="55"/>
  <c r="P52" i="55"/>
  <c r="R52" i="55"/>
  <c r="P91" i="55"/>
  <c r="R91" i="55"/>
  <c r="AE734" i="53"/>
  <c r="P97" i="55"/>
  <c r="R97" i="55"/>
  <c r="P133" i="55"/>
  <c r="R133" i="55"/>
  <c r="P98" i="55"/>
  <c r="R98" i="55"/>
  <c r="P103" i="55"/>
  <c r="R103" i="55"/>
  <c r="P99" i="55"/>
  <c r="S99" i="55"/>
  <c r="P136" i="55"/>
  <c r="R136" i="55"/>
  <c r="P143" i="55"/>
  <c r="S143" i="55"/>
  <c r="Q7" i="59"/>
  <c r="P114" i="55"/>
  <c r="R114" i="55"/>
  <c r="P113" i="55"/>
  <c r="R113" i="55"/>
  <c r="P111" i="55"/>
  <c r="R111" i="55"/>
  <c r="P94" i="55"/>
  <c r="S94" i="55"/>
  <c r="P122" i="55"/>
  <c r="S122" i="55"/>
  <c r="P120" i="55"/>
  <c r="R120" i="55"/>
  <c r="P115" i="55"/>
  <c r="R115" i="55"/>
  <c r="S105" i="55"/>
  <c r="P116" i="55"/>
  <c r="R116" i="55"/>
  <c r="Q14" i="59"/>
  <c r="P27" i="55"/>
  <c r="R27" i="55"/>
  <c r="P33" i="55"/>
  <c r="S33" i="55"/>
  <c r="T182" i="55"/>
  <c r="O49" i="55"/>
  <c r="I7" i="59"/>
  <c r="O119" i="55"/>
  <c r="M14" i="59"/>
  <c r="M19" i="59"/>
  <c r="O56" i="55"/>
  <c r="N6" i="59"/>
  <c r="O20" i="55"/>
  <c r="O96" i="55"/>
  <c r="S117" i="55"/>
  <c r="P42" i="55"/>
  <c r="S42" i="55"/>
  <c r="S129" i="55"/>
  <c r="V4" i="59"/>
  <c r="Q2" i="55"/>
  <c r="P28" i="55"/>
  <c r="R28" i="55"/>
  <c r="T131" i="55"/>
  <c r="S126" i="55"/>
  <c r="T181" i="55"/>
  <c r="S101" i="55"/>
  <c r="Q183" i="55"/>
  <c r="V5" i="59"/>
  <c r="Z1089" i="53"/>
  <c r="P2" i="55"/>
  <c r="O18" i="59"/>
  <c r="AE98" i="53"/>
  <c r="V20" i="59"/>
  <c r="V6" i="59"/>
  <c r="Q21" i="59"/>
  <c r="Z2" i="53"/>
  <c r="S141" i="55"/>
  <c r="O4" i="59"/>
  <c r="T4" i="59"/>
  <c r="S139" i="55"/>
  <c r="S61" i="55"/>
  <c r="V18" i="59"/>
  <c r="S9" i="55"/>
  <c r="S44" i="55"/>
  <c r="S66" i="55"/>
  <c r="T66" i="55"/>
  <c r="T124" i="55"/>
  <c r="T130" i="55"/>
  <c r="T83" i="55"/>
  <c r="T125" i="55"/>
  <c r="T90" i="55"/>
  <c r="S95" i="55"/>
  <c r="S84" i="55"/>
  <c r="S75" i="55"/>
  <c r="S43" i="55"/>
  <c r="T77" i="55"/>
  <c r="T89" i="55"/>
  <c r="T147" i="55"/>
  <c r="S64" i="55"/>
  <c r="S55" i="55"/>
  <c r="S62" i="55"/>
  <c r="T57" i="55"/>
  <c r="T88" i="55"/>
  <c r="R61" i="55"/>
  <c r="S40" i="55"/>
  <c r="S59" i="55"/>
  <c r="S68" i="55"/>
  <c r="T68" i="55"/>
  <c r="S29" i="55"/>
  <c r="S132" i="55"/>
  <c r="P21" i="59"/>
  <c r="T148" i="55"/>
  <c r="S51" i="55"/>
  <c r="V19" i="59"/>
  <c r="S127" i="55"/>
  <c r="S54" i="55"/>
  <c r="U12" i="59"/>
  <c r="R126" i="55"/>
  <c r="P14" i="59"/>
  <c r="S134" i="55"/>
  <c r="T134" i="55"/>
  <c r="S168" i="55"/>
  <c r="R75" i="55"/>
  <c r="S118" i="55"/>
  <c r="S56" i="55"/>
  <c r="T67" i="55"/>
  <c r="R127" i="55"/>
  <c r="S100" i="55"/>
  <c r="S41" i="55"/>
  <c r="U19" i="59"/>
  <c r="S60" i="55"/>
  <c r="R44" i="55"/>
  <c r="P7" i="59"/>
  <c r="T12" i="59"/>
  <c r="S34" i="55"/>
  <c r="R59" i="55"/>
  <c r="S46" i="55"/>
  <c r="S23" i="55"/>
  <c r="S37" i="55"/>
  <c r="T37" i="55"/>
  <c r="R56" i="55"/>
  <c r="R168" i="55"/>
  <c r="S35" i="55"/>
  <c r="S161" i="55"/>
  <c r="R161" i="55"/>
  <c r="S174" i="55"/>
  <c r="R139" i="55"/>
  <c r="S92" i="55"/>
  <c r="S16" i="55"/>
  <c r="T137" i="55"/>
  <c r="R9" i="55"/>
  <c r="S8" i="55"/>
  <c r="R29" i="55"/>
  <c r="R100" i="55"/>
  <c r="S166" i="55"/>
  <c r="T166" i="55"/>
  <c r="S19" i="55"/>
  <c r="S39" i="55"/>
  <c r="T39" i="55"/>
  <c r="R46" i="55"/>
  <c r="S72" i="55"/>
  <c r="R117" i="55"/>
  <c r="R141" i="55"/>
  <c r="R132" i="55"/>
  <c r="S38" i="55"/>
  <c r="R23" i="55"/>
  <c r="T106" i="55"/>
  <c r="R105" i="55"/>
  <c r="O84" i="55"/>
  <c r="O113" i="55"/>
  <c r="S63" i="55"/>
  <c r="R72" i="55"/>
  <c r="O61" i="55"/>
  <c r="H161" i="55"/>
  <c r="S53" i="55"/>
  <c r="O112" i="55"/>
  <c r="O23" i="55"/>
  <c r="O128" i="55"/>
  <c r="T159" i="55"/>
  <c r="T45" i="55"/>
  <c r="R118" i="55"/>
  <c r="O101" i="55"/>
  <c r="O70" i="55"/>
  <c r="O58" i="55"/>
  <c r="S21" i="55"/>
  <c r="O129" i="55"/>
  <c r="O69" i="55"/>
  <c r="S146" i="55"/>
  <c r="O111" i="55"/>
  <c r="O141" i="55"/>
  <c r="O73" i="55"/>
  <c r="T78" i="55"/>
  <c r="R92" i="55"/>
  <c r="T82" i="55"/>
  <c r="O173" i="55"/>
  <c r="R43" i="55"/>
  <c r="O28" i="55"/>
  <c r="O30" i="55"/>
  <c r="O134" i="55"/>
  <c r="R55" i="55"/>
  <c r="R129" i="55"/>
  <c r="T153" i="55"/>
  <c r="O92" i="55"/>
  <c r="O75" i="55"/>
  <c r="O43" i="55"/>
  <c r="T149" i="55"/>
  <c r="H113" i="55"/>
  <c r="K113" i="55" a="1"/>
  <c r="K113" i="55"/>
  <c r="G113" i="55"/>
  <c r="H92" i="55"/>
  <c r="G92" i="55"/>
  <c r="K92" i="55" a="1"/>
  <c r="K92" i="55"/>
  <c r="L92" i="55" a="1"/>
  <c r="L92" i="55"/>
  <c r="K80" i="55" a="1"/>
  <c r="K80" i="55"/>
  <c r="L80" i="55" a="1"/>
  <c r="L80" i="55"/>
  <c r="H80" i="55"/>
  <c r="G80" i="55"/>
  <c r="G58" i="55"/>
  <c r="L58" i="55" a="1"/>
  <c r="L58" i="55"/>
  <c r="K58" i="55" a="1"/>
  <c r="K58" i="55"/>
  <c r="H58" i="55"/>
  <c r="H107" i="55"/>
  <c r="K107" i="55" a="1"/>
  <c r="K107" i="55"/>
  <c r="L107" i="55" a="1"/>
  <c r="L107" i="55"/>
  <c r="T17" i="55"/>
  <c r="T154" i="55"/>
  <c r="T163" i="55"/>
  <c r="S22" i="55"/>
  <c r="T76" i="55"/>
  <c r="L20" i="59"/>
  <c r="G21" i="59"/>
  <c r="L21" i="59"/>
  <c r="M20" i="59"/>
  <c r="G6" i="59"/>
  <c r="X1017" i="53"/>
  <c r="T12" i="55"/>
  <c r="H21" i="59"/>
  <c r="N21" i="59"/>
  <c r="T31" i="55"/>
  <c r="S14" i="59"/>
  <c r="T15" i="55"/>
  <c r="M100" i="55" a="1"/>
  <c r="M100" i="55"/>
  <c r="O100" i="55"/>
  <c r="M42" i="55" a="1"/>
  <c r="M42" i="55"/>
  <c r="O42" i="55"/>
  <c r="M35" i="55" a="1"/>
  <c r="M35" i="55"/>
  <c r="O35" i="55"/>
  <c r="M65" i="55" a="1"/>
  <c r="M65" i="55"/>
  <c r="O65" i="55"/>
  <c r="M161" i="55" a="1"/>
  <c r="M161" i="55"/>
  <c r="O161" i="55"/>
  <c r="M60" i="55" a="1"/>
  <c r="M60" i="55"/>
  <c r="O60" i="55"/>
  <c r="M168" i="55" a="1"/>
  <c r="M168" i="55"/>
  <c r="O168" i="55"/>
  <c r="N7" i="59"/>
  <c r="T162" i="55"/>
  <c r="N153" i="55" a="1"/>
  <c r="N153" i="55"/>
  <c r="N72" i="55" a="1"/>
  <c r="N72" i="55"/>
  <c r="O72" i="55"/>
  <c r="N160" i="55" a="1"/>
  <c r="N160" i="55"/>
  <c r="O160" i="55"/>
  <c r="N97" i="55" a="1"/>
  <c r="N97" i="55"/>
  <c r="O97" i="55"/>
  <c r="G27" i="55"/>
  <c r="H27" i="55"/>
  <c r="O2" i="55"/>
  <c r="T85" i="55"/>
  <c r="O115" i="55"/>
  <c r="T79" i="55"/>
  <c r="T93" i="55"/>
  <c r="T135" i="55"/>
  <c r="M12" i="59"/>
  <c r="T80" i="55"/>
  <c r="T123" i="55"/>
  <c r="T180" i="55"/>
  <c r="T107" i="55"/>
  <c r="T110" i="55"/>
  <c r="R26" i="55"/>
  <c r="T87" i="55"/>
  <c r="T11" i="55"/>
  <c r="T32" i="55"/>
  <c r="T81" i="55"/>
  <c r="T86" i="55"/>
  <c r="T152" i="55"/>
  <c r="T155" i="55"/>
  <c r="G148" i="55"/>
  <c r="L148" i="55" a="1"/>
  <c r="L148" i="55"/>
  <c r="H148" i="55"/>
  <c r="K148" i="55" a="1"/>
  <c r="K148" i="55"/>
  <c r="L86" i="55" a="1"/>
  <c r="L86" i="55"/>
  <c r="H86" i="55"/>
  <c r="K86" i="55" a="1"/>
  <c r="K86" i="55"/>
  <c r="G86" i="55"/>
  <c r="K71" i="55" a="1"/>
  <c r="K71" i="55"/>
  <c r="H71" i="55"/>
  <c r="G71" i="55"/>
  <c r="L71" i="55" a="1"/>
  <c r="L71" i="55"/>
  <c r="L57" i="55" a="1"/>
  <c r="L57" i="55"/>
  <c r="K57" i="55" a="1"/>
  <c r="K57" i="55"/>
  <c r="H57" i="55"/>
  <c r="G173" i="55"/>
  <c r="L173" i="55" a="1"/>
  <c r="L173" i="55"/>
  <c r="K173" i="55" a="1"/>
  <c r="K173" i="55"/>
  <c r="H173" i="55"/>
  <c r="H145" i="55"/>
  <c r="G145" i="55"/>
  <c r="K145" i="55" a="1"/>
  <c r="K145" i="55"/>
  <c r="L145" i="55" a="1"/>
  <c r="L145" i="55"/>
  <c r="H131" i="55"/>
  <c r="L131" i="55" a="1"/>
  <c r="L131" i="55"/>
  <c r="K131" i="55" a="1"/>
  <c r="K131" i="55"/>
  <c r="G83" i="55"/>
  <c r="L83" i="55" a="1"/>
  <c r="L83" i="55"/>
  <c r="K83" i="55" a="1"/>
  <c r="K83" i="55"/>
  <c r="H83" i="55"/>
  <c r="G44" i="55"/>
  <c r="H44" i="55"/>
  <c r="K44" i="55" a="1"/>
  <c r="K44" i="55"/>
  <c r="L44" i="55" a="1"/>
  <c r="L44" i="55"/>
  <c r="L159" i="55" a="1"/>
  <c r="L159" i="55"/>
  <c r="K159" i="55" a="1"/>
  <c r="K159" i="55"/>
  <c r="G159" i="55"/>
  <c r="H159" i="55"/>
  <c r="H32" i="55"/>
  <c r="L32" i="55" a="1"/>
  <c r="L32" i="55"/>
  <c r="K32" i="55" a="1"/>
  <c r="K32" i="55"/>
  <c r="L171" i="55" a="1"/>
  <c r="L171" i="55"/>
  <c r="G171" i="55"/>
  <c r="K171" i="55" a="1"/>
  <c r="K171" i="55"/>
  <c r="H171" i="55"/>
  <c r="G129" i="55"/>
  <c r="L129" i="55" a="1"/>
  <c r="L129" i="55"/>
  <c r="K129" i="55" a="1"/>
  <c r="K129" i="55"/>
  <c r="H129" i="55"/>
  <c r="L81" i="55" a="1"/>
  <c r="L81" i="55"/>
  <c r="G81" i="55"/>
  <c r="K81" i="55" a="1"/>
  <c r="K81" i="55"/>
  <c r="H81" i="55"/>
  <c r="K157" i="55" a="1"/>
  <c r="K157" i="55"/>
  <c r="H157" i="55"/>
  <c r="L157" i="55" a="1"/>
  <c r="L157" i="55"/>
  <c r="H93" i="55"/>
  <c r="L93" i="55" a="1"/>
  <c r="L93" i="55"/>
  <c r="G93" i="55"/>
  <c r="K93" i="55" a="1"/>
  <c r="K93" i="55"/>
  <c r="L54" i="55" a="1"/>
  <c r="L54" i="55"/>
  <c r="H54" i="55"/>
  <c r="G54" i="55"/>
  <c r="K54" i="55" a="1"/>
  <c r="K54" i="55"/>
  <c r="G18" i="55"/>
  <c r="H18" i="55"/>
  <c r="L18" i="55" a="1"/>
  <c r="L18" i="55"/>
  <c r="K18" i="55" a="1"/>
  <c r="K18" i="55"/>
  <c r="G46" i="55"/>
  <c r="H46" i="55"/>
  <c r="L46" i="55" a="1"/>
  <c r="L46" i="55"/>
  <c r="K46" i="55" a="1"/>
  <c r="K46" i="55"/>
  <c r="L127" i="55" a="1"/>
  <c r="L127" i="55"/>
  <c r="K127" i="55" a="1"/>
  <c r="K127" i="55"/>
  <c r="G127" i="55"/>
  <c r="H127" i="55"/>
  <c r="G25" i="55"/>
  <c r="H25" i="55"/>
  <c r="L25" i="55" a="1"/>
  <c r="L25" i="55"/>
  <c r="K25" i="55" a="1"/>
  <c r="K25" i="55"/>
  <c r="L155" i="55" a="1"/>
  <c r="L155" i="55"/>
  <c r="K155" i="55" a="1"/>
  <c r="K155" i="55"/>
  <c r="H155" i="55"/>
  <c r="G155" i="55"/>
  <c r="L97" i="55" a="1"/>
  <c r="L97" i="55"/>
  <c r="K97" i="55" a="1"/>
  <c r="K97" i="55"/>
  <c r="G97" i="55"/>
  <c r="H97" i="55"/>
  <c r="H31" i="55"/>
  <c r="K31" i="55" a="1"/>
  <c r="K31" i="55"/>
  <c r="L31" i="55" a="1"/>
  <c r="L31" i="55"/>
  <c r="G139" i="55"/>
  <c r="K139" i="55" a="1"/>
  <c r="K139" i="55"/>
  <c r="H139" i="55"/>
  <c r="H125" i="55"/>
  <c r="K125" i="55" a="1"/>
  <c r="K125" i="55"/>
  <c r="L125" i="55" a="1"/>
  <c r="L125" i="55"/>
  <c r="L64" i="55" a="1"/>
  <c r="L64" i="55"/>
  <c r="H64" i="55"/>
  <c r="K64" i="55" a="1"/>
  <c r="K64" i="55"/>
  <c r="G64" i="55"/>
  <c r="G138" i="55"/>
  <c r="K138" i="55" a="1"/>
  <c r="K138" i="55"/>
  <c r="H138" i="55"/>
  <c r="L138" i="55" a="1"/>
  <c r="L138" i="55"/>
  <c r="H110" i="55"/>
  <c r="L110" i="55" a="1"/>
  <c r="L110" i="55"/>
  <c r="K110" i="55" a="1"/>
  <c r="K110" i="55"/>
  <c r="H137" i="55"/>
  <c r="L137" i="55" a="1"/>
  <c r="L137" i="55"/>
  <c r="K137" i="55" a="1"/>
  <c r="K137" i="55"/>
  <c r="G90" i="55"/>
  <c r="L90" i="55" a="1"/>
  <c r="L90" i="55"/>
  <c r="H90" i="55"/>
  <c r="K90" i="55" a="1"/>
  <c r="K90" i="55"/>
  <c r="L36" i="55" a="1"/>
  <c r="L36" i="55"/>
  <c r="K36" i="55" a="1"/>
  <c r="K36" i="55"/>
  <c r="H36" i="55"/>
  <c r="L135" i="55" a="1"/>
  <c r="L135" i="55"/>
  <c r="K135" i="55" a="1"/>
  <c r="K135" i="55"/>
  <c r="H135" i="55"/>
  <c r="H122" i="55"/>
  <c r="K122" i="55" a="1"/>
  <c r="K122" i="55"/>
  <c r="G122" i="55"/>
  <c r="L122" i="55" a="1"/>
  <c r="L122" i="55"/>
  <c r="H88" i="55"/>
  <c r="G88" i="55"/>
  <c r="K88" i="55" a="1"/>
  <c r="K88" i="55"/>
  <c r="L88" i="55" a="1"/>
  <c r="L88" i="55"/>
  <c r="G49" i="55"/>
  <c r="H49" i="55"/>
  <c r="L49" i="55" a="1"/>
  <c r="L49" i="55"/>
  <c r="K49" i="55" a="1"/>
  <c r="K49" i="55"/>
  <c r="L35" i="55" a="1"/>
  <c r="L35" i="55"/>
  <c r="H35" i="55"/>
  <c r="G35" i="55"/>
  <c r="K35" i="55" a="1"/>
  <c r="K35" i="55"/>
  <c r="H180" i="55"/>
  <c r="K180" i="55" a="1"/>
  <c r="K180" i="55"/>
  <c r="L180" i="55" a="1"/>
  <c r="L180" i="55"/>
  <c r="H134" i="55"/>
  <c r="K134" i="55" a="1"/>
  <c r="K134" i="55"/>
  <c r="G134" i="55"/>
  <c r="L134" i="55" a="1"/>
  <c r="L134" i="55"/>
  <c r="K87" i="55" a="1"/>
  <c r="K87" i="55"/>
  <c r="G87" i="55"/>
  <c r="H87" i="55"/>
  <c r="L87" i="55" a="1"/>
  <c r="L87" i="55"/>
  <c r="H19" i="55"/>
  <c r="K19" i="55" a="1"/>
  <c r="K19" i="55"/>
  <c r="L19" i="55" a="1"/>
  <c r="L19" i="55"/>
  <c r="G19" i="55"/>
  <c r="O27" i="55"/>
  <c r="T10" i="55"/>
  <c r="T14" i="55"/>
  <c r="T157" i="55"/>
  <c r="H154" i="55"/>
  <c r="S50" i="55"/>
  <c r="T50" i="55"/>
  <c r="T36" i="55"/>
  <c r="O33" i="55"/>
  <c r="R108" i="55"/>
  <c r="O158" i="55"/>
  <c r="O105" i="55"/>
  <c r="O156" i="55"/>
  <c r="R64" i="55"/>
  <c r="L8" i="55" a="1"/>
  <c r="L8" i="55"/>
  <c r="K8" i="55" a="1"/>
  <c r="K8" i="55"/>
  <c r="G8"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E5" i="57"/>
  <c r="E6" i="57"/>
  <c r="E7" i="57"/>
  <c r="E8" i="57"/>
  <c r="E9" i="57"/>
  <c r="E10" i="57"/>
  <c r="E11" i="57"/>
  <c r="E12" i="57"/>
  <c r="D13" i="57"/>
  <c r="O8" i="55"/>
  <c r="O7" i="55"/>
  <c r="O51" i="55"/>
  <c r="O122" i="55"/>
  <c r="O103" i="55"/>
  <c r="O99" i="55"/>
  <c r="O169" i="55"/>
  <c r="O117" i="55"/>
  <c r="O22" i="55"/>
  <c r="G7" i="26"/>
  <c r="F6" i="26"/>
  <c r="O16" i="55"/>
  <c r="O114" i="55"/>
  <c r="G829" i="53"/>
  <c r="G804" i="53"/>
  <c r="G175" i="55"/>
  <c r="K175" i="55" a="1"/>
  <c r="K175" i="55"/>
  <c r="K152" i="55" a="1"/>
  <c r="K152" i="55"/>
  <c r="L152" i="55" a="1"/>
  <c r="L152" i="55"/>
  <c r="H152" i="55"/>
  <c r="G1018" i="53"/>
  <c r="G1019" i="53"/>
  <c r="L29" i="55" a="1"/>
  <c r="L29" i="55"/>
  <c r="L91" i="55" a="1"/>
  <c r="L91" i="55"/>
  <c r="L172" i="55" a="1"/>
  <c r="L172" i="55"/>
  <c r="E6" i="26"/>
  <c r="X1089" i="53"/>
  <c r="L94" i="55" a="1"/>
  <c r="L94" i="55"/>
  <c r="F14" i="59" a="1"/>
  <c r="F14" i="59"/>
  <c r="L113" i="55" a="1"/>
  <c r="L113" i="55"/>
  <c r="L139" i="55" a="1"/>
  <c r="L139" i="55"/>
  <c r="L114" i="55" a="1"/>
  <c r="L114" i="55"/>
  <c r="T104" i="55"/>
  <c r="S65" i="55"/>
  <c r="T65" i="55"/>
  <c r="G1059" i="53"/>
  <c r="G1060" i="53"/>
  <c r="L102" i="55" a="1"/>
  <c r="L102" i="55"/>
  <c r="O62" i="55"/>
  <c r="V12" i="59"/>
  <c r="O120" i="55"/>
  <c r="T24" i="55"/>
  <c r="L2" i="55"/>
  <c r="L119" i="55" a="1"/>
  <c r="L119" i="55"/>
  <c r="L56" i="55" a="1"/>
  <c r="L56" i="55"/>
  <c r="G207" i="53"/>
  <c r="G209" i="53"/>
  <c r="G253" i="53"/>
  <c r="G205" i="53"/>
  <c r="G263" i="53"/>
  <c r="G210" i="53"/>
  <c r="G265" i="53"/>
  <c r="G250" i="53"/>
  <c r="G211" i="53"/>
  <c r="G262" i="53"/>
  <c r="G254" i="53"/>
  <c r="S26" i="55"/>
  <c r="G264" i="53"/>
  <c r="G251" i="53"/>
  <c r="S108" i="55"/>
  <c r="G259" i="53"/>
  <c r="G208" i="53"/>
  <c r="T84" i="55"/>
  <c r="T95" i="55"/>
  <c r="T53" i="55"/>
  <c r="T19" i="55"/>
  <c r="T54" i="55"/>
  <c r="T60" i="55"/>
  <c r="T101" i="55"/>
  <c r="T21" i="55"/>
  <c r="T146" i="55"/>
  <c r="T63" i="55"/>
  <c r="T40" i="55"/>
  <c r="T34" i="55"/>
  <c r="T38" i="55"/>
  <c r="T51" i="55"/>
  <c r="T22" i="55"/>
  <c r="T41" i="55"/>
  <c r="T35" i="55"/>
  <c r="T8" i="55"/>
  <c r="T16" i="55"/>
  <c r="S25" i="55"/>
  <c r="T25" i="55"/>
  <c r="T174" i="55"/>
  <c r="T62" i="55"/>
  <c r="S96" i="55"/>
  <c r="S47" i="55"/>
  <c r="T47" i="55"/>
  <c r="S13" i="55"/>
  <c r="T13" i="55"/>
  <c r="S30" i="55"/>
  <c r="T30" i="55"/>
  <c r="T5" i="59"/>
  <c r="S49" i="55"/>
  <c r="T49" i="55"/>
  <c r="S70" i="55"/>
  <c r="T70" i="55"/>
  <c r="S140" i="55"/>
  <c r="T140" i="55"/>
  <c r="U6" i="59"/>
  <c r="U20" i="59"/>
  <c r="S71" i="55"/>
  <c r="T71" i="55"/>
  <c r="O21" i="59"/>
  <c r="T21" i="59"/>
  <c r="S138" i="55"/>
  <c r="T138" i="55"/>
  <c r="R172" i="55"/>
  <c r="T172" i="55"/>
  <c r="S48" i="55"/>
  <c r="T48" i="55"/>
  <c r="S170" i="55"/>
  <c r="T170" i="55"/>
  <c r="S173" i="55"/>
  <c r="T173" i="55"/>
  <c r="S18" i="55"/>
  <c r="T18" i="55"/>
  <c r="R69" i="55"/>
  <c r="T69" i="55"/>
  <c r="S119" i="55"/>
  <c r="T119" i="55"/>
  <c r="S58" i="55"/>
  <c r="T58" i="55"/>
  <c r="S20" i="55"/>
  <c r="T20" i="55"/>
  <c r="S128" i="55"/>
  <c r="T128" i="55"/>
  <c r="S165" i="55"/>
  <c r="T165" i="55"/>
  <c r="S167" i="55"/>
  <c r="T167" i="55"/>
  <c r="R171" i="55"/>
  <c r="T171" i="55"/>
  <c r="R158" i="55"/>
  <c r="T158" i="55"/>
  <c r="S179" i="55"/>
  <c r="T179" i="55"/>
  <c r="S145" i="55"/>
  <c r="T145" i="55"/>
  <c r="S7" i="55"/>
  <c r="T7" i="55"/>
  <c r="S102" i="55"/>
  <c r="T102" i="55"/>
  <c r="S160" i="55"/>
  <c r="T160" i="55"/>
  <c r="S164" i="55"/>
  <c r="T164" i="55"/>
  <c r="S144" i="55"/>
  <c r="T144" i="55"/>
  <c r="S112" i="55"/>
  <c r="T112" i="55"/>
  <c r="R74" i="55"/>
  <c r="T74" i="55"/>
  <c r="R109" i="55"/>
  <c r="T109" i="55"/>
  <c r="S156" i="55"/>
  <c r="T156" i="55"/>
  <c r="V7" i="59"/>
  <c r="S121" i="55"/>
  <c r="T121" i="55"/>
  <c r="S151" i="55"/>
  <c r="T151" i="55"/>
  <c r="S150" i="55"/>
  <c r="T150" i="55"/>
  <c r="S169" i="55"/>
  <c r="T169" i="55"/>
  <c r="S142" i="55"/>
  <c r="T142" i="55"/>
  <c r="S73" i="55"/>
  <c r="T73" i="55"/>
  <c r="S52" i="55"/>
  <c r="T52" i="55"/>
  <c r="S91" i="55"/>
  <c r="T91" i="55"/>
  <c r="S133" i="55"/>
  <c r="T133" i="55"/>
  <c r="S97" i="55"/>
  <c r="T97" i="55"/>
  <c r="S98" i="55"/>
  <c r="T98" i="55"/>
  <c r="S103" i="55"/>
  <c r="T103" i="55"/>
  <c r="R99" i="55"/>
  <c r="T99" i="55"/>
  <c r="S136" i="55"/>
  <c r="T136" i="55"/>
  <c r="R143" i="55"/>
  <c r="T143" i="55"/>
  <c r="S114" i="55"/>
  <c r="T114" i="55"/>
  <c r="S113" i="55"/>
  <c r="T113" i="55"/>
  <c r="S111" i="55"/>
  <c r="T111" i="55"/>
  <c r="T105" i="55"/>
  <c r="R94" i="55"/>
  <c r="T94" i="55"/>
  <c r="R122" i="55"/>
  <c r="T122" i="55"/>
  <c r="S120" i="55"/>
  <c r="T120" i="55"/>
  <c r="S115" i="55"/>
  <c r="T115" i="55"/>
  <c r="S116" i="55"/>
  <c r="T116" i="55"/>
  <c r="T117" i="55"/>
  <c r="R33" i="55"/>
  <c r="T33" i="55"/>
  <c r="S27" i="55"/>
  <c r="T27" i="55"/>
  <c r="T129" i="55"/>
  <c r="V21" i="59"/>
  <c r="R42" i="55"/>
  <c r="T42" i="55"/>
  <c r="T126" i="55"/>
  <c r="S28" i="55"/>
  <c r="T28" i="55"/>
  <c r="T141" i="55"/>
  <c r="AE1089" i="53"/>
  <c r="T9" i="55"/>
  <c r="T139" i="55"/>
  <c r="T18" i="59"/>
  <c r="AE2" i="53"/>
  <c r="P183" i="55"/>
  <c r="R183" i="55"/>
  <c r="U18" i="59"/>
  <c r="T44" i="55"/>
  <c r="U4" i="59"/>
  <c r="O7" i="59"/>
  <c r="U7" i="59"/>
  <c r="T61" i="55"/>
  <c r="T96" i="55"/>
  <c r="T64" i="55"/>
  <c r="T55" i="55"/>
  <c r="T43" i="55"/>
  <c r="T59" i="55"/>
  <c r="U14" i="59"/>
  <c r="T75" i="55"/>
  <c r="T72" i="55"/>
  <c r="T132" i="55"/>
  <c r="T29" i="55"/>
  <c r="V14" i="59"/>
  <c r="T23" i="55"/>
  <c r="T161" i="55"/>
  <c r="T56" i="55"/>
  <c r="T127" i="55"/>
  <c r="T92" i="55"/>
  <c r="T46" i="55"/>
  <c r="T100" i="55"/>
  <c r="T118" i="55"/>
  <c r="T168" i="55"/>
  <c r="T26" i="55"/>
  <c r="G183" i="55"/>
  <c r="H184" i="55"/>
  <c r="T108" i="55"/>
  <c r="H183" i="55"/>
  <c r="M6" i="59"/>
  <c r="L6" i="59"/>
  <c r="G7" i="59"/>
  <c r="M21" i="59"/>
  <c r="G2" i="55"/>
  <c r="H3" i="55"/>
  <c r="G184" i="55"/>
  <c r="H2" i="55"/>
  <c r="G3" i="55"/>
  <c r="H7" i="26"/>
  <c r="G6" i="26"/>
  <c r="U21" i="59"/>
  <c r="S2" i="55"/>
  <c r="R2" i="55"/>
  <c r="S183" i="55"/>
  <c r="T183" i="55"/>
  <c r="T7" i="59"/>
  <c r="L7" i="59"/>
  <c r="M7" i="59"/>
  <c r="H6" i="26"/>
  <c r="I7" i="26"/>
  <c r="T2" i="55"/>
  <c r="J7" i="26"/>
  <c r="I6" i="26"/>
  <c r="K7" i="26"/>
  <c r="J6" i="26"/>
  <c r="L7" i="26"/>
  <c r="K6" i="26"/>
  <c r="L6" i="26"/>
  <c r="M7" i="26"/>
  <c r="M6" i="26"/>
  <c r="N7" i="26"/>
  <c r="N6" i="26"/>
  <c r="O7" i="26"/>
  <c r="O6" i="26"/>
  <c r="P7" i="26"/>
  <c r="Q7" i="26"/>
  <c r="P6" i="26"/>
  <c r="Q6" i="26"/>
  <c r="R7" i="26"/>
  <c r="S7" i="26"/>
  <c r="R6" i="26"/>
  <c r="T7" i="26"/>
  <c r="S6" i="26"/>
  <c r="T6" i="26"/>
  <c r="U7" i="26"/>
  <c r="V7" i="26"/>
  <c r="U6" i="26"/>
  <c r="W7" i="26"/>
  <c r="V6" i="26"/>
  <c r="W6" i="26"/>
  <c r="X7" i="26"/>
  <c r="X6" i="26"/>
  <c r="Y7" i="26"/>
  <c r="Z7" i="26"/>
  <c r="Y6" i="26"/>
  <c r="AA7" i="26"/>
  <c r="Z6" i="26"/>
  <c r="AB7" i="26"/>
  <c r="AA6" i="26"/>
  <c r="AC7" i="26"/>
  <c r="AB6" i="26"/>
  <c r="AC6" i="26"/>
  <c r="AD7" i="26"/>
  <c r="AD6" i="26"/>
  <c r="AE7" i="26"/>
  <c r="AE6" i="26"/>
  <c r="AF7" i="26"/>
  <c r="AG7" i="26"/>
  <c r="AF6" i="26"/>
  <c r="AH7" i="26"/>
  <c r="AG6" i="26"/>
  <c r="AI7" i="26"/>
  <c r="AH6" i="26"/>
  <c r="AJ7" i="26"/>
  <c r="AI6" i="26"/>
  <c r="AJ6" i="26"/>
  <c r="AK7"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<sst xmlns="http://schemas.openxmlformats.org/spreadsheetml/2006/main" count="11549" uniqueCount="2935">
  <si>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</si>
  <si>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</si>
  <si>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</si>
  <si>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</si>
  <si>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</si>
  <si>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</si>
  <si>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</si>
  <si>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</si>
  <si>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</si>
  <si>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</si>
  <si>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</si>
  <si>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</si>
  <si>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</si>
  <si>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</si>
  <si>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</si>
  <si>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</si>
  <si>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</si>
  <si>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</si>
  <si>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</si>
  <si>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</si>
  <si>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</si>
  <si>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</si>
  <si>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</si>
  <si>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</si>
  <si>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</si>
  <si>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</si>
  <si>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</si>
  <si>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</si>
  <si>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</si>
  <si>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</si>
  <si>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</si>
  <si>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</si>
  <si>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</si>
  <si>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</si>
  <si>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</si>
  <si>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</si>
  <si>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</si>
  <si>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</si>
  <si>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</si>
  <si>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</si>
  <si>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</si>
  <si>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</si>
  <si>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</si>
  <si>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</si>
  <si>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</si>
  <si>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</si>
  <si>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</si>
  <si>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</si>
  <si>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</si>
  <si>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</si>
  <si>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</si>
  <si>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</si>
  <si>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</si>
  <si>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</si>
  <si>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</si>
  <si>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</si>
  <si>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</si>
  <si>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</si>
  <si>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</si>
  <si>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</si>
  <si>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</si>
  <si>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</si>
  <si>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</si>
  <si>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</si>
  <si>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</si>
  <si>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</si>
  <si>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</si>
  <si>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</si>
  <si>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</si>
  <si>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</si>
  <si>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</si>
  <si>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</si>
  <si>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</si>
  <si>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</si>
  <si>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</si>
  <si>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</si>
  <si>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</si>
  <si>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</si>
  <si>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</si>
  <si>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</si>
  <si>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</si>
  <si>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</si>
  <si>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</si>
  <si>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</si>
  <si>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</si>
  <si>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</si>
  <si>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</si>
  <si>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</si>
  <si>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</si>
  <si>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</si>
  <si>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</si>
  <si>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</si>
  <si>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</si>
  <si>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</si>
  <si>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</si>
  <si>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</si>
  <si>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</si>
  <si>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</si>
  <si>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</si>
  <si>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</si>
  <si>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</si>
  <si>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</si>
  <si>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</si>
  <si>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</si>
  <si>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</si>
  <si>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</si>
  <si>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</si>
  <si>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</si>
  <si>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</si>
  <si>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</si>
  <si>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</si>
  <si>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</si>
  <si>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</si>
  <si>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</si>
  <si>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</si>
  <si>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</si>
  <si>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</si>
  <si>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</si>
  <si>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</si>
  <si>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</si>
  <si>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</si>
  <si>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</si>
  <si>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</si>
  <si>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</si>
  <si>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</si>
  <si>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</si>
  <si>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</si>
  <si>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</si>
  <si>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</si>
  <si>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</si>
  <si>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</si>
  <si>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</si>
  <si>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</si>
  <si>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</si>
  <si>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</si>
  <si>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</si>
  <si>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</si>
  <si>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</si>
  <si>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</si>
  <si>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</si>
  <si>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</si>
  <si>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</si>
  <si>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</si>
  <si>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</si>
  <si>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</si>
  <si>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</si>
  <si>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</si>
  <si>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</si>
  <si>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</si>
  <si>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</si>
  <si>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</si>
  <si>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</si>
  <si>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</si>
  <si>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</si>
  <si>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</si>
  <si>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</si>
  <si>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</si>
  <si>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</si>
  <si>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</si>
  <si>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</si>
  <si>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</si>
  <si>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</si>
  <si>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</si>
  <si>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</si>
  <si>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</si>
  <si>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</si>
  <si>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</si>
  <si>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</si>
  <si>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</si>
  <si>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</si>
  <si>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</si>
  <si>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</si>
  <si>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</si>
  <si>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</si>
  <si>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</si>
  <si>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</si>
  <si>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</si>
  <si>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</si>
  <si>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</si>
  <si>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</si>
  <si>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</si>
  <si>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</si>
  <si>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</si>
  <si>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</si>
  <si>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</si>
  <si>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</si>
  <si>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</si>
  <si>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</si>
  <si>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</si>
  <si>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</si>
  <si>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</si>
  <si>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</si>
  <si>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</si>
  <si>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</si>
  <si>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</si>
  <si>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</si>
  <si>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</si>
  <si>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</si>
  <si>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</si>
  <si>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</si>
  <si>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</si>
  <si>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</si>
  <si>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</si>
  <si>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</si>
  <si>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</si>
  <si>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</si>
  <si>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</si>
  <si>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</si>
  <si>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</si>
  <si>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</si>
  <si>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</si>
  <si>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</si>
  <si>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</si>
  <si>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</si>
  <si>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</si>
  <si>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</si>
  <si>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</si>
  <si>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</si>
  <si>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</si>
  <si>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</si>
  <si>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</si>
  <si>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</si>
  <si>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</si>
  <si>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</si>
  <si>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</si>
  <si>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</si>
  <si>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</si>
  <si>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</si>
  <si>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</si>
  <si>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</si>
  <si>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</si>
  <si>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</si>
  <si>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</si>
  <si>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</si>
  <si>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</si>
  <si>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</si>
  <si>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</si>
  <si>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</si>
  <si>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</si>
  <si>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</si>
  <si>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</si>
  <si>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</si>
  <si>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</si>
  <si>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</si>
  <si>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</si>
  <si>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</si>
  <si>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</si>
  <si>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</si>
  <si>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</si>
  <si>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</si>
  <si>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</si>
  <si>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</si>
  <si>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</si>
  <si>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</si>
  <si>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</si>
  <si>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</si>
  <si>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</si>
  <si>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</si>
  <si>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</si>
  <si>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</si>
  <si>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</si>
  <si>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GMHUB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</si>
  <si>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</si>
  <si>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</si>
  <si>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</si>
  <si>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</si>
  <si>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</si>
  <si>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</si>
  <si>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</si>
  <si>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</si>
  <si>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</si>
  <si>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</si>
  <si>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</si>
  <si>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</si>
  <si>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</si>
  <si>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</si>
  <si>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</si>
  <si>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</si>
  <si>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</si>
  <si>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</si>
  <si>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</si>
  <si>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</si>
  <si>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</si>
  <si>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</si>
  <si>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</si>
  <si>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</si>
  <si>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</si>
  <si>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</si>
  <si>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</si>
  <si>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</si>
  <si>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</si>
  <si>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</si>
  <si>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</si>
  <si>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</si>
  <si>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</si>
  <si>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</si>
  <si>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</si>
  <si>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</si>
  <si>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</si>
  <si>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</si>
  <si>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</si>
  <si>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</si>
  <si>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</si>
  <si>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</si>
  <si>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</si>
  <si>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</si>
  <si>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</si>
  <si>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</si>
  <si>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</si>
  <si>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</si>
  <si>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</si>
  <si>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</si>
  <si>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</si>
  <si>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</si>
  <si>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</si>
  <si>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</si>
  <si>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</si>
  <si>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</si>
  <si>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</si>
  <si>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</si>
  <si>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</si>
  <si>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</si>
  <si>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</si>
  <si>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</si>
  <si>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</si>
  <si>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</si>
  <si>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</si>
  <si>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</si>
  <si>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</si>
  <si>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</si>
  <si>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</si>
  <si>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</si>
  <si>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</si>
  <si>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</si>
  <si>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</si>
  <si>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</si>
  <si>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</si>
  <si>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</si>
  <si>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</si>
  <si>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</si>
  <si>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</si>
  <si>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</si>
  <si>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</si>
  <si>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</si>
  <si>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</si>
  <si>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</si>
  <si>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</si>
  <si>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</si>
  <si>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</si>
  <si>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</si>
  <si>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</si>
  <si>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</si>
  <si>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</si>
  <si>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</si>
  <si>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</si>
  <si>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</si>
  <si>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</si>
  <si>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</si>
  <si>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</si>
  <si>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</si>
  <si>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</si>
  <si>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</si>
  <si>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</si>
  <si>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</si>
  <si>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</si>
  <si>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</si>
  <si>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</si>
  <si>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</si>
  <si>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</si>
  <si>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</si>
  <si>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</si>
  <si>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</si>
  <si>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</si>
  <si>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</si>
  <si>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</si>
  <si>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</si>
  <si>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</si>
  <si>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</si>
  <si>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</si>
  <si>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</si>
  <si>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</si>
  <si>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</si>
  <si>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</si>
  <si>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</si>
  <si>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</si>
  <si>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</si>
  <si>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</si>
  <si>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</si>
  <si>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</si>
  <si>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</si>
  <si>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</si>
  <si>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</si>
  <si>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</si>
  <si>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</si>
  <si>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</si>
  <si>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</si>
  <si>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</si>
  <si>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</si>
  <si>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</si>
  <si>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</si>
  <si>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</si>
  <si>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</si>
  <si>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</si>
  <si>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</si>
  <si>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</si>
  <si>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</si>
  <si>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</si>
  <si>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</si>
  <si>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</si>
  <si>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</si>
  <si>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</si>
  <si>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</si>
  <si>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</si>
  <si>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</si>
  <si>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</si>
  <si>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</si>
  <si>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</si>
  <si>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</si>
  <si>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</si>
  <si>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</si>
  <si>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</si>
  <si>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</si>
  <si>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</si>
  <si>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</si>
  <si>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</si>
  <si>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</si>
  <si>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</si>
  <si>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</si>
  <si>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</si>
  <si>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</si>
  <si>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</si>
  <si>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</si>
  <si>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</si>
  <si>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</si>
  <si>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</si>
  <si>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</si>
  <si>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</si>
  <si>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</si>
  <si>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</si>
  <si>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</si>
  <si>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</si>
  <si>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</si>
  <si>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</si>
  <si>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</si>
  <si>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</si>
  <si>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</si>
  <si>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</si>
  <si>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</si>
  <si>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</si>
  <si>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</si>
  <si>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</si>
  <si>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</si>
  <si>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</si>
  <si>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</si>
  <si>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</si>
  <si>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</si>
  <si>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</si>
  <si>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</si>
  <si>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</si>
  <si>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</si>
  <si>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</si>
  <si>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</si>
  <si>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</si>
  <si>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</si>
  <si>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</si>
  <si>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</si>
  <si>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</si>
  <si>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</si>
  <si>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</si>
  <si>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</si>
  <si>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</si>
  <si>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</si>
  <si>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</si>
  <si>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</si>
  <si>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</si>
  <si>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mhub030</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</si>
  <si>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</si>
  <si>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</si>
  <si>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</si>
  <si>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</si>
  <si>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</si>
  <si>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</si>
  <si>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</si>
  <si>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</si>
  <si>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</si>
  <si>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</si>
  <si>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</si>
  <si>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</si>
  <si>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</si>
  <si>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</si>
  <si>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</si>
  <si>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</si>
  <si>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</si>
  <si>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</si>
  <si>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</si>
  <si>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</si>
  <si>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</si>
  <si>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</si>
  <si>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</si>
  <si>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</si>
  <si>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</si>
  <si>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</si>
  <si>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</si>
  <si>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</si>
  <si>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</si>
  <si>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</si>
  <si>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</si>
  <si>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</si>
  <si>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</si>
  <si>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</si>
  <si>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</si>
  <si>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</si>
  <si>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</si>
  <si>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</si>
  <si>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</si>
  <si>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</si>
  <si>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</si>
  <si>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</si>
  <si>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</si>
  <si>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</si>
  <si>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</si>
  <si>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</si>
  <si>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</si>
  <si>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</si>
  <si>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</si>
  <si>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</si>
  <si>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</si>
  <si>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</si>
  <si>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</si>
  <si>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</si>
  <si>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</si>
  <si>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</si>
  <si>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</si>
  <si>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</si>
  <si>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</si>
  <si>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</si>
  <si>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</si>
  <si>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</si>
  <si>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</si>
  <si>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</si>
  <si>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</si>
  <si>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</si>
  <si>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</si>
  <si>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</si>
  <si>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</si>
  <si>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</si>
  <si>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</si>
  <si>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</si>
  <si>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</si>
  <si>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</si>
  <si>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</si>
  <si>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</si>
  <si>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</si>
  <si>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</si>
  <si>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</si>
  <si>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</si>
  <si>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</si>
  <si>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</si>
  <si>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</si>
  <si>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</si>
  <si>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</si>
  <si>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</si>
  <si>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</si>
  <si>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</si>
  <si>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</si>
  <si>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</si>
  <si>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</si>
  <si>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</si>
  <si>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</si>
  <si>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</si>
  <si>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</si>
  <si>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</si>
  <si>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</si>
  <si>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</si>
  <si>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</si>
  <si>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</si>
  <si>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</si>
  <si>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</si>
  <si>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</si>
  <si>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</si>
  <si>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</si>
  <si>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</si>
  <si>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</si>
  <si>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</si>
  <si>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</si>
  <si>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</si>
  <si>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</si>
  <si>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</si>
  <si>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</si>
  <si>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</si>
  <si>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</si>
  <si>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</si>
  <si>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</si>
  <si>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</si>
  <si>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</si>
  <si>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</si>
  <si>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</si>
  <si>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</si>
  <si>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</si>
  <si>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</si>
  <si>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</si>
  <si>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</si>
  <si>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</si>
  <si>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</si>
  <si>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</si>
  <si>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</si>
  <si>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</si>
  <si>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</si>
  <si>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</si>
  <si>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</si>
  <si>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</si>
  <si>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</si>
  <si>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</si>
  <si>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</si>
  <si>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</si>
  <si>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</si>
  <si>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</si>
  <si>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</si>
  <si>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</si>
  <si>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</si>
  <si>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</si>
  <si>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</si>
  <si>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</si>
  <si>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</si>
  <si>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</si>
  <si>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</si>
  <si>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</si>
  <si>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</si>
  <si>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</si>
  <si>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</si>
  <si>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</si>
  <si>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</si>
  <si>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</si>
  <si>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</si>
  <si>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</si>
  <si>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</si>
  <si>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</si>
  <si>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</si>
  <si>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</si>
  <si>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</si>
  <si>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</si>
  <si>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</si>
  <si>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</si>
  <si>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</si>
  <si>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</si>
  <si>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</si>
  <si>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</si>
  <si>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</si>
  <si>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</si>
  <si>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</si>
  <si>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</si>
  <si>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</si>
  <si>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</si>
  <si>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</si>
  <si>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</si>
  <si>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</si>
  <si>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</si>
  <si>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</si>
  <si>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</si>
  <si>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</si>
  <si>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</si>
  <si>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</si>
  <si>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</si>
  <si>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</si>
  <si>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</si>
  <si>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</si>
  <si>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</si>
  <si>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</si>
  <si>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</si>
  <si>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</si>
  <si>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</si>
  <si>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</si>
  <si>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</si>
  <si>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</si>
  <si>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</si>
  <si>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</si>
  <si>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</si>
  <si>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</si>
  <si>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</si>
  <si>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</si>
  <si>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</si>
  <si>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</si>
  <si>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</si>
  <si>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</si>
  <si>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</si>
  <si>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</si>
  <si>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</si>
  <si>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</si>
  <si>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</si>
  <si>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</si>
  <si>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</si>
  <si>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</si>
  <si>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</si>
  <si>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</si>
  <si>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</si>
  <si>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</si>
  <si>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</si>
  <si>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</si>
  <si>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</si>
  <si>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</si>
  <si>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</si>
  <si>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</si>
  <si>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</si>
  <si>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</si>
  <si>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</si>
  <si>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</si>
  <si>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</si>
  <si>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</si>
  <si>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</si>
  <si>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</si>
  <si>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</si>
  <si>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</si>
  <si>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</si>
  <si>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</si>
  <si>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</si>
  <si>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</si>
  <si>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</si>
  <si>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</si>
  <si>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</si>
  <si>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</si>
  <si>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</si>
  <si>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</si>
  <si>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</si>
  <si>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</si>
  <si>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</si>
  <si>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</si>
  <si>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</si>
  <si>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</si>
  <si>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</si>
  <si>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</si>
  <si>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</si>
  <si>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</si>
  <si>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</si>
  <si>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</si>
  <si>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</si>
  <si>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</si>
  <si>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</si>
  <si>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</si>
  <si>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</si>
  <si>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</si>
  <si>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</si>
  <si>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</si>
  <si>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</si>
  <si>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</si>
  <si>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</si>
  <si>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</si>
  <si>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</si>
  <si>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</si>
  <si>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</si>
  <si>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</si>
  <si>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</si>
  <si>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</si>
  <si>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</si>
  <si>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</si>
  <si>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</si>
  <si>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</si>
  <si>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</si>
  <si>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</si>
  <si>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</si>
  <si>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</si>
  <si>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</si>
  <si>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</si>
  <si>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</si>
  <si>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</si>
  <si>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</si>
  <si>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</si>
  <si>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</si>
  <si>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</si>
  <si>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</si>
  <si>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</si>
  <si>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</si>
  <si>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</si>
  <si>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</si>
  <si>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</si>
  <si>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</si>
  <si>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</si>
  <si>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</si>
  <si>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</si>
  <si>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</si>
  <si>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</si>
  <si>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</si>
  <si>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</si>
  <si>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</si>
  <si>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</si>
  <si>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</si>
  <si>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</si>
  <si>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</si>
  <si>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</si>
  <si>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</si>
  <si>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</si>
  <si>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</si>
  <si>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</si>
  <si>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</si>
  <si>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</si>
  <si>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</si>
  <si>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</si>
  <si>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</si>
  <si>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</si>
  <si>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</si>
  <si>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</si>
  <si>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</si>
  <si>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</si>
  <si>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</si>
  <si>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</si>
  <si>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</si>
  <si>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</si>
  <si>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</si>
  <si>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</si>
  <si>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</si>
  <si>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</si>
  <si>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</si>
  <si>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</si>
  <si>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</si>
  <si>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</si>
  <si>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</si>
  <si>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</si>
  <si>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</si>
  <si>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</si>
  <si>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</si>
  <si>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</si>
  <si>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</si>
  <si>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</si>
  <si>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</si>
  <si>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</si>
  <si>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</si>
  <si>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</si>
  <si>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</si>
  <si>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</si>
  <si>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</si>
  <si>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</si>
  <si>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</si>
  <si>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</si>
  <si>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</si>
  <si>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</si>
  <si>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</si>
  <si>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</si>
  <si>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</si>
  <si>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</si>
  <si>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</si>
  <si>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</si>
  <si>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</si>
  <si>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</si>
  <si>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</si>
  <si>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</si>
  <si>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</si>
  <si>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</si>
  <si>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</si>
  <si>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</si>
  <si>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</si>
  <si>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</si>
  <si>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</si>
  <si>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</si>
  <si>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</si>
  <si>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</si>
  <si>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</si>
  <si>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</si>
  <si>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</si>
  <si>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</si>
  <si>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</si>
  <si>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</si>
  <si>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</si>
  <si>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</si>
  <si>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</si>
  <si>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</si>
  <si>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</si>
  <si>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</si>
  <si>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</si>
  <si>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</si>
  <si>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</si>
  <si>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</si>
  <si>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</si>
  <si>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</si>
  <si>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</si>
  <si>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</si>
  <si>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</si>
  <si>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</si>
  <si>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</si>
  <si>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</si>
  <si>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</si>
  <si>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</si>
  <si>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</si>
  <si>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</si>
  <si>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</si>
  <si>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</si>
  <si>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</si>
  <si>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</si>
  <si>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</si>
  <si>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</si>
  <si>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</si>
  <si>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</si>
  <si>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</si>
  <si>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</si>
  <si>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</si>
  <si>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</si>
  <si>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</si>
  <si>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</si>
  <si>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</si>
  <si>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</si>
  <si>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</si>
  <si>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</si>
  <si>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</si>
  <si>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</si>
  <si>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</si>
  <si>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</si>
  <si>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</si>
  <si>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</si>
  <si>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</si>
  <si>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</si>
  <si>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</si>
  <si>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</si>
  <si>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</si>
  <si>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</si>
  <si>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</si>
  <si>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</si>
  <si>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</si>
  <si>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</si>
  <si>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</si>
  <si>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</si>
  <si>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</si>
  <si>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</si>
  <si>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</si>
  <si>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</si>
  <si>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</si>
  <si>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</si>
  <si>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</si>
  <si>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</si>
  <si>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</si>
  <si>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</si>
  <si>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</si>
  <si>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</si>
  <si>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</si>
  <si>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</si>
  <si>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</si>
  <si>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</si>
  <si>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</si>
  <si>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</si>
  <si>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</si>
  <si>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</si>
  <si>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</si>
  <si>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</si>
  <si>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</si>
  <si>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</si>
  <si>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</si>
  <si>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</si>
  <si>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</si>
  <si>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</si>
  <si>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</si>
  <si>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</si>
  <si>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</si>
  <si>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</si>
  <si>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</si>
  <si>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</si>
  <si>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</si>
  <si>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</si>
  <si>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</si>
  <si>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</si>
  <si>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</si>
  <si>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</si>
  <si>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</si>
  <si>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</si>
  <si>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</si>
  <si>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</si>
  <si>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</si>
  <si>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</si>
  <si>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</si>
  <si>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</si>
  <si>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</si>
  <si>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</si>
  <si>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</si>
  <si>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</si>
  <si>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</si>
  <si>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</si>
  <si>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</si>
  <si>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</si>
  <si>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</si>
  <si>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</si>
  <si>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</si>
  <si>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</si>
  <si>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</si>
  <si>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</si>
  <si>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</si>
  <si>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</si>
  <si>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</si>
  <si>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</si>
  <si>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</si>
  <si>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</si>
  <si>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</si>
  <si>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</si>
  <si>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</si>
  <si>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</si>
  <si>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</si>
  <si>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</si>
  <si>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</si>
  <si>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</si>
  <si>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</si>
  <si>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</si>
  <si>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</si>
  <si>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</si>
  <si>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</si>
  <si>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</si>
  <si>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</si>
  <si>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</si>
  <si>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</si>
  <si>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</si>
  <si>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</si>
  <si>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</si>
  <si>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</si>
  <si>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</si>
  <si>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</si>
  <si>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</si>
  <si>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</si>
  <si>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</si>
  <si>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</si>
  <si>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</si>
  <si>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</si>
  <si>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</si>
  <si>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</si>
  <si>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</si>
  <si>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</si>
  <si>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</si>
  <si>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</si>
  <si>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</si>
  <si>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</si>
  <si>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</si>
  <si>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</si>
  <si>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</si>
  <si>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</si>
  <si>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</si>
  <si>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</si>
  <si>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</si>
  <si>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</si>
  <si>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</si>
  <si>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</si>
  <si>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</si>
  <si>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</si>
  <si>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</si>
  <si>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</si>
  <si>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</si>
  <si>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</si>
  <si>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</si>
  <si>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</si>
  <si>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</si>
  <si>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</si>
  <si>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</si>
  <si>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</si>
  <si>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</si>
  <si>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</si>
  <si>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</si>
  <si>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</si>
  <si>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</si>
  <si>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</si>
  <si>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</si>
  <si>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</si>
  <si>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</si>
  <si>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</si>
  <si>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</si>
  <si>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</si>
  <si>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</si>
  <si>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</si>
  <si>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</si>
  <si>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</si>
  <si>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</si>
  <si>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</si>
  <si>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</si>
  <si>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</si>
  <si>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</si>
  <si>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</si>
  <si>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</si>
  <si>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</si>
  <si>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</si>
  <si>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</si>
  <si>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</si>
  <si>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</si>
  <si>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</si>
  <si>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</si>
  <si>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</si>
  <si>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</si>
  <si>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</si>
  <si>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</si>
  <si>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</si>
  <si>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</si>
  <si>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</si>
  <si>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</si>
  <si>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</si>
  <si>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</si>
  <si>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</si>
  <si>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</si>
  <si>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</si>
  <si>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</si>
  <si>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</si>
  <si>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</si>
  <si>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</si>
  <si>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</si>
  <si>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</si>
  <si>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</si>
  <si>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</si>
  <si>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</si>
  <si>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</si>
  <si>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</si>
  <si>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</si>
  <si>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</si>
  <si>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</si>
  <si>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</si>
  <si>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</si>
  <si>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</si>
  <si>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</si>
  <si>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</si>
  <si>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</si>
  <si>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</si>
  <si>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</si>
  <si>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</si>
  <si>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</si>
  <si>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</si>
  <si>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</si>
  <si>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</si>
  <si>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</si>
  <si>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</si>
  <si>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</si>
  <si>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</si>
  <si>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</si>
  <si>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</si>
  <si>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</si>
  <si>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</si>
  <si>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</si>
  <si>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</si>
  <si>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</si>
  <si>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</si>
  <si>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</si>
  <si>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</si>
  <si>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</si>
  <si>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</si>
  <si>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</si>
  <si>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</si>
  <si>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</si>
  <si>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</si>
  <si>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</si>
  <si>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</si>
  <si>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</si>
  <si>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</si>
  <si>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</si>
  <si>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</si>
  <si>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</si>
  <si>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</si>
  <si>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</si>
  <si>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</si>
  <si>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</si>
  <si>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</si>
  <si>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</si>
  <si>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</si>
  <si>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</si>
  <si>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</si>
  <si>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</si>
  <si>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</si>
  <si>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</si>
  <si>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</si>
  <si>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</si>
  <si>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</si>
  <si>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</si>
  <si>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</si>
  <si>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</si>
  <si>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</si>
  <si>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</si>
  <si>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</si>
  <si>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</si>
  <si>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</si>
  <si>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</si>
  <si>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</si>
  <si>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</si>
  <si>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</si>
  <si>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</si>
  <si>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</si>
  <si>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</si>
  <si>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</si>
  <si>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</si>
  <si>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</si>
  <si>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</si>
  <si>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</si>
  <si>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</si>
  <si>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</si>
  <si>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</si>
  <si>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</si>
  <si>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</si>
  <si>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</si>
  <si>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</si>
  <si>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</si>
  <si>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</si>
  <si>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</si>
  <si>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</si>
  <si>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</si>
  <si>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</si>
  <si>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</si>
  <si>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</si>
  <si>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</si>
  <si>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</si>
  <si>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</si>
  <si>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</si>
  <si>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</si>
  <si>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</si>
  <si>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</si>
  <si>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</si>
  <si>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</si>
  <si>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</si>
  <si>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</si>
  <si>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</si>
  <si>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</si>
  <si>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</si>
  <si>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</si>
  <si>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</si>
  <si>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</si>
  <si>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</si>
  <si>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</si>
  <si>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</si>
  <si>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</si>
  <si>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</si>
  <si>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</si>
  <si>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</si>
  <si>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</si>
  <si>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</si>
  <si>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</si>
  <si>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</si>
  <si>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</si>
  <si>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</si>
  <si>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</si>
  <si>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</si>
  <si>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</si>
  <si>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</si>
  <si>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</si>
  <si>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</si>
  <si>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</si>
  <si>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</si>
  <si>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</si>
  <si>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</si>
  <si>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</si>
  <si>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</si>
  <si>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</si>
  <si>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</si>
  <si>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</si>
  <si>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</si>
  <si>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</si>
  <si>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</si>
  <si>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</si>
  <si>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</si>
  <si>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</si>
  <si>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</si>
  <si>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</si>
  <si>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</si>
  <si>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</si>
  <si>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</si>
  <si>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</si>
  <si>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</si>
  <si>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</si>
  <si>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</si>
  <si>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</si>
  <si>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</si>
  <si>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</si>
  <si>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</si>
  <si>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</si>
  <si>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</si>
  <si>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</si>
  <si>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</si>
  <si>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</si>
  <si>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</si>
  <si>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</si>
  <si>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</si>
  <si>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</si>
  <si>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</si>
  <si>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</si>
  <si>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</si>
  <si>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</si>
  <si>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</si>
  <si>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</si>
  <si>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</si>
  <si>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</si>
  <si>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</si>
  <si>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</si>
  <si>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</si>
  <si>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</si>
  <si>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</si>
  <si>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</si>
  <si>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</si>
  <si>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</si>
  <si>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</si>
  <si>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</si>
  <si>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</si>
  <si>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</si>
  <si>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</si>
  <si>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</si>
  <si>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</si>
  <si>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</si>
  <si>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</si>
  <si>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</si>
  <si>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</si>
  <si>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</si>
  <si>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</si>
  <si>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</si>
  <si>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</si>
  <si>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</si>
  <si>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</si>
  <si>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</si>
  <si>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</si>
  <si>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</si>
  <si>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</si>
  <si>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</si>
  <si>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</si>
  <si>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</si>
  <si>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</si>
  <si>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</si>
  <si>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</si>
  <si>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</si>
  <si>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</si>
  <si>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</si>
  <si>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</si>
  <si>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</si>
  <si>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</si>
  <si>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</si>
  <si>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</si>
  <si>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</si>
  <si>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</si>
  <si>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</si>
  <si>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</si>
  <si>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</si>
  <si>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</si>
  <si>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</si>
  <si>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</si>
  <si>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</si>
  <si>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</si>
  <si>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</si>
  <si>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</si>
  <si>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</si>
  <si>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</si>
  <si>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</si>
  <si>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</si>
  <si>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</si>
  <si>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</si>
  <si>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</si>
  <si>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</si>
  <si>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</si>
  <si>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</si>
  <si>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</si>
  <si>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</si>
  <si>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</si>
  <si>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</si>
  <si>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</si>
  <si>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</si>
  <si>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</si>
  <si>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</si>
  <si>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</si>
  <si>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</si>
  <si>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</si>
  <si>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</si>
  <si>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</si>
  <si>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</si>
  <si>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</si>
  <si>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</si>
  <si>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</si>
  <si>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</si>
  <si>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</si>
  <si>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</si>
  <si>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</si>
  <si>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</si>
  <si>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</si>
  <si>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</si>
  <si>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</si>
  <si>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</si>
  <si>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</si>
  <si>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</si>
  <si>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</si>
  <si>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</si>
  <si>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</si>
  <si>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</si>
  <si>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</si>
  <si>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</si>
  <si>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</si>
  <si>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</si>
  <si>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</si>
  <si>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</si>
  <si>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</si>
  <si>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</si>
  <si>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</si>
  <si>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</si>
  <si>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</si>
  <si>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</si>
  <si>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</si>
  <si>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</si>
  <si>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</si>
  <si>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</si>
  <si>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</si>
  <si>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</si>
  <si>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</si>
  <si>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</si>
  <si>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</si>
  <si>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</si>
  <si>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</si>
  <si>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</si>
  <si>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</si>
  <si>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</si>
  <si>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</si>
  <si>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</si>
  <si>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</si>
  <si>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</si>
  <si>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</si>
  <si>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</si>
  <si>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</si>
  <si>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</si>
  <si>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</si>
  <si>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</si>
  <si>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</si>
  <si>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</si>
  <si>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</si>
  <si>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</si>
  <si>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</si>
  <si>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</si>
  <si>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</si>
  <si>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</si>
  <si>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</si>
  <si>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</si>
  <si>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</si>
  <si>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</si>
  <si>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</si>
  <si>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</si>
  <si>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</si>
  <si>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</si>
  <si>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</si>
  <si>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</si>
  <si>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</si>
  <si>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</si>
  <si>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</si>
  <si>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</si>
  <si>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</si>
  <si>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</si>
  <si>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</si>
  <si>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</si>
  <si>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</si>
  <si>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</si>
  <si>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</si>
  <si>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</si>
  <si>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</si>
  <si>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</si>
  <si>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</si>
  <si>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</si>
  <si>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</si>
  <si>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</si>
  <si>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</si>
  <si>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</si>
  <si>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</si>
  <si>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</si>
  <si>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</si>
  <si>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</si>
  <si>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</si>
  <si>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</si>
  <si>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</si>
  <si>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</si>
  <si>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</si>
  <si>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</si>
  <si>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</si>
  <si>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</si>
  <si>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</si>
  <si>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</si>
  <si>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</si>
  <si>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</si>
  <si>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</si>
  <si>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</si>
  <si>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</si>
  <si>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</si>
  <si>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</si>
  <si>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</si>
  <si>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</si>
  <si>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</si>
  <si>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</si>
  <si>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</si>
  <si>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</si>
  <si>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</si>
  <si>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</si>
  <si>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</si>
  <si>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</si>
  <si>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</si>
  <si>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</si>
  <si>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</si>
  <si>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</si>
  <si>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</si>
  <si>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</si>
  <si>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</si>
  <si>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</si>
  <si>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</si>
  <si>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</si>
  <si>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</si>
  <si>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</si>
  <si>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</si>
  <si>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</si>
  <si>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</si>
  <si>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</si>
  <si>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</si>
  <si>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</si>
  <si>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</si>
  <si>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</si>
  <si>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</si>
  <si>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</si>
  <si>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</si>
  <si>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</si>
  <si>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</si>
  <si>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</si>
  <si>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</si>
  <si>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</si>
  <si>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</si>
  <si>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</si>
  <si>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</si>
  <si>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</si>
  <si>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</si>
  <si>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</si>
  <si>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</si>
  <si>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</si>
  <si>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</si>
  <si>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</si>
  <si>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</si>
  <si>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</si>
  <si>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</si>
  <si>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</si>
  <si>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</si>
  <si>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</si>
  <si>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</si>
  <si>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</si>
  <si>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</si>
  <si>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</si>
  <si>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</si>
  <si>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</si>
  <si>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</si>
  <si>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</si>
  <si>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</si>
  <si>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</si>
  <si>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</si>
  <si>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</si>
  <si>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</si>
  <si>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</si>
  <si>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</si>
  <si>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</si>
  <si>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</si>
  <si>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</si>
  <si>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</si>
  <si>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</si>
  <si>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</si>
  <si>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</si>
  <si>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</si>
  <si>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</si>
  <si>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</si>
  <si>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</si>
  <si>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</si>
  <si>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</si>
  <si>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</si>
  <si>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</si>
  <si>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</si>
  <si>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</si>
  <si>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</si>
  <si>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</si>
  <si>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</si>
  <si>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</si>
  <si>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</si>
  <si>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</si>
  <si>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</si>
  <si>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</si>
  <si>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</si>
  <si>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</si>
  <si>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</si>
  <si>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</si>
  <si>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</si>
  <si>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</si>
  <si>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</si>
  <si>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</si>
  <si>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</si>
  <si>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</si>
  <si>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</si>
  <si>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</si>
  <si>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</si>
  <si>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</si>
  <si>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</si>
  <si>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</si>
  <si>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</si>
  <si>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</si>
  <si>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</si>
  <si>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</si>
  <si>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</si>
  <si>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</si>
  <si>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</si>
  <si>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</si>
  <si>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</si>
  <si>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</si>
  <si>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</si>
  <si>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</si>
  <si>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</si>
  <si>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</si>
  <si>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</si>
  <si>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</si>
  <si>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</si>
  <si>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</si>
  <si>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</si>
  <si>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</si>
  <si>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</si>
  <si>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</si>
  <si>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</si>
  <si>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</si>
  <si>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</si>
  <si>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</si>
  <si>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</si>
  <si>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</si>
  <si>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</si>
  <si>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</si>
  <si>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</si>
  <si>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</si>
  <si>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</si>
  <si>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</si>
  <si>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</si>
  <si>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</si>
  <si>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</si>
  <si>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</si>
  <si>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</si>
  <si>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</si>
  <si>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</si>
  <si>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</si>
  <si>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</si>
  <si>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</si>
  <si>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</si>
  <si>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</si>
  <si>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</si>
  <si>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</si>
  <si>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</si>
  <si>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</si>
  <si>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</si>
  <si>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</si>
  <si>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</si>
  <si>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</si>
  <si>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</si>
  <si>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</si>
  <si>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</si>
  <si>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</si>
  <si>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</si>
  <si>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</si>
  <si>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</si>
  <si>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</si>
  <si>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</si>
  <si>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</si>
  <si>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</si>
  <si>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</si>
  <si>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</si>
  <si>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</si>
  <si>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</si>
  <si>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</si>
  <si>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</si>
  <si>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</si>
  <si>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</si>
  <si>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</si>
  <si>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</si>
  <si>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</si>
  <si>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</si>
  <si>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</si>
  <si>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</si>
  <si>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</si>
  <si>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</si>
  <si>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</si>
  <si>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</si>
  <si>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</si>
  <si>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</si>
  <si>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</si>
  <si>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</si>
  <si>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</si>
  <si>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</si>
  <si>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</si>
  <si>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</si>
  <si>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</si>
  <si>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</si>
  <si>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</si>
  <si>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</si>
  <si>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</si>
  <si>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</si>
  <si>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</si>
  <si>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</si>
  <si>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</si>
  <si>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</si>
  <si>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</si>
  <si>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</si>
  <si>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</si>
  <si>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</si>
  <si>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</si>
  <si>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</si>
  <si>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</si>
  <si>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</si>
  <si>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</si>
  <si>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</si>
  <si>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</si>
  <si>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</si>
  <si>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</si>
  <si>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</si>
  <si>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</si>
  <si>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</si>
  <si>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</si>
  <si>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</si>
  <si>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</si>
  <si>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</si>
  <si>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</si>
  <si>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</si>
  <si>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</si>
  <si>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</si>
  <si>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</si>
  <si>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</si>
  <si>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</si>
  <si>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</si>
  <si>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</si>
  <si>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</si>
  <si>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</si>
  <si>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</si>
  <si>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</si>
  <si>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</si>
  <si>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</si>
  <si>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</si>
  <si>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</si>
  <si>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</si>
  <si>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</si>
  <si>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</si>
  <si>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</si>
  <si>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</si>
  <si>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</si>
  <si>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</si>
  <si>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</si>
  <si>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</si>
  <si>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</si>
  <si>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</si>
  <si>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</si>
  <si>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</si>
  <si>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</si>
  <si>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</si>
  <si>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</si>
  <si>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</si>
  <si>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</si>
  <si>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</si>
  <si>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</si>
  <si>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</si>
  <si>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</si>
  <si>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</si>
  <si>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</si>
  <si>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</si>
  <si>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</si>
  <si>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</si>
  <si>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</si>
  <si>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</si>
  <si>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</si>
  <si>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</si>
  <si>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</si>
  <si>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</si>
  <si>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</si>
  <si>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</si>
  <si>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</si>
  <si>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</si>
  <si>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</si>
  <si>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</si>
  <si>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</si>
  <si>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</si>
  <si>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</si>
  <si>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</si>
  <si>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</si>
  <si>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</si>
  <si>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</si>
  <si>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</si>
  <si>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</si>
  <si>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</si>
  <si>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</si>
  <si>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</si>
  <si>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</si>
  <si>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</si>
  <si>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</si>
  <si>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</si>
  <si>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</si>
  <si>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</si>
  <si>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</si>
  <si>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</si>
  <si>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</si>
  <si>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</si>
  <si>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</si>
  <si>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</si>
  <si>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</si>
  <si>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</si>
  <si>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</si>
  <si>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</si>
  <si>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</si>
  <si>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</si>
  <si>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</si>
  <si>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</si>
  <si>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</si>
  <si>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</si>
  <si>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</si>
  <si>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</si>
  <si>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</si>
  <si>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</si>
  <si>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</si>
  <si>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</si>
  <si>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</si>
  <si>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</si>
  <si>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</si>
  <si>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</si>
  <si>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</si>
  <si>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</si>
  <si>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</si>
  <si>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</si>
  <si>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</si>
  <si>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</si>
  <si>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</si>
  <si>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</si>
  <si>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</si>
  <si>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</si>
  <si>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</si>
  <si>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</si>
  <si>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</si>
  <si>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</si>
  <si>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</si>
  <si>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</si>
  <si>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</si>
  <si>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</si>
  <si>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</si>
  <si>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</si>
  <si>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</si>
  <si>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</si>
  <si>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</si>
  <si>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</si>
  <si>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</si>
  <si>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</si>
  <si>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</si>
  <si>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</si>
  <si>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</si>
  <si>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</si>
  <si>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</si>
  <si>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</si>
  <si>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</si>
  <si>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</si>
  <si>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</si>
  <si>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</si>
  <si>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</si>
  <si>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</si>
  <si>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</si>
  <si>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</si>
  <si>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</si>
  <si>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</si>
  <si>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</si>
  <si>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</si>
  <si>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</si>
  <si>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</si>
  <si>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</si>
  <si>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</si>
  <si>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</si>
  <si>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</si>
  <si>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</si>
  <si>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</si>
  <si>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</si>
  <si>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</si>
  <si>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</si>
  <si>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</si>
  <si>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</si>
  <si>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</si>
  <si>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</si>
  <si>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</si>
  <si>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</si>
  <si>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</si>
  <si>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</si>
  <si>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</si>
  <si>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</si>
  <si>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</si>
  <si>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</si>
  <si>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</si>
  <si>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</si>
  <si>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</si>
  <si>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</si>
  <si>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</si>
  <si>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</si>
  <si>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</si>
  <si>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</si>
  <si>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</si>
  <si>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</si>
  <si>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</si>
  <si>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</si>
  <si>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</si>
  <si>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</si>
  <si>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</si>
  <si>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</si>
  <si>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</si>
  <si>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</si>
  <si>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</si>
  <si>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</si>
  <si>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</si>
  <si>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</si>
  <si>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</si>
  <si>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</si>
  <si>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</si>
  <si>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</si>
  <si>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</si>
  <si>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</si>
  <si>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</si>
  <si>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</si>
  <si>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</si>
  <si>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</si>
  <si>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</si>
  <si>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</si>
  <si>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</si>
  <si>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</si>
  <si>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</si>
  <si>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</si>
  <si>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</si>
  <si>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</si>
  <si>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</si>
  <si>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</si>
  <si>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</si>
  <si>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</si>
  <si>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</si>
  <si>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</si>
  <si>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</si>
  <si>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</si>
  <si>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</si>
  <si>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</si>
  <si>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</si>
  <si>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</si>
  <si>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</si>
  <si>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</si>
  <si>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</si>
  <si>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</si>
  <si>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</si>
  <si>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</si>
  <si>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</si>
  <si>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</si>
  <si>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</si>
  <si>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</si>
  <si>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</si>
  <si>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</si>
  <si>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</si>
  <si>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</si>
  <si>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</si>
  <si>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</si>
  <si>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</si>
  <si>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</si>
  <si>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</si>
  <si>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</si>
  <si>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</si>
  <si>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</si>
  <si>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</si>
  <si>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</si>
  <si>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</si>
  <si>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</si>
  <si>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</si>
  <si>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</si>
  <si>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</si>
  <si>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</si>
  <si>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</si>
  <si>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</si>
  <si>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</si>
  <si>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</si>
  <si>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</si>
  <si>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</si>
  <si>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</si>
  <si>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</si>
  <si>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</si>
  <si>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</si>
  <si>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</si>
  <si>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</si>
  <si>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</si>
  <si>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</si>
  <si>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</si>
  <si>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</si>
  <si>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</si>
  <si>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</si>
  <si>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</si>
  <si>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</si>
  <si>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</si>
  <si>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</si>
  <si>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</si>
  <si>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</si>
  <si>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</si>
  <si>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</si>
  <si>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</si>
  <si>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</si>
  <si>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</si>
  <si>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</si>
  <si>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</si>
  <si>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</si>
  <si>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</si>
  <si>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</si>
  <si>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</si>
  <si>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</si>
  <si>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</si>
  <si>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</si>
  <si>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</si>
  <si>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</si>
  <si>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</si>
  <si>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</si>
  <si>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</si>
  <si>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</si>
  <si>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TNG+J915:Z915</t>
  </si>
  <si>
    <t>mhub408.1-2</t>
  </si>
  <si>
    <t>Producer: CPU, Consumer: CPDMA</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</si>
  <si>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</si>
  <si>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</si>
  <si>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</si>
  <si>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</si>
  <si>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</si>
  <si>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</si>
  <si>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</si>
  <si>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</si>
  <si>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</si>
  <si>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</si>
  <si>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</si>
  <si>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</si>
  <si>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</si>
  <si>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</si>
  <si>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</si>
  <si>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</si>
  <si>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</si>
  <si>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</si>
  <si>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</si>
  <si>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</si>
  <si>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</si>
  <si>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</si>
  <si>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</si>
  <si>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</si>
  <si>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</si>
  <si>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</si>
  <si>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</si>
  <si>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</si>
  <si>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</si>
  <si>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</si>
  <si>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</si>
  <si>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</si>
  <si>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</si>
  <si>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</si>
  <si>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</si>
  <si>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</si>
  <si>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</si>
  <si>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</si>
  <si>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</si>
  <si>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</si>
  <si>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</si>
  <si>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</si>
  <si>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</si>
  <si>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</si>
  <si>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</si>
  <si>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</si>
  <si>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</si>
  <si>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</si>
  <si>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</si>
  <si>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</si>
  <si>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</si>
  <si>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</si>
  <si>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</si>
  <si>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</si>
  <si>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</si>
  <si>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</si>
  <si>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</si>
  <si>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</si>
  <si>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</si>
  <si>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</si>
  <si>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</si>
  <si>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</si>
  <si>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</si>
  <si>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</si>
  <si>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</si>
  <si>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</si>
  <si>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</si>
  <si>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</si>
  <si>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</si>
  <si>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</si>
  <si>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</si>
  <si>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</si>
  <si>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</si>
  <si>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</si>
  <si>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</si>
  <si>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</si>
  <si>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</si>
  <si>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</si>
  <si>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</si>
  <si>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</si>
  <si>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</si>
  <si>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</si>
  <si>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</si>
  <si>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</si>
  <si>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</si>
  <si>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</si>
  <si>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</si>
  <si>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</si>
  <si>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</si>
  <si>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</si>
  <si>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</si>
  <si>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</si>
  <si>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</si>
  <si>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</si>
  <si>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</si>
  <si>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</si>
  <si>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</si>
  <si>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</si>
  <si>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</si>
  <si>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</si>
  <si>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</si>
  <si>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</si>
  <si>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</si>
  <si>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</si>
  <si>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</si>
  <si>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</si>
  <si>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</si>
  <si>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</si>
  <si>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</si>
  <si>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</si>
  <si>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</si>
  <si>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</si>
  <si>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</si>
  <si>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</si>
  <si>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</si>
  <si>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</si>
  <si>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</si>
  <si>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</si>
  <si>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</si>
  <si>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</si>
  <si>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</si>
  <si>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</si>
  <si>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</si>
  <si>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</si>
  <si>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</si>
  <si>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</si>
  <si>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</si>
  <si>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</si>
  <si>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</si>
  <si>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</si>
  <si>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</si>
  <si>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</si>
  <si>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</si>
  <si>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</si>
  <si>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</si>
  <si>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</si>
  <si>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</si>
  <si>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</si>
  <si>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</si>
  <si>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</si>
  <si>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</si>
  <si>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</si>
  <si>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</si>
  <si>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</si>
  <si>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</si>
  <si>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</si>
  <si>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</si>
  <si>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</si>
  <si>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</si>
  <si>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</si>
  <si>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</si>
  <si>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</si>
  <si>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</si>
  <si>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</si>
  <si>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</si>
  <si>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</si>
  <si>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</si>
  <si>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</si>
  <si>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</si>
  <si>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</si>
  <si>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</si>
  <si>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</si>
  <si>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</si>
  <si>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</si>
  <si>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</si>
  <si>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</si>
  <si>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</si>
  <si>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</si>
  <si>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</si>
  <si>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</si>
  <si>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</si>
  <si>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</si>
  <si>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</si>
  <si>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</si>
  <si>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</si>
  <si>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</si>
  <si>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</si>
  <si>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</si>
  <si>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</si>
  <si>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</si>
  <si>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</si>
  <si>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</si>
  <si>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</si>
  <si>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</si>
  <si>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</si>
  <si>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</si>
  <si>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</si>
  <si>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</si>
  <si>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</si>
  <si>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</si>
  <si>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</si>
  <si>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</si>
  <si>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</si>
  <si>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</si>
  <si>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</si>
  <si>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</si>
  <si>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</si>
  <si>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</si>
  <si>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</si>
  <si>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</si>
  <si>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</si>
  <si>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</si>
  <si>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</si>
  <si>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</si>
  <si>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</si>
  <si>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</si>
  <si>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</si>
  <si>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</si>
  <si>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</si>
  <si>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</si>
  <si>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</si>
  <si>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</si>
  <si>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</si>
  <si>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</si>
  <si>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</si>
  <si>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</si>
  <si>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</si>
  <si>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</si>
  <si>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</si>
  <si>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</si>
  <si>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</si>
  <si>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</si>
  <si>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</si>
  <si>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</si>
  <si>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</si>
  <si>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</si>
  <si>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</si>
  <si>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</si>
  <si>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</si>
  <si>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</si>
  <si>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</si>
  <si>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</si>
  <si>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</si>
  <si>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</si>
  <si>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</si>
  <si>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</si>
  <si>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</si>
  <si>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</si>
  <si>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</si>
  <si>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</si>
  <si>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</si>
  <si>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</si>
  <si>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</si>
  <si>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</si>
  <si>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</si>
  <si>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</si>
  <si>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</si>
  <si>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</si>
  <si>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</si>
  <si>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</si>
  <si>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</si>
  <si>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</si>
  <si>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</si>
  <si>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</si>
  <si>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</si>
  <si>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</si>
  <si>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</si>
  <si>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</si>
  <si>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</si>
  <si>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</si>
  <si>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</si>
  <si>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GFXHUB</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</si>
  <si>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</si>
  <si>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</si>
  <si>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</si>
  <si>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</si>
  <si>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</si>
  <si>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</si>
  <si>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</si>
  <si>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</si>
  <si>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</si>
  <si>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</si>
  <si>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</si>
  <si>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</si>
  <si>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</si>
  <si>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</si>
  <si>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</si>
  <si>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</si>
  <si>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</si>
  <si>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</si>
  <si>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</si>
  <si>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</si>
  <si>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</si>
  <si>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</si>
  <si>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</si>
  <si>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</si>
  <si>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</si>
  <si>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</si>
  <si>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</si>
  <si>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</si>
  <si>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</si>
  <si>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</si>
  <si>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</si>
  <si>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</si>
  <si>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</si>
  <si>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</si>
  <si>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</si>
  <si>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</si>
  <si>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</si>
  <si>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</si>
  <si>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</si>
  <si>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</si>
  <si>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</si>
  <si>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</si>
  <si>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</si>
  <si>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</si>
  <si>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</si>
  <si>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</si>
  <si>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</si>
  <si>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</si>
  <si>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</si>
  <si>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</si>
  <si>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</si>
  <si>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</si>
  <si>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</si>
  <si>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</si>
  <si>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</si>
  <si>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</si>
  <si>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</si>
  <si>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</si>
  <si>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</si>
  <si>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</si>
  <si>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</si>
  <si>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</si>
  <si>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</si>
  <si>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</si>
  <si>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</si>
  <si>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</si>
  <si>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</si>
  <si>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</si>
  <si>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</si>
  <si>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</si>
  <si>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</si>
  <si>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</si>
  <si>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</si>
  <si>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</si>
  <si>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</si>
  <si>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</si>
  <si>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</si>
  <si>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</si>
  <si>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</si>
  <si>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</si>
  <si>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</si>
  <si>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</si>
  <si>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</si>
  <si>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</si>
  <si>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</si>
  <si>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</si>
  <si>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</si>
  <si>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</si>
  <si>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</si>
  <si>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</si>
  <si>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</si>
  <si>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</si>
  <si>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</si>
  <si>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</si>
  <si>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</si>
  <si>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</si>
  <si>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</si>
  <si>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</si>
  <si>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</si>
  <si>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</si>
  <si>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</si>
  <si>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</si>
  <si>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</si>
  <si>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</si>
  <si>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</si>
  <si>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</si>
  <si>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</si>
  <si>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</si>
  <si>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</si>
  <si>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</si>
  <si>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</si>
  <si>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</si>
  <si>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</si>
  <si>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</si>
  <si>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</si>
  <si>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</si>
  <si>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</si>
  <si>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</si>
  <si>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</si>
  <si>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</si>
  <si>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</si>
  <si>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</si>
  <si>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</si>
  <si>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</si>
  <si>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</si>
  <si>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</si>
  <si>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</si>
  <si>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</si>
  <si>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</si>
  <si>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</si>
  <si>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</si>
  <si>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</si>
  <si>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</si>
  <si>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</si>
  <si>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</si>
  <si>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</si>
  <si>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</si>
  <si>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</si>
  <si>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</si>
  <si>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</si>
  <si>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</si>
  <si>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</si>
  <si>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</si>
  <si>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</si>
  <si>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</si>
  <si>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</si>
  <si>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</si>
  <si>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</si>
  <si>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</si>
  <si>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</si>
  <si>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</si>
  <si>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</si>
  <si>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</si>
  <si>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</si>
  <si>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</si>
  <si>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</si>
  <si>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</si>
  <si>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</si>
  <si>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</si>
  <si>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</si>
  <si>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</si>
  <si>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</si>
  <si>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</si>
  <si>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</si>
  <si>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</si>
  <si>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</si>
  <si>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</si>
  <si>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</si>
  <si>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Find diag mapping if exists or remove from Feature Summary</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</si>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</sst>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worktor.amd.com/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134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28515625" defaultRowHeight="1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ht="30">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xr3:uid="{78B4E459-6924-5F8B-B7BA-2DD04133E49E}">
      <selection activeCell="E12" sqref="E12"/>
    </sheetView>
  </sheetViews>
  <sheetFormatPr defaultColWidth="8.42578125" defaultRowHeight="1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row r="8" spans="1:9">
      <c r="E8" s="79" t="s">
        <v>48</v>
      </c>
    </row>
    <row r="9" spans="1:9">
      <c r="E9" s="79" t="s">
        <v>49</v>
      </c>
    </row>
    <row r="10" spans="1:9">
      <c r="E10" s="79" t="s">
        <v>50</v>
      </c>
    </row>
    <row r="11" spans="1:9">
      <c r="E11" s="79" t="s">
        <v>51</v>
      </c>
    </row>
    <row r="12" spans="1:9">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2"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c r="A1" s="115" t="s">
        <v>53</v>
      </c>
      <c r="B1" s="656" t="s">
        <v>54</v>
      </c>
      <c r="C1" s="657"/>
      <c r="D1" s="657"/>
      <c r="E1" s="156" t="s">
        <v>55</v>
      </c>
      <c r="F1" s="156" t="s">
        <v>56</v>
      </c>
      <c r="G1" s="110" t="s">
        <v>57</v>
      </c>
    </row>
    <row r="2" spans="1:7">
      <c r="A2" s="116" t="s">
        <v>58</v>
      </c>
      <c r="B2" s="658" t="s">
        <v>59</v>
      </c>
      <c r="C2" s="659"/>
      <c r="D2" s="659"/>
      <c r="E2" s="234" t="s">
        <v>60</v>
      </c>
      <c r="F2" s="234" t="s">
        <v>61</v>
      </c>
      <c r="G2" s="265" t="s">
        <v>62</v>
      </c>
    </row>
    <row r="3" spans="1:7" s="81" customFormat="1">
      <c r="A3" s="184" t="s">
        <v>63</v>
      </c>
      <c r="B3" s="665" t="s">
        <v>64</v>
      </c>
      <c r="C3" s="666"/>
      <c r="D3" s="667"/>
      <c r="E3" s="80" t="s">
        <v>60</v>
      </c>
      <c r="F3" s="80" t="s">
        <v>61</v>
      </c>
      <c r="G3" s="266" t="s">
        <v>62</v>
      </c>
    </row>
    <row r="4" spans="1:7">
      <c r="A4" s="184" t="s">
        <v>65</v>
      </c>
      <c r="B4" s="662" t="s">
        <v>66</v>
      </c>
      <c r="C4" s="663"/>
      <c r="D4" s="664"/>
      <c r="E4" s="80" t="s">
        <v>67</v>
      </c>
      <c r="F4" s="80" t="s">
        <v>61</v>
      </c>
      <c r="G4" s="266" t="s">
        <v>62</v>
      </c>
    </row>
    <row r="5" spans="1:7">
      <c r="A5" s="117" t="s">
        <v>68</v>
      </c>
      <c r="B5" s="662" t="s">
        <v>69</v>
      </c>
      <c r="C5" s="663"/>
      <c r="D5" s="664"/>
      <c r="E5" s="80" t="s">
        <v>67</v>
      </c>
      <c r="F5" s="80" t="s">
        <v>61</v>
      </c>
      <c r="G5" s="266" t="s">
        <v>62</v>
      </c>
    </row>
    <row r="6" spans="1:7">
      <c r="A6" s="117" t="s">
        <v>70</v>
      </c>
      <c r="B6" s="662" t="s">
        <v>71</v>
      </c>
      <c r="C6" s="663"/>
      <c r="D6" s="664"/>
      <c r="E6" s="80" t="s">
        <v>72</v>
      </c>
      <c r="F6" s="80" t="s">
        <v>61</v>
      </c>
      <c r="G6" s="85"/>
    </row>
    <row r="7" spans="1:7" ht="15.75" thickBot="1">
      <c r="A7" s="118" t="s">
        <v>73</v>
      </c>
      <c r="B7" s="660" t="s">
        <v>74</v>
      </c>
      <c r="C7" s="661"/>
      <c r="D7" s="661"/>
      <c r="E7" s="86" t="s">
        <v>72</v>
      </c>
      <c r="F7" s="86"/>
      <c r="G7" s="87"/>
    </row>
    <row r="8" spans="1:7" s="84" customFormat="1" ht="15.75" thickBot="1">
      <c r="A8" s="115" t="s">
        <v>53</v>
      </c>
      <c r="B8" s="336" t="s">
        <v>1</v>
      </c>
      <c r="C8" s="156" t="s">
        <v>75</v>
      </c>
      <c r="D8" s="156" t="s">
        <v>54</v>
      </c>
      <c r="E8" s="156" t="s">
        <v>55</v>
      </c>
      <c r="F8" s="156" t="s">
        <v>56</v>
      </c>
      <c r="G8" s="110" t="s">
        <v>57</v>
      </c>
    </row>
    <row r="9" spans="1:7" ht="105">
      <c r="A9" s="633" t="s">
        <v>58</v>
      </c>
      <c r="B9" s="630" t="s">
        <v>76</v>
      </c>
      <c r="C9" s="272" t="s">
        <v>77</v>
      </c>
      <c r="D9" s="94" t="s">
        <v>78</v>
      </c>
      <c r="E9" s="94" t="s">
        <v>60</v>
      </c>
      <c r="F9" s="94" t="s">
        <v>79</v>
      </c>
      <c r="G9" s="337" t="s">
        <v>80</v>
      </c>
    </row>
    <row r="10" spans="1:7" ht="75">
      <c r="A10" s="634"/>
      <c r="B10" s="631"/>
      <c r="C10" s="268" t="s">
        <v>81</v>
      </c>
      <c r="D10" s="82" t="s">
        <v>82</v>
      </c>
      <c r="E10" s="82" t="s">
        <v>60</v>
      </c>
      <c r="F10" s="82" t="s">
        <v>79</v>
      </c>
      <c r="G10" s="261" t="s">
        <v>83</v>
      </c>
    </row>
    <row r="11" spans="1:7" ht="45">
      <c r="A11" s="634"/>
      <c r="B11" s="631"/>
      <c r="C11" s="268" t="s">
        <v>84</v>
      </c>
      <c r="D11" s="82" t="s">
        <v>85</v>
      </c>
      <c r="E11" s="82" t="s">
        <v>86</v>
      </c>
      <c r="F11" s="82" t="s">
        <v>79</v>
      </c>
      <c r="G11" s="95" t="s">
        <v>87</v>
      </c>
    </row>
    <row r="12" spans="1:7" ht="120">
      <c r="A12" s="634"/>
      <c r="B12" s="631"/>
      <c r="C12" s="268" t="s">
        <v>88</v>
      </c>
      <c r="D12" s="279" t="s">
        <v>89</v>
      </c>
      <c r="E12" s="82" t="s">
        <v>86</v>
      </c>
      <c r="F12" s="82" t="s">
        <v>79</v>
      </c>
      <c r="G12" s="261" t="s">
        <v>90</v>
      </c>
    </row>
    <row r="13" spans="1:7" ht="30">
      <c r="A13" s="634"/>
      <c r="B13" s="631"/>
      <c r="C13" s="268" t="s">
        <v>91</v>
      </c>
      <c r="D13" s="82" t="s">
        <v>92</v>
      </c>
      <c r="E13" s="82" t="s">
        <v>86</v>
      </c>
      <c r="F13" s="82" t="s">
        <v>79</v>
      </c>
      <c r="G13" s="95" t="s">
        <v>93</v>
      </c>
    </row>
    <row r="14" spans="1:7" ht="30">
      <c r="A14" s="634"/>
      <c r="B14" s="631"/>
      <c r="C14" s="268" t="s">
        <v>94</v>
      </c>
      <c r="D14" s="82" t="s">
        <v>95</v>
      </c>
      <c r="E14" s="82" t="s">
        <v>86</v>
      </c>
      <c r="F14" s="82" t="s">
        <v>79</v>
      </c>
      <c r="G14" s="95" t="s">
        <v>93</v>
      </c>
    </row>
    <row r="15" spans="1:7" ht="30">
      <c r="A15" s="634"/>
      <c r="B15" s="631"/>
      <c r="C15" s="121" t="s">
        <v>96</v>
      </c>
      <c r="D15" s="82" t="s">
        <v>97</v>
      </c>
      <c r="E15" s="82" t="s">
        <v>60</v>
      </c>
      <c r="F15" s="82" t="s">
        <v>79</v>
      </c>
      <c r="G15" s="95" t="s">
        <v>98</v>
      </c>
    </row>
    <row r="16" spans="1:7" ht="60">
      <c r="A16" s="634"/>
      <c r="B16" s="631"/>
      <c r="C16" s="268" t="s">
        <v>99</v>
      </c>
      <c r="D16" s="279" t="s">
        <v>100</v>
      </c>
      <c r="E16" s="82" t="s">
        <v>86</v>
      </c>
      <c r="F16" s="82" t="s">
        <v>79</v>
      </c>
      <c r="G16" s="261" t="s">
        <v>101</v>
      </c>
    </row>
    <row r="17" spans="1:7" ht="30">
      <c r="A17" s="634"/>
      <c r="B17" s="631"/>
      <c r="C17" s="268" t="s">
        <v>102</v>
      </c>
      <c r="D17" s="82" t="s">
        <v>103</v>
      </c>
      <c r="E17" s="82" t="s">
        <v>86</v>
      </c>
      <c r="F17" s="82" t="s">
        <v>79</v>
      </c>
      <c r="G17" s="95" t="s">
        <v>104</v>
      </c>
    </row>
    <row r="18" spans="1:7" ht="45">
      <c r="A18" s="634"/>
      <c r="B18" s="631"/>
      <c r="C18" s="268" t="s">
        <v>105</v>
      </c>
      <c r="D18" s="82" t="s">
        <v>106</v>
      </c>
      <c r="E18" s="82" t="s">
        <v>86</v>
      </c>
      <c r="F18" s="82" t="s">
        <v>79</v>
      </c>
      <c r="G18" s="95" t="s">
        <v>107</v>
      </c>
    </row>
    <row r="19" spans="1:7">
      <c r="A19" s="634"/>
      <c r="B19" s="631"/>
      <c r="C19" s="268" t="s">
        <v>108</v>
      </c>
      <c r="D19" s="82" t="s">
        <v>109</v>
      </c>
      <c r="E19" s="82" t="s">
        <v>86</v>
      </c>
      <c r="F19" s="82" t="s">
        <v>79</v>
      </c>
      <c r="G19" s="95" t="s">
        <v>110</v>
      </c>
    </row>
    <row r="20" spans="1:7" ht="105.75" thickBot="1">
      <c r="A20" s="634"/>
      <c r="B20" s="632"/>
      <c r="C20" s="338" t="s">
        <v>1</v>
      </c>
      <c r="D20" s="557" t="s">
        <v>111</v>
      </c>
      <c r="E20" s="339" t="s">
        <v>86</v>
      </c>
      <c r="F20" s="339" t="s">
        <v>79</v>
      </c>
      <c r="G20" s="340" t="s">
        <v>112</v>
      </c>
    </row>
    <row r="21" spans="1:7" ht="45">
      <c r="A21" s="634"/>
      <c r="B21" s="647" t="s">
        <v>113</v>
      </c>
      <c r="C21" s="269" t="s">
        <v>114</v>
      </c>
      <c r="D21" s="105" t="s">
        <v>115</v>
      </c>
      <c r="E21" s="105" t="s">
        <v>86</v>
      </c>
      <c r="F21" s="105" t="s">
        <v>116</v>
      </c>
      <c r="G21" s="157" t="s">
        <v>117</v>
      </c>
    </row>
    <row r="22" spans="1:7" ht="30">
      <c r="A22" s="634"/>
      <c r="B22" s="648"/>
      <c r="C22" s="270" t="s">
        <v>118</v>
      </c>
      <c r="D22" s="344" t="s">
        <v>119</v>
      </c>
      <c r="E22" s="344" t="s">
        <v>86</v>
      </c>
      <c r="F22" s="344" t="s">
        <v>116</v>
      </c>
      <c r="G22" s="345" t="s">
        <v>120</v>
      </c>
    </row>
    <row r="23" spans="1:7" ht="15.75" thickBot="1">
      <c r="A23" s="634"/>
      <c r="B23" s="649"/>
      <c r="C23" s="346" t="s">
        <v>121</v>
      </c>
      <c r="D23" s="107" t="s">
        <v>122</v>
      </c>
      <c r="E23" s="107" t="s">
        <v>86</v>
      </c>
      <c r="F23" s="107" t="s">
        <v>116</v>
      </c>
      <c r="G23" s="108" t="s">
        <v>123</v>
      </c>
    </row>
    <row r="24" spans="1:7" ht="30" customHeight="1">
      <c r="A24" s="634"/>
      <c r="B24" s="650" t="s">
        <v>124</v>
      </c>
      <c r="C24" s="341" t="s">
        <v>125</v>
      </c>
      <c r="D24" s="342" t="s">
        <v>126</v>
      </c>
      <c r="E24" s="342" t="s">
        <v>86</v>
      </c>
      <c r="F24" s="342" t="s">
        <v>79</v>
      </c>
      <c r="G24" s="343" t="s">
        <v>127</v>
      </c>
    </row>
    <row r="25" spans="1:7" ht="30" customHeight="1">
      <c r="A25" s="634"/>
      <c r="B25" s="651"/>
      <c r="C25" s="270" t="s">
        <v>128</v>
      </c>
      <c r="D25" s="109" t="s">
        <v>129</v>
      </c>
      <c r="E25" s="109" t="s">
        <v>86</v>
      </c>
      <c r="F25" s="109" t="s">
        <v>130</v>
      </c>
      <c r="G25" s="668" t="s">
        <v>131</v>
      </c>
    </row>
    <row r="26" spans="1:7" ht="30">
      <c r="A26" s="634"/>
      <c r="B26" s="651"/>
      <c r="C26" s="215" t="s">
        <v>132</v>
      </c>
      <c r="D26" s="109" t="s">
        <v>133</v>
      </c>
      <c r="E26" s="109" t="s">
        <v>86</v>
      </c>
      <c r="F26" s="109" t="s">
        <v>130</v>
      </c>
      <c r="G26" s="669"/>
    </row>
    <row r="27" spans="1:7">
      <c r="A27" s="634"/>
      <c r="B27" s="651"/>
      <c r="C27" s="270" t="s">
        <v>30</v>
      </c>
      <c r="D27" s="109" t="s">
        <v>134</v>
      </c>
      <c r="E27" s="109" t="s">
        <v>86</v>
      </c>
      <c r="F27" s="109" t="s">
        <v>130</v>
      </c>
      <c r="G27" s="669"/>
    </row>
    <row r="28" spans="1:7">
      <c r="A28" s="634"/>
      <c r="B28" s="651"/>
      <c r="C28" s="270" t="s">
        <v>135</v>
      </c>
      <c r="D28" s="109" t="s">
        <v>136</v>
      </c>
      <c r="E28" s="109" t="s">
        <v>86</v>
      </c>
      <c r="F28" s="109" t="s">
        <v>130</v>
      </c>
      <c r="G28" s="669"/>
    </row>
    <row r="29" spans="1:7">
      <c r="A29" s="634"/>
      <c r="B29" s="651"/>
      <c r="C29" s="270" t="s">
        <v>35</v>
      </c>
      <c r="D29" s="109" t="s">
        <v>137</v>
      </c>
      <c r="E29" s="109" t="s">
        <v>86</v>
      </c>
      <c r="F29" s="109" t="s">
        <v>130</v>
      </c>
      <c r="G29" s="669"/>
    </row>
    <row r="30" spans="1:7">
      <c r="A30" s="634"/>
      <c r="B30" s="651"/>
      <c r="C30" s="270" t="s">
        <v>138</v>
      </c>
      <c r="D30" s="109" t="s">
        <v>139</v>
      </c>
      <c r="E30" s="109" t="s">
        <v>86</v>
      </c>
      <c r="F30" s="109" t="s">
        <v>130</v>
      </c>
      <c r="G30" s="669"/>
    </row>
    <row r="31" spans="1:7">
      <c r="A31" s="634"/>
      <c r="B31" s="651"/>
      <c r="C31" s="215" t="s">
        <v>140</v>
      </c>
      <c r="D31" s="109" t="s">
        <v>141</v>
      </c>
      <c r="E31" s="109" t="s">
        <v>86</v>
      </c>
      <c r="F31" s="109" t="s">
        <v>130</v>
      </c>
      <c r="G31" s="669"/>
    </row>
    <row r="32" spans="1:7" ht="30.75" thickBot="1">
      <c r="A32" s="634"/>
      <c r="B32" s="652"/>
      <c r="C32" s="271" t="s">
        <v>142</v>
      </c>
      <c r="D32" s="104" t="s">
        <v>143</v>
      </c>
      <c r="E32" s="104" t="s">
        <v>86</v>
      </c>
      <c r="F32" s="104" t="s">
        <v>130</v>
      </c>
      <c r="G32" s="670"/>
    </row>
    <row r="33" spans="1:7" ht="30">
      <c r="A33" s="634"/>
      <c r="B33" s="653" t="s">
        <v>144</v>
      </c>
      <c r="C33" s="250" t="s">
        <v>132</v>
      </c>
      <c r="D33" s="213" t="s">
        <v>145</v>
      </c>
      <c r="E33" s="213" t="s">
        <v>86</v>
      </c>
      <c r="F33" s="213" t="s">
        <v>146</v>
      </c>
      <c r="G33" s="214" t="s">
        <v>147</v>
      </c>
    </row>
    <row r="34" spans="1:7">
      <c r="A34" s="634"/>
      <c r="B34" s="654"/>
      <c r="C34" s="268" t="s">
        <v>30</v>
      </c>
      <c r="D34" s="83" t="s">
        <v>148</v>
      </c>
      <c r="E34" s="83" t="s">
        <v>86</v>
      </c>
      <c r="F34" s="83" t="s">
        <v>146</v>
      </c>
      <c r="G34" s="99"/>
    </row>
    <row r="35" spans="1:7">
      <c r="A35" s="634"/>
      <c r="B35" s="654"/>
      <c r="C35" s="268" t="s">
        <v>135</v>
      </c>
      <c r="D35" s="83" t="s">
        <v>149</v>
      </c>
      <c r="E35" s="83" t="s">
        <v>86</v>
      </c>
      <c r="F35" s="83" t="s">
        <v>146</v>
      </c>
      <c r="G35" s="99" t="s">
        <v>150</v>
      </c>
    </row>
    <row r="36" spans="1:7">
      <c r="A36" s="634"/>
      <c r="B36" s="654"/>
      <c r="C36" s="268" t="s">
        <v>35</v>
      </c>
      <c r="D36" s="83" t="s">
        <v>151</v>
      </c>
      <c r="E36" s="83" t="s">
        <v>86</v>
      </c>
      <c r="F36" s="83" t="s">
        <v>146</v>
      </c>
      <c r="G36" s="113"/>
    </row>
    <row r="37" spans="1:7">
      <c r="A37" s="634"/>
      <c r="B37" s="654"/>
      <c r="C37" s="268" t="s">
        <v>138</v>
      </c>
      <c r="D37" s="83" t="s">
        <v>152</v>
      </c>
      <c r="E37" s="83" t="s">
        <v>86</v>
      </c>
      <c r="F37" s="83" t="s">
        <v>146</v>
      </c>
      <c r="G37" s="99" t="s">
        <v>153</v>
      </c>
    </row>
    <row r="38" spans="1:7">
      <c r="A38" s="634"/>
      <c r="B38" s="654"/>
      <c r="C38" s="216" t="s">
        <v>140</v>
      </c>
      <c r="D38" s="83" t="s">
        <v>154</v>
      </c>
      <c r="E38" s="83" t="s">
        <v>86</v>
      </c>
      <c r="F38" s="83" t="s">
        <v>146</v>
      </c>
      <c r="G38" s="99"/>
    </row>
    <row r="39" spans="1:7" ht="30">
      <c r="A39" s="634"/>
      <c r="B39" s="654"/>
      <c r="C39" s="270" t="s">
        <v>155</v>
      </c>
      <c r="D39" s="83" t="s">
        <v>156</v>
      </c>
      <c r="E39" s="83" t="s">
        <v>86</v>
      </c>
      <c r="F39" s="83" t="s">
        <v>146</v>
      </c>
      <c r="G39" s="99"/>
    </row>
    <row r="40" spans="1:7" ht="30">
      <c r="A40" s="634"/>
      <c r="B40" s="654"/>
      <c r="C40" s="216" t="s">
        <v>157</v>
      </c>
      <c r="D40" s="83" t="s">
        <v>158</v>
      </c>
      <c r="E40" s="83" t="s">
        <v>60</v>
      </c>
      <c r="F40" s="83" t="s">
        <v>146</v>
      </c>
      <c r="G40" s="99" t="s">
        <v>159</v>
      </c>
    </row>
    <row r="41" spans="1:7" ht="45.75" thickBot="1">
      <c r="A41" s="634"/>
      <c r="B41" s="655"/>
      <c r="C41" s="267" t="s">
        <v>160</v>
      </c>
      <c r="D41" s="100" t="s">
        <v>161</v>
      </c>
      <c r="E41" s="100" t="s">
        <v>86</v>
      </c>
      <c r="F41" s="100" t="s">
        <v>146</v>
      </c>
      <c r="G41" s="101" t="s">
        <v>162</v>
      </c>
    </row>
    <row r="42" spans="1:7" ht="135.75" thickBot="1">
      <c r="A42" s="633" t="s">
        <v>63</v>
      </c>
      <c r="B42" s="347" t="s">
        <v>163</v>
      </c>
      <c r="C42" s="272" t="s">
        <v>88</v>
      </c>
      <c r="D42" s="348" t="s">
        <v>164</v>
      </c>
      <c r="E42" s="348" t="s">
        <v>86</v>
      </c>
      <c r="F42" s="348" t="s">
        <v>79</v>
      </c>
      <c r="G42" s="349" t="s">
        <v>165</v>
      </c>
    </row>
    <row r="43" spans="1:7" ht="15" customHeight="1">
      <c r="A43" s="634"/>
      <c r="B43" s="638" t="s">
        <v>166</v>
      </c>
      <c r="C43" s="247" t="s">
        <v>167</v>
      </c>
      <c r="D43" s="235" t="s">
        <v>168</v>
      </c>
      <c r="E43" s="235" t="s">
        <v>67</v>
      </c>
      <c r="F43" s="235" t="s">
        <v>79</v>
      </c>
      <c r="G43" s="218" t="s">
        <v>169</v>
      </c>
    </row>
    <row r="44" spans="1:7" ht="30">
      <c r="A44" s="634"/>
      <c r="B44" s="639"/>
      <c r="C44" s="248" t="s">
        <v>128</v>
      </c>
      <c r="D44" s="236" t="s">
        <v>170</v>
      </c>
      <c r="E44" s="236" t="s">
        <v>67</v>
      </c>
      <c r="F44" s="236" t="s">
        <v>79</v>
      </c>
      <c r="G44" s="219" t="s">
        <v>169</v>
      </c>
    </row>
    <row r="45" spans="1:7" ht="30">
      <c r="A45" s="634"/>
      <c r="B45" s="639"/>
      <c r="C45" s="248" t="s">
        <v>105</v>
      </c>
      <c r="D45" s="236" t="s">
        <v>171</v>
      </c>
      <c r="E45" s="236" t="s">
        <v>67</v>
      </c>
      <c r="F45" s="236" t="s">
        <v>79</v>
      </c>
      <c r="G45" s="219" t="s">
        <v>172</v>
      </c>
    </row>
    <row r="46" spans="1:7">
      <c r="A46" s="634"/>
      <c r="B46" s="639"/>
      <c r="C46" s="248" t="s">
        <v>173</v>
      </c>
      <c r="D46" s="236" t="s">
        <v>174</v>
      </c>
      <c r="E46" s="236" t="s">
        <v>67</v>
      </c>
      <c r="F46" s="236" t="s">
        <v>79</v>
      </c>
      <c r="G46" s="219" t="s">
        <v>169</v>
      </c>
    </row>
    <row r="47" spans="1:7" ht="15.75" thickBot="1">
      <c r="A47" s="634"/>
      <c r="B47" s="640"/>
      <c r="C47" s="249" t="s">
        <v>175</v>
      </c>
      <c r="D47" s="237" t="s">
        <v>176</v>
      </c>
      <c r="E47" s="236" t="s">
        <v>67</v>
      </c>
      <c r="F47" s="237" t="s">
        <v>79</v>
      </c>
      <c r="G47" s="220" t="s">
        <v>169</v>
      </c>
    </row>
    <row r="48" spans="1:7" ht="30">
      <c r="A48" s="634"/>
      <c r="B48" s="641" t="s">
        <v>177</v>
      </c>
      <c r="C48" s="244" t="s">
        <v>132</v>
      </c>
      <c r="D48" s="238" t="s">
        <v>178</v>
      </c>
      <c r="E48" s="238" t="s">
        <v>67</v>
      </c>
      <c r="F48" s="238" t="s">
        <v>130</v>
      </c>
      <c r="G48" s="671" t="s">
        <v>179</v>
      </c>
    </row>
    <row r="49" spans="1:7" ht="30">
      <c r="A49" s="634"/>
      <c r="B49" s="641"/>
      <c r="C49" s="245" t="s">
        <v>30</v>
      </c>
      <c r="D49" s="221" t="s">
        <v>180</v>
      </c>
      <c r="E49" s="221" t="s">
        <v>67</v>
      </c>
      <c r="F49" s="221" t="s">
        <v>130</v>
      </c>
      <c r="G49" s="672"/>
    </row>
    <row r="50" spans="1:7" ht="30">
      <c r="A50" s="634"/>
      <c r="B50" s="641"/>
      <c r="C50" s="245" t="s">
        <v>135</v>
      </c>
      <c r="D50" s="221" t="s">
        <v>181</v>
      </c>
      <c r="E50" s="221" t="s">
        <v>67</v>
      </c>
      <c r="F50" s="221" t="s">
        <v>130</v>
      </c>
      <c r="G50" s="672"/>
    </row>
    <row r="51" spans="1:7" ht="30">
      <c r="A51" s="634"/>
      <c r="B51" s="641"/>
      <c r="C51" s="245" t="s">
        <v>35</v>
      </c>
      <c r="D51" s="221" t="s">
        <v>182</v>
      </c>
      <c r="E51" s="221" t="s">
        <v>67</v>
      </c>
      <c r="F51" s="221" t="s">
        <v>130</v>
      </c>
      <c r="G51" s="672"/>
    </row>
    <row r="52" spans="1:7" ht="30">
      <c r="A52" s="634"/>
      <c r="B52" s="641"/>
      <c r="C52" s="245" t="s">
        <v>138</v>
      </c>
      <c r="D52" s="221" t="s">
        <v>183</v>
      </c>
      <c r="E52" s="221" t="s">
        <v>67</v>
      </c>
      <c r="F52" s="221" t="s">
        <v>130</v>
      </c>
      <c r="G52" s="672"/>
    </row>
    <row r="53" spans="1:7" ht="30">
      <c r="A53" s="634"/>
      <c r="B53" s="641"/>
      <c r="C53" s="245" t="s">
        <v>184</v>
      </c>
      <c r="D53" s="221" t="s">
        <v>185</v>
      </c>
      <c r="E53" s="221" t="s">
        <v>67</v>
      </c>
      <c r="F53" s="221" t="s">
        <v>130</v>
      </c>
      <c r="G53" s="672"/>
    </row>
    <row r="54" spans="1:7">
      <c r="A54" s="634"/>
      <c r="B54" s="641"/>
      <c r="C54" s="245" t="s">
        <v>140</v>
      </c>
      <c r="D54" s="221" t="s">
        <v>186</v>
      </c>
      <c r="E54" s="221" t="s">
        <v>67</v>
      </c>
      <c r="F54" s="221" t="s">
        <v>130</v>
      </c>
      <c r="G54" s="672"/>
    </row>
    <row r="55" spans="1:7" ht="30.75" thickBot="1">
      <c r="A55" s="634"/>
      <c r="B55" s="642"/>
      <c r="C55" s="246" t="s">
        <v>187</v>
      </c>
      <c r="D55" s="239" t="s">
        <v>188</v>
      </c>
      <c r="E55" s="239" t="s">
        <v>67</v>
      </c>
      <c r="F55" s="239" t="s">
        <v>130</v>
      </c>
      <c r="G55" s="673"/>
    </row>
    <row r="56" spans="1:7" ht="30">
      <c r="A56" s="634"/>
      <c r="B56" s="643" t="s">
        <v>144</v>
      </c>
      <c r="C56" s="333" t="s">
        <v>132</v>
      </c>
      <c r="D56" s="334" t="s">
        <v>189</v>
      </c>
      <c r="E56" s="334" t="s">
        <v>67</v>
      </c>
      <c r="F56" s="334" t="s">
        <v>146</v>
      </c>
      <c r="G56" s="335" t="s">
        <v>169</v>
      </c>
    </row>
    <row r="57" spans="1:7" ht="30">
      <c r="A57" s="634"/>
      <c r="B57" s="644"/>
      <c r="C57" s="242" t="s">
        <v>30</v>
      </c>
      <c r="D57" s="240" t="s">
        <v>190</v>
      </c>
      <c r="E57" s="240" t="s">
        <v>67</v>
      </c>
      <c r="F57" s="240" t="s">
        <v>146</v>
      </c>
      <c r="G57" s="217" t="s">
        <v>169</v>
      </c>
    </row>
    <row r="58" spans="1:7" ht="30">
      <c r="A58" s="634"/>
      <c r="B58" s="644"/>
      <c r="C58" s="242" t="s">
        <v>135</v>
      </c>
      <c r="D58" s="240" t="s">
        <v>191</v>
      </c>
      <c r="E58" s="240" t="s">
        <v>67</v>
      </c>
      <c r="F58" s="240" t="s">
        <v>146</v>
      </c>
      <c r="G58" s="217" t="s">
        <v>169</v>
      </c>
    </row>
    <row r="59" spans="1:7">
      <c r="A59" s="634"/>
      <c r="B59" s="644"/>
      <c r="C59" s="242" t="s">
        <v>35</v>
      </c>
      <c r="D59" s="240" t="s">
        <v>192</v>
      </c>
      <c r="E59" s="240" t="s">
        <v>67</v>
      </c>
      <c r="F59" s="240" t="s">
        <v>146</v>
      </c>
      <c r="G59" s="217" t="s">
        <v>169</v>
      </c>
    </row>
    <row r="60" spans="1:7" ht="30">
      <c r="A60" s="634"/>
      <c r="B60" s="644"/>
      <c r="C60" s="242" t="s">
        <v>138</v>
      </c>
      <c r="D60" s="240" t="s">
        <v>193</v>
      </c>
      <c r="E60" s="240" t="s">
        <v>67</v>
      </c>
      <c r="F60" s="240" t="s">
        <v>146</v>
      </c>
      <c r="G60" s="217" t="s">
        <v>169</v>
      </c>
    </row>
    <row r="61" spans="1:7">
      <c r="A61" s="634"/>
      <c r="B61" s="644"/>
      <c r="C61" s="242" t="s">
        <v>184</v>
      </c>
      <c r="D61" s="240" t="s">
        <v>194</v>
      </c>
      <c r="E61" s="240" t="s">
        <v>67</v>
      </c>
      <c r="F61" s="240" t="s">
        <v>146</v>
      </c>
      <c r="G61" s="217" t="s">
        <v>169</v>
      </c>
    </row>
    <row r="62" spans="1:7">
      <c r="A62" s="634"/>
      <c r="B62" s="644"/>
      <c r="C62" s="242" t="s">
        <v>140</v>
      </c>
      <c r="D62" s="240" t="s">
        <v>195</v>
      </c>
      <c r="E62" s="240" t="s">
        <v>67</v>
      </c>
      <c r="F62" s="240" t="s">
        <v>146</v>
      </c>
      <c r="G62" s="217" t="s">
        <v>169</v>
      </c>
    </row>
    <row r="63" spans="1:7" ht="15.75" thickBot="1">
      <c r="A63" s="646"/>
      <c r="B63" s="645"/>
      <c r="C63" s="243" t="s">
        <v>187</v>
      </c>
      <c r="D63" s="241" t="s">
        <v>196</v>
      </c>
      <c r="E63" s="241" t="s">
        <v>67</v>
      </c>
      <c r="F63" s="241" t="s">
        <v>146</v>
      </c>
      <c r="G63" s="222" t="s">
        <v>169</v>
      </c>
    </row>
    <row r="64" spans="1:7" ht="120">
      <c r="A64" s="634" t="s">
        <v>65</v>
      </c>
      <c r="B64" s="635" t="s">
        <v>197</v>
      </c>
      <c r="C64" s="269" t="s">
        <v>77</v>
      </c>
      <c r="D64" s="224" t="s">
        <v>198</v>
      </c>
      <c r="E64" s="224" t="s">
        <v>60</v>
      </c>
      <c r="F64" s="224" t="s">
        <v>79</v>
      </c>
      <c r="G64" s="350" t="s">
        <v>199</v>
      </c>
    </row>
    <row r="65" spans="1:7" ht="60">
      <c r="A65" s="634"/>
      <c r="B65" s="636"/>
      <c r="C65" s="270" t="s">
        <v>81</v>
      </c>
      <c r="D65" s="225" t="s">
        <v>82</v>
      </c>
      <c r="E65" s="225" t="s">
        <v>60</v>
      </c>
      <c r="F65" s="225" t="s">
        <v>79</v>
      </c>
      <c r="G65" s="352" t="s">
        <v>200</v>
      </c>
    </row>
    <row r="66" spans="1:7" ht="30">
      <c r="A66" s="634"/>
      <c r="B66" s="636"/>
      <c r="C66" s="270" t="s">
        <v>96</v>
      </c>
      <c r="D66" s="225" t="s">
        <v>97</v>
      </c>
      <c r="E66" s="225" t="s">
        <v>60</v>
      </c>
      <c r="F66" s="225" t="s">
        <v>79</v>
      </c>
      <c r="G66" s="226" t="s">
        <v>201</v>
      </c>
    </row>
    <row r="67" spans="1:7" ht="30">
      <c r="A67" s="634"/>
      <c r="B67" s="636"/>
      <c r="C67" s="270" t="s">
        <v>202</v>
      </c>
      <c r="D67" s="225" t="s">
        <v>203</v>
      </c>
      <c r="E67" s="225" t="s">
        <v>60</v>
      </c>
      <c r="F67" s="225" t="s">
        <v>79</v>
      </c>
      <c r="G67" s="226" t="s">
        <v>204</v>
      </c>
    </row>
    <row r="68" spans="1:7">
      <c r="A68" s="634"/>
      <c r="B68" s="636"/>
      <c r="C68" s="270" t="s">
        <v>1</v>
      </c>
      <c r="D68" s="225" t="s">
        <v>205</v>
      </c>
      <c r="E68" s="225" t="s">
        <v>60</v>
      </c>
      <c r="F68" s="225" t="s">
        <v>79</v>
      </c>
      <c r="G68" s="226" t="s">
        <v>206</v>
      </c>
    </row>
    <row r="69" spans="1:7" ht="15.75" thickBot="1">
      <c r="A69" s="634"/>
      <c r="B69" s="637"/>
      <c r="C69" s="271" t="s">
        <v>207</v>
      </c>
      <c r="D69" s="227" t="s">
        <v>208</v>
      </c>
      <c r="E69" s="227" t="s">
        <v>60</v>
      </c>
      <c r="F69" s="227" t="s">
        <v>79</v>
      </c>
      <c r="G69" s="228"/>
    </row>
    <row r="70" spans="1:7" ht="150">
      <c r="A70" s="633" t="s">
        <v>68</v>
      </c>
      <c r="B70" s="630" t="s">
        <v>76</v>
      </c>
      <c r="C70" s="275" t="s">
        <v>77</v>
      </c>
      <c r="D70" s="223" t="s">
        <v>209</v>
      </c>
      <c r="E70" s="223" t="s">
        <v>60</v>
      </c>
      <c r="F70" s="223" t="s">
        <v>79</v>
      </c>
      <c r="G70" s="351" t="s">
        <v>210</v>
      </c>
    </row>
    <row r="71" spans="1:7">
      <c r="A71" s="634"/>
      <c r="B71" s="631"/>
      <c r="C71" s="121" t="s">
        <v>81</v>
      </c>
      <c r="D71" s="82" t="s">
        <v>82</v>
      </c>
      <c r="E71" s="82" t="s">
        <v>60</v>
      </c>
      <c r="F71" s="82" t="s">
        <v>79</v>
      </c>
      <c r="G71" s="95" t="s">
        <v>169</v>
      </c>
    </row>
    <row r="72" spans="1:7" ht="30">
      <c r="A72" s="634"/>
      <c r="B72" s="631"/>
      <c r="C72" s="121" t="s">
        <v>96</v>
      </c>
      <c r="D72" s="82" t="s">
        <v>97</v>
      </c>
      <c r="E72" s="82" t="s">
        <v>60</v>
      </c>
      <c r="F72" s="82" t="s">
        <v>79</v>
      </c>
      <c r="G72" s="95" t="s">
        <v>211</v>
      </c>
    </row>
    <row r="73" spans="1:7">
      <c r="A73" s="634"/>
      <c r="B73" s="631"/>
      <c r="C73" s="121" t="s">
        <v>212</v>
      </c>
      <c r="D73" s="82" t="s">
        <v>213</v>
      </c>
      <c r="E73" s="82" t="s">
        <v>86</v>
      </c>
      <c r="F73" s="82" t="s">
        <v>79</v>
      </c>
      <c r="G73" s="95" t="s">
        <v>169</v>
      </c>
    </row>
    <row r="74" spans="1:7" ht="60" customHeight="1">
      <c r="A74" s="634"/>
      <c r="B74" s="631"/>
      <c r="C74" s="121" t="s">
        <v>88</v>
      </c>
      <c r="D74" s="82" t="s">
        <v>214</v>
      </c>
      <c r="E74" s="82" t="s">
        <v>86</v>
      </c>
      <c r="F74" s="82" t="s">
        <v>79</v>
      </c>
      <c r="G74" s="95" t="s">
        <v>169</v>
      </c>
    </row>
    <row r="75" spans="1:7">
      <c r="A75" s="634"/>
      <c r="B75" s="631"/>
      <c r="C75" s="121" t="s">
        <v>1</v>
      </c>
      <c r="D75" s="82" t="s">
        <v>205</v>
      </c>
      <c r="E75" s="82" t="s">
        <v>86</v>
      </c>
      <c r="F75" s="82" t="s">
        <v>79</v>
      </c>
      <c r="G75" s="95" t="s">
        <v>169</v>
      </c>
    </row>
    <row r="76" spans="1:7" ht="90">
      <c r="A76" s="634"/>
      <c r="B76" s="631"/>
      <c r="C76" s="121" t="s">
        <v>215</v>
      </c>
      <c r="D76" s="82" t="s">
        <v>216</v>
      </c>
      <c r="E76" s="82" t="s">
        <v>60</v>
      </c>
      <c r="F76" s="82" t="s">
        <v>79</v>
      </c>
      <c r="G76" s="261" t="s">
        <v>217</v>
      </c>
    </row>
    <row r="77" spans="1:7" ht="90">
      <c r="A77" s="634"/>
      <c r="B77" s="631"/>
      <c r="C77" s="121" t="s">
        <v>218</v>
      </c>
      <c r="D77" s="82" t="s">
        <v>219</v>
      </c>
      <c r="E77" s="82" t="s">
        <v>60</v>
      </c>
      <c r="F77" s="82" t="s">
        <v>79</v>
      </c>
      <c r="G77" s="261" t="s">
        <v>220</v>
      </c>
    </row>
    <row r="78" spans="1:7" ht="30">
      <c r="A78" s="634"/>
      <c r="B78" s="631"/>
      <c r="C78" s="121" t="s">
        <v>105</v>
      </c>
      <c r="D78" s="82" t="s">
        <v>171</v>
      </c>
      <c r="E78" s="82" t="s">
        <v>86</v>
      </c>
      <c r="F78" s="82" t="s">
        <v>79</v>
      </c>
      <c r="G78" s="95" t="s">
        <v>172</v>
      </c>
    </row>
    <row r="79" spans="1:7" ht="30.75" thickBot="1">
      <c r="A79" s="634"/>
      <c r="B79" s="632"/>
      <c r="C79" s="122" t="s">
        <v>221</v>
      </c>
      <c r="D79" s="96" t="s">
        <v>222</v>
      </c>
      <c r="E79" s="96" t="s">
        <v>60</v>
      </c>
      <c r="F79" s="96" t="s">
        <v>79</v>
      </c>
      <c r="G79" s="97" t="s">
        <v>223</v>
      </c>
    </row>
    <row r="80" spans="1:7" ht="30">
      <c r="A80" s="634"/>
      <c r="B80" s="674" t="s">
        <v>113</v>
      </c>
      <c r="C80" s="123" t="s">
        <v>114</v>
      </c>
      <c r="D80" s="105" t="s">
        <v>224</v>
      </c>
      <c r="E80" s="105" t="s">
        <v>60</v>
      </c>
      <c r="F80" s="105" t="s">
        <v>225</v>
      </c>
      <c r="G80" s="106" t="s">
        <v>223</v>
      </c>
    </row>
    <row r="81" spans="1:7" ht="30.75" thickBot="1">
      <c r="A81" s="634"/>
      <c r="B81" s="675"/>
      <c r="C81" s="124" t="s">
        <v>121</v>
      </c>
      <c r="D81" s="107" t="s">
        <v>226</v>
      </c>
      <c r="E81" s="107" t="s">
        <v>60</v>
      </c>
      <c r="F81" s="107" t="s">
        <v>225</v>
      </c>
      <c r="G81" s="108" t="s">
        <v>223</v>
      </c>
    </row>
    <row r="82" spans="1:7" ht="30">
      <c r="A82" s="634"/>
      <c r="B82" s="676" t="s">
        <v>124</v>
      </c>
      <c r="C82" s="125" t="s">
        <v>227</v>
      </c>
      <c r="D82" s="102" t="s">
        <v>228</v>
      </c>
      <c r="E82" s="102" t="s">
        <v>60</v>
      </c>
      <c r="F82" s="102" t="s">
        <v>79</v>
      </c>
      <c r="G82" s="103" t="s">
        <v>223</v>
      </c>
    </row>
    <row r="83" spans="1:7" ht="30">
      <c r="A83" s="634"/>
      <c r="B83" s="677"/>
      <c r="C83" s="127" t="s">
        <v>229</v>
      </c>
      <c r="D83" s="109" t="s">
        <v>230</v>
      </c>
      <c r="E83" s="109" t="s">
        <v>60</v>
      </c>
      <c r="F83" s="109" t="s">
        <v>225</v>
      </c>
      <c r="G83" s="114" t="s">
        <v>223</v>
      </c>
    </row>
    <row r="84" spans="1:7" ht="30.75" thickBot="1">
      <c r="A84" s="634"/>
      <c r="B84" s="678"/>
      <c r="C84" s="128" t="s">
        <v>187</v>
      </c>
      <c r="D84" s="119" t="s">
        <v>231</v>
      </c>
      <c r="E84" s="119" t="s">
        <v>60</v>
      </c>
      <c r="F84" s="119" t="s">
        <v>225</v>
      </c>
      <c r="G84" s="120" t="s">
        <v>223</v>
      </c>
    </row>
    <row r="85" spans="1:7" ht="30">
      <c r="A85" s="634"/>
      <c r="B85" s="679" t="s">
        <v>144</v>
      </c>
      <c r="C85" s="126" t="s">
        <v>232</v>
      </c>
      <c r="D85" s="111" t="s">
        <v>233</v>
      </c>
      <c r="E85" s="111" t="s">
        <v>60</v>
      </c>
      <c r="F85" s="111" t="s">
        <v>225</v>
      </c>
      <c r="G85" s="112" t="s">
        <v>223</v>
      </c>
    </row>
    <row r="86" spans="1:7" ht="30">
      <c r="A86" s="634"/>
      <c r="B86" s="680"/>
      <c r="C86" s="98" t="s">
        <v>229</v>
      </c>
      <c r="D86" s="83" t="s">
        <v>234</v>
      </c>
      <c r="E86" s="83" t="s">
        <v>60</v>
      </c>
      <c r="F86" s="83" t="s">
        <v>225</v>
      </c>
      <c r="G86" s="99" t="s">
        <v>223</v>
      </c>
    </row>
    <row r="87" spans="1:7" ht="30">
      <c r="A87" s="634"/>
      <c r="B87" s="680"/>
      <c r="C87" s="98" t="s">
        <v>184</v>
      </c>
      <c r="D87" s="83" t="s">
        <v>235</v>
      </c>
      <c r="E87" s="83" t="s">
        <v>60</v>
      </c>
      <c r="F87" s="83" t="s">
        <v>225</v>
      </c>
      <c r="G87" s="99" t="s">
        <v>223</v>
      </c>
    </row>
    <row r="88" spans="1:7" ht="30">
      <c r="A88" s="634"/>
      <c r="B88" s="680"/>
      <c r="C88" s="98" t="s">
        <v>140</v>
      </c>
      <c r="D88" s="83" t="s">
        <v>236</v>
      </c>
      <c r="E88" s="83" t="s">
        <v>60</v>
      </c>
      <c r="F88" s="83" t="s">
        <v>225</v>
      </c>
      <c r="G88" s="99" t="s">
        <v>223</v>
      </c>
    </row>
    <row r="89" spans="1:7" ht="45" customHeight="1">
      <c r="A89" s="634"/>
      <c r="B89" s="680"/>
      <c r="C89" s="98" t="s">
        <v>187</v>
      </c>
      <c r="D89" s="83" t="s">
        <v>237</v>
      </c>
      <c r="E89" s="83" t="s">
        <v>60</v>
      </c>
      <c r="F89" s="83" t="s">
        <v>225</v>
      </c>
      <c r="G89" s="99" t="s">
        <v>223</v>
      </c>
    </row>
    <row r="90" spans="1:7" ht="30.75" thickBot="1">
      <c r="A90" s="646"/>
      <c r="B90" s="681"/>
      <c r="C90" s="267"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7" activePane="bottomRight" state="frozen"/>
      <selection pane="bottomRight" activeCell="E13" sqref="E13"/>
      <selection pane="bottomLeft" activeCell="A2" sqref="A2"/>
      <selection pane="topRight" activeCell="B1" sqref="B1"/>
    </sheetView>
  </sheetViews>
  <sheetFormatPr defaultColWidth="9.28515625" defaultRowHeight="15"/>
  <cols>
    <col min="1" max="1" width="9.7109375" style="158" bestFit="1" customWidth="1"/>
    <col min="2" max="2" width="123" style="81" bestFit="1" customWidth="1"/>
    <col min="3" max="3" width="7.28515625" style="81" bestFit="1" customWidth="1"/>
    <col min="4" max="16384" width="9.28515625" style="81"/>
  </cols>
  <sheetData>
    <row r="1" spans="1:3" ht="15.75" thickBot="1">
      <c r="A1" s="317" t="s">
        <v>0</v>
      </c>
      <c r="B1" s="322" t="s">
        <v>240</v>
      </c>
      <c r="C1" s="318" t="s">
        <v>241</v>
      </c>
    </row>
    <row r="2" spans="1:3">
      <c r="A2" s="319">
        <v>43807</v>
      </c>
      <c r="B2" s="323" t="s">
        <v>242</v>
      </c>
      <c r="C2" s="327" t="s">
        <v>11</v>
      </c>
    </row>
    <row r="3" spans="1:3" ht="30">
      <c r="A3" s="320">
        <v>43937</v>
      </c>
      <c r="B3" s="324" t="s">
        <v>243</v>
      </c>
      <c r="C3" s="274" t="s">
        <v>11</v>
      </c>
    </row>
    <row r="4" spans="1:3">
      <c r="A4" s="320">
        <v>43941</v>
      </c>
      <c r="B4" s="325" t="s">
        <v>244</v>
      </c>
      <c r="C4" s="274" t="s">
        <v>11</v>
      </c>
    </row>
    <row r="5" spans="1:3">
      <c r="A5" s="320">
        <v>43942</v>
      </c>
      <c r="B5" s="325" t="s">
        <v>245</v>
      </c>
      <c r="C5" s="274" t="s">
        <v>11</v>
      </c>
    </row>
    <row r="6" spans="1:3">
      <c r="A6" s="320">
        <v>43963</v>
      </c>
      <c r="B6" s="325" t="s">
        <v>246</v>
      </c>
      <c r="C6" s="274" t="s">
        <v>11</v>
      </c>
    </row>
    <row r="7" spans="1:3">
      <c r="A7" s="320">
        <v>43990</v>
      </c>
      <c r="B7" s="325" t="s">
        <v>247</v>
      </c>
      <c r="C7" s="274" t="s">
        <v>11</v>
      </c>
    </row>
    <row r="8" spans="1:3" ht="30">
      <c r="A8" s="320">
        <v>44104</v>
      </c>
      <c r="B8" s="324" t="s">
        <v>248</v>
      </c>
      <c r="C8" s="274" t="s">
        <v>249</v>
      </c>
    </row>
    <row r="9" spans="1:3" ht="150.75" thickBot="1">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105"/>
  <sheetViews>
    <sheetView tabSelected="1" zoomScale="99" zoomScaleNormal="70" workbookViewId="0" xr3:uid="{842E5F09-E766-5B8D-85AF-A39847EA96FD}">
      <pane ySplit="5" topLeftCell="J6" activePane="bottomLeft" state="frozen"/>
      <selection pane="bottomLeft" activeCell="W6" sqref="W6"/>
    </sheetView>
  </sheetViews>
  <sheetFormatPr defaultColWidth="9.28515625" defaultRowHeight="15"/>
  <cols>
    <col min="1" max="1" width="16.7109375" style="161" customWidth="1"/>
    <col min="2" max="2" width="45.28515625" style="159" customWidth="1"/>
    <col min="3" max="3" width="12.28515625" style="159" customWidth="1"/>
    <col min="4" max="4" width="9" style="162" customWidth="1"/>
    <col min="5" max="5" width="7.7109375" style="159" customWidth="1"/>
    <col min="6" max="6" width="56" style="159" customWidth="1"/>
    <col min="7" max="7" width="9.7109375" style="159" bestFit="1" customWidth="1"/>
    <col min="8" max="9" width="14.42578125" style="162" customWidth="1"/>
    <col min="10" max="10" width="12.85546875" style="161" customWidth="1"/>
    <col min="11" max="11" width="8.28515625" style="159" bestFit="1" customWidth="1"/>
    <col min="12" max="12" width="12.710937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c r="A2" s="692" t="s">
        <v>252</v>
      </c>
      <c r="B2" s="693"/>
      <c r="C2" s="693"/>
      <c r="D2" s="693"/>
      <c r="E2" s="693"/>
      <c r="F2" s="693"/>
      <c r="G2" s="693"/>
      <c r="H2" s="693"/>
      <c r="I2" s="693"/>
      <c r="J2" s="694"/>
      <c r="K2" s="306">
        <f>SUM(K6:K1086)</f>
        <v>639</v>
      </c>
      <c r="L2" s="306">
        <f>SUM(L6:L1086)</f>
        <v>1157</v>
      </c>
      <c r="M2" s="307"/>
      <c r="N2" s="353">
        <f>SUMPRODUCT(K6:K1086,N6:N1086)/K1089</f>
        <v>1</v>
      </c>
      <c r="O2" s="354">
        <f>SUM(O6:O1086)</f>
        <v>1157</v>
      </c>
      <c r="P2" s="355">
        <f>SUMPRODUCT(K6:K1086,P6:P1086)/K1089</f>
        <v>1</v>
      </c>
      <c r="Q2" s="308"/>
      <c r="R2" s="309">
        <f t="shared" ref="R2:W2" si="0">SUM(R6:R1086)</f>
        <v>1156</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75">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75.75" thickBot="1">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75.75" thickBot="1">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75.75" thickBot="1">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75.75" thickBot="1">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75.75" thickBot="1">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75.75" thickBot="1">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75.75" thickBot="1">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ht="15.75" thickBot="1">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75.75" thickBot="1">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15</v>
      </c>
      <c r="P15" s="496">
        <f t="shared" si="6"/>
        <v>1</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75.75" thickBot="1">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75.75" thickBot="1">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1</v>
      </c>
      <c r="P17" s="496">
        <f t="shared" ref="P17" si="7">IF((O17=0),0,(O17/L17))</f>
        <v>1</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60.75" thickBot="1">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60.75" thickBot="1">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customHeight="1" thickBot="1">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75" thickBot="1">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ht="15.75" thickBot="1">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c r="A23" s="458"/>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ht="15.75" thickBot="1">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ht="15.75" thickBot="1">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thickBot="1">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75" thickBot="1">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thickBot="1">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thickBot="1">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thickBot="1">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thickBot="1">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ht="15.75" thickBot="1">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ht="15.75" thickBot="1">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ht="15.75" thickBot="1">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ht="15.75" thickBot="1">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ht="15.75" thickBot="1">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ht="15.75" thickBot="1">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thickBot="1">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ht="15.75" thickBot="1">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ht="15.75" thickBot="1">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customHeight="1" thickBot="1">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customHeight="1" thickBot="1">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ht="15.75" thickBot="1">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ht="15.75" thickBot="1">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ht="15.75" thickBot="1">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ht="15.75" thickBot="1">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thickBot="1">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thickBot="1">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customHeight="1" thickBot="1">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75" thickBot="1">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75" thickBot="1">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75" thickBot="1">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thickBot="1">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ht="15.75" thickBot="1">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ht="15.75" thickBot="1">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thickBot="1">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thickBot="1">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thickBot="1">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thickBot="1">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60.75" thickBot="1">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customHeight="1" thickBot="1">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75" thickBot="1">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thickBot="1">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thickBot="1">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60.75" thickBot="1">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60.75" thickBot="1">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60.75" thickBot="1">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60.75" thickBot="1">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thickBot="1">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thickBot="1">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thickBot="1">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thickBot="1">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60.75" thickBot="1">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105.75" thickBot="1">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60.75" thickBot="1">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60.75" thickBot="1">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60.75" thickBot="1">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60.75" thickBot="1">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75.75" thickBot="1">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75.75" thickBot="1">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75.75" thickBot="1">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75.75" thickBot="1">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thickBot="1">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customHeight="1" thickBot="1">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30.75" thickBot="1">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thickBot="1">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customHeight="1" thickBot="1">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30.75" thickBot="1">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c r="A89" s="474"/>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60.75" thickBot="1">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30.75" thickBot="1">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c r="A92" s="474"/>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60.75" thickBot="1">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30.75" thickBot="1">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thickBot="1">
      <c r="A95" s="474" t="s">
        <v>417</v>
      </c>
      <c r="B95" s="447" t="s">
        <v>418</v>
      </c>
      <c r="C95" s="580" t="s">
        <v>335</v>
      </c>
      <c r="D95" s="449" t="s">
        <v>261</v>
      </c>
      <c r="E95" s="262"/>
      <c r="F95" s="447" t="s">
        <v>431</v>
      </c>
      <c r="G95" s="387" t="str">
        <f>VLOOKUP(A95,'Feature Summary'!$A$7:$C$3944,3,FALSE)</f>
        <v>P2</v>
      </c>
      <c r="H95" s="447" t="s">
        <v>432</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60.75" thickBot="1">
      <c r="A96" s="474"/>
      <c r="B96" s="447" t="s">
        <v>418</v>
      </c>
      <c r="C96" s="580"/>
      <c r="D96" s="449" t="s">
        <v>261</v>
      </c>
      <c r="E96" s="262"/>
      <c r="F96" s="447" t="s">
        <v>431</v>
      </c>
      <c r="G96" s="387" t="e">
        <f>VLOOKUP(A96,'Feature Summary'!$A$7:$C$3944,3,FALSE)</f>
        <v>#N/A</v>
      </c>
      <c r="H96" s="447" t="s">
        <v>433</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30.75" thickBot="1">
      <c r="A97" s="474"/>
      <c r="B97" s="447" t="s">
        <v>418</v>
      </c>
      <c r="C97" s="580"/>
      <c r="D97" s="449" t="s">
        <v>261</v>
      </c>
      <c r="E97" s="262"/>
      <c r="F97" s="447" t="s">
        <v>431</v>
      </c>
      <c r="G97" s="387" t="e">
        <f>VLOOKUP(A97,'Feature Summary'!$A$7:$C$3944,3,FALSE)</f>
        <v>#N/A</v>
      </c>
      <c r="H97" s="447" t="s">
        <v>434</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ht="15.75" thickBot="1">
      <c r="A98" s="474" t="s">
        <v>417</v>
      </c>
      <c r="B98" s="447"/>
      <c r="C98" s="580" t="s">
        <v>335</v>
      </c>
      <c r="D98" s="449" t="s">
        <v>261</v>
      </c>
      <c r="E98" s="262"/>
      <c r="F98" s="447" t="s">
        <v>435</v>
      </c>
      <c r="G98" s="387" t="str">
        <f>VLOOKUP(A98,'Feature Summary'!$A$7:$C$3944,3,FALSE)</f>
        <v>P2</v>
      </c>
      <c r="H98" s="447" t="s">
        <v>436</v>
      </c>
      <c r="I98" s="488" t="s">
        <v>264</v>
      </c>
      <c r="J98" s="448" t="s">
        <v>437</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thickBot="1">
      <c r="A99" s="490" t="s">
        <v>417</v>
      </c>
      <c r="B99" s="473" t="s">
        <v>418</v>
      </c>
      <c r="C99" s="601" t="s">
        <v>335</v>
      </c>
      <c r="D99" s="559" t="s">
        <v>261</v>
      </c>
      <c r="E99" s="560"/>
      <c r="F99" s="473" t="s">
        <v>438</v>
      </c>
      <c r="G99" s="561" t="str">
        <f>VLOOKUP(A99,'Feature Summary'!$A$7:$C$3944,3,FALSE)</f>
        <v>P2</v>
      </c>
      <c r="H99" s="473" t="s">
        <v>439</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90.75" thickBot="1">
      <c r="A100" s="474"/>
      <c r="B100" s="447" t="s">
        <v>418</v>
      </c>
      <c r="C100" s="463"/>
      <c r="D100" s="449" t="s">
        <v>261</v>
      </c>
      <c r="E100" s="262"/>
      <c r="F100" s="447" t="s">
        <v>438</v>
      </c>
      <c r="G100" s="387" t="e">
        <f>VLOOKUP(A100,'Feature Summary'!$A$7:$C$3944,3,FALSE)</f>
        <v>#N/A</v>
      </c>
      <c r="H100" s="447" t="s">
        <v>440</v>
      </c>
      <c r="I100" s="447"/>
      <c r="J100" s="448" t="s">
        <v>441</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thickBot="1">
      <c r="A101" s="474" t="s">
        <v>442</v>
      </c>
      <c r="B101" s="447" t="s">
        <v>443</v>
      </c>
      <c r="C101" s="463" t="s">
        <v>444</v>
      </c>
      <c r="D101" s="449" t="s">
        <v>261</v>
      </c>
      <c r="E101" s="262"/>
      <c r="F101" s="447" t="s">
        <v>445</v>
      </c>
      <c r="G101" s="387" t="e">
        <f>VLOOKUP(A101,'Feature Summary'!$A$7:$C$3944,3,FALSE)</f>
        <v>#N/A</v>
      </c>
      <c r="H101" s="447" t="s">
        <v>446</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thickBot="1">
      <c r="A102" s="474" t="s">
        <v>442</v>
      </c>
      <c r="B102" s="447" t="s">
        <v>443</v>
      </c>
      <c r="C102" s="463" t="s">
        <v>444</v>
      </c>
      <c r="D102" s="449" t="s">
        <v>261</v>
      </c>
      <c r="E102" s="262"/>
      <c r="F102" s="447" t="s">
        <v>447</v>
      </c>
      <c r="G102" s="387" t="e">
        <f>VLOOKUP(A102,'Feature Summary'!$A$7:$C$3944,3,FALSE)</f>
        <v>#N/A</v>
      </c>
      <c r="H102" s="447" t="s">
        <v>448</v>
      </c>
      <c r="I102" s="488" t="s">
        <v>264</v>
      </c>
      <c r="J102" s="448" t="s">
        <v>449</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thickBot="1">
      <c r="A103" s="474" t="s">
        <v>442</v>
      </c>
      <c r="B103" s="447" t="s">
        <v>443</v>
      </c>
      <c r="C103" s="463" t="s">
        <v>444</v>
      </c>
      <c r="D103" s="449" t="s">
        <v>261</v>
      </c>
      <c r="E103" s="262"/>
      <c r="F103" s="447" t="s">
        <v>450</v>
      </c>
      <c r="G103" s="387" t="e">
        <f>VLOOKUP(A103,'Feature Summary'!$A$7:$C$3944,3,FALSE)</f>
        <v>#N/A</v>
      </c>
      <c r="H103" s="447" t="s">
        <v>451</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thickBot="1">
      <c r="A104" s="474" t="s">
        <v>442</v>
      </c>
      <c r="B104" s="447" t="s">
        <v>443</v>
      </c>
      <c r="C104" s="463" t="s">
        <v>444</v>
      </c>
      <c r="D104" s="449" t="s">
        <v>261</v>
      </c>
      <c r="E104" s="262"/>
      <c r="F104" s="447" t="s">
        <v>452</v>
      </c>
      <c r="G104" s="387" t="e">
        <f>VLOOKUP(A104,'Feature Summary'!$A$7:$C$3944,3,FALSE)</f>
        <v>#N/A</v>
      </c>
      <c r="H104" s="447" t="s">
        <v>453</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45.75" thickBot="1">
      <c r="A105" s="474" t="s">
        <v>442</v>
      </c>
      <c r="B105" s="447" t="s">
        <v>443</v>
      </c>
      <c r="C105" s="463" t="s">
        <v>444</v>
      </c>
      <c r="D105" s="449" t="s">
        <v>261</v>
      </c>
      <c r="E105" s="262"/>
      <c r="F105" s="447" t="s">
        <v>454</v>
      </c>
      <c r="G105" s="387" t="e">
        <f>VLOOKUP(A105,'Feature Summary'!$A$7:$C$3944,3,FALSE)</f>
        <v>#N/A</v>
      </c>
      <c r="H105" s="447" t="s">
        <v>455</v>
      </c>
      <c r="I105" s="488" t="s">
        <v>264</v>
      </c>
      <c r="J105" s="448" t="s">
        <v>456</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60.75" thickBot="1">
      <c r="A106" s="474"/>
      <c r="B106" s="447" t="s">
        <v>443</v>
      </c>
      <c r="C106" s="463"/>
      <c r="D106" s="449" t="s">
        <v>261</v>
      </c>
      <c r="E106" s="262"/>
      <c r="F106" s="447" t="s">
        <v>445</v>
      </c>
      <c r="G106" s="387" t="e">
        <f>VLOOKUP(A106,'Feature Summary'!$A$7:$C$3944,3,FALSE)</f>
        <v>#N/A</v>
      </c>
      <c r="H106" s="447" t="s">
        <v>457</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75.75" thickBot="1">
      <c r="A107" s="474"/>
      <c r="B107" s="447" t="s">
        <v>443</v>
      </c>
      <c r="C107" s="463"/>
      <c r="D107" s="449" t="s">
        <v>261</v>
      </c>
      <c r="E107" s="262"/>
      <c r="F107" s="447" t="s">
        <v>447</v>
      </c>
      <c r="G107" s="387" t="e">
        <f>VLOOKUP(A107,'Feature Summary'!$A$7:$C$3944,3,FALSE)</f>
        <v>#N/A</v>
      </c>
      <c r="H107" s="447" t="s">
        <v>458</v>
      </c>
      <c r="I107" s="447"/>
      <c r="J107" s="448" t="s">
        <v>459</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60.75" thickBot="1">
      <c r="A108" s="474"/>
      <c r="B108" s="447" t="s">
        <v>443</v>
      </c>
      <c r="C108" s="463"/>
      <c r="D108" s="449" t="s">
        <v>261</v>
      </c>
      <c r="E108" s="262"/>
      <c r="F108" s="447" t="s">
        <v>450</v>
      </c>
      <c r="G108" s="387" t="e">
        <f>VLOOKUP(A108,'Feature Summary'!$A$7:$C$3944,3,FALSE)</f>
        <v>#N/A</v>
      </c>
      <c r="H108" s="447" t="s">
        <v>460</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60.75" thickBot="1">
      <c r="A109" s="474"/>
      <c r="B109" s="447" t="s">
        <v>443</v>
      </c>
      <c r="C109" s="463"/>
      <c r="D109" s="449" t="s">
        <v>261</v>
      </c>
      <c r="E109" s="262"/>
      <c r="F109" s="447" t="s">
        <v>452</v>
      </c>
      <c r="G109" s="387" t="e">
        <f>VLOOKUP(A109,'Feature Summary'!$A$7:$C$3944,3,FALSE)</f>
        <v>#N/A</v>
      </c>
      <c r="H109" s="447" t="s">
        <v>461</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30.75" thickBot="1">
      <c r="A110" s="474"/>
      <c r="B110" s="447" t="s">
        <v>443</v>
      </c>
      <c r="C110" s="463"/>
      <c r="D110" s="449" t="s">
        <v>261</v>
      </c>
      <c r="E110" s="262"/>
      <c r="F110" s="447" t="s">
        <v>445</v>
      </c>
      <c r="G110" s="387" t="e">
        <f>VLOOKUP(A110,'Feature Summary'!$A$7:$C$3944,3,FALSE)</f>
        <v>#N/A</v>
      </c>
      <c r="H110" s="447" t="s">
        <v>462</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thickBot="1">
      <c r="A111" s="474" t="s">
        <v>463</v>
      </c>
      <c r="B111" s="463"/>
      <c r="C111" s="463" t="s">
        <v>444</v>
      </c>
      <c r="D111" s="449" t="s">
        <v>261</v>
      </c>
      <c r="E111" s="262"/>
      <c r="F111" s="447" t="s">
        <v>464</v>
      </c>
      <c r="G111" s="387" t="e">
        <f>VLOOKUP(A111,'Feature Summary'!$A$7:$C$3944,3,FALSE)</f>
        <v>#N/A</v>
      </c>
      <c r="H111" s="447" t="s">
        <v>465</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75.75" thickBot="1">
      <c r="A112" s="458"/>
      <c r="B112" s="463"/>
      <c r="C112" s="463"/>
      <c r="D112" s="449" t="s">
        <v>261</v>
      </c>
      <c r="E112" s="262"/>
      <c r="F112" s="447" t="s">
        <v>464</v>
      </c>
      <c r="G112" s="387" t="e">
        <f>VLOOKUP(A112,'Feature Summary'!$A$7:$C$3944,3,FALSE)</f>
        <v>#N/A</v>
      </c>
      <c r="H112" s="447" t="s">
        <v>466</v>
      </c>
      <c r="I112" s="447"/>
      <c r="J112" s="448" t="s">
        <v>459</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45.75" thickBot="1">
      <c r="A113" s="458"/>
      <c r="B113" s="463"/>
      <c r="C113" s="463"/>
      <c r="D113" s="449" t="s">
        <v>261</v>
      </c>
      <c r="E113" s="262"/>
      <c r="F113" s="447" t="s">
        <v>464</v>
      </c>
      <c r="G113" s="387" t="e">
        <f>VLOOKUP(A113,'Feature Summary'!$A$7:$C$3944,3,FALSE)</f>
        <v>#N/A</v>
      </c>
      <c r="H113" s="447" t="s">
        <v>467</v>
      </c>
      <c r="I113" s="447"/>
      <c r="J113" s="448" t="s">
        <v>468</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thickBot="1">
      <c r="A114" s="474" t="s">
        <v>463</v>
      </c>
      <c r="B114" s="463"/>
      <c r="C114" s="463" t="s">
        <v>444</v>
      </c>
      <c r="D114" s="449" t="s">
        <v>261</v>
      </c>
      <c r="E114" s="262"/>
      <c r="F114" s="447" t="s">
        <v>469</v>
      </c>
      <c r="G114" s="387" t="e">
        <f>VLOOKUP(A114,'Feature Summary'!$A$7:$C$3944,3,FALSE)</f>
        <v>#N/A</v>
      </c>
      <c r="H114" s="447" t="s">
        <v>470</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thickBot="1">
      <c r="A115" s="474" t="s">
        <v>463</v>
      </c>
      <c r="B115" s="447" t="s">
        <v>418</v>
      </c>
      <c r="C115" s="463" t="s">
        <v>444</v>
      </c>
      <c r="D115" s="449" t="s">
        <v>261</v>
      </c>
      <c r="E115" s="262"/>
      <c r="F115" s="447" t="s">
        <v>471</v>
      </c>
      <c r="G115" s="387" t="e">
        <f>VLOOKUP(A115,'Feature Summary'!$A$7:$C$3944,3,FALSE)</f>
        <v>#N/A</v>
      </c>
      <c r="H115" s="447" t="s">
        <v>472</v>
      </c>
      <c r="I115" s="488" t="s">
        <v>264</v>
      </c>
      <c r="J115" s="448" t="s">
        <v>473</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thickBot="1">
      <c r="A116" s="474" t="s">
        <v>463</v>
      </c>
      <c r="B116" s="447" t="s">
        <v>306</v>
      </c>
      <c r="C116" s="463" t="s">
        <v>444</v>
      </c>
      <c r="D116" s="449" t="s">
        <v>261</v>
      </c>
      <c r="E116" s="262"/>
      <c r="F116" s="447" t="s">
        <v>474</v>
      </c>
      <c r="G116" s="387" t="e">
        <f>VLOOKUP(A116,'Feature Summary'!$A$7:$C$3944,3,FALSE)</f>
        <v>#N/A</v>
      </c>
      <c r="H116" s="447" t="s">
        <v>475</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thickBot="1">
      <c r="A117" s="474" t="s">
        <v>476</v>
      </c>
      <c r="B117" s="447" t="s">
        <v>477</v>
      </c>
      <c r="C117" s="463" t="s">
        <v>444</v>
      </c>
      <c r="D117" s="449" t="s">
        <v>261</v>
      </c>
      <c r="E117" s="262"/>
      <c r="F117" s="447" t="s">
        <v>478</v>
      </c>
      <c r="G117" s="387" t="e">
        <f>VLOOKUP(A117,'Feature Summary'!$A$7:$C$3944,3,FALSE)</f>
        <v>#N/A</v>
      </c>
      <c r="H117" s="447" t="s">
        <v>479</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120.75" thickBot="1">
      <c r="A118" s="474" t="s">
        <v>476</v>
      </c>
      <c r="B118" s="447" t="s">
        <v>477</v>
      </c>
      <c r="C118" s="463" t="s">
        <v>444</v>
      </c>
      <c r="D118" s="449" t="s">
        <v>261</v>
      </c>
      <c r="E118" s="262"/>
      <c r="F118" s="447" t="s">
        <v>478</v>
      </c>
      <c r="G118" s="387" t="e">
        <f>VLOOKUP(A118,'Feature Summary'!$A$7:$C$3944,3,FALSE)</f>
        <v>#N/A</v>
      </c>
      <c r="H118" s="447" t="s">
        <v>480</v>
      </c>
      <c r="I118" s="488" t="s">
        <v>264</v>
      </c>
      <c r="J118" s="448" t="s">
        <v>481</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thickBot="1">
      <c r="A119" s="474" t="s">
        <v>476</v>
      </c>
      <c r="B119" s="447" t="s">
        <v>477</v>
      </c>
      <c r="C119" s="463" t="s">
        <v>444</v>
      </c>
      <c r="D119" s="449" t="s">
        <v>261</v>
      </c>
      <c r="E119" s="262"/>
      <c r="F119" s="447" t="s">
        <v>478</v>
      </c>
      <c r="G119" s="387" t="e">
        <f>VLOOKUP(A119,'Feature Summary'!$A$7:$C$3944,3,FALSE)</f>
        <v>#N/A</v>
      </c>
      <c r="H119" s="447" t="s">
        <v>482</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thickBot="1">
      <c r="A120" s="474" t="s">
        <v>476</v>
      </c>
      <c r="B120" s="447" t="s">
        <v>477</v>
      </c>
      <c r="C120" s="463" t="s">
        <v>444</v>
      </c>
      <c r="D120" s="449" t="s">
        <v>261</v>
      </c>
      <c r="E120" s="262"/>
      <c r="F120" s="447" t="s">
        <v>478</v>
      </c>
      <c r="G120" s="387" t="e">
        <f>VLOOKUP(A120,'Feature Summary'!$A$7:$C$3944,3,FALSE)</f>
        <v>#N/A</v>
      </c>
      <c r="H120" s="447" t="s">
        <v>483</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135.75" thickBot="1">
      <c r="A121" s="458" t="s">
        <v>484</v>
      </c>
      <c r="B121" s="447"/>
      <c r="C121" s="463" t="s">
        <v>444</v>
      </c>
      <c r="D121" s="449" t="s">
        <v>261</v>
      </c>
      <c r="E121" s="262"/>
      <c r="F121" s="470" t="s">
        <v>485</v>
      </c>
      <c r="G121" s="387" t="str">
        <f>VLOOKUP(A121,'Feature Summary'!$A$7:$C$3944,3,FALSE)</f>
        <v>P3</v>
      </c>
      <c r="H121" s="447" t="s">
        <v>486</v>
      </c>
      <c r="I121" s="488" t="s">
        <v>264</v>
      </c>
      <c r="J121" s="448" t="s">
        <v>487</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45.75" thickBot="1">
      <c r="A122" s="474"/>
      <c r="B122" s="447"/>
      <c r="C122" s="463"/>
      <c r="D122" s="449" t="s">
        <v>261</v>
      </c>
      <c r="E122" s="262"/>
      <c r="F122" s="447" t="s">
        <v>478</v>
      </c>
      <c r="G122" s="387" t="e">
        <f>VLOOKUP(A122,'Feature Summary'!$A$7:$C$3944,3,FALSE)</f>
        <v>#N/A</v>
      </c>
      <c r="H122" s="447" t="s">
        <v>488</v>
      </c>
      <c r="I122" s="447"/>
      <c r="J122" s="448" t="s">
        <v>489</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150.75" thickBot="1">
      <c r="A123" s="474"/>
      <c r="B123" s="447"/>
      <c r="C123" s="463"/>
      <c r="D123" s="449" t="s">
        <v>261</v>
      </c>
      <c r="E123" s="262"/>
      <c r="F123" s="447" t="s">
        <v>478</v>
      </c>
      <c r="G123" s="387" t="e">
        <f>VLOOKUP(A123,'Feature Summary'!$A$7:$C$3944,3,FALSE)</f>
        <v>#N/A</v>
      </c>
      <c r="H123" s="447" t="s">
        <v>490</v>
      </c>
      <c r="I123" s="447"/>
      <c r="J123" s="448" t="s">
        <v>491</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customHeight="1" thickBot="1">
      <c r="A124" s="474"/>
      <c r="B124" s="447"/>
      <c r="C124" s="463"/>
      <c r="D124" s="449" t="s">
        <v>261</v>
      </c>
      <c r="E124" s="262"/>
      <c r="F124" s="447" t="s">
        <v>478</v>
      </c>
      <c r="G124" s="387" t="e">
        <f>VLOOKUP(A124,'Feature Summary'!$A$7:$C$3944,3,FALSE)</f>
        <v>#N/A</v>
      </c>
      <c r="H124" s="447" t="s">
        <v>492</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45.75" thickBot="1">
      <c r="A125" s="474"/>
      <c r="B125" s="447"/>
      <c r="C125" s="463"/>
      <c r="D125" s="449" t="s">
        <v>261</v>
      </c>
      <c r="E125" s="262"/>
      <c r="F125" s="447" t="s">
        <v>478</v>
      </c>
      <c r="G125" s="387" t="e">
        <f>VLOOKUP(A125,'Feature Summary'!$A$7:$C$3944,3,FALSE)</f>
        <v>#N/A</v>
      </c>
      <c r="H125" s="447" t="s">
        <v>493</v>
      </c>
      <c r="I125" s="447"/>
      <c r="J125" s="448" t="s">
        <v>494</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105.75" thickBot="1">
      <c r="A126" s="446" t="s">
        <v>495</v>
      </c>
      <c r="B126" s="447" t="s">
        <v>496</v>
      </c>
      <c r="C126" s="463" t="s">
        <v>444</v>
      </c>
      <c r="D126" s="449" t="s">
        <v>261</v>
      </c>
      <c r="E126" s="262"/>
      <c r="F126" s="447" t="s">
        <v>497</v>
      </c>
      <c r="G126" s="387" t="str">
        <f>VLOOKUP(A126,'Feature Summary'!$A$7:$C$3944,3,FALSE)</f>
        <v>P2</v>
      </c>
      <c r="H126" s="447" t="s">
        <v>498</v>
      </c>
      <c r="I126" s="488" t="s">
        <v>264</v>
      </c>
      <c r="J126" s="448" t="s">
        <v>499</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75.75" thickBot="1">
      <c r="A127" s="446" t="s">
        <v>495</v>
      </c>
      <c r="B127" s="447" t="s">
        <v>500</v>
      </c>
      <c r="C127" s="463" t="s">
        <v>444</v>
      </c>
      <c r="D127" s="449" t="s">
        <v>261</v>
      </c>
      <c r="E127" s="262"/>
      <c r="F127" s="447" t="s">
        <v>501</v>
      </c>
      <c r="G127" s="387" t="str">
        <f>VLOOKUP(A127,'Feature Summary'!$A$7:$C$3944,3,FALSE)</f>
        <v>P2</v>
      </c>
      <c r="H127" s="447" t="s">
        <v>502</v>
      </c>
      <c r="I127" s="488" t="s">
        <v>264</v>
      </c>
      <c r="J127" s="448" t="s">
        <v>503</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75.75" thickBot="1">
      <c r="A128" s="446" t="s">
        <v>495</v>
      </c>
      <c r="B128" s="447" t="s">
        <v>500</v>
      </c>
      <c r="C128" s="463" t="s">
        <v>444</v>
      </c>
      <c r="D128" s="449" t="s">
        <v>261</v>
      </c>
      <c r="E128" s="262"/>
      <c r="F128" s="447" t="s">
        <v>504</v>
      </c>
      <c r="G128" s="387" t="str">
        <f>VLOOKUP(A128,'Feature Summary'!$A$7:$C$3944,3,FALSE)</f>
        <v>P2</v>
      </c>
      <c r="H128" s="447" t="s">
        <v>505</v>
      </c>
      <c r="I128" s="488" t="s">
        <v>264</v>
      </c>
      <c r="J128" s="448" t="s">
        <v>503</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135.75" thickBot="1">
      <c r="A129" s="446" t="s">
        <v>495</v>
      </c>
      <c r="B129" s="447" t="s">
        <v>500</v>
      </c>
      <c r="C129" s="463" t="s">
        <v>444</v>
      </c>
      <c r="D129" s="449" t="s">
        <v>261</v>
      </c>
      <c r="E129" s="262"/>
      <c r="F129" s="470" t="s">
        <v>506</v>
      </c>
      <c r="G129" s="387" t="str">
        <f>VLOOKUP(A129,'Feature Summary'!$A$7:$C$3944,3,FALSE)</f>
        <v>P2</v>
      </c>
      <c r="H129" s="447" t="s">
        <v>507</v>
      </c>
      <c r="I129" s="488" t="s">
        <v>264</v>
      </c>
      <c r="J129" s="478" t="s">
        <v>508</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135.75" thickBot="1">
      <c r="A130" s="446" t="s">
        <v>495</v>
      </c>
      <c r="B130" s="447" t="s">
        <v>500</v>
      </c>
      <c r="C130" s="463" t="s">
        <v>444</v>
      </c>
      <c r="D130" s="449" t="s">
        <v>261</v>
      </c>
      <c r="E130" s="262"/>
      <c r="F130" s="470" t="s">
        <v>509</v>
      </c>
      <c r="G130" s="387" t="str">
        <f>VLOOKUP(A130,'Feature Summary'!$A$7:$C$3944,3,FALSE)</f>
        <v>P2</v>
      </c>
      <c r="H130" s="447" t="s">
        <v>510</v>
      </c>
      <c r="I130" s="488" t="s">
        <v>264</v>
      </c>
      <c r="J130" s="478" t="s">
        <v>511</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90.75" thickBot="1">
      <c r="A131" s="446" t="s">
        <v>495</v>
      </c>
      <c r="B131" s="463"/>
      <c r="C131" s="463" t="s">
        <v>444</v>
      </c>
      <c r="D131" s="449" t="s">
        <v>261</v>
      </c>
      <c r="E131" s="262"/>
      <c r="F131" s="470" t="s">
        <v>512</v>
      </c>
      <c r="G131" s="387" t="str">
        <f>VLOOKUP(A131,'Feature Summary'!$A$7:$C$3944,3,FALSE)</f>
        <v>P2</v>
      </c>
      <c r="H131" s="447" t="s">
        <v>513</v>
      </c>
      <c r="I131" s="488" t="s">
        <v>264</v>
      </c>
      <c r="J131" s="478" t="s">
        <v>514</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45.75" thickBot="1">
      <c r="A132" s="446" t="s">
        <v>495</v>
      </c>
      <c r="B132" s="463"/>
      <c r="C132" s="463" t="s">
        <v>444</v>
      </c>
      <c r="D132" s="449" t="s">
        <v>261</v>
      </c>
      <c r="E132" s="262"/>
      <c r="F132" s="470" t="s">
        <v>512</v>
      </c>
      <c r="G132" s="387" t="str">
        <f>VLOOKUP(A132,'Feature Summary'!$A$7:$C$3944,3,FALSE)</f>
        <v>P2</v>
      </c>
      <c r="H132" s="447" t="s">
        <v>515</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75.75" thickBot="1">
      <c r="A133" s="446" t="s">
        <v>495</v>
      </c>
      <c r="B133" s="447" t="s">
        <v>500</v>
      </c>
      <c r="C133" s="463" t="s">
        <v>444</v>
      </c>
      <c r="D133" s="449" t="s">
        <v>261</v>
      </c>
      <c r="E133" s="262"/>
      <c r="F133" s="470" t="s">
        <v>516</v>
      </c>
      <c r="G133" s="387" t="str">
        <f>VLOOKUP(A133,'Feature Summary'!$A$7:$C$3944,3,FALSE)</f>
        <v>P2</v>
      </c>
      <c r="H133" s="447" t="s">
        <v>517</v>
      </c>
      <c r="I133" s="488" t="s">
        <v>264</v>
      </c>
      <c r="J133" s="478" t="s">
        <v>518</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75.75" thickBot="1">
      <c r="A134" s="446" t="s">
        <v>495</v>
      </c>
      <c r="B134" s="447" t="s">
        <v>500</v>
      </c>
      <c r="C134" s="463" t="s">
        <v>444</v>
      </c>
      <c r="D134" s="449" t="s">
        <v>261</v>
      </c>
      <c r="E134" s="262"/>
      <c r="F134" s="470" t="s">
        <v>504</v>
      </c>
      <c r="G134" s="387" t="str">
        <f>VLOOKUP(A134,'Feature Summary'!$A$7:$C$3944,3,FALSE)</f>
        <v>P2</v>
      </c>
      <c r="H134" s="447" t="s">
        <v>519</v>
      </c>
      <c r="I134" s="488" t="s">
        <v>264</v>
      </c>
      <c r="J134" s="478" t="s">
        <v>520</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135.75" thickBot="1">
      <c r="A135" s="446" t="s">
        <v>495</v>
      </c>
      <c r="B135" s="447" t="s">
        <v>500</v>
      </c>
      <c r="C135" s="463" t="s">
        <v>444</v>
      </c>
      <c r="D135" s="449" t="s">
        <v>261</v>
      </c>
      <c r="E135" s="262"/>
      <c r="F135" s="470" t="s">
        <v>521</v>
      </c>
      <c r="G135" s="387" t="str">
        <f>VLOOKUP(A135,'Feature Summary'!$A$7:$C$3944,3,FALSE)</f>
        <v>P2</v>
      </c>
      <c r="H135" s="447" t="s">
        <v>522</v>
      </c>
      <c r="I135" s="488" t="s">
        <v>264</v>
      </c>
      <c r="J135" s="478" t="s">
        <v>523</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135.75" thickBot="1">
      <c r="A136" s="446" t="s">
        <v>495</v>
      </c>
      <c r="B136" s="447" t="s">
        <v>500</v>
      </c>
      <c r="C136" s="463" t="s">
        <v>444</v>
      </c>
      <c r="D136" s="449" t="s">
        <v>261</v>
      </c>
      <c r="E136" s="262"/>
      <c r="F136" s="470" t="s">
        <v>509</v>
      </c>
      <c r="G136" s="387" t="str">
        <f>VLOOKUP(A136,'Feature Summary'!$A$7:$C$3944,3,FALSE)</f>
        <v>P2</v>
      </c>
      <c r="H136" s="447" t="s">
        <v>524</v>
      </c>
      <c r="I136" s="488" t="s">
        <v>264</v>
      </c>
      <c r="J136" s="478" t="s">
        <v>523</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60.75" thickBot="1">
      <c r="A137" s="458"/>
      <c r="B137" s="447" t="s">
        <v>496</v>
      </c>
      <c r="C137" s="463"/>
      <c r="D137" s="449" t="s">
        <v>261</v>
      </c>
      <c r="E137" s="262"/>
      <c r="F137" s="447" t="s">
        <v>497</v>
      </c>
      <c r="G137" s="387" t="e">
        <f>VLOOKUP(A137,'Feature Summary'!$A$7:$C$3944,3,FALSE)</f>
        <v>#N/A</v>
      </c>
      <c r="H137" s="447" t="s">
        <v>525</v>
      </c>
      <c r="I137" s="447"/>
      <c r="J137" s="448" t="s">
        <v>526</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90.75" thickBot="1">
      <c r="A138" s="458"/>
      <c r="B138" s="447" t="s">
        <v>500</v>
      </c>
      <c r="C138" s="463"/>
      <c r="D138" s="449" t="s">
        <v>261</v>
      </c>
      <c r="E138" s="262"/>
      <c r="F138" s="447" t="s">
        <v>501</v>
      </c>
      <c r="G138" s="387" t="e">
        <f>VLOOKUP(A138,'Feature Summary'!$A$7:$C$3944,3,FALSE)</f>
        <v>#N/A</v>
      </c>
      <c r="H138" s="447" t="s">
        <v>527</v>
      </c>
      <c r="I138" s="447"/>
      <c r="J138" s="448" t="s">
        <v>528</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90.75" thickBot="1">
      <c r="A139" s="458"/>
      <c r="B139" s="447" t="s">
        <v>500</v>
      </c>
      <c r="C139" s="463"/>
      <c r="D139" s="449" t="s">
        <v>261</v>
      </c>
      <c r="E139" s="262"/>
      <c r="F139" s="447" t="s">
        <v>504</v>
      </c>
      <c r="G139" s="387" t="e">
        <f>VLOOKUP(A139,'Feature Summary'!$A$7:$C$3944,3,FALSE)</f>
        <v>#N/A</v>
      </c>
      <c r="H139" s="447" t="s">
        <v>529</v>
      </c>
      <c r="I139" s="447"/>
      <c r="J139" s="448" t="s">
        <v>530</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customHeight="1" thickBot="1">
      <c r="A140" s="458"/>
      <c r="B140" s="447" t="s">
        <v>500</v>
      </c>
      <c r="C140" s="463"/>
      <c r="D140" s="449" t="s">
        <v>261</v>
      </c>
      <c r="E140" s="262"/>
      <c r="F140" s="470" t="s">
        <v>506</v>
      </c>
      <c r="G140" s="387" t="e">
        <f>VLOOKUP(A140,'Feature Summary'!$A$7:$C$3944,3,FALSE)</f>
        <v>#N/A</v>
      </c>
      <c r="H140" s="447" t="s">
        <v>531</v>
      </c>
      <c r="I140" s="447"/>
      <c r="J140" s="478" t="s">
        <v>532</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150.75" thickBot="1">
      <c r="A141" s="458"/>
      <c r="B141" s="447" t="s">
        <v>500</v>
      </c>
      <c r="C141" s="463"/>
      <c r="D141" s="449" t="s">
        <v>261</v>
      </c>
      <c r="E141" s="262"/>
      <c r="F141" s="470" t="s">
        <v>509</v>
      </c>
      <c r="G141" s="387" t="e">
        <f>VLOOKUP(A141,'Feature Summary'!$A$7:$C$3944,3,FALSE)</f>
        <v>#N/A</v>
      </c>
      <c r="H141" s="447" t="s">
        <v>533</v>
      </c>
      <c r="I141" s="447"/>
      <c r="J141" s="478" t="s">
        <v>534</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60.75" thickBot="1">
      <c r="A142" s="458"/>
      <c r="B142" s="463"/>
      <c r="C142" s="463"/>
      <c r="D142" s="449" t="s">
        <v>261</v>
      </c>
      <c r="E142" s="262"/>
      <c r="F142" s="470" t="s">
        <v>512</v>
      </c>
      <c r="G142" s="387" t="e">
        <f>VLOOKUP(A142,'Feature Summary'!$A$7:$C$3944,3,FALSE)</f>
        <v>#N/A</v>
      </c>
      <c r="H142" s="447" t="s">
        <v>535</v>
      </c>
      <c r="I142" s="447"/>
      <c r="J142" s="478" t="s">
        <v>536</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60.75" thickBot="1">
      <c r="A143" s="458"/>
      <c r="B143" s="463"/>
      <c r="C143" s="463"/>
      <c r="D143" s="449" t="s">
        <v>261</v>
      </c>
      <c r="E143" s="262"/>
      <c r="F143" s="470" t="s">
        <v>512</v>
      </c>
      <c r="G143" s="387" t="e">
        <f>VLOOKUP(A143,'Feature Summary'!$A$7:$C$3944,3,FALSE)</f>
        <v>#N/A</v>
      </c>
      <c r="H143" s="447" t="s">
        <v>537</v>
      </c>
      <c r="I143" s="447"/>
      <c r="J143" s="478" t="s">
        <v>536</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90.75" thickBot="1">
      <c r="A144" s="458"/>
      <c r="B144" s="447" t="s">
        <v>500</v>
      </c>
      <c r="C144" s="463"/>
      <c r="D144" s="449" t="s">
        <v>261</v>
      </c>
      <c r="E144" s="262"/>
      <c r="F144" s="470" t="s">
        <v>516</v>
      </c>
      <c r="G144" s="387" t="e">
        <f>VLOOKUP(A144,'Feature Summary'!$A$7:$C$3944,3,FALSE)</f>
        <v>#N/A</v>
      </c>
      <c r="H144" s="447" t="s">
        <v>538</v>
      </c>
      <c r="I144" s="447"/>
      <c r="J144" s="478" t="s">
        <v>539</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150.75" thickBot="1">
      <c r="A145" s="458"/>
      <c r="B145" s="447" t="s">
        <v>500</v>
      </c>
      <c r="C145" s="463"/>
      <c r="D145" s="449" t="s">
        <v>261</v>
      </c>
      <c r="E145" s="262"/>
      <c r="F145" s="470" t="s">
        <v>504</v>
      </c>
      <c r="G145" s="387" t="e">
        <f>VLOOKUP(A145,'Feature Summary'!$A$7:$C$3944,3,FALSE)</f>
        <v>#N/A</v>
      </c>
      <c r="H145" s="447" t="s">
        <v>540</v>
      </c>
      <c r="I145" s="447"/>
      <c r="J145" s="478" t="s">
        <v>541</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150.75" thickBot="1">
      <c r="A146" s="458"/>
      <c r="B146" s="447" t="s">
        <v>500</v>
      </c>
      <c r="C146" s="463"/>
      <c r="D146" s="449" t="s">
        <v>261</v>
      </c>
      <c r="E146" s="262"/>
      <c r="F146" s="470" t="s">
        <v>521</v>
      </c>
      <c r="G146" s="387" t="e">
        <f>VLOOKUP(A146,'Feature Summary'!$A$7:$C$3944,3,FALSE)</f>
        <v>#N/A</v>
      </c>
      <c r="H146" s="447" t="s">
        <v>542</v>
      </c>
      <c r="I146" s="447"/>
      <c r="J146" s="478" t="s">
        <v>541</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150.75" thickBot="1">
      <c r="A147" s="458"/>
      <c r="B147" s="447" t="s">
        <v>500</v>
      </c>
      <c r="C147" s="463"/>
      <c r="D147" s="449" t="s">
        <v>261</v>
      </c>
      <c r="E147" s="262"/>
      <c r="F147" s="470" t="s">
        <v>509</v>
      </c>
      <c r="G147" s="387" t="e">
        <f>VLOOKUP(A147,'Feature Summary'!$A$7:$C$3944,3,FALSE)</f>
        <v>#N/A</v>
      </c>
      <c r="H147" s="447" t="s">
        <v>543</v>
      </c>
      <c r="I147" s="447"/>
      <c r="J147" s="478" t="s">
        <v>541</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60.75" thickBot="1">
      <c r="A148" s="474" t="s">
        <v>544</v>
      </c>
      <c r="B148" s="447" t="s">
        <v>500</v>
      </c>
      <c r="C148" s="463" t="s">
        <v>444</v>
      </c>
      <c r="D148" s="449" t="s">
        <v>261</v>
      </c>
      <c r="E148" s="262"/>
      <c r="F148" s="447" t="s">
        <v>545</v>
      </c>
      <c r="G148" s="387" t="str">
        <f>VLOOKUP(A148,'Feature Summary'!$A$7:$C$3944,3,FALSE)</f>
        <v>P2</v>
      </c>
      <c r="H148" s="447" t="s">
        <v>546</v>
      </c>
      <c r="I148" s="488" t="s">
        <v>264</v>
      </c>
      <c r="J148" s="478" t="s">
        <v>547</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30.75" thickBot="1">
      <c r="A149" s="458" t="s">
        <v>544</v>
      </c>
      <c r="B149" s="447" t="s">
        <v>500</v>
      </c>
      <c r="C149" s="463" t="s">
        <v>444</v>
      </c>
      <c r="D149" s="449" t="s">
        <v>261</v>
      </c>
      <c r="E149" s="262"/>
      <c r="F149" s="470" t="s">
        <v>548</v>
      </c>
      <c r="G149" s="387" t="str">
        <f>VLOOKUP(A149,'Feature Summary'!$A$7:$C$3944,3,FALSE)</f>
        <v>P2</v>
      </c>
      <c r="H149" s="447" t="s">
        <v>549</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75.75" thickBot="1">
      <c r="A150" s="458" t="s">
        <v>544</v>
      </c>
      <c r="B150" s="447" t="s">
        <v>500</v>
      </c>
      <c r="C150" s="463" t="s">
        <v>444</v>
      </c>
      <c r="D150" s="449" t="s">
        <v>261</v>
      </c>
      <c r="E150" s="262"/>
      <c r="F150" s="470" t="s">
        <v>550</v>
      </c>
      <c r="G150" s="387" t="str">
        <f>VLOOKUP(A150,'Feature Summary'!$A$7:$C$3944,3,FALSE)</f>
        <v>P2</v>
      </c>
      <c r="H150" s="447" t="s">
        <v>551</v>
      </c>
      <c r="I150" s="488" t="s">
        <v>264</v>
      </c>
      <c r="J150" s="478" t="s">
        <v>552</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105.75" thickBot="1">
      <c r="A151" s="458"/>
      <c r="B151" s="447" t="s">
        <v>500</v>
      </c>
      <c r="C151" s="463" t="s">
        <v>444</v>
      </c>
      <c r="D151" s="449" t="s">
        <v>261</v>
      </c>
      <c r="E151" s="262"/>
      <c r="F151" s="470" t="s">
        <v>553</v>
      </c>
      <c r="G151" s="387" t="e">
        <f>VLOOKUP(A151,'Feature Summary'!$A$7:$C$3944,3,FALSE)</f>
        <v>#N/A</v>
      </c>
      <c r="H151" s="447" t="s">
        <v>554</v>
      </c>
      <c r="I151" s="488" t="s">
        <v>264</v>
      </c>
      <c r="J151" s="478" t="s">
        <v>555</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30.75" thickBot="1">
      <c r="A152" s="458"/>
      <c r="B152" s="447" t="s">
        <v>500</v>
      </c>
      <c r="C152" s="463" t="s">
        <v>444</v>
      </c>
      <c r="D152" s="449" t="s">
        <v>261</v>
      </c>
      <c r="E152" s="262"/>
      <c r="F152" s="470" t="s">
        <v>556</v>
      </c>
      <c r="G152" s="387" t="e">
        <f>VLOOKUP(A152,'Feature Summary'!$A$7:$C$3944,3,FALSE)</f>
        <v>#N/A</v>
      </c>
      <c r="H152" s="447" t="s">
        <v>557</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60.75" thickBot="1">
      <c r="A153" s="458"/>
      <c r="B153" s="447" t="s">
        <v>500</v>
      </c>
      <c r="C153" s="463" t="s">
        <v>444</v>
      </c>
      <c r="D153" s="449" t="s">
        <v>261</v>
      </c>
      <c r="E153" s="262"/>
      <c r="F153" s="470" t="s">
        <v>558</v>
      </c>
      <c r="G153" s="387" t="e">
        <f>VLOOKUP(A153,'Feature Summary'!$A$7:$C$3944,3,FALSE)</f>
        <v>#N/A</v>
      </c>
      <c r="H153" s="447" t="s">
        <v>559</v>
      </c>
      <c r="I153" s="488" t="s">
        <v>264</v>
      </c>
      <c r="J153" s="478" t="s">
        <v>560</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60.75" thickBot="1">
      <c r="A154" s="458" t="s">
        <v>484</v>
      </c>
      <c r="B154" s="447" t="s">
        <v>500</v>
      </c>
      <c r="C154" s="463" t="s">
        <v>444</v>
      </c>
      <c r="D154" s="449" t="s">
        <v>261</v>
      </c>
      <c r="E154" s="262"/>
      <c r="F154" s="470" t="s">
        <v>561</v>
      </c>
      <c r="G154" s="387" t="str">
        <f>VLOOKUP(A154,'Feature Summary'!$A$7:$C$3944,3,FALSE)</f>
        <v>P3</v>
      </c>
      <c r="H154" s="447" t="s">
        <v>562</v>
      </c>
      <c r="I154" s="488" t="s">
        <v>264</v>
      </c>
      <c r="J154" s="478" t="s">
        <v>563</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105.75" thickBot="1">
      <c r="A155" s="458" t="s">
        <v>484</v>
      </c>
      <c r="B155" s="447" t="s">
        <v>500</v>
      </c>
      <c r="C155" s="463" t="s">
        <v>444</v>
      </c>
      <c r="D155" s="449" t="s">
        <v>261</v>
      </c>
      <c r="E155" s="262"/>
      <c r="F155" s="470" t="s">
        <v>561</v>
      </c>
      <c r="G155" s="387" t="str">
        <f>VLOOKUP(A155,'Feature Summary'!$A$7:$C$3944,3,FALSE)</f>
        <v>P3</v>
      </c>
      <c r="H155" s="447" t="s">
        <v>564</v>
      </c>
      <c r="I155" s="488" t="s">
        <v>264</v>
      </c>
      <c r="J155" s="478" t="s">
        <v>565</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45.75" thickBot="1">
      <c r="A156" s="458"/>
      <c r="B156" s="447" t="s">
        <v>500</v>
      </c>
      <c r="C156" s="463"/>
      <c r="D156" s="449" t="s">
        <v>261</v>
      </c>
      <c r="E156" s="262"/>
      <c r="F156" s="447" t="s">
        <v>545</v>
      </c>
      <c r="G156" s="387" t="e">
        <f>VLOOKUP(A156,'Feature Summary'!$A$7:$C$3944,3,FALSE)</f>
        <v>#N/A</v>
      </c>
      <c r="H156" s="447" t="s">
        <v>566</v>
      </c>
      <c r="I156" s="447"/>
      <c r="J156" s="478" t="s">
        <v>489</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45.75" thickBot="1">
      <c r="A157" s="458"/>
      <c r="B157" s="447" t="s">
        <v>500</v>
      </c>
      <c r="C157" s="463"/>
      <c r="D157" s="449" t="s">
        <v>261</v>
      </c>
      <c r="E157" s="262"/>
      <c r="F157" s="470" t="s">
        <v>548</v>
      </c>
      <c r="G157" s="387" t="e">
        <f>VLOOKUP(A157,'Feature Summary'!$A$7:$C$3944,3,FALSE)</f>
        <v>#N/A</v>
      </c>
      <c r="H157" s="447" t="s">
        <v>567</v>
      </c>
      <c r="I157" s="447"/>
      <c r="J157" s="478" t="s">
        <v>489</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75.75" thickBot="1">
      <c r="A158" s="458"/>
      <c r="B158" s="447" t="s">
        <v>500</v>
      </c>
      <c r="C158" s="463"/>
      <c r="D158" s="449" t="s">
        <v>261</v>
      </c>
      <c r="E158" s="262"/>
      <c r="F158" s="470" t="s">
        <v>550</v>
      </c>
      <c r="G158" s="387" t="e">
        <f>VLOOKUP(A158,'Feature Summary'!$A$7:$C$3944,3,FALSE)</f>
        <v>#N/A</v>
      </c>
      <c r="H158" s="447" t="s">
        <v>568</v>
      </c>
      <c r="I158" s="447"/>
      <c r="J158" s="478" t="s">
        <v>569</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45.75" thickBot="1">
      <c r="A159" s="458"/>
      <c r="B159" s="447" t="s">
        <v>500</v>
      </c>
      <c r="C159" s="463"/>
      <c r="D159" s="449" t="s">
        <v>261</v>
      </c>
      <c r="E159" s="262"/>
      <c r="F159" s="470" t="s">
        <v>553</v>
      </c>
      <c r="G159" s="387" t="e">
        <f>VLOOKUP(A159,'Feature Summary'!$A$7:$C$3944,3,FALSE)</f>
        <v>#N/A</v>
      </c>
      <c r="H159" s="447" t="s">
        <v>570</v>
      </c>
      <c r="I159" s="447"/>
      <c r="J159" s="478" t="s">
        <v>489</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45.75" thickBot="1">
      <c r="A160" s="458"/>
      <c r="B160" s="447" t="s">
        <v>500</v>
      </c>
      <c r="C160" s="463"/>
      <c r="D160" s="449" t="s">
        <v>261</v>
      </c>
      <c r="E160" s="262"/>
      <c r="F160" s="470" t="s">
        <v>556</v>
      </c>
      <c r="G160" s="387" t="e">
        <f>VLOOKUP(A160,'Feature Summary'!$A$7:$C$3944,3,FALSE)</f>
        <v>#N/A</v>
      </c>
      <c r="H160" s="447" t="s">
        <v>571</v>
      </c>
      <c r="I160" s="447"/>
      <c r="J160" s="478" t="s">
        <v>489</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75.75" thickBot="1">
      <c r="A161" s="458"/>
      <c r="B161" s="447" t="s">
        <v>500</v>
      </c>
      <c r="C161" s="463"/>
      <c r="D161" s="449" t="s">
        <v>261</v>
      </c>
      <c r="E161" s="262"/>
      <c r="F161" s="470" t="s">
        <v>558</v>
      </c>
      <c r="G161" s="387" t="e">
        <f>VLOOKUP(A161,'Feature Summary'!$A$7:$C$3944,3,FALSE)</f>
        <v>#N/A</v>
      </c>
      <c r="H161" s="447" t="s">
        <v>572</v>
      </c>
      <c r="I161" s="447"/>
      <c r="J161" s="478" t="s">
        <v>569</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90.75" thickBot="1">
      <c r="A162" s="270" t="s">
        <v>573</v>
      </c>
      <c r="B162" s="447" t="s">
        <v>574</v>
      </c>
      <c r="C162" s="463" t="s">
        <v>354</v>
      </c>
      <c r="D162" s="449" t="s">
        <v>261</v>
      </c>
      <c r="E162" s="262"/>
      <c r="F162" s="447" t="s">
        <v>575</v>
      </c>
      <c r="G162" s="387" t="e">
        <f>VLOOKUP(A162,'Feature Summary'!$A$7:$C$3944,3,FALSE)</f>
        <v>#N/A</v>
      </c>
      <c r="H162" s="447" t="s">
        <v>576</v>
      </c>
      <c r="I162" s="488" t="s">
        <v>264</v>
      </c>
      <c r="J162" s="479" t="s">
        <v>577</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90.75" thickBot="1">
      <c r="A163" s="270" t="s">
        <v>573</v>
      </c>
      <c r="B163" s="447" t="s">
        <v>574</v>
      </c>
      <c r="C163" s="463" t="s">
        <v>354</v>
      </c>
      <c r="D163" s="449" t="s">
        <v>261</v>
      </c>
      <c r="E163" s="262"/>
      <c r="F163" s="447" t="s">
        <v>578</v>
      </c>
      <c r="G163" s="387" t="e">
        <f>VLOOKUP(A163,'Feature Summary'!$A$7:$C$3944,3,FALSE)</f>
        <v>#N/A</v>
      </c>
      <c r="H163" s="447" t="s">
        <v>579</v>
      </c>
      <c r="I163" s="488" t="s">
        <v>264</v>
      </c>
      <c r="J163" s="479" t="s">
        <v>580</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90.75" thickBot="1">
      <c r="A164" s="270" t="s">
        <v>573</v>
      </c>
      <c r="B164" s="447" t="s">
        <v>574</v>
      </c>
      <c r="C164" s="463" t="s">
        <v>354</v>
      </c>
      <c r="D164" s="449" t="s">
        <v>261</v>
      </c>
      <c r="E164" s="262"/>
      <c r="F164" s="447" t="s">
        <v>581</v>
      </c>
      <c r="G164" s="387" t="e">
        <f>VLOOKUP(A164,'Feature Summary'!$A$7:$C$3944,3,FALSE)</f>
        <v>#N/A</v>
      </c>
      <c r="H164" s="447" t="s">
        <v>582</v>
      </c>
      <c r="I164" s="488" t="s">
        <v>264</v>
      </c>
      <c r="J164" s="478" t="s">
        <v>583</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90.75" thickBot="1">
      <c r="A165" s="270" t="s">
        <v>573</v>
      </c>
      <c r="B165" s="447" t="s">
        <v>574</v>
      </c>
      <c r="C165" s="463" t="s">
        <v>354</v>
      </c>
      <c r="D165" s="449" t="s">
        <v>261</v>
      </c>
      <c r="E165" s="262"/>
      <c r="F165" s="447" t="s">
        <v>584</v>
      </c>
      <c r="G165" s="387" t="e">
        <f>VLOOKUP(A165,'Feature Summary'!$A$7:$C$3944,3,FALSE)</f>
        <v>#N/A</v>
      </c>
      <c r="H165" s="447" t="s">
        <v>585</v>
      </c>
      <c r="I165" s="488" t="s">
        <v>264</v>
      </c>
      <c r="J165" s="478" t="s">
        <v>586</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30.75" thickBot="1">
      <c r="A166" s="446" t="s">
        <v>305</v>
      </c>
      <c r="B166" s="447"/>
      <c r="C166" s="463" t="s">
        <v>444</v>
      </c>
      <c r="D166" s="449" t="s">
        <v>261</v>
      </c>
      <c r="E166" s="262"/>
      <c r="F166" s="447" t="s">
        <v>587</v>
      </c>
      <c r="G166" s="387" t="str">
        <f>VLOOKUP(A166,'Feature Summary'!$A$7:$C$3944,3,FALSE)</f>
        <v>P2</v>
      </c>
      <c r="H166" s="447" t="s">
        <v>588</v>
      </c>
      <c r="I166" s="488" t="s">
        <v>264</v>
      </c>
      <c r="J166" s="478" t="s">
        <v>320</v>
      </c>
      <c r="K166" s="263">
        <v>6</v>
      </c>
      <c r="L166" s="391">
        <v>6</v>
      </c>
      <c r="M166" s="399" t="s">
        <v>33</v>
      </c>
      <c r="N166" s="475">
        <v>1</v>
      </c>
      <c r="O166" s="391">
        <v>6</v>
      </c>
      <c r="P166" s="496">
        <f t="shared" si="24"/>
        <v>1</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30.75" thickBot="1">
      <c r="A167" s="446" t="s">
        <v>305</v>
      </c>
      <c r="B167" s="447"/>
      <c r="C167" s="463" t="s">
        <v>444</v>
      </c>
      <c r="D167" s="449" t="s">
        <v>261</v>
      </c>
      <c r="E167" s="262"/>
      <c r="F167" s="447" t="s">
        <v>589</v>
      </c>
      <c r="G167" s="387" t="str">
        <f>VLOOKUP(A167,'Feature Summary'!$A$7:$C$3944,3,FALSE)</f>
        <v>P2</v>
      </c>
      <c r="H167" s="447" t="s">
        <v>590</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30.75" thickBot="1">
      <c r="A168" s="446" t="s">
        <v>305</v>
      </c>
      <c r="B168" s="447"/>
      <c r="C168" s="463" t="s">
        <v>444</v>
      </c>
      <c r="D168" s="449" t="s">
        <v>261</v>
      </c>
      <c r="E168" s="262"/>
      <c r="F168" s="447" t="s">
        <v>591</v>
      </c>
      <c r="G168" s="387" t="str">
        <f>VLOOKUP(A168,'Feature Summary'!$A$7:$C$3944,3,FALSE)</f>
        <v>P2</v>
      </c>
      <c r="H168" s="447" t="s">
        <v>592</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30.75" thickBot="1">
      <c r="A169" s="446" t="s">
        <v>305</v>
      </c>
      <c r="B169" s="447"/>
      <c r="C169" s="463" t="s">
        <v>444</v>
      </c>
      <c r="D169" s="449" t="s">
        <v>261</v>
      </c>
      <c r="E169" s="262"/>
      <c r="F169" s="447" t="s">
        <v>593</v>
      </c>
      <c r="G169" s="387" t="str">
        <f>VLOOKUP(A169,'Feature Summary'!$A$7:$C$3944,3,FALSE)</f>
        <v>P2</v>
      </c>
      <c r="H169" s="447" t="s">
        <v>594</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thickBot="1">
      <c r="A170" s="446" t="s">
        <v>595</v>
      </c>
      <c r="B170" s="463" t="s">
        <v>596</v>
      </c>
      <c r="C170" s="463" t="s">
        <v>444</v>
      </c>
      <c r="D170" s="449" t="s">
        <v>261</v>
      </c>
      <c r="E170" s="262"/>
      <c r="F170" s="447" t="s">
        <v>597</v>
      </c>
      <c r="G170" s="387" t="str">
        <f>VLOOKUP(A170,'Feature Summary'!$A$7:$C$3944,3,FALSE)</f>
        <v>P2</v>
      </c>
      <c r="H170" s="447" t="s">
        <v>598</v>
      </c>
      <c r="I170" s="488" t="s">
        <v>264</v>
      </c>
      <c r="J170" s="447" t="s">
        <v>449</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c r="A171" s="474"/>
      <c r="B171" s="463" t="s">
        <v>596</v>
      </c>
      <c r="C171" s="463" t="s">
        <v>444</v>
      </c>
      <c r="D171" s="449" t="s">
        <v>261</v>
      </c>
      <c r="E171" s="262"/>
      <c r="F171" s="447" t="s">
        <v>597</v>
      </c>
      <c r="G171" s="387" t="e">
        <f>VLOOKUP(A171,'Feature Summary'!$A$7:$C$3944,3,FALSE)</f>
        <v>#N/A</v>
      </c>
      <c r="H171" s="447" t="s">
        <v>599</v>
      </c>
      <c r="I171" s="488" t="s">
        <v>264</v>
      </c>
      <c r="J171" s="447" t="s">
        <v>449</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c r="A172" s="474"/>
      <c r="B172" s="463" t="s">
        <v>596</v>
      </c>
      <c r="C172" s="463" t="s">
        <v>444</v>
      </c>
      <c r="D172" s="449" t="s">
        <v>261</v>
      </c>
      <c r="E172" s="262"/>
      <c r="F172" s="447" t="s">
        <v>597</v>
      </c>
      <c r="G172" s="387" t="e">
        <f>VLOOKUP(A172,'Feature Summary'!$A$7:$C$3944,3,FALSE)</f>
        <v>#N/A</v>
      </c>
      <c r="H172" s="447" t="s">
        <v>600</v>
      </c>
      <c r="I172" s="488" t="s">
        <v>264</v>
      </c>
      <c r="J172" s="447" t="s">
        <v>449</v>
      </c>
      <c r="K172" s="263">
        <v>16</v>
      </c>
      <c r="L172" s="391">
        <v>16</v>
      </c>
      <c r="M172" s="399" t="s">
        <v>33</v>
      </c>
      <c r="N172" s="475">
        <v>1</v>
      </c>
      <c r="O172" s="391">
        <v>16</v>
      </c>
      <c r="P172" s="496">
        <f t="shared" si="24"/>
        <v>1</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thickBot="1">
      <c r="A173" s="474" t="s">
        <v>601</v>
      </c>
      <c r="B173" s="463" t="s">
        <v>596</v>
      </c>
      <c r="C173" s="463" t="s">
        <v>444</v>
      </c>
      <c r="D173" s="449" t="s">
        <v>261</v>
      </c>
      <c r="E173" s="262"/>
      <c r="F173" s="447" t="s">
        <v>602</v>
      </c>
      <c r="G173" s="387" t="e">
        <f>VLOOKUP(A173,'Feature Summary'!$A$7:$C$3944,3,FALSE)</f>
        <v>#N/A</v>
      </c>
      <c r="H173" s="447" t="s">
        <v>603</v>
      </c>
      <c r="I173" s="488" t="s">
        <v>264</v>
      </c>
      <c r="J173" s="448" t="s">
        <v>449</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thickBot="1">
      <c r="A174" s="474" t="s">
        <v>604</v>
      </c>
      <c r="B174" s="463" t="s">
        <v>596</v>
      </c>
      <c r="C174" s="463" t="s">
        <v>444</v>
      </c>
      <c r="D174" s="449" t="s">
        <v>261</v>
      </c>
      <c r="E174" s="262"/>
      <c r="F174" s="447" t="s">
        <v>602</v>
      </c>
      <c r="G174" s="387" t="e">
        <f>VLOOKUP(A174,'Feature Summary'!$A$7:$C$3944,3,FALSE)</f>
        <v>#N/A</v>
      </c>
      <c r="H174" s="447" t="s">
        <v>605</v>
      </c>
      <c r="I174" s="488" t="s">
        <v>264</v>
      </c>
      <c r="J174" s="448" t="s">
        <v>606</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60.75" thickBot="1">
      <c r="A175" s="474"/>
      <c r="B175" s="463" t="s">
        <v>596</v>
      </c>
      <c r="C175" s="463"/>
      <c r="D175" s="449" t="s">
        <v>261</v>
      </c>
      <c r="E175" s="262"/>
      <c r="F175" s="447" t="s">
        <v>602</v>
      </c>
      <c r="G175" s="387" t="e">
        <f>VLOOKUP(A175,'Feature Summary'!$A$7:$C$3944,3,FALSE)</f>
        <v>#N/A</v>
      </c>
      <c r="H175" s="447" t="s">
        <v>607</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90.75" thickBot="1">
      <c r="A176" s="474"/>
      <c r="B176" s="463" t="s">
        <v>596</v>
      </c>
      <c r="C176" s="463"/>
      <c r="D176" s="449" t="s">
        <v>261</v>
      </c>
      <c r="E176" s="262"/>
      <c r="F176" s="447" t="s">
        <v>608</v>
      </c>
      <c r="G176" s="387" t="e">
        <f>VLOOKUP(A176,'Feature Summary'!$A$7:$C$3944,3,FALSE)</f>
        <v>#N/A</v>
      </c>
      <c r="H176" s="447" t="s">
        <v>609</v>
      </c>
      <c r="I176" s="447"/>
      <c r="J176" s="448" t="s">
        <v>610</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75" thickBot="1">
      <c r="A177" s="474"/>
      <c r="B177" s="463" t="s">
        <v>596</v>
      </c>
      <c r="C177" s="463"/>
      <c r="D177" s="449" t="s">
        <v>261</v>
      </c>
      <c r="E177" s="262"/>
      <c r="F177" s="447" t="s">
        <v>602</v>
      </c>
      <c r="G177" s="387" t="e">
        <f>VLOOKUP(A177,'Feature Summary'!$A$7:$C$3944,3,FALSE)</f>
        <v>#N/A</v>
      </c>
      <c r="H177" s="447" t="s">
        <v>611</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60.75" thickBot="1">
      <c r="A178" s="474"/>
      <c r="B178" s="463" t="s">
        <v>596</v>
      </c>
      <c r="C178" s="463"/>
      <c r="D178" s="449" t="s">
        <v>261</v>
      </c>
      <c r="E178" s="262"/>
      <c r="F178" s="447" t="s">
        <v>608</v>
      </c>
      <c r="G178" s="387" t="e">
        <f>VLOOKUP(A178,'Feature Summary'!$A$7:$C$3944,3,FALSE)</f>
        <v>#N/A</v>
      </c>
      <c r="H178" s="447" t="s">
        <v>612</v>
      </c>
      <c r="I178" s="447"/>
      <c r="J178" s="448" t="s">
        <v>613</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45.75" thickBot="1">
      <c r="A179" s="474" t="s">
        <v>604</v>
      </c>
      <c r="B179" s="463" t="s">
        <v>596</v>
      </c>
      <c r="C179" s="463" t="s">
        <v>444</v>
      </c>
      <c r="D179" s="449" t="s">
        <v>261</v>
      </c>
      <c r="E179" s="262"/>
      <c r="F179" s="447" t="s">
        <v>608</v>
      </c>
      <c r="G179" s="387" t="e">
        <f>VLOOKUP(A179,'Feature Summary'!$A$7:$C$3944,3,FALSE)</f>
        <v>#N/A</v>
      </c>
      <c r="H179" s="447" t="s">
        <v>614</v>
      </c>
      <c r="I179" s="488" t="s">
        <v>264</v>
      </c>
      <c r="J179" s="448" t="s">
        <v>615</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thickBot="1">
      <c r="A180" s="474" t="s">
        <v>616</v>
      </c>
      <c r="B180" s="463" t="s">
        <v>596</v>
      </c>
      <c r="C180" s="463" t="s">
        <v>444</v>
      </c>
      <c r="D180" s="449" t="s">
        <v>261</v>
      </c>
      <c r="E180" s="262"/>
      <c r="F180" s="447" t="s">
        <v>617</v>
      </c>
      <c r="G180" s="387" t="str">
        <f>VLOOKUP(A180,'Feature Summary'!$A$7:$C$3944,3,FALSE)</f>
        <v>P2</v>
      </c>
      <c r="H180" s="447" t="s">
        <v>618</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thickBot="1">
      <c r="A181" s="474" t="s">
        <v>616</v>
      </c>
      <c r="B181" s="463" t="s">
        <v>596</v>
      </c>
      <c r="C181" s="463" t="s">
        <v>444</v>
      </c>
      <c r="D181" s="449" t="s">
        <v>261</v>
      </c>
      <c r="E181" s="262"/>
      <c r="F181" s="447" t="s">
        <v>619</v>
      </c>
      <c r="G181" s="387" t="str">
        <f>VLOOKUP(A181,'Feature Summary'!$A$7:$C$3944,3,FALSE)</f>
        <v>P2</v>
      </c>
      <c r="H181" s="447" t="s">
        <v>620</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60.75" thickBot="1">
      <c r="A182" s="474"/>
      <c r="B182" s="463" t="s">
        <v>596</v>
      </c>
      <c r="C182" s="463"/>
      <c r="D182" s="449" t="s">
        <v>261</v>
      </c>
      <c r="E182" s="262"/>
      <c r="F182" s="447" t="s">
        <v>617</v>
      </c>
      <c r="G182" s="387" t="e">
        <f>VLOOKUP(A182,'Feature Summary'!$A$7:$C$3944,3,FALSE)</f>
        <v>#N/A</v>
      </c>
      <c r="H182" s="447" t="s">
        <v>621</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75" thickBot="1">
      <c r="A183" s="474"/>
      <c r="B183" s="463" t="s">
        <v>596</v>
      </c>
      <c r="C183" s="463"/>
      <c r="D183" s="449" t="s">
        <v>261</v>
      </c>
      <c r="E183" s="262"/>
      <c r="F183" s="447" t="s">
        <v>617</v>
      </c>
      <c r="G183" s="387" t="e">
        <f>VLOOKUP(A183,'Feature Summary'!$A$7:$C$3944,3,FALSE)</f>
        <v>#N/A</v>
      </c>
      <c r="H183" s="447" t="s">
        <v>622</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60.75" thickBot="1">
      <c r="A184" s="474"/>
      <c r="B184" s="463" t="s">
        <v>596</v>
      </c>
      <c r="C184" s="463"/>
      <c r="D184" s="449" t="s">
        <v>261</v>
      </c>
      <c r="E184" s="262"/>
      <c r="F184" s="447" t="s">
        <v>619</v>
      </c>
      <c r="G184" s="387" t="e">
        <f>VLOOKUP(A184,'Feature Summary'!$A$7:$C$3944,3,FALSE)</f>
        <v>#N/A</v>
      </c>
      <c r="H184" s="447" t="s">
        <v>623</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60.75" thickBot="1">
      <c r="A185" s="474"/>
      <c r="B185" s="463" t="s">
        <v>596</v>
      </c>
      <c r="C185" s="463"/>
      <c r="D185" s="449" t="s">
        <v>261</v>
      </c>
      <c r="E185" s="262"/>
      <c r="F185" s="447" t="s">
        <v>619</v>
      </c>
      <c r="G185" s="387" t="e">
        <f>VLOOKUP(A185,'Feature Summary'!$A$7:$C$3944,3,FALSE)</f>
        <v>#N/A</v>
      </c>
      <c r="H185" s="447" t="s">
        <v>624</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c r="A186" s="474"/>
      <c r="B186" s="463"/>
      <c r="C186" s="463" t="s">
        <v>444</v>
      </c>
      <c r="D186" s="449" t="s">
        <v>261</v>
      </c>
      <c r="E186" s="262"/>
      <c r="F186" s="447" t="s">
        <v>625</v>
      </c>
      <c r="G186" s="387" t="e">
        <f>VLOOKUP(A186,'Feature Summary'!$A$7:$C$3944,3,FALSE)</f>
        <v>#N/A</v>
      </c>
      <c r="H186" s="447" t="s">
        <v>626</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c r="A187" s="474"/>
      <c r="B187" s="463"/>
      <c r="C187" s="463" t="s">
        <v>444</v>
      </c>
      <c r="D187" s="449" t="s">
        <v>261</v>
      </c>
      <c r="E187" s="262"/>
      <c r="F187" s="447" t="s">
        <v>627</v>
      </c>
      <c r="G187" s="387" t="e">
        <f>VLOOKUP(A187,'Feature Summary'!$A$7:$C$3944,3,FALSE)</f>
        <v>#N/A</v>
      </c>
      <c r="H187" s="447" t="s">
        <v>628</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c r="A188" s="474"/>
      <c r="B188" s="463"/>
      <c r="C188" s="463" t="s">
        <v>444</v>
      </c>
      <c r="D188" s="449" t="s">
        <v>261</v>
      </c>
      <c r="E188" s="262"/>
      <c r="F188" s="447" t="s">
        <v>629</v>
      </c>
      <c r="G188" s="387" t="e">
        <f>VLOOKUP(A188,'Feature Summary'!$A$7:$C$3944,3,FALSE)</f>
        <v>#N/A</v>
      </c>
      <c r="H188" s="447" t="s">
        <v>630</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c r="A189" s="474"/>
      <c r="B189" s="463"/>
      <c r="C189" s="463" t="s">
        <v>444</v>
      </c>
      <c r="D189" s="449" t="s">
        <v>261</v>
      </c>
      <c r="E189" s="262"/>
      <c r="F189" s="447" t="s">
        <v>631</v>
      </c>
      <c r="G189" s="387" t="e">
        <f>VLOOKUP(A189,'Feature Summary'!$A$7:$C$3944,3,FALSE)</f>
        <v>#N/A</v>
      </c>
      <c r="H189" s="447" t="s">
        <v>632</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c r="A190" s="474"/>
      <c r="B190" s="463"/>
      <c r="C190" s="463" t="s">
        <v>444</v>
      </c>
      <c r="D190" s="449" t="s">
        <v>261</v>
      </c>
      <c r="E190" s="262"/>
      <c r="F190" s="447" t="s">
        <v>633</v>
      </c>
      <c r="G190" s="387" t="e">
        <f>VLOOKUP(A190,'Feature Summary'!$A$7:$C$3944,3,FALSE)</f>
        <v>#N/A</v>
      </c>
      <c r="H190" s="447" t="s">
        <v>634</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c r="A191" s="474"/>
      <c r="B191" s="463"/>
      <c r="C191" s="463" t="s">
        <v>444</v>
      </c>
      <c r="D191" s="449" t="s">
        <v>261</v>
      </c>
      <c r="E191" s="262"/>
      <c r="F191" s="447" t="s">
        <v>635</v>
      </c>
      <c r="G191" s="387" t="e">
        <f>VLOOKUP(A191,'Feature Summary'!$A$7:$C$3944,3,FALSE)</f>
        <v>#N/A</v>
      </c>
      <c r="H191" s="447" t="s">
        <v>636</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60.75" thickBot="1">
      <c r="A192" s="474"/>
      <c r="B192" s="463"/>
      <c r="C192" s="463" t="s">
        <v>444</v>
      </c>
      <c r="D192" s="449" t="s">
        <v>261</v>
      </c>
      <c r="E192" s="262"/>
      <c r="F192" s="447" t="s">
        <v>637</v>
      </c>
      <c r="G192" s="387" t="e">
        <f>VLOOKUP(A192,'Feature Summary'!$A$7:$C$3944,3,FALSE)</f>
        <v>#N/A</v>
      </c>
      <c r="H192" s="447" t="s">
        <v>638</v>
      </c>
      <c r="I192" s="488" t="s">
        <v>264</v>
      </c>
      <c r="J192" s="448" t="s">
        <v>639</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60.75" thickBot="1">
      <c r="A193" s="474"/>
      <c r="B193" s="463"/>
      <c r="C193" s="463" t="s">
        <v>444</v>
      </c>
      <c r="D193" s="449" t="s">
        <v>261</v>
      </c>
      <c r="E193" s="262"/>
      <c r="F193" s="447" t="s">
        <v>640</v>
      </c>
      <c r="G193" s="387" t="e">
        <f>VLOOKUP(A193,'Feature Summary'!$A$7:$C$3944,3,FALSE)</f>
        <v>#N/A</v>
      </c>
      <c r="H193" s="447" t="s">
        <v>641</v>
      </c>
      <c r="I193" s="488" t="s">
        <v>264</v>
      </c>
      <c r="J193" s="448" t="s">
        <v>639</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60.75" thickBot="1">
      <c r="A194" s="474"/>
      <c r="B194" s="463"/>
      <c r="C194" s="463" t="s">
        <v>444</v>
      </c>
      <c r="D194" s="449" t="s">
        <v>261</v>
      </c>
      <c r="E194" s="262"/>
      <c r="F194" s="447" t="s">
        <v>642</v>
      </c>
      <c r="G194" s="387" t="e">
        <f>VLOOKUP(A194,'Feature Summary'!$A$7:$C$3944,3,FALSE)</f>
        <v>#N/A</v>
      </c>
      <c r="H194" s="447" t="s">
        <v>643</v>
      </c>
      <c r="I194" s="488" t="s">
        <v>264</v>
      </c>
      <c r="J194" s="448" t="s">
        <v>639</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30.75" thickBot="1">
      <c r="A195" s="474"/>
      <c r="B195" s="463"/>
      <c r="C195" s="463" t="s">
        <v>444</v>
      </c>
      <c r="D195" s="449" t="s">
        <v>261</v>
      </c>
      <c r="E195" s="262"/>
      <c r="F195" s="447" t="s">
        <v>644</v>
      </c>
      <c r="G195" s="387" t="e">
        <f>VLOOKUP(A195,'Feature Summary'!$A$7:$C$3944,3,FALSE)</f>
        <v>#N/A</v>
      </c>
      <c r="H195" s="447" t="s">
        <v>645</v>
      </c>
      <c r="I195" s="488" t="s">
        <v>264</v>
      </c>
      <c r="J195" s="448" t="s">
        <v>646</v>
      </c>
      <c r="K195" s="263">
        <v>1</v>
      </c>
      <c r="L195" s="391">
        <v>23</v>
      </c>
      <c r="M195" s="399" t="s">
        <v>33</v>
      </c>
      <c r="N195" s="475">
        <v>1</v>
      </c>
      <c r="O195" s="391">
        <v>23</v>
      </c>
      <c r="P195" s="496">
        <f t="shared" ref="P195" si="28">IF((O195=0),0,(O195/L195))</f>
        <v>1</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45.75" thickBot="1">
      <c r="A196" s="474"/>
      <c r="B196" s="463"/>
      <c r="C196" s="463" t="s">
        <v>444</v>
      </c>
      <c r="D196" s="449" t="s">
        <v>261</v>
      </c>
      <c r="E196" s="262"/>
      <c r="F196" s="447" t="s">
        <v>644</v>
      </c>
      <c r="G196" s="387" t="e">
        <f>VLOOKUP(A196,'Feature Summary'!$A$7:$C$3944,3,FALSE)</f>
        <v>#N/A</v>
      </c>
      <c r="H196" s="447" t="s">
        <v>647</v>
      </c>
      <c r="I196" s="488" t="s">
        <v>264</v>
      </c>
      <c r="J196" s="448" t="s">
        <v>648</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30.75" thickBot="1">
      <c r="A197" s="474" t="s">
        <v>649</v>
      </c>
      <c r="B197" s="447" t="s">
        <v>650</v>
      </c>
      <c r="C197" s="463" t="s">
        <v>651</v>
      </c>
      <c r="D197" s="449" t="s">
        <v>261</v>
      </c>
      <c r="E197" s="262"/>
      <c r="F197" s="447" t="s">
        <v>652</v>
      </c>
      <c r="G197" s="387" t="str">
        <f>VLOOKUP(A197,'Feature Summary'!$A$7:$C$3944,3,FALSE)</f>
        <v>P2</v>
      </c>
      <c r="H197" s="447" t="s">
        <v>653</v>
      </c>
      <c r="I197" s="488" t="s">
        <v>264</v>
      </c>
      <c r="J197" s="448" t="s">
        <v>301</v>
      </c>
      <c r="K197" s="263">
        <v>1</v>
      </c>
      <c r="L197" s="391">
        <v>8</v>
      </c>
      <c r="M197" s="399" t="s">
        <v>33</v>
      </c>
      <c r="N197" s="475">
        <v>1</v>
      </c>
      <c r="O197" s="391">
        <v>8</v>
      </c>
      <c r="P197" s="496">
        <f>IF((O197=0),0,(O197/L197))</f>
        <v>1</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60.75" thickBot="1">
      <c r="A198" s="474"/>
      <c r="B198" s="447" t="s">
        <v>650</v>
      </c>
      <c r="C198" s="463"/>
      <c r="D198" s="449" t="s">
        <v>261</v>
      </c>
      <c r="E198" s="262"/>
      <c r="F198" s="447" t="s">
        <v>652</v>
      </c>
      <c r="G198" s="387" t="e">
        <f>VLOOKUP(A198,'Feature Summary'!$A$7:$C$3944,3,FALSE)</f>
        <v>#N/A</v>
      </c>
      <c r="H198" s="447" t="s">
        <v>654</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c r="A199" s="458"/>
      <c r="B199" s="463"/>
      <c r="C199" s="463" t="s">
        <v>655</v>
      </c>
      <c r="D199" s="449" t="s">
        <v>261</v>
      </c>
      <c r="E199" s="262"/>
      <c r="F199" s="447" t="s">
        <v>656</v>
      </c>
      <c r="G199" s="387" t="e">
        <f>VLOOKUP(A199,'Feature Summary'!$A$7:$C$3944,3,FALSE)</f>
        <v>#N/A</v>
      </c>
      <c r="H199" s="447" t="s">
        <v>657</v>
      </c>
      <c r="I199" s="488" t="s">
        <v>264</v>
      </c>
      <c r="J199" s="448" t="s">
        <v>449</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60.75" thickBot="1">
      <c r="A200" s="458"/>
      <c r="B200" s="463"/>
      <c r="C200" s="463"/>
      <c r="D200" s="449" t="s">
        <v>261</v>
      </c>
      <c r="E200" s="262"/>
      <c r="F200" s="447" t="s">
        <v>656</v>
      </c>
      <c r="G200" s="387" t="e">
        <f>VLOOKUP(A200,'Feature Summary'!$A$7:$C$3944,3,FALSE)</f>
        <v>#N/A</v>
      </c>
      <c r="H200" s="447" t="s">
        <v>658</v>
      </c>
      <c r="I200" s="447"/>
      <c r="J200" s="448" t="s">
        <v>659</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45.75" thickBot="1">
      <c r="A201" s="458"/>
      <c r="B201" s="463"/>
      <c r="C201" s="463"/>
      <c r="D201" s="449" t="s">
        <v>261</v>
      </c>
      <c r="E201" s="262"/>
      <c r="F201" s="447" t="s">
        <v>656</v>
      </c>
      <c r="G201" s="387" t="e">
        <f>VLOOKUP(A201,'Feature Summary'!$A$7:$C$3944,3,FALSE)</f>
        <v>#N/A</v>
      </c>
      <c r="H201" s="447" t="s">
        <v>660</v>
      </c>
      <c r="I201" s="447"/>
      <c r="J201" s="448" t="s">
        <v>661</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c r="A202" s="458"/>
      <c r="B202" s="463"/>
      <c r="C202" s="463" t="s">
        <v>655</v>
      </c>
      <c r="D202" s="449" t="s">
        <v>261</v>
      </c>
      <c r="E202" s="262"/>
      <c r="F202" s="447" t="s">
        <v>656</v>
      </c>
      <c r="G202" s="387" t="e">
        <f>VLOOKUP(A202,'Feature Summary'!$A$7:$C$3944,3,FALSE)</f>
        <v>#N/A</v>
      </c>
      <c r="H202" s="447" t="s">
        <v>662</v>
      </c>
      <c r="I202" s="488" t="s">
        <v>264</v>
      </c>
      <c r="J202" s="448" t="s">
        <v>449</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75.75" thickBot="1">
      <c r="A203" s="458"/>
      <c r="B203" s="463"/>
      <c r="C203" s="463"/>
      <c r="D203" s="449" t="s">
        <v>261</v>
      </c>
      <c r="E203" s="262"/>
      <c r="F203" s="447" t="s">
        <v>656</v>
      </c>
      <c r="G203" s="387" t="e">
        <f>VLOOKUP(A203,'Feature Summary'!$A$7:$C$3944,3,FALSE)</f>
        <v>#N/A</v>
      </c>
      <c r="H203" s="447" t="s">
        <v>663</v>
      </c>
      <c r="I203" s="447"/>
      <c r="J203" s="448" t="s">
        <v>664</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45.75" thickBot="1">
      <c r="A204" s="458"/>
      <c r="B204" s="463"/>
      <c r="C204" s="463"/>
      <c r="D204" s="449" t="s">
        <v>261</v>
      </c>
      <c r="E204" s="262"/>
      <c r="F204" s="447" t="s">
        <v>656</v>
      </c>
      <c r="G204" s="387" t="e">
        <f>VLOOKUP(A204,'Feature Summary'!$A$7:$C$3944,3,FALSE)</f>
        <v>#N/A</v>
      </c>
      <c r="H204" s="447" t="s">
        <v>665</v>
      </c>
      <c r="I204" s="447"/>
      <c r="J204" s="448" t="s">
        <v>661</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150.75" thickBot="1">
      <c r="A205" s="458" t="s">
        <v>666</v>
      </c>
      <c r="B205" s="447" t="s">
        <v>667</v>
      </c>
      <c r="C205" s="463" t="s">
        <v>335</v>
      </c>
      <c r="D205" s="449" t="s">
        <v>261</v>
      </c>
      <c r="E205" s="262"/>
      <c r="F205" s="447" t="s">
        <v>668</v>
      </c>
      <c r="G205" s="387" t="str">
        <f>VLOOKUP(A205,'Feature Summary'!$A$7:$C$3944,3,FALSE)</f>
        <v>P2</v>
      </c>
      <c r="H205" s="447" t="s">
        <v>669</v>
      </c>
      <c r="I205" s="488" t="s">
        <v>264</v>
      </c>
      <c r="J205" s="447" t="s">
        <v>670</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150.75" thickBot="1">
      <c r="A206" s="458" t="s">
        <v>666</v>
      </c>
      <c r="B206" s="447" t="s">
        <v>667</v>
      </c>
      <c r="C206" s="463" t="s">
        <v>335</v>
      </c>
      <c r="D206" s="449" t="s">
        <v>261</v>
      </c>
      <c r="E206" s="262"/>
      <c r="F206" s="447" t="s">
        <v>671</v>
      </c>
      <c r="G206" s="387" t="str">
        <f>VLOOKUP(A206,'Feature Summary'!$A$7:$C$3944,3,FALSE)</f>
        <v>P2</v>
      </c>
      <c r="H206" s="447" t="s">
        <v>672</v>
      </c>
      <c r="I206" s="488" t="s">
        <v>264</v>
      </c>
      <c r="J206" s="447" t="s">
        <v>673</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150.75" thickBot="1">
      <c r="A207" s="458" t="s">
        <v>666</v>
      </c>
      <c r="B207" s="447" t="s">
        <v>667</v>
      </c>
      <c r="C207" s="463" t="s">
        <v>335</v>
      </c>
      <c r="D207" s="449" t="s">
        <v>261</v>
      </c>
      <c r="E207" s="262"/>
      <c r="F207" s="447" t="s">
        <v>674</v>
      </c>
      <c r="G207" s="387" t="str">
        <f>VLOOKUP(A207,'Feature Summary'!$A$7:$C$3944,3,FALSE)</f>
        <v>P2</v>
      </c>
      <c r="H207" s="447" t="s">
        <v>675</v>
      </c>
      <c r="I207" s="488" t="s">
        <v>264</v>
      </c>
      <c r="J207" s="447" t="s">
        <v>676</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150.75" thickBot="1">
      <c r="A208" s="458" t="s">
        <v>666</v>
      </c>
      <c r="B208" s="447" t="s">
        <v>667</v>
      </c>
      <c r="C208" s="463" t="s">
        <v>335</v>
      </c>
      <c r="D208" s="449" t="s">
        <v>261</v>
      </c>
      <c r="E208" s="262"/>
      <c r="F208" s="447" t="s">
        <v>677</v>
      </c>
      <c r="G208" s="387" t="str">
        <f>VLOOKUP(A208,'Feature Summary'!$A$7:$C$3944,3,FALSE)</f>
        <v>P2</v>
      </c>
      <c r="H208" s="447" t="s">
        <v>678</v>
      </c>
      <c r="I208" s="488" t="s">
        <v>264</v>
      </c>
      <c r="J208" s="447" t="s">
        <v>679</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150.75" thickBot="1">
      <c r="A209" s="458" t="s">
        <v>666</v>
      </c>
      <c r="B209" s="447" t="s">
        <v>667</v>
      </c>
      <c r="C209" s="463" t="s">
        <v>335</v>
      </c>
      <c r="D209" s="449" t="s">
        <v>261</v>
      </c>
      <c r="E209" s="262"/>
      <c r="F209" s="470" t="s">
        <v>680</v>
      </c>
      <c r="G209" s="387" t="str">
        <f>VLOOKUP(A209,'Feature Summary'!$A$7:$C$3944,3,FALSE)</f>
        <v>P2</v>
      </c>
      <c r="H209" s="447" t="s">
        <v>681</v>
      </c>
      <c r="I209" s="488" t="s">
        <v>264</v>
      </c>
      <c r="J209" s="447" t="s">
        <v>679</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180.75" thickBot="1">
      <c r="A210" s="458" t="s">
        <v>666</v>
      </c>
      <c r="B210" s="447" t="s">
        <v>667</v>
      </c>
      <c r="C210" s="463" t="s">
        <v>335</v>
      </c>
      <c r="D210" s="449" t="s">
        <v>261</v>
      </c>
      <c r="E210" s="262"/>
      <c r="F210" s="470" t="s">
        <v>682</v>
      </c>
      <c r="G210" s="387" t="str">
        <f>VLOOKUP(A210,'Feature Summary'!$A$7:$C$3944,3,FALSE)</f>
        <v>P2</v>
      </c>
      <c r="H210" s="447" t="s">
        <v>683</v>
      </c>
      <c r="I210" s="488" t="s">
        <v>264</v>
      </c>
      <c r="J210" s="447" t="s">
        <v>684</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150.75" thickBot="1">
      <c r="A211" s="458" t="s">
        <v>666</v>
      </c>
      <c r="B211" s="447" t="s">
        <v>667</v>
      </c>
      <c r="C211" s="463" t="s">
        <v>335</v>
      </c>
      <c r="D211" s="449" t="s">
        <v>261</v>
      </c>
      <c r="E211" s="262"/>
      <c r="F211" s="470" t="s">
        <v>685</v>
      </c>
      <c r="G211" s="387" t="str">
        <f>VLOOKUP(A211,'Feature Summary'!$A$7:$C$3944,3,FALSE)</f>
        <v>P2</v>
      </c>
      <c r="H211" s="447" t="s">
        <v>686</v>
      </c>
      <c r="I211" s="488" t="s">
        <v>264</v>
      </c>
      <c r="J211" s="447" t="s">
        <v>679</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customHeight="1" thickBot="1">
      <c r="A212" s="458"/>
      <c r="B212" s="447" t="s">
        <v>667</v>
      </c>
      <c r="C212" s="463"/>
      <c r="D212" s="449" t="s">
        <v>261</v>
      </c>
      <c r="E212" s="262"/>
      <c r="F212" s="447" t="s">
        <v>668</v>
      </c>
      <c r="G212" s="387" t="e">
        <f>VLOOKUP(A212,'Feature Summary'!$A$7:$C$3944,3,FALSE)</f>
        <v>#N/A</v>
      </c>
      <c r="H212" s="447" t="s">
        <v>687</v>
      </c>
      <c r="I212" s="447"/>
      <c r="J212" s="481" t="s">
        <v>688</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customHeight="1" thickBot="1">
      <c r="A213" s="458"/>
      <c r="B213" s="447" t="s">
        <v>667</v>
      </c>
      <c r="C213" s="463"/>
      <c r="D213" s="449" t="s">
        <v>261</v>
      </c>
      <c r="E213" s="262"/>
      <c r="F213" s="447" t="s">
        <v>671</v>
      </c>
      <c r="G213" s="387" t="e">
        <f>VLOOKUP(A213,'Feature Summary'!$A$7:$C$3944,3,FALSE)</f>
        <v>#N/A</v>
      </c>
      <c r="H213" s="447" t="s">
        <v>689</v>
      </c>
      <c r="I213" s="447"/>
      <c r="J213" s="481" t="s">
        <v>688</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135.75" thickBot="1">
      <c r="A214" s="458"/>
      <c r="B214" s="447" t="s">
        <v>667</v>
      </c>
      <c r="C214" s="463"/>
      <c r="D214" s="449" t="s">
        <v>261</v>
      </c>
      <c r="E214" s="262"/>
      <c r="F214" s="447" t="s">
        <v>674</v>
      </c>
      <c r="G214" s="387" t="e">
        <f>VLOOKUP(A214,'Feature Summary'!$A$7:$C$3944,3,FALSE)</f>
        <v>#N/A</v>
      </c>
      <c r="H214" s="447" t="s">
        <v>690</v>
      </c>
      <c r="I214" s="447"/>
      <c r="J214" s="481" t="s">
        <v>691</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135.75" thickBot="1">
      <c r="A215" s="458"/>
      <c r="B215" s="447" t="s">
        <v>667</v>
      </c>
      <c r="C215" s="463"/>
      <c r="D215" s="449" t="s">
        <v>261</v>
      </c>
      <c r="E215" s="262"/>
      <c r="F215" s="447" t="s">
        <v>677</v>
      </c>
      <c r="G215" s="387" t="e">
        <f>VLOOKUP(A215,'Feature Summary'!$A$7:$C$3944,3,FALSE)</f>
        <v>#N/A</v>
      </c>
      <c r="H215" s="447" t="s">
        <v>692</v>
      </c>
      <c r="I215" s="447"/>
      <c r="J215" s="481" t="s">
        <v>688</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135.75" thickBot="1">
      <c r="A216" s="458"/>
      <c r="B216" s="447" t="s">
        <v>667</v>
      </c>
      <c r="C216" s="463"/>
      <c r="D216" s="449" t="s">
        <v>261</v>
      </c>
      <c r="E216" s="262"/>
      <c r="F216" s="470" t="s">
        <v>680</v>
      </c>
      <c r="G216" s="387" t="e">
        <f>VLOOKUP(A216,'Feature Summary'!$A$7:$C$3944,3,FALSE)</f>
        <v>#N/A</v>
      </c>
      <c r="H216" s="447" t="s">
        <v>693</v>
      </c>
      <c r="I216" s="447"/>
      <c r="J216" s="481" t="s">
        <v>688</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135.75" thickBot="1">
      <c r="A217" s="458"/>
      <c r="B217" s="447" t="s">
        <v>667</v>
      </c>
      <c r="C217" s="463"/>
      <c r="D217" s="449" t="s">
        <v>261</v>
      </c>
      <c r="E217" s="262"/>
      <c r="F217" s="470" t="s">
        <v>682</v>
      </c>
      <c r="G217" s="387" t="e">
        <f>VLOOKUP(A217,'Feature Summary'!$A$7:$C$3944,3,FALSE)</f>
        <v>#N/A</v>
      </c>
      <c r="H217" s="447" t="s">
        <v>694</v>
      </c>
      <c r="I217" s="447"/>
      <c r="J217" s="481" t="s">
        <v>691</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135.75" thickBot="1">
      <c r="A218" s="458"/>
      <c r="B218" s="447" t="s">
        <v>667</v>
      </c>
      <c r="C218" s="463"/>
      <c r="D218" s="449" t="s">
        <v>261</v>
      </c>
      <c r="E218" s="262"/>
      <c r="F218" s="470" t="s">
        <v>685</v>
      </c>
      <c r="G218" s="387" t="e">
        <f>VLOOKUP(A218,'Feature Summary'!$A$7:$C$3944,3,FALSE)</f>
        <v>#N/A</v>
      </c>
      <c r="H218" s="447" t="s">
        <v>695</v>
      </c>
      <c r="I218" s="447"/>
      <c r="J218" s="481" t="s">
        <v>688</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135.75" thickBot="1">
      <c r="A219" s="458"/>
      <c r="B219" s="447" t="s">
        <v>667</v>
      </c>
      <c r="C219" s="463"/>
      <c r="D219" s="449" t="s">
        <v>261</v>
      </c>
      <c r="E219" s="262"/>
      <c r="F219" s="447" t="s">
        <v>668</v>
      </c>
      <c r="G219" s="387" t="e">
        <f>VLOOKUP(A219,'Feature Summary'!$A$7:$C$3944,3,FALSE)</f>
        <v>#N/A</v>
      </c>
      <c r="H219" s="447" t="s">
        <v>696</v>
      </c>
      <c r="I219" s="447"/>
      <c r="J219" s="481" t="s">
        <v>697</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135.75" thickBot="1">
      <c r="A220" s="458"/>
      <c r="B220" s="447" t="s">
        <v>667</v>
      </c>
      <c r="C220" s="463"/>
      <c r="D220" s="449" t="s">
        <v>261</v>
      </c>
      <c r="E220" s="262"/>
      <c r="F220" s="447" t="s">
        <v>671</v>
      </c>
      <c r="G220" s="387" t="e">
        <f>VLOOKUP(A220,'Feature Summary'!$A$7:$C$3944,3,FALSE)</f>
        <v>#N/A</v>
      </c>
      <c r="H220" s="447" t="s">
        <v>698</v>
      </c>
      <c r="I220" s="447"/>
      <c r="J220" s="481" t="s">
        <v>697</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135.75" thickBot="1">
      <c r="A221" s="458"/>
      <c r="B221" s="447" t="s">
        <v>667</v>
      </c>
      <c r="C221" s="463"/>
      <c r="D221" s="449" t="s">
        <v>261</v>
      </c>
      <c r="E221" s="262"/>
      <c r="F221" s="447" t="s">
        <v>674</v>
      </c>
      <c r="G221" s="387" t="e">
        <f>VLOOKUP(A221,'Feature Summary'!$A$7:$C$3944,3,FALSE)</f>
        <v>#N/A</v>
      </c>
      <c r="H221" s="447" t="s">
        <v>699</v>
      </c>
      <c r="I221" s="447"/>
      <c r="J221" s="481" t="s">
        <v>700</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135.75" thickBot="1">
      <c r="A222" s="458"/>
      <c r="B222" s="447" t="s">
        <v>667</v>
      </c>
      <c r="C222" s="463"/>
      <c r="D222" s="449" t="s">
        <v>261</v>
      </c>
      <c r="E222" s="262"/>
      <c r="F222" s="447" t="s">
        <v>677</v>
      </c>
      <c r="G222" s="387" t="e">
        <f>VLOOKUP(A222,'Feature Summary'!$A$7:$C$3944,3,FALSE)</f>
        <v>#N/A</v>
      </c>
      <c r="H222" s="447" t="s">
        <v>701</v>
      </c>
      <c r="I222" s="447"/>
      <c r="J222" s="481" t="s">
        <v>697</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135.75" thickBot="1">
      <c r="A223" s="458"/>
      <c r="B223" s="447" t="s">
        <v>667</v>
      </c>
      <c r="C223" s="463"/>
      <c r="D223" s="449" t="s">
        <v>261</v>
      </c>
      <c r="E223" s="262"/>
      <c r="F223" s="470" t="s">
        <v>680</v>
      </c>
      <c r="G223" s="387" t="e">
        <f>VLOOKUP(A223,'Feature Summary'!$A$7:$C$3944,3,FALSE)</f>
        <v>#N/A</v>
      </c>
      <c r="H223" s="447" t="s">
        <v>702</v>
      </c>
      <c r="I223" s="447"/>
      <c r="J223" s="481" t="s">
        <v>697</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135.75" thickBot="1">
      <c r="A224" s="458"/>
      <c r="B224" s="447" t="s">
        <v>667</v>
      </c>
      <c r="C224" s="463"/>
      <c r="D224" s="449" t="s">
        <v>261</v>
      </c>
      <c r="E224" s="262"/>
      <c r="F224" s="470" t="s">
        <v>682</v>
      </c>
      <c r="G224" s="387" t="e">
        <f>VLOOKUP(A224,'Feature Summary'!$A$7:$C$3944,3,FALSE)</f>
        <v>#N/A</v>
      </c>
      <c r="H224" s="447" t="s">
        <v>703</v>
      </c>
      <c r="I224" s="447"/>
      <c r="J224" s="481" t="s">
        <v>700</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135.75" thickBot="1">
      <c r="A225" s="458"/>
      <c r="B225" s="447" t="s">
        <v>667</v>
      </c>
      <c r="C225" s="463"/>
      <c r="D225" s="449" t="s">
        <v>261</v>
      </c>
      <c r="E225" s="262"/>
      <c r="F225" s="470" t="s">
        <v>685</v>
      </c>
      <c r="G225" s="387" t="e">
        <f>VLOOKUP(A225,'Feature Summary'!$A$7:$C$3944,3,FALSE)</f>
        <v>#N/A</v>
      </c>
      <c r="H225" s="447" t="s">
        <v>704</v>
      </c>
      <c r="I225" s="447"/>
      <c r="J225" s="481" t="s">
        <v>697</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105.75" thickBot="1">
      <c r="A226" s="458"/>
      <c r="B226" s="447" t="s">
        <v>667</v>
      </c>
      <c r="C226" s="463"/>
      <c r="D226" s="449" t="s">
        <v>261</v>
      </c>
      <c r="E226" s="262"/>
      <c r="F226" s="447" t="s">
        <v>668</v>
      </c>
      <c r="G226" s="387" t="e">
        <f>VLOOKUP(A226,'Feature Summary'!$A$7:$C$3944,3,FALSE)</f>
        <v>#N/A</v>
      </c>
      <c r="H226" s="447" t="s">
        <v>705</v>
      </c>
      <c r="I226" s="447"/>
      <c r="J226" s="481" t="s">
        <v>706</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105.75" thickBot="1">
      <c r="A227" s="458"/>
      <c r="B227" s="447" t="s">
        <v>667</v>
      </c>
      <c r="C227" s="463"/>
      <c r="D227" s="449" t="s">
        <v>261</v>
      </c>
      <c r="E227" s="262"/>
      <c r="F227" s="447" t="s">
        <v>671</v>
      </c>
      <c r="G227" s="387" t="e">
        <f>VLOOKUP(A227,'Feature Summary'!$A$7:$C$3944,3,FALSE)</f>
        <v>#N/A</v>
      </c>
      <c r="H227" s="447" t="s">
        <v>707</v>
      </c>
      <c r="I227" s="447"/>
      <c r="J227" s="481" t="s">
        <v>706</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105.75" thickBot="1">
      <c r="A228" s="458"/>
      <c r="B228" s="447" t="s">
        <v>667</v>
      </c>
      <c r="C228" s="463"/>
      <c r="D228" s="449" t="s">
        <v>261</v>
      </c>
      <c r="E228" s="262"/>
      <c r="F228" s="447" t="s">
        <v>674</v>
      </c>
      <c r="G228" s="387" t="e">
        <f>VLOOKUP(A228,'Feature Summary'!$A$7:$C$3944,3,FALSE)</f>
        <v>#N/A</v>
      </c>
      <c r="H228" s="447" t="s">
        <v>708</v>
      </c>
      <c r="I228" s="447"/>
      <c r="J228" s="481" t="s">
        <v>709</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105.75" thickBot="1">
      <c r="A229" s="458"/>
      <c r="B229" s="447" t="s">
        <v>667</v>
      </c>
      <c r="C229" s="463"/>
      <c r="D229" s="449" t="s">
        <v>261</v>
      </c>
      <c r="E229" s="262"/>
      <c r="F229" s="447" t="s">
        <v>677</v>
      </c>
      <c r="G229" s="387" t="e">
        <f>VLOOKUP(A229,'Feature Summary'!$A$7:$C$3944,3,FALSE)</f>
        <v>#N/A</v>
      </c>
      <c r="H229" s="447" t="s">
        <v>710</v>
      </c>
      <c r="I229" s="447"/>
      <c r="J229" s="481" t="s">
        <v>706</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105.75" thickBot="1">
      <c r="A230" s="458"/>
      <c r="B230" s="447" t="s">
        <v>667</v>
      </c>
      <c r="C230" s="463"/>
      <c r="D230" s="449" t="s">
        <v>261</v>
      </c>
      <c r="E230" s="262"/>
      <c r="F230" s="470" t="s">
        <v>680</v>
      </c>
      <c r="G230" s="387" t="e">
        <f>VLOOKUP(A230,'Feature Summary'!$A$7:$C$3944,3,FALSE)</f>
        <v>#N/A</v>
      </c>
      <c r="H230" s="447" t="s">
        <v>711</v>
      </c>
      <c r="I230" s="447"/>
      <c r="J230" s="481" t="s">
        <v>706</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105.75" thickBot="1">
      <c r="A231" s="458"/>
      <c r="B231" s="447" t="s">
        <v>667</v>
      </c>
      <c r="C231" s="463"/>
      <c r="D231" s="449" t="s">
        <v>261</v>
      </c>
      <c r="E231" s="262"/>
      <c r="F231" s="470" t="s">
        <v>682</v>
      </c>
      <c r="G231" s="387" t="e">
        <f>VLOOKUP(A231,'Feature Summary'!$A$7:$C$3944,3,FALSE)</f>
        <v>#N/A</v>
      </c>
      <c r="H231" s="447" t="s">
        <v>712</v>
      </c>
      <c r="I231" s="447"/>
      <c r="J231" s="481" t="s">
        <v>709</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105.75" thickBot="1">
      <c r="A232" s="458"/>
      <c r="B232" s="447" t="s">
        <v>667</v>
      </c>
      <c r="C232" s="463"/>
      <c r="D232" s="449" t="s">
        <v>261</v>
      </c>
      <c r="E232" s="262"/>
      <c r="F232" s="470" t="s">
        <v>685</v>
      </c>
      <c r="G232" s="387" t="e">
        <f>VLOOKUP(A232,'Feature Summary'!$A$7:$C$3944,3,FALSE)</f>
        <v>#N/A</v>
      </c>
      <c r="H232" s="447" t="s">
        <v>713</v>
      </c>
      <c r="I232" s="447"/>
      <c r="J232" s="481" t="s">
        <v>706</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thickBot="1">
      <c r="A233" s="474" t="s">
        <v>714</v>
      </c>
      <c r="B233" s="463"/>
      <c r="C233" s="463" t="s">
        <v>335</v>
      </c>
      <c r="D233" s="449" t="s">
        <v>261</v>
      </c>
      <c r="E233" s="262"/>
      <c r="F233" s="447" t="s">
        <v>715</v>
      </c>
      <c r="G233" s="387" t="e">
        <f>VLOOKUP(A233,'Feature Summary'!$A$7:$C$3944,3,FALSE)</f>
        <v>#N/A</v>
      </c>
      <c r="H233" s="447" t="s">
        <v>716</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60.75" thickBot="1">
      <c r="A234" s="458"/>
      <c r="B234" s="463"/>
      <c r="C234" s="463"/>
      <c r="D234" s="449" t="s">
        <v>261</v>
      </c>
      <c r="E234" s="262"/>
      <c r="F234" s="447" t="s">
        <v>715</v>
      </c>
      <c r="G234" s="387" t="e">
        <f>VLOOKUP(A234,'Feature Summary'!$A$7:$C$3944,3,FALSE)</f>
        <v>#N/A</v>
      </c>
      <c r="H234" s="447" t="s">
        <v>717</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30.75" thickBot="1">
      <c r="A235" s="458"/>
      <c r="B235" s="463"/>
      <c r="C235" s="463"/>
      <c r="D235" s="449" t="s">
        <v>261</v>
      </c>
      <c r="E235" s="262"/>
      <c r="F235" s="447" t="s">
        <v>715</v>
      </c>
      <c r="G235" s="387" t="e">
        <f>VLOOKUP(A235,'Feature Summary'!$A$7:$C$3944,3,FALSE)</f>
        <v>#N/A</v>
      </c>
      <c r="H235" s="447" t="s">
        <v>718</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thickBot="1">
      <c r="A236" s="474" t="s">
        <v>714</v>
      </c>
      <c r="B236" s="463"/>
      <c r="C236" s="463" t="s">
        <v>335</v>
      </c>
      <c r="D236" s="449" t="s">
        <v>261</v>
      </c>
      <c r="E236" s="262"/>
      <c r="F236" s="447" t="s">
        <v>719</v>
      </c>
      <c r="G236" s="387" t="e">
        <f>VLOOKUP(A236,'Feature Summary'!$A$7:$C$3944,3,FALSE)</f>
        <v>#N/A</v>
      </c>
      <c r="H236" s="447" t="s">
        <v>720</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60.75" thickBot="1">
      <c r="A237" s="458"/>
      <c r="B237" s="463"/>
      <c r="C237" s="463"/>
      <c r="D237" s="449" t="s">
        <v>261</v>
      </c>
      <c r="E237" s="262"/>
      <c r="F237" s="447" t="s">
        <v>719</v>
      </c>
      <c r="G237" s="387" t="e">
        <f>VLOOKUP(A237,'Feature Summary'!$A$7:$C$3944,3,FALSE)</f>
        <v>#N/A</v>
      </c>
      <c r="H237" s="447" t="s">
        <v>721</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30.75" thickBot="1">
      <c r="A238" s="458"/>
      <c r="B238" s="463"/>
      <c r="C238" s="463"/>
      <c r="D238" s="449" t="s">
        <v>261</v>
      </c>
      <c r="E238" s="262"/>
      <c r="F238" s="447" t="s">
        <v>719</v>
      </c>
      <c r="G238" s="387" t="e">
        <f>VLOOKUP(A238,'Feature Summary'!$A$7:$C$3944,3,FALSE)</f>
        <v>#N/A</v>
      </c>
      <c r="H238" s="447" t="s">
        <v>722</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thickBot="1">
      <c r="A239" s="474" t="s">
        <v>723</v>
      </c>
      <c r="B239" s="593" t="s">
        <v>724</v>
      </c>
      <c r="C239" s="580" t="s">
        <v>260</v>
      </c>
      <c r="D239" s="449" t="s">
        <v>725</v>
      </c>
      <c r="E239" s="580"/>
      <c r="F239" s="593" t="s">
        <v>726</v>
      </c>
      <c r="G239" s="201" t="e">
        <f>VLOOKUP(A239,'Feature Summary'!$A$7:$C$3993,3,FALSE)</f>
        <v>#N/A</v>
      </c>
      <c r="H239" s="447" t="s">
        <v>727</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thickBot="1">
      <c r="A240" s="270" t="s">
        <v>728</v>
      </c>
      <c r="B240" s="593" t="s">
        <v>729</v>
      </c>
      <c r="C240" s="580" t="s">
        <v>260</v>
      </c>
      <c r="D240" s="449" t="s">
        <v>725</v>
      </c>
      <c r="E240" s="580"/>
      <c r="F240" s="593" t="s">
        <v>730</v>
      </c>
      <c r="G240" s="201" t="str">
        <f>VLOOKUP(A240,'Feature Summary'!$A$7:$C$3993,3,FALSE)</f>
        <v>P2</v>
      </c>
      <c r="H240" s="447" t="s">
        <v>731</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30.75" thickBot="1">
      <c r="A241" s="474"/>
      <c r="B241" s="470"/>
      <c r="C241" s="580"/>
      <c r="D241" s="449" t="s">
        <v>261</v>
      </c>
      <c r="E241" s="262"/>
      <c r="F241" s="447" t="s">
        <v>732</v>
      </c>
      <c r="G241" s="387" t="e">
        <f>VLOOKUP(A241,'Feature Summary'!$A$7:$C$3944,3,FALSE)</f>
        <v>#N/A</v>
      </c>
      <c r="H241" s="447" t="s">
        <v>733</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thickBot="1">
      <c r="A242" s="474" t="s">
        <v>723</v>
      </c>
      <c r="B242" s="593" t="s">
        <v>734</v>
      </c>
      <c r="C242" s="580" t="s">
        <v>260</v>
      </c>
      <c r="D242" s="449" t="s">
        <v>725</v>
      </c>
      <c r="E242" s="580"/>
      <c r="F242" s="593" t="s">
        <v>735</v>
      </c>
      <c r="G242" s="201" t="e">
        <f>VLOOKUP(A242,'Feature Summary'!$A$7:$C$3993,3,FALSE)</f>
        <v>#N/A</v>
      </c>
      <c r="H242" s="447" t="s">
        <v>736</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60.75" thickBot="1">
      <c r="A243" s="270" t="s">
        <v>737</v>
      </c>
      <c r="B243" s="593" t="s">
        <v>738</v>
      </c>
      <c r="C243" s="580" t="s">
        <v>335</v>
      </c>
      <c r="D243" s="449" t="s">
        <v>725</v>
      </c>
      <c r="E243" s="580"/>
      <c r="F243" s="593" t="s">
        <v>739</v>
      </c>
      <c r="G243" s="201" t="e">
        <f>VLOOKUP(A243,'Feature Summary'!$A$7:$C$3993,3,FALSE)</f>
        <v>#N/A</v>
      </c>
      <c r="H243" s="447" t="s">
        <v>740</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thickBot="1">
      <c r="A244" s="270" t="s">
        <v>741</v>
      </c>
      <c r="B244" s="463"/>
      <c r="C244" s="463" t="s">
        <v>335</v>
      </c>
      <c r="D244" s="449" t="s">
        <v>261</v>
      </c>
      <c r="E244" s="262"/>
      <c r="F244" s="447" t="s">
        <v>739</v>
      </c>
      <c r="G244" s="387" t="e">
        <f>VLOOKUP(A244,'Feature Summary'!$A$7:$C$3944,3,FALSE)</f>
        <v>#N/A</v>
      </c>
      <c r="H244" s="447" t="s">
        <v>742</v>
      </c>
      <c r="I244" s="488" t="s">
        <v>264</v>
      </c>
      <c r="J244" s="448" t="s">
        <v>449</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45.75" thickBot="1">
      <c r="A245" s="458"/>
      <c r="B245" s="463"/>
      <c r="C245" s="463"/>
      <c r="D245" s="449" t="s">
        <v>261</v>
      </c>
      <c r="E245" s="262"/>
      <c r="F245" s="447" t="s">
        <v>739</v>
      </c>
      <c r="G245" s="387" t="e">
        <f>VLOOKUP(A245,'Feature Summary'!$A$7:$C$3944,3,FALSE)</f>
        <v>#N/A</v>
      </c>
      <c r="H245" s="447" t="s">
        <v>743</v>
      </c>
      <c r="I245" s="447"/>
      <c r="J245" s="448" t="s">
        <v>489</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75.75" thickBot="1">
      <c r="A246" s="458"/>
      <c r="B246" s="463"/>
      <c r="C246" s="463"/>
      <c r="D246" s="449" t="s">
        <v>261</v>
      </c>
      <c r="E246" s="262"/>
      <c r="F246" s="447" t="s">
        <v>739</v>
      </c>
      <c r="G246" s="387" t="e">
        <f>VLOOKUP(A246,'Feature Summary'!$A$7:$C$3944,3,FALSE)</f>
        <v>#N/A</v>
      </c>
      <c r="H246" s="447" t="s">
        <v>744</v>
      </c>
      <c r="I246" s="447"/>
      <c r="J246" s="448" t="s">
        <v>745</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45.75" thickBot="1">
      <c r="A247" s="458" t="s">
        <v>746</v>
      </c>
      <c r="B247" s="447" t="s">
        <v>747</v>
      </c>
      <c r="C247" s="463" t="s">
        <v>354</v>
      </c>
      <c r="D247" s="449" t="s">
        <v>261</v>
      </c>
      <c r="E247" s="262"/>
      <c r="F247" s="447" t="s">
        <v>748</v>
      </c>
      <c r="G247" s="387" t="str">
        <f>VLOOKUP(A247,'Feature Summary'!$A$7:$C$3944,3,FALSE)</f>
        <v>P2</v>
      </c>
      <c r="H247" s="447" t="s">
        <v>749</v>
      </c>
      <c r="I247" s="488" t="s">
        <v>264</v>
      </c>
      <c r="J247" s="481" t="s">
        <v>750</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45.75" thickBot="1">
      <c r="A248" s="458" t="s">
        <v>746</v>
      </c>
      <c r="B248" s="447" t="s">
        <v>747</v>
      </c>
      <c r="C248" s="463" t="s">
        <v>354</v>
      </c>
      <c r="D248" s="449" t="s">
        <v>261</v>
      </c>
      <c r="E248" s="262"/>
      <c r="F248" s="447" t="s">
        <v>751</v>
      </c>
      <c r="G248" s="387" t="str">
        <f>VLOOKUP(A248,'Feature Summary'!$A$7:$C$3944,3,FALSE)</f>
        <v>P2</v>
      </c>
      <c r="H248" s="447" t="s">
        <v>752</v>
      </c>
      <c r="I248" s="488" t="s">
        <v>264</v>
      </c>
      <c r="J248" s="481" t="s">
        <v>753</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45.75" thickBot="1">
      <c r="A249" s="458" t="s">
        <v>746</v>
      </c>
      <c r="B249" s="447" t="s">
        <v>747</v>
      </c>
      <c r="C249" s="463" t="s">
        <v>354</v>
      </c>
      <c r="D249" s="449" t="s">
        <v>261</v>
      </c>
      <c r="E249" s="262"/>
      <c r="F249" s="447" t="s">
        <v>754</v>
      </c>
      <c r="G249" s="387" t="str">
        <f>VLOOKUP(A249,'Feature Summary'!$A$7:$C$3944,3,FALSE)</f>
        <v>P2</v>
      </c>
      <c r="H249" s="447" t="s">
        <v>755</v>
      </c>
      <c r="I249" s="488" t="s">
        <v>264</v>
      </c>
      <c r="J249" s="481" t="s">
        <v>756</v>
      </c>
      <c r="K249" s="263">
        <v>1</v>
      </c>
      <c r="L249" s="391">
        <v>1</v>
      </c>
      <c r="M249" s="399" t="s">
        <v>33</v>
      </c>
      <c r="N249" s="475">
        <v>1</v>
      </c>
      <c r="O249" s="391">
        <v>1</v>
      </c>
      <c r="P249" s="496">
        <f t="shared" si="39"/>
        <v>1</v>
      </c>
      <c r="Q249" s="445" t="s">
        <v>52</v>
      </c>
      <c r="R249" s="391">
        <v>1</v>
      </c>
      <c r="S249" s="362">
        <f t="shared" si="37"/>
        <v>1</v>
      </c>
      <c r="T249" s="368">
        <v>1</v>
      </c>
      <c r="U249" s="368"/>
      <c r="V249" s="368"/>
      <c r="W249" s="368" t="s">
        <v>757</v>
      </c>
      <c r="X249" s="364">
        <f t="shared" si="36"/>
        <v>1</v>
      </c>
      <c r="Y249" s="599"/>
      <c r="Z249" s="498">
        <f t="shared" si="34"/>
        <v>0</v>
      </c>
      <c r="AA249" s="368"/>
      <c r="AB249" s="368"/>
      <c r="AC249" s="368"/>
      <c r="AD249" s="368"/>
      <c r="AE249" s="365">
        <f t="shared" si="35"/>
        <v>0</v>
      </c>
      <c r="AF249" s="580"/>
      <c r="AG249" s="457"/>
      <c r="AH249" s="264"/>
    </row>
    <row r="250" spans="1:34" ht="45.75" thickBot="1">
      <c r="A250" s="458" t="s">
        <v>746</v>
      </c>
      <c r="B250" s="447" t="s">
        <v>747</v>
      </c>
      <c r="C250" s="463" t="s">
        <v>354</v>
      </c>
      <c r="D250" s="449" t="s">
        <v>261</v>
      </c>
      <c r="E250" s="262"/>
      <c r="F250" s="447" t="s">
        <v>758</v>
      </c>
      <c r="G250" s="387" t="str">
        <f>VLOOKUP(A250,'Feature Summary'!$A$7:$C$3944,3,FALSE)</f>
        <v>P2</v>
      </c>
      <c r="H250" s="447" t="s">
        <v>759</v>
      </c>
      <c r="I250" s="488" t="s">
        <v>264</v>
      </c>
      <c r="J250" s="481" t="s">
        <v>753</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45.75" thickBot="1">
      <c r="A251" s="458" t="s">
        <v>746</v>
      </c>
      <c r="B251" s="447" t="s">
        <v>747</v>
      </c>
      <c r="C251" s="463" t="s">
        <v>354</v>
      </c>
      <c r="D251" s="449" t="s">
        <v>261</v>
      </c>
      <c r="E251" s="262"/>
      <c r="F251" s="447" t="s">
        <v>760</v>
      </c>
      <c r="G251" s="387" t="str">
        <f>VLOOKUP(A251,'Feature Summary'!$A$7:$C$3944,3,FALSE)</f>
        <v>P2</v>
      </c>
      <c r="H251" s="447" t="s">
        <v>761</v>
      </c>
      <c r="I251" s="488" t="s">
        <v>264</v>
      </c>
      <c r="J251" s="481" t="s">
        <v>756</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757</v>
      </c>
      <c r="X251" s="364">
        <f t="shared" si="36"/>
        <v>1</v>
      </c>
      <c r="Y251" s="393"/>
      <c r="Z251" s="498">
        <f t="shared" si="34"/>
        <v>0</v>
      </c>
      <c r="AA251" s="368"/>
      <c r="AB251" s="368"/>
      <c r="AC251" s="368"/>
      <c r="AD251" s="368"/>
      <c r="AE251" s="365">
        <f t="shared" si="35"/>
        <v>0</v>
      </c>
      <c r="AF251" s="580"/>
      <c r="AG251" s="457"/>
      <c r="AH251" s="264"/>
    </row>
    <row r="252" spans="1:34" ht="60.75" thickBot="1">
      <c r="A252" s="458" t="s">
        <v>746</v>
      </c>
      <c r="B252" s="447" t="s">
        <v>747</v>
      </c>
      <c r="C252" s="463" t="s">
        <v>354</v>
      </c>
      <c r="D252" s="449" t="s">
        <v>261</v>
      </c>
      <c r="E252" s="262"/>
      <c r="F252" s="447" t="s">
        <v>762</v>
      </c>
      <c r="G252" s="387" t="str">
        <f>VLOOKUP(A252,'Feature Summary'!$A$7:$C$3944,3,FALSE)</f>
        <v>P2</v>
      </c>
      <c r="H252" s="447" t="s">
        <v>763</v>
      </c>
      <c r="I252" s="488" t="s">
        <v>264</v>
      </c>
      <c r="J252" s="481" t="s">
        <v>764</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45.75" thickBot="1">
      <c r="A253" s="458" t="s">
        <v>746</v>
      </c>
      <c r="B253" s="447" t="s">
        <v>747</v>
      </c>
      <c r="C253" s="463" t="s">
        <v>354</v>
      </c>
      <c r="D253" s="449" t="s">
        <v>261</v>
      </c>
      <c r="E253" s="262"/>
      <c r="F253" s="447" t="s">
        <v>765</v>
      </c>
      <c r="G253" s="387" t="str">
        <f>VLOOKUP(A253,'Feature Summary'!$A$7:$C$3944,3,FALSE)</f>
        <v>P2</v>
      </c>
      <c r="H253" s="447" t="s">
        <v>766</v>
      </c>
      <c r="I253" s="488" t="s">
        <v>264</v>
      </c>
      <c r="J253" s="481" t="s">
        <v>756</v>
      </c>
      <c r="K253" s="263">
        <v>1</v>
      </c>
      <c r="L253" s="391">
        <v>1</v>
      </c>
      <c r="M253" s="399" t="s">
        <v>33</v>
      </c>
      <c r="N253" s="475">
        <v>1</v>
      </c>
      <c r="O253" s="391">
        <v>1</v>
      </c>
      <c r="P253" s="496">
        <f t="shared" si="40"/>
        <v>1</v>
      </c>
      <c r="Q253" s="445" t="s">
        <v>52</v>
      </c>
      <c r="R253" s="391">
        <v>1</v>
      </c>
      <c r="S253" s="362">
        <f t="shared" si="37"/>
        <v>1</v>
      </c>
      <c r="T253" s="368">
        <v>1</v>
      </c>
      <c r="U253" s="368"/>
      <c r="V253" s="368"/>
      <c r="W253" s="368" t="s">
        <v>757</v>
      </c>
      <c r="X253" s="364">
        <f t="shared" si="36"/>
        <v>1</v>
      </c>
      <c r="Y253" s="599"/>
      <c r="Z253" s="498">
        <f t="shared" si="34"/>
        <v>0</v>
      </c>
      <c r="AA253" s="368"/>
      <c r="AB253" s="368"/>
      <c r="AC253" s="368"/>
      <c r="AD253" s="368"/>
      <c r="AE253" s="365">
        <f t="shared" si="35"/>
        <v>0</v>
      </c>
      <c r="AF253" s="262"/>
      <c r="AG253" s="457"/>
      <c r="AH253" s="264"/>
    </row>
    <row r="254" spans="1:34" ht="45.75" thickBot="1">
      <c r="A254" s="458" t="s">
        <v>746</v>
      </c>
      <c r="B254" s="447" t="s">
        <v>747</v>
      </c>
      <c r="C254" s="463" t="s">
        <v>354</v>
      </c>
      <c r="D254" s="449" t="s">
        <v>261</v>
      </c>
      <c r="E254" s="262"/>
      <c r="F254" s="447" t="s">
        <v>767</v>
      </c>
      <c r="G254" s="387" t="str">
        <f>VLOOKUP(A254,'Feature Summary'!$A$7:$C$3944,3,FALSE)</f>
        <v>P2</v>
      </c>
      <c r="H254" s="447" t="s">
        <v>768</v>
      </c>
      <c r="I254" s="488" t="s">
        <v>264</v>
      </c>
      <c r="J254" s="481" t="s">
        <v>753</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45.75" thickBot="1">
      <c r="A255" s="458" t="s">
        <v>746</v>
      </c>
      <c r="B255" s="447" t="s">
        <v>747</v>
      </c>
      <c r="C255" s="463" t="s">
        <v>354</v>
      </c>
      <c r="D255" s="449" t="s">
        <v>261</v>
      </c>
      <c r="E255" s="262"/>
      <c r="F255" s="447" t="s">
        <v>769</v>
      </c>
      <c r="G255" s="387" t="str">
        <f>VLOOKUP(A255,'Feature Summary'!$A$7:$C$3944,3,FALSE)</f>
        <v>P2</v>
      </c>
      <c r="H255" s="447" t="s">
        <v>770</v>
      </c>
      <c r="I255" s="488" t="s">
        <v>264</v>
      </c>
      <c r="J255" s="481" t="s">
        <v>756</v>
      </c>
      <c r="K255" s="263">
        <v>1</v>
      </c>
      <c r="L255" s="391">
        <v>1</v>
      </c>
      <c r="M255" s="399" t="s">
        <v>33</v>
      </c>
      <c r="N255" s="475">
        <v>1</v>
      </c>
      <c r="O255" s="391">
        <v>1</v>
      </c>
      <c r="P255" s="496">
        <f t="shared" si="40"/>
        <v>1</v>
      </c>
      <c r="Q255" s="445" t="s">
        <v>52</v>
      </c>
      <c r="R255" s="391">
        <v>1</v>
      </c>
      <c r="S255" s="362">
        <f t="shared" si="37"/>
        <v>1</v>
      </c>
      <c r="T255" s="368">
        <v>1</v>
      </c>
      <c r="U255" s="368"/>
      <c r="V255" s="368"/>
      <c r="W255" s="368" t="s">
        <v>757</v>
      </c>
      <c r="X255" s="364">
        <f t="shared" si="36"/>
        <v>1</v>
      </c>
      <c r="Y255" s="393"/>
      <c r="Z255" s="498">
        <f t="shared" si="34"/>
        <v>0</v>
      </c>
      <c r="AA255" s="368"/>
      <c r="AB255" s="368"/>
      <c r="AC255" s="368"/>
      <c r="AD255" s="368"/>
      <c r="AE255" s="365">
        <f t="shared" si="35"/>
        <v>0</v>
      </c>
      <c r="AF255" s="262"/>
      <c r="AG255" s="457"/>
      <c r="AH255" s="264"/>
    </row>
    <row r="256" spans="1:34" ht="60.75" thickBot="1">
      <c r="A256" s="458" t="s">
        <v>746</v>
      </c>
      <c r="B256" s="447" t="s">
        <v>747</v>
      </c>
      <c r="C256" s="463" t="s">
        <v>354</v>
      </c>
      <c r="D256" s="449" t="s">
        <v>261</v>
      </c>
      <c r="E256" s="262"/>
      <c r="F256" s="447" t="s">
        <v>771</v>
      </c>
      <c r="G256" s="387" t="str">
        <f>VLOOKUP(A256,'Feature Summary'!$A$7:$C$3944,3,FALSE)</f>
        <v>P2</v>
      </c>
      <c r="H256" s="447" t="s">
        <v>772</v>
      </c>
      <c r="I256" s="488" t="s">
        <v>264</v>
      </c>
      <c r="J256" s="481" t="s">
        <v>764</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45.75" thickBot="1">
      <c r="A257" s="458" t="s">
        <v>746</v>
      </c>
      <c r="B257" s="447" t="s">
        <v>747</v>
      </c>
      <c r="C257" s="463" t="s">
        <v>354</v>
      </c>
      <c r="D257" s="449" t="s">
        <v>261</v>
      </c>
      <c r="E257" s="262"/>
      <c r="F257" s="447" t="s">
        <v>773</v>
      </c>
      <c r="G257" s="387" t="str">
        <f>VLOOKUP(A257,'Feature Summary'!$A$7:$C$3944,3,FALSE)</f>
        <v>P2</v>
      </c>
      <c r="H257" s="447" t="s">
        <v>774</v>
      </c>
      <c r="I257" s="488" t="s">
        <v>264</v>
      </c>
      <c r="J257" s="481" t="s">
        <v>750</v>
      </c>
      <c r="K257" s="263">
        <v>1</v>
      </c>
      <c r="L257" s="391">
        <v>1</v>
      </c>
      <c r="M257" s="399" t="s">
        <v>33</v>
      </c>
      <c r="N257" s="475">
        <v>1</v>
      </c>
      <c r="O257" s="391">
        <v>1</v>
      </c>
      <c r="P257" s="496">
        <f t="shared" si="40"/>
        <v>1</v>
      </c>
      <c r="Q257" s="445" t="s">
        <v>52</v>
      </c>
      <c r="R257" s="391">
        <v>1</v>
      </c>
      <c r="S257" s="362">
        <f t="shared" si="37"/>
        <v>1</v>
      </c>
      <c r="T257" s="368">
        <v>1</v>
      </c>
      <c r="U257" s="368"/>
      <c r="V257" s="368"/>
      <c r="W257" s="368" t="s">
        <v>757</v>
      </c>
      <c r="X257" s="364">
        <f t="shared" si="36"/>
        <v>1</v>
      </c>
      <c r="Y257" s="393"/>
      <c r="Z257" s="498">
        <f t="shared" si="34"/>
        <v>0</v>
      </c>
      <c r="AA257" s="368"/>
      <c r="AB257" s="368"/>
      <c r="AC257" s="368"/>
      <c r="AD257" s="368"/>
      <c r="AE257" s="365">
        <f t="shared" si="35"/>
        <v>0</v>
      </c>
      <c r="AF257" s="262"/>
      <c r="AG257" s="457"/>
      <c r="AH257" s="264"/>
    </row>
    <row r="258" spans="1:34" ht="45.75" thickBot="1">
      <c r="A258" s="458" t="s">
        <v>746</v>
      </c>
      <c r="B258" s="447" t="s">
        <v>747</v>
      </c>
      <c r="C258" s="463" t="s">
        <v>354</v>
      </c>
      <c r="D258" s="449" t="s">
        <v>261</v>
      </c>
      <c r="E258" s="262"/>
      <c r="F258" s="447" t="s">
        <v>775</v>
      </c>
      <c r="G258" s="387" t="str">
        <f>VLOOKUP(A258,'Feature Summary'!$A$7:$C$3944,3,FALSE)</f>
        <v>P2</v>
      </c>
      <c r="H258" s="447" t="s">
        <v>776</v>
      </c>
      <c r="I258" s="488" t="s">
        <v>264</v>
      </c>
      <c r="J258" s="481" t="s">
        <v>753</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90.75" thickBot="1">
      <c r="A259" s="458" t="s">
        <v>746</v>
      </c>
      <c r="B259" s="447" t="s">
        <v>747</v>
      </c>
      <c r="C259" s="463" t="s">
        <v>354</v>
      </c>
      <c r="D259" s="449" t="s">
        <v>261</v>
      </c>
      <c r="E259" s="262"/>
      <c r="F259" s="447" t="s">
        <v>777</v>
      </c>
      <c r="G259" s="387" t="str">
        <f>VLOOKUP(A259,'Feature Summary'!$A$7:$C$3944,3,FALSE)</f>
        <v>P2</v>
      </c>
      <c r="H259" s="447" t="s">
        <v>778</v>
      </c>
      <c r="I259" s="488" t="s">
        <v>264</v>
      </c>
      <c r="J259" s="481" t="s">
        <v>779</v>
      </c>
      <c r="K259" s="263">
        <v>1</v>
      </c>
      <c r="L259" s="391">
        <v>1</v>
      </c>
      <c r="M259" s="399" t="s">
        <v>33</v>
      </c>
      <c r="N259" s="475">
        <v>1</v>
      </c>
      <c r="O259" s="391">
        <v>1</v>
      </c>
      <c r="P259" s="496">
        <f t="shared" si="40"/>
        <v>1</v>
      </c>
      <c r="Q259" s="445" t="s">
        <v>52</v>
      </c>
      <c r="R259" s="391">
        <v>1</v>
      </c>
      <c r="S259" s="362">
        <f t="shared" si="37"/>
        <v>1</v>
      </c>
      <c r="T259" s="368">
        <v>1</v>
      </c>
      <c r="U259" s="368"/>
      <c r="V259" s="368"/>
      <c r="W259" s="368" t="s">
        <v>757</v>
      </c>
      <c r="X259" s="364">
        <f t="shared" si="36"/>
        <v>1</v>
      </c>
      <c r="Y259" s="599"/>
      <c r="Z259" s="498">
        <f t="shared" si="34"/>
        <v>0</v>
      </c>
      <c r="AA259" s="368"/>
      <c r="AB259" s="368"/>
      <c r="AC259" s="368"/>
      <c r="AD259" s="368"/>
      <c r="AE259" s="365">
        <f t="shared" si="35"/>
        <v>0</v>
      </c>
      <c r="AF259" s="558"/>
      <c r="AG259" s="457"/>
      <c r="AH259" s="264"/>
    </row>
    <row r="260" spans="1:34" ht="90.75" thickBot="1">
      <c r="A260" s="458" t="s">
        <v>746</v>
      </c>
      <c r="B260" s="447" t="s">
        <v>747</v>
      </c>
      <c r="C260" s="463" t="s">
        <v>354</v>
      </c>
      <c r="D260" s="449" t="s">
        <v>261</v>
      </c>
      <c r="E260" s="262"/>
      <c r="F260" s="447" t="s">
        <v>780</v>
      </c>
      <c r="G260" s="387" t="str">
        <f>VLOOKUP(A260,'Feature Summary'!$A$7:$C$3944,3,FALSE)</f>
        <v>P2</v>
      </c>
      <c r="H260" s="447" t="s">
        <v>781</v>
      </c>
      <c r="I260" s="488" t="s">
        <v>264</v>
      </c>
      <c r="J260" s="481" t="s">
        <v>782</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90.75" thickBot="1">
      <c r="A261" s="458" t="s">
        <v>746</v>
      </c>
      <c r="B261" s="447" t="s">
        <v>747</v>
      </c>
      <c r="C261" s="463" t="s">
        <v>354</v>
      </c>
      <c r="D261" s="449" t="s">
        <v>261</v>
      </c>
      <c r="E261" s="262"/>
      <c r="F261" s="447" t="s">
        <v>783</v>
      </c>
      <c r="G261" s="387" t="str">
        <f>VLOOKUP(A261,'Feature Summary'!$A$7:$C$3944,3,FALSE)</f>
        <v>P2</v>
      </c>
      <c r="H261" s="447" t="s">
        <v>784</v>
      </c>
      <c r="I261" s="488" t="s">
        <v>264</v>
      </c>
      <c r="J261" s="481" t="s">
        <v>779</v>
      </c>
      <c r="K261" s="263">
        <v>1</v>
      </c>
      <c r="L261" s="391">
        <v>1</v>
      </c>
      <c r="M261" s="399" t="s">
        <v>33</v>
      </c>
      <c r="N261" s="475">
        <v>1</v>
      </c>
      <c r="O261" s="391">
        <v>1</v>
      </c>
      <c r="P261" s="496">
        <f t="shared" si="40"/>
        <v>1</v>
      </c>
      <c r="Q261" s="445" t="s">
        <v>52</v>
      </c>
      <c r="R261" s="391">
        <v>1</v>
      </c>
      <c r="S261" s="362">
        <f t="shared" si="37"/>
        <v>1</v>
      </c>
      <c r="T261" s="368">
        <v>1</v>
      </c>
      <c r="U261" s="368"/>
      <c r="V261" s="368"/>
      <c r="W261" s="368" t="s">
        <v>757</v>
      </c>
      <c r="X261" s="364">
        <f t="shared" si="36"/>
        <v>1</v>
      </c>
      <c r="Y261" s="393"/>
      <c r="Z261" s="498">
        <f t="shared" si="34"/>
        <v>0</v>
      </c>
      <c r="AA261" s="368"/>
      <c r="AB261" s="368"/>
      <c r="AC261" s="368"/>
      <c r="AD261" s="368"/>
      <c r="AE261" s="365">
        <f t="shared" si="35"/>
        <v>0</v>
      </c>
      <c r="AF261" s="558"/>
      <c r="AG261" s="457"/>
      <c r="AH261" s="264"/>
    </row>
    <row r="262" spans="1:34" ht="90.75" thickBot="1">
      <c r="A262" s="458" t="s">
        <v>746</v>
      </c>
      <c r="B262" s="447" t="s">
        <v>747</v>
      </c>
      <c r="C262" s="463" t="s">
        <v>354</v>
      </c>
      <c r="D262" s="449" t="s">
        <v>261</v>
      </c>
      <c r="E262" s="262"/>
      <c r="F262" s="447" t="s">
        <v>785</v>
      </c>
      <c r="G262" s="387" t="str">
        <f>VLOOKUP(A262,'Feature Summary'!$A$7:$C$3944,3,FALSE)</f>
        <v>P2</v>
      </c>
      <c r="H262" s="447" t="s">
        <v>786</v>
      </c>
      <c r="I262" s="488" t="s">
        <v>264</v>
      </c>
      <c r="J262" s="481" t="s">
        <v>782</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90.75" thickBot="1">
      <c r="A263" s="458" t="s">
        <v>746</v>
      </c>
      <c r="B263" s="447" t="s">
        <v>747</v>
      </c>
      <c r="C263" s="463" t="s">
        <v>354</v>
      </c>
      <c r="D263" s="449" t="s">
        <v>261</v>
      </c>
      <c r="E263" s="262"/>
      <c r="F263" s="447" t="s">
        <v>787</v>
      </c>
      <c r="G263" s="387" t="str">
        <f>VLOOKUP(A263,'Feature Summary'!$A$7:$C$3944,3,FALSE)</f>
        <v>P2</v>
      </c>
      <c r="H263" s="447" t="s">
        <v>788</v>
      </c>
      <c r="I263" s="488" t="s">
        <v>264</v>
      </c>
      <c r="J263" s="481" t="s">
        <v>779</v>
      </c>
      <c r="K263" s="263">
        <v>1</v>
      </c>
      <c r="L263" s="391">
        <v>1</v>
      </c>
      <c r="M263" s="399" t="s">
        <v>33</v>
      </c>
      <c r="N263" s="475">
        <v>1</v>
      </c>
      <c r="O263" s="391">
        <v>1</v>
      </c>
      <c r="P263" s="496">
        <f t="shared" si="40"/>
        <v>1</v>
      </c>
      <c r="Q263" s="445" t="s">
        <v>52</v>
      </c>
      <c r="R263" s="391">
        <v>1</v>
      </c>
      <c r="S263" s="362">
        <f t="shared" si="37"/>
        <v>1</v>
      </c>
      <c r="T263" s="368">
        <v>1</v>
      </c>
      <c r="U263" s="368"/>
      <c r="V263" s="368"/>
      <c r="W263" s="368" t="s">
        <v>757</v>
      </c>
      <c r="X263" s="364">
        <f t="shared" si="36"/>
        <v>1</v>
      </c>
      <c r="Y263" s="599"/>
      <c r="Z263" s="498">
        <f t="shared" si="34"/>
        <v>0</v>
      </c>
      <c r="AA263" s="368"/>
      <c r="AB263" s="368"/>
      <c r="AC263" s="368"/>
      <c r="AD263" s="368"/>
      <c r="AE263" s="365">
        <f t="shared" si="35"/>
        <v>0</v>
      </c>
      <c r="AF263" s="558"/>
      <c r="AG263" s="457"/>
      <c r="AH263" s="264"/>
    </row>
    <row r="264" spans="1:34" ht="90.75" thickBot="1">
      <c r="A264" s="458" t="s">
        <v>746</v>
      </c>
      <c r="B264" s="447" t="s">
        <v>747</v>
      </c>
      <c r="C264" s="463" t="s">
        <v>354</v>
      </c>
      <c r="D264" s="449" t="s">
        <v>261</v>
      </c>
      <c r="E264" s="262"/>
      <c r="F264" s="447" t="s">
        <v>789</v>
      </c>
      <c r="G264" s="387" t="str">
        <f>VLOOKUP(A264,'Feature Summary'!$A$7:$C$3944,3,FALSE)</f>
        <v>P2</v>
      </c>
      <c r="H264" s="447" t="s">
        <v>790</v>
      </c>
      <c r="I264" s="488" t="s">
        <v>264</v>
      </c>
      <c r="J264" s="481" t="s">
        <v>782</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45.75" thickBot="1">
      <c r="A265" s="458" t="s">
        <v>746</v>
      </c>
      <c r="B265" s="447" t="s">
        <v>747</v>
      </c>
      <c r="C265" s="463" t="s">
        <v>354</v>
      </c>
      <c r="D265" s="449" t="s">
        <v>261</v>
      </c>
      <c r="E265" s="262"/>
      <c r="F265" s="447" t="s">
        <v>791</v>
      </c>
      <c r="G265" s="387" t="str">
        <f>VLOOKUP(A265,'Feature Summary'!$A$7:$C$3944,3,FALSE)</f>
        <v>P2</v>
      </c>
      <c r="H265" s="447" t="s">
        <v>792</v>
      </c>
      <c r="I265" s="488" t="s">
        <v>264</v>
      </c>
      <c r="J265" s="481" t="s">
        <v>756</v>
      </c>
      <c r="K265" s="263">
        <v>1</v>
      </c>
      <c r="L265" s="391">
        <v>1</v>
      </c>
      <c r="M265" s="399" t="s">
        <v>33</v>
      </c>
      <c r="N265" s="475">
        <v>1</v>
      </c>
      <c r="O265" s="391">
        <v>1</v>
      </c>
      <c r="P265" s="496">
        <f t="shared" si="40"/>
        <v>1</v>
      </c>
      <c r="Q265" s="445" t="s">
        <v>52</v>
      </c>
      <c r="R265" s="391">
        <v>1</v>
      </c>
      <c r="S265" s="362">
        <f t="shared" si="37"/>
        <v>1</v>
      </c>
      <c r="T265" s="368">
        <v>1</v>
      </c>
      <c r="U265" s="368"/>
      <c r="V265" s="368"/>
      <c r="W265" s="368" t="s">
        <v>757</v>
      </c>
      <c r="X265" s="364">
        <f t="shared" ref="X265:X328" si="43">IF((S265=0),0,((T265+U265)/S265*100%))</f>
        <v>1</v>
      </c>
      <c r="Y265" s="393"/>
      <c r="Z265" s="498">
        <f t="shared" si="41"/>
        <v>0</v>
      </c>
      <c r="AA265" s="368"/>
      <c r="AB265" s="368"/>
      <c r="AC265" s="368"/>
      <c r="AD265" s="368"/>
      <c r="AE265" s="365">
        <f t="shared" si="42"/>
        <v>0</v>
      </c>
      <c r="AF265" s="262"/>
      <c r="AG265" s="457"/>
      <c r="AH265" s="264"/>
    </row>
    <row r="266" spans="1:34" ht="90.75" thickBot="1">
      <c r="A266" s="458" t="s">
        <v>746</v>
      </c>
      <c r="B266" s="447" t="s">
        <v>747</v>
      </c>
      <c r="C266" s="463" t="s">
        <v>354</v>
      </c>
      <c r="D266" s="449" t="s">
        <v>261</v>
      </c>
      <c r="E266" s="262"/>
      <c r="F266" s="447" t="s">
        <v>793</v>
      </c>
      <c r="G266" s="387" t="str">
        <f>VLOOKUP(A266,'Feature Summary'!$A$7:$C$3944,3,FALSE)</f>
        <v>P2</v>
      </c>
      <c r="H266" s="447" t="s">
        <v>794</v>
      </c>
      <c r="I266" s="488" t="s">
        <v>264</v>
      </c>
      <c r="J266" s="481" t="s">
        <v>782</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105.75" thickBot="1">
      <c r="A267" s="458"/>
      <c r="B267" s="447" t="s">
        <v>747</v>
      </c>
      <c r="C267" s="463"/>
      <c r="D267" s="449" t="s">
        <v>261</v>
      </c>
      <c r="E267" s="262"/>
      <c r="F267" s="447" t="s">
        <v>748</v>
      </c>
      <c r="G267" s="387" t="e">
        <f>VLOOKUP(A267,'Feature Summary'!$A$7:$C$3944,3,FALSE)</f>
        <v>#N/A</v>
      </c>
      <c r="H267" s="447" t="s">
        <v>795</v>
      </c>
      <c r="I267" s="447"/>
      <c r="J267" s="481" t="s">
        <v>796</v>
      </c>
      <c r="K267" s="263"/>
      <c r="L267" s="391"/>
      <c r="M267" s="399" t="s">
        <v>33</v>
      </c>
      <c r="N267" s="475">
        <v>1</v>
      </c>
      <c r="O267" s="391"/>
      <c r="P267" s="496">
        <f t="shared" si="40"/>
        <v>0</v>
      </c>
      <c r="Q267" s="445" t="s">
        <v>52</v>
      </c>
      <c r="R267" s="391"/>
      <c r="S267" s="362">
        <f t="shared" si="44"/>
        <v>0</v>
      </c>
      <c r="T267" s="368"/>
      <c r="U267" s="368"/>
      <c r="V267" s="368"/>
      <c r="W267" s="368" t="s">
        <v>757</v>
      </c>
      <c r="X267" s="364">
        <f t="shared" si="43"/>
        <v>0</v>
      </c>
      <c r="Y267" s="393"/>
      <c r="Z267" s="498">
        <f t="shared" si="41"/>
        <v>0</v>
      </c>
      <c r="AA267" s="368"/>
      <c r="AB267" s="368"/>
      <c r="AC267" s="368"/>
      <c r="AD267" s="368"/>
      <c r="AE267" s="365">
        <f t="shared" si="42"/>
        <v>0</v>
      </c>
      <c r="AF267" s="558"/>
      <c r="AG267" s="457"/>
      <c r="AH267" s="264"/>
    </row>
    <row r="268" spans="1:34" ht="105.75" thickBot="1">
      <c r="A268" s="458"/>
      <c r="B268" s="447" t="s">
        <v>747</v>
      </c>
      <c r="C268" s="463"/>
      <c r="D268" s="449" t="s">
        <v>261</v>
      </c>
      <c r="E268" s="262"/>
      <c r="F268" s="447" t="s">
        <v>751</v>
      </c>
      <c r="G268" s="387" t="e">
        <f>VLOOKUP(A268,'Feature Summary'!$A$7:$C$3944,3,FALSE)</f>
        <v>#N/A</v>
      </c>
      <c r="H268" s="447" t="s">
        <v>797</v>
      </c>
      <c r="I268" s="447"/>
      <c r="J268" s="481" t="s">
        <v>798</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105.75" thickBot="1">
      <c r="A269" s="458"/>
      <c r="B269" s="447" t="s">
        <v>747</v>
      </c>
      <c r="C269" s="463"/>
      <c r="D269" s="449" t="s">
        <v>261</v>
      </c>
      <c r="E269" s="262"/>
      <c r="F269" s="447" t="s">
        <v>754</v>
      </c>
      <c r="G269" s="387" t="e">
        <f>VLOOKUP(A269,'Feature Summary'!$A$7:$C$3944,3,FALSE)</f>
        <v>#N/A</v>
      </c>
      <c r="H269" s="447" t="s">
        <v>799</v>
      </c>
      <c r="I269" s="447"/>
      <c r="J269" s="481" t="s">
        <v>796</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105.75" thickBot="1">
      <c r="A270" s="458"/>
      <c r="B270" s="447" t="s">
        <v>747</v>
      </c>
      <c r="C270" s="463"/>
      <c r="D270" s="449" t="s">
        <v>261</v>
      </c>
      <c r="E270" s="262"/>
      <c r="F270" s="447" t="s">
        <v>758</v>
      </c>
      <c r="G270" s="387" t="e">
        <f>VLOOKUP(A270,'Feature Summary'!$A$7:$C$3944,3,FALSE)</f>
        <v>#N/A</v>
      </c>
      <c r="H270" s="447" t="s">
        <v>800</v>
      </c>
      <c r="I270" s="447"/>
      <c r="J270" s="481" t="s">
        <v>798</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105.75" thickBot="1">
      <c r="A271" s="458"/>
      <c r="B271" s="447" t="s">
        <v>747</v>
      </c>
      <c r="C271" s="463"/>
      <c r="D271" s="449" t="s">
        <v>261</v>
      </c>
      <c r="E271" s="262"/>
      <c r="F271" s="447" t="s">
        <v>760</v>
      </c>
      <c r="G271" s="387" t="e">
        <f>VLOOKUP(A271,'Feature Summary'!$A$7:$C$3944,3,FALSE)</f>
        <v>#N/A</v>
      </c>
      <c r="H271" s="447" t="s">
        <v>801</v>
      </c>
      <c r="I271" s="447"/>
      <c r="J271" s="481" t="s">
        <v>796</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105.75" thickBot="1">
      <c r="A272" s="458"/>
      <c r="B272" s="447" t="s">
        <v>747</v>
      </c>
      <c r="C272" s="463"/>
      <c r="D272" s="449" t="s">
        <v>261</v>
      </c>
      <c r="E272" s="262"/>
      <c r="F272" s="447" t="s">
        <v>762</v>
      </c>
      <c r="G272" s="387" t="e">
        <f>VLOOKUP(A272,'Feature Summary'!$A$7:$C$3944,3,FALSE)</f>
        <v>#N/A</v>
      </c>
      <c r="H272" s="447" t="s">
        <v>802</v>
      </c>
      <c r="I272" s="447"/>
      <c r="J272" s="481" t="s">
        <v>798</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105.75" thickBot="1">
      <c r="A273" s="458"/>
      <c r="B273" s="447" t="s">
        <v>747</v>
      </c>
      <c r="C273" s="463"/>
      <c r="D273" s="449" t="s">
        <v>261</v>
      </c>
      <c r="E273" s="262"/>
      <c r="F273" s="447" t="s">
        <v>765</v>
      </c>
      <c r="G273" s="387" t="e">
        <f>VLOOKUP(A273,'Feature Summary'!$A$7:$C$3944,3,FALSE)</f>
        <v>#N/A</v>
      </c>
      <c r="H273" s="447" t="s">
        <v>803</v>
      </c>
      <c r="I273" s="447"/>
      <c r="J273" s="481" t="s">
        <v>796</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105.75" thickBot="1">
      <c r="A274" s="458"/>
      <c r="B274" s="447" t="s">
        <v>747</v>
      </c>
      <c r="C274" s="463"/>
      <c r="D274" s="449" t="s">
        <v>261</v>
      </c>
      <c r="E274" s="262"/>
      <c r="F274" s="447" t="s">
        <v>767</v>
      </c>
      <c r="G274" s="387" t="e">
        <f>VLOOKUP(A274,'Feature Summary'!$A$7:$C$3944,3,FALSE)</f>
        <v>#N/A</v>
      </c>
      <c r="H274" s="447" t="s">
        <v>804</v>
      </c>
      <c r="I274" s="447"/>
      <c r="J274" s="481" t="s">
        <v>798</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105.75" thickBot="1">
      <c r="A275" s="458"/>
      <c r="B275" s="447" t="s">
        <v>747</v>
      </c>
      <c r="C275" s="463"/>
      <c r="D275" s="449" t="s">
        <v>261</v>
      </c>
      <c r="E275" s="262"/>
      <c r="F275" s="447" t="s">
        <v>769</v>
      </c>
      <c r="G275" s="387" t="e">
        <f>VLOOKUP(A275,'Feature Summary'!$A$7:$C$3944,3,FALSE)</f>
        <v>#N/A</v>
      </c>
      <c r="H275" s="447" t="s">
        <v>805</v>
      </c>
      <c r="I275" s="447"/>
      <c r="J275" s="481" t="s">
        <v>796</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105.75" thickBot="1">
      <c r="A276" s="458"/>
      <c r="B276" s="447" t="s">
        <v>747</v>
      </c>
      <c r="C276" s="463"/>
      <c r="D276" s="449" t="s">
        <v>261</v>
      </c>
      <c r="E276" s="262"/>
      <c r="F276" s="447" t="s">
        <v>771</v>
      </c>
      <c r="G276" s="387" t="e">
        <f>VLOOKUP(A276,'Feature Summary'!$A$7:$C$3944,3,FALSE)</f>
        <v>#N/A</v>
      </c>
      <c r="H276" s="447" t="s">
        <v>806</v>
      </c>
      <c r="I276" s="447"/>
      <c r="J276" s="481" t="s">
        <v>798</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105.75" thickBot="1">
      <c r="A277" s="458"/>
      <c r="B277" s="447" t="s">
        <v>747</v>
      </c>
      <c r="C277" s="463"/>
      <c r="D277" s="449" t="s">
        <v>261</v>
      </c>
      <c r="E277" s="262"/>
      <c r="F277" s="447" t="s">
        <v>773</v>
      </c>
      <c r="G277" s="387" t="e">
        <f>VLOOKUP(A277,'Feature Summary'!$A$7:$C$3944,3,FALSE)</f>
        <v>#N/A</v>
      </c>
      <c r="H277" s="447" t="s">
        <v>807</v>
      </c>
      <c r="I277" s="447"/>
      <c r="J277" s="481" t="s">
        <v>796</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105.75" thickBot="1">
      <c r="A278" s="458"/>
      <c r="B278" s="447" t="s">
        <v>747</v>
      </c>
      <c r="C278" s="463"/>
      <c r="D278" s="449" t="s">
        <v>261</v>
      </c>
      <c r="E278" s="262"/>
      <c r="F278" s="447" t="s">
        <v>775</v>
      </c>
      <c r="G278" s="387" t="e">
        <f>VLOOKUP(A278,'Feature Summary'!$A$7:$C$3944,3,FALSE)</f>
        <v>#N/A</v>
      </c>
      <c r="H278" s="447" t="s">
        <v>808</v>
      </c>
      <c r="I278" s="447"/>
      <c r="J278" s="481" t="s">
        <v>798</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105.75" thickBot="1">
      <c r="A279" s="458"/>
      <c r="B279" s="447" t="s">
        <v>747</v>
      </c>
      <c r="C279" s="463"/>
      <c r="D279" s="449" t="s">
        <v>261</v>
      </c>
      <c r="E279" s="262"/>
      <c r="F279" s="447" t="s">
        <v>777</v>
      </c>
      <c r="G279" s="387" t="e">
        <f>VLOOKUP(A279,'Feature Summary'!$A$7:$C$3944,3,FALSE)</f>
        <v>#N/A</v>
      </c>
      <c r="H279" s="447" t="s">
        <v>809</v>
      </c>
      <c r="I279" s="447"/>
      <c r="J279" s="481" t="s">
        <v>796</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105.75" thickBot="1">
      <c r="A280" s="458"/>
      <c r="B280" s="447" t="s">
        <v>747</v>
      </c>
      <c r="C280" s="463"/>
      <c r="D280" s="449" t="s">
        <v>261</v>
      </c>
      <c r="E280" s="262"/>
      <c r="F280" s="447" t="s">
        <v>780</v>
      </c>
      <c r="G280" s="387" t="e">
        <f>VLOOKUP(A280,'Feature Summary'!$A$7:$C$3944,3,FALSE)</f>
        <v>#N/A</v>
      </c>
      <c r="H280" s="447" t="s">
        <v>810</v>
      </c>
      <c r="I280" s="447"/>
      <c r="J280" s="481" t="s">
        <v>798</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105.75" thickBot="1">
      <c r="A281" s="458"/>
      <c r="B281" s="447" t="s">
        <v>747</v>
      </c>
      <c r="C281" s="463"/>
      <c r="D281" s="449" t="s">
        <v>261</v>
      </c>
      <c r="E281" s="262"/>
      <c r="F281" s="447" t="s">
        <v>783</v>
      </c>
      <c r="G281" s="387" t="e">
        <f>VLOOKUP(A281,'Feature Summary'!$A$7:$C$3944,3,FALSE)</f>
        <v>#N/A</v>
      </c>
      <c r="H281" s="447" t="s">
        <v>811</v>
      </c>
      <c r="I281" s="447"/>
      <c r="J281" s="481" t="s">
        <v>796</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105.75" thickBot="1">
      <c r="A282" s="458"/>
      <c r="B282" s="447" t="s">
        <v>747</v>
      </c>
      <c r="C282" s="463"/>
      <c r="D282" s="449" t="s">
        <v>261</v>
      </c>
      <c r="E282" s="262"/>
      <c r="F282" s="447" t="s">
        <v>785</v>
      </c>
      <c r="G282" s="387" t="e">
        <f>VLOOKUP(A282,'Feature Summary'!$A$7:$C$3944,3,FALSE)</f>
        <v>#N/A</v>
      </c>
      <c r="H282" s="447" t="s">
        <v>812</v>
      </c>
      <c r="I282" s="447"/>
      <c r="J282" s="481" t="s">
        <v>798</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105.75" thickBot="1">
      <c r="A283" s="458"/>
      <c r="B283" s="447" t="s">
        <v>747</v>
      </c>
      <c r="C283" s="463"/>
      <c r="D283" s="449" t="s">
        <v>261</v>
      </c>
      <c r="E283" s="262"/>
      <c r="F283" s="447" t="s">
        <v>787</v>
      </c>
      <c r="G283" s="387" t="e">
        <f>VLOOKUP(A283,'Feature Summary'!$A$7:$C$3944,3,FALSE)</f>
        <v>#N/A</v>
      </c>
      <c r="H283" s="447" t="s">
        <v>813</v>
      </c>
      <c r="I283" s="447"/>
      <c r="J283" s="481" t="s">
        <v>796</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105.75" thickBot="1">
      <c r="A284" s="458"/>
      <c r="B284" s="447" t="s">
        <v>747</v>
      </c>
      <c r="C284" s="463"/>
      <c r="D284" s="449" t="s">
        <v>261</v>
      </c>
      <c r="E284" s="262"/>
      <c r="F284" s="447" t="s">
        <v>789</v>
      </c>
      <c r="G284" s="387" t="e">
        <f>VLOOKUP(A284,'Feature Summary'!$A$7:$C$3944,3,FALSE)</f>
        <v>#N/A</v>
      </c>
      <c r="H284" s="447" t="s">
        <v>814</v>
      </c>
      <c r="I284" s="447"/>
      <c r="J284" s="481" t="s">
        <v>798</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105.75" thickBot="1">
      <c r="A285" s="458"/>
      <c r="B285" s="447" t="s">
        <v>747</v>
      </c>
      <c r="C285" s="463"/>
      <c r="D285" s="449" t="s">
        <v>261</v>
      </c>
      <c r="E285" s="262"/>
      <c r="F285" s="447" t="s">
        <v>815</v>
      </c>
      <c r="G285" s="387" t="e">
        <f>VLOOKUP(A285,'Feature Summary'!$A$7:$C$3944,3,FALSE)</f>
        <v>#N/A</v>
      </c>
      <c r="H285" s="447" t="s">
        <v>816</v>
      </c>
      <c r="I285" s="447"/>
      <c r="J285" s="481" t="s">
        <v>796</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105.75" thickBot="1">
      <c r="A286" s="458"/>
      <c r="B286" s="447" t="s">
        <v>747</v>
      </c>
      <c r="C286" s="463"/>
      <c r="D286" s="449" t="s">
        <v>261</v>
      </c>
      <c r="E286" s="262"/>
      <c r="F286" s="447" t="s">
        <v>793</v>
      </c>
      <c r="G286" s="387" t="e">
        <f>VLOOKUP(A286,'Feature Summary'!$A$7:$C$3944,3,FALSE)</f>
        <v>#N/A</v>
      </c>
      <c r="H286" s="447" t="s">
        <v>817</v>
      </c>
      <c r="I286" s="447"/>
      <c r="J286" s="481" t="s">
        <v>798</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75.75" thickBot="1">
      <c r="A287" s="474" t="s">
        <v>818</v>
      </c>
      <c r="B287" s="447" t="s">
        <v>819</v>
      </c>
      <c r="C287" s="463" t="s">
        <v>260</v>
      </c>
      <c r="D287" s="449" t="s">
        <v>261</v>
      </c>
      <c r="E287" s="262"/>
      <c r="F287" s="470" t="s">
        <v>820</v>
      </c>
      <c r="G287" s="387" t="e">
        <f>VLOOKUP(A287,'Feature Summary'!$A$7:$C$3944,3,FALSE)</f>
        <v>#N/A</v>
      </c>
      <c r="H287" s="447" t="s">
        <v>821</v>
      </c>
      <c r="I287" s="488" t="s">
        <v>264</v>
      </c>
      <c r="J287" s="448" t="s">
        <v>822</v>
      </c>
      <c r="K287" s="263">
        <v>1</v>
      </c>
      <c r="L287" s="391">
        <v>32</v>
      </c>
      <c r="M287" s="399" t="s">
        <v>33</v>
      </c>
      <c r="N287" s="475">
        <v>1</v>
      </c>
      <c r="O287" s="391">
        <v>32</v>
      </c>
      <c r="P287" s="496">
        <f t="shared" si="45"/>
        <v>1</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105.75" thickBot="1">
      <c r="A288" s="458"/>
      <c r="B288" s="447" t="s">
        <v>819</v>
      </c>
      <c r="C288" s="463"/>
      <c r="D288" s="449" t="s">
        <v>261</v>
      </c>
      <c r="E288" s="262"/>
      <c r="F288" s="470" t="s">
        <v>820</v>
      </c>
      <c r="G288" s="387" t="e">
        <f>VLOOKUP(A288,'Feature Summary'!$A$7:$C$3944,3,FALSE)</f>
        <v>#N/A</v>
      </c>
      <c r="H288" s="447" t="s">
        <v>823</v>
      </c>
      <c r="I288" s="447"/>
      <c r="J288" s="448" t="s">
        <v>824</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75.75" thickBot="1">
      <c r="A289" s="458"/>
      <c r="B289" s="447" t="s">
        <v>819</v>
      </c>
      <c r="C289" s="463"/>
      <c r="D289" s="449" t="s">
        <v>261</v>
      </c>
      <c r="E289" s="262"/>
      <c r="F289" s="470" t="s">
        <v>820</v>
      </c>
      <c r="G289" s="387" t="e">
        <f>VLOOKUP(A289,'Feature Summary'!$A$7:$C$3944,3,FALSE)</f>
        <v>#N/A</v>
      </c>
      <c r="H289" s="447" t="s">
        <v>825</v>
      </c>
      <c r="I289" s="447"/>
      <c r="J289" s="448" t="s">
        <v>826</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105.75" thickBot="1">
      <c r="A290" s="458"/>
      <c r="B290" s="447" t="s">
        <v>819</v>
      </c>
      <c r="C290" s="463"/>
      <c r="D290" s="449" t="s">
        <v>261</v>
      </c>
      <c r="E290" s="262"/>
      <c r="F290" s="470" t="s">
        <v>820</v>
      </c>
      <c r="G290" s="387" t="e">
        <f>VLOOKUP(A290,'Feature Summary'!$A$7:$C$3944,3,FALSE)</f>
        <v>#N/A</v>
      </c>
      <c r="H290" s="447" t="s">
        <v>827</v>
      </c>
      <c r="I290" s="447"/>
      <c r="J290" s="448" t="s">
        <v>828</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thickBot="1">
      <c r="A291" s="458" t="s">
        <v>829</v>
      </c>
      <c r="B291" s="463" t="s">
        <v>830</v>
      </c>
      <c r="C291" s="463" t="s">
        <v>651</v>
      </c>
      <c r="D291" s="449" t="s">
        <v>261</v>
      </c>
      <c r="E291" s="262"/>
      <c r="F291" s="447" t="s">
        <v>831</v>
      </c>
      <c r="G291" s="387" t="e">
        <f>VLOOKUP(A291,'Feature Summary'!$A$7:$C$3944,3,FALSE)</f>
        <v>#N/A</v>
      </c>
      <c r="H291" s="447" t="s">
        <v>832</v>
      </c>
      <c r="I291" s="488" t="s">
        <v>264</v>
      </c>
      <c r="J291" s="448" t="s">
        <v>281</v>
      </c>
      <c r="K291" s="263">
        <v>1</v>
      </c>
      <c r="L291" s="391">
        <v>16</v>
      </c>
      <c r="M291" s="399" t="s">
        <v>33</v>
      </c>
      <c r="N291" s="475">
        <v>1</v>
      </c>
      <c r="O291" s="391">
        <v>16</v>
      </c>
      <c r="P291" s="496">
        <f t="shared" ref="P291:P321" si="46">IF((O291=0),0,(O291/L291))</f>
        <v>1</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thickBot="1">
      <c r="A292" s="458" t="s">
        <v>829</v>
      </c>
      <c r="B292" s="463" t="s">
        <v>830</v>
      </c>
      <c r="C292" s="463" t="s">
        <v>651</v>
      </c>
      <c r="D292" s="449" t="s">
        <v>261</v>
      </c>
      <c r="E292" s="262"/>
      <c r="F292" s="470" t="s">
        <v>833</v>
      </c>
      <c r="G292" s="387" t="e">
        <f>VLOOKUP(A292,'Feature Summary'!$A$7:$C$3944,3,FALSE)</f>
        <v>#N/A</v>
      </c>
      <c r="H292" s="447" t="s">
        <v>834</v>
      </c>
      <c r="I292" s="488" t="s">
        <v>264</v>
      </c>
      <c r="J292" s="448" t="s">
        <v>281</v>
      </c>
      <c r="K292" s="263">
        <v>1</v>
      </c>
      <c r="L292" s="391">
        <v>16</v>
      </c>
      <c r="M292" s="399" t="s">
        <v>33</v>
      </c>
      <c r="N292" s="475">
        <v>1</v>
      </c>
      <c r="O292" s="391">
        <v>16</v>
      </c>
      <c r="P292" s="496">
        <f t="shared" si="46"/>
        <v>1</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30.75" thickBot="1">
      <c r="A293" s="458" t="s">
        <v>829</v>
      </c>
      <c r="B293" s="463" t="s">
        <v>830</v>
      </c>
      <c r="C293" s="463" t="s">
        <v>651</v>
      </c>
      <c r="D293" s="449" t="s">
        <v>261</v>
      </c>
      <c r="E293" s="262"/>
      <c r="F293" s="470" t="s">
        <v>835</v>
      </c>
      <c r="G293" s="387" t="e">
        <f>VLOOKUP(A293,'Feature Summary'!$A$7:$C$3944,3,FALSE)</f>
        <v>#N/A</v>
      </c>
      <c r="H293" s="447" t="s">
        <v>836</v>
      </c>
      <c r="I293" s="488" t="s">
        <v>264</v>
      </c>
      <c r="J293" s="448" t="s">
        <v>320</v>
      </c>
      <c r="K293" s="263">
        <v>1</v>
      </c>
      <c r="L293" s="391">
        <v>14</v>
      </c>
      <c r="M293" s="399" t="s">
        <v>33</v>
      </c>
      <c r="N293" s="475">
        <v>1</v>
      </c>
      <c r="O293" s="391">
        <v>14</v>
      </c>
      <c r="P293" s="496">
        <f t="shared" si="46"/>
        <v>1</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30.75" thickBot="1">
      <c r="A294" s="458" t="s">
        <v>829</v>
      </c>
      <c r="B294" s="463" t="s">
        <v>830</v>
      </c>
      <c r="C294" s="463" t="s">
        <v>651</v>
      </c>
      <c r="D294" s="449" t="s">
        <v>261</v>
      </c>
      <c r="E294" s="262"/>
      <c r="F294" s="470" t="s">
        <v>837</v>
      </c>
      <c r="G294" s="387" t="e">
        <f>VLOOKUP(A294,'Feature Summary'!$A$7:$C$3944,3,FALSE)</f>
        <v>#N/A</v>
      </c>
      <c r="H294" s="447" t="s">
        <v>838</v>
      </c>
      <c r="I294" s="488" t="s">
        <v>264</v>
      </c>
      <c r="J294" s="448" t="s">
        <v>320</v>
      </c>
      <c r="K294" s="263">
        <v>1</v>
      </c>
      <c r="L294" s="391">
        <v>14</v>
      </c>
      <c r="M294" s="399" t="s">
        <v>33</v>
      </c>
      <c r="N294" s="475">
        <v>1</v>
      </c>
      <c r="O294" s="391">
        <v>14</v>
      </c>
      <c r="P294" s="496">
        <f t="shared" si="46"/>
        <v>1</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thickBot="1">
      <c r="A295" s="458" t="s">
        <v>829</v>
      </c>
      <c r="B295" s="463" t="s">
        <v>830</v>
      </c>
      <c r="C295" s="463" t="s">
        <v>651</v>
      </c>
      <c r="D295" s="449" t="s">
        <v>261</v>
      </c>
      <c r="E295" s="262"/>
      <c r="F295" s="470" t="s">
        <v>839</v>
      </c>
      <c r="G295" s="387" t="e">
        <f>VLOOKUP(A295,'Feature Summary'!$A$7:$C$3944,3,FALSE)</f>
        <v>#N/A</v>
      </c>
      <c r="H295" s="447" t="s">
        <v>840</v>
      </c>
      <c r="I295" s="488" t="s">
        <v>264</v>
      </c>
      <c r="J295" s="476" t="s">
        <v>841</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thickBot="1">
      <c r="A296" s="458" t="s">
        <v>829</v>
      </c>
      <c r="B296" s="463" t="s">
        <v>830</v>
      </c>
      <c r="C296" s="463" t="s">
        <v>651</v>
      </c>
      <c r="D296" s="449" t="s">
        <v>261</v>
      </c>
      <c r="E296" s="262"/>
      <c r="F296" s="470" t="s">
        <v>842</v>
      </c>
      <c r="G296" s="387" t="e">
        <f>VLOOKUP(A296,'Feature Summary'!$A$7:$C$3944,3,FALSE)</f>
        <v>#N/A</v>
      </c>
      <c r="H296" s="447" t="s">
        <v>843</v>
      </c>
      <c r="I296" s="488" t="s">
        <v>264</v>
      </c>
      <c r="J296" s="476" t="s">
        <v>841</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thickBot="1">
      <c r="A297" s="458" t="s">
        <v>829</v>
      </c>
      <c r="B297" s="463" t="s">
        <v>830</v>
      </c>
      <c r="C297" s="463" t="s">
        <v>651</v>
      </c>
      <c r="D297" s="449" t="s">
        <v>261</v>
      </c>
      <c r="E297" s="262"/>
      <c r="F297" s="470" t="s">
        <v>844</v>
      </c>
      <c r="G297" s="387" t="e">
        <f>VLOOKUP(A297,'Feature Summary'!$A$7:$C$3944,3,FALSE)</f>
        <v>#N/A</v>
      </c>
      <c r="H297" s="447" t="s">
        <v>845</v>
      </c>
      <c r="I297" s="488" t="s">
        <v>264</v>
      </c>
      <c r="J297" s="448" t="s">
        <v>846</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thickBot="1">
      <c r="A298" s="458" t="s">
        <v>829</v>
      </c>
      <c r="B298" s="463" t="s">
        <v>830</v>
      </c>
      <c r="C298" s="463" t="s">
        <v>651</v>
      </c>
      <c r="D298" s="449" t="s">
        <v>261</v>
      </c>
      <c r="E298" s="262"/>
      <c r="F298" s="470" t="s">
        <v>847</v>
      </c>
      <c r="G298" s="387" t="e">
        <f>VLOOKUP(A298,'Feature Summary'!$A$7:$C$3944,3,FALSE)</f>
        <v>#N/A</v>
      </c>
      <c r="H298" s="447" t="s">
        <v>848</v>
      </c>
      <c r="I298" s="488" t="s">
        <v>264</v>
      </c>
      <c r="J298" s="448" t="s">
        <v>846</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thickBot="1">
      <c r="A299" s="458" t="s">
        <v>829</v>
      </c>
      <c r="B299" s="463" t="s">
        <v>830</v>
      </c>
      <c r="C299" s="463" t="s">
        <v>651</v>
      </c>
      <c r="D299" s="449" t="s">
        <v>261</v>
      </c>
      <c r="E299" s="262"/>
      <c r="F299" s="447" t="s">
        <v>849</v>
      </c>
      <c r="G299" s="387" t="e">
        <f>VLOOKUP(A299,'Feature Summary'!$A$7:$C$3944,3,FALSE)</f>
        <v>#N/A</v>
      </c>
      <c r="H299" s="447" t="s">
        <v>850</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thickBot="1">
      <c r="A300" s="458" t="s">
        <v>829</v>
      </c>
      <c r="B300" s="463" t="s">
        <v>830</v>
      </c>
      <c r="C300" s="463" t="s">
        <v>651</v>
      </c>
      <c r="D300" s="449" t="s">
        <v>261</v>
      </c>
      <c r="E300" s="262"/>
      <c r="F300" s="447" t="s">
        <v>851</v>
      </c>
      <c r="G300" s="387" t="e">
        <f>VLOOKUP(A300,'Feature Summary'!$A$7:$C$3944,3,FALSE)</f>
        <v>#N/A</v>
      </c>
      <c r="H300" s="447" t="s">
        <v>852</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thickBot="1">
      <c r="A301" s="458" t="s">
        <v>829</v>
      </c>
      <c r="B301" s="463" t="s">
        <v>830</v>
      </c>
      <c r="C301" s="463" t="s">
        <v>651</v>
      </c>
      <c r="D301" s="449" t="s">
        <v>261</v>
      </c>
      <c r="E301" s="262"/>
      <c r="F301" s="470" t="s">
        <v>853</v>
      </c>
      <c r="G301" s="387" t="e">
        <f>VLOOKUP(A301,'Feature Summary'!$A$7:$C$3944,3,FALSE)</f>
        <v>#N/A</v>
      </c>
      <c r="H301" s="447" t="s">
        <v>854</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thickBot="1">
      <c r="A302" s="458" t="s">
        <v>829</v>
      </c>
      <c r="B302" s="463" t="s">
        <v>830</v>
      </c>
      <c r="C302" s="463" t="s">
        <v>651</v>
      </c>
      <c r="D302" s="449" t="s">
        <v>261</v>
      </c>
      <c r="E302" s="262"/>
      <c r="F302" s="470" t="s">
        <v>855</v>
      </c>
      <c r="G302" s="387" t="e">
        <f>VLOOKUP(A302,'Feature Summary'!$A$7:$C$3944,3,FALSE)</f>
        <v>#N/A</v>
      </c>
      <c r="H302" s="447" t="s">
        <v>856</v>
      </c>
      <c r="I302" s="488" t="s">
        <v>264</v>
      </c>
      <c r="J302" s="448" t="s">
        <v>473</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thickBot="1">
      <c r="A303" s="458" t="s">
        <v>829</v>
      </c>
      <c r="B303" s="463" t="s">
        <v>830</v>
      </c>
      <c r="C303" s="463" t="s">
        <v>651</v>
      </c>
      <c r="D303" s="449" t="s">
        <v>261</v>
      </c>
      <c r="E303" s="262"/>
      <c r="F303" s="470" t="s">
        <v>857</v>
      </c>
      <c r="G303" s="387" t="e">
        <f>VLOOKUP(A303,'Feature Summary'!$A$7:$C$3944,3,FALSE)</f>
        <v>#N/A</v>
      </c>
      <c r="H303" s="447" t="s">
        <v>858</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thickBot="1">
      <c r="A304" s="458" t="s">
        <v>829</v>
      </c>
      <c r="B304" s="463" t="s">
        <v>830</v>
      </c>
      <c r="C304" s="463" t="s">
        <v>651</v>
      </c>
      <c r="D304" s="449" t="s">
        <v>261</v>
      </c>
      <c r="E304" s="262"/>
      <c r="F304" s="470" t="s">
        <v>859</v>
      </c>
      <c r="G304" s="387" t="e">
        <f>VLOOKUP(A304,'Feature Summary'!$A$7:$C$3944,3,FALSE)</f>
        <v>#N/A</v>
      </c>
      <c r="H304" s="447" t="s">
        <v>860</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thickBot="1">
      <c r="A305" s="458" t="s">
        <v>829</v>
      </c>
      <c r="B305" s="463" t="s">
        <v>830</v>
      </c>
      <c r="C305" s="463" t="s">
        <v>651</v>
      </c>
      <c r="D305" s="449" t="s">
        <v>261</v>
      </c>
      <c r="E305" s="262"/>
      <c r="F305" s="470" t="s">
        <v>861</v>
      </c>
      <c r="G305" s="387" t="e">
        <f>VLOOKUP(A305,'Feature Summary'!$A$7:$C$3944,3,FALSE)</f>
        <v>#N/A</v>
      </c>
      <c r="H305" s="447" t="s">
        <v>862</v>
      </c>
      <c r="I305" s="488" t="s">
        <v>264</v>
      </c>
      <c r="J305" s="476" t="s">
        <v>841</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thickBot="1">
      <c r="A306" s="458" t="s">
        <v>829</v>
      </c>
      <c r="B306" s="463" t="s">
        <v>830</v>
      </c>
      <c r="C306" s="463" t="s">
        <v>651</v>
      </c>
      <c r="D306" s="449" t="s">
        <v>261</v>
      </c>
      <c r="E306" s="262"/>
      <c r="F306" s="470" t="s">
        <v>863</v>
      </c>
      <c r="G306" s="387" t="e">
        <f>VLOOKUP(A306,'Feature Summary'!$A$7:$C$3944,3,FALSE)</f>
        <v>#N/A</v>
      </c>
      <c r="H306" s="447" t="s">
        <v>864</v>
      </c>
      <c r="I306" s="488" t="s">
        <v>264</v>
      </c>
      <c r="J306" s="476" t="s">
        <v>841</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60.75" thickBot="1">
      <c r="A307" s="458"/>
      <c r="B307" s="463" t="s">
        <v>830</v>
      </c>
      <c r="C307" s="463"/>
      <c r="D307" s="449" t="s">
        <v>261</v>
      </c>
      <c r="E307" s="262"/>
      <c r="F307" s="447" t="s">
        <v>831</v>
      </c>
      <c r="G307" s="387" t="e">
        <f>VLOOKUP(A307,'Feature Summary'!$A$7:$C$3944,3,FALSE)</f>
        <v>#N/A</v>
      </c>
      <c r="H307" s="447" t="s">
        <v>865</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75" thickBot="1">
      <c r="A308" s="458"/>
      <c r="B308" s="463" t="s">
        <v>830</v>
      </c>
      <c r="C308" s="463"/>
      <c r="D308" s="449" t="s">
        <v>261</v>
      </c>
      <c r="E308" s="262"/>
      <c r="F308" s="447" t="s">
        <v>831</v>
      </c>
      <c r="G308" s="387" t="e">
        <f>VLOOKUP(A308,'Feature Summary'!$A$7:$C$3944,3,FALSE)</f>
        <v>#N/A</v>
      </c>
      <c r="H308" s="447" t="s">
        <v>866</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60.75" thickBot="1">
      <c r="A309" s="458"/>
      <c r="B309" s="463" t="s">
        <v>830</v>
      </c>
      <c r="C309" s="463"/>
      <c r="D309" s="449" t="s">
        <v>261</v>
      </c>
      <c r="E309" s="262"/>
      <c r="F309" s="470" t="s">
        <v>833</v>
      </c>
      <c r="G309" s="387" t="e">
        <f>VLOOKUP(A309,'Feature Summary'!$A$7:$C$3944,3,FALSE)</f>
        <v>#N/A</v>
      </c>
      <c r="H309" s="447" t="s">
        <v>867</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75" thickBot="1">
      <c r="A310" s="458"/>
      <c r="B310" s="463" t="s">
        <v>830</v>
      </c>
      <c r="C310" s="463"/>
      <c r="D310" s="449" t="s">
        <v>261</v>
      </c>
      <c r="E310" s="262"/>
      <c r="F310" s="470" t="s">
        <v>833</v>
      </c>
      <c r="G310" s="387" t="e">
        <f>VLOOKUP(A310,'Feature Summary'!$A$7:$C$3944,3,FALSE)</f>
        <v>#N/A</v>
      </c>
      <c r="H310" s="447" t="s">
        <v>868</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60.75" thickBot="1">
      <c r="A311" s="458"/>
      <c r="B311" s="463" t="s">
        <v>830</v>
      </c>
      <c r="C311" s="463"/>
      <c r="D311" s="449" t="s">
        <v>261</v>
      </c>
      <c r="E311" s="262"/>
      <c r="F311" s="470" t="s">
        <v>833</v>
      </c>
      <c r="G311" s="387" t="e">
        <f>VLOOKUP(A311,'Feature Summary'!$A$7:$C$3944,3,FALSE)</f>
        <v>#N/A</v>
      </c>
      <c r="H311" s="447" t="s">
        <v>869</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60.75" thickBot="1">
      <c r="A312" s="458"/>
      <c r="B312" s="463" t="s">
        <v>830</v>
      </c>
      <c r="C312" s="463"/>
      <c r="D312" s="449" t="s">
        <v>261</v>
      </c>
      <c r="E312" s="262"/>
      <c r="F312" s="470" t="s">
        <v>835</v>
      </c>
      <c r="G312" s="387" t="e">
        <f>VLOOKUP(A312,'Feature Summary'!$A$7:$C$3944,3,FALSE)</f>
        <v>#N/A</v>
      </c>
      <c r="H312" s="447" t="s">
        <v>870</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30.75" thickBot="1">
      <c r="A313" s="458"/>
      <c r="B313" s="463" t="s">
        <v>830</v>
      </c>
      <c r="C313" s="463"/>
      <c r="D313" s="449" t="s">
        <v>261</v>
      </c>
      <c r="E313" s="262"/>
      <c r="F313" s="470" t="s">
        <v>835</v>
      </c>
      <c r="G313" s="387" t="e">
        <f>VLOOKUP(A313,'Feature Summary'!$A$7:$C$3944,3,FALSE)</f>
        <v>#N/A</v>
      </c>
      <c r="H313" s="447" t="s">
        <v>871</v>
      </c>
      <c r="I313" s="447"/>
      <c r="J313" s="448" t="s">
        <v>297</v>
      </c>
      <c r="K313" s="263"/>
      <c r="L313" s="391"/>
      <c r="M313" s="399" t="s">
        <v>33</v>
      </c>
      <c r="N313" s="475">
        <v>1</v>
      </c>
      <c r="O313" s="391"/>
      <c r="P313" s="496">
        <f t="shared" si="46"/>
        <v>0</v>
      </c>
      <c r="Q313" s="445" t="s">
        <v>52</v>
      </c>
      <c r="R313" s="391"/>
      <c r="S313" s="362">
        <f t="shared" si="44"/>
        <v>0</v>
      </c>
      <c r="T313" s="368"/>
      <c r="U313" s="368"/>
      <c r="V313" s="368" t="s">
        <v>757</v>
      </c>
      <c r="W313" s="368"/>
      <c r="X313" s="364">
        <f t="shared" si="43"/>
        <v>0</v>
      </c>
      <c r="Y313" s="393"/>
      <c r="Z313" s="498">
        <f t="shared" si="41"/>
        <v>0</v>
      </c>
      <c r="AA313" s="368"/>
      <c r="AB313" s="368"/>
      <c r="AC313" s="368"/>
      <c r="AD313" s="368"/>
      <c r="AE313" s="365">
        <f t="shared" si="42"/>
        <v>0</v>
      </c>
      <c r="AF313" s="262"/>
      <c r="AG313" s="457"/>
      <c r="AH313" s="264"/>
    </row>
    <row r="314" spans="1:34" ht="60.75" thickBot="1">
      <c r="A314" s="458"/>
      <c r="B314" s="463" t="s">
        <v>830</v>
      </c>
      <c r="C314" s="463"/>
      <c r="D314" s="449" t="s">
        <v>261</v>
      </c>
      <c r="E314" s="262"/>
      <c r="F314" s="470" t="s">
        <v>835</v>
      </c>
      <c r="G314" s="387" t="e">
        <f>VLOOKUP(A314,'Feature Summary'!$A$7:$C$3944,3,FALSE)</f>
        <v>#N/A</v>
      </c>
      <c r="H314" s="447" t="s">
        <v>872</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60.75" thickBot="1">
      <c r="A315" s="458"/>
      <c r="B315" s="463" t="s">
        <v>830</v>
      </c>
      <c r="C315" s="463"/>
      <c r="D315" s="449" t="s">
        <v>261</v>
      </c>
      <c r="E315" s="262"/>
      <c r="F315" s="470" t="s">
        <v>837</v>
      </c>
      <c r="G315" s="387" t="e">
        <f>VLOOKUP(A315,'Feature Summary'!$A$7:$C$3944,3,FALSE)</f>
        <v>#N/A</v>
      </c>
      <c r="H315" s="447" t="s">
        <v>873</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30.75" thickBot="1">
      <c r="A316" s="458"/>
      <c r="B316" s="463" t="s">
        <v>830</v>
      </c>
      <c r="C316" s="463"/>
      <c r="D316" s="449" t="s">
        <v>261</v>
      </c>
      <c r="E316" s="262"/>
      <c r="F316" s="470" t="s">
        <v>837</v>
      </c>
      <c r="G316" s="387" t="e">
        <f>VLOOKUP(A316,'Feature Summary'!$A$7:$C$3944,3,FALSE)</f>
        <v>#N/A</v>
      </c>
      <c r="H316" s="447" t="s">
        <v>874</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ht="30.75" thickBot="1">
      <c r="A317" s="458"/>
      <c r="B317" s="463" t="s">
        <v>830</v>
      </c>
      <c r="C317" s="463"/>
      <c r="D317" s="449" t="s">
        <v>261</v>
      </c>
      <c r="E317" s="262"/>
      <c r="F317" s="470" t="s">
        <v>839</v>
      </c>
      <c r="G317" s="387" t="e">
        <f>VLOOKUP(A317,'Feature Summary'!$A$7:$C$3944,3,FALSE)</f>
        <v>#N/A</v>
      </c>
      <c r="H317" s="447" t="s">
        <v>875</v>
      </c>
      <c r="I317" s="447"/>
      <c r="J317" s="476" t="s">
        <v>876</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ht="15.75" thickBot="1">
      <c r="A318" s="458"/>
      <c r="B318" s="463" t="s">
        <v>830</v>
      </c>
      <c r="C318" s="463"/>
      <c r="D318" s="449" t="s">
        <v>261</v>
      </c>
      <c r="E318" s="262"/>
      <c r="F318" s="470" t="s">
        <v>877</v>
      </c>
      <c r="G318" s="387" t="e">
        <f>VLOOKUP(A318,'Feature Summary'!$A$7:$C$3944,3,FALSE)</f>
        <v>#N/A</v>
      </c>
      <c r="H318" s="447" t="s">
        <v>878</v>
      </c>
      <c r="I318" s="447"/>
      <c r="J318" s="476" t="s">
        <v>876</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60.75" thickBot="1">
      <c r="A319" s="458"/>
      <c r="B319" s="463" t="s">
        <v>830</v>
      </c>
      <c r="C319" s="463"/>
      <c r="D319" s="449" t="s">
        <v>261</v>
      </c>
      <c r="E319" s="262"/>
      <c r="F319" s="470" t="s">
        <v>844</v>
      </c>
      <c r="G319" s="387" t="e">
        <f>VLOOKUP(A319,'Feature Summary'!$A$7:$C$3944,3,FALSE)</f>
        <v>#N/A</v>
      </c>
      <c r="H319" s="447" t="s">
        <v>879</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60.75" thickBot="1">
      <c r="A320" s="458"/>
      <c r="B320" s="463" t="s">
        <v>830</v>
      </c>
      <c r="C320" s="463"/>
      <c r="D320" s="449" t="s">
        <v>261</v>
      </c>
      <c r="E320" s="262"/>
      <c r="F320" s="470" t="s">
        <v>847</v>
      </c>
      <c r="G320" s="387" t="e">
        <f>VLOOKUP(A320,'Feature Summary'!$A$7:$C$3944,3,FALSE)</f>
        <v>#N/A</v>
      </c>
      <c r="H320" s="447" t="s">
        <v>880</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30.75" thickBot="1">
      <c r="A321" s="458"/>
      <c r="B321" s="463" t="s">
        <v>830</v>
      </c>
      <c r="C321" s="463"/>
      <c r="D321" s="449" t="s">
        <v>261</v>
      </c>
      <c r="E321" s="262"/>
      <c r="F321" s="470" t="s">
        <v>844</v>
      </c>
      <c r="G321" s="387" t="e">
        <f>VLOOKUP(A321,'Feature Summary'!$A$7:$C$3944,3,FALSE)</f>
        <v>#N/A</v>
      </c>
      <c r="H321" s="447" t="s">
        <v>881</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30.75" thickBot="1">
      <c r="A322" s="458"/>
      <c r="B322" s="463" t="s">
        <v>830</v>
      </c>
      <c r="C322" s="463"/>
      <c r="D322" s="449" t="s">
        <v>261</v>
      </c>
      <c r="E322" s="262"/>
      <c r="F322" s="470" t="s">
        <v>847</v>
      </c>
      <c r="G322" s="387" t="e">
        <f>VLOOKUP(A322,'Feature Summary'!$A$7:$C$3944,3,FALSE)</f>
        <v>#N/A</v>
      </c>
      <c r="H322" s="447" t="s">
        <v>882</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60.75" thickBot="1">
      <c r="A323" s="458"/>
      <c r="B323" s="463" t="s">
        <v>830</v>
      </c>
      <c r="C323" s="463"/>
      <c r="D323" s="449" t="s">
        <v>261</v>
      </c>
      <c r="E323" s="262"/>
      <c r="F323" s="470" t="s">
        <v>847</v>
      </c>
      <c r="G323" s="387" t="e">
        <f>VLOOKUP(A323,'Feature Summary'!$A$7:$C$3944,3,FALSE)</f>
        <v>#N/A</v>
      </c>
      <c r="H323" s="447" t="s">
        <v>883</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c r="A324" s="458"/>
      <c r="B324" s="463"/>
      <c r="C324" s="463" t="s">
        <v>260</v>
      </c>
      <c r="D324" s="449" t="s">
        <v>261</v>
      </c>
      <c r="E324" s="262"/>
      <c r="F324" s="447" t="s">
        <v>884</v>
      </c>
      <c r="G324" s="387" t="e">
        <f>VLOOKUP(A324,'Feature Summary'!$A$7:$C$3944,3,FALSE)</f>
        <v>#N/A</v>
      </c>
      <c r="H324" s="447" t="s">
        <v>885</v>
      </c>
      <c r="I324" s="488" t="s">
        <v>264</v>
      </c>
      <c r="J324" s="448" t="s">
        <v>449</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75.75" thickBot="1">
      <c r="A325" s="458"/>
      <c r="B325" s="463"/>
      <c r="C325" s="463"/>
      <c r="D325" s="449" t="s">
        <v>261</v>
      </c>
      <c r="E325" s="262"/>
      <c r="F325" s="447" t="s">
        <v>884</v>
      </c>
      <c r="G325" s="387" t="e">
        <f>VLOOKUP(A325,'Feature Summary'!$A$7:$C$3944,3,FALSE)</f>
        <v>#N/A</v>
      </c>
      <c r="H325" s="447" t="s">
        <v>886</v>
      </c>
      <c r="I325" s="447"/>
      <c r="J325" s="448" t="s">
        <v>887</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60.75" thickBot="1">
      <c r="A326" s="458"/>
      <c r="B326" s="463"/>
      <c r="C326" s="463"/>
      <c r="D326" s="449" t="s">
        <v>261</v>
      </c>
      <c r="E326" s="262"/>
      <c r="F326" s="447" t="s">
        <v>884</v>
      </c>
      <c r="G326" s="387" t="e">
        <f>VLOOKUP(A326,'Feature Summary'!$A$7:$C$3944,3,FALSE)</f>
        <v>#N/A</v>
      </c>
      <c r="H326" s="447" t="s">
        <v>888</v>
      </c>
      <c r="I326" s="447"/>
      <c r="J326" s="448" t="s">
        <v>889</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105.75" thickBot="1">
      <c r="A327" s="458"/>
      <c r="B327" s="463"/>
      <c r="C327" s="463"/>
      <c r="D327" s="449" t="s">
        <v>261</v>
      </c>
      <c r="E327" s="262"/>
      <c r="F327" s="447" t="s">
        <v>884</v>
      </c>
      <c r="G327" s="387" t="e">
        <f>VLOOKUP(A327,'Feature Summary'!$A$7:$C$3944,3,FALSE)</f>
        <v>#N/A</v>
      </c>
      <c r="H327" s="447" t="s">
        <v>890</v>
      </c>
      <c r="I327" s="447"/>
      <c r="J327" s="448" t="s">
        <v>891</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c r="A328" s="458"/>
      <c r="B328" s="463"/>
      <c r="C328" s="463" t="s">
        <v>260</v>
      </c>
      <c r="D328" s="449" t="s">
        <v>261</v>
      </c>
      <c r="E328" s="262"/>
      <c r="F328" s="447" t="s">
        <v>892</v>
      </c>
      <c r="G328" s="387" t="e">
        <f>VLOOKUP(A328,'Feature Summary'!$A$7:$C$3944,3,FALSE)</f>
        <v>#N/A</v>
      </c>
      <c r="H328" s="447" t="s">
        <v>893</v>
      </c>
      <c r="I328" s="488" t="s">
        <v>264</v>
      </c>
      <c r="J328" s="448" t="s">
        <v>894</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45.75" thickBot="1">
      <c r="A329" s="458"/>
      <c r="B329" s="463"/>
      <c r="C329" s="463"/>
      <c r="D329" s="449" t="s">
        <v>261</v>
      </c>
      <c r="E329" s="262"/>
      <c r="F329" s="447" t="s">
        <v>892</v>
      </c>
      <c r="G329" s="387" t="e">
        <f>VLOOKUP(A329,'Feature Summary'!$A$7:$C$3944,3,FALSE)</f>
        <v>#N/A</v>
      </c>
      <c r="H329" s="447" t="s">
        <v>895</v>
      </c>
      <c r="I329" s="447"/>
      <c r="J329" s="448" t="s">
        <v>896</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105.75" thickBot="1">
      <c r="A330" s="458"/>
      <c r="B330" s="463"/>
      <c r="C330" s="463"/>
      <c r="D330" s="449" t="s">
        <v>261</v>
      </c>
      <c r="E330" s="262"/>
      <c r="F330" s="447" t="s">
        <v>892</v>
      </c>
      <c r="G330" s="387" t="e">
        <f>VLOOKUP(A330,'Feature Summary'!$A$7:$C$3944,3,FALSE)</f>
        <v>#N/A</v>
      </c>
      <c r="H330" s="447" t="s">
        <v>897</v>
      </c>
      <c r="I330" s="447"/>
      <c r="J330" s="448" t="s">
        <v>898</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757</v>
      </c>
      <c r="W330" s="368"/>
      <c r="X330" s="364">
        <f t="shared" si="50"/>
        <v>0</v>
      </c>
      <c r="Y330" s="393"/>
      <c r="Z330" s="498">
        <f t="shared" si="48"/>
        <v>0</v>
      </c>
      <c r="AA330" s="368"/>
      <c r="AB330" s="368"/>
      <c r="AC330" s="368"/>
      <c r="AD330" s="368"/>
      <c r="AE330" s="365">
        <f t="shared" si="49"/>
        <v>0</v>
      </c>
      <c r="AF330" s="558"/>
      <c r="AG330" s="457"/>
      <c r="AH330" s="264"/>
    </row>
    <row r="331" spans="1:34" ht="90.75" thickBot="1">
      <c r="A331" s="458" t="s">
        <v>899</v>
      </c>
      <c r="B331" s="470"/>
      <c r="C331" s="463" t="s">
        <v>354</v>
      </c>
      <c r="D331" s="449" t="s">
        <v>261</v>
      </c>
      <c r="E331" s="262"/>
      <c r="F331" s="447" t="s">
        <v>900</v>
      </c>
      <c r="G331" s="387" t="str">
        <f>VLOOKUP(A331,'Feature Summary'!$A$7:$C$3944,3,FALSE)</f>
        <v>P2</v>
      </c>
      <c r="H331" s="447" t="s">
        <v>901</v>
      </c>
      <c r="I331" s="488" t="s">
        <v>264</v>
      </c>
      <c r="J331" s="448" t="s">
        <v>902</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thickBot="1">
      <c r="A332" s="458" t="s">
        <v>899</v>
      </c>
      <c r="B332" s="470"/>
      <c r="C332" s="463" t="s">
        <v>354</v>
      </c>
      <c r="D332" s="449" t="s">
        <v>261</v>
      </c>
      <c r="E332" s="262"/>
      <c r="F332" s="447" t="s">
        <v>903</v>
      </c>
      <c r="G332" s="387" t="str">
        <f>VLOOKUP(A332,'Feature Summary'!$A$7:$C$3944,3,FALSE)</f>
        <v>P2</v>
      </c>
      <c r="H332" s="447" t="s">
        <v>904</v>
      </c>
      <c r="I332" s="488" t="s">
        <v>264</v>
      </c>
      <c r="J332" s="448" t="s">
        <v>894</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60.75" thickBot="1">
      <c r="A333" s="458"/>
      <c r="B333" s="470"/>
      <c r="C333" s="463"/>
      <c r="D333" s="449" t="s">
        <v>261</v>
      </c>
      <c r="E333" s="262"/>
      <c r="F333" s="447" t="s">
        <v>900</v>
      </c>
      <c r="G333" s="387" t="e">
        <f>VLOOKUP(A333,'Feature Summary'!$A$7:$C$3944,3,FALSE)</f>
        <v>#N/A</v>
      </c>
      <c r="H333" s="447" t="s">
        <v>905</v>
      </c>
      <c r="I333" s="447"/>
      <c r="J333" s="448" t="s">
        <v>906</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105.75" thickBot="1">
      <c r="A334" s="458"/>
      <c r="B334" s="470"/>
      <c r="C334" s="463"/>
      <c r="D334" s="449" t="s">
        <v>261</v>
      </c>
      <c r="E334" s="262"/>
      <c r="F334" s="447" t="s">
        <v>900</v>
      </c>
      <c r="G334" s="387" t="e">
        <f>VLOOKUP(A334,'Feature Summary'!$A$7:$C$3944,3,FALSE)</f>
        <v>#N/A</v>
      </c>
      <c r="H334" s="447" t="s">
        <v>907</v>
      </c>
      <c r="I334" s="447"/>
      <c r="J334" s="448" t="s">
        <v>908</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45.75" thickBot="1">
      <c r="A335" s="458"/>
      <c r="B335" s="470"/>
      <c r="C335" s="463"/>
      <c r="D335" s="449" t="s">
        <v>261</v>
      </c>
      <c r="E335" s="262"/>
      <c r="F335" s="447" t="s">
        <v>900</v>
      </c>
      <c r="G335" s="387" t="e">
        <f>VLOOKUP(A335,'Feature Summary'!$A$7:$C$3944,3,FALSE)</f>
        <v>#N/A</v>
      </c>
      <c r="H335" s="447" t="s">
        <v>909</v>
      </c>
      <c r="I335" s="447"/>
      <c r="J335" s="448" t="s">
        <v>910</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75.75" thickBot="1">
      <c r="A336" s="458"/>
      <c r="B336" s="470"/>
      <c r="C336" s="463"/>
      <c r="D336" s="449" t="s">
        <v>261</v>
      </c>
      <c r="E336" s="262"/>
      <c r="F336" s="447" t="s">
        <v>900</v>
      </c>
      <c r="G336" s="387" t="e">
        <f>VLOOKUP(A336,'Feature Summary'!$A$7:$C$3944,3,FALSE)</f>
        <v>#N/A</v>
      </c>
      <c r="H336" s="447" t="s">
        <v>911</v>
      </c>
      <c r="I336" s="447"/>
      <c r="J336" s="448" t="s">
        <v>912</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60.75" thickBot="1">
      <c r="A337" s="458"/>
      <c r="B337" s="470"/>
      <c r="C337" s="463"/>
      <c r="D337" s="449" t="s">
        <v>261</v>
      </c>
      <c r="E337" s="262"/>
      <c r="F337" s="447" t="s">
        <v>903</v>
      </c>
      <c r="G337" s="387" t="e">
        <f>VLOOKUP(A337,'Feature Summary'!$A$7:$C$3944,3,FALSE)</f>
        <v>#N/A</v>
      </c>
      <c r="H337" s="447" t="s">
        <v>913</v>
      </c>
      <c r="I337" s="447"/>
      <c r="J337" s="448" t="s">
        <v>906</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105.75" thickBot="1">
      <c r="A338" s="458"/>
      <c r="B338" s="470"/>
      <c r="C338" s="463"/>
      <c r="D338" s="449" t="s">
        <v>261</v>
      </c>
      <c r="E338" s="262"/>
      <c r="F338" s="447" t="s">
        <v>903</v>
      </c>
      <c r="G338" s="387" t="e">
        <f>VLOOKUP(A338,'Feature Summary'!$A$7:$C$3944,3,FALSE)</f>
        <v>#N/A</v>
      </c>
      <c r="H338" s="447" t="s">
        <v>914</v>
      </c>
      <c r="I338" s="447"/>
      <c r="J338" s="448" t="s">
        <v>908</v>
      </c>
      <c r="K338" s="263"/>
      <c r="L338" s="391"/>
      <c r="M338" s="399" t="s">
        <v>33</v>
      </c>
      <c r="N338" s="475">
        <v>1</v>
      </c>
      <c r="O338" s="391"/>
      <c r="P338" s="496">
        <f t="shared" si="51"/>
        <v>0</v>
      </c>
      <c r="Q338" s="445" t="s">
        <v>52</v>
      </c>
      <c r="R338" s="391"/>
      <c r="S338" s="362">
        <f t="shared" si="52"/>
        <v>0</v>
      </c>
      <c r="T338" s="368"/>
      <c r="U338" s="368"/>
      <c r="V338" s="368" t="s">
        <v>757</v>
      </c>
      <c r="W338" s="368"/>
      <c r="X338" s="364">
        <f t="shared" si="50"/>
        <v>0</v>
      </c>
      <c r="Y338" s="393"/>
      <c r="Z338" s="498">
        <f t="shared" si="48"/>
        <v>0</v>
      </c>
      <c r="AA338" s="368"/>
      <c r="AB338" s="368"/>
      <c r="AC338" s="368"/>
      <c r="AD338" s="368"/>
      <c r="AE338" s="365">
        <f t="shared" si="49"/>
        <v>0</v>
      </c>
      <c r="AF338" s="558"/>
      <c r="AG338" s="457"/>
      <c r="AH338" s="264"/>
    </row>
    <row r="339" spans="1:34" ht="45.75" thickBot="1">
      <c r="A339" s="458"/>
      <c r="B339" s="470"/>
      <c r="C339" s="463"/>
      <c r="D339" s="449" t="s">
        <v>261</v>
      </c>
      <c r="E339" s="262"/>
      <c r="F339" s="447" t="s">
        <v>903</v>
      </c>
      <c r="G339" s="387" t="e">
        <f>VLOOKUP(A339,'Feature Summary'!$A$7:$C$3944,3,FALSE)</f>
        <v>#N/A</v>
      </c>
      <c r="H339" s="447" t="s">
        <v>915</v>
      </c>
      <c r="I339" s="447"/>
      <c r="J339" s="448" t="s">
        <v>910</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409.6" thickBot="1">
      <c r="A340" s="458"/>
      <c r="B340" s="470"/>
      <c r="C340" s="463" t="s">
        <v>354</v>
      </c>
      <c r="D340" s="449" t="s">
        <v>261</v>
      </c>
      <c r="E340" s="262"/>
      <c r="F340" s="447" t="s">
        <v>900</v>
      </c>
      <c r="G340" s="387" t="e">
        <f>VLOOKUP(A340,'Feature Summary'!$A$7:$C$3944,3,FALSE)</f>
        <v>#N/A</v>
      </c>
      <c r="H340" s="447" t="s">
        <v>916</v>
      </c>
      <c r="I340" s="488" t="s">
        <v>288</v>
      </c>
      <c r="J340" s="448" t="s">
        <v>917</v>
      </c>
      <c r="K340" s="263"/>
      <c r="L340" s="391">
        <v>1</v>
      </c>
      <c r="M340" s="399" t="s">
        <v>33</v>
      </c>
      <c r="N340" s="475">
        <v>1</v>
      </c>
      <c r="O340" s="391">
        <v>1</v>
      </c>
      <c r="P340" s="496">
        <f>IF((O340=0),0,(O340/L340))</f>
        <v>1</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409.6" thickBot="1">
      <c r="A341" s="458"/>
      <c r="B341" s="470"/>
      <c r="C341" s="463" t="s">
        <v>354</v>
      </c>
      <c r="D341" s="449" t="s">
        <v>261</v>
      </c>
      <c r="E341" s="262"/>
      <c r="F341" s="447" t="s">
        <v>900</v>
      </c>
      <c r="G341" s="387" t="e">
        <f>VLOOKUP(A341,'Feature Summary'!$A$7:$C$3944,3,FALSE)</f>
        <v>#N/A</v>
      </c>
      <c r="H341" s="447" t="s">
        <v>918</v>
      </c>
      <c r="I341" s="488" t="s">
        <v>288</v>
      </c>
      <c r="J341" s="448" t="s">
        <v>917</v>
      </c>
      <c r="K341" s="263"/>
      <c r="L341" s="391">
        <v>1</v>
      </c>
      <c r="M341" s="399" t="s">
        <v>33</v>
      </c>
      <c r="N341" s="475">
        <v>1</v>
      </c>
      <c r="O341" s="391">
        <v>1</v>
      </c>
      <c r="P341" s="496">
        <f t="shared" ref="P341" si="54">IF((O341=0),0,(O341/L341))</f>
        <v>1</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c r="A342" s="458"/>
      <c r="B342" s="463"/>
      <c r="C342" s="463" t="s">
        <v>260</v>
      </c>
      <c r="D342" s="449" t="s">
        <v>261</v>
      </c>
      <c r="E342" s="262"/>
      <c r="F342" s="447" t="s">
        <v>919</v>
      </c>
      <c r="G342" s="387" t="e">
        <f>VLOOKUP(A342,'Feature Summary'!$A$7:$C$3944,3,FALSE)</f>
        <v>#N/A</v>
      </c>
      <c r="H342" s="447" t="s">
        <v>920</v>
      </c>
      <c r="I342" s="488" t="s">
        <v>264</v>
      </c>
      <c r="J342" s="448" t="s">
        <v>449</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c r="A343" s="458"/>
      <c r="B343" s="463"/>
      <c r="C343" s="463" t="s">
        <v>260</v>
      </c>
      <c r="D343" s="449" t="s">
        <v>261</v>
      </c>
      <c r="E343" s="262"/>
      <c r="F343" s="447" t="s">
        <v>921</v>
      </c>
      <c r="G343" s="387" t="e">
        <f>VLOOKUP(A343,'Feature Summary'!$A$7:$C$3944,3,FALSE)</f>
        <v>#N/A</v>
      </c>
      <c r="H343" s="447" t="s">
        <v>922</v>
      </c>
      <c r="I343" s="488" t="s">
        <v>264</v>
      </c>
      <c r="J343" s="448" t="s">
        <v>449</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60.75" thickBot="1">
      <c r="A344" s="458"/>
      <c r="B344" s="463"/>
      <c r="C344" s="463"/>
      <c r="D344" s="449" t="s">
        <v>261</v>
      </c>
      <c r="E344" s="262"/>
      <c r="F344" s="447" t="s">
        <v>919</v>
      </c>
      <c r="G344" s="387" t="e">
        <f>VLOOKUP(A344,'Feature Summary'!$A$7:$C$3944,3,FALSE)</f>
        <v>#N/A</v>
      </c>
      <c r="H344" s="447" t="s">
        <v>923</v>
      </c>
      <c r="I344" s="447"/>
      <c r="J344" s="448" t="s">
        <v>924</v>
      </c>
      <c r="K344" s="263"/>
      <c r="L344" s="391"/>
      <c r="M344" s="399" t="s">
        <v>33</v>
      </c>
      <c r="N344" s="475">
        <v>1</v>
      </c>
      <c r="O344" s="391"/>
      <c r="P344" s="496">
        <f t="shared" si="51"/>
        <v>0</v>
      </c>
      <c r="Q344" s="445" t="s">
        <v>52</v>
      </c>
      <c r="R344" s="391"/>
      <c r="S344" s="362">
        <f t="shared" si="52"/>
        <v>0</v>
      </c>
      <c r="T344" s="368"/>
      <c r="U344" s="368"/>
      <c r="V344" s="368" t="s">
        <v>757</v>
      </c>
      <c r="W344" s="368"/>
      <c r="X344" s="364">
        <f t="shared" si="50"/>
        <v>0</v>
      </c>
      <c r="Y344" s="393"/>
      <c r="Z344" s="498">
        <f t="shared" si="48"/>
        <v>0</v>
      </c>
      <c r="AA344" s="368"/>
      <c r="AB344" s="368"/>
      <c r="AC344" s="368"/>
      <c r="AD344" s="368"/>
      <c r="AE344" s="365">
        <f t="shared" si="49"/>
        <v>0</v>
      </c>
      <c r="AF344" s="262"/>
      <c r="AG344" s="457"/>
      <c r="AH344" s="264"/>
    </row>
    <row r="345" spans="1:34" ht="31.5" customHeight="1" thickBot="1">
      <c r="A345" s="458"/>
      <c r="B345" s="463"/>
      <c r="C345" s="463"/>
      <c r="D345" s="449" t="s">
        <v>261</v>
      </c>
      <c r="E345" s="262"/>
      <c r="F345" s="447" t="s">
        <v>919</v>
      </c>
      <c r="G345" s="387" t="e">
        <f>VLOOKUP(A345,'Feature Summary'!$A$7:$C$3944,3,FALSE)</f>
        <v>#N/A</v>
      </c>
      <c r="H345" s="447" t="s">
        <v>925</v>
      </c>
      <c r="I345" s="447"/>
      <c r="J345" s="448" t="s">
        <v>926</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45.75" thickBot="1">
      <c r="A346" s="458"/>
      <c r="B346" s="463"/>
      <c r="C346" s="463"/>
      <c r="D346" s="449" t="s">
        <v>261</v>
      </c>
      <c r="E346" s="262"/>
      <c r="F346" s="447" t="s">
        <v>919</v>
      </c>
      <c r="G346" s="387" t="e">
        <f>VLOOKUP(A346,'Feature Summary'!$A$7:$C$3944,3,FALSE)</f>
        <v>#N/A</v>
      </c>
      <c r="H346" s="447" t="s">
        <v>927</v>
      </c>
      <c r="I346" s="447"/>
      <c r="J346" s="448" t="s">
        <v>661</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75.75" thickBot="1">
      <c r="A347" s="458"/>
      <c r="B347" s="463"/>
      <c r="C347" s="463"/>
      <c r="D347" s="449" t="s">
        <v>261</v>
      </c>
      <c r="E347" s="262"/>
      <c r="F347" s="447" t="s">
        <v>919</v>
      </c>
      <c r="G347" s="387" t="e">
        <f>VLOOKUP(A347,'Feature Summary'!$A$7:$C$3944,3,FALSE)</f>
        <v>#N/A</v>
      </c>
      <c r="H347" s="447" t="s">
        <v>928</v>
      </c>
      <c r="I347" s="447"/>
      <c r="J347" s="448" t="s">
        <v>664</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60.75" thickBot="1">
      <c r="A348" s="458"/>
      <c r="B348" s="463"/>
      <c r="C348" s="463"/>
      <c r="D348" s="449" t="s">
        <v>261</v>
      </c>
      <c r="E348" s="262"/>
      <c r="F348" s="447" t="s">
        <v>921</v>
      </c>
      <c r="G348" s="387" t="e">
        <f>VLOOKUP(A348,'Feature Summary'!$A$7:$C$3944,3,FALSE)</f>
        <v>#N/A</v>
      </c>
      <c r="H348" s="447" t="s">
        <v>929</v>
      </c>
      <c r="I348" s="447"/>
      <c r="J348" s="448" t="s">
        <v>924</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customHeight="1" thickBot="1">
      <c r="A349" s="458"/>
      <c r="B349" s="463"/>
      <c r="C349" s="463"/>
      <c r="D349" s="449" t="s">
        <v>261</v>
      </c>
      <c r="E349" s="262"/>
      <c r="F349" s="447" t="s">
        <v>921</v>
      </c>
      <c r="G349" s="387" t="e">
        <f>VLOOKUP(A349,'Feature Summary'!$A$7:$C$3944,3,FALSE)</f>
        <v>#N/A</v>
      </c>
      <c r="H349" s="447" t="s">
        <v>930</v>
      </c>
      <c r="I349" s="447"/>
      <c r="J349" s="448" t="s">
        <v>926</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45.75" thickBot="1">
      <c r="A350" s="458"/>
      <c r="B350" s="463"/>
      <c r="C350" s="463"/>
      <c r="D350" s="449" t="s">
        <v>261</v>
      </c>
      <c r="E350" s="262"/>
      <c r="F350" s="447" t="s">
        <v>921</v>
      </c>
      <c r="G350" s="387" t="e">
        <f>VLOOKUP(A350,'Feature Summary'!$A$7:$C$3944,3,FALSE)</f>
        <v>#N/A</v>
      </c>
      <c r="H350" s="447" t="s">
        <v>931</v>
      </c>
      <c r="I350" s="447"/>
      <c r="J350" s="448" t="s">
        <v>661</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thickBot="1">
      <c r="A351" s="474" t="s">
        <v>932</v>
      </c>
      <c r="B351" s="470"/>
      <c r="C351" s="463" t="s">
        <v>354</v>
      </c>
      <c r="D351" s="449" t="s">
        <v>261</v>
      </c>
      <c r="E351" s="262"/>
      <c r="F351" s="447" t="s">
        <v>933</v>
      </c>
      <c r="G351" s="387" t="e">
        <f>VLOOKUP(A351,'Feature Summary'!$A$7:$C$3944,3,FALSE)</f>
        <v>#N/A</v>
      </c>
      <c r="H351" s="447" t="s">
        <v>934</v>
      </c>
      <c r="I351" s="488" t="s">
        <v>264</v>
      </c>
      <c r="J351" s="448" t="s">
        <v>449</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60.75" thickBot="1">
      <c r="A352" s="458"/>
      <c r="B352" s="470"/>
      <c r="C352" s="463"/>
      <c r="D352" s="449" t="s">
        <v>261</v>
      </c>
      <c r="E352" s="262"/>
      <c r="F352" s="447" t="s">
        <v>933</v>
      </c>
      <c r="G352" s="387" t="e">
        <f>VLOOKUP(A352,'Feature Summary'!$A$7:$C$3944,3,FALSE)</f>
        <v>#N/A</v>
      </c>
      <c r="H352" s="447" t="s">
        <v>935</v>
      </c>
      <c r="I352" s="447"/>
      <c r="J352" s="448" t="s">
        <v>924</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customHeight="1" thickBot="1">
      <c r="A353" s="458"/>
      <c r="B353" s="470"/>
      <c r="C353" s="463"/>
      <c r="D353" s="449" t="s">
        <v>261</v>
      </c>
      <c r="E353" s="262"/>
      <c r="F353" s="447" t="s">
        <v>933</v>
      </c>
      <c r="G353" s="387" t="e">
        <f>VLOOKUP(A353,'Feature Summary'!$A$7:$C$3944,3,FALSE)</f>
        <v>#N/A</v>
      </c>
      <c r="H353" s="447" t="s">
        <v>936</v>
      </c>
      <c r="I353" s="447"/>
      <c r="J353" s="448" t="s">
        <v>926</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45.75" thickBot="1">
      <c r="A354" s="458"/>
      <c r="B354" s="470"/>
      <c r="C354" s="463"/>
      <c r="D354" s="449" t="s">
        <v>261</v>
      </c>
      <c r="E354" s="262"/>
      <c r="F354" s="447" t="s">
        <v>933</v>
      </c>
      <c r="G354" s="387" t="e">
        <f>VLOOKUP(A354,'Feature Summary'!$A$7:$C$3944,3,FALSE)</f>
        <v>#N/A</v>
      </c>
      <c r="H354" s="447" t="s">
        <v>937</v>
      </c>
      <c r="I354" s="447"/>
      <c r="J354" s="448" t="s">
        <v>661</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c r="A355" s="458"/>
      <c r="B355" s="463"/>
      <c r="C355" s="463" t="s">
        <v>260</v>
      </c>
      <c r="D355" s="449" t="s">
        <v>261</v>
      </c>
      <c r="E355" s="262"/>
      <c r="F355" s="447" t="s">
        <v>938</v>
      </c>
      <c r="G355" s="387" t="e">
        <f>VLOOKUP(A355,'Feature Summary'!$A$7:$C$3944,3,FALSE)</f>
        <v>#N/A</v>
      </c>
      <c r="H355" s="447" t="s">
        <v>939</v>
      </c>
      <c r="I355" s="488" t="s">
        <v>264</v>
      </c>
      <c r="J355" s="448" t="s">
        <v>894</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60.75" thickBot="1">
      <c r="A356" s="458"/>
      <c r="B356" s="463"/>
      <c r="C356" s="463"/>
      <c r="D356" s="449" t="s">
        <v>261</v>
      </c>
      <c r="E356" s="262"/>
      <c r="F356" s="447" t="s">
        <v>938</v>
      </c>
      <c r="G356" s="387" t="e">
        <f>VLOOKUP(A356,'Feature Summary'!$A$7:$C$3944,3,FALSE)</f>
        <v>#N/A</v>
      </c>
      <c r="H356" s="447" t="s">
        <v>940</v>
      </c>
      <c r="I356" s="447"/>
      <c r="J356" s="448" t="s">
        <v>906</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60.75" thickBot="1">
      <c r="A357" s="458"/>
      <c r="B357" s="463"/>
      <c r="C357" s="463"/>
      <c r="D357" s="449" t="s">
        <v>261</v>
      </c>
      <c r="E357" s="262"/>
      <c r="F357" s="447" t="s">
        <v>938</v>
      </c>
      <c r="G357" s="387" t="e">
        <f>VLOOKUP(A357,'Feature Summary'!$A$7:$C$3944,3,FALSE)</f>
        <v>#N/A</v>
      </c>
      <c r="H357" s="447" t="s">
        <v>941</v>
      </c>
      <c r="I357" s="447"/>
      <c r="J357" s="448" t="s">
        <v>942</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45.75" thickBot="1">
      <c r="A358" s="458"/>
      <c r="B358" s="463"/>
      <c r="C358" s="463"/>
      <c r="D358" s="449" t="s">
        <v>261</v>
      </c>
      <c r="E358" s="262"/>
      <c r="F358" s="447" t="s">
        <v>938</v>
      </c>
      <c r="G358" s="387" t="e">
        <f>VLOOKUP(A358,'Feature Summary'!$A$7:$C$3944,3,FALSE)</f>
        <v>#N/A</v>
      </c>
      <c r="H358" s="447" t="s">
        <v>943</v>
      </c>
      <c r="I358" s="447"/>
      <c r="J358" s="448" t="s">
        <v>910</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thickBot="1">
      <c r="A359" s="458" t="s">
        <v>944</v>
      </c>
      <c r="B359" s="470"/>
      <c r="C359" s="463" t="s">
        <v>354</v>
      </c>
      <c r="D359" s="449" t="s">
        <v>261</v>
      </c>
      <c r="E359" s="262"/>
      <c r="F359" s="447" t="s">
        <v>945</v>
      </c>
      <c r="G359" s="387" t="str">
        <f>VLOOKUP(A359,'Feature Summary'!$A$7:$C$3944,3,FALSE)</f>
        <v>P2</v>
      </c>
      <c r="H359" s="447" t="s">
        <v>946</v>
      </c>
      <c r="I359" s="488" t="s">
        <v>264</v>
      </c>
      <c r="J359" s="448" t="s">
        <v>449</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60.75" thickBot="1">
      <c r="A360" s="458"/>
      <c r="B360" s="470"/>
      <c r="C360" s="463"/>
      <c r="D360" s="449" t="s">
        <v>261</v>
      </c>
      <c r="E360" s="262"/>
      <c r="F360" s="447" t="s">
        <v>945</v>
      </c>
      <c r="G360" s="387" t="e">
        <f>VLOOKUP(A360,'Feature Summary'!$A$7:$C$3944,3,FALSE)</f>
        <v>#N/A</v>
      </c>
      <c r="H360" s="447" t="s">
        <v>947</v>
      </c>
      <c r="I360" s="447"/>
      <c r="J360" s="448" t="s">
        <v>924</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customHeight="1" thickBot="1">
      <c r="A361" s="458"/>
      <c r="B361" s="470"/>
      <c r="C361" s="463"/>
      <c r="D361" s="449" t="s">
        <v>261</v>
      </c>
      <c r="E361" s="262"/>
      <c r="F361" s="447" t="s">
        <v>945</v>
      </c>
      <c r="G361" s="387" t="e">
        <f>VLOOKUP(A361,'Feature Summary'!$A$7:$C$3944,3,FALSE)</f>
        <v>#N/A</v>
      </c>
      <c r="H361" s="447" t="s">
        <v>948</v>
      </c>
      <c r="I361" s="447"/>
      <c r="J361" s="448" t="s">
        <v>926</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45.75" thickBot="1">
      <c r="A362" s="458"/>
      <c r="B362" s="470"/>
      <c r="C362" s="463"/>
      <c r="D362" s="449" t="s">
        <v>261</v>
      </c>
      <c r="E362" s="262"/>
      <c r="F362" s="447" t="s">
        <v>945</v>
      </c>
      <c r="G362" s="387" t="e">
        <f>VLOOKUP(A362,'Feature Summary'!$A$7:$C$3944,3,FALSE)</f>
        <v>#N/A</v>
      </c>
      <c r="H362" s="447" t="s">
        <v>949</v>
      </c>
      <c r="I362" s="447"/>
      <c r="J362" s="448" t="s">
        <v>661</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c r="A363" s="458"/>
      <c r="B363" s="463"/>
      <c r="C363" s="463" t="s">
        <v>354</v>
      </c>
      <c r="D363" s="449" t="s">
        <v>261</v>
      </c>
      <c r="E363" s="262"/>
      <c r="F363" s="447" t="s">
        <v>950</v>
      </c>
      <c r="G363" s="387" t="e">
        <f>VLOOKUP(A363,'Feature Summary'!$A$7:$C$3944,3,FALSE)</f>
        <v>#N/A</v>
      </c>
      <c r="H363" s="447" t="s">
        <v>951</v>
      </c>
      <c r="I363" s="488" t="s">
        <v>264</v>
      </c>
      <c r="J363" s="448" t="s">
        <v>449</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60.75" thickBot="1">
      <c r="A364" s="458"/>
      <c r="B364" s="463"/>
      <c r="C364" s="463"/>
      <c r="D364" s="449" t="s">
        <v>261</v>
      </c>
      <c r="E364" s="262"/>
      <c r="F364" s="447" t="s">
        <v>950</v>
      </c>
      <c r="G364" s="387" t="e">
        <f>VLOOKUP(A364,'Feature Summary'!$A$7:$C$3944,3,FALSE)</f>
        <v>#N/A</v>
      </c>
      <c r="H364" s="447" t="s">
        <v>952</v>
      </c>
      <c r="I364" s="447"/>
      <c r="J364" s="448" t="s">
        <v>924</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customHeight="1" thickBot="1">
      <c r="A365" s="458"/>
      <c r="B365" s="463"/>
      <c r="C365" s="463"/>
      <c r="D365" s="449" t="s">
        <v>261</v>
      </c>
      <c r="E365" s="262"/>
      <c r="F365" s="447" t="s">
        <v>950</v>
      </c>
      <c r="G365" s="387" t="e">
        <f>VLOOKUP(A365,'Feature Summary'!$A$7:$C$3944,3,FALSE)</f>
        <v>#N/A</v>
      </c>
      <c r="H365" s="447" t="s">
        <v>953</v>
      </c>
      <c r="I365" s="447"/>
      <c r="J365" s="448" t="s">
        <v>926</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45.75" thickBot="1">
      <c r="A366" s="458"/>
      <c r="B366" s="463"/>
      <c r="C366" s="463"/>
      <c r="D366" s="449" t="s">
        <v>261</v>
      </c>
      <c r="E366" s="262"/>
      <c r="F366" s="447" t="s">
        <v>950</v>
      </c>
      <c r="G366" s="387" t="e">
        <f>VLOOKUP(A366,'Feature Summary'!$A$7:$C$3944,3,FALSE)</f>
        <v>#N/A</v>
      </c>
      <c r="H366" s="447" t="s">
        <v>954</v>
      </c>
      <c r="I366" s="447"/>
      <c r="J366" s="448" t="s">
        <v>661</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thickBot="1">
      <c r="A367" s="458" t="s">
        <v>544</v>
      </c>
      <c r="B367" s="447" t="s">
        <v>313</v>
      </c>
      <c r="C367" s="580" t="s">
        <v>651</v>
      </c>
      <c r="D367" s="449" t="s">
        <v>261</v>
      </c>
      <c r="E367" s="262"/>
      <c r="F367" s="447" t="s">
        <v>955</v>
      </c>
      <c r="G367" s="387" t="str">
        <f>VLOOKUP(A367,'Feature Summary'!$A$7:$C$3944,3,FALSE)</f>
        <v>P2</v>
      </c>
      <c r="H367" s="447" t="s">
        <v>956</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60.75" thickBot="1">
      <c r="A368" s="458"/>
      <c r="B368" s="447" t="s">
        <v>313</v>
      </c>
      <c r="C368" s="580"/>
      <c r="D368" s="449" t="s">
        <v>261</v>
      </c>
      <c r="E368" s="262"/>
      <c r="F368" s="447" t="s">
        <v>955</v>
      </c>
      <c r="G368" s="387" t="e">
        <f>VLOOKUP(A368,'Feature Summary'!$A$7:$C$3944,3,FALSE)</f>
        <v>#N/A</v>
      </c>
      <c r="H368" s="447" t="s">
        <v>957</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30.75" thickBot="1">
      <c r="A369" s="458"/>
      <c r="B369" s="447" t="s">
        <v>313</v>
      </c>
      <c r="C369" s="580"/>
      <c r="D369" s="449" t="s">
        <v>261</v>
      </c>
      <c r="E369" s="262"/>
      <c r="F369" s="447" t="s">
        <v>955</v>
      </c>
      <c r="G369" s="387" t="e">
        <f>VLOOKUP(A369,'Feature Summary'!$A$7:$C$3944,3,FALSE)</f>
        <v>#N/A</v>
      </c>
      <c r="H369" s="447" t="s">
        <v>958</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thickBot="1">
      <c r="A370" s="458" t="s">
        <v>544</v>
      </c>
      <c r="B370" s="447" t="s">
        <v>313</v>
      </c>
      <c r="C370" s="580" t="s">
        <v>651</v>
      </c>
      <c r="D370" s="449" t="s">
        <v>261</v>
      </c>
      <c r="E370" s="262"/>
      <c r="F370" s="447" t="s">
        <v>959</v>
      </c>
      <c r="G370" s="387" t="str">
        <f>VLOOKUP(A370,'Feature Summary'!$A$7:$C$3944,3,FALSE)</f>
        <v>P2</v>
      </c>
      <c r="H370" s="447" t="s">
        <v>960</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30.75" thickBot="1">
      <c r="A371" s="458"/>
      <c r="B371" s="447" t="s">
        <v>313</v>
      </c>
      <c r="C371" s="580"/>
      <c r="D371" s="449" t="s">
        <v>261</v>
      </c>
      <c r="E371" s="262"/>
      <c r="F371" s="447" t="s">
        <v>959</v>
      </c>
      <c r="G371" s="387" t="e">
        <f>VLOOKUP(A371,'Feature Summary'!$A$7:$C$3944,3,FALSE)</f>
        <v>#N/A</v>
      </c>
      <c r="H371" s="447" t="s">
        <v>961</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thickBot="1">
      <c r="A372" s="458" t="s">
        <v>544</v>
      </c>
      <c r="B372" s="447" t="s">
        <v>313</v>
      </c>
      <c r="C372" s="580" t="s">
        <v>651</v>
      </c>
      <c r="D372" s="449" t="s">
        <v>261</v>
      </c>
      <c r="E372" s="262"/>
      <c r="F372" s="447" t="s">
        <v>962</v>
      </c>
      <c r="G372" s="387" t="str">
        <f>VLOOKUP(A372,'Feature Summary'!$A$7:$C$3944,3,FALSE)</f>
        <v>P2</v>
      </c>
      <c r="H372" s="447" t="s">
        <v>963</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60.75" thickBot="1">
      <c r="A373" s="458"/>
      <c r="B373" s="447" t="s">
        <v>313</v>
      </c>
      <c r="C373" s="580"/>
      <c r="D373" s="449" t="s">
        <v>261</v>
      </c>
      <c r="E373" s="262"/>
      <c r="F373" s="447" t="s">
        <v>962</v>
      </c>
      <c r="G373" s="387" t="e">
        <f>VLOOKUP(A373,'Feature Summary'!$A$7:$C$3944,3,FALSE)</f>
        <v>#N/A</v>
      </c>
      <c r="H373" s="447" t="s">
        <v>964</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30.75" thickBot="1">
      <c r="A374" s="458"/>
      <c r="B374" s="447" t="s">
        <v>313</v>
      </c>
      <c r="C374" s="580"/>
      <c r="D374" s="449" t="s">
        <v>261</v>
      </c>
      <c r="E374" s="262"/>
      <c r="F374" s="447" t="s">
        <v>962</v>
      </c>
      <c r="G374" s="387" t="e">
        <f>VLOOKUP(A374,'Feature Summary'!$A$7:$C$3944,3,FALSE)</f>
        <v>#N/A</v>
      </c>
      <c r="H374" s="447" t="s">
        <v>965</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thickBot="1">
      <c r="A375" s="458" t="s">
        <v>544</v>
      </c>
      <c r="B375" s="447" t="s">
        <v>313</v>
      </c>
      <c r="C375" s="580" t="s">
        <v>651</v>
      </c>
      <c r="D375" s="449" t="s">
        <v>261</v>
      </c>
      <c r="E375" s="262"/>
      <c r="F375" s="447" t="s">
        <v>966</v>
      </c>
      <c r="G375" s="387" t="str">
        <f>VLOOKUP(A375,'Feature Summary'!$A$7:$C$3944,3,FALSE)</f>
        <v>P2</v>
      </c>
      <c r="H375" s="447" t="s">
        <v>967</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60.75" thickBot="1">
      <c r="A376" s="458"/>
      <c r="B376" s="447" t="s">
        <v>313</v>
      </c>
      <c r="C376" s="580"/>
      <c r="D376" s="449" t="s">
        <v>261</v>
      </c>
      <c r="E376" s="262"/>
      <c r="F376" s="447" t="s">
        <v>966</v>
      </c>
      <c r="G376" s="387" t="e">
        <f>VLOOKUP(A376,'Feature Summary'!$A$7:$C$3944,3,FALSE)</f>
        <v>#N/A</v>
      </c>
      <c r="H376" s="447" t="s">
        <v>968</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30.75" thickBot="1">
      <c r="A377" s="458"/>
      <c r="B377" s="447" t="s">
        <v>313</v>
      </c>
      <c r="C377" s="580"/>
      <c r="D377" s="449" t="s">
        <v>261</v>
      </c>
      <c r="E377" s="262"/>
      <c r="F377" s="447" t="s">
        <v>966</v>
      </c>
      <c r="G377" s="387" t="e">
        <f>VLOOKUP(A377,'Feature Summary'!$A$7:$C$3944,3,FALSE)</f>
        <v>#N/A</v>
      </c>
      <c r="H377" s="447" t="s">
        <v>969</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thickBot="1">
      <c r="A378" s="458" t="s">
        <v>544</v>
      </c>
      <c r="B378" s="447" t="s">
        <v>313</v>
      </c>
      <c r="C378" s="580" t="s">
        <v>651</v>
      </c>
      <c r="D378" s="449" t="s">
        <v>261</v>
      </c>
      <c r="E378" s="262"/>
      <c r="F378" s="447" t="s">
        <v>970</v>
      </c>
      <c r="G378" s="387" t="str">
        <f>VLOOKUP(A378,'Feature Summary'!$A$7:$C$3944,3,FALSE)</f>
        <v>P2</v>
      </c>
      <c r="H378" s="447" t="s">
        <v>971</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60.75" thickBot="1">
      <c r="A379" s="458"/>
      <c r="B379" s="447" t="s">
        <v>313</v>
      </c>
      <c r="C379" s="580"/>
      <c r="D379" s="449" t="s">
        <v>261</v>
      </c>
      <c r="E379" s="262"/>
      <c r="F379" s="447" t="s">
        <v>970</v>
      </c>
      <c r="G379" s="387" t="e">
        <f>VLOOKUP(A379,'Feature Summary'!$A$7:$C$3944,3,FALSE)</f>
        <v>#N/A</v>
      </c>
      <c r="H379" s="447" t="s">
        <v>972</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30.75" thickBot="1">
      <c r="A380" s="458"/>
      <c r="B380" s="447" t="s">
        <v>313</v>
      </c>
      <c r="C380" s="580"/>
      <c r="D380" s="449" t="s">
        <v>261</v>
      </c>
      <c r="E380" s="262"/>
      <c r="F380" s="447" t="s">
        <v>970</v>
      </c>
      <c r="G380" s="387" t="e">
        <f>VLOOKUP(A380,'Feature Summary'!$A$7:$C$3944,3,FALSE)</f>
        <v>#N/A</v>
      </c>
      <c r="H380" s="447" t="s">
        <v>973</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thickBot="1">
      <c r="A381" s="474" t="s">
        <v>974</v>
      </c>
      <c r="B381" s="447" t="s">
        <v>313</v>
      </c>
      <c r="C381" s="580" t="s">
        <v>651</v>
      </c>
      <c r="D381" s="449" t="s">
        <v>261</v>
      </c>
      <c r="E381" s="262"/>
      <c r="F381" s="447" t="s">
        <v>975</v>
      </c>
      <c r="G381" s="387" t="e">
        <f>VLOOKUP(A381,'Feature Summary'!$A$7:$C$3944,3,FALSE)</f>
        <v>#N/A</v>
      </c>
      <c r="H381" s="447" t="s">
        <v>976</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60.75" thickBot="1">
      <c r="A382" s="458"/>
      <c r="B382" s="447" t="s">
        <v>313</v>
      </c>
      <c r="C382" s="580"/>
      <c r="D382" s="449" t="s">
        <v>261</v>
      </c>
      <c r="E382" s="262"/>
      <c r="F382" s="447" t="s">
        <v>975</v>
      </c>
      <c r="G382" s="387" t="e">
        <f>VLOOKUP(A382,'Feature Summary'!$A$7:$C$3944,3,FALSE)</f>
        <v>#N/A</v>
      </c>
      <c r="H382" s="447" t="s">
        <v>977</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30.75" thickBot="1">
      <c r="A383" s="458"/>
      <c r="B383" s="447" t="s">
        <v>313</v>
      </c>
      <c r="C383" s="580"/>
      <c r="D383" s="449" t="s">
        <v>261</v>
      </c>
      <c r="E383" s="262"/>
      <c r="F383" s="447" t="s">
        <v>975</v>
      </c>
      <c r="G383" s="387" t="e">
        <f>VLOOKUP(A383,'Feature Summary'!$A$7:$C$3944,3,FALSE)</f>
        <v>#N/A</v>
      </c>
      <c r="H383" s="447" t="s">
        <v>978</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thickBot="1">
      <c r="A384" s="474" t="s">
        <v>544</v>
      </c>
      <c r="B384" s="447" t="s">
        <v>306</v>
      </c>
      <c r="C384" s="580" t="s">
        <v>651</v>
      </c>
      <c r="D384" s="449" t="s">
        <v>261</v>
      </c>
      <c r="E384" s="262"/>
      <c r="F384" s="447" t="s">
        <v>979</v>
      </c>
      <c r="G384" s="387" t="str">
        <f>VLOOKUP(A384,'Feature Summary'!$A$7:$C$3944,3,FALSE)</f>
        <v>P2</v>
      </c>
      <c r="H384" s="447" t="s">
        <v>980</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60.75" thickBot="1">
      <c r="A385" s="474"/>
      <c r="B385" s="447" t="s">
        <v>306</v>
      </c>
      <c r="C385" s="580"/>
      <c r="D385" s="449" t="s">
        <v>261</v>
      </c>
      <c r="E385" s="262"/>
      <c r="F385" s="447" t="s">
        <v>979</v>
      </c>
      <c r="G385" s="387" t="e">
        <f>VLOOKUP(A385,'Feature Summary'!$A$7:$C$3944,3,FALSE)</f>
        <v>#N/A</v>
      </c>
      <c r="H385" s="447" t="s">
        <v>981</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75" thickBot="1">
      <c r="A386" s="474"/>
      <c r="B386" s="447" t="s">
        <v>306</v>
      </c>
      <c r="C386" s="580"/>
      <c r="D386" s="449" t="s">
        <v>261</v>
      </c>
      <c r="E386" s="262"/>
      <c r="F386" s="447" t="s">
        <v>979</v>
      </c>
      <c r="G386" s="387" t="e">
        <f>VLOOKUP(A386,'Feature Summary'!$A$7:$C$3944,3,FALSE)</f>
        <v>#N/A</v>
      </c>
      <c r="H386" s="447" t="s">
        <v>982</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thickBot="1">
      <c r="A387" s="474" t="s">
        <v>544</v>
      </c>
      <c r="B387" s="447" t="s">
        <v>306</v>
      </c>
      <c r="C387" s="580" t="s">
        <v>651</v>
      </c>
      <c r="D387" s="449" t="s">
        <v>261</v>
      </c>
      <c r="E387" s="262"/>
      <c r="F387" s="447" t="s">
        <v>983</v>
      </c>
      <c r="G387" s="387" t="str">
        <f>VLOOKUP(A387,'Feature Summary'!$A$7:$C$3944,3,FALSE)</f>
        <v>P2</v>
      </c>
      <c r="H387" s="447" t="s">
        <v>984</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45.75" thickBot="1">
      <c r="A388" s="474"/>
      <c r="B388" s="447" t="s">
        <v>306</v>
      </c>
      <c r="C388" s="580"/>
      <c r="D388" s="449" t="s">
        <v>261</v>
      </c>
      <c r="E388" s="262"/>
      <c r="F388" s="447" t="s">
        <v>983</v>
      </c>
      <c r="G388" s="387" t="e">
        <f>VLOOKUP(A388,'Feature Summary'!$A$7:$C$3944,3,FALSE)</f>
        <v>#N/A</v>
      </c>
      <c r="H388" s="447" t="s">
        <v>985</v>
      </c>
      <c r="I388" s="447"/>
      <c r="J388" s="448" t="s">
        <v>986</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thickBot="1">
      <c r="A389" s="474" t="s">
        <v>544</v>
      </c>
      <c r="B389" s="447" t="s">
        <v>306</v>
      </c>
      <c r="C389" s="580" t="s">
        <v>651</v>
      </c>
      <c r="D389" s="449" t="s">
        <v>261</v>
      </c>
      <c r="E389" s="262"/>
      <c r="F389" s="447" t="s">
        <v>987</v>
      </c>
      <c r="G389" s="387" t="str">
        <f>VLOOKUP(A389,'Feature Summary'!$A$7:$C$3944,3,FALSE)</f>
        <v>P2</v>
      </c>
      <c r="H389" s="447" t="s">
        <v>988</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60.75" thickBot="1">
      <c r="A390" s="474"/>
      <c r="B390" s="447" t="s">
        <v>306</v>
      </c>
      <c r="C390" s="580"/>
      <c r="D390" s="449" t="s">
        <v>261</v>
      </c>
      <c r="E390" s="262"/>
      <c r="F390" s="447" t="s">
        <v>987</v>
      </c>
      <c r="G390" s="387" t="e">
        <f>VLOOKUP(A390,'Feature Summary'!$A$7:$C$3944,3,FALSE)</f>
        <v>#N/A</v>
      </c>
      <c r="H390" s="447" t="s">
        <v>989</v>
      </c>
      <c r="I390" s="447"/>
      <c r="J390" s="448" t="s">
        <v>924</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45.75" thickBot="1">
      <c r="A391" s="474"/>
      <c r="B391" s="447" t="s">
        <v>306</v>
      </c>
      <c r="C391" s="580"/>
      <c r="D391" s="449" t="s">
        <v>261</v>
      </c>
      <c r="E391" s="262"/>
      <c r="F391" s="447" t="s">
        <v>987</v>
      </c>
      <c r="G391" s="387" t="e">
        <f>VLOOKUP(A391,'Feature Summary'!$A$7:$C$3944,3,FALSE)</f>
        <v>#N/A</v>
      </c>
      <c r="H391" s="447" t="s">
        <v>990</v>
      </c>
      <c r="I391" s="447"/>
      <c r="J391" s="448" t="s">
        <v>661</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60.75" thickBot="1">
      <c r="A392" s="474"/>
      <c r="B392" s="447" t="s">
        <v>306</v>
      </c>
      <c r="C392" s="580"/>
      <c r="D392" s="449" t="s">
        <v>261</v>
      </c>
      <c r="E392" s="262"/>
      <c r="F392" s="447" t="s">
        <v>987</v>
      </c>
      <c r="G392" s="387" t="e">
        <f>VLOOKUP(A392,'Feature Summary'!$A$7:$C$3944,3,FALSE)</f>
        <v>#N/A</v>
      </c>
      <c r="H392" s="447" t="s">
        <v>991</v>
      </c>
      <c r="I392" s="447"/>
      <c r="J392" s="448" t="s">
        <v>992</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thickBot="1">
      <c r="A393" s="446" t="s">
        <v>595</v>
      </c>
      <c r="B393" s="447" t="s">
        <v>306</v>
      </c>
      <c r="C393" s="580" t="s">
        <v>335</v>
      </c>
      <c r="D393" s="449" t="s">
        <v>261</v>
      </c>
      <c r="E393" s="262"/>
      <c r="F393" s="447" t="s">
        <v>993</v>
      </c>
      <c r="G393" s="387" t="str">
        <f>VLOOKUP(A393,'Feature Summary'!$A$7:$C$3944,3,FALSE)</f>
        <v>P2</v>
      </c>
      <c r="H393" s="447" t="s">
        <v>994</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60.75" thickBot="1">
      <c r="A394" s="474"/>
      <c r="B394" s="447" t="s">
        <v>306</v>
      </c>
      <c r="C394" s="580"/>
      <c r="D394" s="449" t="s">
        <v>261</v>
      </c>
      <c r="E394" s="262"/>
      <c r="F394" s="447" t="s">
        <v>993</v>
      </c>
      <c r="G394" s="387" t="e">
        <f>VLOOKUP(A394,'Feature Summary'!$A$7:$C$3944,3,FALSE)</f>
        <v>#N/A</v>
      </c>
      <c r="H394" s="447" t="s">
        <v>995</v>
      </c>
      <c r="I394" s="447"/>
      <c r="J394" s="448" t="s">
        <v>924</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45.75" thickBot="1">
      <c r="A395" s="474"/>
      <c r="B395" s="447" t="s">
        <v>306</v>
      </c>
      <c r="C395" s="580"/>
      <c r="D395" s="449" t="s">
        <v>261</v>
      </c>
      <c r="E395" s="262"/>
      <c r="F395" s="447" t="s">
        <v>993</v>
      </c>
      <c r="G395" s="387" t="e">
        <f>VLOOKUP(A395,'Feature Summary'!$A$7:$C$3944,3,FALSE)</f>
        <v>#N/A</v>
      </c>
      <c r="H395" s="447" t="s">
        <v>996</v>
      </c>
      <c r="I395" s="447"/>
      <c r="J395" s="448" t="s">
        <v>661</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60.75" thickBot="1">
      <c r="A396" s="474"/>
      <c r="B396" s="447" t="s">
        <v>306</v>
      </c>
      <c r="C396" s="580"/>
      <c r="D396" s="449" t="s">
        <v>261</v>
      </c>
      <c r="E396" s="262"/>
      <c r="F396" s="447" t="s">
        <v>993</v>
      </c>
      <c r="G396" s="387" t="e">
        <f>VLOOKUP(A396,'Feature Summary'!$A$7:$C$3944,3,FALSE)</f>
        <v>#N/A</v>
      </c>
      <c r="H396" s="447" t="s">
        <v>997</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c r="A397" s="474"/>
      <c r="B397" s="447"/>
      <c r="C397" s="580" t="s">
        <v>651</v>
      </c>
      <c r="D397" s="449" t="s">
        <v>261</v>
      </c>
      <c r="E397" s="262"/>
      <c r="F397" s="447" t="s">
        <v>998</v>
      </c>
      <c r="G397" s="387" t="e">
        <f>VLOOKUP(A397,'Feature Summary'!$A$7:$C$3944,3,FALSE)</f>
        <v>#N/A</v>
      </c>
      <c r="H397" s="447" t="s">
        <v>999</v>
      </c>
      <c r="I397" s="488" t="s">
        <v>264</v>
      </c>
      <c r="J397" s="448" t="s">
        <v>449</v>
      </c>
      <c r="K397" s="263">
        <v>1</v>
      </c>
      <c r="L397" s="391">
        <v>8</v>
      </c>
      <c r="M397" s="399" t="s">
        <v>33</v>
      </c>
      <c r="N397" s="475">
        <v>1</v>
      </c>
      <c r="O397" s="391">
        <v>8</v>
      </c>
      <c r="P397" s="496">
        <f t="shared" ref="P397" si="63">IF((O397=0),0,(O397/L397))</f>
        <v>1</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90.75" thickBot="1">
      <c r="A398" s="474"/>
      <c r="B398" s="447"/>
      <c r="C398" s="580" t="s">
        <v>651</v>
      </c>
      <c r="D398" s="449" t="s">
        <v>261</v>
      </c>
      <c r="E398" s="262"/>
      <c r="F398" s="447" t="s">
        <v>998</v>
      </c>
      <c r="G398" s="387" t="e">
        <f>VLOOKUP(A398,'Feature Summary'!$A$7:$C$3944,3,FALSE)</f>
        <v>#N/A</v>
      </c>
      <c r="H398" s="447" t="s">
        <v>1000</v>
      </c>
      <c r="I398" s="488" t="s">
        <v>264</v>
      </c>
      <c r="J398" s="448" t="s">
        <v>1001</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75.75" thickBot="1">
      <c r="A399" s="474" t="s">
        <v>1002</v>
      </c>
      <c r="B399" s="447" t="s">
        <v>1003</v>
      </c>
      <c r="C399" s="580" t="s">
        <v>372</v>
      </c>
      <c r="D399" s="449" t="s">
        <v>261</v>
      </c>
      <c r="E399" s="262"/>
      <c r="F399" s="447" t="s">
        <v>1004</v>
      </c>
      <c r="G399" s="387" t="e">
        <f>VLOOKUP(A399,'Feature Summary'!$A$7:$C$3944,3,FALSE)</f>
        <v>#N/A</v>
      </c>
      <c r="H399" s="447" t="s">
        <v>1005</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60.75" thickBot="1">
      <c r="A400" s="474"/>
      <c r="B400" s="447" t="s">
        <v>1003</v>
      </c>
      <c r="C400" s="580"/>
      <c r="D400" s="449" t="s">
        <v>261</v>
      </c>
      <c r="E400" s="262"/>
      <c r="F400" s="447" t="s">
        <v>1004</v>
      </c>
      <c r="G400" s="387" t="e">
        <f>VLOOKUP(A400,'Feature Summary'!$A$7:$C$3944,3,FALSE)</f>
        <v>#N/A</v>
      </c>
      <c r="H400" s="447" t="s">
        <v>1006</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75.75" thickBot="1">
      <c r="A401" s="474" t="s">
        <v>1007</v>
      </c>
      <c r="B401" s="447" t="s">
        <v>1008</v>
      </c>
      <c r="C401" s="580" t="s">
        <v>444</v>
      </c>
      <c r="D401" s="449" t="s">
        <v>261</v>
      </c>
      <c r="E401" s="262"/>
      <c r="F401" s="447" t="s">
        <v>1009</v>
      </c>
      <c r="G401" s="387" t="s">
        <v>1010</v>
      </c>
      <c r="H401" s="447" t="s">
        <v>1011</v>
      </c>
      <c r="I401" s="488" t="s">
        <v>264</v>
      </c>
      <c r="J401" s="448" t="s">
        <v>1012</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105.75" thickBot="1">
      <c r="A402" s="474" t="s">
        <v>1007</v>
      </c>
      <c r="B402" s="447" t="s">
        <v>1008</v>
      </c>
      <c r="C402" s="580" t="s">
        <v>444</v>
      </c>
      <c r="D402" s="449" t="s">
        <v>261</v>
      </c>
      <c r="E402" s="262"/>
      <c r="F402" s="447" t="s">
        <v>1009</v>
      </c>
      <c r="G402" s="387" t="s">
        <v>1010</v>
      </c>
      <c r="H402" s="447" t="s">
        <v>1013</v>
      </c>
      <c r="I402" s="488" t="s">
        <v>264</v>
      </c>
      <c r="J402" s="448" t="s">
        <v>1014</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90.75" thickBot="1">
      <c r="A403" s="474" t="s">
        <v>1007</v>
      </c>
      <c r="B403" s="447" t="s">
        <v>1008</v>
      </c>
      <c r="C403" s="580" t="s">
        <v>444</v>
      </c>
      <c r="D403" s="449" t="s">
        <v>261</v>
      </c>
      <c r="E403" s="262"/>
      <c r="F403" s="447" t="s">
        <v>1009</v>
      </c>
      <c r="G403" s="387" t="s">
        <v>1010</v>
      </c>
      <c r="H403" s="447" t="s">
        <v>1015</v>
      </c>
      <c r="I403" s="488" t="s">
        <v>264</v>
      </c>
      <c r="J403" s="448" t="s">
        <v>1016</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120.75" thickBot="1">
      <c r="A404" s="474" t="s">
        <v>1007</v>
      </c>
      <c r="B404" s="447" t="s">
        <v>1008</v>
      </c>
      <c r="C404" s="580" t="s">
        <v>444</v>
      </c>
      <c r="D404" s="449" t="s">
        <v>261</v>
      </c>
      <c r="E404" s="262"/>
      <c r="F404" s="447" t="s">
        <v>1009</v>
      </c>
      <c r="G404" s="387" t="s">
        <v>1010</v>
      </c>
      <c r="H404" s="447" t="s">
        <v>1017</v>
      </c>
      <c r="I404" s="488" t="s">
        <v>264</v>
      </c>
      <c r="J404" s="448" t="s">
        <v>1018</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75.75" thickBot="1">
      <c r="A405" s="474" t="s">
        <v>1007</v>
      </c>
      <c r="B405" s="447" t="s">
        <v>1008</v>
      </c>
      <c r="C405" s="580" t="s">
        <v>444</v>
      </c>
      <c r="D405" s="449" t="s">
        <v>261</v>
      </c>
      <c r="E405" s="262"/>
      <c r="F405" s="447" t="s">
        <v>1009</v>
      </c>
      <c r="G405" s="387" t="s">
        <v>1010</v>
      </c>
      <c r="H405" s="447" t="s">
        <v>1019</v>
      </c>
      <c r="I405" s="488" t="s">
        <v>264</v>
      </c>
      <c r="J405" s="448" t="s">
        <v>1012</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105.75" thickBot="1">
      <c r="A406" s="474" t="s">
        <v>1007</v>
      </c>
      <c r="B406" s="447" t="s">
        <v>1008</v>
      </c>
      <c r="C406" s="580" t="s">
        <v>444</v>
      </c>
      <c r="D406" s="449" t="s">
        <v>261</v>
      </c>
      <c r="E406" s="262"/>
      <c r="F406" s="447" t="s">
        <v>1009</v>
      </c>
      <c r="G406" s="387" t="s">
        <v>1010</v>
      </c>
      <c r="H406" s="447" t="s">
        <v>1020</v>
      </c>
      <c r="I406" s="488" t="s">
        <v>264</v>
      </c>
      <c r="J406" s="448" t="s">
        <v>1014</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75.75" thickBot="1">
      <c r="A407" s="474" t="s">
        <v>1007</v>
      </c>
      <c r="B407" s="447" t="s">
        <v>1008</v>
      </c>
      <c r="C407" s="580" t="s">
        <v>444</v>
      </c>
      <c r="D407" s="449" t="s">
        <v>261</v>
      </c>
      <c r="E407" s="262"/>
      <c r="F407" s="447" t="s">
        <v>1009</v>
      </c>
      <c r="G407" s="387" t="s">
        <v>1010</v>
      </c>
      <c r="H407" s="447" t="s">
        <v>1021</v>
      </c>
      <c r="I407" s="488" t="s">
        <v>264</v>
      </c>
      <c r="J407" s="448" t="s">
        <v>1022</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105.75" thickBot="1">
      <c r="A408" s="474" t="s">
        <v>1007</v>
      </c>
      <c r="B408" s="447" t="s">
        <v>1008</v>
      </c>
      <c r="C408" s="580" t="s">
        <v>444</v>
      </c>
      <c r="D408" s="449" t="s">
        <v>261</v>
      </c>
      <c r="E408" s="262"/>
      <c r="F408" s="447" t="s">
        <v>1009</v>
      </c>
      <c r="G408" s="387" t="s">
        <v>1010</v>
      </c>
      <c r="H408" s="447" t="s">
        <v>1023</v>
      </c>
      <c r="I408" s="488" t="s">
        <v>264</v>
      </c>
      <c r="J408" s="448" t="s">
        <v>1024</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thickBot="1">
      <c r="A409" s="446" t="s">
        <v>1025</v>
      </c>
      <c r="B409" s="447" t="s">
        <v>1026</v>
      </c>
      <c r="C409" s="580" t="s">
        <v>335</v>
      </c>
      <c r="D409" s="449" t="s">
        <v>261</v>
      </c>
      <c r="E409" s="262"/>
      <c r="F409" s="470" t="s">
        <v>1027</v>
      </c>
      <c r="G409" s="387" t="e">
        <f>VLOOKUP(A409,'Feature Summary'!$A$7:$C$3944,3,FALSE)</f>
        <v>#N/A</v>
      </c>
      <c r="H409" s="447" t="s">
        <v>1028</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75.75" thickBot="1">
      <c r="A410" s="474"/>
      <c r="B410" s="447" t="s">
        <v>1026</v>
      </c>
      <c r="C410" s="580"/>
      <c r="D410" s="449" t="s">
        <v>261</v>
      </c>
      <c r="E410" s="262"/>
      <c r="F410" s="470" t="s">
        <v>1027</v>
      </c>
      <c r="G410" s="387" t="e">
        <f>VLOOKUP(A410,'Feature Summary'!$A$7:$C$3944,3,FALSE)</f>
        <v>#N/A</v>
      </c>
      <c r="H410" s="447" t="s">
        <v>1029</v>
      </c>
      <c r="I410" s="447"/>
      <c r="J410" s="448" t="s">
        <v>459</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45.75" thickBot="1">
      <c r="A411" s="474"/>
      <c r="B411" s="447" t="s">
        <v>1026</v>
      </c>
      <c r="C411" s="580"/>
      <c r="D411" s="449" t="s">
        <v>261</v>
      </c>
      <c r="E411" s="262"/>
      <c r="F411" s="470" t="s">
        <v>1027</v>
      </c>
      <c r="G411" s="387" t="e">
        <f>VLOOKUP(A411,'Feature Summary'!$A$7:$C$3944,3,FALSE)</f>
        <v>#N/A</v>
      </c>
      <c r="H411" s="447" t="s">
        <v>1030</v>
      </c>
      <c r="I411" s="447"/>
      <c r="J411" s="448" t="s">
        <v>489</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thickBot="1">
      <c r="A412" s="446" t="s">
        <v>1025</v>
      </c>
      <c r="B412" s="447" t="s">
        <v>1026</v>
      </c>
      <c r="C412" s="580" t="s">
        <v>335</v>
      </c>
      <c r="D412" s="449" t="s">
        <v>261</v>
      </c>
      <c r="E412" s="262"/>
      <c r="F412" s="470" t="s">
        <v>1031</v>
      </c>
      <c r="G412" s="387" t="e">
        <f>VLOOKUP(A412,'Feature Summary'!$A$7:$C$3944,3,FALSE)</f>
        <v>#N/A</v>
      </c>
      <c r="H412" s="447" t="s">
        <v>1032</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75.75" thickBot="1">
      <c r="A413" s="474"/>
      <c r="B413" s="447" t="s">
        <v>1026</v>
      </c>
      <c r="C413" s="580"/>
      <c r="D413" s="449" t="s">
        <v>261</v>
      </c>
      <c r="E413" s="262"/>
      <c r="F413" s="470" t="s">
        <v>1031</v>
      </c>
      <c r="G413" s="387" t="e">
        <f>VLOOKUP(A413,'Feature Summary'!$A$7:$C$3944,3,FALSE)</f>
        <v>#N/A</v>
      </c>
      <c r="H413" s="447" t="s">
        <v>1033</v>
      </c>
      <c r="I413" s="447"/>
      <c r="J413" s="448" t="s">
        <v>459</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45.75" thickBot="1">
      <c r="A414" s="474"/>
      <c r="B414" s="447" t="s">
        <v>1026</v>
      </c>
      <c r="C414" s="580"/>
      <c r="D414" s="449" t="s">
        <v>261</v>
      </c>
      <c r="E414" s="262"/>
      <c r="F414" s="470" t="s">
        <v>1031</v>
      </c>
      <c r="G414" s="387" t="e">
        <f>VLOOKUP(A414,'Feature Summary'!$A$7:$C$3944,3,FALSE)</f>
        <v>#N/A</v>
      </c>
      <c r="H414" s="447" t="s">
        <v>1034</v>
      </c>
      <c r="I414" s="447"/>
      <c r="J414" s="448" t="s">
        <v>489</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75" thickBot="1">
      <c r="A415" s="474"/>
      <c r="B415" s="447" t="s">
        <v>1003</v>
      </c>
      <c r="C415" s="580"/>
      <c r="D415" s="449" t="s">
        <v>261</v>
      </c>
      <c r="E415" s="262"/>
      <c r="F415" s="447" t="s">
        <v>1004</v>
      </c>
      <c r="G415" s="387" t="e">
        <f>VLOOKUP(A415,'Feature Summary'!$A$7:$C$3944,3,FALSE)</f>
        <v>#N/A</v>
      </c>
      <c r="H415" s="447" t="s">
        <v>1035</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c r="A416" s="474"/>
      <c r="B416" s="447" t="s">
        <v>1036</v>
      </c>
      <c r="C416" s="463" t="s">
        <v>260</v>
      </c>
      <c r="D416" s="449" t="s">
        <v>261</v>
      </c>
      <c r="E416" s="262"/>
      <c r="F416" s="470" t="s">
        <v>1037</v>
      </c>
      <c r="G416" s="387" t="e">
        <f>VLOOKUP(A416,'Feature Summary'!$A$7:$C$3944,3,FALSE)</f>
        <v>#N/A</v>
      </c>
      <c r="H416" s="447" t="s">
        <v>1038</v>
      </c>
      <c r="I416" s="488" t="s">
        <v>264</v>
      </c>
      <c r="J416" s="448" t="s">
        <v>281</v>
      </c>
      <c r="K416" s="263">
        <v>1</v>
      </c>
      <c r="L416" s="391">
        <v>16</v>
      </c>
      <c r="M416" s="399" t="s">
        <v>33</v>
      </c>
      <c r="N416" s="475">
        <v>1</v>
      </c>
      <c r="O416" s="391">
        <v>16</v>
      </c>
      <c r="P416" s="496">
        <f t="shared" si="58"/>
        <v>1</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customHeight="1" thickBot="1">
      <c r="A417" s="474"/>
      <c r="B417" s="447" t="s">
        <v>1036</v>
      </c>
      <c r="C417" s="463"/>
      <c r="D417" s="449" t="s">
        <v>261</v>
      </c>
      <c r="E417" s="262"/>
      <c r="F417" s="470" t="s">
        <v>1037</v>
      </c>
      <c r="G417" s="387" t="e">
        <f>VLOOKUP(A417,'Feature Summary'!$A$7:$C$3944,3,FALSE)</f>
        <v>#N/A</v>
      </c>
      <c r="H417" s="447" t="s">
        <v>1039</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customHeight="1" thickBot="1">
      <c r="A418" s="474"/>
      <c r="B418" s="447" t="s">
        <v>1036</v>
      </c>
      <c r="C418" s="463"/>
      <c r="D418" s="449" t="s">
        <v>261</v>
      </c>
      <c r="E418" s="262"/>
      <c r="F418" s="470" t="s">
        <v>1037</v>
      </c>
      <c r="G418" s="387" t="e">
        <f>VLOOKUP(A418,'Feature Summary'!$A$7:$C$3944,3,FALSE)</f>
        <v>#N/A</v>
      </c>
      <c r="H418" s="447" t="s">
        <v>1040</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customHeight="1" thickBot="1">
      <c r="A419" s="474"/>
      <c r="B419" s="447" t="s">
        <v>1036</v>
      </c>
      <c r="C419" s="463"/>
      <c r="D419" s="449" t="s">
        <v>261</v>
      </c>
      <c r="E419" s="262"/>
      <c r="F419" s="470" t="s">
        <v>1037</v>
      </c>
      <c r="G419" s="387" t="e">
        <f>VLOOKUP(A419,'Feature Summary'!$A$7:$C$3944,3,FALSE)</f>
        <v>#N/A</v>
      </c>
      <c r="H419" s="447" t="s">
        <v>1041</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60.75" thickBot="1">
      <c r="A420" s="474"/>
      <c r="B420" s="463"/>
      <c r="C420" s="463"/>
      <c r="D420" s="449" t="s">
        <v>261</v>
      </c>
      <c r="E420" s="262"/>
      <c r="F420" s="470" t="s">
        <v>1042</v>
      </c>
      <c r="G420" s="387" t="e">
        <f>VLOOKUP(A420,'Feature Summary'!$A$7:$C$3944,3,FALSE)</f>
        <v>#N/A</v>
      </c>
      <c r="H420" s="447" t="s">
        <v>1043</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75" thickBot="1">
      <c r="A421" s="474"/>
      <c r="B421" s="463"/>
      <c r="C421" s="463"/>
      <c r="D421" s="449" t="s">
        <v>261</v>
      </c>
      <c r="E421" s="262"/>
      <c r="F421" s="470" t="s">
        <v>1042</v>
      </c>
      <c r="G421" s="387" t="e">
        <f>VLOOKUP(A421,'Feature Summary'!$A$7:$C$3944,3,FALSE)</f>
        <v>#N/A</v>
      </c>
      <c r="H421" s="447" t="s">
        <v>1044</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60.75" thickBot="1">
      <c r="A422" s="474"/>
      <c r="B422" s="463"/>
      <c r="C422" s="463"/>
      <c r="D422" s="449" t="s">
        <v>261</v>
      </c>
      <c r="E422" s="262"/>
      <c r="F422" s="470" t="s">
        <v>1042</v>
      </c>
      <c r="G422" s="387" t="e">
        <f>VLOOKUP(A422,'Feature Summary'!$A$7:$C$3944,3,FALSE)</f>
        <v>#N/A</v>
      </c>
      <c r="H422" s="447" t="s">
        <v>1045</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thickBot="1">
      <c r="A423" s="474" t="s">
        <v>1046</v>
      </c>
      <c r="B423" s="447" t="s">
        <v>1047</v>
      </c>
      <c r="C423" s="463" t="s">
        <v>444</v>
      </c>
      <c r="D423" s="449" t="s">
        <v>261</v>
      </c>
      <c r="E423" s="262"/>
      <c r="F423" s="470" t="s">
        <v>1048</v>
      </c>
      <c r="G423" s="387" t="str">
        <f>VLOOKUP(A423,'Feature Summary'!$A$7:$C$3944,3,FALSE)</f>
        <v>P2</v>
      </c>
      <c r="H423" s="447" t="s">
        <v>1049</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60.75" thickBot="1">
      <c r="A424" s="474"/>
      <c r="B424" s="447" t="s">
        <v>1047</v>
      </c>
      <c r="C424" s="463"/>
      <c r="D424" s="449" t="s">
        <v>261</v>
      </c>
      <c r="E424" s="262"/>
      <c r="F424" s="470" t="s">
        <v>1048</v>
      </c>
      <c r="G424" s="387" t="e">
        <f>VLOOKUP(A424,'Feature Summary'!$A$7:$C$3944,3,FALSE)</f>
        <v>#N/A</v>
      </c>
      <c r="H424" s="447" t="s">
        <v>1050</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75" thickBot="1">
      <c r="A425" s="474"/>
      <c r="B425" s="447" t="s">
        <v>1047</v>
      </c>
      <c r="C425" s="463"/>
      <c r="D425" s="449" t="s">
        <v>261</v>
      </c>
      <c r="E425" s="262"/>
      <c r="F425" s="470" t="s">
        <v>1048</v>
      </c>
      <c r="G425" s="387" t="e">
        <f>VLOOKUP(A425,'Feature Summary'!$A$7:$C$3944,3,FALSE)</f>
        <v>#N/A</v>
      </c>
      <c r="H425" s="447" t="s">
        <v>1051</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thickBot="1">
      <c r="A426" s="474" t="s">
        <v>1052</v>
      </c>
      <c r="B426" s="447" t="s">
        <v>1053</v>
      </c>
      <c r="C426" s="463" t="s">
        <v>444</v>
      </c>
      <c r="D426" s="449" t="s">
        <v>261</v>
      </c>
      <c r="E426" s="262"/>
      <c r="F426" s="470" t="s">
        <v>1054</v>
      </c>
      <c r="G426" s="387" t="str">
        <f>VLOOKUP(A426,'Feature Summary'!$A$7:$C$3944,3,FALSE)</f>
        <v>P2</v>
      </c>
      <c r="H426" s="447" t="s">
        <v>1055</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60.75" thickBot="1">
      <c r="A427" s="474"/>
      <c r="B427" s="447" t="s">
        <v>1053</v>
      </c>
      <c r="C427" s="463"/>
      <c r="D427" s="449" t="s">
        <v>261</v>
      </c>
      <c r="E427" s="262"/>
      <c r="F427" s="470" t="s">
        <v>1054</v>
      </c>
      <c r="G427" s="387" t="e">
        <f>VLOOKUP(A427,'Feature Summary'!$A$7:$C$3944,3,FALSE)</f>
        <v>#N/A</v>
      </c>
      <c r="H427" s="447" t="s">
        <v>1056</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customHeight="1" thickBot="1">
      <c r="A428" s="474"/>
      <c r="B428" s="447" t="s">
        <v>1053</v>
      </c>
      <c r="C428" s="463"/>
      <c r="D428" s="449" t="s">
        <v>261</v>
      </c>
      <c r="E428" s="262"/>
      <c r="F428" s="470" t="s">
        <v>1054</v>
      </c>
      <c r="G428" s="387" t="e">
        <f>VLOOKUP(A428,'Feature Summary'!$A$7:$C$3944,3,FALSE)</f>
        <v>#N/A</v>
      </c>
      <c r="H428" s="447" t="s">
        <v>1057</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315.75" thickBot="1">
      <c r="A429" s="474" t="s">
        <v>1058</v>
      </c>
      <c r="B429" s="447" t="s">
        <v>1059</v>
      </c>
      <c r="C429" s="580" t="s">
        <v>655</v>
      </c>
      <c r="D429" s="449" t="s">
        <v>261</v>
      </c>
      <c r="E429" s="262"/>
      <c r="F429" s="447" t="s">
        <v>1060</v>
      </c>
      <c r="G429" s="387" t="e">
        <f>VLOOKUP(A429,'Feature Summary'!$A$7:$C$3944,3,FALSE)</f>
        <v>#N/A</v>
      </c>
      <c r="H429" s="447" t="s">
        <v>1061</v>
      </c>
      <c r="I429" s="488" t="s">
        <v>264</v>
      </c>
      <c r="J429" s="448" t="s">
        <v>1062</v>
      </c>
      <c r="K429" s="263">
        <v>1</v>
      </c>
      <c r="L429" s="391">
        <v>19</v>
      </c>
      <c r="M429" s="399" t="s">
        <v>33</v>
      </c>
      <c r="N429" s="475">
        <v>1</v>
      </c>
      <c r="O429" s="391">
        <v>19</v>
      </c>
      <c r="P429" s="496">
        <f t="shared" si="58"/>
        <v>1</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405.75" thickBot="1">
      <c r="A430" s="474"/>
      <c r="B430" s="447" t="s">
        <v>1059</v>
      </c>
      <c r="C430" s="580"/>
      <c r="D430" s="449" t="s">
        <v>261</v>
      </c>
      <c r="E430" s="262"/>
      <c r="F430" s="447" t="s">
        <v>1060</v>
      </c>
      <c r="G430" s="387" t="e">
        <f>VLOOKUP(A430,'Feature Summary'!$A$7:$C$3944,3,FALSE)</f>
        <v>#N/A</v>
      </c>
      <c r="H430" s="447" t="s">
        <v>1063</v>
      </c>
      <c r="I430" s="447"/>
      <c r="J430" s="448" t="s">
        <v>1064</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thickBot="1">
      <c r="A431" s="474" t="s">
        <v>1065</v>
      </c>
      <c r="B431" s="447" t="s">
        <v>1066</v>
      </c>
      <c r="C431" s="580" t="s">
        <v>372</v>
      </c>
      <c r="D431" s="449" t="s">
        <v>725</v>
      </c>
      <c r="E431" s="262"/>
      <c r="F431" s="447" t="s">
        <v>1067</v>
      </c>
      <c r="G431" s="387" t="e">
        <f>VLOOKUP(A431,'Feature Summary'!$A$7:$C$3944,3,FALSE)</f>
        <v>#N/A</v>
      </c>
      <c r="H431" s="447" t="s">
        <v>1068</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thickBot="1">
      <c r="A432" s="474" t="s">
        <v>1065</v>
      </c>
      <c r="B432" s="447" t="s">
        <v>1066</v>
      </c>
      <c r="C432" s="580" t="s">
        <v>372</v>
      </c>
      <c r="D432" s="449" t="s">
        <v>725</v>
      </c>
      <c r="E432" s="262"/>
      <c r="F432" s="447" t="s">
        <v>1067</v>
      </c>
      <c r="G432" s="387" t="e">
        <f>VLOOKUP(A432,'Feature Summary'!$A$7:$C$3944,3,FALSE)</f>
        <v>#N/A</v>
      </c>
      <c r="H432" s="447" t="s">
        <v>1069</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thickBot="1">
      <c r="A433" s="474"/>
      <c r="B433" s="463"/>
      <c r="C433" s="580" t="s">
        <v>372</v>
      </c>
      <c r="D433" s="449" t="s">
        <v>261</v>
      </c>
      <c r="E433" s="262"/>
      <c r="F433" s="447" t="s">
        <v>1070</v>
      </c>
      <c r="G433" s="387" t="e">
        <f>VLOOKUP(A433,'Feature Summary'!$A$7:$C$3944,3,FALSE)</f>
        <v>#N/A</v>
      </c>
      <c r="H433" s="463" t="s">
        <v>1071</v>
      </c>
      <c r="I433" s="488" t="s">
        <v>264</v>
      </c>
      <c r="J433" s="476" t="s">
        <v>1072</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thickBot="1">
      <c r="A434" s="474"/>
      <c r="B434" s="463"/>
      <c r="C434" s="580" t="s">
        <v>372</v>
      </c>
      <c r="D434" s="449" t="s">
        <v>261</v>
      </c>
      <c r="E434" s="262"/>
      <c r="F434" s="447" t="s">
        <v>1073</v>
      </c>
      <c r="G434" s="387" t="e">
        <f>VLOOKUP(A434,'Feature Summary'!$A$7:$C$3944,3,FALSE)</f>
        <v>#N/A</v>
      </c>
      <c r="H434" s="463" t="s">
        <v>1074</v>
      </c>
      <c r="I434" s="488" t="s">
        <v>264</v>
      </c>
      <c r="J434" s="476" t="s">
        <v>1072</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thickBot="1">
      <c r="A435" s="474"/>
      <c r="B435" s="463"/>
      <c r="C435" s="580" t="s">
        <v>372</v>
      </c>
      <c r="D435" s="449" t="s">
        <v>261</v>
      </c>
      <c r="E435" s="262"/>
      <c r="F435" s="447" t="s">
        <v>1075</v>
      </c>
      <c r="G435" s="387" t="e">
        <f>VLOOKUP(A435,'Feature Summary'!$A$7:$C$3944,3,FALSE)</f>
        <v>#N/A</v>
      </c>
      <c r="H435" s="463" t="s">
        <v>1076</v>
      </c>
      <c r="I435" s="488" t="s">
        <v>264</v>
      </c>
      <c r="J435" s="476" t="s">
        <v>1072</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thickBot="1">
      <c r="A436" s="474"/>
      <c r="B436" s="463"/>
      <c r="C436" s="580" t="s">
        <v>372</v>
      </c>
      <c r="D436" s="449" t="s">
        <v>261</v>
      </c>
      <c r="E436" s="262"/>
      <c r="F436" s="447" t="s">
        <v>1077</v>
      </c>
      <c r="G436" s="387" t="e">
        <f>VLOOKUP(A436,'Feature Summary'!$A$7:$C$3944,3,FALSE)</f>
        <v>#N/A</v>
      </c>
      <c r="H436" s="463" t="s">
        <v>1078</v>
      </c>
      <c r="I436" s="488" t="s">
        <v>264</v>
      </c>
      <c r="J436" s="476" t="s">
        <v>1072</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thickBot="1">
      <c r="A437" s="474" t="s">
        <v>1079</v>
      </c>
      <c r="B437" s="447" t="s">
        <v>1080</v>
      </c>
      <c r="C437" s="580" t="s">
        <v>372</v>
      </c>
      <c r="D437" s="449" t="s">
        <v>261</v>
      </c>
      <c r="E437" s="262"/>
      <c r="F437" s="447" t="s">
        <v>1081</v>
      </c>
      <c r="G437" s="387" t="e">
        <f>VLOOKUP(A437,'Feature Summary'!$A$7:$C$3944,3,FALSE)</f>
        <v>#N/A</v>
      </c>
      <c r="H437" s="463" t="s">
        <v>1082</v>
      </c>
      <c r="I437" s="488" t="s">
        <v>264</v>
      </c>
      <c r="J437" s="476" t="s">
        <v>1072</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thickBot="1">
      <c r="A438" s="474"/>
      <c r="B438" s="463"/>
      <c r="C438" s="580" t="s">
        <v>372</v>
      </c>
      <c r="D438" s="449" t="s">
        <v>261</v>
      </c>
      <c r="E438" s="262"/>
      <c r="F438" s="447" t="s">
        <v>1083</v>
      </c>
      <c r="G438" s="387" t="e">
        <f>VLOOKUP(A438,'Feature Summary'!$A$7:$C$3944,3,FALSE)</f>
        <v>#N/A</v>
      </c>
      <c r="H438" s="463" t="s">
        <v>1084</v>
      </c>
      <c r="I438" s="488" t="s">
        <v>264</v>
      </c>
      <c r="J438" s="476" t="s">
        <v>1072</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thickBot="1">
      <c r="A439" s="474"/>
      <c r="B439" s="463"/>
      <c r="C439" s="580" t="s">
        <v>372</v>
      </c>
      <c r="D439" s="449" t="s">
        <v>261</v>
      </c>
      <c r="E439" s="262"/>
      <c r="F439" s="447" t="s">
        <v>1085</v>
      </c>
      <c r="G439" s="387" t="e">
        <f>VLOOKUP(A439,'Feature Summary'!$A$7:$C$3944,3,FALSE)</f>
        <v>#N/A</v>
      </c>
      <c r="H439" s="463" t="s">
        <v>1086</v>
      </c>
      <c r="I439" s="488" t="s">
        <v>264</v>
      </c>
      <c r="J439" s="476" t="s">
        <v>1072</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thickBot="1">
      <c r="A440" s="474"/>
      <c r="B440" s="463"/>
      <c r="C440" s="580" t="s">
        <v>372</v>
      </c>
      <c r="D440" s="449" t="s">
        <v>261</v>
      </c>
      <c r="E440" s="262"/>
      <c r="F440" s="447" t="s">
        <v>1087</v>
      </c>
      <c r="G440" s="387" t="e">
        <f>VLOOKUP(A440,'Feature Summary'!$A$7:$C$3944,3,FALSE)</f>
        <v>#N/A</v>
      </c>
      <c r="H440" s="463" t="s">
        <v>1088</v>
      </c>
      <c r="I440" s="488" t="s">
        <v>264</v>
      </c>
      <c r="J440" s="476" t="s">
        <v>1089</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ht="15.75" thickBot="1">
      <c r="A441" s="490"/>
      <c r="B441" s="486" t="s">
        <v>1090</v>
      </c>
      <c r="C441" s="580" t="s">
        <v>372</v>
      </c>
      <c r="D441" s="559" t="s">
        <v>261</v>
      </c>
      <c r="E441" s="560"/>
      <c r="F441" s="473" t="s">
        <v>1091</v>
      </c>
      <c r="G441" s="561" t="e">
        <f>VLOOKUP(A441,'Feature Summary'!$A$7:$C$3944,3,FALSE)</f>
        <v>#N/A</v>
      </c>
      <c r="H441" s="486" t="s">
        <v>1092</v>
      </c>
      <c r="I441" s="486"/>
      <c r="J441" s="562" t="s">
        <v>1093</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ht="15.75" thickBot="1">
      <c r="A442" s="490"/>
      <c r="B442" s="486" t="s">
        <v>1090</v>
      </c>
      <c r="C442" s="580" t="s">
        <v>372</v>
      </c>
      <c r="D442" s="559" t="s">
        <v>261</v>
      </c>
      <c r="E442" s="560"/>
      <c r="F442" s="473" t="s">
        <v>1094</v>
      </c>
      <c r="G442" s="561" t="e">
        <f>VLOOKUP(A442,'Feature Summary'!$A$7:$C$3944,3,FALSE)</f>
        <v>#N/A</v>
      </c>
      <c r="H442" s="486" t="s">
        <v>1095</v>
      </c>
      <c r="I442" s="486"/>
      <c r="J442" s="562" t="s">
        <v>1093</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thickBot="1">
      <c r="A443" s="474"/>
      <c r="B443" s="463"/>
      <c r="C443" s="580"/>
      <c r="D443" s="449" t="s">
        <v>261</v>
      </c>
      <c r="E443" s="262"/>
      <c r="F443" s="447" t="s">
        <v>1085</v>
      </c>
      <c r="G443" s="387" t="e">
        <f>VLOOKUP(A443,'Feature Summary'!$A$7:$C$3944,3,FALSE)</f>
        <v>#N/A</v>
      </c>
      <c r="H443" s="463" t="s">
        <v>1096</v>
      </c>
      <c r="I443" s="488" t="s">
        <v>264</v>
      </c>
      <c r="J443" s="476" t="s">
        <v>1097</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ht="15.75" thickBot="1">
      <c r="A444" s="474"/>
      <c r="B444" s="463"/>
      <c r="C444" s="580"/>
      <c r="D444" s="449" t="s">
        <v>261</v>
      </c>
      <c r="E444" s="262"/>
      <c r="F444" s="447" t="s">
        <v>1087</v>
      </c>
      <c r="G444" s="387" t="e">
        <f>VLOOKUP(A444,'Feature Summary'!$A$7:$C$3944,3,FALSE)</f>
        <v>#N/A</v>
      </c>
      <c r="H444" s="463" t="s">
        <v>1098</v>
      </c>
      <c r="I444" s="463"/>
      <c r="J444" s="476" t="s">
        <v>1099</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thickBot="1">
      <c r="A445" s="474"/>
      <c r="B445" s="463"/>
      <c r="C445" s="580" t="s">
        <v>335</v>
      </c>
      <c r="D445" s="449" t="s">
        <v>261</v>
      </c>
      <c r="E445" s="262"/>
      <c r="F445" s="447" t="s">
        <v>1100</v>
      </c>
      <c r="G445" s="387" t="e">
        <f>VLOOKUP(A445,'Feature Summary'!$A$7:$C$3944,3,FALSE)</f>
        <v>#N/A</v>
      </c>
      <c r="H445" s="463" t="s">
        <v>1101</v>
      </c>
      <c r="I445" s="488" t="s">
        <v>264</v>
      </c>
      <c r="J445" s="476" t="s">
        <v>281</v>
      </c>
      <c r="K445" s="263">
        <v>1</v>
      </c>
      <c r="L445" s="403">
        <v>15</v>
      </c>
      <c r="M445" s="399" t="s">
        <v>33</v>
      </c>
      <c r="N445" s="475">
        <v>1</v>
      </c>
      <c r="O445" s="403">
        <v>15</v>
      </c>
      <c r="P445" s="496">
        <f t="shared" si="58"/>
        <v>1</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thickBot="1">
      <c r="A446" s="474"/>
      <c r="B446" s="463"/>
      <c r="C446" s="580" t="s">
        <v>335</v>
      </c>
      <c r="D446" s="449" t="s">
        <v>261</v>
      </c>
      <c r="E446" s="262"/>
      <c r="F446" s="447" t="s">
        <v>1100</v>
      </c>
      <c r="G446" s="387" t="e">
        <f>VLOOKUP(A446,'Feature Summary'!$A$7:$C$3944,3,FALSE)</f>
        <v>#N/A</v>
      </c>
      <c r="H446" s="463" t="s">
        <v>1102</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thickBot="1">
      <c r="A447" s="474"/>
      <c r="B447" s="463"/>
      <c r="C447" s="580" t="s">
        <v>335</v>
      </c>
      <c r="D447" s="449" t="s">
        <v>261</v>
      </c>
      <c r="E447" s="262"/>
      <c r="F447" s="447" t="s">
        <v>1100</v>
      </c>
      <c r="G447" s="387" t="e">
        <f>VLOOKUP(A447,'Feature Summary'!$A$7:$C$3944,3,FALSE)</f>
        <v>#N/A</v>
      </c>
      <c r="H447" s="463" t="s">
        <v>1102</v>
      </c>
      <c r="I447" s="488" t="s">
        <v>288</v>
      </c>
      <c r="J447" s="476" t="s">
        <v>320</v>
      </c>
      <c r="K447" s="263">
        <v>2</v>
      </c>
      <c r="L447" s="403">
        <v>1</v>
      </c>
      <c r="M447" s="399" t="s">
        <v>33</v>
      </c>
      <c r="N447" s="475">
        <v>1</v>
      </c>
      <c r="O447" s="403">
        <v>1</v>
      </c>
      <c r="P447" s="496">
        <f t="shared" ref="P447" si="74">IF((O447=0),0,(O447/L447))</f>
        <v>1</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thickBot="1">
      <c r="A448" s="474"/>
      <c r="B448" s="463"/>
      <c r="C448" s="580" t="s">
        <v>335</v>
      </c>
      <c r="D448" s="449" t="s">
        <v>261</v>
      </c>
      <c r="E448" s="262"/>
      <c r="F448" s="447" t="s">
        <v>1103</v>
      </c>
      <c r="G448" s="387" t="e">
        <f>VLOOKUP(A448,'Feature Summary'!$A$7:$C$3944,3,FALSE)</f>
        <v>#N/A</v>
      </c>
      <c r="H448" s="463" t="s">
        <v>1104</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75" thickBot="1">
      <c r="A449" s="474"/>
      <c r="B449" s="463"/>
      <c r="C449" s="580"/>
      <c r="D449" s="449" t="s">
        <v>261</v>
      </c>
      <c r="E449" s="262"/>
      <c r="F449" s="447" t="s">
        <v>1100</v>
      </c>
      <c r="G449" s="387" t="e">
        <f>VLOOKUP(A449,'Feature Summary'!$A$7:$C$3944,3,FALSE)</f>
        <v>#N/A</v>
      </c>
      <c r="H449" s="463" t="s">
        <v>1105</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75" thickBot="1">
      <c r="A450" s="474"/>
      <c r="B450" s="463"/>
      <c r="C450" s="580"/>
      <c r="D450" s="449" t="s">
        <v>261</v>
      </c>
      <c r="E450" s="262"/>
      <c r="F450" s="447" t="s">
        <v>1100</v>
      </c>
      <c r="G450" s="387" t="e">
        <f>VLOOKUP(A450,'Feature Summary'!$A$7:$C$3944,3,FALSE)</f>
        <v>#N/A</v>
      </c>
      <c r="H450" s="463" t="s">
        <v>1106</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ht="15.75" thickBot="1">
      <c r="A451" s="474"/>
      <c r="B451" s="463"/>
      <c r="C451" s="580"/>
      <c r="D451" s="449" t="s">
        <v>261</v>
      </c>
      <c r="E451" s="262"/>
      <c r="F451" s="447" t="s">
        <v>1103</v>
      </c>
      <c r="G451" s="387" t="e">
        <f>VLOOKUP(A451,'Feature Summary'!$A$7:$C$3944,3,FALSE)</f>
        <v>#N/A</v>
      </c>
      <c r="H451" s="463" t="s">
        <v>1107</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thickBot="1">
      <c r="A452" s="474"/>
      <c r="B452" s="463"/>
      <c r="C452" s="580" t="s">
        <v>651</v>
      </c>
      <c r="D452" s="449" t="s">
        <v>261</v>
      </c>
      <c r="E452" s="262"/>
      <c r="F452" s="463" t="s">
        <v>1108</v>
      </c>
      <c r="G452" s="387" t="e">
        <f>VLOOKUP(A452,'Feature Summary'!$A$7:$C$3944,3,FALSE)</f>
        <v>#N/A</v>
      </c>
      <c r="H452" s="463" t="s">
        <v>1109</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customHeight="1" thickBot="1">
      <c r="A453" s="474"/>
      <c r="B453" s="463"/>
      <c r="C453" s="463"/>
      <c r="D453" s="449" t="s">
        <v>261</v>
      </c>
      <c r="E453" s="262"/>
      <c r="F453" s="463" t="s">
        <v>1108</v>
      </c>
      <c r="G453" s="387" t="e">
        <f>VLOOKUP(A453,'Feature Summary'!$A$7:$C$3944,3,FALSE)</f>
        <v>#N/A</v>
      </c>
      <c r="H453" s="463" t="s">
        <v>1110</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ht="15.75" thickBot="1">
      <c r="A454" s="474"/>
      <c r="B454" s="463"/>
      <c r="C454" s="463"/>
      <c r="D454" s="449" t="s">
        <v>261</v>
      </c>
      <c r="E454" s="262"/>
      <c r="F454" s="463" t="s">
        <v>1108</v>
      </c>
      <c r="G454" s="387" t="e">
        <f>VLOOKUP(A454,'Feature Summary'!$A$7:$C$3944,3,FALSE)</f>
        <v>#N/A</v>
      </c>
      <c r="H454" s="463" t="s">
        <v>1111</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thickBot="1">
      <c r="A455" s="474"/>
      <c r="B455" s="447" t="s">
        <v>1112</v>
      </c>
      <c r="C455" s="580" t="s">
        <v>651</v>
      </c>
      <c r="D455" s="449" t="s">
        <v>261</v>
      </c>
      <c r="E455" s="262"/>
      <c r="F455" s="463" t="s">
        <v>1113</v>
      </c>
      <c r="G455" s="387" t="e">
        <f>VLOOKUP(A455,'Feature Summary'!$A$7:$C$3944,3,FALSE)</f>
        <v>#N/A</v>
      </c>
      <c r="H455" s="463" t="s">
        <v>1114</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ht="15.75" thickBot="1">
      <c r="A456" s="474"/>
      <c r="B456" s="447" t="s">
        <v>1112</v>
      </c>
      <c r="C456" s="463"/>
      <c r="D456" s="449" t="s">
        <v>261</v>
      </c>
      <c r="E456" s="262"/>
      <c r="F456" s="463" t="s">
        <v>1113</v>
      </c>
      <c r="G456" s="387" t="e">
        <f>VLOOKUP(A456,'Feature Summary'!$A$7:$C$3944,3,FALSE)</f>
        <v>#N/A</v>
      </c>
      <c r="H456" s="463" t="s">
        <v>1115</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thickBot="1">
      <c r="A457" s="474" t="s">
        <v>1116</v>
      </c>
      <c r="B457" s="447" t="s">
        <v>1117</v>
      </c>
      <c r="C457" s="580" t="s">
        <v>651</v>
      </c>
      <c r="D457" s="449" t="s">
        <v>261</v>
      </c>
      <c r="E457" s="262"/>
      <c r="F457" s="463" t="s">
        <v>1118</v>
      </c>
      <c r="G457" s="387" t="str">
        <f>VLOOKUP(A457,'Feature Summary'!$A$7:$C$3944,3,FALSE)</f>
        <v>P1</v>
      </c>
      <c r="H457" s="463" t="s">
        <v>1119</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thickBot="1">
      <c r="A458" s="474" t="s">
        <v>1116</v>
      </c>
      <c r="B458" s="447" t="s">
        <v>1117</v>
      </c>
      <c r="C458" s="580" t="s">
        <v>651</v>
      </c>
      <c r="D458" s="449" t="s">
        <v>261</v>
      </c>
      <c r="E458" s="262"/>
      <c r="F458" s="463" t="s">
        <v>1120</v>
      </c>
      <c r="G458" s="387" t="str">
        <f>VLOOKUP(A458,'Feature Summary'!$A$7:$C$3944,3,FALSE)</f>
        <v>P1</v>
      </c>
      <c r="H458" s="463" t="s">
        <v>1121</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thickBot="1">
      <c r="A459" s="474" t="s">
        <v>1116</v>
      </c>
      <c r="B459" s="447" t="s">
        <v>1117</v>
      </c>
      <c r="C459" s="580" t="s">
        <v>651</v>
      </c>
      <c r="D459" s="449" t="s">
        <v>261</v>
      </c>
      <c r="E459" s="262"/>
      <c r="F459" s="463" t="s">
        <v>1122</v>
      </c>
      <c r="G459" s="387" t="str">
        <f>VLOOKUP(A459,'Feature Summary'!$A$7:$C$3944,3,FALSE)</f>
        <v>P1</v>
      </c>
      <c r="H459" s="463" t="s">
        <v>1123</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thickBot="1">
      <c r="A460" s="474" t="s">
        <v>1116</v>
      </c>
      <c r="B460" s="447" t="s">
        <v>1117</v>
      </c>
      <c r="C460" s="580" t="s">
        <v>651</v>
      </c>
      <c r="D460" s="449" t="s">
        <v>261</v>
      </c>
      <c r="E460" s="262"/>
      <c r="F460" s="463" t="s">
        <v>1124</v>
      </c>
      <c r="G460" s="387" t="str">
        <f>VLOOKUP(A460,'Feature Summary'!$A$7:$C$3944,3,FALSE)</f>
        <v>P1</v>
      </c>
      <c r="H460" s="463" t="s">
        <v>1125</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ht="15.75" thickBot="1">
      <c r="A461" s="474"/>
      <c r="B461" s="447" t="s">
        <v>1117</v>
      </c>
      <c r="C461" s="463"/>
      <c r="D461" s="449" t="s">
        <v>261</v>
      </c>
      <c r="E461" s="262"/>
      <c r="F461" s="463" t="s">
        <v>1118</v>
      </c>
      <c r="G461" s="387" t="e">
        <f>VLOOKUP(A461,'Feature Summary'!$A$7:$C$3944,3,FALSE)</f>
        <v>#N/A</v>
      </c>
      <c r="H461" s="463" t="s">
        <v>1126</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ht="15.75" thickBot="1">
      <c r="A462" s="474"/>
      <c r="B462" s="447" t="s">
        <v>1117</v>
      </c>
      <c r="C462" s="463"/>
      <c r="D462" s="449" t="s">
        <v>261</v>
      </c>
      <c r="E462" s="262"/>
      <c r="F462" s="463" t="s">
        <v>1120</v>
      </c>
      <c r="G462" s="387" t="e">
        <f>VLOOKUP(A462,'Feature Summary'!$A$7:$C$3944,3,FALSE)</f>
        <v>#N/A</v>
      </c>
      <c r="H462" s="463" t="s">
        <v>1127</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ht="15.75" thickBot="1">
      <c r="A463" s="474"/>
      <c r="B463" s="447" t="s">
        <v>1117</v>
      </c>
      <c r="C463" s="463"/>
      <c r="D463" s="449" t="s">
        <v>261</v>
      </c>
      <c r="E463" s="262"/>
      <c r="F463" s="463" t="s">
        <v>1120</v>
      </c>
      <c r="G463" s="387" t="e">
        <f>VLOOKUP(A463,'Feature Summary'!$A$7:$C$3944,3,FALSE)</f>
        <v>#N/A</v>
      </c>
      <c r="H463" s="463" t="s">
        <v>1128</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ht="15.75" thickBot="1">
      <c r="A464" s="474"/>
      <c r="B464" s="447" t="s">
        <v>1117</v>
      </c>
      <c r="C464" s="463"/>
      <c r="D464" s="449" t="s">
        <v>261</v>
      </c>
      <c r="E464" s="262"/>
      <c r="F464" s="463" t="s">
        <v>1122</v>
      </c>
      <c r="G464" s="387" t="e">
        <f>VLOOKUP(A464,'Feature Summary'!$A$7:$C$3944,3,FALSE)</f>
        <v>#N/A</v>
      </c>
      <c r="H464" s="463" t="s">
        <v>1129</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ht="15.75" thickBot="1">
      <c r="A465" s="474"/>
      <c r="B465" s="447" t="s">
        <v>1117</v>
      </c>
      <c r="C465" s="463"/>
      <c r="D465" s="449" t="s">
        <v>261</v>
      </c>
      <c r="E465" s="262"/>
      <c r="F465" s="463" t="s">
        <v>1122</v>
      </c>
      <c r="G465" s="387" t="e">
        <f>VLOOKUP(A465,'Feature Summary'!$A$7:$C$3944,3,FALSE)</f>
        <v>#N/A</v>
      </c>
      <c r="H465" s="463" t="s">
        <v>1130</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ht="15.75" thickBot="1">
      <c r="A466" s="474"/>
      <c r="B466" s="447" t="s">
        <v>1117</v>
      </c>
      <c r="C466" s="463"/>
      <c r="D466" s="449" t="s">
        <v>261</v>
      </c>
      <c r="E466" s="262"/>
      <c r="F466" s="463" t="s">
        <v>1124</v>
      </c>
      <c r="G466" s="387" t="e">
        <f>VLOOKUP(A466,'Feature Summary'!$A$7:$C$3944,3,FALSE)</f>
        <v>#N/A</v>
      </c>
      <c r="H466" s="463" t="s">
        <v>1131</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757</v>
      </c>
      <c r="X466" s="364">
        <f t="shared" si="61"/>
        <v>0</v>
      </c>
      <c r="Y466" s="393"/>
      <c r="Z466" s="498">
        <f t="shared" si="78"/>
        <v>0</v>
      </c>
      <c r="AA466" s="368"/>
      <c r="AB466" s="368"/>
      <c r="AC466" s="368"/>
      <c r="AD466" s="368"/>
      <c r="AE466" s="365">
        <f t="shared" si="79"/>
        <v>0</v>
      </c>
      <c r="AF466" s="262"/>
      <c r="AG466" s="457"/>
      <c r="AH466" s="264"/>
    </row>
    <row r="467" spans="1:34" ht="15.75" thickBot="1">
      <c r="A467" s="474"/>
      <c r="B467" s="447" t="s">
        <v>1117</v>
      </c>
      <c r="C467" s="580" t="s">
        <v>651</v>
      </c>
      <c r="D467" s="449" t="s">
        <v>261</v>
      </c>
      <c r="E467" s="262"/>
      <c r="F467" s="463" t="s">
        <v>1132</v>
      </c>
      <c r="G467" s="387" t="e">
        <f>VLOOKUP(A467,'Feature Summary'!$A$7:$C$3944,3,FALSE)</f>
        <v>#N/A</v>
      </c>
      <c r="H467" s="463" t="s">
        <v>1133</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757</v>
      </c>
      <c r="X467" s="364">
        <f t="shared" si="61"/>
        <v>1</v>
      </c>
      <c r="Y467" s="393"/>
      <c r="Z467" s="498">
        <f t="shared" si="78"/>
        <v>0</v>
      </c>
      <c r="AA467" s="368"/>
      <c r="AB467" s="368"/>
      <c r="AC467" s="368"/>
      <c r="AD467" s="368"/>
      <c r="AE467" s="365">
        <f t="shared" si="79"/>
        <v>0</v>
      </c>
      <c r="AF467" s="262"/>
      <c r="AG467" s="457"/>
      <c r="AH467" s="264"/>
    </row>
    <row r="468" spans="1:34" ht="15.75" thickBot="1">
      <c r="A468" s="474"/>
      <c r="B468" s="447" t="s">
        <v>1117</v>
      </c>
      <c r="C468" s="463"/>
      <c r="D468" s="449" t="s">
        <v>261</v>
      </c>
      <c r="E468" s="262"/>
      <c r="F468" s="463" t="s">
        <v>1132</v>
      </c>
      <c r="G468" s="387" t="e">
        <f>VLOOKUP(A468,'Feature Summary'!$A$7:$C$3944,3,FALSE)</f>
        <v>#N/A</v>
      </c>
      <c r="H468" s="463" t="s">
        <v>1134</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customHeight="1" thickBot="1">
      <c r="A469" s="474"/>
      <c r="B469" s="447" t="s">
        <v>1117</v>
      </c>
      <c r="C469" s="463"/>
      <c r="D469" s="449" t="s">
        <v>261</v>
      </c>
      <c r="E469" s="262"/>
      <c r="F469" s="463" t="s">
        <v>1132</v>
      </c>
      <c r="G469" s="387" t="e">
        <f>VLOOKUP(A469,'Feature Summary'!$A$7:$C$3944,3,FALSE)</f>
        <v>#N/A</v>
      </c>
      <c r="H469" s="463" t="s">
        <v>1135</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ht="15.75" thickBot="1">
      <c r="A470" s="474"/>
      <c r="B470" s="447" t="s">
        <v>1117</v>
      </c>
      <c r="C470" s="463"/>
      <c r="D470" s="449" t="s">
        <v>261</v>
      </c>
      <c r="E470" s="262"/>
      <c r="F470" s="463" t="s">
        <v>1132</v>
      </c>
      <c r="G470" s="387" t="e">
        <f>VLOOKUP(A470,'Feature Summary'!$A$7:$C$3944,3,FALSE)</f>
        <v>#N/A</v>
      </c>
      <c r="H470" s="463" t="s">
        <v>1136</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thickBot="1">
      <c r="A471" s="474" t="s">
        <v>1116</v>
      </c>
      <c r="B471" s="447" t="s">
        <v>1117</v>
      </c>
      <c r="C471" s="580" t="s">
        <v>335</v>
      </c>
      <c r="D471" s="449" t="s">
        <v>261</v>
      </c>
      <c r="E471" s="262"/>
      <c r="F471" s="463" t="s">
        <v>1137</v>
      </c>
      <c r="G471" s="387" t="str">
        <f>VLOOKUP(A471,'Feature Summary'!$A$7:$C$3944,3,FALSE)</f>
        <v>P1</v>
      </c>
      <c r="H471" s="463" t="s">
        <v>1138</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ht="15.75" thickBot="1">
      <c r="A472" s="474"/>
      <c r="B472" s="447" t="s">
        <v>1117</v>
      </c>
      <c r="C472" s="580"/>
      <c r="D472" s="449" t="s">
        <v>261</v>
      </c>
      <c r="E472" s="262"/>
      <c r="F472" s="463" t="s">
        <v>1137</v>
      </c>
      <c r="G472" s="387" t="e">
        <f>VLOOKUP(A472,'Feature Summary'!$A$7:$C$3944,3,FALSE)</f>
        <v>#N/A</v>
      </c>
      <c r="H472" s="463" t="s">
        <v>1139</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ht="15.75" thickBot="1">
      <c r="A473" s="474"/>
      <c r="B473" s="447" t="s">
        <v>1117</v>
      </c>
      <c r="C473" s="580"/>
      <c r="D473" s="449" t="s">
        <v>261</v>
      </c>
      <c r="E473" s="262"/>
      <c r="F473" s="463" t="s">
        <v>1137</v>
      </c>
      <c r="G473" s="387" t="e">
        <f>VLOOKUP(A473,'Feature Summary'!$A$7:$C$3944,3,FALSE)</f>
        <v>#N/A</v>
      </c>
      <c r="H473" s="463" t="s">
        <v>1140</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thickBot="1">
      <c r="A474" s="474" t="s">
        <v>1116</v>
      </c>
      <c r="B474" s="447" t="s">
        <v>1117</v>
      </c>
      <c r="C474" s="580" t="s">
        <v>335</v>
      </c>
      <c r="D474" s="449" t="s">
        <v>261</v>
      </c>
      <c r="E474" s="262"/>
      <c r="F474" s="463" t="s">
        <v>1141</v>
      </c>
      <c r="G474" s="387" t="str">
        <f>VLOOKUP(A474,'Feature Summary'!$A$7:$C$3944,3,FALSE)</f>
        <v>P1</v>
      </c>
      <c r="H474" s="463" t="s">
        <v>1142</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ht="15.75" thickBot="1">
      <c r="A475" s="474"/>
      <c r="B475" s="447" t="s">
        <v>1117</v>
      </c>
      <c r="C475" s="580"/>
      <c r="D475" s="449" t="s">
        <v>261</v>
      </c>
      <c r="E475" s="262"/>
      <c r="F475" s="463" t="s">
        <v>1141</v>
      </c>
      <c r="G475" s="387" t="e">
        <f>VLOOKUP(A475,'Feature Summary'!$A$7:$C$3944,3,FALSE)</f>
        <v>#N/A</v>
      </c>
      <c r="H475" s="463" t="s">
        <v>1143</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ht="15.75" thickBot="1">
      <c r="A476" s="474"/>
      <c r="B476" s="447" t="s">
        <v>1117</v>
      </c>
      <c r="C476" s="580"/>
      <c r="D476" s="449" t="s">
        <v>261</v>
      </c>
      <c r="E476" s="262"/>
      <c r="F476" s="463" t="s">
        <v>1141</v>
      </c>
      <c r="G476" s="387" t="e">
        <f>VLOOKUP(A476,'Feature Summary'!$A$7:$C$3944,3,FALSE)</f>
        <v>#N/A</v>
      </c>
      <c r="H476" s="463" t="s">
        <v>1144</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thickBot="1">
      <c r="A477" s="474" t="s">
        <v>1145</v>
      </c>
      <c r="B477" s="447" t="s">
        <v>1117</v>
      </c>
      <c r="C477" s="580" t="s">
        <v>335</v>
      </c>
      <c r="D477" s="449" t="s">
        <v>261</v>
      </c>
      <c r="E477" s="262"/>
      <c r="F477" s="463" t="s">
        <v>1146</v>
      </c>
      <c r="G477" s="387" t="e">
        <f>VLOOKUP(A477,'Feature Summary'!$A$7:$C$3944,3,FALSE)</f>
        <v>#N/A</v>
      </c>
      <c r="H477" s="463" t="s">
        <v>1147</v>
      </c>
      <c r="I477" s="488" t="s">
        <v>264</v>
      </c>
      <c r="J477" s="477" t="s">
        <v>1148</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ht="15.75" thickBot="1">
      <c r="A478" s="567" t="s">
        <v>1149</v>
      </c>
      <c r="B478" s="473"/>
      <c r="C478" s="486"/>
      <c r="D478" s="559" t="s">
        <v>261</v>
      </c>
      <c r="E478" s="560"/>
      <c r="F478" s="486" t="s">
        <v>1150</v>
      </c>
      <c r="G478" s="561" t="e">
        <f>VLOOKUP(A478,'Feature Summary'!$A$7:$C$3944,3,FALSE)</f>
        <v>#N/A</v>
      </c>
      <c r="H478" s="486" t="s">
        <v>1151</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ht="15.75" thickBot="1">
      <c r="A479" s="490"/>
      <c r="B479" s="473"/>
      <c r="C479" s="486"/>
      <c r="D479" s="559" t="s">
        <v>261</v>
      </c>
      <c r="E479" s="560"/>
      <c r="F479" s="486" t="s">
        <v>1152</v>
      </c>
      <c r="G479" s="561" t="e">
        <f>VLOOKUP(A479,'Feature Summary'!$A$7:$C$3944,3,FALSE)</f>
        <v>#N/A</v>
      </c>
      <c r="H479" s="486" t="s">
        <v>1153</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thickBot="1">
      <c r="A480" s="474" t="s">
        <v>1154</v>
      </c>
      <c r="B480" s="447"/>
      <c r="C480" s="580" t="s">
        <v>651</v>
      </c>
      <c r="D480" s="449" t="s">
        <v>261</v>
      </c>
      <c r="E480" s="262"/>
      <c r="F480" s="463" t="s">
        <v>1155</v>
      </c>
      <c r="G480" s="387" t="str">
        <f>VLOOKUP(A480,'Feature Summary'!$A$7:$C$3944,3,FALSE)</f>
        <v>P2</v>
      </c>
      <c r="H480" s="463" t="s">
        <v>1156</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thickBot="1">
      <c r="A481" s="474" t="s">
        <v>1157</v>
      </c>
      <c r="B481" s="447" t="s">
        <v>1112</v>
      </c>
      <c r="C481" s="580" t="s">
        <v>651</v>
      </c>
      <c r="D481" s="449" t="s">
        <v>261</v>
      </c>
      <c r="E481" s="262"/>
      <c r="F481" s="463" t="s">
        <v>1158</v>
      </c>
      <c r="G481" s="387" t="str">
        <f>VLOOKUP(A481,'Feature Summary'!$A$7:$C$3944,3,FALSE)</f>
        <v>P2</v>
      </c>
      <c r="H481" s="463" t="s">
        <v>1159</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ht="15.75" thickBot="1">
      <c r="A482" s="474"/>
      <c r="B482" s="447" t="s">
        <v>1112</v>
      </c>
      <c r="C482" s="463"/>
      <c r="D482" s="449" t="s">
        <v>261</v>
      </c>
      <c r="E482" s="262"/>
      <c r="F482" s="463" t="s">
        <v>1158</v>
      </c>
      <c r="G482" s="387" t="e">
        <f>VLOOKUP(A482,'Feature Summary'!$A$7:$C$3944,3,FALSE)</f>
        <v>#N/A</v>
      </c>
      <c r="H482" s="463" t="s">
        <v>1160</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ht="15.75" thickBot="1">
      <c r="A483" s="474"/>
      <c r="B483" s="447" t="s">
        <v>1112</v>
      </c>
      <c r="C483" s="463"/>
      <c r="D483" s="449" t="s">
        <v>261</v>
      </c>
      <c r="E483" s="262"/>
      <c r="F483" s="463" t="s">
        <v>1158</v>
      </c>
      <c r="G483" s="387" t="e">
        <f>VLOOKUP(A483,'Feature Summary'!$A$7:$C$3944,3,FALSE)</f>
        <v>#N/A</v>
      </c>
      <c r="H483" s="463" t="s">
        <v>1161</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ht="15.75" thickBot="1">
      <c r="A484" s="474"/>
      <c r="B484" s="447" t="s">
        <v>1112</v>
      </c>
      <c r="C484" s="463"/>
      <c r="D484" s="449" t="s">
        <v>261</v>
      </c>
      <c r="E484" s="262"/>
      <c r="F484" s="463" t="s">
        <v>1158</v>
      </c>
      <c r="G484" s="387" t="e">
        <f>VLOOKUP(A484,'Feature Summary'!$A$7:$C$3944,3,FALSE)</f>
        <v>#N/A</v>
      </c>
      <c r="H484" s="463" t="s">
        <v>1162</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ht="15.75" thickBot="1">
      <c r="A485" s="474"/>
      <c r="B485" s="447" t="s">
        <v>1112</v>
      </c>
      <c r="C485" s="463"/>
      <c r="D485" s="449" t="s">
        <v>261</v>
      </c>
      <c r="E485" s="262"/>
      <c r="F485" s="463" t="s">
        <v>1158</v>
      </c>
      <c r="G485" s="387" t="e">
        <f>VLOOKUP(A485,'Feature Summary'!$A$7:$C$3944,3,FALSE)</f>
        <v>#N/A</v>
      </c>
      <c r="H485" s="463" t="s">
        <v>1163</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thickBot="1">
      <c r="A486" s="474" t="s">
        <v>1164</v>
      </c>
      <c r="B486" s="447" t="s">
        <v>1165</v>
      </c>
      <c r="C486" s="463" t="s">
        <v>354</v>
      </c>
      <c r="D486" s="449" t="s">
        <v>261</v>
      </c>
      <c r="E486" s="262"/>
      <c r="F486" s="463" t="s">
        <v>1166</v>
      </c>
      <c r="G486" s="387" t="e">
        <f>VLOOKUP(A486,'Feature Summary'!$A$7:$C$3944,3,FALSE)</f>
        <v>#N/A</v>
      </c>
      <c r="H486" s="463" t="s">
        <v>1167</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60.75" thickBot="1">
      <c r="A487" s="474" t="s">
        <v>1164</v>
      </c>
      <c r="B487" s="447" t="s">
        <v>1165</v>
      </c>
      <c r="C487" s="463" t="s">
        <v>354</v>
      </c>
      <c r="D487" s="449" t="s">
        <v>261</v>
      </c>
      <c r="E487" s="262"/>
      <c r="F487" s="447" t="s">
        <v>1168</v>
      </c>
      <c r="G487" s="387" t="e">
        <f>VLOOKUP(A487,'Feature Summary'!$A$7:$C$3944,3,FALSE)</f>
        <v>#N/A</v>
      </c>
      <c r="H487" s="463" t="s">
        <v>1169</v>
      </c>
      <c r="I487" s="488" t="s">
        <v>264</v>
      </c>
      <c r="J487" s="448" t="s">
        <v>1170</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60.75" thickBot="1">
      <c r="A488" s="474" t="s">
        <v>1164</v>
      </c>
      <c r="B488" s="447" t="s">
        <v>1165</v>
      </c>
      <c r="C488" s="463" t="s">
        <v>354</v>
      </c>
      <c r="D488" s="449" t="s">
        <v>261</v>
      </c>
      <c r="E488" s="262"/>
      <c r="F488" s="447" t="s">
        <v>1171</v>
      </c>
      <c r="G488" s="387" t="e">
        <f>VLOOKUP(A488,'Feature Summary'!$A$7:$C$3944,3,FALSE)</f>
        <v>#N/A</v>
      </c>
      <c r="H488" s="463" t="s">
        <v>1172</v>
      </c>
      <c r="I488" s="488" t="s">
        <v>264</v>
      </c>
      <c r="J488" s="448" t="s">
        <v>1173</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105.75" thickBot="1">
      <c r="A489" s="474"/>
      <c r="B489" s="447" t="s">
        <v>1165</v>
      </c>
      <c r="C489" s="463"/>
      <c r="D489" s="449" t="s">
        <v>261</v>
      </c>
      <c r="E489" s="262"/>
      <c r="F489" s="447" t="s">
        <v>1168</v>
      </c>
      <c r="G489" s="387" t="e">
        <f>VLOOKUP(A489,'Feature Summary'!$A$7:$C$3944,3,FALSE)</f>
        <v>#N/A</v>
      </c>
      <c r="H489" s="463" t="s">
        <v>1174</v>
      </c>
      <c r="I489" s="463"/>
      <c r="J489" s="448" t="s">
        <v>1175</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120.75" thickBot="1">
      <c r="A490" s="474"/>
      <c r="B490" s="447" t="s">
        <v>1165</v>
      </c>
      <c r="C490" s="463"/>
      <c r="D490" s="449" t="s">
        <v>261</v>
      </c>
      <c r="E490" s="262"/>
      <c r="F490" s="447" t="s">
        <v>1171</v>
      </c>
      <c r="G490" s="387" t="e">
        <f>VLOOKUP(A490,'Feature Summary'!$A$7:$C$3944,3,FALSE)</f>
        <v>#N/A</v>
      </c>
      <c r="H490" s="463" t="s">
        <v>1176</v>
      </c>
      <c r="I490" s="463"/>
      <c r="J490" s="448" t="s">
        <v>1177</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thickBot="1">
      <c r="A491" s="474" t="s">
        <v>1178</v>
      </c>
      <c r="B491" s="447" t="s">
        <v>1179</v>
      </c>
      <c r="C491" s="580" t="s">
        <v>651</v>
      </c>
      <c r="D491" s="449" t="s">
        <v>261</v>
      </c>
      <c r="E491" s="262"/>
      <c r="F491" s="463" t="s">
        <v>1180</v>
      </c>
      <c r="G491" s="387" t="str">
        <f>VLOOKUP(A491,'Feature Summary'!$A$7:$C$3944,3,FALSE)</f>
        <v>P2</v>
      </c>
      <c r="H491" s="463" t="s">
        <v>1181</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ht="15.75" thickBot="1">
      <c r="A492" s="474"/>
      <c r="B492" s="447" t="s">
        <v>1179</v>
      </c>
      <c r="C492" s="463"/>
      <c r="D492" s="449" t="s">
        <v>261</v>
      </c>
      <c r="E492" s="262"/>
      <c r="F492" s="463" t="s">
        <v>1180</v>
      </c>
      <c r="G492" s="387" t="e">
        <f>VLOOKUP(A492,'Feature Summary'!$A$7:$C$3944,3,FALSE)</f>
        <v>#N/A</v>
      </c>
      <c r="H492" s="463" t="s">
        <v>1182</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ht="15.75" thickBot="1">
      <c r="A493" s="474"/>
      <c r="B493" s="447" t="s">
        <v>1179</v>
      </c>
      <c r="C493" s="463"/>
      <c r="D493" s="449" t="s">
        <v>261</v>
      </c>
      <c r="E493" s="262"/>
      <c r="F493" s="463" t="s">
        <v>1180</v>
      </c>
      <c r="G493" s="387" t="e">
        <f>VLOOKUP(A493,'Feature Summary'!$A$7:$C$3944,3,FALSE)</f>
        <v>#N/A</v>
      </c>
      <c r="H493" s="463" t="s">
        <v>1183</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thickBot="1">
      <c r="A494" s="474" t="s">
        <v>1116</v>
      </c>
      <c r="B494" s="447"/>
      <c r="C494" s="580" t="s">
        <v>651</v>
      </c>
      <c r="D494" s="449" t="s">
        <v>261</v>
      </c>
      <c r="E494" s="262"/>
      <c r="F494" s="447" t="s">
        <v>1184</v>
      </c>
      <c r="G494" s="387" t="str">
        <f>VLOOKUP(A494,'Feature Summary'!$A$7:$C$3944,3,FALSE)</f>
        <v>P1</v>
      </c>
      <c r="H494" s="447" t="s">
        <v>1185</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60.75" thickBot="1">
      <c r="A495" s="474" t="s">
        <v>1116</v>
      </c>
      <c r="B495" s="447"/>
      <c r="C495" s="580" t="s">
        <v>651</v>
      </c>
      <c r="D495" s="449" t="s">
        <v>261</v>
      </c>
      <c r="E495" s="262"/>
      <c r="F495" s="447" t="s">
        <v>1186</v>
      </c>
      <c r="G495" s="387" t="str">
        <f>VLOOKUP(A495,'Feature Summary'!$A$7:$C$3944,3,FALSE)</f>
        <v>P1</v>
      </c>
      <c r="H495" s="447" t="s">
        <v>1187</v>
      </c>
      <c r="I495" s="488" t="s">
        <v>264</v>
      </c>
      <c r="J495" s="448" t="s">
        <v>1188</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thickBot="1">
      <c r="A496" s="474"/>
      <c r="B496" s="447"/>
      <c r="C496" s="580" t="s">
        <v>651</v>
      </c>
      <c r="D496" s="449" t="s">
        <v>261</v>
      </c>
      <c r="E496" s="262"/>
      <c r="F496" s="447" t="s">
        <v>1189</v>
      </c>
      <c r="G496" s="387" t="e">
        <f>VLOOKUP(A496,'Feature Summary'!$A$7:$C$3944,3,FALSE)</f>
        <v>#N/A</v>
      </c>
      <c r="H496" s="447" t="s">
        <v>1190</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thickBot="1">
      <c r="A497" s="474"/>
      <c r="B497" s="447"/>
      <c r="C497" s="580" t="s">
        <v>651</v>
      </c>
      <c r="D497" s="449" t="s">
        <v>261</v>
      </c>
      <c r="E497" s="262"/>
      <c r="F497" s="447" t="s">
        <v>1191</v>
      </c>
      <c r="G497" s="387" t="e">
        <f>VLOOKUP(A497,'Feature Summary'!$A$7:$C$3944,3,FALSE)</f>
        <v>#N/A</v>
      </c>
      <c r="H497" s="447" t="s">
        <v>1192</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thickBot="1">
      <c r="A498" s="474"/>
      <c r="B498" s="447" t="s">
        <v>1193</v>
      </c>
      <c r="C498" s="580" t="s">
        <v>651</v>
      </c>
      <c r="D498" s="449" t="s">
        <v>261</v>
      </c>
      <c r="E498" s="262"/>
      <c r="F498" s="447" t="s">
        <v>1194</v>
      </c>
      <c r="G498" s="387" t="e">
        <f>VLOOKUP(A498,'Feature Summary'!$A$7:$C$3944,3,FALSE)</f>
        <v>#N/A</v>
      </c>
      <c r="H498" s="447" t="s">
        <v>1195</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thickBot="1">
      <c r="A499" s="474"/>
      <c r="B499" s="447" t="s">
        <v>1193</v>
      </c>
      <c r="C499" s="580" t="s">
        <v>651</v>
      </c>
      <c r="D499" s="449" t="s">
        <v>261</v>
      </c>
      <c r="E499" s="262"/>
      <c r="F499" s="447" t="s">
        <v>1196</v>
      </c>
      <c r="G499" s="387" t="e">
        <f>VLOOKUP(A499,'Feature Summary'!$A$7:$C$3944,3,FALSE)</f>
        <v>#N/A</v>
      </c>
      <c r="H499" s="447" t="s">
        <v>1197</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thickBot="1">
      <c r="A500" s="474"/>
      <c r="B500" s="447"/>
      <c r="C500" s="463" t="s">
        <v>651</v>
      </c>
      <c r="D500" s="449" t="s">
        <v>261</v>
      </c>
      <c r="E500" s="262"/>
      <c r="F500" s="447" t="s">
        <v>1198</v>
      </c>
      <c r="G500" s="387" t="e">
        <f>VLOOKUP(A500,'Feature Summary'!$A$7:$C$3944,3,FALSE)</f>
        <v>#N/A</v>
      </c>
      <c r="H500" s="447" t="s">
        <v>1199</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thickBot="1">
      <c r="A501" s="474"/>
      <c r="B501" s="447"/>
      <c r="C501" s="463" t="s">
        <v>651</v>
      </c>
      <c r="D501" s="449" t="s">
        <v>261</v>
      </c>
      <c r="E501" s="262"/>
      <c r="F501" s="447" t="s">
        <v>1200</v>
      </c>
      <c r="G501" s="387" t="e">
        <f>VLOOKUP(A501,'Feature Summary'!$A$7:$C$3944,3,FALSE)</f>
        <v>#N/A</v>
      </c>
      <c r="H501" s="447" t="s">
        <v>1201</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thickBot="1">
      <c r="A502" s="474"/>
      <c r="B502" s="447"/>
      <c r="C502" s="463" t="s">
        <v>651</v>
      </c>
      <c r="D502" s="449" t="s">
        <v>261</v>
      </c>
      <c r="E502" s="262"/>
      <c r="F502" s="447" t="s">
        <v>1202</v>
      </c>
      <c r="G502" s="387" t="e">
        <f>VLOOKUP(A502,'Feature Summary'!$A$7:$C$3944,3,FALSE)</f>
        <v>#N/A</v>
      </c>
      <c r="H502" s="447" t="s">
        <v>1203</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thickBot="1">
      <c r="A503" s="474"/>
      <c r="B503" s="447"/>
      <c r="C503" s="463" t="s">
        <v>651</v>
      </c>
      <c r="D503" s="449" t="s">
        <v>261</v>
      </c>
      <c r="E503" s="262"/>
      <c r="F503" s="447" t="s">
        <v>1204</v>
      </c>
      <c r="G503" s="387" t="e">
        <f>VLOOKUP(A503,'Feature Summary'!$A$7:$C$3944,3,FALSE)</f>
        <v>#N/A</v>
      </c>
      <c r="H503" s="447" t="s">
        <v>1205</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60.75" thickBot="1">
      <c r="A504" s="474"/>
      <c r="B504" s="447"/>
      <c r="C504" s="463"/>
      <c r="D504" s="449" t="s">
        <v>261</v>
      </c>
      <c r="E504" s="262"/>
      <c r="F504" s="447" t="s">
        <v>1184</v>
      </c>
      <c r="G504" s="387" t="e">
        <f>VLOOKUP(A504,'Feature Summary'!$A$7:$C$3944,3,FALSE)</f>
        <v>#N/A</v>
      </c>
      <c r="H504" s="447" t="s">
        <v>1206</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105.75" thickBot="1">
      <c r="A505" s="474"/>
      <c r="B505" s="447"/>
      <c r="C505" s="463"/>
      <c r="D505" s="449" t="s">
        <v>261</v>
      </c>
      <c r="E505" s="262"/>
      <c r="F505" s="447" t="s">
        <v>1186</v>
      </c>
      <c r="G505" s="387" t="e">
        <f>VLOOKUP(A505,'Feature Summary'!$A$7:$C$3944,3,FALSE)</f>
        <v>#N/A</v>
      </c>
      <c r="H505" s="447" t="s">
        <v>1207</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60.75" thickBot="1">
      <c r="A506" s="474"/>
      <c r="B506" s="447"/>
      <c r="C506" s="463"/>
      <c r="D506" s="449" t="s">
        <v>261</v>
      </c>
      <c r="E506" s="262"/>
      <c r="F506" s="447" t="s">
        <v>1189</v>
      </c>
      <c r="G506" s="387" t="e">
        <f>VLOOKUP(A506,'Feature Summary'!$A$7:$C$3944,3,FALSE)</f>
        <v>#N/A</v>
      </c>
      <c r="H506" s="447" t="s">
        <v>1208</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60.75" thickBot="1">
      <c r="A507" s="474"/>
      <c r="B507" s="447"/>
      <c r="C507" s="463"/>
      <c r="D507" s="449" t="s">
        <v>261</v>
      </c>
      <c r="E507" s="262"/>
      <c r="F507" s="447" t="s">
        <v>1191</v>
      </c>
      <c r="G507" s="387" t="e">
        <f>VLOOKUP(A507,'Feature Summary'!$A$7:$C$3944,3,FALSE)</f>
        <v>#N/A</v>
      </c>
      <c r="H507" s="447" t="s">
        <v>1209</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customHeight="1" thickBot="1">
      <c r="A508" s="474"/>
      <c r="B508" s="447"/>
      <c r="C508" s="463"/>
      <c r="D508" s="449" t="s">
        <v>261</v>
      </c>
      <c r="E508" s="262"/>
      <c r="F508" s="447" t="s">
        <v>1194</v>
      </c>
      <c r="G508" s="387" t="e">
        <f>VLOOKUP(A508,'Feature Summary'!$A$7:$C$3944,3,FALSE)</f>
        <v>#N/A</v>
      </c>
      <c r="H508" s="447" t="s">
        <v>1210</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60.75" thickBot="1">
      <c r="A509" s="474"/>
      <c r="B509" s="447"/>
      <c r="C509" s="463"/>
      <c r="D509" s="449" t="s">
        <v>261</v>
      </c>
      <c r="E509" s="262"/>
      <c r="F509" s="447" t="s">
        <v>1196</v>
      </c>
      <c r="G509" s="387" t="e">
        <f>VLOOKUP(A509,'Feature Summary'!$A$7:$C$3944,3,FALSE)</f>
        <v>#N/A</v>
      </c>
      <c r="H509" s="447" t="s">
        <v>1211</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60.75" thickBot="1">
      <c r="A510" s="474"/>
      <c r="B510" s="447"/>
      <c r="C510" s="463"/>
      <c r="D510" s="449" t="s">
        <v>261</v>
      </c>
      <c r="E510" s="262"/>
      <c r="F510" s="447" t="s">
        <v>1198</v>
      </c>
      <c r="G510" s="387" t="e">
        <f>VLOOKUP(A510,'Feature Summary'!$A$7:$C$3944,3,FALSE)</f>
        <v>#N/A</v>
      </c>
      <c r="H510" s="447" t="s">
        <v>1212</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60.75" thickBot="1">
      <c r="A511" s="474"/>
      <c r="B511" s="447"/>
      <c r="C511" s="463"/>
      <c r="D511" s="449" t="s">
        <v>261</v>
      </c>
      <c r="E511" s="262"/>
      <c r="F511" s="447" t="s">
        <v>1200</v>
      </c>
      <c r="G511" s="387" t="e">
        <f>VLOOKUP(A511,'Feature Summary'!$A$7:$C$3944,3,FALSE)</f>
        <v>#N/A</v>
      </c>
      <c r="H511" s="447" t="s">
        <v>1213</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60.75" thickBot="1">
      <c r="A512" s="474"/>
      <c r="B512" s="447"/>
      <c r="C512" s="463"/>
      <c r="D512" s="449" t="s">
        <v>261</v>
      </c>
      <c r="E512" s="262"/>
      <c r="F512" s="447" t="s">
        <v>1202</v>
      </c>
      <c r="G512" s="387" t="e">
        <f>VLOOKUP(A512,'Feature Summary'!$A$7:$C$3944,3,FALSE)</f>
        <v>#N/A</v>
      </c>
      <c r="H512" s="447" t="s">
        <v>1214</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60.75" thickBot="1">
      <c r="A513" s="474"/>
      <c r="B513" s="447"/>
      <c r="C513" s="463"/>
      <c r="D513" s="449" t="s">
        <v>261</v>
      </c>
      <c r="E513" s="262"/>
      <c r="F513" s="447" t="s">
        <v>1204</v>
      </c>
      <c r="G513" s="387" t="e">
        <f>VLOOKUP(A513,'Feature Summary'!$A$7:$C$3944,3,FALSE)</f>
        <v>#N/A</v>
      </c>
      <c r="H513" s="447" t="s">
        <v>1215</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thickBot="1">
      <c r="A514" s="474" t="s">
        <v>1116</v>
      </c>
      <c r="B514" s="447"/>
      <c r="C514" s="463" t="s">
        <v>651</v>
      </c>
      <c r="D514" s="449" t="s">
        <v>261</v>
      </c>
      <c r="E514" s="262"/>
      <c r="F514" s="447" t="s">
        <v>1216</v>
      </c>
      <c r="G514" s="387" t="str">
        <f>VLOOKUP(A514,'Feature Summary'!$A$7:$C$3944,3,FALSE)</f>
        <v>P1</v>
      </c>
      <c r="H514" s="447" t="s">
        <v>1217</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60.75" thickBot="1">
      <c r="A515" s="474"/>
      <c r="B515" s="447"/>
      <c r="C515" s="463"/>
      <c r="D515" s="449" t="s">
        <v>261</v>
      </c>
      <c r="E515" s="262"/>
      <c r="F515" s="447" t="s">
        <v>1216</v>
      </c>
      <c r="G515" s="387" t="e">
        <f>VLOOKUP(A515,'Feature Summary'!$A$7:$C$3944,3,FALSE)</f>
        <v>#N/A</v>
      </c>
      <c r="H515" s="447" t="s">
        <v>1218</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30.75" thickBot="1">
      <c r="A516" s="474"/>
      <c r="B516" s="447"/>
      <c r="C516" s="463"/>
      <c r="D516" s="449" t="s">
        <v>261</v>
      </c>
      <c r="E516" s="262"/>
      <c r="F516" s="447" t="s">
        <v>1216</v>
      </c>
      <c r="G516" s="387" t="e">
        <f>VLOOKUP(A516,'Feature Summary'!$A$7:$C$3944,3,FALSE)</f>
        <v>#N/A</v>
      </c>
      <c r="H516" s="447" t="s">
        <v>1219</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30.75" thickBot="1">
      <c r="A517" s="474"/>
      <c r="B517" s="447"/>
      <c r="C517" s="463" t="s">
        <v>651</v>
      </c>
      <c r="D517" s="449" t="s">
        <v>261</v>
      </c>
      <c r="E517" s="262"/>
      <c r="F517" s="447" t="s">
        <v>1220</v>
      </c>
      <c r="G517" s="387" t="e">
        <f>VLOOKUP(A517,'Feature Summary'!$A$7:$C$3944,3,FALSE)</f>
        <v>#N/A</v>
      </c>
      <c r="H517" s="447" t="s">
        <v>1221</v>
      </c>
      <c r="I517" s="488" t="s">
        <v>264</v>
      </c>
      <c r="J517" s="448" t="s">
        <v>1222</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30.75" thickBot="1">
      <c r="A518" s="474"/>
      <c r="B518" s="447"/>
      <c r="C518" s="463" t="s">
        <v>651</v>
      </c>
      <c r="D518" s="449" t="s">
        <v>261</v>
      </c>
      <c r="E518" s="262"/>
      <c r="F518" s="447" t="s">
        <v>1223</v>
      </c>
      <c r="G518" s="387" t="e">
        <f>VLOOKUP(A518,'Feature Summary'!$A$7:$C$3944,3,FALSE)</f>
        <v>#N/A</v>
      </c>
      <c r="H518" s="447" t="s">
        <v>1224</v>
      </c>
      <c r="I518" s="488" t="s">
        <v>264</v>
      </c>
      <c r="J518" s="448" t="s">
        <v>1225</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75.75" thickBot="1">
      <c r="A519" s="474"/>
      <c r="B519" s="447"/>
      <c r="C519" s="463"/>
      <c r="D519" s="449" t="s">
        <v>261</v>
      </c>
      <c r="E519" s="262"/>
      <c r="F519" s="447" t="s">
        <v>1220</v>
      </c>
      <c r="G519" s="387" t="e">
        <f>VLOOKUP(A519,'Feature Summary'!$A$7:$C$3944,3,FALSE)</f>
        <v>#N/A</v>
      </c>
      <c r="H519" s="447" t="s">
        <v>1226</v>
      </c>
      <c r="I519" s="447"/>
      <c r="J519" s="448" t="s">
        <v>1227</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45.75" thickBot="1">
      <c r="A520" s="474"/>
      <c r="B520" s="447"/>
      <c r="C520" s="463"/>
      <c r="D520" s="449" t="s">
        <v>261</v>
      </c>
      <c r="E520" s="262"/>
      <c r="F520" s="447" t="s">
        <v>1220</v>
      </c>
      <c r="G520" s="387" t="e">
        <f>VLOOKUP(A520,'Feature Summary'!$A$7:$C$3944,3,FALSE)</f>
        <v>#N/A</v>
      </c>
      <c r="H520" s="447" t="s">
        <v>1228</v>
      </c>
      <c r="I520" s="447"/>
      <c r="J520" s="448" t="s">
        <v>1229</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75.75" thickBot="1">
      <c r="A521" s="474"/>
      <c r="B521" s="447"/>
      <c r="C521" s="463"/>
      <c r="D521" s="449" t="s">
        <v>261</v>
      </c>
      <c r="E521" s="262"/>
      <c r="F521" s="447" t="s">
        <v>1223</v>
      </c>
      <c r="G521" s="387" t="e">
        <f>VLOOKUP(A521,'Feature Summary'!$A$7:$C$3944,3,FALSE)</f>
        <v>#N/A</v>
      </c>
      <c r="H521" s="447" t="s">
        <v>1230</v>
      </c>
      <c r="I521" s="447"/>
      <c r="J521" s="448" t="s">
        <v>1227</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45.75" thickBot="1">
      <c r="A522" s="474"/>
      <c r="B522" s="447"/>
      <c r="C522" s="463"/>
      <c r="D522" s="449" t="s">
        <v>261</v>
      </c>
      <c r="E522" s="262"/>
      <c r="F522" s="447" t="s">
        <v>1223</v>
      </c>
      <c r="G522" s="387" t="e">
        <f>VLOOKUP(A522,'Feature Summary'!$A$7:$C$3944,3,FALSE)</f>
        <v>#N/A</v>
      </c>
      <c r="H522" s="447" t="s">
        <v>1231</v>
      </c>
      <c r="I522" s="447"/>
      <c r="J522" s="448" t="s">
        <v>1229</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thickBot="1">
      <c r="A523" s="474" t="s">
        <v>1232</v>
      </c>
      <c r="B523" s="447"/>
      <c r="C523" s="580" t="s">
        <v>335</v>
      </c>
      <c r="D523" s="449" t="s">
        <v>261</v>
      </c>
      <c r="E523" s="262"/>
      <c r="F523" s="447" t="s">
        <v>1233</v>
      </c>
      <c r="G523" s="387" t="str">
        <f>VLOOKUP(A523,'Feature Summary'!$A$7:$C$3944,3,FALSE)</f>
        <v>P2</v>
      </c>
      <c r="H523" s="447" t="s">
        <v>1234</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60.75" thickBot="1">
      <c r="A524" s="474"/>
      <c r="B524" s="447"/>
      <c r="C524" s="580"/>
      <c r="D524" s="449" t="s">
        <v>261</v>
      </c>
      <c r="E524" s="262"/>
      <c r="F524" s="447" t="s">
        <v>1233</v>
      </c>
      <c r="G524" s="387" t="e">
        <f>VLOOKUP(A524,'Feature Summary'!$A$7:$C$3944,3,FALSE)</f>
        <v>#N/A</v>
      </c>
      <c r="H524" s="447" t="s">
        <v>1235</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30.75" thickBot="1">
      <c r="A525" s="474"/>
      <c r="B525" s="447"/>
      <c r="C525" s="580"/>
      <c r="D525" s="449" t="s">
        <v>261</v>
      </c>
      <c r="E525" s="262"/>
      <c r="F525" s="447" t="s">
        <v>1233</v>
      </c>
      <c r="G525" s="387" t="e">
        <f>VLOOKUP(A525,'Feature Summary'!$A$7:$C$3944,3,FALSE)</f>
        <v>#N/A</v>
      </c>
      <c r="H525" s="447" t="s">
        <v>1236</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thickBot="1">
      <c r="A526" s="474" t="s">
        <v>1232</v>
      </c>
      <c r="B526" s="447"/>
      <c r="C526" s="580" t="s">
        <v>335</v>
      </c>
      <c r="D526" s="449" t="s">
        <v>261</v>
      </c>
      <c r="E526" s="262"/>
      <c r="F526" s="447" t="s">
        <v>1237</v>
      </c>
      <c r="G526" s="387" t="str">
        <f>VLOOKUP(A526,'Feature Summary'!$A$7:$C$3944,3,FALSE)</f>
        <v>P2</v>
      </c>
      <c r="H526" s="447" t="s">
        <v>1238</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60.75" thickBot="1">
      <c r="A527" s="474"/>
      <c r="B527" s="447"/>
      <c r="C527" s="580"/>
      <c r="D527" s="449" t="s">
        <v>261</v>
      </c>
      <c r="E527" s="262"/>
      <c r="F527" s="447" t="s">
        <v>1237</v>
      </c>
      <c r="G527" s="387" t="e">
        <f>VLOOKUP(A527,'Feature Summary'!$A$7:$C$3944,3,FALSE)</f>
        <v>#N/A</v>
      </c>
      <c r="H527" s="447" t="s">
        <v>1239</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30.75" thickBot="1">
      <c r="A528" s="474"/>
      <c r="B528" s="447"/>
      <c r="C528" s="580"/>
      <c r="D528" s="449" t="s">
        <v>261</v>
      </c>
      <c r="E528" s="262"/>
      <c r="F528" s="447" t="s">
        <v>1237</v>
      </c>
      <c r="G528" s="387" t="e">
        <f>VLOOKUP(A528,'Feature Summary'!$A$7:$C$3944,3,FALSE)</f>
        <v>#N/A</v>
      </c>
      <c r="H528" s="447" t="s">
        <v>1240</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thickBot="1">
      <c r="A529" s="474" t="s">
        <v>1232</v>
      </c>
      <c r="B529" s="447"/>
      <c r="C529" s="580" t="s">
        <v>335</v>
      </c>
      <c r="D529" s="449" t="s">
        <v>261</v>
      </c>
      <c r="E529" s="262"/>
      <c r="F529" s="447" t="s">
        <v>1241</v>
      </c>
      <c r="G529" s="387" t="str">
        <f>VLOOKUP(A529,'Feature Summary'!$A$7:$C$3944,3,FALSE)</f>
        <v>P2</v>
      </c>
      <c r="H529" s="447" t="s">
        <v>1242</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60.75" thickBot="1">
      <c r="A530" s="474"/>
      <c r="B530" s="447"/>
      <c r="C530" s="580"/>
      <c r="D530" s="449" t="s">
        <v>261</v>
      </c>
      <c r="E530" s="262"/>
      <c r="F530" s="447" t="s">
        <v>1241</v>
      </c>
      <c r="G530" s="387" t="e">
        <f>VLOOKUP(A530,'Feature Summary'!$A$7:$C$3944,3,FALSE)</f>
        <v>#N/A</v>
      </c>
      <c r="H530" s="447" t="s">
        <v>1243</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30.75" thickBot="1">
      <c r="A531" s="474"/>
      <c r="B531" s="447"/>
      <c r="C531" s="580"/>
      <c r="D531" s="449" t="s">
        <v>261</v>
      </c>
      <c r="E531" s="262"/>
      <c r="F531" s="447" t="s">
        <v>1241</v>
      </c>
      <c r="G531" s="387" t="e">
        <f>VLOOKUP(A531,'Feature Summary'!$A$7:$C$3944,3,FALSE)</f>
        <v>#N/A</v>
      </c>
      <c r="H531" s="447" t="s">
        <v>1244</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thickBot="1">
      <c r="A532" s="458" t="s">
        <v>1245</v>
      </c>
      <c r="B532" s="447" t="s">
        <v>1246</v>
      </c>
      <c r="C532" s="463" t="s">
        <v>444</v>
      </c>
      <c r="D532" s="449" t="s">
        <v>261</v>
      </c>
      <c r="E532" s="262"/>
      <c r="F532" s="447" t="s">
        <v>1247</v>
      </c>
      <c r="G532" s="387" t="str">
        <f>VLOOKUP(A532,'Feature Summary'!$A$7:$C$3944,3,FALSE)</f>
        <v>P2</v>
      </c>
      <c r="H532" s="447" t="s">
        <v>1248</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90.75" thickBot="1">
      <c r="A533" s="458" t="s">
        <v>1245</v>
      </c>
      <c r="B533" s="447" t="s">
        <v>1246</v>
      </c>
      <c r="C533" s="463" t="s">
        <v>444</v>
      </c>
      <c r="D533" s="449" t="s">
        <v>261</v>
      </c>
      <c r="E533" s="262"/>
      <c r="F533" s="447" t="s">
        <v>1247</v>
      </c>
      <c r="G533" s="387" t="str">
        <f>VLOOKUP(A533,'Feature Summary'!$A$7:$C$3944,3,FALSE)</f>
        <v>P2</v>
      </c>
      <c r="H533" s="447" t="s">
        <v>1249</v>
      </c>
      <c r="I533" s="488" t="s">
        <v>264</v>
      </c>
      <c r="J533" s="448" t="s">
        <v>577</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thickBot="1">
      <c r="A534" s="458" t="s">
        <v>1245</v>
      </c>
      <c r="B534" s="447" t="s">
        <v>1246</v>
      </c>
      <c r="C534" s="463" t="s">
        <v>444</v>
      </c>
      <c r="D534" s="449" t="s">
        <v>261</v>
      </c>
      <c r="E534" s="262"/>
      <c r="F534" s="447" t="s">
        <v>1247</v>
      </c>
      <c r="G534" s="387" t="str">
        <f>VLOOKUP(A534,'Feature Summary'!$A$7:$C$3944,3,FALSE)</f>
        <v>P2</v>
      </c>
      <c r="H534" s="447" t="s">
        <v>1250</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thickBot="1">
      <c r="A535" s="458" t="s">
        <v>1245</v>
      </c>
      <c r="B535" s="447" t="s">
        <v>1246</v>
      </c>
      <c r="C535" s="463" t="s">
        <v>444</v>
      </c>
      <c r="D535" s="449" t="s">
        <v>261</v>
      </c>
      <c r="E535" s="262"/>
      <c r="F535" s="447" t="s">
        <v>1247</v>
      </c>
      <c r="G535" s="387" t="str">
        <f>VLOOKUP(A535,'Feature Summary'!$A$7:$C$3944,3,FALSE)</f>
        <v>P2</v>
      </c>
      <c r="H535" s="447" t="s">
        <v>1251</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thickBot="1">
      <c r="A536" s="458" t="s">
        <v>1245</v>
      </c>
      <c r="B536" s="447" t="s">
        <v>1246</v>
      </c>
      <c r="C536" s="463" t="s">
        <v>444</v>
      </c>
      <c r="D536" s="449" t="s">
        <v>261</v>
      </c>
      <c r="E536" s="262"/>
      <c r="F536" s="447" t="s">
        <v>1247</v>
      </c>
      <c r="G536" s="387" t="str">
        <f>VLOOKUP(A536,'Feature Summary'!$A$7:$C$3944,3,FALSE)</f>
        <v>P2</v>
      </c>
      <c r="H536" s="447" t="s">
        <v>1252</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thickBot="1">
      <c r="A537" s="458" t="s">
        <v>1245</v>
      </c>
      <c r="B537" s="447" t="s">
        <v>1246</v>
      </c>
      <c r="C537" s="463" t="s">
        <v>444</v>
      </c>
      <c r="D537" s="449" t="s">
        <v>261</v>
      </c>
      <c r="E537" s="262"/>
      <c r="F537" s="447" t="s">
        <v>1247</v>
      </c>
      <c r="G537" s="387" t="str">
        <f>VLOOKUP(A537,'Feature Summary'!$A$7:$C$3944,3,FALSE)</f>
        <v>P2</v>
      </c>
      <c r="H537" s="447" t="s">
        <v>1253</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thickBot="1">
      <c r="A538" s="458" t="s">
        <v>1245</v>
      </c>
      <c r="B538" s="447" t="s">
        <v>1246</v>
      </c>
      <c r="C538" s="463" t="s">
        <v>444</v>
      </c>
      <c r="D538" s="449" t="s">
        <v>261</v>
      </c>
      <c r="E538" s="262"/>
      <c r="F538" s="447" t="s">
        <v>1247</v>
      </c>
      <c r="G538" s="387" t="str">
        <f>VLOOKUP(A538,'Feature Summary'!$A$7:$C$3944,3,FALSE)</f>
        <v>P2</v>
      </c>
      <c r="H538" s="447" t="s">
        <v>1254</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thickBot="1">
      <c r="A539" s="458" t="s">
        <v>1245</v>
      </c>
      <c r="B539" s="447" t="s">
        <v>1246</v>
      </c>
      <c r="C539" s="463" t="s">
        <v>444</v>
      </c>
      <c r="D539" s="449" t="s">
        <v>261</v>
      </c>
      <c r="E539" s="262"/>
      <c r="F539" s="447" t="s">
        <v>1255</v>
      </c>
      <c r="G539" s="387" t="str">
        <f>VLOOKUP(A539,'Feature Summary'!$A$7:$C$3944,3,FALSE)</f>
        <v>P2</v>
      </c>
      <c r="H539" s="447" t="s">
        <v>1256</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105.75" thickBot="1">
      <c r="A540" s="458" t="s">
        <v>1257</v>
      </c>
      <c r="B540" s="447" t="s">
        <v>1258</v>
      </c>
      <c r="C540" s="463" t="s">
        <v>444</v>
      </c>
      <c r="D540" s="449" t="s">
        <v>261</v>
      </c>
      <c r="E540" s="262"/>
      <c r="F540" s="447" t="s">
        <v>1259</v>
      </c>
      <c r="G540" s="387" t="str">
        <f>VLOOKUP(A540,'Feature Summary'!$A$7:$C$3944,3,FALSE)</f>
        <v>P2</v>
      </c>
      <c r="H540" s="447" t="s">
        <v>1260</v>
      </c>
      <c r="I540" s="488" t="s">
        <v>264</v>
      </c>
      <c r="J540" s="448" t="s">
        <v>1261</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75" thickBot="1">
      <c r="A541" s="458"/>
      <c r="B541" s="447" t="s">
        <v>1246</v>
      </c>
      <c r="C541" s="463"/>
      <c r="D541" s="449" t="s">
        <v>261</v>
      </c>
      <c r="E541" s="262"/>
      <c r="F541" s="447" t="s">
        <v>1247</v>
      </c>
      <c r="G541" s="387" t="e">
        <f>VLOOKUP(A541,'Feature Summary'!$A$7:$C$3944,3,FALSE)</f>
        <v>#N/A</v>
      </c>
      <c r="H541" s="447" t="s">
        <v>1262</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60.75" thickBot="1">
      <c r="A542" s="458"/>
      <c r="B542" s="447" t="s">
        <v>1246</v>
      </c>
      <c r="C542" s="463"/>
      <c r="D542" s="449" t="s">
        <v>261</v>
      </c>
      <c r="E542" s="262"/>
      <c r="F542" s="447" t="s">
        <v>1247</v>
      </c>
      <c r="G542" s="387" t="e">
        <f>VLOOKUP(A542,'Feature Summary'!$A$7:$C$3944,3,FALSE)</f>
        <v>#N/A</v>
      </c>
      <c r="H542" s="447" t="s">
        <v>1263</v>
      </c>
      <c r="I542" s="447"/>
      <c r="J542" s="448" t="s">
        <v>1264</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75" thickBot="1">
      <c r="A543" s="458"/>
      <c r="B543" s="447" t="s">
        <v>1246</v>
      </c>
      <c r="C543" s="463"/>
      <c r="D543" s="449" t="s">
        <v>261</v>
      </c>
      <c r="E543" s="262"/>
      <c r="F543" s="447" t="s">
        <v>1247</v>
      </c>
      <c r="G543" s="387" t="e">
        <f>VLOOKUP(A543,'Feature Summary'!$A$7:$C$3944,3,FALSE)</f>
        <v>#N/A</v>
      </c>
      <c r="H543" s="447" t="s">
        <v>1265</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75" thickBot="1">
      <c r="A544" s="458"/>
      <c r="B544" s="447" t="s">
        <v>1246</v>
      </c>
      <c r="C544" s="463"/>
      <c r="D544" s="449" t="s">
        <v>261</v>
      </c>
      <c r="E544" s="262"/>
      <c r="F544" s="447" t="s">
        <v>1247</v>
      </c>
      <c r="G544" s="387" t="e">
        <f>VLOOKUP(A544,'Feature Summary'!$A$7:$C$3944,3,FALSE)</f>
        <v>#N/A</v>
      </c>
      <c r="H544" s="447" t="s">
        <v>1266</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75" thickBot="1">
      <c r="A545" s="458"/>
      <c r="B545" s="447" t="s">
        <v>1246</v>
      </c>
      <c r="C545" s="463"/>
      <c r="D545" s="449" t="s">
        <v>261</v>
      </c>
      <c r="E545" s="262"/>
      <c r="F545" s="447" t="s">
        <v>1247</v>
      </c>
      <c r="G545" s="387" t="e">
        <f>VLOOKUP(A545,'Feature Summary'!$A$7:$C$3944,3,FALSE)</f>
        <v>#N/A</v>
      </c>
      <c r="H545" s="447" t="s">
        <v>1267</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75" thickBot="1">
      <c r="A546" s="458"/>
      <c r="B546" s="447" t="s">
        <v>1246</v>
      </c>
      <c r="C546" s="463"/>
      <c r="D546" s="449" t="s">
        <v>261</v>
      </c>
      <c r="E546" s="262"/>
      <c r="F546" s="447" t="s">
        <v>1247</v>
      </c>
      <c r="G546" s="387" t="e">
        <f>VLOOKUP(A546,'Feature Summary'!$A$7:$C$3944,3,FALSE)</f>
        <v>#N/A</v>
      </c>
      <c r="H546" s="447" t="s">
        <v>1268</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75" thickBot="1">
      <c r="A547" s="458"/>
      <c r="B547" s="447" t="s">
        <v>1246</v>
      </c>
      <c r="C547" s="463"/>
      <c r="D547" s="449" t="s">
        <v>261</v>
      </c>
      <c r="E547" s="262"/>
      <c r="F547" s="447" t="s">
        <v>1247</v>
      </c>
      <c r="G547" s="387" t="e">
        <f>VLOOKUP(A547,'Feature Summary'!$A$7:$C$3944,3,FALSE)</f>
        <v>#N/A</v>
      </c>
      <c r="H547" s="447" t="s">
        <v>1269</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75" thickBot="1">
      <c r="A548" s="458"/>
      <c r="B548" s="447" t="s">
        <v>1246</v>
      </c>
      <c r="C548" s="463"/>
      <c r="D548" s="449" t="s">
        <v>261</v>
      </c>
      <c r="E548" s="262"/>
      <c r="F548" s="447" t="s">
        <v>1255</v>
      </c>
      <c r="G548" s="387" t="e">
        <f>VLOOKUP(A548,'Feature Summary'!$A$7:$C$3944,3,FALSE)</f>
        <v>#N/A</v>
      </c>
      <c r="H548" s="447" t="s">
        <v>1270</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customHeight="1" thickBot="1">
      <c r="A549" s="458"/>
      <c r="B549" s="447" t="s">
        <v>1258</v>
      </c>
      <c r="C549" s="463"/>
      <c r="D549" s="449" t="s">
        <v>261</v>
      </c>
      <c r="E549" s="262"/>
      <c r="F549" s="447" t="s">
        <v>1259</v>
      </c>
      <c r="G549" s="387" t="e">
        <f>VLOOKUP(A549,'Feature Summary'!$A$7:$C$3944,3,FALSE)</f>
        <v>#N/A</v>
      </c>
      <c r="H549" s="447" t="s">
        <v>1271</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135.75" thickBot="1">
      <c r="A550" s="458" t="s">
        <v>1272</v>
      </c>
      <c r="B550" s="463"/>
      <c r="C550" s="463" t="s">
        <v>444</v>
      </c>
      <c r="D550" s="449" t="s">
        <v>261</v>
      </c>
      <c r="E550" s="262"/>
      <c r="F550" s="447" t="s">
        <v>1273</v>
      </c>
      <c r="G550" s="387" t="e">
        <f>VLOOKUP(A550,'Feature Summary'!$A$7:$C$3944,3,FALSE)</f>
        <v>#N/A</v>
      </c>
      <c r="H550" s="447" t="s">
        <v>1274</v>
      </c>
      <c r="I550" s="488" t="s">
        <v>264</v>
      </c>
      <c r="J550" s="448" t="s">
        <v>1275</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60.75" thickBot="1">
      <c r="A551" s="458" t="s">
        <v>1276</v>
      </c>
      <c r="B551" s="463"/>
      <c r="C551" s="463" t="s">
        <v>444</v>
      </c>
      <c r="D551" s="449" t="s">
        <v>261</v>
      </c>
      <c r="E551" s="262"/>
      <c r="F551" s="447" t="s">
        <v>1273</v>
      </c>
      <c r="G551" s="387" t="e">
        <f>VLOOKUP(A551,'Feature Summary'!$A$7:$C$3944,3,FALSE)</f>
        <v>#N/A</v>
      </c>
      <c r="H551" s="447" t="s">
        <v>1277</v>
      </c>
      <c r="I551" s="488" t="s">
        <v>264</v>
      </c>
      <c r="J551" s="448" t="s">
        <v>1278</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90.75" thickBot="1">
      <c r="A552" s="458" t="s">
        <v>1279</v>
      </c>
      <c r="B552" s="447" t="s">
        <v>1280</v>
      </c>
      <c r="C552" s="463" t="s">
        <v>444</v>
      </c>
      <c r="D552" s="449" t="s">
        <v>261</v>
      </c>
      <c r="E552" s="262"/>
      <c r="F552" s="447" t="s">
        <v>1273</v>
      </c>
      <c r="G552" s="387" t="e">
        <f>VLOOKUP(A552,'Feature Summary'!$A$7:$C$3944,3,FALSE)</f>
        <v>#N/A</v>
      </c>
      <c r="H552" s="447" t="s">
        <v>1281</v>
      </c>
      <c r="I552" s="488" t="s">
        <v>264</v>
      </c>
      <c r="J552" s="448" t="s">
        <v>1282</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90.75" thickBot="1">
      <c r="A553" s="458" t="s">
        <v>1283</v>
      </c>
      <c r="B553" s="463"/>
      <c r="C553" s="463" t="s">
        <v>444</v>
      </c>
      <c r="D553" s="449" t="s">
        <v>261</v>
      </c>
      <c r="E553" s="262"/>
      <c r="F553" s="447" t="s">
        <v>1273</v>
      </c>
      <c r="G553" s="387" t="e">
        <f>VLOOKUP(A553,'Feature Summary'!$A$7:$C$3944,3,FALSE)</f>
        <v>#N/A</v>
      </c>
      <c r="H553" s="447" t="s">
        <v>1284</v>
      </c>
      <c r="I553" s="488" t="s">
        <v>264</v>
      </c>
      <c r="J553" s="448" t="s">
        <v>1282</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165.75" thickBot="1">
      <c r="A554" s="458" t="s">
        <v>1245</v>
      </c>
      <c r="B554" s="447" t="s">
        <v>1280</v>
      </c>
      <c r="C554" s="463" t="s">
        <v>444</v>
      </c>
      <c r="D554" s="449" t="s">
        <v>261</v>
      </c>
      <c r="E554" s="262"/>
      <c r="F554" s="470" t="s">
        <v>1285</v>
      </c>
      <c r="G554" s="387" t="str">
        <f>VLOOKUP(A554,'Feature Summary'!$A$7:$C$3944,3,FALSE)</f>
        <v>P2</v>
      </c>
      <c r="H554" s="447" t="s">
        <v>1286</v>
      </c>
      <c r="I554" s="488" t="s">
        <v>264</v>
      </c>
      <c r="J554" s="478" t="s">
        <v>1287</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165.75" thickBot="1">
      <c r="A555" s="458" t="s">
        <v>1288</v>
      </c>
      <c r="B555" s="463"/>
      <c r="C555" s="463" t="s">
        <v>444</v>
      </c>
      <c r="D555" s="449" t="s">
        <v>261</v>
      </c>
      <c r="E555" s="262"/>
      <c r="F555" s="470" t="s">
        <v>1289</v>
      </c>
      <c r="G555" s="387" t="e">
        <f>VLOOKUP(A555,'Feature Summary'!$A$7:$C$3944,3,FALSE)</f>
        <v>#N/A</v>
      </c>
      <c r="H555" s="447" t="s">
        <v>1290</v>
      </c>
      <c r="I555" s="488" t="s">
        <v>264</v>
      </c>
      <c r="J555" s="478" t="s">
        <v>1291</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135.75" thickBot="1">
      <c r="A556" s="458" t="s">
        <v>1292</v>
      </c>
      <c r="B556" s="463"/>
      <c r="C556" s="463" t="s">
        <v>444</v>
      </c>
      <c r="D556" s="449" t="s">
        <v>261</v>
      </c>
      <c r="E556" s="262"/>
      <c r="F556" s="470" t="s">
        <v>1273</v>
      </c>
      <c r="G556" s="387" t="e">
        <f>VLOOKUP(A556,'Feature Summary'!$A$7:$C$3944,3,FALSE)</f>
        <v>#N/A</v>
      </c>
      <c r="H556" s="447" t="s">
        <v>1293</v>
      </c>
      <c r="I556" s="488" t="s">
        <v>264</v>
      </c>
      <c r="J556" s="479" t="s">
        <v>1294</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75.75" thickBot="1">
      <c r="A557" s="458" t="s">
        <v>1295</v>
      </c>
      <c r="B557" s="463"/>
      <c r="C557" s="463" t="s">
        <v>444</v>
      </c>
      <c r="D557" s="449" t="s">
        <v>261</v>
      </c>
      <c r="E557" s="262"/>
      <c r="F557" s="470" t="s">
        <v>1273</v>
      </c>
      <c r="G557" s="387" t="e">
        <f>VLOOKUP(A557,'Feature Summary'!$A$7:$C$3944,3,FALSE)</f>
        <v>#N/A</v>
      </c>
      <c r="H557" s="447" t="s">
        <v>1296</v>
      </c>
      <c r="I557" s="488" t="s">
        <v>264</v>
      </c>
      <c r="J557" s="479" t="s">
        <v>1297</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120.75" thickBot="1">
      <c r="A558" s="458"/>
      <c r="B558" s="447" t="s">
        <v>1280</v>
      </c>
      <c r="C558" s="463" t="s">
        <v>444</v>
      </c>
      <c r="D558" s="449" t="s">
        <v>261</v>
      </c>
      <c r="E558" s="262"/>
      <c r="F558" s="471" t="s">
        <v>1298</v>
      </c>
      <c r="G558" s="387" t="e">
        <f>VLOOKUP(A558,'Feature Summary'!$A$7:$C$3944,3,FALSE)</f>
        <v>#N/A</v>
      </c>
      <c r="H558" s="447" t="s">
        <v>1299</v>
      </c>
      <c r="I558" s="488" t="s">
        <v>264</v>
      </c>
      <c r="J558" s="478" t="s">
        <v>1300</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120.75" thickBot="1">
      <c r="A559" s="458" t="s">
        <v>1301</v>
      </c>
      <c r="B559" s="447" t="s">
        <v>1280</v>
      </c>
      <c r="C559" s="463" t="s">
        <v>444</v>
      </c>
      <c r="D559" s="449" t="s">
        <v>261</v>
      </c>
      <c r="E559" s="262"/>
      <c r="F559" s="471" t="s">
        <v>1302</v>
      </c>
      <c r="G559" s="387" t="str">
        <f>VLOOKUP(A559,'Feature Summary'!$A$7:$C$3944,3,FALSE)</f>
        <v>P2</v>
      </c>
      <c r="H559" s="447" t="s">
        <v>1303</v>
      </c>
      <c r="I559" s="488" t="s">
        <v>264</v>
      </c>
      <c r="J559" s="478" t="s">
        <v>1304</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165.75" thickBot="1">
      <c r="A560" s="458" t="s">
        <v>1301</v>
      </c>
      <c r="B560" s="447" t="s">
        <v>1280</v>
      </c>
      <c r="C560" s="463" t="s">
        <v>444</v>
      </c>
      <c r="D560" s="449" t="s">
        <v>261</v>
      </c>
      <c r="E560" s="262"/>
      <c r="F560" s="471" t="s">
        <v>1305</v>
      </c>
      <c r="G560" s="387" t="str">
        <f>VLOOKUP(A560,'Feature Summary'!$A$7:$C$3944,3,FALSE)</f>
        <v>P2</v>
      </c>
      <c r="H560" s="447" t="s">
        <v>1306</v>
      </c>
      <c r="I560" s="488" t="s">
        <v>264</v>
      </c>
      <c r="J560" s="478" t="s">
        <v>1307</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165.75" thickBot="1">
      <c r="A561" s="458" t="s">
        <v>1301</v>
      </c>
      <c r="B561" s="447" t="s">
        <v>1280</v>
      </c>
      <c r="C561" s="463" t="s">
        <v>444</v>
      </c>
      <c r="D561" s="449" t="s">
        <v>261</v>
      </c>
      <c r="E561" s="262"/>
      <c r="F561" s="471" t="s">
        <v>1308</v>
      </c>
      <c r="G561" s="387" t="str">
        <f>VLOOKUP(A561,'Feature Summary'!$A$7:$C$3944,3,FALSE)</f>
        <v>P2</v>
      </c>
      <c r="H561" s="447" t="s">
        <v>1309</v>
      </c>
      <c r="I561" s="488" t="s">
        <v>264</v>
      </c>
      <c r="J561" s="478" t="s">
        <v>1307</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135.75" thickBot="1">
      <c r="A562" s="458"/>
      <c r="B562" s="463"/>
      <c r="C562" s="463"/>
      <c r="D562" s="449" t="s">
        <v>261</v>
      </c>
      <c r="E562" s="262"/>
      <c r="F562" s="447" t="s">
        <v>1273</v>
      </c>
      <c r="G562" s="387" t="e">
        <f>VLOOKUP(A562,'Feature Summary'!$A$7:$C$3944,3,FALSE)</f>
        <v>#N/A</v>
      </c>
      <c r="H562" s="447" t="s">
        <v>1310</v>
      </c>
      <c r="I562" s="447"/>
      <c r="J562" s="448" t="s">
        <v>1311</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120.75" thickBot="1">
      <c r="A563" s="458"/>
      <c r="B563" s="463"/>
      <c r="C563" s="463"/>
      <c r="D563" s="449" t="s">
        <v>261</v>
      </c>
      <c r="E563" s="262"/>
      <c r="F563" s="447" t="s">
        <v>1273</v>
      </c>
      <c r="G563" s="387" t="e">
        <f>VLOOKUP(A563,'Feature Summary'!$A$7:$C$3944,3,FALSE)</f>
        <v>#N/A</v>
      </c>
      <c r="H563" s="447" t="s">
        <v>1312</v>
      </c>
      <c r="I563" s="447"/>
      <c r="J563" s="448" t="s">
        <v>1313</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customHeight="1" thickBot="1">
      <c r="A564" s="458"/>
      <c r="B564" s="447" t="s">
        <v>1280</v>
      </c>
      <c r="C564" s="463"/>
      <c r="D564" s="449" t="s">
        <v>261</v>
      </c>
      <c r="E564" s="262"/>
      <c r="F564" s="447" t="s">
        <v>1273</v>
      </c>
      <c r="G564" s="387" t="e">
        <f>VLOOKUP(A564,'Feature Summary'!$A$7:$C$3944,3,FALSE)</f>
        <v>#N/A</v>
      </c>
      <c r="H564" s="447" t="s">
        <v>1314</v>
      </c>
      <c r="I564" s="447"/>
      <c r="J564" s="448" t="s">
        <v>1315</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customHeight="1" thickBot="1">
      <c r="A565" s="458"/>
      <c r="B565" s="463"/>
      <c r="C565" s="463"/>
      <c r="D565" s="449" t="s">
        <v>261</v>
      </c>
      <c r="E565" s="262"/>
      <c r="F565" s="447" t="s">
        <v>1273</v>
      </c>
      <c r="G565" s="387" t="e">
        <f>VLOOKUP(A565,'Feature Summary'!$A$7:$C$3944,3,FALSE)</f>
        <v>#N/A</v>
      </c>
      <c r="H565" s="447" t="s">
        <v>1316</v>
      </c>
      <c r="I565" s="447"/>
      <c r="J565" s="448" t="s">
        <v>1315</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customHeight="1" thickBot="1">
      <c r="A566" s="458"/>
      <c r="B566" s="447" t="s">
        <v>1280</v>
      </c>
      <c r="C566" s="463"/>
      <c r="D566" s="449" t="s">
        <v>261</v>
      </c>
      <c r="E566" s="262"/>
      <c r="F566" s="470" t="s">
        <v>1285</v>
      </c>
      <c r="G566" s="387" t="e">
        <f>VLOOKUP(A566,'Feature Summary'!$A$7:$C$3944,3,FALSE)</f>
        <v>#N/A</v>
      </c>
      <c r="H566" s="447" t="s">
        <v>1317</v>
      </c>
      <c r="I566" s="447"/>
      <c r="J566" s="478" t="s">
        <v>1318</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customHeight="1" thickBot="1">
      <c r="A567" s="458"/>
      <c r="B567" s="463"/>
      <c r="C567" s="463"/>
      <c r="D567" s="449" t="s">
        <v>261</v>
      </c>
      <c r="E567" s="262"/>
      <c r="F567" s="470" t="s">
        <v>1289</v>
      </c>
      <c r="G567" s="387" t="e">
        <f>VLOOKUP(A567,'Feature Summary'!$A$7:$C$3944,3,FALSE)</f>
        <v>#N/A</v>
      </c>
      <c r="H567" s="447" t="s">
        <v>1319</v>
      </c>
      <c r="I567" s="447"/>
      <c r="J567" s="478" t="s">
        <v>1320</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ht="15.75" thickBot="1">
      <c r="A568" s="458"/>
      <c r="B568" s="463"/>
      <c r="C568" s="463"/>
      <c r="D568" s="449" t="s">
        <v>261</v>
      </c>
      <c r="E568" s="262"/>
      <c r="F568" s="470" t="s">
        <v>1273</v>
      </c>
      <c r="G568" s="387" t="e">
        <f>VLOOKUP(A568,'Feature Summary'!$A$7:$C$3944,3,FALSE)</f>
        <v>#N/A</v>
      </c>
      <c r="H568" s="447" t="s">
        <v>1321</v>
      </c>
      <c r="I568" s="447"/>
      <c r="J568" s="482" t="s">
        <v>1322</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ht="15.75" thickBot="1">
      <c r="A569" s="458"/>
      <c r="B569" s="463"/>
      <c r="C569" s="463"/>
      <c r="D569" s="449" t="s">
        <v>261</v>
      </c>
      <c r="E569" s="262"/>
      <c r="F569" s="470" t="s">
        <v>1273</v>
      </c>
      <c r="G569" s="387" t="e">
        <f>VLOOKUP(A569,'Feature Summary'!$A$7:$C$3944,3,FALSE)</f>
        <v>#N/A</v>
      </c>
      <c r="H569" s="447" t="s">
        <v>1323</v>
      </c>
      <c r="I569" s="447"/>
      <c r="J569" s="482" t="s">
        <v>1322</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165.75" thickBot="1">
      <c r="A570" s="458"/>
      <c r="B570" s="447" t="s">
        <v>1280</v>
      </c>
      <c r="C570" s="463"/>
      <c r="D570" s="449" t="s">
        <v>261</v>
      </c>
      <c r="E570" s="262"/>
      <c r="F570" s="471" t="s">
        <v>1298</v>
      </c>
      <c r="G570" s="387" t="e">
        <f>VLOOKUP(A570,'Feature Summary'!$A$7:$C$3944,3,FALSE)</f>
        <v>#N/A</v>
      </c>
      <c r="H570" s="447" t="s">
        <v>1324</v>
      </c>
      <c r="I570" s="447"/>
      <c r="J570" s="478" t="s">
        <v>1325</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165.75" thickBot="1">
      <c r="A571" s="458"/>
      <c r="B571" s="447" t="s">
        <v>1280</v>
      </c>
      <c r="C571" s="463"/>
      <c r="D571" s="449" t="s">
        <v>261</v>
      </c>
      <c r="E571" s="262"/>
      <c r="F571" s="471" t="s">
        <v>1302</v>
      </c>
      <c r="G571" s="387" t="e">
        <f>VLOOKUP(A571,'Feature Summary'!$A$7:$C$3944,3,FALSE)</f>
        <v>#N/A</v>
      </c>
      <c r="H571" s="447" t="s">
        <v>1326</v>
      </c>
      <c r="I571" s="447"/>
      <c r="J571" s="478" t="s">
        <v>1325</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210.75" thickBot="1">
      <c r="A572" s="458"/>
      <c r="B572" s="447" t="s">
        <v>1280</v>
      </c>
      <c r="C572" s="463"/>
      <c r="D572" s="449" t="s">
        <v>261</v>
      </c>
      <c r="E572" s="262"/>
      <c r="F572" s="471" t="s">
        <v>1305</v>
      </c>
      <c r="G572" s="387" t="e">
        <f>VLOOKUP(A572,'Feature Summary'!$A$7:$C$3944,3,FALSE)</f>
        <v>#N/A</v>
      </c>
      <c r="H572" s="447" t="s">
        <v>1327</v>
      </c>
      <c r="I572" s="447"/>
      <c r="J572" s="478" t="s">
        <v>1328</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210.75" thickBot="1">
      <c r="A573" s="458"/>
      <c r="B573" s="447" t="s">
        <v>1280</v>
      </c>
      <c r="C573" s="463"/>
      <c r="D573" s="449" t="s">
        <v>261</v>
      </c>
      <c r="E573" s="262"/>
      <c r="F573" s="471" t="s">
        <v>1308</v>
      </c>
      <c r="G573" s="387" t="e">
        <f>VLOOKUP(A573,'Feature Summary'!$A$7:$C$3944,3,FALSE)</f>
        <v>#N/A</v>
      </c>
      <c r="H573" s="447" t="s">
        <v>1329</v>
      </c>
      <c r="I573" s="447"/>
      <c r="J573" s="478" t="s">
        <v>1330</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customHeight="1" thickBot="1">
      <c r="A574" s="458"/>
      <c r="B574" s="463"/>
      <c r="C574" s="463"/>
      <c r="D574" s="449" t="s">
        <v>261</v>
      </c>
      <c r="E574" s="262"/>
      <c r="F574" s="447" t="s">
        <v>1273</v>
      </c>
      <c r="G574" s="387" t="e">
        <f>VLOOKUP(A574,'Feature Summary'!$A$7:$C$3944,3,FALSE)</f>
        <v>#N/A</v>
      </c>
      <c r="H574" s="447" t="s">
        <v>1331</v>
      </c>
      <c r="I574" s="447"/>
      <c r="J574" s="448" t="s">
        <v>1311</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75.75" thickBot="1">
      <c r="A575" s="458"/>
      <c r="B575" s="463"/>
      <c r="C575" s="463"/>
      <c r="D575" s="449" t="s">
        <v>261</v>
      </c>
      <c r="E575" s="262"/>
      <c r="F575" s="447" t="s">
        <v>1273</v>
      </c>
      <c r="G575" s="387" t="e">
        <f>VLOOKUP(A575,'Feature Summary'!$A$7:$C$3944,3,FALSE)</f>
        <v>#N/A</v>
      </c>
      <c r="H575" s="447" t="s">
        <v>1332</v>
      </c>
      <c r="I575" s="447"/>
      <c r="J575" s="448" t="s">
        <v>1333</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105.75" thickBot="1">
      <c r="A576" s="458"/>
      <c r="B576" s="447" t="s">
        <v>1280</v>
      </c>
      <c r="C576" s="463"/>
      <c r="D576" s="449" t="s">
        <v>261</v>
      </c>
      <c r="E576" s="262"/>
      <c r="F576" s="447" t="s">
        <v>1273</v>
      </c>
      <c r="G576" s="387" t="e">
        <f>VLOOKUP(A576,'Feature Summary'!$A$7:$C$3944,3,FALSE)</f>
        <v>#N/A</v>
      </c>
      <c r="H576" s="447" t="s">
        <v>1334</v>
      </c>
      <c r="I576" s="447"/>
      <c r="J576" s="448" t="s">
        <v>1335</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105.75" thickBot="1">
      <c r="A577" s="458"/>
      <c r="B577" s="463"/>
      <c r="C577" s="463"/>
      <c r="D577" s="449" t="s">
        <v>261</v>
      </c>
      <c r="E577" s="262"/>
      <c r="F577" s="447" t="s">
        <v>1273</v>
      </c>
      <c r="G577" s="387" t="e">
        <f>VLOOKUP(A577,'Feature Summary'!$A$7:$C$3944,3,FALSE)</f>
        <v>#N/A</v>
      </c>
      <c r="H577" s="447" t="s">
        <v>1336</v>
      </c>
      <c r="I577" s="447"/>
      <c r="J577" s="448" t="s">
        <v>1337</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180.75" thickBot="1">
      <c r="A578" s="458"/>
      <c r="B578" s="447" t="s">
        <v>1280</v>
      </c>
      <c r="C578" s="463"/>
      <c r="D578" s="449" t="s">
        <v>261</v>
      </c>
      <c r="E578" s="262"/>
      <c r="F578" s="470" t="s">
        <v>1285</v>
      </c>
      <c r="G578" s="387" t="e">
        <f>VLOOKUP(A578,'Feature Summary'!$A$7:$C$3944,3,FALSE)</f>
        <v>#N/A</v>
      </c>
      <c r="H578" s="447" t="s">
        <v>1338</v>
      </c>
      <c r="I578" s="447"/>
      <c r="J578" s="478" t="s">
        <v>1339</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180.75" thickBot="1">
      <c r="A579" s="458"/>
      <c r="B579" s="463"/>
      <c r="C579" s="463"/>
      <c r="D579" s="449" t="s">
        <v>261</v>
      </c>
      <c r="E579" s="262"/>
      <c r="F579" s="470" t="s">
        <v>1289</v>
      </c>
      <c r="G579" s="387" t="e">
        <f>VLOOKUP(A579,'Feature Summary'!$A$7:$C$3944,3,FALSE)</f>
        <v>#N/A</v>
      </c>
      <c r="H579" s="447" t="s">
        <v>1340</v>
      </c>
      <c r="I579" s="447"/>
      <c r="J579" s="478" t="s">
        <v>1341</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ht="15.75" thickBot="1">
      <c r="A580" s="458"/>
      <c r="B580" s="463"/>
      <c r="C580" s="463"/>
      <c r="D580" s="449" t="s">
        <v>261</v>
      </c>
      <c r="E580" s="262"/>
      <c r="F580" s="470" t="s">
        <v>1273</v>
      </c>
      <c r="G580" s="387" t="e">
        <f>VLOOKUP(A580,'Feature Summary'!$A$7:$C$3944,3,FALSE)</f>
        <v>#N/A</v>
      </c>
      <c r="H580" s="447" t="s">
        <v>1342</v>
      </c>
      <c r="I580" s="447"/>
      <c r="J580" s="482" t="s">
        <v>1343</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ht="15.75" thickBot="1">
      <c r="A581" s="458"/>
      <c r="B581" s="463"/>
      <c r="C581" s="463"/>
      <c r="D581" s="449" t="s">
        <v>261</v>
      </c>
      <c r="E581" s="262"/>
      <c r="F581" s="470" t="s">
        <v>1273</v>
      </c>
      <c r="G581" s="387" t="e">
        <f>VLOOKUP(A581,'Feature Summary'!$A$7:$C$3944,3,FALSE)</f>
        <v>#N/A</v>
      </c>
      <c r="H581" s="447" t="s">
        <v>1344</v>
      </c>
      <c r="I581" s="447"/>
      <c r="J581" s="482" t="s">
        <v>1343</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135.75" thickBot="1">
      <c r="A582" s="458"/>
      <c r="B582" s="447" t="s">
        <v>1280</v>
      </c>
      <c r="C582" s="463"/>
      <c r="D582" s="449" t="s">
        <v>261</v>
      </c>
      <c r="E582" s="262"/>
      <c r="F582" s="471" t="s">
        <v>1298</v>
      </c>
      <c r="G582" s="387" t="e">
        <f>VLOOKUP(A582,'Feature Summary'!$A$7:$C$3944,3,FALSE)</f>
        <v>#N/A</v>
      </c>
      <c r="H582" s="447" t="s">
        <v>1345</v>
      </c>
      <c r="I582" s="447"/>
      <c r="J582" s="478" t="s">
        <v>1346</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135.75" thickBot="1">
      <c r="A583" s="458"/>
      <c r="B583" s="447" t="s">
        <v>1280</v>
      </c>
      <c r="C583" s="463"/>
      <c r="D583" s="449" t="s">
        <v>261</v>
      </c>
      <c r="E583" s="262"/>
      <c r="F583" s="471" t="s">
        <v>1302</v>
      </c>
      <c r="G583" s="387" t="e">
        <f>VLOOKUP(A583,'Feature Summary'!$A$7:$C$3944,3,FALSE)</f>
        <v>#N/A</v>
      </c>
      <c r="H583" s="447" t="s">
        <v>1347</v>
      </c>
      <c r="I583" s="447"/>
      <c r="J583" s="478" t="s">
        <v>1346</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180.75" thickBot="1">
      <c r="A584" s="458"/>
      <c r="B584" s="447" t="s">
        <v>1280</v>
      </c>
      <c r="C584" s="463"/>
      <c r="D584" s="449" t="s">
        <v>261</v>
      </c>
      <c r="E584" s="262"/>
      <c r="F584" s="471" t="s">
        <v>1305</v>
      </c>
      <c r="G584" s="387" t="e">
        <f>VLOOKUP(A584,'Feature Summary'!$A$7:$C$3944,3,FALSE)</f>
        <v>#N/A</v>
      </c>
      <c r="H584" s="447" t="s">
        <v>1348</v>
      </c>
      <c r="I584" s="447"/>
      <c r="J584" s="478" t="s">
        <v>1349</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180.75" thickBot="1">
      <c r="A585" s="458"/>
      <c r="B585" s="447" t="s">
        <v>1280</v>
      </c>
      <c r="C585" s="463"/>
      <c r="D585" s="449" t="s">
        <v>261</v>
      </c>
      <c r="E585" s="262"/>
      <c r="F585" s="471" t="s">
        <v>1308</v>
      </c>
      <c r="G585" s="387" t="e">
        <f>VLOOKUP(A585,'Feature Summary'!$A$7:$C$3944,3,FALSE)</f>
        <v>#N/A</v>
      </c>
      <c r="H585" s="447" t="s">
        <v>1350</v>
      </c>
      <c r="I585" s="447"/>
      <c r="J585" s="478" t="s">
        <v>1351</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60.75" thickBot="1">
      <c r="A586" s="458" t="s">
        <v>1245</v>
      </c>
      <c r="B586" s="447" t="s">
        <v>1246</v>
      </c>
      <c r="C586" s="463" t="s">
        <v>444</v>
      </c>
      <c r="D586" s="449" t="s">
        <v>261</v>
      </c>
      <c r="E586" s="262"/>
      <c r="F586" s="447" t="s">
        <v>1352</v>
      </c>
      <c r="G586" s="387" t="str">
        <f>VLOOKUP(A586,'Feature Summary'!$A$7:$C$3944,3,FALSE)</f>
        <v>P2</v>
      </c>
      <c r="H586" s="447" t="s">
        <v>1353</v>
      </c>
      <c r="I586" s="488" t="s">
        <v>264</v>
      </c>
      <c r="J586" s="448" t="s">
        <v>1354</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thickBot="1">
      <c r="A587" s="458" t="s">
        <v>1245</v>
      </c>
      <c r="B587" s="447" t="s">
        <v>1246</v>
      </c>
      <c r="C587" s="463" t="s">
        <v>444</v>
      </c>
      <c r="D587" s="449" t="s">
        <v>261</v>
      </c>
      <c r="E587" s="262"/>
      <c r="F587" s="447" t="s">
        <v>1355</v>
      </c>
      <c r="G587" s="387" t="str">
        <f>VLOOKUP(A587,'Feature Summary'!$A$7:$C$3944,3,FALSE)</f>
        <v>P2</v>
      </c>
      <c r="H587" s="447" t="s">
        <v>1356</v>
      </c>
      <c r="I587" s="488" t="s">
        <v>264</v>
      </c>
      <c r="J587" s="448" t="s">
        <v>1357</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60.75" thickBot="1">
      <c r="A588" s="458" t="s">
        <v>1245</v>
      </c>
      <c r="B588" s="447" t="s">
        <v>1246</v>
      </c>
      <c r="C588" s="463" t="s">
        <v>444</v>
      </c>
      <c r="D588" s="449" t="s">
        <v>261</v>
      </c>
      <c r="E588" s="262"/>
      <c r="F588" s="447" t="s">
        <v>1358</v>
      </c>
      <c r="G588" s="387" t="str">
        <f>VLOOKUP(A588,'Feature Summary'!$A$7:$C$3944,3,FALSE)</f>
        <v>P2</v>
      </c>
      <c r="H588" s="447" t="s">
        <v>1359</v>
      </c>
      <c r="I588" s="488" t="s">
        <v>264</v>
      </c>
      <c r="J588" s="448" t="s">
        <v>1360</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customHeight="1" thickBot="1">
      <c r="A589" s="458"/>
      <c r="B589" s="447" t="s">
        <v>1246</v>
      </c>
      <c r="C589" s="463"/>
      <c r="D589" s="449" t="s">
        <v>261</v>
      </c>
      <c r="E589" s="262"/>
      <c r="F589" s="447" t="s">
        <v>1352</v>
      </c>
      <c r="G589" s="387" t="e">
        <f>VLOOKUP(A589,'Feature Summary'!$A$7:$C$3944,3,FALSE)</f>
        <v>#N/A</v>
      </c>
      <c r="H589" s="447" t="s">
        <v>1361</v>
      </c>
      <c r="I589" s="447"/>
      <c r="J589" s="448" t="s">
        <v>1362</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45.75" thickBot="1">
      <c r="A590" s="458"/>
      <c r="B590" s="447" t="s">
        <v>1246</v>
      </c>
      <c r="C590" s="463"/>
      <c r="D590" s="449" t="s">
        <v>261</v>
      </c>
      <c r="E590" s="262"/>
      <c r="F590" s="447" t="s">
        <v>1355</v>
      </c>
      <c r="G590" s="387" t="e">
        <f>VLOOKUP(A590,'Feature Summary'!$A$7:$C$3944,3,FALSE)</f>
        <v>#N/A</v>
      </c>
      <c r="H590" s="447" t="s">
        <v>1363</v>
      </c>
      <c r="I590" s="447"/>
      <c r="J590" s="448" t="s">
        <v>1364</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75.75" thickBot="1">
      <c r="A591" s="458"/>
      <c r="B591" s="447" t="s">
        <v>1246</v>
      </c>
      <c r="C591" s="463"/>
      <c r="D591" s="449" t="s">
        <v>261</v>
      </c>
      <c r="E591" s="262"/>
      <c r="F591" s="447" t="s">
        <v>1358</v>
      </c>
      <c r="G591" s="387" t="e">
        <f>VLOOKUP(A591,'Feature Summary'!$A$7:$C$3944,3,FALSE)</f>
        <v>#N/A</v>
      </c>
      <c r="H591" s="447" t="s">
        <v>1365</v>
      </c>
      <c r="I591" s="447"/>
      <c r="J591" s="448" t="s">
        <v>1366</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60.75" thickBot="1">
      <c r="A592" s="458" t="s">
        <v>1257</v>
      </c>
      <c r="B592" s="447" t="s">
        <v>1258</v>
      </c>
      <c r="C592" s="463" t="s">
        <v>444</v>
      </c>
      <c r="D592" s="449" t="s">
        <v>261</v>
      </c>
      <c r="E592" s="262"/>
      <c r="F592" s="447" t="s">
        <v>1367</v>
      </c>
      <c r="G592" s="387" t="str">
        <f>VLOOKUP(A592,'Feature Summary'!$A$7:$C$3944,3,FALSE)</f>
        <v>P2</v>
      </c>
      <c r="H592" s="447" t="s">
        <v>1368</v>
      </c>
      <c r="I592" s="488" t="s">
        <v>264</v>
      </c>
      <c r="J592" s="448" t="s">
        <v>1369</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customHeight="1" thickBot="1">
      <c r="A593" s="458"/>
      <c r="B593" s="447" t="s">
        <v>1258</v>
      </c>
      <c r="C593" s="463"/>
      <c r="D593" s="449" t="s">
        <v>261</v>
      </c>
      <c r="E593" s="262"/>
      <c r="F593" s="447" t="s">
        <v>1367</v>
      </c>
      <c r="G593" s="387" t="e">
        <f>VLOOKUP(A593,'Feature Summary'!$A$7:$C$3944,3,FALSE)</f>
        <v>#N/A</v>
      </c>
      <c r="H593" s="447" t="s">
        <v>1370</v>
      </c>
      <c r="I593" s="447"/>
      <c r="J593" s="448" t="s">
        <v>1371</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120.75" thickBot="1">
      <c r="A594" s="474" t="s">
        <v>1372</v>
      </c>
      <c r="B594" s="447" t="s">
        <v>1280</v>
      </c>
      <c r="C594" s="580" t="s">
        <v>354</v>
      </c>
      <c r="D594" s="449" t="s">
        <v>261</v>
      </c>
      <c r="E594" s="262"/>
      <c r="F594" s="447" t="s">
        <v>1373</v>
      </c>
      <c r="G594" s="387" t="str">
        <f>VLOOKUP(A594,'Feature Summary'!$A$7:$C$3944,3,FALSE)</f>
        <v>P2</v>
      </c>
      <c r="H594" s="447" t="s">
        <v>1374</v>
      </c>
      <c r="I594" s="488" t="s">
        <v>264</v>
      </c>
      <c r="J594" s="478" t="s">
        <v>1375</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120.75" thickBot="1">
      <c r="A595" s="474" t="s">
        <v>1376</v>
      </c>
      <c r="B595" s="447" t="s">
        <v>1280</v>
      </c>
      <c r="C595" s="580" t="s">
        <v>354</v>
      </c>
      <c r="D595" s="449" t="s">
        <v>261</v>
      </c>
      <c r="E595" s="262"/>
      <c r="F595" s="447" t="s">
        <v>1377</v>
      </c>
      <c r="G595" s="387" t="e">
        <f>VLOOKUP(A595,'Feature Summary'!$A$7:$C$3944,3,FALSE)</f>
        <v>#N/A</v>
      </c>
      <c r="H595" s="447" t="s">
        <v>1378</v>
      </c>
      <c r="I595" s="488" t="s">
        <v>264</v>
      </c>
      <c r="J595" s="478" t="s">
        <v>1379</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120.75" thickBot="1">
      <c r="A596" s="474" t="s">
        <v>1376</v>
      </c>
      <c r="B596" s="447" t="s">
        <v>1280</v>
      </c>
      <c r="C596" s="580" t="s">
        <v>354</v>
      </c>
      <c r="D596" s="449" t="s">
        <v>261</v>
      </c>
      <c r="E596" s="262"/>
      <c r="F596" s="447" t="s">
        <v>1380</v>
      </c>
      <c r="G596" s="387" t="e">
        <f>VLOOKUP(A596,'Feature Summary'!$A$7:$C$3944,3,FALSE)</f>
        <v>#N/A</v>
      </c>
      <c r="H596" s="447" t="s">
        <v>1381</v>
      </c>
      <c r="I596" s="488" t="s">
        <v>264</v>
      </c>
      <c r="J596" s="478" t="s">
        <v>1382</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120.75" thickBot="1">
      <c r="A597" s="474" t="s">
        <v>1376</v>
      </c>
      <c r="B597" s="447" t="s">
        <v>1280</v>
      </c>
      <c r="C597" s="580" t="s">
        <v>354</v>
      </c>
      <c r="D597" s="449" t="s">
        <v>261</v>
      </c>
      <c r="E597" s="262"/>
      <c r="F597" s="447" t="s">
        <v>1383</v>
      </c>
      <c r="G597" s="387" t="e">
        <f>VLOOKUP(A597,'Feature Summary'!$A$7:$C$3944,3,FALSE)</f>
        <v>#N/A</v>
      </c>
      <c r="H597" s="447" t="s">
        <v>1384</v>
      </c>
      <c r="I597" s="488" t="s">
        <v>264</v>
      </c>
      <c r="J597" s="478" t="s">
        <v>1385</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customHeight="1" thickBot="1">
      <c r="A598" s="474"/>
      <c r="B598" s="447" t="s">
        <v>1280</v>
      </c>
      <c r="C598" s="580"/>
      <c r="D598" s="449" t="s">
        <v>261</v>
      </c>
      <c r="E598" s="262"/>
      <c r="F598" s="447" t="s">
        <v>1373</v>
      </c>
      <c r="G598" s="387" t="e">
        <f>VLOOKUP(A598,'Feature Summary'!$A$7:$C$3944,3,FALSE)</f>
        <v>#N/A</v>
      </c>
      <c r="H598" s="447" t="s">
        <v>1386</v>
      </c>
      <c r="I598" s="447"/>
      <c r="J598" s="478" t="s">
        <v>1387</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165.75" thickBot="1">
      <c r="A599" s="474"/>
      <c r="B599" s="447" t="s">
        <v>1280</v>
      </c>
      <c r="C599" s="580"/>
      <c r="D599" s="449" t="s">
        <v>261</v>
      </c>
      <c r="E599" s="262"/>
      <c r="F599" s="447" t="s">
        <v>1377</v>
      </c>
      <c r="G599" s="387" t="e">
        <f>VLOOKUP(A599,'Feature Summary'!$A$7:$C$3944,3,FALSE)</f>
        <v>#N/A</v>
      </c>
      <c r="H599" s="447" t="s">
        <v>1388</v>
      </c>
      <c r="I599" s="447"/>
      <c r="J599" s="478" t="s">
        <v>1389</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165.75" thickBot="1">
      <c r="A600" s="474"/>
      <c r="B600" s="447" t="s">
        <v>1280</v>
      </c>
      <c r="C600" s="580"/>
      <c r="D600" s="449" t="s">
        <v>261</v>
      </c>
      <c r="E600" s="262"/>
      <c r="F600" s="447" t="s">
        <v>1380</v>
      </c>
      <c r="G600" s="387" t="e">
        <f>VLOOKUP(A600,'Feature Summary'!$A$7:$C$3944,3,FALSE)</f>
        <v>#N/A</v>
      </c>
      <c r="H600" s="447" t="s">
        <v>1390</v>
      </c>
      <c r="I600" s="447"/>
      <c r="J600" s="478" t="s">
        <v>1391</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165.75" thickBot="1">
      <c r="A601" s="474"/>
      <c r="B601" s="447" t="s">
        <v>1280</v>
      </c>
      <c r="C601" s="580"/>
      <c r="D601" s="449" t="s">
        <v>261</v>
      </c>
      <c r="E601" s="262"/>
      <c r="F601" s="447" t="s">
        <v>1383</v>
      </c>
      <c r="G601" s="387" t="e">
        <f>VLOOKUP(A601,'Feature Summary'!$A$7:$C$3944,3,FALSE)</f>
        <v>#N/A</v>
      </c>
      <c r="H601" s="447" t="s">
        <v>1392</v>
      </c>
      <c r="I601" s="447"/>
      <c r="J601" s="478" t="s">
        <v>1393</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135.75" thickBot="1">
      <c r="A602" s="474"/>
      <c r="B602" s="447" t="s">
        <v>1280</v>
      </c>
      <c r="C602" s="580"/>
      <c r="D602" s="449" t="s">
        <v>261</v>
      </c>
      <c r="E602" s="262"/>
      <c r="F602" s="447" t="s">
        <v>1373</v>
      </c>
      <c r="G602" s="387" t="e">
        <f>VLOOKUP(A602,'Feature Summary'!$A$7:$C$3944,3,FALSE)</f>
        <v>#N/A</v>
      </c>
      <c r="H602" s="447" t="s">
        <v>1394</v>
      </c>
      <c r="I602" s="447"/>
      <c r="J602" s="478" t="s">
        <v>1395</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135.75" thickBot="1">
      <c r="A603" s="474"/>
      <c r="B603" s="447" t="s">
        <v>1280</v>
      </c>
      <c r="C603" s="580"/>
      <c r="D603" s="449" t="s">
        <v>261</v>
      </c>
      <c r="E603" s="262"/>
      <c r="F603" s="447" t="s">
        <v>1377</v>
      </c>
      <c r="G603" s="387" t="e">
        <f>VLOOKUP(A603,'Feature Summary'!$A$7:$C$3944,3,FALSE)</f>
        <v>#N/A</v>
      </c>
      <c r="H603" s="447" t="s">
        <v>1396</v>
      </c>
      <c r="I603" s="447"/>
      <c r="J603" s="478" t="s">
        <v>1397</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135.75" thickBot="1">
      <c r="A604" s="474"/>
      <c r="B604" s="447" t="s">
        <v>1280</v>
      </c>
      <c r="C604" s="580"/>
      <c r="D604" s="449" t="s">
        <v>261</v>
      </c>
      <c r="E604" s="262"/>
      <c r="F604" s="447" t="s">
        <v>1380</v>
      </c>
      <c r="G604" s="387" t="e">
        <f>VLOOKUP(A604,'Feature Summary'!$A$7:$C$3944,3,FALSE)</f>
        <v>#N/A</v>
      </c>
      <c r="H604" s="447" t="s">
        <v>1398</v>
      </c>
      <c r="I604" s="447"/>
      <c r="J604" s="478" t="s">
        <v>1399</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135.75" thickBot="1">
      <c r="A605" s="474"/>
      <c r="B605" s="447" t="s">
        <v>1280</v>
      </c>
      <c r="C605" s="580"/>
      <c r="D605" s="449" t="s">
        <v>261</v>
      </c>
      <c r="E605" s="262"/>
      <c r="F605" s="447" t="s">
        <v>1383</v>
      </c>
      <c r="G605" s="387" t="e">
        <f>VLOOKUP(A605,'Feature Summary'!$A$7:$C$3944,3,FALSE)</f>
        <v>#N/A</v>
      </c>
      <c r="H605" s="447" t="s">
        <v>1400</v>
      </c>
      <c r="I605" s="447"/>
      <c r="J605" s="478" t="s">
        <v>1401</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75.75" thickBot="1">
      <c r="A606" s="458"/>
      <c r="B606" s="463" t="s">
        <v>1402</v>
      </c>
      <c r="C606" s="463" t="s">
        <v>444</v>
      </c>
      <c r="D606" s="449" t="s">
        <v>261</v>
      </c>
      <c r="E606" s="262"/>
      <c r="F606" s="447" t="s">
        <v>1403</v>
      </c>
      <c r="G606" s="387" t="e">
        <f>VLOOKUP(A606,'Feature Summary'!$A$7:$C$3944,3,FALSE)</f>
        <v>#N/A</v>
      </c>
      <c r="H606" s="447" t="s">
        <v>1404</v>
      </c>
      <c r="I606" s="488" t="s">
        <v>264</v>
      </c>
      <c r="J606" s="448" t="s">
        <v>1012</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105.75" thickBot="1">
      <c r="A607" s="458"/>
      <c r="B607" s="463" t="s">
        <v>1402</v>
      </c>
      <c r="C607" s="463" t="s">
        <v>444</v>
      </c>
      <c r="D607" s="449" t="s">
        <v>261</v>
      </c>
      <c r="E607" s="262"/>
      <c r="F607" s="447" t="s">
        <v>1403</v>
      </c>
      <c r="G607" s="387" t="e">
        <f>VLOOKUP(A607,'Feature Summary'!$A$7:$C$3944,3,FALSE)</f>
        <v>#N/A</v>
      </c>
      <c r="H607" s="447" t="s">
        <v>1405</v>
      </c>
      <c r="I607" s="488" t="s">
        <v>264</v>
      </c>
      <c r="J607" s="448" t="s">
        <v>1014</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90.75" thickBot="1">
      <c r="A608" s="458"/>
      <c r="B608" s="463" t="s">
        <v>1402</v>
      </c>
      <c r="C608" s="463" t="s">
        <v>444</v>
      </c>
      <c r="D608" s="449" t="s">
        <v>261</v>
      </c>
      <c r="E608" s="262"/>
      <c r="F608" s="447" t="s">
        <v>1403</v>
      </c>
      <c r="G608" s="387" t="e">
        <f>VLOOKUP(A608,'Feature Summary'!$A$7:$C$3944,3,FALSE)</f>
        <v>#N/A</v>
      </c>
      <c r="H608" s="447" t="s">
        <v>1406</v>
      </c>
      <c r="I608" s="488" t="s">
        <v>264</v>
      </c>
      <c r="J608" s="448" t="s">
        <v>1016</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90.75" thickBot="1">
      <c r="A609" s="458"/>
      <c r="B609" s="463" t="s">
        <v>1402</v>
      </c>
      <c r="C609" s="463" t="s">
        <v>444</v>
      </c>
      <c r="D609" s="449" t="s">
        <v>261</v>
      </c>
      <c r="E609" s="262"/>
      <c r="F609" s="447" t="s">
        <v>1403</v>
      </c>
      <c r="G609" s="387" t="e">
        <f>VLOOKUP(A609,'Feature Summary'!$A$7:$C$3944,3,FALSE)</f>
        <v>#N/A</v>
      </c>
      <c r="H609" s="447" t="s">
        <v>1407</v>
      </c>
      <c r="I609" s="488" t="s">
        <v>264</v>
      </c>
      <c r="J609" s="448" t="s">
        <v>1016</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75.75" thickBot="1">
      <c r="A610" s="458"/>
      <c r="B610" s="463" t="s">
        <v>1402</v>
      </c>
      <c r="C610" s="463" t="s">
        <v>444</v>
      </c>
      <c r="D610" s="449" t="s">
        <v>261</v>
      </c>
      <c r="E610" s="262"/>
      <c r="F610" s="447" t="s">
        <v>1403</v>
      </c>
      <c r="G610" s="387" t="e">
        <f>VLOOKUP(A610,'Feature Summary'!$A$7:$C$3944,3,FALSE)</f>
        <v>#N/A</v>
      </c>
      <c r="H610" s="447" t="s">
        <v>1408</v>
      </c>
      <c r="I610" s="488" t="s">
        <v>264</v>
      </c>
      <c r="J610" s="448" t="s">
        <v>1012</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105.75" thickBot="1">
      <c r="A611" s="458"/>
      <c r="B611" s="463" t="s">
        <v>1402</v>
      </c>
      <c r="C611" s="463" t="s">
        <v>444</v>
      </c>
      <c r="D611" s="449" t="s">
        <v>261</v>
      </c>
      <c r="E611" s="262"/>
      <c r="F611" s="447" t="s">
        <v>1403</v>
      </c>
      <c r="G611" s="387" t="e">
        <f>VLOOKUP(A611,'Feature Summary'!$A$7:$C$3944,3,FALSE)</f>
        <v>#N/A</v>
      </c>
      <c r="H611" s="447" t="s">
        <v>1409</v>
      </c>
      <c r="I611" s="488" t="s">
        <v>264</v>
      </c>
      <c r="J611" s="448" t="s">
        <v>1014</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75.75" thickBot="1">
      <c r="A612" s="458"/>
      <c r="B612" s="463" t="s">
        <v>1402</v>
      </c>
      <c r="C612" s="463" t="s">
        <v>444</v>
      </c>
      <c r="D612" s="449" t="s">
        <v>261</v>
      </c>
      <c r="E612" s="262"/>
      <c r="F612" s="447" t="s">
        <v>1403</v>
      </c>
      <c r="G612" s="387" t="e">
        <f>VLOOKUP(A612,'Feature Summary'!$A$7:$C$3944,3,FALSE)</f>
        <v>#N/A</v>
      </c>
      <c r="H612" s="447" t="s">
        <v>1410</v>
      </c>
      <c r="I612" s="488" t="s">
        <v>264</v>
      </c>
      <c r="J612" s="448" t="s">
        <v>1022</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105.75" thickBot="1">
      <c r="A613" s="458"/>
      <c r="B613" s="463" t="s">
        <v>1402</v>
      </c>
      <c r="C613" s="463" t="s">
        <v>444</v>
      </c>
      <c r="D613" s="449" t="s">
        <v>261</v>
      </c>
      <c r="E613" s="262"/>
      <c r="F613" s="447" t="s">
        <v>1403</v>
      </c>
      <c r="G613" s="387" t="e">
        <f>VLOOKUP(A613,'Feature Summary'!$A$7:$C$3944,3,FALSE)</f>
        <v>#N/A</v>
      </c>
      <c r="H613" s="447" t="s">
        <v>1411</v>
      </c>
      <c r="I613" s="488" t="s">
        <v>264</v>
      </c>
      <c r="J613" s="448" t="s">
        <v>1412</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60.75" thickBot="1">
      <c r="A614" s="458"/>
      <c r="B614" s="463"/>
      <c r="C614" s="463"/>
      <c r="D614" s="449" t="s">
        <v>261</v>
      </c>
      <c r="E614" s="262"/>
      <c r="F614" s="447" t="s">
        <v>1413</v>
      </c>
      <c r="G614" s="387" t="e">
        <f>VLOOKUP(A614,'Feature Summary'!$A$7:$C$3944,3,FALSE)</f>
        <v>#N/A</v>
      </c>
      <c r="H614" s="447" t="s">
        <v>1414</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60.75" thickBot="1">
      <c r="A615" s="458"/>
      <c r="B615" s="463"/>
      <c r="C615" s="463"/>
      <c r="D615" s="449" t="s">
        <v>261</v>
      </c>
      <c r="E615" s="262"/>
      <c r="F615" s="447" t="s">
        <v>1415</v>
      </c>
      <c r="G615" s="387" t="e">
        <f>VLOOKUP(A615,'Feature Summary'!$A$7:$C$3944,3,FALSE)</f>
        <v>#N/A</v>
      </c>
      <c r="H615" s="447" t="s">
        <v>1416</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60.75" thickBot="1">
      <c r="A616" s="458"/>
      <c r="B616" s="463"/>
      <c r="C616" s="463"/>
      <c r="D616" s="449" t="s">
        <v>261</v>
      </c>
      <c r="E616" s="262"/>
      <c r="F616" s="447" t="s">
        <v>1413</v>
      </c>
      <c r="G616" s="387" t="e">
        <f>VLOOKUP(A616,'Feature Summary'!$A$7:$C$3944,3,FALSE)</f>
        <v>#N/A</v>
      </c>
      <c r="H616" s="447" t="s">
        <v>1417</v>
      </c>
      <c r="I616" s="447"/>
      <c r="J616" s="448" t="s">
        <v>1418</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75" thickBot="1">
      <c r="A617" s="458"/>
      <c r="B617" s="463"/>
      <c r="C617" s="463"/>
      <c r="D617" s="449" t="s">
        <v>261</v>
      </c>
      <c r="E617" s="262"/>
      <c r="F617" s="447" t="s">
        <v>1413</v>
      </c>
      <c r="G617" s="387" t="e">
        <f>VLOOKUP(A617,'Feature Summary'!$A$7:$C$3944,3,FALSE)</f>
        <v>#N/A</v>
      </c>
      <c r="H617" s="447" t="s">
        <v>1419</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75" thickBot="1">
      <c r="A618" s="458"/>
      <c r="B618" s="463"/>
      <c r="C618" s="463"/>
      <c r="D618" s="449" t="s">
        <v>261</v>
      </c>
      <c r="E618" s="262"/>
      <c r="F618" s="447" t="s">
        <v>1415</v>
      </c>
      <c r="G618" s="387" t="e">
        <f>VLOOKUP(A618,'Feature Summary'!$A$7:$C$3944,3,FALSE)</f>
        <v>#N/A</v>
      </c>
      <c r="H618" s="447" t="s">
        <v>1420</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thickBot="1">
      <c r="A619" s="458"/>
      <c r="B619" s="463"/>
      <c r="C619" s="463" t="s">
        <v>444</v>
      </c>
      <c r="D619" s="449" t="s">
        <v>261</v>
      </c>
      <c r="E619" s="262"/>
      <c r="F619" s="447" t="s">
        <v>1421</v>
      </c>
      <c r="G619" s="387" t="e">
        <f>VLOOKUP(A619,'Feature Summary'!$A$7:$C$3944,3,FALSE)</f>
        <v>#N/A</v>
      </c>
      <c r="H619" s="447" t="s">
        <v>1422</v>
      </c>
      <c r="I619" s="488" t="s">
        <v>264</v>
      </c>
      <c r="J619" s="448" t="s">
        <v>1225</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thickBot="1">
      <c r="A620" s="458"/>
      <c r="B620" s="463"/>
      <c r="C620" s="463" t="s">
        <v>444</v>
      </c>
      <c r="D620" s="449" t="s">
        <v>261</v>
      </c>
      <c r="E620" s="262"/>
      <c r="F620" s="447" t="s">
        <v>1423</v>
      </c>
      <c r="G620" s="387" t="e">
        <f>VLOOKUP(A620,'Feature Summary'!$A$7:$C$3944,3,FALSE)</f>
        <v>#N/A</v>
      </c>
      <c r="H620" s="447" t="s">
        <v>1424</v>
      </c>
      <c r="I620" s="488" t="s">
        <v>264</v>
      </c>
      <c r="J620" s="448" t="s">
        <v>1225</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75" thickBot="1">
      <c r="A621" s="458"/>
      <c r="B621" s="463"/>
      <c r="C621" s="463"/>
      <c r="D621" s="449" t="s">
        <v>261</v>
      </c>
      <c r="E621" s="262"/>
      <c r="F621" s="447" t="s">
        <v>1421</v>
      </c>
      <c r="G621" s="387" t="e">
        <f>VLOOKUP(A621,'Feature Summary'!$A$7:$C$3944,3,FALSE)</f>
        <v>#N/A</v>
      </c>
      <c r="H621" s="447" t="s">
        <v>1425</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75" thickBot="1">
      <c r="A622" s="458"/>
      <c r="B622" s="463"/>
      <c r="C622" s="463"/>
      <c r="D622" s="449" t="s">
        <v>261</v>
      </c>
      <c r="E622" s="262"/>
      <c r="F622" s="447" t="s">
        <v>1423</v>
      </c>
      <c r="G622" s="387" t="e">
        <f>VLOOKUP(A622,'Feature Summary'!$A$7:$C$3944,3,FALSE)</f>
        <v>#N/A</v>
      </c>
      <c r="H622" s="447" t="s">
        <v>1426</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75" thickBot="1">
      <c r="A623" s="458"/>
      <c r="B623" s="463"/>
      <c r="C623" s="463"/>
      <c r="D623" s="449" t="s">
        <v>261</v>
      </c>
      <c r="E623" s="262"/>
      <c r="F623" s="447" t="s">
        <v>1421</v>
      </c>
      <c r="G623" s="387" t="e">
        <f>VLOOKUP(A623,'Feature Summary'!$A$7:$C$3944,3,FALSE)</f>
        <v>#N/A</v>
      </c>
      <c r="H623" s="447" t="s">
        <v>1427</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75" thickBot="1">
      <c r="A624" s="458"/>
      <c r="B624" s="463"/>
      <c r="C624" s="463"/>
      <c r="D624" s="449" t="s">
        <v>261</v>
      </c>
      <c r="E624" s="262"/>
      <c r="F624" s="447" t="s">
        <v>1423</v>
      </c>
      <c r="G624" s="387" t="e">
        <f>VLOOKUP(A624,'Feature Summary'!$A$7:$C$3944,3,FALSE)</f>
        <v>#N/A</v>
      </c>
      <c r="H624" s="447" t="s">
        <v>1428</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thickBot="1">
      <c r="A625" s="458"/>
      <c r="B625" s="463"/>
      <c r="C625" s="463" t="s">
        <v>444</v>
      </c>
      <c r="D625" s="449" t="s">
        <v>261</v>
      </c>
      <c r="E625" s="262"/>
      <c r="F625" s="447" t="s">
        <v>1429</v>
      </c>
      <c r="G625" s="387" t="e">
        <f>VLOOKUP(A625,'Feature Summary'!$A$7:$C$3944,3,FALSE)</f>
        <v>#N/A</v>
      </c>
      <c r="H625" s="447" t="s">
        <v>1430</v>
      </c>
      <c r="I625" s="488" t="s">
        <v>264</v>
      </c>
      <c r="J625" s="448" t="s">
        <v>1225</v>
      </c>
      <c r="K625" s="263">
        <v>1</v>
      </c>
      <c r="L625" s="391">
        <v>8</v>
      </c>
      <c r="M625" s="399" t="s">
        <v>33</v>
      </c>
      <c r="N625" s="475">
        <v>1</v>
      </c>
      <c r="O625" s="391">
        <v>8</v>
      </c>
      <c r="P625" s="496">
        <f t="shared" si="102"/>
        <v>1</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75.75" thickBot="1">
      <c r="A626" s="458"/>
      <c r="B626" s="463"/>
      <c r="C626" s="463"/>
      <c r="D626" s="449" t="s">
        <v>261</v>
      </c>
      <c r="E626" s="262"/>
      <c r="F626" s="447" t="s">
        <v>1429</v>
      </c>
      <c r="G626" s="387" t="e">
        <f>VLOOKUP(A626,'Feature Summary'!$A$7:$C$3944,3,FALSE)</f>
        <v>#N/A</v>
      </c>
      <c r="H626" s="447" t="s">
        <v>1431</v>
      </c>
      <c r="I626" s="447"/>
      <c r="J626" s="448" t="s">
        <v>1227</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75.75" thickBot="1">
      <c r="A627" s="458"/>
      <c r="B627" s="463"/>
      <c r="C627" s="463"/>
      <c r="D627" s="449" t="s">
        <v>261</v>
      </c>
      <c r="E627" s="262"/>
      <c r="F627" s="447" t="s">
        <v>1429</v>
      </c>
      <c r="G627" s="387" t="e">
        <f>VLOOKUP(A627,'Feature Summary'!$A$7:$C$3944,3,FALSE)</f>
        <v>#N/A</v>
      </c>
      <c r="H627" s="447" t="s">
        <v>1432</v>
      </c>
      <c r="I627" s="447"/>
      <c r="J627" s="448" t="s">
        <v>1433</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75" thickBot="1">
      <c r="A628" s="458"/>
      <c r="B628" s="463"/>
      <c r="C628" s="463"/>
      <c r="D628" s="449" t="s">
        <v>261</v>
      </c>
      <c r="E628" s="262"/>
      <c r="F628" s="447" t="s">
        <v>1429</v>
      </c>
      <c r="G628" s="387" t="e">
        <f>VLOOKUP(A628,'Feature Summary'!$A$7:$C$3944,3,FALSE)</f>
        <v>#N/A</v>
      </c>
      <c r="H628" s="447" t="s">
        <v>1434</v>
      </c>
      <c r="I628" s="447"/>
      <c r="J628" s="448" t="s">
        <v>1229</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thickBot="1">
      <c r="A629" s="458"/>
      <c r="B629" s="463"/>
      <c r="C629" s="463" t="s">
        <v>444</v>
      </c>
      <c r="D629" s="449" t="s">
        <v>261</v>
      </c>
      <c r="E629" s="262"/>
      <c r="F629" s="447" t="s">
        <v>1435</v>
      </c>
      <c r="G629" s="387" t="e">
        <f>VLOOKUP(A629,'Feature Summary'!$A$7:$C$3944,3,FALSE)</f>
        <v>#N/A</v>
      </c>
      <c r="H629" s="447" t="s">
        <v>1436</v>
      </c>
      <c r="I629" s="488" t="s">
        <v>264</v>
      </c>
      <c r="J629" s="448" t="s">
        <v>1225</v>
      </c>
      <c r="K629" s="263">
        <v>1</v>
      </c>
      <c r="L629" s="391">
        <v>8</v>
      </c>
      <c r="M629" s="399" t="s">
        <v>33</v>
      </c>
      <c r="N629" s="475">
        <v>1</v>
      </c>
      <c r="O629" s="391">
        <v>8</v>
      </c>
      <c r="P629" s="496">
        <f t="shared" si="102"/>
        <v>1</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customHeight="1" thickBot="1">
      <c r="A630" s="458"/>
      <c r="B630" s="463"/>
      <c r="C630" s="463"/>
      <c r="D630" s="449" t="s">
        <v>261</v>
      </c>
      <c r="E630" s="262"/>
      <c r="F630" s="447" t="s">
        <v>1435</v>
      </c>
      <c r="G630" s="387" t="e">
        <f>VLOOKUP(A630,'Feature Summary'!$A$7:$C$3944,3,FALSE)</f>
        <v>#N/A</v>
      </c>
      <c r="H630" s="447" t="s">
        <v>1437</v>
      </c>
      <c r="I630" s="447"/>
      <c r="J630" s="448" t="s">
        <v>1227</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45.75" thickBot="1">
      <c r="A631" s="458"/>
      <c r="B631" s="463"/>
      <c r="C631" s="463"/>
      <c r="D631" s="449" t="s">
        <v>261</v>
      </c>
      <c r="E631" s="262"/>
      <c r="F631" s="447" t="s">
        <v>1435</v>
      </c>
      <c r="G631" s="387" t="e">
        <f>VLOOKUP(A631,'Feature Summary'!$A$7:$C$3944,3,FALSE)</f>
        <v>#N/A</v>
      </c>
      <c r="H631" s="447" t="s">
        <v>1438</v>
      </c>
      <c r="I631" s="447"/>
      <c r="J631" s="448" t="s">
        <v>1229</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30.75" thickBot="1">
      <c r="A632" s="458" t="s">
        <v>1439</v>
      </c>
      <c r="B632" s="463" t="s">
        <v>1440</v>
      </c>
      <c r="C632" s="463" t="s">
        <v>444</v>
      </c>
      <c r="D632" s="449" t="s">
        <v>261</v>
      </c>
      <c r="E632" s="262"/>
      <c r="F632" s="447" t="s">
        <v>1441</v>
      </c>
      <c r="G632" s="387" t="e">
        <f>VLOOKUP(A632,'Feature Summary'!$A$7:$C$3944,3,FALSE)</f>
        <v>#N/A</v>
      </c>
      <c r="H632" s="447" t="s">
        <v>1442</v>
      </c>
      <c r="I632" s="488" t="s">
        <v>264</v>
      </c>
      <c r="J632" s="448" t="s">
        <v>1443</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75.75" thickBot="1">
      <c r="A633" s="458" t="s">
        <v>1444</v>
      </c>
      <c r="B633" s="463" t="s">
        <v>1440</v>
      </c>
      <c r="C633" s="463" t="s">
        <v>444</v>
      </c>
      <c r="D633" s="449" t="s">
        <v>261</v>
      </c>
      <c r="E633" s="262"/>
      <c r="F633" s="447" t="s">
        <v>1445</v>
      </c>
      <c r="G633" s="387" t="e">
        <f>VLOOKUP(A633,'Feature Summary'!$A$7:$C$3944,3,FALSE)</f>
        <v>#N/A</v>
      </c>
      <c r="H633" s="447" t="s">
        <v>1446</v>
      </c>
      <c r="I633" s="488" t="s">
        <v>264</v>
      </c>
      <c r="J633" s="448" t="s">
        <v>1447</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30.75" thickBot="1">
      <c r="A634" s="458" t="s">
        <v>1444</v>
      </c>
      <c r="B634" s="463" t="s">
        <v>1440</v>
      </c>
      <c r="C634" s="463" t="s">
        <v>444</v>
      </c>
      <c r="D634" s="449" t="s">
        <v>261</v>
      </c>
      <c r="E634" s="262"/>
      <c r="F634" s="447" t="s">
        <v>1448</v>
      </c>
      <c r="G634" s="387" t="e">
        <f>VLOOKUP(A634,'Feature Summary'!$A$7:$C$3944,3,FALSE)</f>
        <v>#N/A</v>
      </c>
      <c r="H634" s="447" t="s">
        <v>1449</v>
      </c>
      <c r="I634" s="488" t="s">
        <v>264</v>
      </c>
      <c r="J634" s="448" t="s">
        <v>1443</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60.75" thickBot="1">
      <c r="A635" s="458" t="s">
        <v>1444</v>
      </c>
      <c r="B635" s="463" t="s">
        <v>1440</v>
      </c>
      <c r="C635" s="463" t="s">
        <v>444</v>
      </c>
      <c r="D635" s="449" t="s">
        <v>261</v>
      </c>
      <c r="E635" s="262"/>
      <c r="F635" s="447" t="s">
        <v>1450</v>
      </c>
      <c r="G635" s="387" t="e">
        <f>VLOOKUP(A635,'Feature Summary'!$A$7:$C$3944,3,FALSE)</f>
        <v>#N/A</v>
      </c>
      <c r="H635" s="447" t="s">
        <v>1451</v>
      </c>
      <c r="I635" s="488" t="s">
        <v>264</v>
      </c>
      <c r="J635" s="448" t="s">
        <v>1452</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30.75" thickBot="1">
      <c r="A636" s="458" t="s">
        <v>1444</v>
      </c>
      <c r="B636" s="463" t="s">
        <v>1440</v>
      </c>
      <c r="C636" s="463" t="s">
        <v>444</v>
      </c>
      <c r="D636" s="449" t="s">
        <v>261</v>
      </c>
      <c r="E636" s="262"/>
      <c r="F636" s="447" t="s">
        <v>1453</v>
      </c>
      <c r="G636" s="387" t="e">
        <f>VLOOKUP(A636,'Feature Summary'!$A$7:$C$3944,3,FALSE)</f>
        <v>#N/A</v>
      </c>
      <c r="H636" s="447" t="s">
        <v>1454</v>
      </c>
      <c r="I636" s="488" t="s">
        <v>264</v>
      </c>
      <c r="J636" s="448" t="s">
        <v>1443</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60.75" thickBot="1">
      <c r="A637" s="458" t="s">
        <v>1455</v>
      </c>
      <c r="B637" s="463" t="s">
        <v>1440</v>
      </c>
      <c r="C637" s="463" t="s">
        <v>444</v>
      </c>
      <c r="D637" s="449" t="s">
        <v>261</v>
      </c>
      <c r="E637" s="262"/>
      <c r="F637" s="447" t="s">
        <v>1456</v>
      </c>
      <c r="G637" s="387" t="e">
        <f>VLOOKUP(A637,'Feature Summary'!$A$7:$C$3944,3,FALSE)</f>
        <v>#N/A</v>
      </c>
      <c r="H637" s="447" t="s">
        <v>1457</v>
      </c>
      <c r="I637" s="488" t="s">
        <v>264</v>
      </c>
      <c r="J637" s="448" t="s">
        <v>1458</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customHeight="1" thickBot="1">
      <c r="A638" s="458"/>
      <c r="B638" s="463" t="s">
        <v>1440</v>
      </c>
      <c r="C638" s="463"/>
      <c r="D638" s="449" t="s">
        <v>261</v>
      </c>
      <c r="E638" s="262"/>
      <c r="F638" s="447" t="s">
        <v>1441</v>
      </c>
      <c r="G638" s="387" t="e">
        <f>VLOOKUP(A638,'Feature Summary'!$A$7:$C$3944,3,FALSE)</f>
        <v>#N/A</v>
      </c>
      <c r="H638" s="447" t="s">
        <v>1459</v>
      </c>
      <c r="I638" s="447"/>
      <c r="J638" s="448" t="s">
        <v>1364</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customHeight="1" thickBot="1">
      <c r="A639" s="458"/>
      <c r="B639" s="463" t="s">
        <v>1440</v>
      </c>
      <c r="C639" s="463"/>
      <c r="D639" s="449" t="s">
        <v>261</v>
      </c>
      <c r="E639" s="262"/>
      <c r="F639" s="447" t="s">
        <v>1445</v>
      </c>
      <c r="G639" s="387" t="e">
        <f>VLOOKUP(A639,'Feature Summary'!$A$7:$C$3944,3,FALSE)</f>
        <v>#N/A</v>
      </c>
      <c r="H639" s="447" t="s">
        <v>1460</v>
      </c>
      <c r="I639" s="447"/>
      <c r="J639" s="448" t="s">
        <v>1364</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customHeight="1" thickBot="1">
      <c r="A640" s="458"/>
      <c r="B640" s="463" t="s">
        <v>1440</v>
      </c>
      <c r="C640" s="463"/>
      <c r="D640" s="449" t="s">
        <v>261</v>
      </c>
      <c r="E640" s="262"/>
      <c r="F640" s="447" t="s">
        <v>1448</v>
      </c>
      <c r="G640" s="387" t="e">
        <f>VLOOKUP(A640,'Feature Summary'!$A$7:$C$3944,3,FALSE)</f>
        <v>#N/A</v>
      </c>
      <c r="H640" s="447" t="s">
        <v>1461</v>
      </c>
      <c r="I640" s="447"/>
      <c r="J640" s="448" t="s">
        <v>1364</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customHeight="1" thickBot="1">
      <c r="A641" s="458"/>
      <c r="B641" s="463" t="s">
        <v>1440</v>
      </c>
      <c r="C641" s="463"/>
      <c r="D641" s="449" t="s">
        <v>261</v>
      </c>
      <c r="E641" s="262"/>
      <c r="F641" s="447" t="s">
        <v>1450</v>
      </c>
      <c r="G641" s="387" t="e">
        <f>VLOOKUP(A641,'Feature Summary'!$A$7:$C$3944,3,FALSE)</f>
        <v>#N/A</v>
      </c>
      <c r="H641" s="447" t="s">
        <v>1462</v>
      </c>
      <c r="I641" s="447"/>
      <c r="J641" s="448" t="s">
        <v>1463</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customHeight="1" thickBot="1">
      <c r="A642" s="458"/>
      <c r="B642" s="463" t="s">
        <v>1440</v>
      </c>
      <c r="C642" s="463"/>
      <c r="D642" s="449" t="s">
        <v>261</v>
      </c>
      <c r="E642" s="262"/>
      <c r="F642" s="447" t="s">
        <v>1453</v>
      </c>
      <c r="G642" s="387" t="e">
        <f>VLOOKUP(A642,'Feature Summary'!$A$7:$C$3944,3,FALSE)</f>
        <v>#N/A</v>
      </c>
      <c r="H642" s="447" t="s">
        <v>1464</v>
      </c>
      <c r="I642" s="447"/>
      <c r="J642" s="448" t="s">
        <v>1364</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75.75" thickBot="1">
      <c r="A643" s="458"/>
      <c r="B643" s="463" t="s">
        <v>1440</v>
      </c>
      <c r="C643" s="463"/>
      <c r="D643" s="449" t="s">
        <v>261</v>
      </c>
      <c r="E643" s="262"/>
      <c r="F643" s="447" t="s">
        <v>1456</v>
      </c>
      <c r="G643" s="387" t="e">
        <f>VLOOKUP(A643,'Feature Summary'!$A$7:$C$3944,3,FALSE)</f>
        <v>#N/A</v>
      </c>
      <c r="H643" s="447" t="s">
        <v>1465</v>
      </c>
      <c r="I643" s="447"/>
      <c r="J643" s="448" t="s">
        <v>1466</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thickBot="1">
      <c r="A644" s="458"/>
      <c r="B644" s="463"/>
      <c r="C644" s="463" t="s">
        <v>444</v>
      </c>
      <c r="D644" s="449" t="s">
        <v>261</v>
      </c>
      <c r="E644" s="262"/>
      <c r="F644" s="447" t="s">
        <v>1467</v>
      </c>
      <c r="G644" s="387" t="e">
        <f>VLOOKUP(A644,'Feature Summary'!$A$7:$C$3944,3,FALSE)</f>
        <v>#N/A</v>
      </c>
      <c r="H644" s="447" t="s">
        <v>1468</v>
      </c>
      <c r="I644" s="488" t="s">
        <v>264</v>
      </c>
      <c r="J644" s="448" t="s">
        <v>1225</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thickBot="1">
      <c r="A645" s="458"/>
      <c r="B645" s="463"/>
      <c r="C645" s="463" t="s">
        <v>444</v>
      </c>
      <c r="D645" s="449" t="s">
        <v>261</v>
      </c>
      <c r="E645" s="262"/>
      <c r="F645" s="447" t="s">
        <v>1469</v>
      </c>
      <c r="G645" s="387" t="e">
        <f>VLOOKUP(A645,'Feature Summary'!$A$7:$C$3944,3,FALSE)</f>
        <v>#N/A</v>
      </c>
      <c r="H645" s="447" t="s">
        <v>1470</v>
      </c>
      <c r="I645" s="488" t="s">
        <v>264</v>
      </c>
      <c r="J645" s="448" t="s">
        <v>1225</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customHeight="1" thickBot="1">
      <c r="A646" s="458"/>
      <c r="B646" s="463"/>
      <c r="C646" s="463"/>
      <c r="D646" s="449" t="s">
        <v>261</v>
      </c>
      <c r="E646" s="262"/>
      <c r="F646" s="447" t="s">
        <v>1467</v>
      </c>
      <c r="G646" s="387" t="e">
        <f>VLOOKUP(A646,'Feature Summary'!$A$7:$C$3944,3,FALSE)</f>
        <v>#N/A</v>
      </c>
      <c r="H646" s="447" t="s">
        <v>1471</v>
      </c>
      <c r="I646" s="447"/>
      <c r="J646" s="448" t="s">
        <v>1227</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75.75" thickBot="1">
      <c r="A647" s="458"/>
      <c r="B647" s="463"/>
      <c r="C647" s="463"/>
      <c r="D647" s="449" t="s">
        <v>261</v>
      </c>
      <c r="E647" s="262"/>
      <c r="F647" s="447" t="s">
        <v>1469</v>
      </c>
      <c r="G647" s="387" t="e">
        <f>VLOOKUP(A647,'Feature Summary'!$A$7:$C$3944,3,FALSE)</f>
        <v>#N/A</v>
      </c>
      <c r="H647" s="447" t="s">
        <v>1472</v>
      </c>
      <c r="I647" s="447"/>
      <c r="J647" s="448" t="s">
        <v>1227</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45.75" thickBot="1">
      <c r="A648" s="458"/>
      <c r="B648" s="463"/>
      <c r="C648" s="463"/>
      <c r="D648" s="449" t="s">
        <v>261</v>
      </c>
      <c r="E648" s="262"/>
      <c r="F648" s="447" t="s">
        <v>1467</v>
      </c>
      <c r="G648" s="387" t="e">
        <f>VLOOKUP(A648,'Feature Summary'!$A$7:$C$3944,3,FALSE)</f>
        <v>#N/A</v>
      </c>
      <c r="H648" s="447" t="s">
        <v>1473</v>
      </c>
      <c r="I648" s="447"/>
      <c r="J648" s="448" t="s">
        <v>1229</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45.75" thickBot="1">
      <c r="A649" s="458"/>
      <c r="B649" s="463"/>
      <c r="C649" s="463"/>
      <c r="D649" s="449" t="s">
        <v>261</v>
      </c>
      <c r="E649" s="262"/>
      <c r="F649" s="447" t="s">
        <v>1469</v>
      </c>
      <c r="G649" s="387" t="e">
        <f>VLOOKUP(A649,'Feature Summary'!$A$7:$C$3944,3,FALSE)</f>
        <v>#N/A</v>
      </c>
      <c r="H649" s="447" t="s">
        <v>1474</v>
      </c>
      <c r="I649" s="447"/>
      <c r="J649" s="448" t="s">
        <v>1229</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thickBot="1">
      <c r="A650" s="458" t="s">
        <v>1475</v>
      </c>
      <c r="B650" s="463" t="s">
        <v>1476</v>
      </c>
      <c r="C650" s="580" t="s">
        <v>651</v>
      </c>
      <c r="D650" s="449" t="s">
        <v>261</v>
      </c>
      <c r="E650" s="262"/>
      <c r="F650" s="470" t="s">
        <v>1477</v>
      </c>
      <c r="G650" s="387" t="str">
        <f>VLOOKUP(A650,'Feature Summary'!$A$7:$C$3944,3,FALSE)</f>
        <v>P2</v>
      </c>
      <c r="H650" s="447" t="s">
        <v>1478</v>
      </c>
      <c r="I650" s="488" t="s">
        <v>264</v>
      </c>
      <c r="J650" s="448" t="s">
        <v>281</v>
      </c>
      <c r="K650" s="263">
        <v>1</v>
      </c>
      <c r="L650" s="391">
        <v>8</v>
      </c>
      <c r="M650" s="399" t="s">
        <v>33</v>
      </c>
      <c r="N650" s="475">
        <v>1</v>
      </c>
      <c r="O650" s="391">
        <v>8</v>
      </c>
      <c r="P650" s="496">
        <f t="shared" si="102"/>
        <v>1</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60.75" thickBot="1">
      <c r="A651" s="458"/>
      <c r="B651" s="463" t="s">
        <v>1476</v>
      </c>
      <c r="C651" s="580"/>
      <c r="D651" s="449" t="s">
        <v>261</v>
      </c>
      <c r="E651" s="262"/>
      <c r="F651" s="470" t="s">
        <v>1477</v>
      </c>
      <c r="G651" s="387" t="e">
        <f>VLOOKUP(A651,'Feature Summary'!$A$7:$C$3944,3,FALSE)</f>
        <v>#N/A</v>
      </c>
      <c r="H651" s="447" t="s">
        <v>1479</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60.75" thickBot="1">
      <c r="A652" s="458"/>
      <c r="B652" s="463" t="s">
        <v>1476</v>
      </c>
      <c r="C652" s="580"/>
      <c r="D652" s="449" t="s">
        <v>261</v>
      </c>
      <c r="E652" s="262"/>
      <c r="F652" s="470" t="s">
        <v>1477</v>
      </c>
      <c r="G652" s="387" t="e">
        <f>VLOOKUP(A652,'Feature Summary'!$A$7:$C$3944,3,FALSE)</f>
        <v>#N/A</v>
      </c>
      <c r="H652" s="447" t="s">
        <v>1480</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30.75" thickBot="1">
      <c r="A653" s="458"/>
      <c r="B653" s="463" t="s">
        <v>1476</v>
      </c>
      <c r="C653" s="580"/>
      <c r="D653" s="449" t="s">
        <v>261</v>
      </c>
      <c r="E653" s="262"/>
      <c r="F653" s="470" t="s">
        <v>1477</v>
      </c>
      <c r="G653" s="387" t="e">
        <f>VLOOKUP(A653,'Feature Summary'!$A$7:$C$3944,3,FALSE)</f>
        <v>#N/A</v>
      </c>
      <c r="H653" s="447" t="s">
        <v>1481</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60.75" thickBot="1">
      <c r="A654" s="458"/>
      <c r="B654" s="463" t="s">
        <v>1476</v>
      </c>
      <c r="C654" s="580"/>
      <c r="D654" s="449" t="s">
        <v>261</v>
      </c>
      <c r="E654" s="262"/>
      <c r="F654" s="470" t="s">
        <v>1477</v>
      </c>
      <c r="G654" s="387" t="e">
        <f>VLOOKUP(A654,'Feature Summary'!$A$7:$C$3944,3,FALSE)</f>
        <v>#N/A</v>
      </c>
      <c r="H654" s="447" t="s">
        <v>1482</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120.75" thickBot="1">
      <c r="A655" s="458"/>
      <c r="B655" s="463"/>
      <c r="C655" s="463" t="s">
        <v>655</v>
      </c>
      <c r="D655" s="449" t="s">
        <v>261</v>
      </c>
      <c r="E655" s="262"/>
      <c r="F655" s="447" t="s">
        <v>1483</v>
      </c>
      <c r="G655" s="387" t="e">
        <f>VLOOKUP(A655,'Feature Summary'!$A$7:$C$3944,3,FALSE)</f>
        <v>#N/A</v>
      </c>
      <c r="H655" s="447" t="s">
        <v>1484</v>
      </c>
      <c r="I655" s="488" t="s">
        <v>264</v>
      </c>
      <c r="J655" s="448" t="s">
        <v>1485</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120.75" thickBot="1">
      <c r="A656" s="458"/>
      <c r="B656" s="463"/>
      <c r="C656" s="463" t="s">
        <v>655</v>
      </c>
      <c r="D656" s="449" t="s">
        <v>261</v>
      </c>
      <c r="E656" s="262"/>
      <c r="F656" s="447" t="s">
        <v>1486</v>
      </c>
      <c r="G656" s="387" t="e">
        <f>VLOOKUP(A656,'Feature Summary'!$A$7:$C$3944,3,FALSE)</f>
        <v>#N/A</v>
      </c>
      <c r="H656" s="447" t="s">
        <v>1487</v>
      </c>
      <c r="I656" s="488" t="s">
        <v>264</v>
      </c>
      <c r="J656" s="448" t="s">
        <v>1485</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customHeight="1" thickBot="1">
      <c r="A657" s="458"/>
      <c r="B657" s="463"/>
      <c r="C657" s="463"/>
      <c r="D657" s="449" t="s">
        <v>261</v>
      </c>
      <c r="E657" s="262"/>
      <c r="F657" s="447" t="s">
        <v>1483</v>
      </c>
      <c r="G657" s="387" t="e">
        <f>VLOOKUP(A657,'Feature Summary'!$A$7:$C$3944,3,FALSE)</f>
        <v>#N/A</v>
      </c>
      <c r="H657" s="447" t="s">
        <v>1488</v>
      </c>
      <c r="I657" s="447"/>
      <c r="J657" s="448" t="s">
        <v>1489</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customHeight="1" thickBot="1">
      <c r="A658" s="458"/>
      <c r="B658" s="463"/>
      <c r="C658" s="463"/>
      <c r="D658" s="449" t="s">
        <v>261</v>
      </c>
      <c r="E658" s="262"/>
      <c r="F658" s="447" t="s">
        <v>1486</v>
      </c>
      <c r="G658" s="387" t="e">
        <f>VLOOKUP(A658,'Feature Summary'!$A$7:$C$3944,3,FALSE)</f>
        <v>#N/A</v>
      </c>
      <c r="H658" s="447" t="s">
        <v>1490</v>
      </c>
      <c r="I658" s="447"/>
      <c r="J658" s="448" t="s">
        <v>1489</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45.75" thickBot="1">
      <c r="A659" s="458"/>
      <c r="B659" s="463"/>
      <c r="C659" s="463"/>
      <c r="D659" s="449" t="s">
        <v>261</v>
      </c>
      <c r="E659" s="262"/>
      <c r="F659" s="447" t="s">
        <v>1483</v>
      </c>
      <c r="G659" s="387" t="e">
        <f>VLOOKUP(A659,'Feature Summary'!$A$7:$C$3944,3,FALSE)</f>
        <v>#N/A</v>
      </c>
      <c r="H659" s="447" t="s">
        <v>1491</v>
      </c>
      <c r="I659" s="447"/>
      <c r="J659" s="448" t="s">
        <v>1364</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45.75" thickBot="1">
      <c r="A660" s="458"/>
      <c r="B660" s="463"/>
      <c r="C660" s="463"/>
      <c r="D660" s="449" t="s">
        <v>261</v>
      </c>
      <c r="E660" s="262"/>
      <c r="F660" s="447" t="s">
        <v>1486</v>
      </c>
      <c r="G660" s="387" t="e">
        <f>VLOOKUP(A660,'Feature Summary'!$A$7:$C$3944,3,FALSE)</f>
        <v>#N/A</v>
      </c>
      <c r="H660" s="447" t="s">
        <v>1492</v>
      </c>
      <c r="I660" s="447"/>
      <c r="J660" s="448" t="s">
        <v>1364</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thickBot="1">
      <c r="A661" s="458" t="s">
        <v>1493</v>
      </c>
      <c r="B661" s="470" t="s">
        <v>1494</v>
      </c>
      <c r="C661" s="463" t="s">
        <v>335</v>
      </c>
      <c r="D661" s="449" t="s">
        <v>261</v>
      </c>
      <c r="E661" s="262"/>
      <c r="F661" s="470" t="s">
        <v>1495</v>
      </c>
      <c r="G661" s="387" t="str">
        <f>VLOOKUP(A661,'Feature Summary'!$A$7:$C$3944,3,FALSE)</f>
        <v>P2</v>
      </c>
      <c r="H661" s="447" t="s">
        <v>1496</v>
      </c>
      <c r="I661" s="488" t="s">
        <v>264</v>
      </c>
      <c r="J661" s="480" t="s">
        <v>1497</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thickBot="1">
      <c r="A662" s="458" t="s">
        <v>1493</v>
      </c>
      <c r="B662" s="470" t="s">
        <v>1494</v>
      </c>
      <c r="C662" s="463" t="s">
        <v>335</v>
      </c>
      <c r="D662" s="449" t="s">
        <v>261</v>
      </c>
      <c r="E662" s="262"/>
      <c r="F662" s="470" t="s">
        <v>1498</v>
      </c>
      <c r="G662" s="387" t="str">
        <f>VLOOKUP(A662,'Feature Summary'!$A$7:$C$3944,3,FALSE)</f>
        <v>P2</v>
      </c>
      <c r="H662" s="447" t="s">
        <v>1499</v>
      </c>
      <c r="I662" s="488" t="s">
        <v>264</v>
      </c>
      <c r="J662" s="480" t="s">
        <v>1497</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thickBot="1">
      <c r="A663" s="458" t="s">
        <v>1493</v>
      </c>
      <c r="B663" s="470" t="s">
        <v>1494</v>
      </c>
      <c r="C663" s="463" t="s">
        <v>335</v>
      </c>
      <c r="D663" s="449" t="s">
        <v>261</v>
      </c>
      <c r="E663" s="262"/>
      <c r="F663" s="470" t="s">
        <v>1500</v>
      </c>
      <c r="G663" s="387" t="str">
        <f>VLOOKUP(A663,'Feature Summary'!$A$7:$C$3944,3,FALSE)</f>
        <v>P2</v>
      </c>
      <c r="H663" s="447" t="s">
        <v>1501</v>
      </c>
      <c r="I663" s="488" t="s">
        <v>264</v>
      </c>
      <c r="J663" s="480" t="s">
        <v>1502</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thickBot="1">
      <c r="A664" s="458"/>
      <c r="B664" s="470" t="s">
        <v>1494</v>
      </c>
      <c r="C664" s="463" t="s">
        <v>335</v>
      </c>
      <c r="D664" s="449" t="s">
        <v>261</v>
      </c>
      <c r="E664" s="262"/>
      <c r="F664" s="470" t="s">
        <v>1503</v>
      </c>
      <c r="G664" s="387" t="e">
        <f>VLOOKUP(A664,'Feature Summary'!$A$7:$C$3944,3,FALSE)</f>
        <v>#N/A</v>
      </c>
      <c r="H664" s="447" t="s">
        <v>1504</v>
      </c>
      <c r="I664" s="488" t="s">
        <v>264</v>
      </c>
      <c r="J664" s="480" t="s">
        <v>1505</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thickBot="1">
      <c r="A665" s="458"/>
      <c r="B665" s="470" t="s">
        <v>1494</v>
      </c>
      <c r="C665" s="463" t="s">
        <v>335</v>
      </c>
      <c r="D665" s="449" t="s">
        <v>261</v>
      </c>
      <c r="E665" s="262"/>
      <c r="F665" s="470" t="s">
        <v>1506</v>
      </c>
      <c r="G665" s="387" t="e">
        <f>VLOOKUP(A665,'Feature Summary'!$A$7:$C$3944,3,FALSE)</f>
        <v>#N/A</v>
      </c>
      <c r="H665" s="447" t="s">
        <v>1507</v>
      </c>
      <c r="I665" s="488" t="s">
        <v>264</v>
      </c>
      <c r="J665" s="480" t="s">
        <v>1505</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thickBot="1">
      <c r="A666" s="458"/>
      <c r="B666" s="470" t="s">
        <v>1494</v>
      </c>
      <c r="C666" s="463" t="s">
        <v>335</v>
      </c>
      <c r="D666" s="449" t="s">
        <v>261</v>
      </c>
      <c r="E666" s="262"/>
      <c r="F666" s="470" t="s">
        <v>1508</v>
      </c>
      <c r="G666" s="387" t="e">
        <f>VLOOKUP(A666,'Feature Summary'!$A$7:$C$3944,3,FALSE)</f>
        <v>#N/A</v>
      </c>
      <c r="H666" s="447" t="s">
        <v>1509</v>
      </c>
      <c r="I666" s="488" t="s">
        <v>264</v>
      </c>
      <c r="J666" s="480" t="s">
        <v>1510</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thickBot="1">
      <c r="A667" s="458"/>
      <c r="B667" s="470" t="s">
        <v>1494</v>
      </c>
      <c r="C667" s="463" t="s">
        <v>335</v>
      </c>
      <c r="D667" s="449" t="s">
        <v>261</v>
      </c>
      <c r="E667" s="262"/>
      <c r="F667" s="470" t="s">
        <v>1511</v>
      </c>
      <c r="G667" s="387" t="e">
        <f>VLOOKUP(A667,'Feature Summary'!$A$7:$C$3944,3,FALSE)</f>
        <v>#N/A</v>
      </c>
      <c r="H667" s="447" t="s">
        <v>1512</v>
      </c>
      <c r="I667" s="488" t="s">
        <v>264</v>
      </c>
      <c r="J667" s="480" t="s">
        <v>1505</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customHeight="1" thickBot="1">
      <c r="A668" s="458"/>
      <c r="B668" s="470" t="s">
        <v>1494</v>
      </c>
      <c r="C668" s="463"/>
      <c r="D668" s="449" t="s">
        <v>261</v>
      </c>
      <c r="E668" s="262"/>
      <c r="F668" s="470" t="s">
        <v>1495</v>
      </c>
      <c r="G668" s="387" t="e">
        <f>VLOOKUP(A668,'Feature Summary'!$A$7:$C$3944,3,FALSE)</f>
        <v>#N/A</v>
      </c>
      <c r="H668" s="447" t="s">
        <v>1513</v>
      </c>
      <c r="I668" s="447"/>
      <c r="J668" s="480" t="s">
        <v>1514</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customHeight="1" thickBot="1">
      <c r="A669" s="458"/>
      <c r="B669" s="470" t="s">
        <v>1494</v>
      </c>
      <c r="C669" s="463"/>
      <c r="D669" s="449" t="s">
        <v>261</v>
      </c>
      <c r="E669" s="262"/>
      <c r="F669" s="470" t="s">
        <v>1498</v>
      </c>
      <c r="G669" s="387" t="e">
        <f>VLOOKUP(A669,'Feature Summary'!$A$7:$C$3944,3,FALSE)</f>
        <v>#N/A</v>
      </c>
      <c r="H669" s="447" t="s">
        <v>1515</v>
      </c>
      <c r="I669" s="447"/>
      <c r="J669" s="480" t="s">
        <v>1514</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customHeight="1" thickBot="1">
      <c r="A670" s="458"/>
      <c r="B670" s="470" t="s">
        <v>1494</v>
      </c>
      <c r="C670" s="463"/>
      <c r="D670" s="449" t="s">
        <v>261</v>
      </c>
      <c r="E670" s="262"/>
      <c r="F670" s="470" t="s">
        <v>1500</v>
      </c>
      <c r="G670" s="387" t="e">
        <f>VLOOKUP(A670,'Feature Summary'!$A$7:$C$3944,3,FALSE)</f>
        <v>#N/A</v>
      </c>
      <c r="H670" s="447" t="s">
        <v>1516</v>
      </c>
      <c r="I670" s="447"/>
      <c r="J670" s="480" t="s">
        <v>1517</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customHeight="1" thickBot="1">
      <c r="A671" s="458"/>
      <c r="B671" s="470" t="s">
        <v>1494</v>
      </c>
      <c r="C671" s="463"/>
      <c r="D671" s="449" t="s">
        <v>261</v>
      </c>
      <c r="E671" s="262"/>
      <c r="F671" s="470" t="s">
        <v>1503</v>
      </c>
      <c r="G671" s="387" t="e">
        <f>VLOOKUP(A671,'Feature Summary'!$A$7:$C$3944,3,FALSE)</f>
        <v>#N/A</v>
      </c>
      <c r="H671" s="447" t="s">
        <v>1518</v>
      </c>
      <c r="I671" s="447"/>
      <c r="J671" s="480" t="s">
        <v>1514</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customHeight="1" thickBot="1">
      <c r="A672" s="458"/>
      <c r="B672" s="470" t="s">
        <v>1494</v>
      </c>
      <c r="C672" s="463"/>
      <c r="D672" s="449" t="s">
        <v>261</v>
      </c>
      <c r="E672" s="262"/>
      <c r="F672" s="470" t="s">
        <v>1506</v>
      </c>
      <c r="G672" s="387" t="e">
        <f>VLOOKUP(A672,'Feature Summary'!$A$7:$C$3944,3,FALSE)</f>
        <v>#N/A</v>
      </c>
      <c r="H672" s="447" t="s">
        <v>1519</v>
      </c>
      <c r="I672" s="447"/>
      <c r="J672" s="480" t="s">
        <v>1514</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customHeight="1" thickBot="1">
      <c r="A673" s="458"/>
      <c r="B673" s="470" t="s">
        <v>1494</v>
      </c>
      <c r="C673" s="463"/>
      <c r="D673" s="449" t="s">
        <v>261</v>
      </c>
      <c r="E673" s="262"/>
      <c r="F673" s="470" t="s">
        <v>1508</v>
      </c>
      <c r="G673" s="387" t="e">
        <f>VLOOKUP(A673,'Feature Summary'!$A$7:$C$3944,3,FALSE)</f>
        <v>#N/A</v>
      </c>
      <c r="H673" s="447" t="s">
        <v>1520</v>
      </c>
      <c r="I673" s="447"/>
      <c r="J673" s="480" t="s">
        <v>1517</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75" thickBot="1">
      <c r="A674" s="458"/>
      <c r="B674" s="470" t="s">
        <v>1494</v>
      </c>
      <c r="C674" s="463"/>
      <c r="D674" s="449" t="s">
        <v>261</v>
      </c>
      <c r="E674" s="262"/>
      <c r="F674" s="470" t="s">
        <v>1511</v>
      </c>
      <c r="G674" s="387" t="e">
        <f>VLOOKUP(A674,'Feature Summary'!$A$7:$C$3944,3,FALSE)</f>
        <v>#N/A</v>
      </c>
      <c r="H674" s="447" t="s">
        <v>1521</v>
      </c>
      <c r="I674" s="447"/>
      <c r="J674" s="480" t="s">
        <v>1514</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customHeight="1" thickBot="1">
      <c r="A675" s="458"/>
      <c r="B675" s="470" t="s">
        <v>1494</v>
      </c>
      <c r="C675" s="463"/>
      <c r="D675" s="449" t="s">
        <v>261</v>
      </c>
      <c r="E675" s="262"/>
      <c r="F675" s="470" t="s">
        <v>1495</v>
      </c>
      <c r="G675" s="387" t="e">
        <f>VLOOKUP(A675,'Feature Summary'!$A$7:$C$3944,3,FALSE)</f>
        <v>#N/A</v>
      </c>
      <c r="H675" s="447" t="s">
        <v>1522</v>
      </c>
      <c r="I675" s="447"/>
      <c r="J675" s="480" t="s">
        <v>1523</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customHeight="1" thickBot="1">
      <c r="A676" s="458"/>
      <c r="B676" s="470" t="s">
        <v>1494</v>
      </c>
      <c r="C676" s="463"/>
      <c r="D676" s="449" t="s">
        <v>261</v>
      </c>
      <c r="E676" s="262"/>
      <c r="F676" s="470" t="s">
        <v>1498</v>
      </c>
      <c r="G676" s="387" t="e">
        <f>VLOOKUP(A676,'Feature Summary'!$A$7:$C$3944,3,FALSE)</f>
        <v>#N/A</v>
      </c>
      <c r="H676" s="447" t="s">
        <v>1524</v>
      </c>
      <c r="I676" s="447"/>
      <c r="J676" s="480" t="s">
        <v>1523</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customHeight="1" thickBot="1">
      <c r="A677" s="458"/>
      <c r="B677" s="470" t="s">
        <v>1494</v>
      </c>
      <c r="C677" s="463"/>
      <c r="D677" s="449" t="s">
        <v>261</v>
      </c>
      <c r="E677" s="262"/>
      <c r="F677" s="470" t="s">
        <v>1500</v>
      </c>
      <c r="G677" s="387" t="e">
        <f>VLOOKUP(A677,'Feature Summary'!$A$7:$C$3944,3,FALSE)</f>
        <v>#N/A</v>
      </c>
      <c r="H677" s="447" t="s">
        <v>1525</v>
      </c>
      <c r="I677" s="447"/>
      <c r="J677" s="480" t="s">
        <v>1526</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customHeight="1" thickBot="1">
      <c r="A678" s="458"/>
      <c r="B678" s="470" t="s">
        <v>1494</v>
      </c>
      <c r="C678" s="463"/>
      <c r="D678" s="449" t="s">
        <v>261</v>
      </c>
      <c r="E678" s="262"/>
      <c r="F678" s="470" t="s">
        <v>1503</v>
      </c>
      <c r="G678" s="387" t="e">
        <f>VLOOKUP(A678,'Feature Summary'!$A$7:$C$3944,3,FALSE)</f>
        <v>#N/A</v>
      </c>
      <c r="H678" s="447" t="s">
        <v>1527</v>
      </c>
      <c r="I678" s="447"/>
      <c r="J678" s="480" t="s">
        <v>1523</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customHeight="1" thickBot="1">
      <c r="A679" s="458"/>
      <c r="B679" s="470" t="s">
        <v>1494</v>
      </c>
      <c r="C679" s="463"/>
      <c r="D679" s="449" t="s">
        <v>261</v>
      </c>
      <c r="E679" s="262"/>
      <c r="F679" s="470" t="s">
        <v>1506</v>
      </c>
      <c r="G679" s="387" t="e">
        <f>VLOOKUP(A679,'Feature Summary'!$A$7:$C$3944,3,FALSE)</f>
        <v>#N/A</v>
      </c>
      <c r="H679" s="447" t="s">
        <v>1528</v>
      </c>
      <c r="I679" s="447"/>
      <c r="J679" s="480" t="s">
        <v>1523</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customHeight="1" thickBot="1">
      <c r="A680" s="458"/>
      <c r="B680" s="470" t="s">
        <v>1494</v>
      </c>
      <c r="C680" s="463"/>
      <c r="D680" s="449" t="s">
        <v>261</v>
      </c>
      <c r="E680" s="262"/>
      <c r="F680" s="470" t="s">
        <v>1508</v>
      </c>
      <c r="G680" s="387" t="e">
        <f>VLOOKUP(A680,'Feature Summary'!$A$7:$C$3944,3,FALSE)</f>
        <v>#N/A</v>
      </c>
      <c r="H680" s="447" t="s">
        <v>1529</v>
      </c>
      <c r="I680" s="447"/>
      <c r="J680" s="480" t="s">
        <v>1526</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75" thickBot="1">
      <c r="A681" s="458"/>
      <c r="B681" s="470" t="s">
        <v>1494</v>
      </c>
      <c r="C681" s="463"/>
      <c r="D681" s="449" t="s">
        <v>261</v>
      </c>
      <c r="E681" s="262"/>
      <c r="F681" s="470" t="s">
        <v>1511</v>
      </c>
      <c r="G681" s="387" t="e">
        <f>VLOOKUP(A681,'Feature Summary'!$A$7:$C$3944,3,FALSE)</f>
        <v>#N/A</v>
      </c>
      <c r="H681" s="447" t="s">
        <v>1530</v>
      </c>
      <c r="I681" s="447"/>
      <c r="J681" s="480" t="s">
        <v>1523</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customHeight="1" thickBot="1">
      <c r="A682" s="458"/>
      <c r="B682" s="470" t="s">
        <v>1494</v>
      </c>
      <c r="C682" s="463"/>
      <c r="D682" s="449" t="s">
        <v>261</v>
      </c>
      <c r="E682" s="262"/>
      <c r="F682" s="470" t="s">
        <v>1495</v>
      </c>
      <c r="G682" s="387" t="e">
        <f>VLOOKUP(A682,'Feature Summary'!$A$7:$C$3944,3,FALSE)</f>
        <v>#N/A</v>
      </c>
      <c r="H682" s="447" t="s">
        <v>1531</v>
      </c>
      <c r="I682" s="447"/>
      <c r="J682" s="480" t="s">
        <v>1532</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customHeight="1" thickBot="1">
      <c r="A683" s="458"/>
      <c r="B683" s="470" t="s">
        <v>1494</v>
      </c>
      <c r="C683" s="463"/>
      <c r="D683" s="449" t="s">
        <v>261</v>
      </c>
      <c r="E683" s="262"/>
      <c r="F683" s="470" t="s">
        <v>1498</v>
      </c>
      <c r="G683" s="387" t="e">
        <f>VLOOKUP(A683,'Feature Summary'!$A$7:$C$3944,3,FALSE)</f>
        <v>#N/A</v>
      </c>
      <c r="H683" s="447" t="s">
        <v>1533</v>
      </c>
      <c r="I683" s="447"/>
      <c r="J683" s="480" t="s">
        <v>1532</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customHeight="1" thickBot="1">
      <c r="A684" s="458"/>
      <c r="B684" s="470" t="s">
        <v>1494</v>
      </c>
      <c r="C684" s="463"/>
      <c r="D684" s="449" t="s">
        <v>261</v>
      </c>
      <c r="E684" s="262"/>
      <c r="F684" s="470" t="s">
        <v>1500</v>
      </c>
      <c r="G684" s="387" t="e">
        <f>VLOOKUP(A684,'Feature Summary'!$A$7:$C$3944,3,FALSE)</f>
        <v>#N/A</v>
      </c>
      <c r="H684" s="447" t="s">
        <v>1534</v>
      </c>
      <c r="I684" s="447"/>
      <c r="J684" s="480" t="s">
        <v>1535</v>
      </c>
      <c r="K684" s="263"/>
      <c r="L684" s="391"/>
      <c r="M684" s="399" t="s">
        <v>33</v>
      </c>
      <c r="N684" s="475">
        <v>1</v>
      </c>
      <c r="O684" s="391"/>
      <c r="P684" s="496">
        <f t="shared" si="109"/>
        <v>0</v>
      </c>
      <c r="Q684" s="445" t="s">
        <v>52</v>
      </c>
      <c r="R684" s="391"/>
      <c r="S684" s="362">
        <f t="shared" si="108"/>
        <v>0</v>
      </c>
      <c r="T684" s="368"/>
      <c r="U684" s="368"/>
      <c r="V684" s="368" t="s">
        <v>757</v>
      </c>
      <c r="W684" s="368"/>
      <c r="X684" s="364">
        <f t="shared" si="106"/>
        <v>0</v>
      </c>
      <c r="Y684" s="393"/>
      <c r="Z684" s="498">
        <f t="shared" si="103"/>
        <v>0</v>
      </c>
      <c r="AA684" s="368"/>
      <c r="AB684" s="368"/>
      <c r="AC684" s="368"/>
      <c r="AD684" s="368"/>
      <c r="AE684" s="365">
        <f t="shared" si="104"/>
        <v>0</v>
      </c>
      <c r="AF684" s="558"/>
      <c r="AG684" s="457"/>
      <c r="AH684" s="264"/>
    </row>
    <row r="685" spans="1:34" ht="35.25" customHeight="1" thickBot="1">
      <c r="A685" s="458"/>
      <c r="B685" s="470" t="s">
        <v>1494</v>
      </c>
      <c r="C685" s="463"/>
      <c r="D685" s="449" t="s">
        <v>261</v>
      </c>
      <c r="E685" s="262"/>
      <c r="F685" s="470" t="s">
        <v>1503</v>
      </c>
      <c r="G685" s="387" t="e">
        <f>VLOOKUP(A685,'Feature Summary'!$A$7:$C$3944,3,FALSE)</f>
        <v>#N/A</v>
      </c>
      <c r="H685" s="447" t="s">
        <v>1536</v>
      </c>
      <c r="I685" s="447"/>
      <c r="J685" s="480" t="s">
        <v>1532</v>
      </c>
      <c r="K685" s="263"/>
      <c r="L685" s="391"/>
      <c r="M685" s="399" t="s">
        <v>33</v>
      </c>
      <c r="N685" s="475">
        <v>1</v>
      </c>
      <c r="O685" s="391"/>
      <c r="P685" s="496">
        <f t="shared" si="109"/>
        <v>0</v>
      </c>
      <c r="Q685" s="445" t="s">
        <v>52</v>
      </c>
      <c r="R685" s="391"/>
      <c r="S685" s="362">
        <f t="shared" si="108"/>
        <v>0</v>
      </c>
      <c r="T685" s="368"/>
      <c r="U685" s="368"/>
      <c r="V685" s="368"/>
      <c r="W685" s="368" t="s">
        <v>757</v>
      </c>
      <c r="X685" s="364">
        <f t="shared" si="106"/>
        <v>0</v>
      </c>
      <c r="Y685" s="393"/>
      <c r="Z685" s="498">
        <f t="shared" si="103"/>
        <v>0</v>
      </c>
      <c r="AA685" s="368"/>
      <c r="AB685" s="368"/>
      <c r="AC685" s="368"/>
      <c r="AD685" s="368"/>
      <c r="AE685" s="365">
        <f t="shared" si="104"/>
        <v>0</v>
      </c>
      <c r="AF685" s="558"/>
      <c r="AG685" s="457"/>
      <c r="AH685" s="264"/>
    </row>
    <row r="686" spans="1:34" ht="36" customHeight="1" thickBot="1">
      <c r="A686" s="458"/>
      <c r="B686" s="470" t="s">
        <v>1494</v>
      </c>
      <c r="C686" s="463"/>
      <c r="D686" s="449" t="s">
        <v>261</v>
      </c>
      <c r="E686" s="262"/>
      <c r="F686" s="470" t="s">
        <v>1506</v>
      </c>
      <c r="G686" s="387" t="e">
        <f>VLOOKUP(A686,'Feature Summary'!$A$7:$C$3944,3,FALSE)</f>
        <v>#N/A</v>
      </c>
      <c r="H686" s="447" t="s">
        <v>1537</v>
      </c>
      <c r="I686" s="447"/>
      <c r="J686" s="480" t="s">
        <v>1532</v>
      </c>
      <c r="K686" s="263"/>
      <c r="L686" s="391"/>
      <c r="M686" s="399" t="s">
        <v>33</v>
      </c>
      <c r="N686" s="475">
        <v>1</v>
      </c>
      <c r="O686" s="391"/>
      <c r="P686" s="496">
        <f t="shared" si="109"/>
        <v>0</v>
      </c>
      <c r="Q686" s="445" t="s">
        <v>52</v>
      </c>
      <c r="R686" s="391"/>
      <c r="S686" s="362">
        <f t="shared" si="108"/>
        <v>0</v>
      </c>
      <c r="T686" s="368"/>
      <c r="U686" s="368"/>
      <c r="V686" s="368" t="s">
        <v>757</v>
      </c>
      <c r="W686" s="368"/>
      <c r="X686" s="364">
        <f t="shared" si="106"/>
        <v>0</v>
      </c>
      <c r="Y686" s="393"/>
      <c r="Z686" s="498">
        <f t="shared" si="103"/>
        <v>0</v>
      </c>
      <c r="AA686" s="368"/>
      <c r="AB686" s="368"/>
      <c r="AC686" s="368"/>
      <c r="AD686" s="368"/>
      <c r="AE686" s="365">
        <f t="shared" si="104"/>
        <v>0</v>
      </c>
      <c r="AF686" s="558"/>
      <c r="AG686" s="457"/>
      <c r="AH686" s="264"/>
    </row>
    <row r="687" spans="1:34" ht="37.5" customHeight="1" thickBot="1">
      <c r="A687" s="458"/>
      <c r="B687" s="470" t="s">
        <v>1494</v>
      </c>
      <c r="C687" s="463"/>
      <c r="D687" s="449" t="s">
        <v>261</v>
      </c>
      <c r="E687" s="262"/>
      <c r="F687" s="470" t="s">
        <v>1508</v>
      </c>
      <c r="G687" s="387" t="e">
        <f>VLOOKUP(A687,'Feature Summary'!$A$7:$C$3944,3,FALSE)</f>
        <v>#N/A</v>
      </c>
      <c r="H687" s="447" t="s">
        <v>1538</v>
      </c>
      <c r="I687" s="447"/>
      <c r="J687" s="480" t="s">
        <v>1535</v>
      </c>
      <c r="K687" s="263"/>
      <c r="L687" s="391"/>
      <c r="M687" s="399" t="s">
        <v>33</v>
      </c>
      <c r="N687" s="475">
        <v>1</v>
      </c>
      <c r="O687" s="391"/>
      <c r="P687" s="496">
        <f t="shared" si="109"/>
        <v>0</v>
      </c>
      <c r="Q687" s="445" t="s">
        <v>52</v>
      </c>
      <c r="R687" s="391"/>
      <c r="S687" s="362">
        <f t="shared" si="108"/>
        <v>0</v>
      </c>
      <c r="T687" s="368"/>
      <c r="U687" s="368"/>
      <c r="V687" s="368" t="s">
        <v>757</v>
      </c>
      <c r="W687" s="368"/>
      <c r="X687" s="364">
        <f t="shared" si="106"/>
        <v>0</v>
      </c>
      <c r="Y687" s="393"/>
      <c r="Z687" s="498">
        <f t="shared" si="103"/>
        <v>0</v>
      </c>
      <c r="AA687" s="368"/>
      <c r="AB687" s="368"/>
      <c r="AC687" s="368"/>
      <c r="AD687" s="368"/>
      <c r="AE687" s="365">
        <f t="shared" si="104"/>
        <v>0</v>
      </c>
      <c r="AF687" s="558"/>
      <c r="AG687" s="457"/>
      <c r="AH687" s="264"/>
    </row>
    <row r="688" spans="1:34" ht="30.75" thickBot="1">
      <c r="A688" s="458"/>
      <c r="B688" s="470" t="s">
        <v>1494</v>
      </c>
      <c r="C688" s="463"/>
      <c r="D688" s="449" t="s">
        <v>261</v>
      </c>
      <c r="E688" s="262"/>
      <c r="F688" s="470" t="s">
        <v>1511</v>
      </c>
      <c r="G688" s="387" t="e">
        <f>VLOOKUP(A688,'Feature Summary'!$A$7:$C$3944,3,FALSE)</f>
        <v>#N/A</v>
      </c>
      <c r="H688" s="447" t="s">
        <v>1539</v>
      </c>
      <c r="I688" s="447"/>
      <c r="J688" s="480" t="s">
        <v>1532</v>
      </c>
      <c r="K688" s="263"/>
      <c r="L688" s="391"/>
      <c r="M688" s="399" t="s">
        <v>33</v>
      </c>
      <c r="N688" s="475">
        <v>1</v>
      </c>
      <c r="O688" s="391"/>
      <c r="P688" s="496">
        <f t="shared" si="109"/>
        <v>0</v>
      </c>
      <c r="Q688" s="445" t="s">
        <v>52</v>
      </c>
      <c r="R688" s="391"/>
      <c r="S688" s="362">
        <f t="shared" si="108"/>
        <v>0</v>
      </c>
      <c r="T688" s="368"/>
      <c r="U688" s="368"/>
      <c r="V688" s="368" t="s">
        <v>757</v>
      </c>
      <c r="W688" s="368"/>
      <c r="X688" s="364">
        <f t="shared" si="106"/>
        <v>0</v>
      </c>
      <c r="Y688" s="393"/>
      <c r="Z688" s="498">
        <f t="shared" si="103"/>
        <v>0</v>
      </c>
      <c r="AA688" s="368"/>
      <c r="AB688" s="368"/>
      <c r="AC688" s="368"/>
      <c r="AD688" s="368"/>
      <c r="AE688" s="365">
        <f t="shared" si="104"/>
        <v>0</v>
      </c>
      <c r="AF688" s="262"/>
      <c r="AG688" s="457"/>
      <c r="AH688" s="264"/>
    </row>
    <row r="689" spans="1:34" ht="30.75" thickBot="1">
      <c r="A689" s="458" t="s">
        <v>1540</v>
      </c>
      <c r="B689" s="470" t="s">
        <v>1541</v>
      </c>
      <c r="C689" s="463" t="s">
        <v>354</v>
      </c>
      <c r="D689" s="449" t="s">
        <v>261</v>
      </c>
      <c r="E689" s="262"/>
      <c r="F689" s="470" t="s">
        <v>1542</v>
      </c>
      <c r="G689" s="387" t="str">
        <f>VLOOKUP(A689,'Feature Summary'!$A$7:$C$3944,3,FALSE)</f>
        <v>P2</v>
      </c>
      <c r="H689" s="447" t="s">
        <v>1543</v>
      </c>
      <c r="I689" s="488" t="s">
        <v>264</v>
      </c>
      <c r="J689" s="480" t="s">
        <v>473</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757</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thickBot="1">
      <c r="A690" s="458" t="s">
        <v>1544</v>
      </c>
      <c r="B690" s="463"/>
      <c r="C690" s="580" t="s">
        <v>335</v>
      </c>
      <c r="D690" s="449" t="s">
        <v>261</v>
      </c>
      <c r="E690" s="262"/>
      <c r="F690" s="447" t="s">
        <v>1545</v>
      </c>
      <c r="G690" s="387" t="e">
        <f>VLOOKUP(A690,'Feature Summary'!$A$7:$C$3944,3,FALSE)</f>
        <v>#N/A</v>
      </c>
      <c r="H690" s="447" t="s">
        <v>1546</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757</v>
      </c>
      <c r="W690" s="368"/>
      <c r="X690" s="364">
        <f t="shared" si="106"/>
        <v>1</v>
      </c>
      <c r="Y690" s="393"/>
      <c r="Z690" s="498">
        <f t="shared" si="103"/>
        <v>0</v>
      </c>
      <c r="AA690" s="368"/>
      <c r="AB690" s="368"/>
      <c r="AC690" s="368"/>
      <c r="AD690" s="368"/>
      <c r="AE690" s="365">
        <f t="shared" si="104"/>
        <v>0</v>
      </c>
      <c r="AF690" s="262"/>
      <c r="AG690" s="457"/>
      <c r="AH690" s="264"/>
    </row>
    <row r="691" spans="1:34" ht="60.75" thickBot="1">
      <c r="A691" s="458"/>
      <c r="B691" s="463"/>
      <c r="C691" s="580"/>
      <c r="D691" s="449" t="s">
        <v>261</v>
      </c>
      <c r="E691" s="262"/>
      <c r="F691" s="447" t="s">
        <v>1545</v>
      </c>
      <c r="G691" s="387" t="e">
        <f>VLOOKUP(A691,'Feature Summary'!$A$7:$C$3944,3,FALSE)</f>
        <v>#N/A</v>
      </c>
      <c r="H691" s="447" t="s">
        <v>1547</v>
      </c>
      <c r="I691" s="447"/>
      <c r="J691" s="448" t="s">
        <v>328</v>
      </c>
      <c r="K691" s="263"/>
      <c r="L691" s="391"/>
      <c r="M691" s="399" t="s">
        <v>33</v>
      </c>
      <c r="N691" s="475">
        <v>1</v>
      </c>
      <c r="O691" s="391"/>
      <c r="P691" s="496">
        <f t="shared" si="109"/>
        <v>0</v>
      </c>
      <c r="Q691" s="445" t="s">
        <v>52</v>
      </c>
      <c r="R691" s="391"/>
      <c r="S691" s="362">
        <f t="shared" si="108"/>
        <v>0</v>
      </c>
      <c r="T691" s="368"/>
      <c r="U691" s="368"/>
      <c r="V691" s="368" t="s">
        <v>757</v>
      </c>
      <c r="W691" s="368"/>
      <c r="X691" s="364">
        <f t="shared" si="106"/>
        <v>0</v>
      </c>
      <c r="Y691" s="393"/>
      <c r="Z691" s="498">
        <f t="shared" si="103"/>
        <v>0</v>
      </c>
      <c r="AA691" s="368"/>
      <c r="AB691" s="368"/>
      <c r="AC691" s="368"/>
      <c r="AD691" s="368"/>
      <c r="AE691" s="365">
        <f t="shared" si="104"/>
        <v>0</v>
      </c>
      <c r="AF691" s="262"/>
      <c r="AG691" s="457"/>
      <c r="AH691" s="264"/>
    </row>
    <row r="692" spans="1:34" ht="30.75" thickBot="1">
      <c r="A692" s="458"/>
      <c r="B692" s="463"/>
      <c r="C692" s="580"/>
      <c r="D692" s="449" t="s">
        <v>261</v>
      </c>
      <c r="E692" s="262"/>
      <c r="F692" s="447" t="s">
        <v>1545</v>
      </c>
      <c r="G692" s="387" t="e">
        <f>VLOOKUP(A692,'Feature Summary'!$A$7:$C$3944,3,FALSE)</f>
        <v>#N/A</v>
      </c>
      <c r="H692" s="447" t="s">
        <v>1548</v>
      </c>
      <c r="I692" s="447"/>
      <c r="J692" s="448" t="s">
        <v>297</v>
      </c>
      <c r="K692" s="263"/>
      <c r="L692" s="391"/>
      <c r="M692" s="399" t="s">
        <v>33</v>
      </c>
      <c r="N692" s="475">
        <v>1</v>
      </c>
      <c r="O692" s="391"/>
      <c r="P692" s="496">
        <f t="shared" si="109"/>
        <v>0</v>
      </c>
      <c r="Q692" s="445" t="s">
        <v>52</v>
      </c>
      <c r="R692" s="391"/>
      <c r="S692" s="362">
        <f t="shared" si="108"/>
        <v>0</v>
      </c>
      <c r="T692" s="368"/>
      <c r="U692" s="368"/>
      <c r="V692" s="368" t="s">
        <v>757</v>
      </c>
      <c r="W692" s="368"/>
      <c r="X692" s="364">
        <f t="shared" si="106"/>
        <v>0</v>
      </c>
      <c r="Y692" s="393"/>
      <c r="Z692" s="498">
        <f t="shared" si="103"/>
        <v>0</v>
      </c>
      <c r="AA692" s="368"/>
      <c r="AB692" s="368"/>
      <c r="AC692" s="368"/>
      <c r="AD692" s="368"/>
      <c r="AE692" s="365">
        <f t="shared" si="104"/>
        <v>0</v>
      </c>
      <c r="AF692" s="262"/>
      <c r="AG692" s="457"/>
      <c r="AH692" s="264"/>
    </row>
    <row r="693" spans="1:34" ht="15.75" thickBot="1">
      <c r="A693" s="458" t="s">
        <v>1549</v>
      </c>
      <c r="B693" s="463"/>
      <c r="C693" s="580" t="s">
        <v>335</v>
      </c>
      <c r="D693" s="449" t="s">
        <v>261</v>
      </c>
      <c r="E693" s="262"/>
      <c r="F693" s="447" t="s">
        <v>1550</v>
      </c>
      <c r="G693" s="387" t="str">
        <f>VLOOKUP(A693,'Feature Summary'!$A$7:$C$3944,3,FALSE)</f>
        <v>P2</v>
      </c>
      <c r="H693" s="447" t="s">
        <v>1551</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757</v>
      </c>
      <c r="W693" s="368"/>
      <c r="X693" s="364">
        <f t="shared" si="106"/>
        <v>1</v>
      </c>
      <c r="Y693" s="393"/>
      <c r="Z693" s="498">
        <f t="shared" si="103"/>
        <v>0</v>
      </c>
      <c r="AA693" s="368"/>
      <c r="AB693" s="368"/>
      <c r="AC693" s="368"/>
      <c r="AD693" s="368"/>
      <c r="AE693" s="365">
        <f t="shared" si="104"/>
        <v>0</v>
      </c>
      <c r="AF693" s="262"/>
      <c r="AG693" s="457"/>
      <c r="AH693" s="264"/>
    </row>
    <row r="694" spans="1:34" ht="60.75" thickBot="1">
      <c r="A694" s="458"/>
      <c r="B694" s="463"/>
      <c r="C694" s="580"/>
      <c r="D694" s="449" t="s">
        <v>261</v>
      </c>
      <c r="E694" s="262"/>
      <c r="F694" s="447" t="s">
        <v>1550</v>
      </c>
      <c r="G694" s="387" t="e">
        <f>VLOOKUP(A694,'Feature Summary'!$A$7:$C$3944,3,FALSE)</f>
        <v>#N/A</v>
      </c>
      <c r="H694" s="447" t="s">
        <v>1552</v>
      </c>
      <c r="I694" s="447"/>
      <c r="J694" s="448" t="s">
        <v>328</v>
      </c>
      <c r="K694" s="263"/>
      <c r="L694" s="391"/>
      <c r="M694" s="399" t="s">
        <v>33</v>
      </c>
      <c r="N694" s="475">
        <v>1</v>
      </c>
      <c r="O694" s="391"/>
      <c r="P694" s="496">
        <f t="shared" si="109"/>
        <v>0</v>
      </c>
      <c r="Q694" s="445" t="s">
        <v>52</v>
      </c>
      <c r="R694" s="391"/>
      <c r="S694" s="362">
        <f t="shared" si="108"/>
        <v>0</v>
      </c>
      <c r="T694" s="368"/>
      <c r="U694" s="368"/>
      <c r="V694" s="368" t="s">
        <v>757</v>
      </c>
      <c r="W694" s="368"/>
      <c r="X694" s="364">
        <f t="shared" si="106"/>
        <v>0</v>
      </c>
      <c r="Y694" s="393"/>
      <c r="Z694" s="498">
        <f t="shared" si="103"/>
        <v>0</v>
      </c>
      <c r="AA694" s="368"/>
      <c r="AB694" s="368"/>
      <c r="AC694" s="368"/>
      <c r="AD694" s="368"/>
      <c r="AE694" s="365">
        <f t="shared" si="104"/>
        <v>0</v>
      </c>
      <c r="AF694" s="262"/>
      <c r="AG694" s="457"/>
      <c r="AH694" s="264"/>
    </row>
    <row r="695" spans="1:34" ht="30.75" thickBot="1">
      <c r="A695" s="458"/>
      <c r="B695" s="463"/>
      <c r="C695" s="580"/>
      <c r="D695" s="449" t="s">
        <v>261</v>
      </c>
      <c r="E695" s="262"/>
      <c r="F695" s="447" t="s">
        <v>1550</v>
      </c>
      <c r="G695" s="387" t="e">
        <f>VLOOKUP(A695,'Feature Summary'!$A$7:$C$3944,3,FALSE)</f>
        <v>#N/A</v>
      </c>
      <c r="H695" s="447" t="s">
        <v>1553</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thickBot="1">
      <c r="A696" s="474" t="s">
        <v>1554</v>
      </c>
      <c r="B696" s="470" t="s">
        <v>1555</v>
      </c>
      <c r="C696" s="580" t="s">
        <v>260</v>
      </c>
      <c r="D696" s="449" t="s">
        <v>261</v>
      </c>
      <c r="E696" s="262"/>
      <c r="F696" s="447" t="s">
        <v>1556</v>
      </c>
      <c r="G696" s="387" t="e">
        <f>VLOOKUP(A696,'Feature Summary'!$A$7:$C$3944,3,FALSE)</f>
        <v>#N/A</v>
      </c>
      <c r="H696" s="447" t="s">
        <v>1557</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75" thickBot="1">
      <c r="A697" s="474"/>
      <c r="B697" s="470" t="s">
        <v>1555</v>
      </c>
      <c r="C697" s="580"/>
      <c r="D697" s="449" t="s">
        <v>261</v>
      </c>
      <c r="E697" s="262"/>
      <c r="F697" s="447" t="s">
        <v>1556</v>
      </c>
      <c r="G697" s="387" t="e">
        <f>VLOOKUP(A697,'Feature Summary'!$A$7:$C$3944,3,FALSE)</f>
        <v>#N/A</v>
      </c>
      <c r="H697" s="447" t="s">
        <v>1558</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thickBot="1">
      <c r="A698" s="458" t="s">
        <v>1554</v>
      </c>
      <c r="B698" s="463"/>
      <c r="C698" s="580" t="s">
        <v>260</v>
      </c>
      <c r="D698" s="449" t="s">
        <v>261</v>
      </c>
      <c r="E698" s="262"/>
      <c r="F698" s="447" t="s">
        <v>1559</v>
      </c>
      <c r="G698" s="387" t="e">
        <f>VLOOKUP(A698,'Feature Summary'!$A$7:$C$3944,3,FALSE)</f>
        <v>#N/A</v>
      </c>
      <c r="H698" s="447" t="s">
        <v>1560</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60.75" thickBot="1">
      <c r="A699" s="458"/>
      <c r="B699" s="463"/>
      <c r="C699" s="580"/>
      <c r="D699" s="449" t="s">
        <v>261</v>
      </c>
      <c r="E699" s="262"/>
      <c r="F699" s="447" t="s">
        <v>1559</v>
      </c>
      <c r="G699" s="387" t="e">
        <f>VLOOKUP(A699,'Feature Summary'!$A$7:$C$3944,3,FALSE)</f>
        <v>#N/A</v>
      </c>
      <c r="H699" s="447" t="s">
        <v>1561</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30.75" thickBot="1">
      <c r="A700" s="458"/>
      <c r="B700" s="463"/>
      <c r="C700" s="580"/>
      <c r="D700" s="449" t="s">
        <v>261</v>
      </c>
      <c r="E700" s="262"/>
      <c r="F700" s="447" t="s">
        <v>1559</v>
      </c>
      <c r="G700" s="387" t="e">
        <f>VLOOKUP(A700,'Feature Summary'!$A$7:$C$3944,3,FALSE)</f>
        <v>#N/A</v>
      </c>
      <c r="H700" s="447" t="s">
        <v>1562</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45.75" thickBot="1">
      <c r="A701" s="458" t="s">
        <v>1549</v>
      </c>
      <c r="B701" s="463"/>
      <c r="C701" s="580" t="s">
        <v>335</v>
      </c>
      <c r="D701" s="449" t="s">
        <v>261</v>
      </c>
      <c r="E701" s="262"/>
      <c r="F701" s="447" t="s">
        <v>1563</v>
      </c>
      <c r="G701" s="387" t="str">
        <f>VLOOKUP(A701,'Feature Summary'!$A$7:$C$3944,3,FALSE)</f>
        <v>P2</v>
      </c>
      <c r="H701" s="447" t="s">
        <v>1564</v>
      </c>
      <c r="I701" s="488" t="s">
        <v>264</v>
      </c>
      <c r="J701" s="448" t="s">
        <v>1565</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90.75" thickBot="1">
      <c r="A702" s="458"/>
      <c r="B702" s="463"/>
      <c r="C702" s="580"/>
      <c r="D702" s="449" t="s">
        <v>261</v>
      </c>
      <c r="E702" s="262"/>
      <c r="F702" s="447" t="s">
        <v>1563</v>
      </c>
      <c r="G702" s="387" t="e">
        <f>VLOOKUP(A702,'Feature Summary'!$A$7:$C$3944,3,FALSE)</f>
        <v>#N/A</v>
      </c>
      <c r="H702" s="447" t="s">
        <v>1566</v>
      </c>
      <c r="I702" s="447"/>
      <c r="J702" s="448" t="s">
        <v>1567</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30.75" thickBot="1">
      <c r="A703" s="458"/>
      <c r="B703" s="463"/>
      <c r="C703" s="580"/>
      <c r="D703" s="449" t="s">
        <v>261</v>
      </c>
      <c r="E703" s="262"/>
      <c r="F703" s="447" t="s">
        <v>1563</v>
      </c>
      <c r="G703" s="387" t="e">
        <f>VLOOKUP(A703,'Feature Summary'!$A$7:$C$3944,3,FALSE)</f>
        <v>#N/A</v>
      </c>
      <c r="H703" s="447" t="s">
        <v>1568</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60.75" thickBot="1">
      <c r="A704" s="458"/>
      <c r="B704" s="463"/>
      <c r="C704" s="580"/>
      <c r="D704" s="449" t="s">
        <v>261</v>
      </c>
      <c r="E704" s="262"/>
      <c r="F704" s="447" t="s">
        <v>1563</v>
      </c>
      <c r="G704" s="387" t="e">
        <f>VLOOKUP(A704,'Feature Summary'!$A$7:$C$3944,3,FALSE)</f>
        <v>#N/A</v>
      </c>
      <c r="H704" s="447" t="s">
        <v>1569</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thickBot="1">
      <c r="A705" s="458" t="s">
        <v>1570</v>
      </c>
      <c r="B705" s="470" t="s">
        <v>1571</v>
      </c>
      <c r="C705" s="463" t="s">
        <v>354</v>
      </c>
      <c r="D705" s="449" t="s">
        <v>261</v>
      </c>
      <c r="E705" s="262"/>
      <c r="F705" s="470" t="s">
        <v>1572</v>
      </c>
      <c r="G705" s="387" t="str">
        <f>VLOOKUP(A705,'Feature Summary'!$A$7:$C$3944,3,FALSE)</f>
        <v>P2</v>
      </c>
      <c r="H705" s="447" t="s">
        <v>1573</v>
      </c>
      <c r="I705" s="488" t="s">
        <v>264</v>
      </c>
      <c r="J705" s="480" t="s">
        <v>1574</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thickBot="1">
      <c r="A706" s="458" t="s">
        <v>1570</v>
      </c>
      <c r="B706" s="470" t="s">
        <v>1571</v>
      </c>
      <c r="C706" s="463" t="s">
        <v>354</v>
      </c>
      <c r="D706" s="449" t="s">
        <v>261</v>
      </c>
      <c r="E706" s="262"/>
      <c r="F706" s="470" t="s">
        <v>1575</v>
      </c>
      <c r="G706" s="387" t="str">
        <f>VLOOKUP(A706,'Feature Summary'!$A$7:$C$3944,3,FALSE)</f>
        <v>P2</v>
      </c>
      <c r="H706" s="447" t="s">
        <v>1576</v>
      </c>
      <c r="I706" s="488" t="s">
        <v>264</v>
      </c>
      <c r="J706" s="480" t="s">
        <v>1577</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thickBot="1">
      <c r="A707" s="458" t="s">
        <v>1570</v>
      </c>
      <c r="B707" s="470" t="s">
        <v>1571</v>
      </c>
      <c r="C707" s="463" t="s">
        <v>354</v>
      </c>
      <c r="D707" s="449" t="s">
        <v>261</v>
      </c>
      <c r="E707" s="262"/>
      <c r="F707" s="470" t="s">
        <v>1578</v>
      </c>
      <c r="G707" s="387" t="str">
        <f>VLOOKUP(A707,'Feature Summary'!$A$7:$C$3944,3,FALSE)</f>
        <v>P2</v>
      </c>
      <c r="H707" s="447" t="s">
        <v>1579</v>
      </c>
      <c r="I707" s="488" t="s">
        <v>264</v>
      </c>
      <c r="J707" s="480" t="s">
        <v>1580</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thickBot="1">
      <c r="A708" s="458" t="s">
        <v>1570</v>
      </c>
      <c r="B708" s="470" t="s">
        <v>1571</v>
      </c>
      <c r="C708" s="463" t="s">
        <v>354</v>
      </c>
      <c r="D708" s="449" t="s">
        <v>261</v>
      </c>
      <c r="E708" s="262"/>
      <c r="F708" s="470" t="s">
        <v>1581</v>
      </c>
      <c r="G708" s="387" t="str">
        <f>VLOOKUP(A708,'Feature Summary'!$A$7:$C$3944,3,FALSE)</f>
        <v>P2</v>
      </c>
      <c r="H708" s="447" t="s">
        <v>1582</v>
      </c>
      <c r="I708" s="488" t="s">
        <v>264</v>
      </c>
      <c r="J708" s="480" t="s">
        <v>1577</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thickBot="1">
      <c r="A709" s="458" t="s">
        <v>1570</v>
      </c>
      <c r="B709" s="470" t="s">
        <v>1571</v>
      </c>
      <c r="C709" s="463" t="s">
        <v>354</v>
      </c>
      <c r="D709" s="449" t="s">
        <v>261</v>
      </c>
      <c r="E709" s="262"/>
      <c r="F709" s="470" t="s">
        <v>1583</v>
      </c>
      <c r="G709" s="387" t="str">
        <f>VLOOKUP(A709,'Feature Summary'!$A$7:$C$3944,3,FALSE)</f>
        <v>P2</v>
      </c>
      <c r="H709" s="447" t="s">
        <v>1584</v>
      </c>
      <c r="I709" s="488" t="s">
        <v>264</v>
      </c>
      <c r="J709" s="480" t="s">
        <v>1580</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thickBot="1">
      <c r="A710" s="458" t="s">
        <v>1570</v>
      </c>
      <c r="B710" s="470" t="s">
        <v>1571</v>
      </c>
      <c r="C710" s="463" t="s">
        <v>354</v>
      </c>
      <c r="D710" s="449" t="s">
        <v>261</v>
      </c>
      <c r="E710" s="262"/>
      <c r="F710" s="470" t="s">
        <v>1585</v>
      </c>
      <c r="G710" s="387" t="str">
        <f>VLOOKUP(A710,'Feature Summary'!$A$7:$C$3944,3,FALSE)</f>
        <v>P2</v>
      </c>
      <c r="H710" s="447" t="s">
        <v>1586</v>
      </c>
      <c r="I710" s="488" t="s">
        <v>264</v>
      </c>
      <c r="J710" s="480" t="s">
        <v>1587</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thickBot="1">
      <c r="A711" s="458"/>
      <c r="B711" s="470" t="s">
        <v>1571</v>
      </c>
      <c r="C711" s="463" t="s">
        <v>354</v>
      </c>
      <c r="D711" s="449" t="s">
        <v>261</v>
      </c>
      <c r="E711" s="262"/>
      <c r="F711" s="470" t="s">
        <v>1588</v>
      </c>
      <c r="G711" s="387" t="e">
        <f>VLOOKUP(A711,'Feature Summary'!$A$7:$C$3944,3,FALSE)</f>
        <v>#N/A</v>
      </c>
      <c r="H711" s="447" t="s">
        <v>1589</v>
      </c>
      <c r="I711" s="488" t="s">
        <v>264</v>
      </c>
      <c r="J711" s="480" t="s">
        <v>1580</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thickBot="1">
      <c r="A712" s="458"/>
      <c r="B712" s="470" t="s">
        <v>1571</v>
      </c>
      <c r="C712" s="463" t="s">
        <v>354</v>
      </c>
      <c r="D712" s="449" t="s">
        <v>261</v>
      </c>
      <c r="E712" s="262"/>
      <c r="F712" s="470" t="s">
        <v>1590</v>
      </c>
      <c r="G712" s="387" t="e">
        <f>VLOOKUP(A712,'Feature Summary'!$A$7:$C$3944,3,FALSE)</f>
        <v>#N/A</v>
      </c>
      <c r="H712" s="447" t="s">
        <v>1591</v>
      </c>
      <c r="I712" s="488" t="s">
        <v>264</v>
      </c>
      <c r="J712" s="480" t="s">
        <v>1587</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thickBot="1">
      <c r="A713" s="458"/>
      <c r="B713" s="470" t="s">
        <v>1571</v>
      </c>
      <c r="C713" s="463" t="s">
        <v>354</v>
      </c>
      <c r="D713" s="449" t="s">
        <v>261</v>
      </c>
      <c r="E713" s="262"/>
      <c r="F713" s="470" t="s">
        <v>1592</v>
      </c>
      <c r="G713" s="387" t="e">
        <f>VLOOKUP(A713,'Feature Summary'!$A$7:$C$3944,3,FALSE)</f>
        <v>#N/A</v>
      </c>
      <c r="H713" s="447" t="s">
        <v>1593</v>
      </c>
      <c r="I713" s="488" t="s">
        <v>264</v>
      </c>
      <c r="J713" s="480" t="s">
        <v>1580</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thickBot="1">
      <c r="A714" s="458"/>
      <c r="B714" s="470" t="s">
        <v>1571</v>
      </c>
      <c r="C714" s="463" t="s">
        <v>354</v>
      </c>
      <c r="D714" s="449" t="s">
        <v>261</v>
      </c>
      <c r="E714" s="262"/>
      <c r="F714" s="470" t="s">
        <v>1594</v>
      </c>
      <c r="G714" s="387" t="e">
        <f>VLOOKUP(A714,'Feature Summary'!$A$7:$C$3944,3,FALSE)</f>
        <v>#N/A</v>
      </c>
      <c r="H714" s="447" t="s">
        <v>1595</v>
      </c>
      <c r="I714" s="488" t="s">
        <v>264</v>
      </c>
      <c r="J714" s="480" t="s">
        <v>1587</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ht="15.75" thickBot="1">
      <c r="A715" s="458"/>
      <c r="B715" s="470" t="s">
        <v>1571</v>
      </c>
      <c r="C715" s="463"/>
      <c r="D715" s="449" t="s">
        <v>261</v>
      </c>
      <c r="E715" s="262"/>
      <c r="F715" s="470" t="s">
        <v>1572</v>
      </c>
      <c r="G715" s="387" t="e">
        <f>VLOOKUP(A715,'Feature Summary'!$A$7:$C$3944,3,FALSE)</f>
        <v>#N/A</v>
      </c>
      <c r="H715" s="447" t="s">
        <v>1596</v>
      </c>
      <c r="I715" s="447"/>
      <c r="J715" s="480" t="s">
        <v>1597</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75" thickBot="1">
      <c r="A716" s="458"/>
      <c r="B716" s="470" t="s">
        <v>1571</v>
      </c>
      <c r="C716" s="463"/>
      <c r="D716" s="449" t="s">
        <v>261</v>
      </c>
      <c r="E716" s="262"/>
      <c r="F716" s="470" t="s">
        <v>1575</v>
      </c>
      <c r="G716" s="387" t="e">
        <f>VLOOKUP(A716,'Feature Summary'!$A$7:$C$3944,3,FALSE)</f>
        <v>#N/A</v>
      </c>
      <c r="H716" s="447" t="s">
        <v>1598</v>
      </c>
      <c r="I716" s="447"/>
      <c r="J716" s="480" t="s">
        <v>1599</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75" thickBot="1">
      <c r="A717" s="458"/>
      <c r="B717" s="470" t="s">
        <v>1571</v>
      </c>
      <c r="C717" s="463"/>
      <c r="D717" s="449" t="s">
        <v>261</v>
      </c>
      <c r="E717" s="262"/>
      <c r="F717" s="470" t="s">
        <v>1578</v>
      </c>
      <c r="G717" s="387" t="e">
        <f>VLOOKUP(A717,'Feature Summary'!$A$7:$C$3944,3,FALSE)</f>
        <v>#N/A</v>
      </c>
      <c r="H717" s="447" t="s">
        <v>1600</v>
      </c>
      <c r="I717" s="447"/>
      <c r="J717" s="480" t="s">
        <v>1597</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75" thickBot="1">
      <c r="A718" s="458"/>
      <c r="B718" s="470" t="s">
        <v>1571</v>
      </c>
      <c r="C718" s="463"/>
      <c r="D718" s="449" t="s">
        <v>261</v>
      </c>
      <c r="E718" s="262"/>
      <c r="F718" s="470" t="s">
        <v>1581</v>
      </c>
      <c r="G718" s="387" t="e">
        <f>VLOOKUP(A718,'Feature Summary'!$A$7:$C$3944,3,FALSE)</f>
        <v>#N/A</v>
      </c>
      <c r="H718" s="447" t="s">
        <v>1601</v>
      </c>
      <c r="I718" s="447"/>
      <c r="J718" s="480" t="s">
        <v>1599</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75" thickBot="1">
      <c r="A719" s="458"/>
      <c r="B719" s="470" t="s">
        <v>1571</v>
      </c>
      <c r="C719" s="463"/>
      <c r="D719" s="449" t="s">
        <v>261</v>
      </c>
      <c r="E719" s="262"/>
      <c r="F719" s="470" t="s">
        <v>1583</v>
      </c>
      <c r="G719" s="387" t="e">
        <f>VLOOKUP(A719,'Feature Summary'!$A$7:$C$3944,3,FALSE)</f>
        <v>#N/A</v>
      </c>
      <c r="H719" s="447" t="s">
        <v>1602</v>
      </c>
      <c r="I719" s="447"/>
      <c r="J719" s="480" t="s">
        <v>1597</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75" thickBot="1">
      <c r="A720" s="458"/>
      <c r="B720" s="470" t="s">
        <v>1571</v>
      </c>
      <c r="C720" s="463" t="s">
        <v>44</v>
      </c>
      <c r="D720" s="449" t="s">
        <v>261</v>
      </c>
      <c r="E720" s="262"/>
      <c r="F720" s="470" t="s">
        <v>1585</v>
      </c>
      <c r="G720" s="387" t="e">
        <f>VLOOKUP(A720,'Feature Summary'!$A$7:$C$3944,3,FALSE)</f>
        <v>#N/A</v>
      </c>
      <c r="H720" s="447" t="s">
        <v>1603</v>
      </c>
      <c r="I720" s="447"/>
      <c r="J720" s="480" t="s">
        <v>1599</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ht="15.75" thickBot="1">
      <c r="A721" s="458"/>
      <c r="B721" s="470" t="s">
        <v>1571</v>
      </c>
      <c r="C721" s="463" t="s">
        <v>44</v>
      </c>
      <c r="D721" s="449" t="s">
        <v>261</v>
      </c>
      <c r="E721" s="262"/>
      <c r="F721" s="470" t="s">
        <v>1588</v>
      </c>
      <c r="G721" s="387" t="e">
        <f>VLOOKUP(A721,'Feature Summary'!$A$7:$C$3944,3,FALSE)</f>
        <v>#N/A</v>
      </c>
      <c r="H721" s="447" t="s">
        <v>1604</v>
      </c>
      <c r="I721" s="447"/>
      <c r="J721" s="480" t="s">
        <v>1597</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ht="15.75" thickBot="1">
      <c r="A722" s="458"/>
      <c r="B722" s="470" t="s">
        <v>1571</v>
      </c>
      <c r="C722" s="463" t="s">
        <v>44</v>
      </c>
      <c r="D722" s="449" t="s">
        <v>261</v>
      </c>
      <c r="E722" s="262"/>
      <c r="F722" s="470" t="s">
        <v>1590</v>
      </c>
      <c r="G722" s="387" t="e">
        <f>VLOOKUP(A722,'Feature Summary'!$A$7:$C$3944,3,FALSE)</f>
        <v>#N/A</v>
      </c>
      <c r="H722" s="447" t="s">
        <v>1605</v>
      </c>
      <c r="I722" s="447"/>
      <c r="J722" s="480" t="s">
        <v>1599</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ht="15.75" thickBot="1">
      <c r="A723" s="458"/>
      <c r="B723" s="470" t="s">
        <v>1571</v>
      </c>
      <c r="C723" s="463" t="s">
        <v>44</v>
      </c>
      <c r="D723" s="449" t="s">
        <v>261</v>
      </c>
      <c r="E723" s="262"/>
      <c r="F723" s="470" t="s">
        <v>1592</v>
      </c>
      <c r="G723" s="387" t="e">
        <f>VLOOKUP(A723,'Feature Summary'!$A$7:$C$3944,3,FALSE)</f>
        <v>#N/A</v>
      </c>
      <c r="H723" s="447" t="s">
        <v>1606</v>
      </c>
      <c r="I723" s="447"/>
      <c r="J723" s="480" t="s">
        <v>1597</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ht="15.75" thickBot="1">
      <c r="A724" s="458"/>
      <c r="B724" s="470" t="s">
        <v>1571</v>
      </c>
      <c r="C724" s="463" t="s">
        <v>44</v>
      </c>
      <c r="D724" s="449" t="s">
        <v>261</v>
      </c>
      <c r="E724" s="262"/>
      <c r="F724" s="470" t="s">
        <v>1594</v>
      </c>
      <c r="G724" s="387" t="e">
        <f>VLOOKUP(A724,'Feature Summary'!$A$7:$C$3944,3,FALSE)</f>
        <v>#N/A</v>
      </c>
      <c r="H724" s="447" t="s">
        <v>1607</v>
      </c>
      <c r="I724" s="447"/>
      <c r="J724" s="480" t="s">
        <v>1599</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75.75" thickBot="1">
      <c r="A725" s="458" t="s">
        <v>1608</v>
      </c>
      <c r="B725" s="447" t="s">
        <v>1609</v>
      </c>
      <c r="C725" s="463" t="s">
        <v>260</v>
      </c>
      <c r="D725" s="449" t="s">
        <v>261</v>
      </c>
      <c r="E725" s="262"/>
      <c r="F725" s="470" t="s">
        <v>1610</v>
      </c>
      <c r="G725" s="387" t="e">
        <f>VLOOKUP(A725,'Feature Summary'!$A$7:$C$3944,3,FALSE)</f>
        <v>#N/A</v>
      </c>
      <c r="H725" s="447" t="s">
        <v>1611</v>
      </c>
      <c r="I725" s="488" t="s">
        <v>264</v>
      </c>
      <c r="J725" s="448" t="s">
        <v>1612</v>
      </c>
      <c r="K725" s="263">
        <v>1</v>
      </c>
      <c r="L725" s="391">
        <v>32</v>
      </c>
      <c r="M725" s="399" t="s">
        <v>33</v>
      </c>
      <c r="N725" s="475">
        <v>1</v>
      </c>
      <c r="O725" s="391">
        <v>32</v>
      </c>
      <c r="P725" s="496">
        <f t="shared" si="114"/>
        <v>1</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customHeight="1" thickBot="1">
      <c r="A726" s="458"/>
      <c r="B726" s="447" t="s">
        <v>1609</v>
      </c>
      <c r="C726" s="463" t="s">
        <v>44</v>
      </c>
      <c r="D726" s="449" t="s">
        <v>261</v>
      </c>
      <c r="E726" s="262"/>
      <c r="F726" s="470" t="s">
        <v>1610</v>
      </c>
      <c r="G726" s="387" t="e">
        <f>VLOOKUP(A726,'Feature Summary'!$A$7:$C$3944,3,FALSE)</f>
        <v>#N/A</v>
      </c>
      <c r="H726" s="447" t="s">
        <v>1613</v>
      </c>
      <c r="I726" s="447"/>
      <c r="J726" s="448" t="s">
        <v>1614</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90.75" thickBot="1">
      <c r="A727" s="458"/>
      <c r="B727" s="447" t="s">
        <v>1609</v>
      </c>
      <c r="C727" s="463" t="s">
        <v>44</v>
      </c>
      <c r="D727" s="449" t="s">
        <v>261</v>
      </c>
      <c r="E727" s="262"/>
      <c r="F727" s="470" t="s">
        <v>1610</v>
      </c>
      <c r="G727" s="387" t="e">
        <f>VLOOKUP(A727,'Feature Summary'!$A$7:$C$3944,3,FALSE)</f>
        <v>#N/A</v>
      </c>
      <c r="H727" s="447" t="s">
        <v>1615</v>
      </c>
      <c r="I727" s="447"/>
      <c r="J727" s="448" t="s">
        <v>1616</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120.75" thickBot="1">
      <c r="A728" s="458"/>
      <c r="B728" s="447" t="s">
        <v>1609</v>
      </c>
      <c r="C728" s="463" t="s">
        <v>44</v>
      </c>
      <c r="D728" s="449" t="s">
        <v>261</v>
      </c>
      <c r="E728" s="262"/>
      <c r="F728" s="470" t="s">
        <v>1610</v>
      </c>
      <c r="G728" s="387" t="e">
        <f>VLOOKUP(A728,'Feature Summary'!$A$7:$C$3944,3,FALSE)</f>
        <v>#N/A</v>
      </c>
      <c r="H728" s="447" t="s">
        <v>1617</v>
      </c>
      <c r="I728" s="447"/>
      <c r="J728" s="448" t="s">
        <v>1618</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thickBot="1">
      <c r="A729" s="458" t="s">
        <v>1619</v>
      </c>
      <c r="B729" s="470" t="s">
        <v>1620</v>
      </c>
      <c r="C729" s="463" t="s">
        <v>651</v>
      </c>
      <c r="D729" s="449" t="s">
        <v>261</v>
      </c>
      <c r="E729" s="262"/>
      <c r="F729" s="447" t="s">
        <v>1621</v>
      </c>
      <c r="G729" s="387" t="e">
        <f>VLOOKUP(A729,'Feature Summary'!$A$7:$C$3944,3,FALSE)</f>
        <v>#N/A</v>
      </c>
      <c r="H729" s="447" t="s">
        <v>1622</v>
      </c>
      <c r="I729" s="488" t="s">
        <v>264</v>
      </c>
      <c r="J729" s="448" t="s">
        <v>281</v>
      </c>
      <c r="K729" s="263">
        <v>1</v>
      </c>
      <c r="L729" s="391">
        <v>16</v>
      </c>
      <c r="M729" s="399" t="s">
        <v>33</v>
      </c>
      <c r="N729" s="475">
        <v>1</v>
      </c>
      <c r="O729" s="391">
        <v>16</v>
      </c>
      <c r="P729" s="496">
        <f t="shared" si="114"/>
        <v>1</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60.75" thickBot="1">
      <c r="A730" s="458"/>
      <c r="B730" s="470" t="s">
        <v>1620</v>
      </c>
      <c r="C730" s="463" t="s">
        <v>44</v>
      </c>
      <c r="D730" s="449" t="s">
        <v>261</v>
      </c>
      <c r="E730" s="262"/>
      <c r="F730" s="447" t="s">
        <v>1621</v>
      </c>
      <c r="G730" s="387" t="e">
        <f>VLOOKUP(A730,'Feature Summary'!$A$7:$C$3944,3,FALSE)</f>
        <v>#N/A</v>
      </c>
      <c r="H730" s="447" t="s">
        <v>1623</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thickBot="1">
      <c r="A731" s="458" t="s">
        <v>1619</v>
      </c>
      <c r="B731" s="470" t="s">
        <v>1620</v>
      </c>
      <c r="C731" s="463" t="s">
        <v>651</v>
      </c>
      <c r="D731" s="449" t="s">
        <v>261</v>
      </c>
      <c r="E731" s="262"/>
      <c r="F731" s="470" t="s">
        <v>1624</v>
      </c>
      <c r="G731" s="387" t="e">
        <f>VLOOKUP(A731,'Feature Summary'!$A$7:$C$3944,3,FALSE)</f>
        <v>#N/A</v>
      </c>
      <c r="H731" s="447" t="s">
        <v>1625</v>
      </c>
      <c r="I731" s="488" t="s">
        <v>264</v>
      </c>
      <c r="J731" s="448" t="s">
        <v>281</v>
      </c>
      <c r="K731" s="263">
        <v>1</v>
      </c>
      <c r="L731" s="391">
        <v>16</v>
      </c>
      <c r="M731" s="399" t="s">
        <v>33</v>
      </c>
      <c r="N731" s="475">
        <v>1</v>
      </c>
      <c r="O731" s="391">
        <v>16</v>
      </c>
      <c r="P731" s="496">
        <f t="shared" si="114"/>
        <v>1</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30.75" thickBot="1">
      <c r="A732" s="458" t="s">
        <v>1619</v>
      </c>
      <c r="B732" s="470" t="s">
        <v>1620</v>
      </c>
      <c r="C732" s="463" t="s">
        <v>651</v>
      </c>
      <c r="D732" s="449" t="s">
        <v>261</v>
      </c>
      <c r="E732" s="262"/>
      <c r="F732" s="470" t="s">
        <v>1626</v>
      </c>
      <c r="G732" s="387" t="e">
        <f>VLOOKUP(A732,'Feature Summary'!$A$7:$C$3944,3,FALSE)</f>
        <v>#N/A</v>
      </c>
      <c r="H732" s="447" t="s">
        <v>1627</v>
      </c>
      <c r="I732" s="488" t="s">
        <v>264</v>
      </c>
      <c r="J732" s="448" t="s">
        <v>320</v>
      </c>
      <c r="K732" s="263">
        <v>1</v>
      </c>
      <c r="L732" s="391">
        <v>14</v>
      </c>
      <c r="M732" s="399" t="s">
        <v>33</v>
      </c>
      <c r="N732" s="475">
        <v>1</v>
      </c>
      <c r="O732" s="391">
        <v>14</v>
      </c>
      <c r="P732" s="496">
        <f t="shared" si="114"/>
        <v>1</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30.75" thickBot="1">
      <c r="A733" s="458" t="s">
        <v>1628</v>
      </c>
      <c r="B733" s="470" t="s">
        <v>1620</v>
      </c>
      <c r="C733" s="463" t="s">
        <v>651</v>
      </c>
      <c r="D733" s="449" t="s">
        <v>261</v>
      </c>
      <c r="E733" s="262"/>
      <c r="F733" s="470" t="s">
        <v>1629</v>
      </c>
      <c r="G733" s="387" t="e">
        <f>VLOOKUP(A733,'Feature Summary'!$A$7:$C$3944,3,FALSE)</f>
        <v>#N/A</v>
      </c>
      <c r="H733" s="447" t="s">
        <v>1630</v>
      </c>
      <c r="I733" s="488" t="s">
        <v>264</v>
      </c>
      <c r="J733" s="448" t="s">
        <v>320</v>
      </c>
      <c r="K733" s="263">
        <v>1</v>
      </c>
      <c r="L733" s="391">
        <v>14</v>
      </c>
      <c r="M733" s="399" t="s">
        <v>33</v>
      </c>
      <c r="N733" s="475">
        <v>1</v>
      </c>
      <c r="O733" s="391">
        <v>14</v>
      </c>
      <c r="P733" s="496">
        <f t="shared" si="114"/>
        <v>1</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thickBot="1">
      <c r="A734" s="458" t="s">
        <v>1619</v>
      </c>
      <c r="B734" s="470" t="s">
        <v>1620</v>
      </c>
      <c r="C734" s="463" t="s">
        <v>651</v>
      </c>
      <c r="D734" s="449" t="s">
        <v>261</v>
      </c>
      <c r="E734" s="262"/>
      <c r="F734" s="470" t="s">
        <v>1631</v>
      </c>
      <c r="G734" s="387" t="e">
        <f>VLOOKUP(A734,'Feature Summary'!$A$7:$C$3944,3,FALSE)</f>
        <v>#N/A</v>
      </c>
      <c r="H734" s="447" t="s">
        <v>1632</v>
      </c>
      <c r="I734" s="488" t="s">
        <v>264</v>
      </c>
      <c r="J734" s="476" t="s">
        <v>841</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thickBot="1">
      <c r="A735" s="458" t="s">
        <v>1619</v>
      </c>
      <c r="B735" s="470" t="s">
        <v>1620</v>
      </c>
      <c r="C735" s="463" t="s">
        <v>651</v>
      </c>
      <c r="D735" s="449" t="s">
        <v>261</v>
      </c>
      <c r="E735" s="262"/>
      <c r="F735" s="470" t="s">
        <v>1633</v>
      </c>
      <c r="G735" s="387" t="e">
        <f>VLOOKUP(A735,'Feature Summary'!$A$7:$C$3944,3,FALSE)</f>
        <v>#N/A</v>
      </c>
      <c r="H735" s="447" t="s">
        <v>1634</v>
      </c>
      <c r="I735" s="488" t="s">
        <v>264</v>
      </c>
      <c r="J735" s="476" t="s">
        <v>841</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thickBot="1">
      <c r="A736" s="458" t="s">
        <v>1619</v>
      </c>
      <c r="B736" s="470" t="s">
        <v>1620</v>
      </c>
      <c r="C736" s="463" t="s">
        <v>651</v>
      </c>
      <c r="D736" s="449" t="s">
        <v>261</v>
      </c>
      <c r="E736" s="262"/>
      <c r="F736" s="470" t="s">
        <v>1635</v>
      </c>
      <c r="G736" s="387" t="e">
        <f>VLOOKUP(A736,'Feature Summary'!$A$7:$C$3944,3,FALSE)</f>
        <v>#N/A</v>
      </c>
      <c r="H736" s="447" t="s">
        <v>1636</v>
      </c>
      <c r="I736" s="488" t="s">
        <v>264</v>
      </c>
      <c r="J736" s="448" t="s">
        <v>846</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30.75" thickBot="1">
      <c r="A737" s="458" t="s">
        <v>1619</v>
      </c>
      <c r="B737" s="470" t="s">
        <v>1620</v>
      </c>
      <c r="C737" s="463" t="s">
        <v>651</v>
      </c>
      <c r="D737" s="449" t="s">
        <v>261</v>
      </c>
      <c r="E737" s="262"/>
      <c r="F737" s="470" t="s">
        <v>1637</v>
      </c>
      <c r="G737" s="387" t="e">
        <f>VLOOKUP(A737,'Feature Summary'!$A$7:$C$3944,3,FALSE)</f>
        <v>#N/A</v>
      </c>
      <c r="H737" s="447" t="s">
        <v>1638</v>
      </c>
      <c r="I737" s="488" t="s">
        <v>264</v>
      </c>
      <c r="J737" s="448" t="s">
        <v>1639</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thickBot="1">
      <c r="A738" s="458" t="s">
        <v>1619</v>
      </c>
      <c r="B738" s="470" t="s">
        <v>1620</v>
      </c>
      <c r="C738" s="463" t="s">
        <v>651</v>
      </c>
      <c r="D738" s="449" t="s">
        <v>261</v>
      </c>
      <c r="E738" s="262"/>
      <c r="F738" s="447" t="s">
        <v>1640</v>
      </c>
      <c r="G738" s="387" t="e">
        <f>VLOOKUP(A738,'Feature Summary'!$A$7:$C$3944,3,FALSE)</f>
        <v>#N/A</v>
      </c>
      <c r="H738" s="447" t="s">
        <v>1641</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thickBot="1">
      <c r="A739" s="458" t="s">
        <v>1619</v>
      </c>
      <c r="B739" s="470" t="s">
        <v>1620</v>
      </c>
      <c r="C739" s="463" t="s">
        <v>651</v>
      </c>
      <c r="D739" s="449" t="s">
        <v>261</v>
      </c>
      <c r="E739" s="262"/>
      <c r="F739" s="447" t="s">
        <v>1642</v>
      </c>
      <c r="G739" s="387" t="e">
        <f>VLOOKUP(A739,'Feature Summary'!$A$7:$C$3944,3,FALSE)</f>
        <v>#N/A</v>
      </c>
      <c r="H739" s="447" t="s">
        <v>1643</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thickBot="1">
      <c r="A740" s="458" t="s">
        <v>1619</v>
      </c>
      <c r="B740" s="470" t="s">
        <v>1620</v>
      </c>
      <c r="C740" s="463" t="s">
        <v>651</v>
      </c>
      <c r="D740" s="449" t="s">
        <v>261</v>
      </c>
      <c r="E740" s="262"/>
      <c r="F740" s="470" t="s">
        <v>1644</v>
      </c>
      <c r="G740" s="387" t="e">
        <f>VLOOKUP(A740,'Feature Summary'!$A$7:$C$3944,3,FALSE)</f>
        <v>#N/A</v>
      </c>
      <c r="H740" s="447" t="s">
        <v>1645</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thickBot="1">
      <c r="A741" s="458" t="s">
        <v>1619</v>
      </c>
      <c r="B741" s="470" t="s">
        <v>1620</v>
      </c>
      <c r="C741" s="463" t="s">
        <v>651</v>
      </c>
      <c r="D741" s="449" t="s">
        <v>261</v>
      </c>
      <c r="E741" s="262"/>
      <c r="F741" s="470" t="s">
        <v>1646</v>
      </c>
      <c r="G741" s="387" t="e">
        <f>VLOOKUP(A741,'Feature Summary'!$A$7:$C$3944,3,FALSE)</f>
        <v>#N/A</v>
      </c>
      <c r="H741" s="447" t="s">
        <v>1647</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thickBot="1">
      <c r="A742" s="458" t="s">
        <v>1619</v>
      </c>
      <c r="B742" s="470" t="s">
        <v>1620</v>
      </c>
      <c r="C742" s="463" t="s">
        <v>651</v>
      </c>
      <c r="D742" s="449" t="s">
        <v>261</v>
      </c>
      <c r="E742" s="262"/>
      <c r="F742" s="470" t="s">
        <v>1648</v>
      </c>
      <c r="G742" s="387" t="e">
        <f>VLOOKUP(A742,'Feature Summary'!$A$7:$C$3944,3,FALSE)</f>
        <v>#N/A</v>
      </c>
      <c r="H742" s="447" t="s">
        <v>1649</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thickBot="1">
      <c r="A743" s="458" t="s">
        <v>1619</v>
      </c>
      <c r="B743" s="470" t="s">
        <v>1620</v>
      </c>
      <c r="C743" s="463" t="s">
        <v>651</v>
      </c>
      <c r="D743" s="449" t="s">
        <v>261</v>
      </c>
      <c r="E743" s="262"/>
      <c r="F743" s="470" t="s">
        <v>1650</v>
      </c>
      <c r="G743" s="387" t="e">
        <f>VLOOKUP(A743,'Feature Summary'!$A$7:$C$3944,3,FALSE)</f>
        <v>#N/A</v>
      </c>
      <c r="H743" s="447" t="s">
        <v>1651</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thickBot="1">
      <c r="A744" s="458" t="s">
        <v>1619</v>
      </c>
      <c r="B744" s="470" t="s">
        <v>1620</v>
      </c>
      <c r="C744" s="463" t="s">
        <v>651</v>
      </c>
      <c r="D744" s="449" t="s">
        <v>261</v>
      </c>
      <c r="E744" s="262"/>
      <c r="F744" s="470" t="s">
        <v>1652</v>
      </c>
      <c r="G744" s="387" t="e">
        <f>VLOOKUP(A744,'Feature Summary'!$A$7:$C$3944,3,FALSE)</f>
        <v>#N/A</v>
      </c>
      <c r="H744" s="447" t="s">
        <v>1653</v>
      </c>
      <c r="I744" s="488" t="s">
        <v>264</v>
      </c>
      <c r="J744" s="476" t="s">
        <v>841</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thickBot="1">
      <c r="A745" s="458" t="s">
        <v>1619</v>
      </c>
      <c r="B745" s="470" t="s">
        <v>1620</v>
      </c>
      <c r="C745" s="463" t="s">
        <v>651</v>
      </c>
      <c r="D745" s="449" t="s">
        <v>261</v>
      </c>
      <c r="E745" s="262"/>
      <c r="F745" s="470" t="s">
        <v>1654</v>
      </c>
      <c r="G745" s="387" t="e">
        <f>VLOOKUP(A745,'Feature Summary'!$A$7:$C$3944,3,FALSE)</f>
        <v>#N/A</v>
      </c>
      <c r="H745" s="447" t="s">
        <v>1655</v>
      </c>
      <c r="I745" s="488" t="s">
        <v>264</v>
      </c>
      <c r="J745" s="476" t="s">
        <v>841</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75" thickBot="1">
      <c r="A746" s="458"/>
      <c r="B746" s="470" t="s">
        <v>1620</v>
      </c>
      <c r="C746" s="463" t="s">
        <v>44</v>
      </c>
      <c r="D746" s="449" t="s">
        <v>261</v>
      </c>
      <c r="E746" s="262"/>
      <c r="F746" s="447" t="s">
        <v>1621</v>
      </c>
      <c r="G746" s="387" t="e">
        <f>VLOOKUP(A746,'Feature Summary'!$A$7:$C$3944,3,FALSE)</f>
        <v>#N/A</v>
      </c>
      <c r="H746" s="447" t="s">
        <v>1656</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60.75" thickBot="1">
      <c r="A747" s="458"/>
      <c r="B747" s="470" t="s">
        <v>1620</v>
      </c>
      <c r="C747" s="463" t="s">
        <v>44</v>
      </c>
      <c r="D747" s="449" t="s">
        <v>261</v>
      </c>
      <c r="E747" s="262"/>
      <c r="F747" s="470" t="s">
        <v>1624</v>
      </c>
      <c r="G747" s="387" t="e">
        <f>VLOOKUP(A747,'Feature Summary'!$A$7:$C$3944,3,FALSE)</f>
        <v>#N/A</v>
      </c>
      <c r="H747" s="447" t="s">
        <v>1657</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75" thickBot="1">
      <c r="A748" s="458"/>
      <c r="B748" s="470" t="s">
        <v>1620</v>
      </c>
      <c r="C748" s="463" t="s">
        <v>44</v>
      </c>
      <c r="D748" s="449" t="s">
        <v>261</v>
      </c>
      <c r="E748" s="262"/>
      <c r="F748" s="470" t="s">
        <v>1624</v>
      </c>
      <c r="G748" s="387" t="e">
        <f>VLOOKUP(A748,'Feature Summary'!$A$7:$C$3944,3,FALSE)</f>
        <v>#N/A</v>
      </c>
      <c r="H748" s="447" t="s">
        <v>1658</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60.75" thickBot="1">
      <c r="A749" s="458"/>
      <c r="B749" s="470" t="s">
        <v>1620</v>
      </c>
      <c r="C749" s="463" t="s">
        <v>44</v>
      </c>
      <c r="D749" s="449" t="s">
        <v>261</v>
      </c>
      <c r="E749" s="262"/>
      <c r="F749" s="470" t="s">
        <v>1624</v>
      </c>
      <c r="G749" s="387" t="e">
        <f>VLOOKUP(A749,'Feature Summary'!$A$7:$C$3944,3,FALSE)</f>
        <v>#N/A</v>
      </c>
      <c r="H749" s="447" t="s">
        <v>1659</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customHeight="1" thickBot="1">
      <c r="A750" s="458"/>
      <c r="B750" s="470" t="s">
        <v>1620</v>
      </c>
      <c r="C750" s="463" t="s">
        <v>44</v>
      </c>
      <c r="D750" s="449" t="s">
        <v>261</v>
      </c>
      <c r="E750" s="262"/>
      <c r="F750" s="470" t="s">
        <v>1626</v>
      </c>
      <c r="G750" s="387" t="e">
        <f>VLOOKUP(A750,'Feature Summary'!$A$7:$C$3944,3,FALSE)</f>
        <v>#N/A</v>
      </c>
      <c r="H750" s="447" t="s">
        <v>1660</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30.75" thickBot="1">
      <c r="A751" s="458"/>
      <c r="B751" s="470" t="s">
        <v>1620</v>
      </c>
      <c r="C751" s="463" t="s">
        <v>44</v>
      </c>
      <c r="D751" s="449" t="s">
        <v>261</v>
      </c>
      <c r="E751" s="262"/>
      <c r="F751" s="470" t="s">
        <v>1626</v>
      </c>
      <c r="G751" s="387" t="e">
        <f>VLOOKUP(A751,'Feature Summary'!$A$7:$C$3944,3,FALSE)</f>
        <v>#N/A</v>
      </c>
      <c r="H751" s="447" t="s">
        <v>1661</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60.75" thickBot="1">
      <c r="A752" s="458"/>
      <c r="B752" s="470" t="s">
        <v>1620</v>
      </c>
      <c r="C752" s="463" t="s">
        <v>44</v>
      </c>
      <c r="D752" s="449" t="s">
        <v>261</v>
      </c>
      <c r="E752" s="262"/>
      <c r="F752" s="470" t="s">
        <v>1626</v>
      </c>
      <c r="G752" s="387" t="e">
        <f>VLOOKUP(A752,'Feature Summary'!$A$7:$C$3944,3,FALSE)</f>
        <v>#N/A</v>
      </c>
      <c r="H752" s="447" t="s">
        <v>1662</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60.75" thickBot="1">
      <c r="A753" s="458"/>
      <c r="B753" s="470" t="s">
        <v>1620</v>
      </c>
      <c r="C753" s="463" t="s">
        <v>44</v>
      </c>
      <c r="D753" s="449" t="s">
        <v>261</v>
      </c>
      <c r="E753" s="262"/>
      <c r="F753" s="470" t="s">
        <v>1629</v>
      </c>
      <c r="G753" s="387" t="e">
        <f>VLOOKUP(A753,'Feature Summary'!$A$7:$C$3944,3,FALSE)</f>
        <v>#N/A</v>
      </c>
      <c r="H753" s="447" t="s">
        <v>1663</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30.75" thickBot="1">
      <c r="A754" s="458"/>
      <c r="B754" s="470" t="s">
        <v>1620</v>
      </c>
      <c r="C754" s="463" t="s">
        <v>44</v>
      </c>
      <c r="D754" s="449" t="s">
        <v>261</v>
      </c>
      <c r="E754" s="262"/>
      <c r="F754" s="470" t="s">
        <v>1629</v>
      </c>
      <c r="G754" s="387" t="e">
        <f>VLOOKUP(A754,'Feature Summary'!$A$7:$C$3944,3,FALSE)</f>
        <v>#N/A</v>
      </c>
      <c r="H754" s="447" t="s">
        <v>1664</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ht="30.75" thickBot="1">
      <c r="A755" s="458"/>
      <c r="B755" s="470" t="s">
        <v>1620</v>
      </c>
      <c r="C755" s="463" t="s">
        <v>44</v>
      </c>
      <c r="D755" s="449" t="s">
        <v>261</v>
      </c>
      <c r="E755" s="262"/>
      <c r="F755" s="470" t="s">
        <v>1631</v>
      </c>
      <c r="G755" s="387" t="e">
        <f>VLOOKUP(A755,'Feature Summary'!$A$7:$C$3944,3,FALSE)</f>
        <v>#N/A</v>
      </c>
      <c r="H755" s="447" t="s">
        <v>1665</v>
      </c>
      <c r="I755" s="447"/>
      <c r="J755" s="476" t="s">
        <v>876</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ht="15.75" thickBot="1">
      <c r="A756" s="458"/>
      <c r="B756" s="470" t="s">
        <v>1620</v>
      </c>
      <c r="C756" s="463" t="s">
        <v>44</v>
      </c>
      <c r="D756" s="449" t="s">
        <v>261</v>
      </c>
      <c r="E756" s="262"/>
      <c r="F756" s="470" t="s">
        <v>1666</v>
      </c>
      <c r="G756" s="387" t="e">
        <f>VLOOKUP(A756,'Feature Summary'!$A$7:$C$3944,3,FALSE)</f>
        <v>#N/A</v>
      </c>
      <c r="H756" s="447" t="s">
        <v>1667</v>
      </c>
      <c r="I756" s="447"/>
      <c r="J756" s="476" t="s">
        <v>876</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60.75" thickBot="1">
      <c r="A757" s="458"/>
      <c r="B757" s="470" t="s">
        <v>1620</v>
      </c>
      <c r="C757" s="463" t="s">
        <v>44</v>
      </c>
      <c r="D757" s="449" t="s">
        <v>261</v>
      </c>
      <c r="E757" s="262"/>
      <c r="F757" s="470" t="s">
        <v>1635</v>
      </c>
      <c r="G757" s="387" t="e">
        <f>VLOOKUP(A757,'Feature Summary'!$A$7:$C$3944,3,FALSE)</f>
        <v>#N/A</v>
      </c>
      <c r="H757" s="447" t="s">
        <v>1668</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30.75" thickBot="1">
      <c r="A758" s="458"/>
      <c r="B758" s="470" t="s">
        <v>1620</v>
      </c>
      <c r="C758" s="463" t="s">
        <v>44</v>
      </c>
      <c r="D758" s="449" t="s">
        <v>261</v>
      </c>
      <c r="E758" s="262"/>
      <c r="F758" s="470" t="s">
        <v>1635</v>
      </c>
      <c r="G758" s="387" t="e">
        <f>VLOOKUP(A758,'Feature Summary'!$A$7:$C$3944,3,FALSE)</f>
        <v>#N/A</v>
      </c>
      <c r="H758" s="447" t="s">
        <v>1669</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60.75" thickBot="1">
      <c r="A759" s="458"/>
      <c r="B759" s="470" t="s">
        <v>1620</v>
      </c>
      <c r="C759" s="463" t="s">
        <v>44</v>
      </c>
      <c r="D759" s="449" t="s">
        <v>261</v>
      </c>
      <c r="E759" s="262"/>
      <c r="F759" s="470" t="s">
        <v>1637</v>
      </c>
      <c r="G759" s="387" t="e">
        <f>VLOOKUP(A759,'Feature Summary'!$A$7:$C$3944,3,FALSE)</f>
        <v>#N/A</v>
      </c>
      <c r="H759" s="447" t="s">
        <v>1670</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30.75" thickBot="1">
      <c r="A760" s="458"/>
      <c r="B760" s="470" t="s">
        <v>1620</v>
      </c>
      <c r="C760" s="463" t="s">
        <v>44</v>
      </c>
      <c r="D760" s="449" t="s">
        <v>261</v>
      </c>
      <c r="E760" s="262"/>
      <c r="F760" s="470" t="s">
        <v>1637</v>
      </c>
      <c r="G760" s="387" t="e">
        <f>VLOOKUP(A760,'Feature Summary'!$A$7:$C$3944,3,FALSE)</f>
        <v>#N/A</v>
      </c>
      <c r="H760" s="447" t="s">
        <v>1671</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60.75" thickBot="1">
      <c r="A761" s="458"/>
      <c r="B761" s="470" t="s">
        <v>1620</v>
      </c>
      <c r="C761" s="463" t="s">
        <v>44</v>
      </c>
      <c r="D761" s="449" t="s">
        <v>261</v>
      </c>
      <c r="E761" s="262"/>
      <c r="F761" s="470" t="s">
        <v>1637</v>
      </c>
      <c r="G761" s="387" t="e">
        <f>VLOOKUP(A761,'Feature Summary'!$A$7:$C$3944,3,FALSE)</f>
        <v>#N/A</v>
      </c>
      <c r="H761" s="447" t="s">
        <v>1672</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30.75" thickBot="1">
      <c r="A762" s="458"/>
      <c r="B762" s="463"/>
      <c r="C762" s="463" t="s">
        <v>260</v>
      </c>
      <c r="D762" s="449" t="s">
        <v>261</v>
      </c>
      <c r="E762" s="262"/>
      <c r="F762" s="447" t="s">
        <v>1673</v>
      </c>
      <c r="G762" s="387" t="e">
        <f>VLOOKUP(A762,'Feature Summary'!$A$7:$C$3944,3,FALSE)</f>
        <v>#N/A</v>
      </c>
      <c r="H762" s="447" t="s">
        <v>1674</v>
      </c>
      <c r="I762" s="488" t="s">
        <v>264</v>
      </c>
      <c r="J762" s="448" t="s">
        <v>1225</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customHeight="1" thickBot="1">
      <c r="A763" s="458"/>
      <c r="B763" s="463"/>
      <c r="C763" s="463" t="s">
        <v>44</v>
      </c>
      <c r="D763" s="449" t="s">
        <v>261</v>
      </c>
      <c r="E763" s="262"/>
      <c r="F763" s="447" t="s">
        <v>1673</v>
      </c>
      <c r="G763" s="387" t="e">
        <f>VLOOKUP(A763,'Feature Summary'!$A$7:$C$3944,3,FALSE)</f>
        <v>#N/A</v>
      </c>
      <c r="H763" s="447" t="s">
        <v>1675</v>
      </c>
      <c r="I763" s="447"/>
      <c r="J763" s="448" t="s">
        <v>1227</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45.75" thickBot="1">
      <c r="A764" s="458"/>
      <c r="B764" s="463"/>
      <c r="C764" s="463" t="s">
        <v>44</v>
      </c>
      <c r="D764" s="449" t="s">
        <v>261</v>
      </c>
      <c r="E764" s="262"/>
      <c r="F764" s="447" t="s">
        <v>1673</v>
      </c>
      <c r="G764" s="387" t="e">
        <f>VLOOKUP(A764,'Feature Summary'!$A$7:$C$3944,3,FALSE)</f>
        <v>#N/A</v>
      </c>
      <c r="H764" s="447" t="s">
        <v>1676</v>
      </c>
      <c r="I764" s="447"/>
      <c r="J764" s="448" t="s">
        <v>1229</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customHeight="1" thickBot="1">
      <c r="A765" s="458"/>
      <c r="B765" s="463"/>
      <c r="C765" s="463" t="s">
        <v>44</v>
      </c>
      <c r="D765" s="449" t="s">
        <v>261</v>
      </c>
      <c r="E765" s="262"/>
      <c r="F765" s="447" t="s">
        <v>1673</v>
      </c>
      <c r="G765" s="387" t="e">
        <f>VLOOKUP(A765,'Feature Summary'!$A$7:$C$3944,3,FALSE)</f>
        <v>#N/A</v>
      </c>
      <c r="H765" s="447" t="s">
        <v>1677</v>
      </c>
      <c r="I765" s="447"/>
      <c r="J765" s="448" t="s">
        <v>1678</v>
      </c>
      <c r="K765" s="263"/>
      <c r="L765" s="391"/>
      <c r="M765" s="399" t="s">
        <v>33</v>
      </c>
      <c r="N765" s="475">
        <v>1</v>
      </c>
      <c r="O765" s="391"/>
      <c r="P765" s="496">
        <f t="shared" si="120"/>
        <v>0</v>
      </c>
      <c r="Q765" s="445" t="s">
        <v>52</v>
      </c>
      <c r="R765" s="391"/>
      <c r="S765" s="362">
        <f t="shared" si="118"/>
        <v>0</v>
      </c>
      <c r="T765" s="368"/>
      <c r="U765" s="368"/>
      <c r="V765" s="368"/>
      <c r="W765" s="368" t="s">
        <v>757</v>
      </c>
      <c r="X765" s="364">
        <f t="shared" si="117"/>
        <v>0</v>
      </c>
      <c r="Y765" s="393"/>
      <c r="Z765" s="498">
        <f t="shared" si="115"/>
        <v>0</v>
      </c>
      <c r="AA765" s="368"/>
      <c r="AB765" s="368"/>
      <c r="AC765" s="368"/>
      <c r="AD765" s="368"/>
      <c r="AE765" s="365">
        <f t="shared" si="116"/>
        <v>0</v>
      </c>
      <c r="AF765" s="558"/>
      <c r="AG765" s="457"/>
      <c r="AH765" s="264"/>
    </row>
    <row r="766" spans="1:34" ht="15.75" thickBot="1">
      <c r="A766" s="458" t="s">
        <v>1679</v>
      </c>
      <c r="B766" s="463"/>
      <c r="C766" s="463" t="s">
        <v>260</v>
      </c>
      <c r="D766" s="449" t="s">
        <v>261</v>
      </c>
      <c r="E766" s="262"/>
      <c r="F766" s="447" t="s">
        <v>1680</v>
      </c>
      <c r="G766" s="387" t="str">
        <f>VLOOKUP(A766,'Feature Summary'!$A$7:$C$3944,3,FALSE)</f>
        <v>P2</v>
      </c>
      <c r="H766" s="447" t="s">
        <v>1681</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30.75" thickBot="1">
      <c r="A767" s="458"/>
      <c r="B767" s="463"/>
      <c r="C767" s="463" t="s">
        <v>44</v>
      </c>
      <c r="D767" s="449" t="s">
        <v>261</v>
      </c>
      <c r="E767" s="262"/>
      <c r="F767" s="447" t="s">
        <v>1680</v>
      </c>
      <c r="G767" s="387" t="e">
        <f>VLOOKUP(A767,'Feature Summary'!$A$7:$C$3944,3,FALSE)</f>
        <v>#N/A</v>
      </c>
      <c r="H767" s="447" t="s">
        <v>1682</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90.75" thickBot="1">
      <c r="A768" s="458"/>
      <c r="B768" s="463"/>
      <c r="C768" s="463" t="s">
        <v>44</v>
      </c>
      <c r="D768" s="449" t="s">
        <v>261</v>
      </c>
      <c r="E768" s="262"/>
      <c r="F768" s="447" t="s">
        <v>1680</v>
      </c>
      <c r="G768" s="387" t="e">
        <f>VLOOKUP(A768,'Feature Summary'!$A$7:$C$3944,3,FALSE)</f>
        <v>#N/A</v>
      </c>
      <c r="H768" s="447" t="s">
        <v>1683</v>
      </c>
      <c r="I768" s="447"/>
      <c r="J768" s="448" t="s">
        <v>1684</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105.75" thickBot="1">
      <c r="A769" s="458" t="s">
        <v>1685</v>
      </c>
      <c r="B769" s="470" t="s">
        <v>1686</v>
      </c>
      <c r="C769" s="463" t="s">
        <v>354</v>
      </c>
      <c r="D769" s="449" t="s">
        <v>261</v>
      </c>
      <c r="E769" s="262"/>
      <c r="F769" s="447" t="s">
        <v>1687</v>
      </c>
      <c r="G769" s="387" t="e">
        <f>VLOOKUP(A769,'Feature Summary'!$A$7:$C$3944,3,FALSE)</f>
        <v>#N/A</v>
      </c>
      <c r="H769" s="447" t="s">
        <v>1688</v>
      </c>
      <c r="I769" s="488" t="s">
        <v>264</v>
      </c>
      <c r="J769" s="448" t="s">
        <v>1689</v>
      </c>
      <c r="K769" s="263">
        <v>1</v>
      </c>
      <c r="L769" s="391">
        <v>2</v>
      </c>
      <c r="M769" s="399" t="s">
        <v>33</v>
      </c>
      <c r="N769" s="475">
        <v>1</v>
      </c>
      <c r="O769" s="391">
        <v>2</v>
      </c>
      <c r="P769" s="496">
        <f t="shared" si="120"/>
        <v>1</v>
      </c>
      <c r="Q769" s="445" t="s">
        <v>52</v>
      </c>
      <c r="R769" s="391">
        <v>2</v>
      </c>
      <c r="S769" s="362">
        <f t="shared" si="118"/>
        <v>2</v>
      </c>
      <c r="T769" s="368">
        <v>2</v>
      </c>
      <c r="U769" s="368"/>
      <c r="V769" s="368"/>
      <c r="W769" s="368" t="s">
        <v>757</v>
      </c>
      <c r="X769" s="364">
        <f t="shared" si="117"/>
        <v>1</v>
      </c>
      <c r="Y769" s="393"/>
      <c r="Z769" s="498">
        <f t="shared" si="115"/>
        <v>0</v>
      </c>
      <c r="AA769" s="368"/>
      <c r="AB769" s="368"/>
      <c r="AC769" s="368"/>
      <c r="AD769" s="368"/>
      <c r="AE769" s="365">
        <f t="shared" si="116"/>
        <v>0</v>
      </c>
      <c r="AF769" s="558"/>
      <c r="AG769" s="457"/>
      <c r="AH769" s="264"/>
    </row>
    <row r="770" spans="1:34" ht="75.75" thickBot="1">
      <c r="A770" s="458"/>
      <c r="B770" s="470" t="s">
        <v>1686</v>
      </c>
      <c r="C770" s="463" t="s">
        <v>44</v>
      </c>
      <c r="D770" s="449" t="s">
        <v>261</v>
      </c>
      <c r="E770" s="262"/>
      <c r="F770" s="447" t="s">
        <v>1687</v>
      </c>
      <c r="G770" s="387" t="e">
        <f>VLOOKUP(A770,'Feature Summary'!$A$7:$C$3944,3,FALSE)</f>
        <v>#N/A</v>
      </c>
      <c r="H770" s="447" t="s">
        <v>1690</v>
      </c>
      <c r="I770" s="447"/>
      <c r="J770" s="448" t="s">
        <v>1227</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customHeight="1" thickBot="1">
      <c r="A771" s="458"/>
      <c r="B771" s="470" t="s">
        <v>1686</v>
      </c>
      <c r="C771" s="463" t="s">
        <v>44</v>
      </c>
      <c r="D771" s="449" t="s">
        <v>261</v>
      </c>
      <c r="E771" s="262"/>
      <c r="F771" s="447" t="s">
        <v>1687</v>
      </c>
      <c r="G771" s="387" t="e">
        <f>VLOOKUP(A771,'Feature Summary'!$A$7:$C$3944,3,FALSE)</f>
        <v>#N/A</v>
      </c>
      <c r="H771" s="447" t="s">
        <v>1691</v>
      </c>
      <c r="I771" s="447"/>
      <c r="J771" s="448" t="s">
        <v>1678</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45.75" thickBot="1">
      <c r="A772" s="458"/>
      <c r="B772" s="470" t="s">
        <v>1686</v>
      </c>
      <c r="C772" s="463" t="s">
        <v>44</v>
      </c>
      <c r="D772" s="449" t="s">
        <v>261</v>
      </c>
      <c r="E772" s="262"/>
      <c r="F772" s="447" t="s">
        <v>1687</v>
      </c>
      <c r="G772" s="387" t="e">
        <f>VLOOKUP(A772,'Feature Summary'!$A$7:$C$3944,3,FALSE)</f>
        <v>#N/A</v>
      </c>
      <c r="H772" s="447" t="s">
        <v>1692</v>
      </c>
      <c r="I772" s="447"/>
      <c r="J772" s="448" t="s">
        <v>1229</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75.75" thickBot="1">
      <c r="A773" s="458"/>
      <c r="B773" s="470" t="s">
        <v>1686</v>
      </c>
      <c r="C773" s="463" t="s">
        <v>44</v>
      </c>
      <c r="D773" s="449" t="s">
        <v>261</v>
      </c>
      <c r="E773" s="262"/>
      <c r="F773" s="447" t="s">
        <v>1687</v>
      </c>
      <c r="G773" s="387" t="e">
        <f>VLOOKUP(A773,'Feature Summary'!$A$7:$C$3944,3,FALSE)</f>
        <v>#N/A</v>
      </c>
      <c r="H773" s="447" t="s">
        <v>1693</v>
      </c>
      <c r="I773" s="447"/>
      <c r="J773" s="448" t="s">
        <v>1433</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thickBot="1">
      <c r="A774" s="458" t="s">
        <v>1694</v>
      </c>
      <c r="B774" s="470" t="s">
        <v>1686</v>
      </c>
      <c r="C774" s="463" t="s">
        <v>354</v>
      </c>
      <c r="D774" s="449" t="s">
        <v>261</v>
      </c>
      <c r="E774" s="262"/>
      <c r="F774" s="447" t="s">
        <v>1695</v>
      </c>
      <c r="G774" s="387" t="e">
        <f>VLOOKUP(A774,'Feature Summary'!$A$7:$C$3944,3,FALSE)</f>
        <v>#N/A</v>
      </c>
      <c r="H774" s="447" t="s">
        <v>1696</v>
      </c>
      <c r="I774" s="488" t="s">
        <v>264</v>
      </c>
      <c r="J774" s="448" t="s">
        <v>1225</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75.75" thickBot="1">
      <c r="A775" s="458"/>
      <c r="B775" s="470" t="s">
        <v>1686</v>
      </c>
      <c r="C775" s="463" t="s">
        <v>44</v>
      </c>
      <c r="D775" s="449" t="s">
        <v>261</v>
      </c>
      <c r="E775" s="262"/>
      <c r="F775" s="447" t="s">
        <v>1695</v>
      </c>
      <c r="G775" s="387" t="e">
        <f>VLOOKUP(A775,'Feature Summary'!$A$7:$C$3944,3,FALSE)</f>
        <v>#N/A</v>
      </c>
      <c r="H775" s="447" t="s">
        <v>1697</v>
      </c>
      <c r="I775" s="447"/>
      <c r="J775" s="448" t="s">
        <v>1227</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customHeight="1" thickBot="1">
      <c r="A776" s="458"/>
      <c r="B776" s="470" t="s">
        <v>1686</v>
      </c>
      <c r="C776" s="463" t="s">
        <v>44</v>
      </c>
      <c r="D776" s="449" t="s">
        <v>261</v>
      </c>
      <c r="E776" s="262"/>
      <c r="F776" s="447" t="s">
        <v>1695</v>
      </c>
      <c r="G776" s="387" t="e">
        <f>VLOOKUP(A776,'Feature Summary'!$A$7:$C$3944,3,FALSE)</f>
        <v>#N/A</v>
      </c>
      <c r="H776" s="447" t="s">
        <v>1698</v>
      </c>
      <c r="I776" s="447"/>
      <c r="J776" s="448" t="s">
        <v>1678</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45.75" thickBot="1">
      <c r="A777" s="458"/>
      <c r="B777" s="470" t="s">
        <v>1686</v>
      </c>
      <c r="C777" s="463" t="s">
        <v>44</v>
      </c>
      <c r="D777" s="449" t="s">
        <v>261</v>
      </c>
      <c r="E777" s="262"/>
      <c r="F777" s="447" t="s">
        <v>1695</v>
      </c>
      <c r="G777" s="387" t="e">
        <f>VLOOKUP(A777,'Feature Summary'!$A$7:$C$3944,3,FALSE)</f>
        <v>#N/A</v>
      </c>
      <c r="H777" s="447" t="s">
        <v>1699</v>
      </c>
      <c r="I777" s="447"/>
      <c r="J777" s="448" t="s">
        <v>1229</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409.6" thickBot="1">
      <c r="A778" s="458"/>
      <c r="B778" s="470" t="s">
        <v>1686</v>
      </c>
      <c r="C778" s="463" t="s">
        <v>354</v>
      </c>
      <c r="D778" s="449" t="s">
        <v>261</v>
      </c>
      <c r="E778" s="262"/>
      <c r="F778" s="447" t="s">
        <v>1687</v>
      </c>
      <c r="G778" s="387" t="e">
        <f>VLOOKUP(A778,'Feature Summary'!$A$7:$C$3944,3,FALSE)</f>
        <v>#N/A</v>
      </c>
      <c r="H778" s="447" t="s">
        <v>1700</v>
      </c>
      <c r="I778" s="488" t="s">
        <v>288</v>
      </c>
      <c r="J778" s="448" t="s">
        <v>1701</v>
      </c>
      <c r="K778" s="263"/>
      <c r="L778" s="391">
        <v>1</v>
      </c>
      <c r="M778" s="399" t="s">
        <v>33</v>
      </c>
      <c r="N778" s="475">
        <v>1</v>
      </c>
      <c r="O778" s="391">
        <v>1</v>
      </c>
      <c r="P778" s="496">
        <f t="shared" ref="P778" si="121">IF((O778=0),0,(O778/L778))</f>
        <v>1</v>
      </c>
      <c r="Q778" s="445" t="s">
        <v>52</v>
      </c>
      <c r="R778" s="391"/>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customHeight="1" thickBot="1">
      <c r="A779" s="458"/>
      <c r="B779" s="463"/>
      <c r="C779" s="463" t="s">
        <v>260</v>
      </c>
      <c r="D779" s="449" t="s">
        <v>261</v>
      </c>
      <c r="E779" s="262"/>
      <c r="F779" s="447" t="s">
        <v>1702</v>
      </c>
      <c r="G779" s="387" t="e">
        <f>VLOOKUP(A779,'Feature Summary'!$A$7:$C$3944,3,FALSE)</f>
        <v>#N/A</v>
      </c>
      <c r="H779" s="447" t="s">
        <v>1703</v>
      </c>
      <c r="I779" s="488" t="s">
        <v>264</v>
      </c>
      <c r="J779" s="448" t="s">
        <v>1225</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60.75" thickBot="1">
      <c r="A780" s="458"/>
      <c r="B780" s="463"/>
      <c r="C780" s="463" t="s">
        <v>44</v>
      </c>
      <c r="D780" s="449" t="s">
        <v>261</v>
      </c>
      <c r="E780" s="262"/>
      <c r="F780" s="447" t="s">
        <v>1702</v>
      </c>
      <c r="G780" s="387" t="e">
        <f>VLOOKUP(A780,'Feature Summary'!$A$7:$C$3944,3,FALSE)</f>
        <v>#N/A</v>
      </c>
      <c r="H780" s="447" t="s">
        <v>1704</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customHeight="1" thickBot="1">
      <c r="A781" s="458"/>
      <c r="B781" s="463"/>
      <c r="C781" s="463" t="s">
        <v>44</v>
      </c>
      <c r="D781" s="449" t="s">
        <v>261</v>
      </c>
      <c r="E781" s="262"/>
      <c r="F781" s="447" t="s">
        <v>1702</v>
      </c>
      <c r="G781" s="387" t="e">
        <f>VLOOKUP(A781,'Feature Summary'!$A$7:$C$3944,3,FALSE)</f>
        <v>#N/A</v>
      </c>
      <c r="H781" s="447" t="s">
        <v>1705</v>
      </c>
      <c r="I781" s="447"/>
      <c r="J781" s="448" t="s">
        <v>1684</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30.75" thickBot="1">
      <c r="A782" s="458"/>
      <c r="B782" s="463"/>
      <c r="C782" s="463" t="s">
        <v>44</v>
      </c>
      <c r="D782" s="449" t="s">
        <v>261</v>
      </c>
      <c r="E782" s="262"/>
      <c r="F782" s="447" t="s">
        <v>1702</v>
      </c>
      <c r="G782" s="387" t="e">
        <f>VLOOKUP(A782,'Feature Summary'!$A$7:$C$3944,3,FALSE)</f>
        <v>#N/A</v>
      </c>
      <c r="H782" s="447" t="s">
        <v>1706</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60.75" thickBot="1">
      <c r="A783" s="458"/>
      <c r="B783" s="463"/>
      <c r="C783" s="463" t="s">
        <v>44</v>
      </c>
      <c r="D783" s="449" t="s">
        <v>261</v>
      </c>
      <c r="E783" s="262"/>
      <c r="F783" s="447" t="s">
        <v>1702</v>
      </c>
      <c r="G783" s="387" t="e">
        <f>VLOOKUP(A783,'Feature Summary'!$A$7:$C$3944,3,FALSE)</f>
        <v>#N/A</v>
      </c>
      <c r="H783" s="447" t="s">
        <v>1707</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30.75" thickBot="1">
      <c r="A784" s="458" t="s">
        <v>1679</v>
      </c>
      <c r="B784" s="463"/>
      <c r="C784" s="463" t="s">
        <v>260</v>
      </c>
      <c r="D784" s="449" t="s">
        <v>261</v>
      </c>
      <c r="E784" s="262"/>
      <c r="F784" s="447" t="s">
        <v>1708</v>
      </c>
      <c r="G784" s="387" t="str">
        <f>VLOOKUP(A784,'Feature Summary'!$A$7:$C$3944,3,FALSE)</f>
        <v>P2</v>
      </c>
      <c r="H784" s="447" t="s">
        <v>1709</v>
      </c>
      <c r="I784" s="488" t="s">
        <v>264</v>
      </c>
      <c r="J784" s="448" t="s">
        <v>1225</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60.75" thickBot="1">
      <c r="A785" s="458"/>
      <c r="B785" s="463"/>
      <c r="C785" s="463" t="s">
        <v>44</v>
      </c>
      <c r="D785" s="449" t="s">
        <v>261</v>
      </c>
      <c r="E785" s="262"/>
      <c r="F785" s="447" t="s">
        <v>1708</v>
      </c>
      <c r="G785" s="387" t="e">
        <f>VLOOKUP(A785,'Feature Summary'!$A$7:$C$3944,3,FALSE)</f>
        <v>#N/A</v>
      </c>
      <c r="H785" s="447" t="s">
        <v>1710</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90.75" thickBot="1">
      <c r="A786" s="458"/>
      <c r="B786" s="463"/>
      <c r="C786" s="463" t="s">
        <v>44</v>
      </c>
      <c r="D786" s="449" t="s">
        <v>261</v>
      </c>
      <c r="E786" s="262"/>
      <c r="F786" s="447" t="s">
        <v>1708</v>
      </c>
      <c r="G786" s="387" t="e">
        <f>VLOOKUP(A786,'Feature Summary'!$A$7:$C$3944,3,FALSE)</f>
        <v>#N/A</v>
      </c>
      <c r="H786" s="447" t="s">
        <v>1711</v>
      </c>
      <c r="I786" s="447"/>
      <c r="J786" s="448" t="s">
        <v>1684</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30.75" thickBot="1">
      <c r="A787" s="458"/>
      <c r="B787" s="463"/>
      <c r="C787" s="463" t="s">
        <v>44</v>
      </c>
      <c r="D787" s="449" t="s">
        <v>261</v>
      </c>
      <c r="E787" s="262"/>
      <c r="F787" s="447" t="s">
        <v>1708</v>
      </c>
      <c r="G787" s="387" t="e">
        <f>VLOOKUP(A787,'Feature Summary'!$A$7:$C$3944,3,FALSE)</f>
        <v>#N/A</v>
      </c>
      <c r="H787" s="447" t="s">
        <v>1712</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thickBot="1">
      <c r="A788" s="458" t="s">
        <v>1713</v>
      </c>
      <c r="B788" s="470" t="s">
        <v>1686</v>
      </c>
      <c r="C788" s="463" t="s">
        <v>354</v>
      </c>
      <c r="D788" s="449" t="s">
        <v>261</v>
      </c>
      <c r="E788" s="262"/>
      <c r="F788" s="447" t="s">
        <v>1714</v>
      </c>
      <c r="G788" s="387" t="e">
        <f>VLOOKUP(A788,'Feature Summary'!$A$7:$C$3944,3,FALSE)</f>
        <v>#N/A</v>
      </c>
      <c r="H788" s="447" t="s">
        <v>1715</v>
      </c>
      <c r="I788" s="488" t="s">
        <v>264</v>
      </c>
      <c r="J788" s="448" t="s">
        <v>1225</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60.75" thickBot="1">
      <c r="A789" s="458"/>
      <c r="B789" s="470" t="s">
        <v>1686</v>
      </c>
      <c r="C789" s="463" t="s">
        <v>44</v>
      </c>
      <c r="D789" s="449" t="s">
        <v>261</v>
      </c>
      <c r="E789" s="262"/>
      <c r="F789" s="447" t="s">
        <v>1714</v>
      </c>
      <c r="G789" s="387" t="e">
        <f>VLOOKUP(A789,'Feature Summary'!$A$7:$C$3944,3,FALSE)</f>
        <v>#N/A</v>
      </c>
      <c r="H789" s="447" t="s">
        <v>1716</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customHeight="1" thickBot="1">
      <c r="A790" s="458"/>
      <c r="B790" s="470" t="s">
        <v>1686</v>
      </c>
      <c r="C790" s="463" t="s">
        <v>44</v>
      </c>
      <c r="D790" s="449" t="s">
        <v>261</v>
      </c>
      <c r="E790" s="262"/>
      <c r="F790" s="447" t="s">
        <v>1714</v>
      </c>
      <c r="G790" s="387" t="e">
        <f>VLOOKUP(A790,'Feature Summary'!$A$7:$C$3944,3,FALSE)</f>
        <v>#N/A</v>
      </c>
      <c r="H790" s="447" t="s">
        <v>1717</v>
      </c>
      <c r="I790" s="447"/>
      <c r="J790" s="448" t="s">
        <v>1684</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75" thickBot="1">
      <c r="A791" s="458"/>
      <c r="B791" s="470" t="s">
        <v>1686</v>
      </c>
      <c r="C791" s="463" t="s">
        <v>44</v>
      </c>
      <c r="D791" s="449" t="s">
        <v>261</v>
      </c>
      <c r="E791" s="262"/>
      <c r="F791" s="447" t="s">
        <v>1714</v>
      </c>
      <c r="G791" s="387" t="e">
        <f>VLOOKUP(A791,'Feature Summary'!$A$7:$C$3944,3,FALSE)</f>
        <v>#N/A</v>
      </c>
      <c r="H791" s="447" t="s">
        <v>1718</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30.75" thickBot="1">
      <c r="A792" s="458"/>
      <c r="B792" s="463"/>
      <c r="C792" s="463" t="s">
        <v>260</v>
      </c>
      <c r="D792" s="449" t="s">
        <v>261</v>
      </c>
      <c r="E792" s="262"/>
      <c r="F792" s="447" t="s">
        <v>1719</v>
      </c>
      <c r="G792" s="387" t="e">
        <f>VLOOKUP(A792,'Feature Summary'!$A$7:$C$3944,3,FALSE)</f>
        <v>#N/A</v>
      </c>
      <c r="H792" s="447" t="s">
        <v>1720</v>
      </c>
      <c r="I792" s="488" t="s">
        <v>264</v>
      </c>
      <c r="J792" s="448" t="s">
        <v>1225</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customHeight="1" thickBot="1">
      <c r="A793" s="458"/>
      <c r="B793" s="463"/>
      <c r="C793" s="463" t="s">
        <v>44</v>
      </c>
      <c r="D793" s="449" t="s">
        <v>261</v>
      </c>
      <c r="E793" s="262"/>
      <c r="F793" s="447" t="s">
        <v>1719</v>
      </c>
      <c r="G793" s="387" t="e">
        <f>VLOOKUP(A793,'Feature Summary'!$A$7:$C$3944,3,FALSE)</f>
        <v>#N/A</v>
      </c>
      <c r="H793" s="447" t="s">
        <v>1721</v>
      </c>
      <c r="I793" s="447"/>
      <c r="J793" s="448" t="s">
        <v>1227</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75.75" thickBot="1">
      <c r="A794" s="458"/>
      <c r="B794" s="463"/>
      <c r="C794" s="463" t="s">
        <v>44</v>
      </c>
      <c r="D794" s="449" t="s">
        <v>261</v>
      </c>
      <c r="E794" s="262"/>
      <c r="F794" s="447" t="s">
        <v>1719</v>
      </c>
      <c r="G794" s="387" t="e">
        <f>VLOOKUP(A794,'Feature Summary'!$A$7:$C$3944,3,FALSE)</f>
        <v>#N/A</v>
      </c>
      <c r="H794" s="447" t="s">
        <v>1722</v>
      </c>
      <c r="I794" s="447"/>
      <c r="J794" s="448" t="s">
        <v>1723</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45.75" thickBot="1">
      <c r="A795" s="458"/>
      <c r="B795" s="463"/>
      <c r="C795" s="463" t="s">
        <v>44</v>
      </c>
      <c r="D795" s="449" t="s">
        <v>261</v>
      </c>
      <c r="E795" s="262"/>
      <c r="F795" s="447" t="s">
        <v>1719</v>
      </c>
      <c r="G795" s="387" t="e">
        <f>VLOOKUP(A795,'Feature Summary'!$A$7:$C$3944,3,FALSE)</f>
        <v>#N/A</v>
      </c>
      <c r="H795" s="447" t="s">
        <v>1724</v>
      </c>
      <c r="I795" s="447"/>
      <c r="J795" s="448" t="s">
        <v>1229</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45.75" thickBot="1">
      <c r="A796" s="458" t="s">
        <v>1725</v>
      </c>
      <c r="B796" s="470" t="s">
        <v>1726</v>
      </c>
      <c r="C796" s="463" t="s">
        <v>354</v>
      </c>
      <c r="D796" s="449" t="s">
        <v>261</v>
      </c>
      <c r="E796" s="262"/>
      <c r="F796" s="447" t="s">
        <v>1727</v>
      </c>
      <c r="G796" s="387" t="e">
        <f>VLOOKUP(A796,'Feature Summary'!$A$7:$C$3944,3,FALSE)</f>
        <v>#N/A</v>
      </c>
      <c r="H796" s="447" t="s">
        <v>1728</v>
      </c>
      <c r="I796" s="488" t="s">
        <v>264</v>
      </c>
      <c r="J796" s="448" t="s">
        <v>1729</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90.75" thickBot="1">
      <c r="A797" s="458"/>
      <c r="B797" s="470" t="s">
        <v>1726</v>
      </c>
      <c r="C797" s="463" t="s">
        <v>44</v>
      </c>
      <c r="D797" s="449" t="s">
        <v>261</v>
      </c>
      <c r="E797" s="262"/>
      <c r="F797" s="447" t="s">
        <v>1727</v>
      </c>
      <c r="G797" s="387" t="e">
        <f>VLOOKUP(A797,'Feature Summary'!$A$7:$C$3944,3,FALSE)</f>
        <v>#N/A</v>
      </c>
      <c r="H797" s="447" t="s">
        <v>1730</v>
      </c>
      <c r="I797" s="447"/>
      <c r="J797" s="448" t="s">
        <v>1731</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customHeight="1" thickBot="1">
      <c r="A798" s="458"/>
      <c r="B798" s="470" t="s">
        <v>1726</v>
      </c>
      <c r="C798" s="463" t="s">
        <v>44</v>
      </c>
      <c r="D798" s="449" t="s">
        <v>261</v>
      </c>
      <c r="E798" s="262"/>
      <c r="F798" s="447" t="s">
        <v>1727</v>
      </c>
      <c r="G798" s="387" t="e">
        <f>VLOOKUP(A798,'Feature Summary'!$A$7:$C$3944,3,FALSE)</f>
        <v>#N/A</v>
      </c>
      <c r="H798" s="447" t="s">
        <v>1732</v>
      </c>
      <c r="I798" s="447"/>
      <c r="J798" s="448" t="s">
        <v>1733</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60.75" thickBot="1">
      <c r="A799" s="458"/>
      <c r="B799" s="470" t="s">
        <v>1726</v>
      </c>
      <c r="C799" s="463" t="s">
        <v>44</v>
      </c>
      <c r="D799" s="449" t="s">
        <v>261</v>
      </c>
      <c r="E799" s="262"/>
      <c r="F799" s="447" t="s">
        <v>1727</v>
      </c>
      <c r="G799" s="387" t="e">
        <f>VLOOKUP(A799,'Feature Summary'!$A$7:$C$3944,3,FALSE)</f>
        <v>#N/A</v>
      </c>
      <c r="H799" s="447" t="s">
        <v>1734</v>
      </c>
      <c r="I799" s="447"/>
      <c r="J799" s="448" t="s">
        <v>1735</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thickBot="1">
      <c r="A800" s="458"/>
      <c r="B800" s="463"/>
      <c r="C800" s="463" t="s">
        <v>354</v>
      </c>
      <c r="D800" s="449" t="s">
        <v>261</v>
      </c>
      <c r="E800" s="262"/>
      <c r="F800" s="447" t="s">
        <v>1736</v>
      </c>
      <c r="G800" s="387" t="e">
        <f>VLOOKUP(A800,'Feature Summary'!$A$7:$C$3944,3,FALSE)</f>
        <v>#N/A</v>
      </c>
      <c r="H800" s="447" t="s">
        <v>1737</v>
      </c>
      <c r="I800" s="488" t="s">
        <v>264</v>
      </c>
      <c r="J800" s="448" t="s">
        <v>1225</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60.75" thickBot="1">
      <c r="A801" s="458"/>
      <c r="B801" s="463"/>
      <c r="C801" s="463" t="s">
        <v>44</v>
      </c>
      <c r="D801" s="449" t="s">
        <v>261</v>
      </c>
      <c r="E801" s="262"/>
      <c r="F801" s="447" t="s">
        <v>1736</v>
      </c>
      <c r="G801" s="387" t="e">
        <f>VLOOKUP(A801,'Feature Summary'!$A$7:$C$3944,3,FALSE)</f>
        <v>#N/A</v>
      </c>
      <c r="H801" s="447" t="s">
        <v>1738</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90.75" thickBot="1">
      <c r="A802" s="458"/>
      <c r="B802" s="463"/>
      <c r="C802" s="463" t="s">
        <v>44</v>
      </c>
      <c r="D802" s="449" t="s">
        <v>261</v>
      </c>
      <c r="E802" s="262"/>
      <c r="F802" s="447" t="s">
        <v>1736</v>
      </c>
      <c r="G802" s="387" t="e">
        <f>VLOOKUP(A802,'Feature Summary'!$A$7:$C$3944,3,FALSE)</f>
        <v>#N/A</v>
      </c>
      <c r="H802" s="447" t="s">
        <v>1739</v>
      </c>
      <c r="I802" s="447"/>
      <c r="J802" s="448" t="s">
        <v>1684</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75" thickBot="1">
      <c r="A803" s="458"/>
      <c r="B803" s="463"/>
      <c r="C803" s="463" t="s">
        <v>44</v>
      </c>
      <c r="D803" s="449" t="s">
        <v>261</v>
      </c>
      <c r="E803" s="262"/>
      <c r="F803" s="447" t="s">
        <v>1736</v>
      </c>
      <c r="G803" s="387" t="e">
        <f>VLOOKUP(A803,'Feature Summary'!$A$7:$C$3944,3,FALSE)</f>
        <v>#N/A</v>
      </c>
      <c r="H803" s="447" t="s">
        <v>1740</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thickBot="1">
      <c r="A804" s="458" t="s">
        <v>1741</v>
      </c>
      <c r="B804" s="447" t="s">
        <v>1117</v>
      </c>
      <c r="C804" s="580" t="s">
        <v>651</v>
      </c>
      <c r="D804" s="449" t="s">
        <v>261</v>
      </c>
      <c r="E804" s="262"/>
      <c r="F804" s="447" t="s">
        <v>1742</v>
      </c>
      <c r="G804" s="387" t="str">
        <f>VLOOKUP(A804,'Feature Summary'!$A$7:$C$3944,3,FALSE)</f>
        <v>P2</v>
      </c>
      <c r="H804" s="447" t="s">
        <v>1743</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60.75" thickBot="1">
      <c r="A805" s="458"/>
      <c r="B805" s="447" t="s">
        <v>1117</v>
      </c>
      <c r="C805" s="463" t="s">
        <v>44</v>
      </c>
      <c r="D805" s="449" t="s">
        <v>261</v>
      </c>
      <c r="E805" s="262"/>
      <c r="F805" s="447" t="s">
        <v>1742</v>
      </c>
      <c r="G805" s="387" t="e">
        <f>VLOOKUP(A805,'Feature Summary'!$A$7:$C$3944,3,FALSE)</f>
        <v>#N/A</v>
      </c>
      <c r="H805" s="447" t="s">
        <v>1744</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30.75" thickBot="1">
      <c r="A806" s="458"/>
      <c r="B806" s="447" t="s">
        <v>1117</v>
      </c>
      <c r="C806" s="463" t="s">
        <v>44</v>
      </c>
      <c r="D806" s="449" t="s">
        <v>261</v>
      </c>
      <c r="E806" s="262"/>
      <c r="F806" s="447" t="s">
        <v>1742</v>
      </c>
      <c r="G806" s="387" t="e">
        <f>VLOOKUP(A806,'Feature Summary'!$A$7:$C$3944,3,FALSE)</f>
        <v>#N/A</v>
      </c>
      <c r="H806" s="447" t="s">
        <v>1745</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thickBot="1">
      <c r="A807" s="458"/>
      <c r="B807" s="447" t="s">
        <v>1112</v>
      </c>
      <c r="C807" s="580" t="s">
        <v>651</v>
      </c>
      <c r="D807" s="449" t="s">
        <v>261</v>
      </c>
      <c r="E807" s="262"/>
      <c r="F807" s="447" t="s">
        <v>1746</v>
      </c>
      <c r="G807" s="387" t="e">
        <f>VLOOKUP(A807,'Feature Summary'!$A$7:$C$3944,3,FALSE)</f>
        <v>#N/A</v>
      </c>
      <c r="H807" s="447" t="s">
        <v>1747</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30.75" thickBot="1">
      <c r="A808" s="458"/>
      <c r="B808" s="447" t="s">
        <v>1112</v>
      </c>
      <c r="C808" s="463" t="s">
        <v>44</v>
      </c>
      <c r="D808" s="449" t="s">
        <v>261</v>
      </c>
      <c r="E808" s="262"/>
      <c r="F808" s="447" t="s">
        <v>1746</v>
      </c>
      <c r="G808" s="387" t="e">
        <f>VLOOKUP(A808,'Feature Summary'!$A$7:$C$3944,3,FALSE)</f>
        <v>#N/A</v>
      </c>
      <c r="H808" s="447" t="s">
        <v>1748</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thickBot="1">
      <c r="A809" s="458"/>
      <c r="B809" s="463"/>
      <c r="C809" s="580" t="s">
        <v>651</v>
      </c>
      <c r="D809" s="449" t="s">
        <v>261</v>
      </c>
      <c r="E809" s="262"/>
      <c r="F809" s="447" t="s">
        <v>1749</v>
      </c>
      <c r="G809" s="387" t="e">
        <f>VLOOKUP(A809,'Feature Summary'!$A$7:$C$3944,3,FALSE)</f>
        <v>#N/A</v>
      </c>
      <c r="H809" s="447" t="s">
        <v>1750</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60.75" thickBot="1">
      <c r="A810" s="458"/>
      <c r="B810" s="463"/>
      <c r="C810" s="463" t="s">
        <v>44</v>
      </c>
      <c r="D810" s="449" t="s">
        <v>261</v>
      </c>
      <c r="E810" s="262"/>
      <c r="F810" s="447" t="s">
        <v>1749</v>
      </c>
      <c r="G810" s="387" t="e">
        <f>VLOOKUP(A810,'Feature Summary'!$A$7:$C$3944,3,FALSE)</f>
        <v>#N/A</v>
      </c>
      <c r="H810" s="447" t="s">
        <v>1751</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30.75" thickBot="1">
      <c r="A811" s="458"/>
      <c r="B811" s="463"/>
      <c r="C811" s="463" t="s">
        <v>44</v>
      </c>
      <c r="D811" s="449" t="s">
        <v>261</v>
      </c>
      <c r="E811" s="262"/>
      <c r="F811" s="447" t="s">
        <v>1749</v>
      </c>
      <c r="G811" s="387" t="e">
        <f>VLOOKUP(A811,'Feature Summary'!$A$7:$C$3944,3,FALSE)</f>
        <v>#N/A</v>
      </c>
      <c r="H811" s="447" t="s">
        <v>1752</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thickBot="1">
      <c r="A812" s="458"/>
      <c r="B812" s="463"/>
      <c r="C812" s="580" t="s">
        <v>651</v>
      </c>
      <c r="D812" s="449" t="s">
        <v>261</v>
      </c>
      <c r="E812" s="262"/>
      <c r="F812" s="447" t="s">
        <v>1753</v>
      </c>
      <c r="G812" s="387" t="e">
        <f>VLOOKUP(A812,'Feature Summary'!$A$7:$C$3944,3,FALSE)</f>
        <v>#N/A</v>
      </c>
      <c r="H812" s="447" t="s">
        <v>1754</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60.75" thickBot="1">
      <c r="A813" s="458"/>
      <c r="B813" s="463"/>
      <c r="C813" s="463" t="s">
        <v>44</v>
      </c>
      <c r="D813" s="449" t="s">
        <v>261</v>
      </c>
      <c r="E813" s="262"/>
      <c r="F813" s="447" t="s">
        <v>1753</v>
      </c>
      <c r="G813" s="387" t="e">
        <f>VLOOKUP(A813,'Feature Summary'!$A$7:$C$3944,3,FALSE)</f>
        <v>#N/A</v>
      </c>
      <c r="H813" s="447" t="s">
        <v>1755</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30.75" thickBot="1">
      <c r="A814" s="458"/>
      <c r="B814" s="463"/>
      <c r="C814" s="463" t="s">
        <v>44</v>
      </c>
      <c r="D814" s="449" t="s">
        <v>261</v>
      </c>
      <c r="E814" s="262"/>
      <c r="F814" s="447" t="s">
        <v>1753</v>
      </c>
      <c r="G814" s="387" t="e">
        <f>VLOOKUP(A814,'Feature Summary'!$A$7:$C$3944,3,FALSE)</f>
        <v>#N/A</v>
      </c>
      <c r="H814" s="447" t="s">
        <v>1756</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30.75" thickBot="1">
      <c r="A815" s="474"/>
      <c r="B815" s="447" t="s">
        <v>1112</v>
      </c>
      <c r="C815" s="580" t="s">
        <v>651</v>
      </c>
      <c r="D815" s="449" t="s">
        <v>261</v>
      </c>
      <c r="E815" s="262"/>
      <c r="F815" s="447" t="s">
        <v>1757</v>
      </c>
      <c r="G815" s="387" t="e">
        <f>VLOOKUP(A815,'Feature Summary'!$A$7:$C$3944,3,FALSE)</f>
        <v>#N/A</v>
      </c>
      <c r="H815" s="447" t="s">
        <v>1758</v>
      </c>
      <c r="I815" s="488" t="s">
        <v>264</v>
      </c>
      <c r="J815" s="448" t="s">
        <v>1222</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60.75" thickBot="1">
      <c r="A816" s="474"/>
      <c r="B816" s="447" t="s">
        <v>1112</v>
      </c>
      <c r="C816" s="463" t="s">
        <v>44</v>
      </c>
      <c r="D816" s="449" t="s">
        <v>261</v>
      </c>
      <c r="E816" s="262"/>
      <c r="F816" s="447" t="s">
        <v>1757</v>
      </c>
      <c r="G816" s="387" t="e">
        <f>VLOOKUP(A816,'Feature Summary'!$A$7:$C$3944,3,FALSE)</f>
        <v>#N/A</v>
      </c>
      <c r="H816" s="447" t="s">
        <v>1759</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30.75" thickBot="1">
      <c r="A817" s="474"/>
      <c r="B817" s="447" t="s">
        <v>1112</v>
      </c>
      <c r="C817" s="463" t="s">
        <v>44</v>
      </c>
      <c r="D817" s="449" t="s">
        <v>261</v>
      </c>
      <c r="E817" s="262"/>
      <c r="F817" s="447" t="s">
        <v>1757</v>
      </c>
      <c r="G817" s="387" t="e">
        <f>VLOOKUP(A817,'Feature Summary'!$A$7:$C$3944,3,FALSE)</f>
        <v>#N/A</v>
      </c>
      <c r="H817" s="447" t="s">
        <v>1760</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thickBot="1">
      <c r="A818" s="458" t="s">
        <v>1741</v>
      </c>
      <c r="B818" s="447" t="s">
        <v>1117</v>
      </c>
      <c r="C818" s="580" t="s">
        <v>651</v>
      </c>
      <c r="D818" s="449" t="s">
        <v>261</v>
      </c>
      <c r="E818" s="262"/>
      <c r="F818" s="447" t="s">
        <v>1761</v>
      </c>
      <c r="G818" s="387" t="str">
        <f>VLOOKUP(A818,'Feature Summary'!$A$7:$C$3944,3,FALSE)</f>
        <v>P2</v>
      </c>
      <c r="H818" s="447" t="s">
        <v>1762</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60.75" thickBot="1">
      <c r="A819" s="458"/>
      <c r="B819" s="447" t="s">
        <v>1117</v>
      </c>
      <c r="C819" s="463" t="s">
        <v>44</v>
      </c>
      <c r="D819" s="449" t="s">
        <v>261</v>
      </c>
      <c r="E819" s="262"/>
      <c r="F819" s="447" t="s">
        <v>1761</v>
      </c>
      <c r="G819" s="387" t="e">
        <f>VLOOKUP(A819,'Feature Summary'!$A$7:$C$3944,3,FALSE)</f>
        <v>#N/A</v>
      </c>
      <c r="H819" s="447" t="s">
        <v>1763</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30.75" thickBot="1">
      <c r="A820" s="458"/>
      <c r="B820" s="447" t="s">
        <v>1117</v>
      </c>
      <c r="C820" s="463" t="s">
        <v>44</v>
      </c>
      <c r="D820" s="449" t="s">
        <v>261</v>
      </c>
      <c r="E820" s="262"/>
      <c r="F820" s="447" t="s">
        <v>1761</v>
      </c>
      <c r="G820" s="387" t="e">
        <f>VLOOKUP(A820,'Feature Summary'!$A$7:$C$3944,3,FALSE)</f>
        <v>#N/A</v>
      </c>
      <c r="H820" s="447" t="s">
        <v>1764</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thickBot="1">
      <c r="A821" s="458" t="s">
        <v>1765</v>
      </c>
      <c r="B821" s="463"/>
      <c r="C821" s="580" t="s">
        <v>651</v>
      </c>
      <c r="D821" s="449" t="s">
        <v>261</v>
      </c>
      <c r="E821" s="262"/>
      <c r="F821" s="447" t="s">
        <v>1766</v>
      </c>
      <c r="G821" s="387" t="e">
        <f>VLOOKUP(A821,'Feature Summary'!$A$7:$C$3944,3,FALSE)</f>
        <v>#N/A</v>
      </c>
      <c r="H821" s="447" t="s">
        <v>1767</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60.75" thickBot="1">
      <c r="A822" s="458"/>
      <c r="B822" s="463"/>
      <c r="C822" s="463" t="s">
        <v>44</v>
      </c>
      <c r="D822" s="449" t="s">
        <v>261</v>
      </c>
      <c r="E822" s="262"/>
      <c r="F822" s="447" t="s">
        <v>1766</v>
      </c>
      <c r="G822" s="387" t="e">
        <f>VLOOKUP(A822,'Feature Summary'!$A$7:$C$3944,3,FALSE)</f>
        <v>#N/A</v>
      </c>
      <c r="H822" s="447" t="s">
        <v>1768</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30.75" thickBot="1">
      <c r="A823" s="458"/>
      <c r="B823" s="463"/>
      <c r="C823" s="463" t="s">
        <v>44</v>
      </c>
      <c r="D823" s="449" t="s">
        <v>261</v>
      </c>
      <c r="E823" s="262"/>
      <c r="F823" s="447" t="s">
        <v>1766</v>
      </c>
      <c r="G823" s="387" t="e">
        <f>VLOOKUP(A823,'Feature Summary'!$A$7:$C$3944,3,FALSE)</f>
        <v>#N/A</v>
      </c>
      <c r="H823" s="447" t="s">
        <v>1769</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thickBot="1">
      <c r="A824" s="458"/>
      <c r="B824" s="463"/>
      <c r="C824" s="580" t="s">
        <v>651</v>
      </c>
      <c r="D824" s="449" t="s">
        <v>261</v>
      </c>
      <c r="E824" s="262"/>
      <c r="F824" s="447" t="s">
        <v>1770</v>
      </c>
      <c r="G824" s="387" t="e">
        <f>VLOOKUP(A824,'Feature Summary'!$A$7:$C$3944,3,FALSE)</f>
        <v>#N/A</v>
      </c>
      <c r="H824" s="447" t="s">
        <v>1771</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60.75" thickBot="1">
      <c r="A825" s="458"/>
      <c r="B825" s="463"/>
      <c r="C825" s="463" t="s">
        <v>44</v>
      </c>
      <c r="D825" s="449" t="s">
        <v>261</v>
      </c>
      <c r="E825" s="262"/>
      <c r="F825" s="447" t="s">
        <v>1770</v>
      </c>
      <c r="G825" s="387" t="e">
        <f>VLOOKUP(A825,'Feature Summary'!$A$7:$C$3944,3,FALSE)</f>
        <v>#N/A</v>
      </c>
      <c r="H825" s="447" t="s">
        <v>1772</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30.75" thickBot="1">
      <c r="A826" s="458"/>
      <c r="B826" s="463"/>
      <c r="C826" s="463" t="s">
        <v>44</v>
      </c>
      <c r="D826" s="449" t="s">
        <v>261</v>
      </c>
      <c r="E826" s="262"/>
      <c r="F826" s="447" t="s">
        <v>1770</v>
      </c>
      <c r="G826" s="387" t="e">
        <f>VLOOKUP(A826,'Feature Summary'!$A$7:$C$3944,3,FALSE)</f>
        <v>#N/A</v>
      </c>
      <c r="H826" s="447" t="s">
        <v>1773</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45.75" thickBot="1">
      <c r="A827" s="458" t="s">
        <v>1232</v>
      </c>
      <c r="B827" s="447" t="s">
        <v>1774</v>
      </c>
      <c r="C827" s="580" t="s">
        <v>651</v>
      </c>
      <c r="D827" s="449" t="s">
        <v>261</v>
      </c>
      <c r="E827" s="262"/>
      <c r="F827" s="447" t="s">
        <v>1775</v>
      </c>
      <c r="G827" s="387" t="str">
        <f>VLOOKUP(A827,'Feature Summary'!$A$7:$C$3944,3,FALSE)</f>
        <v>P2</v>
      </c>
      <c r="H827" s="447" t="s">
        <v>1776</v>
      </c>
      <c r="I827" s="488" t="s">
        <v>264</v>
      </c>
      <c r="J827" s="448" t="s">
        <v>1089</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75" thickBot="1">
      <c r="A828" s="458"/>
      <c r="B828" s="447" t="s">
        <v>1774</v>
      </c>
      <c r="C828" s="463" t="s">
        <v>44</v>
      </c>
      <c r="D828" s="449" t="s">
        <v>261</v>
      </c>
      <c r="E828" s="262"/>
      <c r="F828" s="447" t="s">
        <v>1775</v>
      </c>
      <c r="G828" s="387" t="e">
        <f>VLOOKUP(A828,'Feature Summary'!$A$7:$C$3944,3,FALSE)</f>
        <v>#N/A</v>
      </c>
      <c r="H828" s="447" t="s">
        <v>1777</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thickBot="1">
      <c r="A829" s="474" t="s">
        <v>1741</v>
      </c>
      <c r="B829" s="447" t="s">
        <v>1117</v>
      </c>
      <c r="C829" s="580" t="s">
        <v>651</v>
      </c>
      <c r="D829" s="449" t="s">
        <v>261</v>
      </c>
      <c r="E829" s="262"/>
      <c r="F829" s="447" t="s">
        <v>1778</v>
      </c>
      <c r="G829" s="387" t="str">
        <f>VLOOKUP(A829,'Feature Summary'!$A$7:$C$3944,3,FALSE)</f>
        <v>P2</v>
      </c>
      <c r="H829" s="447" t="s">
        <v>1779</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60.75" thickBot="1">
      <c r="A830" s="474"/>
      <c r="B830" s="447" t="s">
        <v>1117</v>
      </c>
      <c r="C830" s="463" t="s">
        <v>44</v>
      </c>
      <c r="D830" s="449" t="s">
        <v>261</v>
      </c>
      <c r="E830" s="262"/>
      <c r="F830" s="447" t="s">
        <v>1778</v>
      </c>
      <c r="G830" s="387" t="e">
        <f>VLOOKUP(A830,'Feature Summary'!$A$7:$C$3944,3,FALSE)</f>
        <v>#N/A</v>
      </c>
      <c r="H830" s="447" t="s">
        <v>1780</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30.75" thickBot="1">
      <c r="A831" s="474"/>
      <c r="B831" s="447" t="s">
        <v>1117</v>
      </c>
      <c r="C831" s="463" t="s">
        <v>44</v>
      </c>
      <c r="D831" s="449" t="s">
        <v>261</v>
      </c>
      <c r="E831" s="262"/>
      <c r="F831" s="447" t="s">
        <v>1778</v>
      </c>
      <c r="G831" s="387" t="e">
        <f>VLOOKUP(A831,'Feature Summary'!$A$7:$C$3944,3,FALSE)</f>
        <v>#N/A</v>
      </c>
      <c r="H831" s="447" t="s">
        <v>1781</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60.75" thickBot="1">
      <c r="A832" s="474"/>
      <c r="B832" s="447" t="s">
        <v>1117</v>
      </c>
      <c r="C832" s="463" t="s">
        <v>44</v>
      </c>
      <c r="D832" s="449" t="s">
        <v>261</v>
      </c>
      <c r="E832" s="262"/>
      <c r="F832" s="447" t="s">
        <v>1778</v>
      </c>
      <c r="G832" s="387" t="e">
        <f>VLOOKUP(A832,'Feature Summary'!$A$7:$C$3944,3,FALSE)</f>
        <v>#N/A</v>
      </c>
      <c r="H832" s="447" t="s">
        <v>1782</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thickBot="1">
      <c r="A833" s="458"/>
      <c r="B833" s="463"/>
      <c r="C833" s="580" t="s">
        <v>651</v>
      </c>
      <c r="D833" s="449" t="s">
        <v>261</v>
      </c>
      <c r="E833" s="262"/>
      <c r="F833" s="447" t="s">
        <v>1783</v>
      </c>
      <c r="G833" s="387" t="e">
        <f>VLOOKUP(A833,'Feature Summary'!$A$7:$C$3944,3,FALSE)</f>
        <v>#N/A</v>
      </c>
      <c r="H833" s="447" t="s">
        <v>1784</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60.75" thickBot="1">
      <c r="A834" s="458"/>
      <c r="B834" s="463"/>
      <c r="C834" s="463" t="s">
        <v>44</v>
      </c>
      <c r="D834" s="449" t="s">
        <v>261</v>
      </c>
      <c r="E834" s="262"/>
      <c r="F834" s="447" t="s">
        <v>1783</v>
      </c>
      <c r="G834" s="387" t="e">
        <f>VLOOKUP(A834,'Feature Summary'!$A$7:$C$3944,3,FALSE)</f>
        <v>#N/A</v>
      </c>
      <c r="H834" s="447" t="s">
        <v>1785</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60.75" thickBot="1">
      <c r="A835" s="458"/>
      <c r="B835" s="463"/>
      <c r="C835" s="463" t="s">
        <v>44</v>
      </c>
      <c r="D835" s="449" t="s">
        <v>261</v>
      </c>
      <c r="E835" s="262"/>
      <c r="F835" s="447" t="s">
        <v>1783</v>
      </c>
      <c r="G835" s="387" t="e">
        <f>VLOOKUP(A835,'Feature Summary'!$A$7:$C$3944,3,FALSE)</f>
        <v>#N/A</v>
      </c>
      <c r="H835" s="447" t="s">
        <v>1786</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30.75" thickBot="1">
      <c r="A836" s="458"/>
      <c r="B836" s="463"/>
      <c r="C836" s="463" t="s">
        <v>44</v>
      </c>
      <c r="D836" s="449" t="s">
        <v>261</v>
      </c>
      <c r="E836" s="262"/>
      <c r="F836" s="447" t="s">
        <v>1783</v>
      </c>
      <c r="G836" s="387" t="e">
        <f>VLOOKUP(A836,'Feature Summary'!$A$7:$C$3944,3,FALSE)</f>
        <v>#N/A</v>
      </c>
      <c r="H836" s="447" t="s">
        <v>1787</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45.75" thickBot="1">
      <c r="A837" s="474"/>
      <c r="B837" s="447"/>
      <c r="C837" s="463" t="s">
        <v>651</v>
      </c>
      <c r="D837" s="449" t="s">
        <v>261</v>
      </c>
      <c r="E837" s="262"/>
      <c r="F837" s="447" t="s">
        <v>1788</v>
      </c>
      <c r="G837" s="387" t="e">
        <f>VLOOKUP(A837,'Feature Summary'!$A$7:$C$3944,3,FALSE)</f>
        <v>#N/A</v>
      </c>
      <c r="H837" s="447" t="s">
        <v>1789</v>
      </c>
      <c r="I837" s="488" t="s">
        <v>264</v>
      </c>
      <c r="J837" s="448" t="s">
        <v>1790</v>
      </c>
      <c r="K837" s="263">
        <v>1</v>
      </c>
      <c r="L837" s="391">
        <v>8</v>
      </c>
      <c r="M837" s="399" t="s">
        <v>33</v>
      </c>
      <c r="N837" s="475">
        <v>1</v>
      </c>
      <c r="O837" s="391">
        <v>8</v>
      </c>
      <c r="P837" s="496">
        <f t="shared" si="127"/>
        <v>1</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135.75" thickBot="1">
      <c r="A838" s="474"/>
      <c r="B838" s="447"/>
      <c r="C838" s="463" t="s">
        <v>651</v>
      </c>
      <c r="D838" s="449" t="s">
        <v>261</v>
      </c>
      <c r="E838" s="262"/>
      <c r="F838" s="447" t="s">
        <v>1788</v>
      </c>
      <c r="G838" s="387" t="e">
        <f>VLOOKUP(A838,'Feature Summary'!$A$7:$C$3944,3,FALSE)</f>
        <v>#N/A</v>
      </c>
      <c r="H838" s="447" t="s">
        <v>1791</v>
      </c>
      <c r="I838" s="488" t="s">
        <v>264</v>
      </c>
      <c r="J838" s="448" t="s">
        <v>1792</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thickBot="1">
      <c r="A839" s="474" t="s">
        <v>1793</v>
      </c>
      <c r="B839" s="463"/>
      <c r="C839" s="580" t="s">
        <v>372</v>
      </c>
      <c r="D839" s="449" t="s">
        <v>261</v>
      </c>
      <c r="E839" s="262"/>
      <c r="F839" s="447" t="s">
        <v>1794</v>
      </c>
      <c r="G839" s="387" t="e">
        <f>VLOOKUP(A839,'Feature Summary'!$A$7:$C$3944,3,FALSE)</f>
        <v>#N/A</v>
      </c>
      <c r="H839" s="447" t="s">
        <v>1795</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60.75" thickBot="1">
      <c r="A840" s="474"/>
      <c r="B840" s="463"/>
      <c r="C840" s="463" t="s">
        <v>44</v>
      </c>
      <c r="D840" s="449" t="s">
        <v>261</v>
      </c>
      <c r="E840" s="262"/>
      <c r="F840" s="447" t="s">
        <v>1794</v>
      </c>
      <c r="G840" s="387" t="e">
        <f>VLOOKUP(A840,'Feature Summary'!$A$7:$C$3944,3,FALSE)</f>
        <v>#N/A</v>
      </c>
      <c r="H840" s="447" t="s">
        <v>1796</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30.75" thickBot="1">
      <c r="A841" s="474"/>
      <c r="B841" s="463"/>
      <c r="C841" s="463" t="s">
        <v>44</v>
      </c>
      <c r="D841" s="449" t="s">
        <v>261</v>
      </c>
      <c r="E841" s="262"/>
      <c r="F841" s="447" t="s">
        <v>1794</v>
      </c>
      <c r="G841" s="387" t="e">
        <f>VLOOKUP(A841,'Feature Summary'!$A$7:$C$3944,3,FALSE)</f>
        <v>#N/A</v>
      </c>
      <c r="H841" s="447" t="s">
        <v>1797</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90.75" thickBot="1">
      <c r="A842" s="474" t="s">
        <v>1798</v>
      </c>
      <c r="B842" s="447" t="s">
        <v>1799</v>
      </c>
      <c r="C842" s="580" t="s">
        <v>335</v>
      </c>
      <c r="D842" s="449" t="s">
        <v>261</v>
      </c>
      <c r="E842" s="262"/>
      <c r="F842" s="447" t="s">
        <v>1800</v>
      </c>
      <c r="G842" s="387" t="e">
        <f>VLOOKUP(A842,'Feature Summary'!$A$7:$C$3944,3,FALSE)</f>
        <v>#N/A</v>
      </c>
      <c r="H842" s="447" t="s">
        <v>1801</v>
      </c>
      <c r="I842" s="488" t="s">
        <v>264</v>
      </c>
      <c r="J842" s="448" t="s">
        <v>1802</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60.75" thickBot="1">
      <c r="A843" s="474"/>
      <c r="B843" s="447" t="s">
        <v>1799</v>
      </c>
      <c r="C843" s="463" t="s">
        <v>44</v>
      </c>
      <c r="D843" s="449" t="s">
        <v>261</v>
      </c>
      <c r="E843" s="262"/>
      <c r="F843" s="447" t="s">
        <v>1800</v>
      </c>
      <c r="G843" s="387" t="e">
        <f>VLOOKUP(A843,'Feature Summary'!$A$7:$C$3944,3,FALSE)</f>
        <v>#N/A</v>
      </c>
      <c r="H843" s="447" t="s">
        <v>1803</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75" thickBot="1">
      <c r="A844" s="474"/>
      <c r="B844" s="447" t="s">
        <v>1799</v>
      </c>
      <c r="C844" s="463" t="s">
        <v>44</v>
      </c>
      <c r="D844" s="449" t="s">
        <v>261</v>
      </c>
      <c r="E844" s="262"/>
      <c r="F844" s="447" t="s">
        <v>1800</v>
      </c>
      <c r="G844" s="387" t="e">
        <f>VLOOKUP(A844,'Feature Summary'!$A$7:$C$3944,3,FALSE)</f>
        <v>#N/A</v>
      </c>
      <c r="H844" s="447" t="s">
        <v>1804</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thickBot="1">
      <c r="A845" s="474" t="s">
        <v>1805</v>
      </c>
      <c r="B845" s="447" t="s">
        <v>1806</v>
      </c>
      <c r="C845" s="580" t="s">
        <v>335</v>
      </c>
      <c r="D845" s="449" t="s">
        <v>261</v>
      </c>
      <c r="E845" s="262"/>
      <c r="F845" s="470" t="s">
        <v>1807</v>
      </c>
      <c r="G845" s="387" t="e">
        <f>VLOOKUP(A845,'Feature Summary'!$A$7:$C$3944,3,FALSE)</f>
        <v>#N/A</v>
      </c>
      <c r="H845" s="447" t="s">
        <v>1808</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60.75" thickBot="1">
      <c r="A846" s="474"/>
      <c r="B846" s="447" t="s">
        <v>1806</v>
      </c>
      <c r="C846" s="463" t="s">
        <v>44</v>
      </c>
      <c r="D846" s="449" t="s">
        <v>261</v>
      </c>
      <c r="E846" s="262"/>
      <c r="F846" s="470" t="s">
        <v>1807</v>
      </c>
      <c r="G846" s="387" t="e">
        <f>VLOOKUP(A846,'Feature Summary'!$A$7:$C$3944,3,FALSE)</f>
        <v>#N/A</v>
      </c>
      <c r="H846" s="447" t="s">
        <v>1809</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30.75" thickBot="1">
      <c r="A847" s="474"/>
      <c r="B847" s="447" t="s">
        <v>1806</v>
      </c>
      <c r="C847" s="463" t="s">
        <v>44</v>
      </c>
      <c r="D847" s="449" t="s">
        <v>261</v>
      </c>
      <c r="E847" s="262"/>
      <c r="F847" s="470" t="s">
        <v>1807</v>
      </c>
      <c r="G847" s="387" t="e">
        <f>VLOOKUP(A847,'Feature Summary'!$A$7:$C$3944,3,FALSE)</f>
        <v>#N/A</v>
      </c>
      <c r="H847" s="447" t="s">
        <v>1810</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thickBot="1">
      <c r="A848" s="474" t="s">
        <v>1811</v>
      </c>
      <c r="B848" s="447" t="s">
        <v>1806</v>
      </c>
      <c r="C848" s="580" t="s">
        <v>335</v>
      </c>
      <c r="D848" s="449" t="s">
        <v>261</v>
      </c>
      <c r="E848" s="262"/>
      <c r="F848" s="470" t="s">
        <v>1812</v>
      </c>
      <c r="G848" s="387" t="str">
        <f>VLOOKUP(A848,'Feature Summary'!$A$7:$C$3944,3,FALSE)</f>
        <v>P2</v>
      </c>
      <c r="H848" s="447" t="s">
        <v>1813</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60.75" thickBot="1">
      <c r="A849" s="474"/>
      <c r="B849" s="447" t="s">
        <v>1806</v>
      </c>
      <c r="C849" s="463" t="s">
        <v>44</v>
      </c>
      <c r="D849" s="449" t="s">
        <v>261</v>
      </c>
      <c r="E849" s="262"/>
      <c r="F849" s="470" t="s">
        <v>1812</v>
      </c>
      <c r="G849" s="387" t="e">
        <f>VLOOKUP(A849,'Feature Summary'!$A$7:$C$3944,3,FALSE)</f>
        <v>#N/A</v>
      </c>
      <c r="H849" s="447" t="s">
        <v>1814</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30.75" thickBot="1">
      <c r="A850" s="474"/>
      <c r="B850" s="447" t="s">
        <v>1806</v>
      </c>
      <c r="C850" s="463" t="s">
        <v>44</v>
      </c>
      <c r="D850" s="449" t="s">
        <v>261</v>
      </c>
      <c r="E850" s="262"/>
      <c r="F850" s="470" t="s">
        <v>1812</v>
      </c>
      <c r="G850" s="387" t="e">
        <f>VLOOKUP(A850,'Feature Summary'!$A$7:$C$3944,3,FALSE)</f>
        <v>#N/A</v>
      </c>
      <c r="H850" s="447" t="s">
        <v>1815</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thickBot="1">
      <c r="A851" s="474"/>
      <c r="B851" s="447" t="s">
        <v>1816</v>
      </c>
      <c r="C851" s="463" t="s">
        <v>260</v>
      </c>
      <c r="D851" s="449" t="s">
        <v>261</v>
      </c>
      <c r="E851" s="262"/>
      <c r="F851" s="470" t="s">
        <v>1817</v>
      </c>
      <c r="G851" s="387" t="e">
        <f>VLOOKUP(A851,'Feature Summary'!$A$7:$C$3944,3,FALSE)</f>
        <v>#N/A</v>
      </c>
      <c r="H851" s="447" t="s">
        <v>1818</v>
      </c>
      <c r="I851" s="488" t="s">
        <v>264</v>
      </c>
      <c r="J851" s="448" t="s">
        <v>320</v>
      </c>
      <c r="K851" s="263">
        <v>1</v>
      </c>
      <c r="L851" s="391">
        <v>16</v>
      </c>
      <c r="M851" s="399" t="s">
        <v>33</v>
      </c>
      <c r="N851" s="475">
        <v>1</v>
      </c>
      <c r="O851" s="391">
        <v>16</v>
      </c>
      <c r="P851" s="496">
        <f t="shared" si="127"/>
        <v>1</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75" thickBot="1">
      <c r="A852" s="474"/>
      <c r="B852" s="447" t="s">
        <v>1816</v>
      </c>
      <c r="C852" s="463" t="s">
        <v>44</v>
      </c>
      <c r="D852" s="449" t="s">
        <v>261</v>
      </c>
      <c r="E852" s="262"/>
      <c r="F852" s="470" t="s">
        <v>1817</v>
      </c>
      <c r="G852" s="387" t="e">
        <f>VLOOKUP(A852,'Feature Summary'!$A$7:$C$3944,3,FALSE)</f>
        <v>#N/A</v>
      </c>
      <c r="H852" s="447" t="s">
        <v>1819</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60.75" thickBot="1">
      <c r="A853" s="474"/>
      <c r="B853" s="447" t="s">
        <v>1816</v>
      </c>
      <c r="C853" s="463" t="s">
        <v>44</v>
      </c>
      <c r="D853" s="449" t="s">
        <v>261</v>
      </c>
      <c r="E853" s="262"/>
      <c r="F853" s="470" t="s">
        <v>1817</v>
      </c>
      <c r="G853" s="387" t="e">
        <f>VLOOKUP(A853,'Feature Summary'!$A$7:$C$3944,3,FALSE)</f>
        <v>#N/A</v>
      </c>
      <c r="H853" s="447" t="s">
        <v>1820</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75" thickBot="1">
      <c r="A854" s="474"/>
      <c r="B854" s="463"/>
      <c r="C854" s="463" t="s">
        <v>44</v>
      </c>
      <c r="D854" s="449" t="s">
        <v>261</v>
      </c>
      <c r="E854" s="262"/>
      <c r="F854" s="470" t="s">
        <v>1042</v>
      </c>
      <c r="G854" s="387" t="e">
        <f>VLOOKUP(A854,'Feature Summary'!$A$7:$C$3944,3,FALSE)</f>
        <v>#N/A</v>
      </c>
      <c r="H854" s="447" t="s">
        <v>1821</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60.75" thickBot="1">
      <c r="A855" s="474"/>
      <c r="B855" s="463"/>
      <c r="C855" s="463" t="s">
        <v>44</v>
      </c>
      <c r="D855" s="449" t="s">
        <v>261</v>
      </c>
      <c r="E855" s="262"/>
      <c r="F855" s="470" t="s">
        <v>1042</v>
      </c>
      <c r="G855" s="387" t="e">
        <f>VLOOKUP(A855,'Feature Summary'!$A$7:$C$3944,3,FALSE)</f>
        <v>#N/A</v>
      </c>
      <c r="H855" s="447" t="s">
        <v>1822</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thickBot="1">
      <c r="A856" s="474" t="s">
        <v>1823</v>
      </c>
      <c r="B856" s="447" t="s">
        <v>1824</v>
      </c>
      <c r="C856" s="580" t="s">
        <v>651</v>
      </c>
      <c r="D856" s="449" t="s">
        <v>261</v>
      </c>
      <c r="E856" s="262"/>
      <c r="F856" s="447" t="s">
        <v>1825</v>
      </c>
      <c r="G856" s="387" t="str">
        <f>VLOOKUP(A856,'Feature Summary'!$A$7:$C$3944,3,FALSE)</f>
        <v>P2</v>
      </c>
      <c r="H856" s="447" t="s">
        <v>1826</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thickBot="1">
      <c r="A857" s="474" t="s">
        <v>1823</v>
      </c>
      <c r="B857" s="447" t="s">
        <v>1824</v>
      </c>
      <c r="C857" s="580" t="s">
        <v>651</v>
      </c>
      <c r="D857" s="449" t="s">
        <v>261</v>
      </c>
      <c r="E857" s="262"/>
      <c r="F857" s="447" t="s">
        <v>1825</v>
      </c>
      <c r="G857" s="387" t="str">
        <f>VLOOKUP(A857,'Feature Summary'!$A$7:$C$3944,3,FALSE)</f>
        <v>P2</v>
      </c>
      <c r="H857" s="447" t="s">
        <v>1827</v>
      </c>
      <c r="I857" s="488" t="s">
        <v>264</v>
      </c>
      <c r="J857" s="448" t="s">
        <v>841</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customHeight="1" thickBot="1">
      <c r="A858" s="474"/>
      <c r="B858" s="447" t="s">
        <v>1824</v>
      </c>
      <c r="C858" s="463" t="s">
        <v>44</v>
      </c>
      <c r="D858" s="449" t="s">
        <v>261</v>
      </c>
      <c r="E858" s="262"/>
      <c r="F858" s="447" t="s">
        <v>1825</v>
      </c>
      <c r="G858" s="387" t="e">
        <f>VLOOKUP(A858,'Feature Summary'!$A$7:$C$3944,3,FALSE)</f>
        <v>#N/A</v>
      </c>
      <c r="H858" s="447" t="s">
        <v>1828</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customHeight="1" thickBot="1">
      <c r="A859" s="474"/>
      <c r="B859" s="447" t="s">
        <v>1824</v>
      </c>
      <c r="C859" s="463" t="s">
        <v>44</v>
      </c>
      <c r="D859" s="449" t="s">
        <v>261</v>
      </c>
      <c r="E859" s="262"/>
      <c r="F859" s="447" t="s">
        <v>1825</v>
      </c>
      <c r="G859" s="387" t="e">
        <f>VLOOKUP(A859,'Feature Summary'!$A$7:$C$3944,3,FALSE)</f>
        <v>#N/A</v>
      </c>
      <c r="H859" s="447" t="s">
        <v>1829</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60.75" thickBot="1">
      <c r="A860" s="474"/>
      <c r="B860" s="447" t="s">
        <v>1824</v>
      </c>
      <c r="C860" s="463" t="s">
        <v>44</v>
      </c>
      <c r="D860" s="449" t="s">
        <v>261</v>
      </c>
      <c r="E860" s="262"/>
      <c r="F860" s="447" t="s">
        <v>1825</v>
      </c>
      <c r="G860" s="387" t="e">
        <f>VLOOKUP(A860,'Feature Summary'!$A$7:$C$3944,3,FALSE)</f>
        <v>#N/A</v>
      </c>
      <c r="H860" s="447" t="s">
        <v>1830</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thickBot="1">
      <c r="A861" s="474" t="s">
        <v>1831</v>
      </c>
      <c r="B861" s="447" t="s">
        <v>1832</v>
      </c>
      <c r="C861" s="580" t="s">
        <v>444</v>
      </c>
      <c r="D861" s="449" t="s">
        <v>261</v>
      </c>
      <c r="E861" s="262"/>
      <c r="F861" s="470" t="s">
        <v>1833</v>
      </c>
      <c r="G861" s="387" t="str">
        <f>VLOOKUP(A861,'Feature Summary'!$A$7:$C$3944,3,FALSE)</f>
        <v>P2</v>
      </c>
      <c r="H861" s="447" t="s">
        <v>1834</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60.75" thickBot="1">
      <c r="A862" s="474"/>
      <c r="B862" s="447" t="s">
        <v>1832</v>
      </c>
      <c r="C862" s="463" t="s">
        <v>44</v>
      </c>
      <c r="D862" s="449" t="s">
        <v>261</v>
      </c>
      <c r="E862" s="262"/>
      <c r="F862" s="470" t="s">
        <v>1833</v>
      </c>
      <c r="G862" s="387" t="e">
        <f>VLOOKUP(A862,'Feature Summary'!$A$7:$C$3944,3,FALSE)</f>
        <v>#N/A</v>
      </c>
      <c r="H862" s="447" t="s">
        <v>1835</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75" thickBot="1">
      <c r="A863" s="474"/>
      <c r="B863" s="447" t="s">
        <v>1832</v>
      </c>
      <c r="C863" s="463" t="s">
        <v>44</v>
      </c>
      <c r="D863" s="449" t="s">
        <v>261</v>
      </c>
      <c r="E863" s="262"/>
      <c r="F863" s="470" t="s">
        <v>1833</v>
      </c>
      <c r="G863" s="387" t="e">
        <f>VLOOKUP(A863,'Feature Summary'!$A$7:$C$3944,3,FALSE)</f>
        <v>#N/A</v>
      </c>
      <c r="H863" s="447" t="s">
        <v>1836</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75.75" thickBot="1">
      <c r="A864" s="474" t="s">
        <v>1837</v>
      </c>
      <c r="B864" s="447" t="s">
        <v>1838</v>
      </c>
      <c r="C864" s="580" t="s">
        <v>444</v>
      </c>
      <c r="D864" s="449" t="s">
        <v>261</v>
      </c>
      <c r="E864" s="262"/>
      <c r="F864" s="470" t="s">
        <v>1839</v>
      </c>
      <c r="G864" s="387" t="str">
        <f>VLOOKUP(A864,'Feature Summary'!$A$7:$C$3944,3,FALSE)</f>
        <v>P2</v>
      </c>
      <c r="H864" s="447" t="s">
        <v>1840</v>
      </c>
      <c r="I864" s="488" t="s">
        <v>264</v>
      </c>
      <c r="J864" s="448" t="s">
        <v>1841</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105.75" thickBot="1">
      <c r="A865" s="474"/>
      <c r="B865" s="447" t="s">
        <v>1838</v>
      </c>
      <c r="C865" s="463" t="s">
        <v>44</v>
      </c>
      <c r="D865" s="449" t="s">
        <v>261</v>
      </c>
      <c r="E865" s="262"/>
      <c r="F865" s="470" t="s">
        <v>1839</v>
      </c>
      <c r="G865" s="387" t="e">
        <f>VLOOKUP(A865,'Feature Summary'!$A$7:$C$3944,3,FALSE)</f>
        <v>#N/A</v>
      </c>
      <c r="H865" s="447" t="s">
        <v>1842</v>
      </c>
      <c r="I865" s="447"/>
      <c r="J865" s="448" t="s">
        <v>1843</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60.75" thickBot="1">
      <c r="A866" s="474"/>
      <c r="B866" s="447" t="s">
        <v>1838</v>
      </c>
      <c r="C866" s="463" t="s">
        <v>44</v>
      </c>
      <c r="D866" s="449" t="s">
        <v>261</v>
      </c>
      <c r="E866" s="262"/>
      <c r="F866" s="470" t="s">
        <v>1839</v>
      </c>
      <c r="G866" s="387" t="e">
        <f>VLOOKUP(A866,'Feature Summary'!$A$7:$C$3944,3,FALSE)</f>
        <v>#N/A</v>
      </c>
      <c r="H866" s="447" t="s">
        <v>1844</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75" thickBot="1">
      <c r="A867" s="474"/>
      <c r="B867" s="447" t="s">
        <v>1838</v>
      </c>
      <c r="C867" s="463" t="s">
        <v>44</v>
      </c>
      <c r="D867" s="449" t="s">
        <v>261</v>
      </c>
      <c r="E867" s="262"/>
      <c r="F867" s="470" t="s">
        <v>1839</v>
      </c>
      <c r="G867" s="387" t="e">
        <f>VLOOKUP(A867,'Feature Summary'!$A$7:$C$3944,3,FALSE)</f>
        <v>#N/A</v>
      </c>
      <c r="H867" s="447" t="s">
        <v>1845</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405.75" thickBot="1">
      <c r="A868" s="474" t="s">
        <v>1846</v>
      </c>
      <c r="B868" s="447" t="s">
        <v>1847</v>
      </c>
      <c r="C868" s="580" t="s">
        <v>651</v>
      </c>
      <c r="D868" s="449" t="s">
        <v>261</v>
      </c>
      <c r="E868" s="262"/>
      <c r="F868" s="447" t="s">
        <v>1848</v>
      </c>
      <c r="G868" s="387" t="str">
        <f>VLOOKUP(A868,'Feature Summary'!$A$7:$C$3944,3,FALSE)</f>
        <v>P2</v>
      </c>
      <c r="H868" s="447" t="s">
        <v>1849</v>
      </c>
      <c r="I868" s="488" t="s">
        <v>264</v>
      </c>
      <c r="J868" s="448" t="s">
        <v>1850</v>
      </c>
      <c r="K868" s="263">
        <v>1</v>
      </c>
      <c r="L868" s="391">
        <v>18</v>
      </c>
      <c r="M868" s="399" t="s">
        <v>33</v>
      </c>
      <c r="N868" s="475">
        <v>1</v>
      </c>
      <c r="O868" s="391">
        <v>18</v>
      </c>
      <c r="P868" s="496">
        <f t="shared" si="132"/>
        <v>1</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225.75" thickBot="1">
      <c r="A869" s="474"/>
      <c r="B869" s="447" t="s">
        <v>1847</v>
      </c>
      <c r="C869" s="463" t="s">
        <v>44</v>
      </c>
      <c r="D869" s="449" t="s">
        <v>261</v>
      </c>
      <c r="E869" s="262"/>
      <c r="F869" s="447" t="s">
        <v>1848</v>
      </c>
      <c r="G869" s="387" t="e">
        <f>VLOOKUP(A869,'Feature Summary'!$A$7:$C$3944,3,FALSE)</f>
        <v>#N/A</v>
      </c>
      <c r="H869" s="447" t="s">
        <v>1851</v>
      </c>
      <c r="I869" s="447"/>
      <c r="J869" s="448" t="s">
        <v>1852</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60.75" thickBot="1">
      <c r="A870" s="474" t="s">
        <v>1853</v>
      </c>
      <c r="B870" s="447" t="s">
        <v>1854</v>
      </c>
      <c r="C870" s="463" t="s">
        <v>354</v>
      </c>
      <c r="D870" s="449" t="s">
        <v>261</v>
      </c>
      <c r="E870" s="262"/>
      <c r="F870" s="447" t="s">
        <v>1855</v>
      </c>
      <c r="G870" s="387" t="str">
        <f>VLOOKUP(A870,'Feature Summary'!$A$7:$C$3944,3,FALSE)</f>
        <v>P2</v>
      </c>
      <c r="H870" s="447" t="s">
        <v>1856</v>
      </c>
      <c r="I870" s="488" t="s">
        <v>264</v>
      </c>
      <c r="J870" s="448" t="s">
        <v>1170</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thickBot="1">
      <c r="A871" s="474"/>
      <c r="B871" s="463" t="s">
        <v>259</v>
      </c>
      <c r="C871" s="463" t="s">
        <v>655</v>
      </c>
      <c r="D871" s="449" t="s">
        <v>261</v>
      </c>
      <c r="E871" s="262"/>
      <c r="F871" s="447" t="s">
        <v>1857</v>
      </c>
      <c r="G871" s="387" t="e">
        <f>VLOOKUP(A871,'Feature Summary'!$A$7:$C$3944,3,FALSE)</f>
        <v>#N/A</v>
      </c>
      <c r="H871" s="447" t="s">
        <v>1858</v>
      </c>
      <c r="I871" s="488" t="s">
        <v>288</v>
      </c>
      <c r="J871" s="448" t="s">
        <v>1859</v>
      </c>
      <c r="K871" s="263">
        <v>2</v>
      </c>
      <c r="L871" s="391">
        <v>1</v>
      </c>
      <c r="M871" s="399" t="s">
        <v>33</v>
      </c>
      <c r="N871" s="475">
        <v>1</v>
      </c>
      <c r="O871" s="391">
        <v>1</v>
      </c>
      <c r="P871" s="496">
        <f t="shared" si="136"/>
        <v>1</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90.75" thickBot="1">
      <c r="A872" s="474" t="s">
        <v>1860</v>
      </c>
      <c r="B872" s="463" t="s">
        <v>259</v>
      </c>
      <c r="C872" s="463" t="s">
        <v>655</v>
      </c>
      <c r="D872" s="449" t="s">
        <v>261</v>
      </c>
      <c r="E872" s="262"/>
      <c r="F872" s="447" t="s">
        <v>1857</v>
      </c>
      <c r="G872" s="387" t="e">
        <f>VLOOKUP(A872,'Feature Summary'!$A$7:$C$3944,3,FALSE)</f>
        <v>#N/A</v>
      </c>
      <c r="H872" s="447" t="s">
        <v>1861</v>
      </c>
      <c r="I872" s="488" t="s">
        <v>264</v>
      </c>
      <c r="J872" s="448" t="s">
        <v>1859</v>
      </c>
      <c r="K872" s="263">
        <v>1</v>
      </c>
      <c r="L872" s="391">
        <v>18</v>
      </c>
      <c r="M872" s="399" t="s">
        <v>33</v>
      </c>
      <c r="N872" s="475">
        <v>1</v>
      </c>
      <c r="O872" s="391">
        <v>18</v>
      </c>
      <c r="P872" s="496">
        <f t="shared" si="132"/>
        <v>1</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105.75" thickBot="1">
      <c r="A873" s="474" t="s">
        <v>1862</v>
      </c>
      <c r="B873" s="463" t="s">
        <v>259</v>
      </c>
      <c r="C873" s="463" t="s">
        <v>444</v>
      </c>
      <c r="D873" s="449" t="s">
        <v>261</v>
      </c>
      <c r="E873" s="262"/>
      <c r="F873" s="447" t="s">
        <v>1863</v>
      </c>
      <c r="G873" s="387" t="e">
        <f>VLOOKUP(A873,'Feature Summary'!$A$7:$C$3944,3,FALSE)</f>
        <v>#N/A</v>
      </c>
      <c r="H873" s="447" t="s">
        <v>1864</v>
      </c>
      <c r="I873" s="488" t="s">
        <v>264</v>
      </c>
      <c r="J873" s="448" t="s">
        <v>1865</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customHeight="1" thickBot="1">
      <c r="A874" s="474"/>
      <c r="B874" s="463" t="s">
        <v>259</v>
      </c>
      <c r="C874" s="463" t="s">
        <v>44</v>
      </c>
      <c r="D874" s="449" t="s">
        <v>261</v>
      </c>
      <c r="E874" s="262"/>
      <c r="F874" s="447" t="s">
        <v>1857</v>
      </c>
      <c r="G874" s="387" t="e">
        <f>VLOOKUP(A874,'Feature Summary'!$A$7:$C$3944,3,FALSE)</f>
        <v>#N/A</v>
      </c>
      <c r="H874" s="447" t="s">
        <v>1866</v>
      </c>
      <c r="I874" s="447"/>
      <c r="J874" s="448" t="s">
        <v>1867</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60.75" thickBot="1">
      <c r="A875" s="474"/>
      <c r="B875" s="463" t="s">
        <v>259</v>
      </c>
      <c r="C875" s="463" t="s">
        <v>44</v>
      </c>
      <c r="D875" s="449" t="s">
        <v>261</v>
      </c>
      <c r="E875" s="262"/>
      <c r="F875" s="447" t="s">
        <v>1857</v>
      </c>
      <c r="G875" s="387" t="e">
        <f>VLOOKUP(A875,'Feature Summary'!$A$7:$C$3944,3,FALSE)</f>
        <v>#N/A</v>
      </c>
      <c r="H875" s="447" t="s">
        <v>1868</v>
      </c>
      <c r="I875" s="447"/>
      <c r="J875" s="448" t="s">
        <v>1869</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thickBot="1">
      <c r="A876" s="474" t="s">
        <v>1870</v>
      </c>
      <c r="B876" s="447" t="s">
        <v>1246</v>
      </c>
      <c r="C876" s="463" t="s">
        <v>655</v>
      </c>
      <c r="D876" s="449" t="s">
        <v>261</v>
      </c>
      <c r="E876" s="262"/>
      <c r="F876" s="447" t="s">
        <v>1871</v>
      </c>
      <c r="G876" s="387" t="e">
        <f>VLOOKUP(A876,'Feature Summary'!$A$7:$C$3944,3,FALSE)</f>
        <v>#N/A</v>
      </c>
      <c r="H876" s="447" t="s">
        <v>1872</v>
      </c>
      <c r="I876" s="488" t="s">
        <v>264</v>
      </c>
      <c r="J876" s="448" t="s">
        <v>1873</v>
      </c>
      <c r="K876" s="263">
        <v>1</v>
      </c>
      <c r="L876" s="391">
        <v>18</v>
      </c>
      <c r="M876" s="399" t="s">
        <v>33</v>
      </c>
      <c r="N876" s="475">
        <v>1</v>
      </c>
      <c r="O876" s="391">
        <v>18</v>
      </c>
      <c r="P876" s="496">
        <f t="shared" si="132"/>
        <v>1</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thickBot="1">
      <c r="A877" s="474"/>
      <c r="B877" s="447" t="s">
        <v>1246</v>
      </c>
      <c r="C877" s="463" t="s">
        <v>655</v>
      </c>
      <c r="D877" s="449" t="s">
        <v>261</v>
      </c>
      <c r="E877" s="262"/>
      <c r="F877" s="447" t="s">
        <v>1871</v>
      </c>
      <c r="G877" s="387" t="e">
        <f>VLOOKUP(A877,'Feature Summary'!$A$7:$C$3944,3,FALSE)</f>
        <v>#N/A</v>
      </c>
      <c r="H877" s="447" t="s">
        <v>1874</v>
      </c>
      <c r="I877" s="488" t="s">
        <v>288</v>
      </c>
      <c r="J877" s="448" t="s">
        <v>1873</v>
      </c>
      <c r="K877" s="263">
        <v>2</v>
      </c>
      <c r="L877" s="391">
        <v>1</v>
      </c>
      <c r="M877" s="399" t="s">
        <v>33</v>
      </c>
      <c r="N877" s="475">
        <v>1</v>
      </c>
      <c r="O877" s="391">
        <v>1</v>
      </c>
      <c r="P877" s="496">
        <f t="shared" ref="P877:P878" si="140">IF((O877=0),0,(O877/L877))</f>
        <v>1</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thickBot="1">
      <c r="A878" s="474"/>
      <c r="B878" s="447" t="s">
        <v>1246</v>
      </c>
      <c r="C878" s="463" t="s">
        <v>655</v>
      </c>
      <c r="D878" s="449" t="s">
        <v>261</v>
      </c>
      <c r="E878" s="262"/>
      <c r="F878" s="447" t="s">
        <v>1871</v>
      </c>
      <c r="G878" s="387" t="e">
        <f>VLOOKUP(A878,'Feature Summary'!$A$7:$C$3944,3,FALSE)</f>
        <v>#N/A</v>
      </c>
      <c r="H878" s="447" t="s">
        <v>1875</v>
      </c>
      <c r="I878" s="488" t="s">
        <v>288</v>
      </c>
      <c r="J878" s="448" t="s">
        <v>1873</v>
      </c>
      <c r="K878" s="263">
        <v>2</v>
      </c>
      <c r="L878" s="391">
        <v>1</v>
      </c>
      <c r="M878" s="399" t="s">
        <v>33</v>
      </c>
      <c r="N878" s="475">
        <v>1</v>
      </c>
      <c r="O878" s="391">
        <v>1</v>
      </c>
      <c r="P878" s="496">
        <f t="shared" si="140"/>
        <v>1</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105.75" thickBot="1">
      <c r="A879" s="474" t="s">
        <v>1876</v>
      </c>
      <c r="B879" s="463" t="s">
        <v>259</v>
      </c>
      <c r="C879" s="463" t="s">
        <v>655</v>
      </c>
      <c r="D879" s="449" t="s">
        <v>261</v>
      </c>
      <c r="E879" s="262"/>
      <c r="F879" s="447" t="s">
        <v>1863</v>
      </c>
      <c r="G879" s="387" t="str">
        <f>VLOOKUP(A879,'Feature Summary'!$A$7:$C$3944,3,FALSE)</f>
        <v>P2</v>
      </c>
      <c r="H879" s="447" t="s">
        <v>1877</v>
      </c>
      <c r="I879" s="488" t="s">
        <v>264</v>
      </c>
      <c r="J879" s="448" t="s">
        <v>1878</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customHeight="1" thickBot="1">
      <c r="A880" s="474"/>
      <c r="B880" s="447" t="s">
        <v>1246</v>
      </c>
      <c r="C880" s="463" t="s">
        <v>44</v>
      </c>
      <c r="D880" s="449" t="s">
        <v>261</v>
      </c>
      <c r="E880" s="262"/>
      <c r="F880" s="447" t="s">
        <v>1871</v>
      </c>
      <c r="G880" s="387" t="e">
        <f>VLOOKUP(A880,'Feature Summary'!$A$7:$C$3944,3,FALSE)</f>
        <v>#N/A</v>
      </c>
      <c r="H880" s="447" t="s">
        <v>1879</v>
      </c>
      <c r="I880" s="447"/>
      <c r="J880" s="448" t="s">
        <v>1880</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customHeight="1" thickBot="1">
      <c r="A881" s="474" t="s">
        <v>1679</v>
      </c>
      <c r="B881" s="447"/>
      <c r="C881" s="463" t="s">
        <v>655</v>
      </c>
      <c r="D881" s="449" t="s">
        <v>261</v>
      </c>
      <c r="E881" s="262"/>
      <c r="F881" s="447" t="s">
        <v>1881</v>
      </c>
      <c r="G881" s="387" t="str">
        <f>VLOOKUP(A881,'Feature Summary'!$A$7:$C$3944,3,FALSE)</f>
        <v>P2</v>
      </c>
      <c r="H881" s="447" t="s">
        <v>1882</v>
      </c>
      <c r="I881" s="488" t="s">
        <v>264</v>
      </c>
      <c r="J881" s="448" t="s">
        <v>1873</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customHeight="1" thickBot="1">
      <c r="A882" s="474" t="s">
        <v>1679</v>
      </c>
      <c r="B882" s="447"/>
      <c r="C882" s="463" t="s">
        <v>655</v>
      </c>
      <c r="D882" s="449" t="s">
        <v>261</v>
      </c>
      <c r="E882" s="262"/>
      <c r="F882" s="447" t="s">
        <v>1883</v>
      </c>
      <c r="G882" s="387" t="str">
        <f>VLOOKUP(A882,'Feature Summary'!$A$7:$C$3944,3,FALSE)</f>
        <v>P2</v>
      </c>
      <c r="H882" s="447" t="s">
        <v>1884</v>
      </c>
      <c r="I882" s="488" t="s">
        <v>264</v>
      </c>
      <c r="J882" s="448" t="s">
        <v>1873</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customHeight="1" thickBot="1">
      <c r="A883" s="474" t="s">
        <v>1679</v>
      </c>
      <c r="B883" s="447"/>
      <c r="C883" s="463" t="s">
        <v>655</v>
      </c>
      <c r="D883" s="449" t="s">
        <v>261</v>
      </c>
      <c r="E883" s="262"/>
      <c r="F883" s="447" t="s">
        <v>1885</v>
      </c>
      <c r="G883" s="387" t="str">
        <f>VLOOKUP(A883,'Feature Summary'!$A$7:$C$3944,3,FALSE)</f>
        <v>P2</v>
      </c>
      <c r="H883" s="447" t="s">
        <v>1886</v>
      </c>
      <c r="I883" s="488" t="s">
        <v>264</v>
      </c>
      <c r="J883" s="448" t="s">
        <v>1873</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customHeight="1" thickBot="1">
      <c r="A884" s="474" t="s">
        <v>1679</v>
      </c>
      <c r="B884" s="447"/>
      <c r="C884" s="463" t="s">
        <v>655</v>
      </c>
      <c r="D884" s="449" t="s">
        <v>261</v>
      </c>
      <c r="E884" s="262"/>
      <c r="F884" s="447" t="s">
        <v>1887</v>
      </c>
      <c r="G884" s="387" t="str">
        <f>VLOOKUP(A884,'Feature Summary'!$A$7:$C$3944,3,FALSE)</f>
        <v>P2</v>
      </c>
      <c r="H884" s="447" t="s">
        <v>1888</v>
      </c>
      <c r="I884" s="488" t="s">
        <v>264</v>
      </c>
      <c r="J884" s="448" t="s">
        <v>1873</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customHeight="1" thickBot="1">
      <c r="A885" s="474" t="s">
        <v>1679</v>
      </c>
      <c r="B885" s="447"/>
      <c r="C885" s="463" t="s">
        <v>655</v>
      </c>
      <c r="D885" s="449" t="s">
        <v>261</v>
      </c>
      <c r="E885" s="262"/>
      <c r="F885" s="447" t="s">
        <v>1889</v>
      </c>
      <c r="G885" s="387" t="str">
        <f>VLOOKUP(A885,'Feature Summary'!$A$7:$C$3944,3,FALSE)</f>
        <v>P2</v>
      </c>
      <c r="H885" s="447" t="s">
        <v>1890</v>
      </c>
      <c r="I885" s="488" t="s">
        <v>264</v>
      </c>
      <c r="J885" s="448" t="s">
        <v>1873</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customHeight="1" thickBot="1">
      <c r="A886" s="474" t="s">
        <v>1679</v>
      </c>
      <c r="B886" s="447"/>
      <c r="C886" s="463" t="s">
        <v>655</v>
      </c>
      <c r="D886" s="449" t="s">
        <v>261</v>
      </c>
      <c r="E886" s="262"/>
      <c r="F886" s="447" t="s">
        <v>1891</v>
      </c>
      <c r="G886" s="387" t="str">
        <f>VLOOKUP(A886,'Feature Summary'!$A$7:$C$3944,3,FALSE)</f>
        <v>P2</v>
      </c>
      <c r="H886" s="447" t="s">
        <v>1892</v>
      </c>
      <c r="I886" s="488" t="s">
        <v>264</v>
      </c>
      <c r="J886" s="448" t="s">
        <v>1873</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customHeight="1" thickBot="1">
      <c r="A887" s="474" t="s">
        <v>1893</v>
      </c>
      <c r="B887" s="447"/>
      <c r="C887" s="463" t="s">
        <v>655</v>
      </c>
      <c r="D887" s="449" t="s">
        <v>261</v>
      </c>
      <c r="E887" s="262"/>
      <c r="F887" s="447" t="s">
        <v>1894</v>
      </c>
      <c r="G887" s="387" t="str">
        <f>VLOOKUP(A887,'Feature Summary'!$A$7:$C$3944,3,FALSE)</f>
        <v>P2</v>
      </c>
      <c r="H887" s="447" t="s">
        <v>1895</v>
      </c>
      <c r="I887" s="488" t="s">
        <v>264</v>
      </c>
      <c r="J887" s="448" t="s">
        <v>1873</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customHeight="1" thickBot="1">
      <c r="A888" s="474" t="s">
        <v>1893</v>
      </c>
      <c r="B888" s="447"/>
      <c r="C888" s="463" t="s">
        <v>655</v>
      </c>
      <c r="D888" s="449" t="s">
        <v>261</v>
      </c>
      <c r="E888" s="262"/>
      <c r="F888" s="447" t="s">
        <v>1896</v>
      </c>
      <c r="G888" s="387" t="str">
        <f>VLOOKUP(A888,'Feature Summary'!$A$7:$C$3944,3,FALSE)</f>
        <v>P2</v>
      </c>
      <c r="H888" s="447" t="s">
        <v>1897</v>
      </c>
      <c r="I888" s="488" t="s">
        <v>264</v>
      </c>
      <c r="J888" s="448" t="s">
        <v>1898</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thickBot="1">
      <c r="A889" s="474" t="s">
        <v>1893</v>
      </c>
      <c r="B889" s="447"/>
      <c r="C889" s="463" t="s">
        <v>655</v>
      </c>
      <c r="D889" s="449" t="s">
        <v>261</v>
      </c>
      <c r="E889" s="262"/>
      <c r="F889" s="447" t="s">
        <v>1899</v>
      </c>
      <c r="G889" s="387" t="str">
        <f>VLOOKUP(A889,'Feature Summary'!$A$7:$C$3944,3,FALSE)</f>
        <v>P2</v>
      </c>
      <c r="H889" s="447" t="s">
        <v>1900</v>
      </c>
      <c r="I889" s="488" t="s">
        <v>264</v>
      </c>
      <c r="J889" s="448" t="s">
        <v>1873</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thickBot="1">
      <c r="A890" s="474" t="s">
        <v>1893</v>
      </c>
      <c r="B890" s="447"/>
      <c r="C890" s="463" t="s">
        <v>655</v>
      </c>
      <c r="D890" s="449" t="s">
        <v>261</v>
      </c>
      <c r="E890" s="262"/>
      <c r="F890" s="447" t="s">
        <v>1901</v>
      </c>
      <c r="G890" s="387" t="str">
        <f>VLOOKUP(A890,'Feature Summary'!$A$7:$C$3944,3,FALSE)</f>
        <v>P2</v>
      </c>
      <c r="H890" s="447" t="s">
        <v>1902</v>
      </c>
      <c r="I890" s="488" t="s">
        <v>264</v>
      </c>
      <c r="J890" s="448" t="s">
        <v>1873</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45.75" thickBot="1">
      <c r="A891" s="474" t="s">
        <v>1893</v>
      </c>
      <c r="B891" s="447"/>
      <c r="C891" s="463" t="s">
        <v>655</v>
      </c>
      <c r="D891" s="449" t="s">
        <v>261</v>
      </c>
      <c r="E891" s="262"/>
      <c r="F891" s="447" t="s">
        <v>1903</v>
      </c>
      <c r="G891" s="387" t="str">
        <f>VLOOKUP(A891,'Feature Summary'!$A$7:$C$3944,3,FALSE)</f>
        <v>P2</v>
      </c>
      <c r="H891" s="447" t="s">
        <v>1904</v>
      </c>
      <c r="I891" s="488" t="s">
        <v>264</v>
      </c>
      <c r="J891" s="448" t="s">
        <v>1905</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30.75" thickBot="1">
      <c r="A892" s="474" t="s">
        <v>1893</v>
      </c>
      <c r="B892" s="447"/>
      <c r="C892" s="463" t="s">
        <v>655</v>
      </c>
      <c r="D892" s="449" t="s">
        <v>261</v>
      </c>
      <c r="E892" s="262"/>
      <c r="F892" s="447" t="s">
        <v>1906</v>
      </c>
      <c r="G892" s="387" t="str">
        <f>VLOOKUP(A892,'Feature Summary'!$A$7:$C$3944,3,FALSE)</f>
        <v>P2</v>
      </c>
      <c r="H892" s="447" t="s">
        <v>1907</v>
      </c>
      <c r="I892" s="488" t="s">
        <v>264</v>
      </c>
      <c r="J892" s="448" t="s">
        <v>1908</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30.75" thickBot="1">
      <c r="A893" s="474" t="s">
        <v>1893</v>
      </c>
      <c r="B893" s="447"/>
      <c r="C893" s="463" t="s">
        <v>655</v>
      </c>
      <c r="D893" s="449" t="s">
        <v>261</v>
      </c>
      <c r="E893" s="262"/>
      <c r="F893" s="447" t="s">
        <v>1909</v>
      </c>
      <c r="G893" s="387" t="str">
        <f>VLOOKUP(A893,'Feature Summary'!$A$7:$C$3944,3,FALSE)</f>
        <v>P2</v>
      </c>
      <c r="H893" s="447" t="s">
        <v>1910</v>
      </c>
      <c r="I893" s="488" t="s">
        <v>264</v>
      </c>
      <c r="J893" s="448" t="s">
        <v>1873</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thickBot="1">
      <c r="A894" s="474" t="s">
        <v>1893</v>
      </c>
      <c r="B894" s="447"/>
      <c r="C894" s="463" t="s">
        <v>655</v>
      </c>
      <c r="D894" s="449" t="s">
        <v>261</v>
      </c>
      <c r="E894" s="262"/>
      <c r="F894" s="447" t="s">
        <v>1911</v>
      </c>
      <c r="G894" s="387" t="str">
        <f>VLOOKUP(A894,'Feature Summary'!$A$7:$C$3944,3,FALSE)</f>
        <v>P2</v>
      </c>
      <c r="H894" s="447" t="s">
        <v>1912</v>
      </c>
      <c r="I894" s="488" t="s">
        <v>264</v>
      </c>
      <c r="J894" s="448" t="s">
        <v>1898</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thickBot="1">
      <c r="A895" s="474" t="s">
        <v>1893</v>
      </c>
      <c r="B895" s="447"/>
      <c r="C895" s="463" t="s">
        <v>655</v>
      </c>
      <c r="D895" s="449" t="s">
        <v>261</v>
      </c>
      <c r="E895" s="262"/>
      <c r="F895" s="447" t="s">
        <v>1913</v>
      </c>
      <c r="G895" s="387" t="str">
        <f>VLOOKUP(A895,'Feature Summary'!$A$7:$C$3944,3,FALSE)</f>
        <v>P2</v>
      </c>
      <c r="H895" s="447" t="s">
        <v>1914</v>
      </c>
      <c r="I895" s="488" t="s">
        <v>264</v>
      </c>
      <c r="J895" s="448" t="s">
        <v>1873</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thickBot="1">
      <c r="A896" s="474" t="s">
        <v>1893</v>
      </c>
      <c r="B896" s="447"/>
      <c r="C896" s="463" t="s">
        <v>655</v>
      </c>
      <c r="D896" s="449" t="s">
        <v>261</v>
      </c>
      <c r="E896" s="262"/>
      <c r="F896" s="447" t="s">
        <v>1915</v>
      </c>
      <c r="G896" s="387" t="str">
        <f>VLOOKUP(A896,'Feature Summary'!$A$7:$C$3944,3,FALSE)</f>
        <v>P2</v>
      </c>
      <c r="H896" s="447" t="s">
        <v>1916</v>
      </c>
      <c r="I896" s="488" t="s">
        <v>264</v>
      </c>
      <c r="J896" s="448" t="s">
        <v>1873</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45.75" thickBot="1">
      <c r="A897" s="474" t="s">
        <v>1893</v>
      </c>
      <c r="B897" s="447"/>
      <c r="C897" s="463" t="s">
        <v>655</v>
      </c>
      <c r="D897" s="449" t="s">
        <v>261</v>
      </c>
      <c r="E897" s="262"/>
      <c r="F897" s="470" t="s">
        <v>1917</v>
      </c>
      <c r="G897" s="387" t="str">
        <f>VLOOKUP(A897,'Feature Summary'!$A$7:$C$3944,3,FALSE)</f>
        <v>P2</v>
      </c>
      <c r="H897" s="447" t="s">
        <v>1918</v>
      </c>
      <c r="I897" s="488" t="s">
        <v>264</v>
      </c>
      <c r="J897" s="478" t="s">
        <v>1905</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30.75" thickBot="1">
      <c r="A898" s="474" t="s">
        <v>1893</v>
      </c>
      <c r="B898" s="447"/>
      <c r="C898" s="463" t="s">
        <v>655</v>
      </c>
      <c r="D898" s="449" t="s">
        <v>261</v>
      </c>
      <c r="E898" s="262"/>
      <c r="F898" s="447" t="s">
        <v>1919</v>
      </c>
      <c r="G898" s="387" t="str">
        <f>VLOOKUP(A898,'Feature Summary'!$A$7:$C$3944,3,FALSE)</f>
        <v>P2</v>
      </c>
      <c r="H898" s="447" t="s">
        <v>1920</v>
      </c>
      <c r="I898" s="488" t="s">
        <v>264</v>
      </c>
      <c r="J898" s="448" t="s">
        <v>1908</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30.75" thickBot="1">
      <c r="A899" s="474" t="s">
        <v>1893</v>
      </c>
      <c r="B899" s="447"/>
      <c r="C899" s="463" t="s">
        <v>655</v>
      </c>
      <c r="D899" s="449" t="s">
        <v>261</v>
      </c>
      <c r="E899" s="262"/>
      <c r="F899" s="447" t="s">
        <v>1921</v>
      </c>
      <c r="G899" s="387" t="str">
        <f>VLOOKUP(A899,'Feature Summary'!$A$7:$C$3944,3,FALSE)</f>
        <v>P2</v>
      </c>
      <c r="H899" s="447" t="s">
        <v>1922</v>
      </c>
      <c r="I899" s="488" t="s">
        <v>264</v>
      </c>
      <c r="J899" s="448" t="s">
        <v>1923</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thickBot="1">
      <c r="A900" s="474" t="s">
        <v>1893</v>
      </c>
      <c r="B900" s="447"/>
      <c r="C900" s="463" t="s">
        <v>655</v>
      </c>
      <c r="D900" s="449" t="s">
        <v>261</v>
      </c>
      <c r="E900" s="262"/>
      <c r="F900" s="447" t="s">
        <v>1924</v>
      </c>
      <c r="G900" s="387" t="str">
        <f>VLOOKUP(A900,'Feature Summary'!$A$7:$C$3944,3,FALSE)</f>
        <v>P2</v>
      </c>
      <c r="H900" s="447" t="s">
        <v>1925</v>
      </c>
      <c r="I900" s="488" t="s">
        <v>264</v>
      </c>
      <c r="J900" s="448" t="s">
        <v>1926</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thickBot="1">
      <c r="A901" s="474" t="s">
        <v>1893</v>
      </c>
      <c r="B901" s="447"/>
      <c r="C901" s="463" t="s">
        <v>655</v>
      </c>
      <c r="D901" s="449" t="s">
        <v>261</v>
      </c>
      <c r="E901" s="262"/>
      <c r="F901" s="447" t="s">
        <v>1927</v>
      </c>
      <c r="G901" s="387" t="str">
        <f>VLOOKUP(A901,'Feature Summary'!$A$7:$C$3944,3,FALSE)</f>
        <v>P2</v>
      </c>
      <c r="H901" s="447" t="s">
        <v>1928</v>
      </c>
      <c r="I901" s="488" t="s">
        <v>264</v>
      </c>
      <c r="J901" s="448" t="s">
        <v>1926</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thickBot="1">
      <c r="A902" s="474" t="s">
        <v>1893</v>
      </c>
      <c r="B902" s="447"/>
      <c r="C902" s="463" t="s">
        <v>655</v>
      </c>
      <c r="D902" s="449" t="s">
        <v>261</v>
      </c>
      <c r="E902" s="262"/>
      <c r="F902" s="447" t="s">
        <v>1929</v>
      </c>
      <c r="G902" s="387" t="str">
        <f>VLOOKUP(A902,'Feature Summary'!$A$7:$C$3944,3,FALSE)</f>
        <v>P2</v>
      </c>
      <c r="H902" s="447" t="s">
        <v>1930</v>
      </c>
      <c r="I902" s="488" t="s">
        <v>264</v>
      </c>
      <c r="J902" s="448" t="s">
        <v>1923</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ht="15.75" thickBot="1">
      <c r="A903" s="474"/>
      <c r="B903" s="447"/>
      <c r="C903" s="463" t="s">
        <v>655</v>
      </c>
      <c r="D903" s="449" t="s">
        <v>261</v>
      </c>
      <c r="E903" s="262"/>
      <c r="F903" s="447" t="s">
        <v>1931</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60.75" thickBot="1">
      <c r="A904" s="474" t="s">
        <v>1893</v>
      </c>
      <c r="B904" s="447"/>
      <c r="C904" s="463" t="s">
        <v>655</v>
      </c>
      <c r="D904" s="449" t="s">
        <v>261</v>
      </c>
      <c r="E904" s="262"/>
      <c r="F904" s="470" t="s">
        <v>1932</v>
      </c>
      <c r="G904" s="387" t="str">
        <f>VLOOKUP(A904,'Feature Summary'!$A$7:$C$3944,3,FALSE)</f>
        <v>P2</v>
      </c>
      <c r="H904" s="447" t="s">
        <v>1933</v>
      </c>
      <c r="I904" s="488" t="s">
        <v>264</v>
      </c>
      <c r="J904" s="478" t="s">
        <v>1934</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30.75" thickBot="1">
      <c r="A905" s="474" t="s">
        <v>1893</v>
      </c>
      <c r="B905" s="447"/>
      <c r="C905" s="463" t="s">
        <v>655</v>
      </c>
      <c r="D905" s="449" t="s">
        <v>261</v>
      </c>
      <c r="E905" s="262"/>
      <c r="F905" s="447" t="s">
        <v>1935</v>
      </c>
      <c r="G905" s="387" t="str">
        <f>VLOOKUP(A905,'Feature Summary'!$A$7:$C$3944,3,FALSE)</f>
        <v>P2</v>
      </c>
      <c r="H905" s="447" t="s">
        <v>1936</v>
      </c>
      <c r="I905" s="488" t="s">
        <v>264</v>
      </c>
      <c r="J905" s="448" t="s">
        <v>1926</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60.75" thickBot="1">
      <c r="A906" s="474" t="s">
        <v>1893</v>
      </c>
      <c r="B906" s="447"/>
      <c r="C906" s="463" t="s">
        <v>655</v>
      </c>
      <c r="D906" s="449" t="s">
        <v>261</v>
      </c>
      <c r="E906" s="262"/>
      <c r="F906" s="447" t="s">
        <v>1937</v>
      </c>
      <c r="G906" s="387" t="str">
        <f>VLOOKUP(A906,'Feature Summary'!$A$7:$C$3944,3,FALSE)</f>
        <v>P2</v>
      </c>
      <c r="H906" s="447" t="s">
        <v>1938</v>
      </c>
      <c r="I906" s="488" t="s">
        <v>264</v>
      </c>
      <c r="J906" s="448" t="s">
        <v>1939</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60.75" thickBot="1">
      <c r="A907" s="474" t="s">
        <v>1893</v>
      </c>
      <c r="B907" s="447"/>
      <c r="C907" s="463" t="s">
        <v>655</v>
      </c>
      <c r="D907" s="449" t="s">
        <v>261</v>
      </c>
      <c r="E907" s="262"/>
      <c r="F907" s="447" t="s">
        <v>1937</v>
      </c>
      <c r="G907" s="387" t="str">
        <f>VLOOKUP(A907,'Feature Summary'!$A$7:$C$3944,3,FALSE)</f>
        <v>P2</v>
      </c>
      <c r="H907" s="447" t="s">
        <v>1940</v>
      </c>
      <c r="I907" s="488" t="s">
        <v>264</v>
      </c>
      <c r="J907" s="448" t="s">
        <v>1939</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thickBot="1">
      <c r="A908" s="474" t="s">
        <v>1893</v>
      </c>
      <c r="B908" s="447"/>
      <c r="C908" s="463" t="s">
        <v>655</v>
      </c>
      <c r="D908" s="449" t="s">
        <v>261</v>
      </c>
      <c r="E908" s="262"/>
      <c r="F908" s="447" t="s">
        <v>1941</v>
      </c>
      <c r="G908" s="387" t="str">
        <f>VLOOKUP(A908,'Feature Summary'!$A$7:$C$3944,3,FALSE)</f>
        <v>P2</v>
      </c>
      <c r="H908" s="447" t="s">
        <v>1942</v>
      </c>
      <c r="I908" s="488" t="s">
        <v>264</v>
      </c>
      <c r="J908" s="478" t="s">
        <v>1873</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60.75" thickBot="1">
      <c r="A909" s="474" t="s">
        <v>1943</v>
      </c>
      <c r="B909" s="447" t="s">
        <v>1944</v>
      </c>
      <c r="C909" s="463" t="s">
        <v>655</v>
      </c>
      <c r="D909" s="449" t="s">
        <v>261</v>
      </c>
      <c r="E909" s="262"/>
      <c r="F909" s="447" t="s">
        <v>1945</v>
      </c>
      <c r="G909" s="387" t="e">
        <f>VLOOKUP(A909,'Feature Summary'!$A$7:$C$3944,3,FALSE)</f>
        <v>#N/A</v>
      </c>
      <c r="H909" s="447" t="s">
        <v>1946</v>
      </c>
      <c r="I909" s="488" t="s">
        <v>264</v>
      </c>
      <c r="J909" s="448" t="s">
        <v>1225</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thickBot="1">
      <c r="A910" s="474"/>
      <c r="B910" s="447" t="s">
        <v>1944</v>
      </c>
      <c r="C910" s="463" t="s">
        <v>655</v>
      </c>
      <c r="D910" s="449" t="s">
        <v>261</v>
      </c>
      <c r="E910" s="262"/>
      <c r="F910" s="447" t="s">
        <v>1945</v>
      </c>
      <c r="G910" s="387" t="e">
        <f>VLOOKUP(A910,'Feature Summary'!$A$7:$C$3944,3,FALSE)</f>
        <v>#N/A</v>
      </c>
      <c r="H910" s="447" t="s">
        <v>1946</v>
      </c>
      <c r="I910" s="488" t="s">
        <v>288</v>
      </c>
      <c r="J910" s="448" t="s">
        <v>1225</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thickBot="1">
      <c r="A911" s="474" t="s">
        <v>1947</v>
      </c>
      <c r="B911" s="447"/>
      <c r="C911" s="463" t="s">
        <v>655</v>
      </c>
      <c r="D911" s="449" t="s">
        <v>261</v>
      </c>
      <c r="E911" s="262"/>
      <c r="F911" s="447" t="s">
        <v>1948</v>
      </c>
      <c r="G911" s="387" t="e">
        <f>VLOOKUP(A911,'Feature Summary'!$A$7:$C$3944,3,FALSE)</f>
        <v>#N/A</v>
      </c>
      <c r="H911" s="447" t="s">
        <v>1949</v>
      </c>
      <c r="I911" s="488" t="s">
        <v>264</v>
      </c>
      <c r="J911" s="448" t="s">
        <v>1225</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thickBot="1">
      <c r="A912" s="474" t="s">
        <v>1950</v>
      </c>
      <c r="B912" s="447"/>
      <c r="C912" s="463" t="s">
        <v>655</v>
      </c>
      <c r="D912" s="449" t="s">
        <v>261</v>
      </c>
      <c r="E912" s="262"/>
      <c r="F912" s="447" t="s">
        <v>1951</v>
      </c>
      <c r="G912" s="387" t="e">
        <f>VLOOKUP(A912,'Feature Summary'!$A$7:$C$3944,3,FALSE)</f>
        <v>#N/A</v>
      </c>
      <c r="H912" s="447" t="s">
        <v>1952</v>
      </c>
      <c r="I912" s="488" t="s">
        <v>264</v>
      </c>
      <c r="J912" s="448" t="s">
        <v>1225</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thickBot="1">
      <c r="A913" s="474" t="s">
        <v>1953</v>
      </c>
      <c r="B913" s="447"/>
      <c r="C913" s="463" t="s">
        <v>655</v>
      </c>
      <c r="D913" s="449" t="s">
        <v>261</v>
      </c>
      <c r="E913" s="262"/>
      <c r="F913" s="447" t="s">
        <v>1954</v>
      </c>
      <c r="G913" s="387" t="e">
        <f>VLOOKUP(A913,'Feature Summary'!$A$7:$C$3944,3,FALSE)</f>
        <v>#N/A</v>
      </c>
      <c r="H913" s="447" t="s">
        <v>1955</v>
      </c>
      <c r="I913" s="488" t="s">
        <v>264</v>
      </c>
      <c r="J913" s="448" t="s">
        <v>1225</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thickBot="1">
      <c r="A914" s="474" t="s">
        <v>1956</v>
      </c>
      <c r="B914" s="447"/>
      <c r="C914" s="463" t="s">
        <v>655</v>
      </c>
      <c r="D914" s="449" t="s">
        <v>261</v>
      </c>
      <c r="E914" s="262"/>
      <c r="F914" s="447" t="s">
        <v>1957</v>
      </c>
      <c r="G914" s="387" t="e">
        <f>VLOOKUP(A914,'Feature Summary'!$A$7:$C$3944,3,FALSE)</f>
        <v>#N/A</v>
      </c>
      <c r="H914" s="447" t="s">
        <v>1958</v>
      </c>
      <c r="I914" s="488" t="s">
        <v>264</v>
      </c>
      <c r="J914" s="448" t="s">
        <v>1225</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thickBot="1">
      <c r="A915" s="474"/>
      <c r="B915" s="447"/>
      <c r="C915" s="463" t="s">
        <v>655</v>
      </c>
      <c r="D915" s="449" t="s">
        <v>261</v>
      </c>
      <c r="E915" s="262"/>
      <c r="F915" s="447" t="s">
        <v>1957</v>
      </c>
      <c r="G915" s="387" t="e">
        <f>VLOOKUP(A915,'Feature Summary'!$A$7:$C$3944,3,FALSE)</f>
        <v>#N/A</v>
      </c>
      <c r="H915" s="447" t="s">
        <v>1958</v>
      </c>
      <c r="I915" s="488" t="s">
        <v>288</v>
      </c>
      <c r="J915" s="448" t="s">
        <v>1225</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thickBot="1">
      <c r="A916" s="474" t="s">
        <v>1959</v>
      </c>
      <c r="B916" s="447"/>
      <c r="C916" s="463" t="s">
        <v>655</v>
      </c>
      <c r="D916" s="449" t="s">
        <v>261</v>
      </c>
      <c r="E916" s="262"/>
      <c r="F916" s="447" t="s">
        <v>1960</v>
      </c>
      <c r="G916" s="387" t="e">
        <f>VLOOKUP(A916,'Feature Summary'!$A$7:$C$3944,3,FALSE)</f>
        <v>#N/A</v>
      </c>
      <c r="H916" s="447" t="s">
        <v>1961</v>
      </c>
      <c r="I916" s="488" t="s">
        <v>264</v>
      </c>
      <c r="J916" s="448" t="s">
        <v>1225</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30.75" thickBot="1">
      <c r="A917" s="474"/>
      <c r="B917" s="447"/>
      <c r="C917" s="463" t="s">
        <v>655</v>
      </c>
      <c r="D917" s="449" t="s">
        <v>261</v>
      </c>
      <c r="E917" s="262"/>
      <c r="F917" s="447" t="s">
        <v>1960</v>
      </c>
      <c r="G917" s="387" t="e">
        <f>VLOOKUP(A917,'Feature Summary'!$A$7:$C$3944,3,FALSE)</f>
        <v>#N/A</v>
      </c>
      <c r="H917" s="447" t="s">
        <v>1961</v>
      </c>
      <c r="I917" s="488" t="s">
        <v>288</v>
      </c>
      <c r="J917" s="448" t="s">
        <v>1225</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thickBot="1">
      <c r="A918" s="474" t="s">
        <v>1962</v>
      </c>
      <c r="B918" s="447"/>
      <c r="C918" s="463" t="s">
        <v>655</v>
      </c>
      <c r="D918" s="449" t="s">
        <v>261</v>
      </c>
      <c r="E918" s="262"/>
      <c r="F918" s="447" t="s">
        <v>1963</v>
      </c>
      <c r="G918" s="387" t="e">
        <f>VLOOKUP(A918,'Feature Summary'!$A$7:$C$3944,3,FALSE)</f>
        <v>#N/A</v>
      </c>
      <c r="H918" s="447" t="s">
        <v>1964</v>
      </c>
      <c r="I918" s="488" t="s">
        <v>264</v>
      </c>
      <c r="J918" s="448" t="s">
        <v>1225</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thickBot="1">
      <c r="A919" s="474" t="s">
        <v>1965</v>
      </c>
      <c r="B919" s="447"/>
      <c r="C919" s="463" t="s">
        <v>655</v>
      </c>
      <c r="D919" s="449" t="s">
        <v>261</v>
      </c>
      <c r="E919" s="262"/>
      <c r="F919" s="447" t="s">
        <v>1966</v>
      </c>
      <c r="G919" s="387" t="e">
        <f>VLOOKUP(A919,'Feature Summary'!$A$7:$C$3944,3,FALSE)</f>
        <v>#N/A</v>
      </c>
      <c r="H919" s="447" t="s">
        <v>1967</v>
      </c>
      <c r="I919" s="488" t="s">
        <v>264</v>
      </c>
      <c r="J919" s="448" t="s">
        <v>1225</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75.75" thickBot="1">
      <c r="A920" s="474"/>
      <c r="B920" s="447" t="s">
        <v>1944</v>
      </c>
      <c r="C920" s="463" t="s">
        <v>44</v>
      </c>
      <c r="D920" s="449" t="s">
        <v>261</v>
      </c>
      <c r="E920" s="262"/>
      <c r="F920" s="447" t="s">
        <v>1945</v>
      </c>
      <c r="G920" s="387" t="e">
        <f>VLOOKUP(A920,'Feature Summary'!$A$7:$C$3944,3,FALSE)</f>
        <v>#N/A</v>
      </c>
      <c r="H920" s="447" t="s">
        <v>1968</v>
      </c>
      <c r="I920" s="447"/>
      <c r="J920" s="448" t="s">
        <v>1723</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75.75" thickBot="1">
      <c r="A921" s="474"/>
      <c r="B921" s="447"/>
      <c r="C921" s="463" t="s">
        <v>44</v>
      </c>
      <c r="D921" s="449" t="s">
        <v>261</v>
      </c>
      <c r="E921" s="262"/>
      <c r="F921" s="447" t="s">
        <v>1957</v>
      </c>
      <c r="G921" s="387" t="e">
        <f>VLOOKUP(A921,'Feature Summary'!$A$7:$C$3944,3,FALSE)</f>
        <v>#N/A</v>
      </c>
      <c r="H921" s="447" t="s">
        <v>1969</v>
      </c>
      <c r="I921" s="447"/>
      <c r="J921" s="448" t="s">
        <v>1723</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75.75" thickBot="1">
      <c r="A922" s="474"/>
      <c r="B922" s="447"/>
      <c r="C922" s="463" t="s">
        <v>44</v>
      </c>
      <c r="D922" s="449" t="s">
        <v>261</v>
      </c>
      <c r="E922" s="262"/>
      <c r="F922" s="447" t="s">
        <v>1960</v>
      </c>
      <c r="G922" s="387" t="e">
        <f>VLOOKUP(A922,'Feature Summary'!$A$7:$C$3944,3,FALSE)</f>
        <v>#N/A</v>
      </c>
      <c r="H922" s="447" t="s">
        <v>1970</v>
      </c>
      <c r="I922" s="447"/>
      <c r="J922" s="448" t="s">
        <v>1723</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75.75" thickBot="1">
      <c r="A923" s="474"/>
      <c r="B923" s="447"/>
      <c r="C923" s="463" t="s">
        <v>44</v>
      </c>
      <c r="D923" s="449" t="s">
        <v>261</v>
      </c>
      <c r="E923" s="262"/>
      <c r="F923" s="447" t="s">
        <v>1966</v>
      </c>
      <c r="G923" s="387" t="e">
        <f>VLOOKUP(A923,'Feature Summary'!$A$7:$C$3944,3,FALSE)</f>
        <v>#N/A</v>
      </c>
      <c r="H923" s="447" t="s">
        <v>1971</v>
      </c>
      <c r="I923" s="447"/>
      <c r="J923" s="448" t="s">
        <v>1723</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thickBot="1">
      <c r="A924" s="474"/>
      <c r="B924" s="447"/>
      <c r="C924" s="463" t="s">
        <v>655</v>
      </c>
      <c r="D924" s="449" t="s">
        <v>261</v>
      </c>
      <c r="E924" s="262"/>
      <c r="F924" s="447" t="s">
        <v>1966</v>
      </c>
      <c r="G924" s="387" t="e">
        <f>VLOOKUP(A924,'Feature Summary'!$A$7:$C$3944,3,FALSE)</f>
        <v>#N/A</v>
      </c>
      <c r="H924" s="447" t="s">
        <v>1967</v>
      </c>
      <c r="I924" s="488" t="s">
        <v>288</v>
      </c>
      <c r="J924" s="448" t="s">
        <v>1225</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thickBot="1">
      <c r="A925" s="474" t="s">
        <v>1972</v>
      </c>
      <c r="B925" s="447"/>
      <c r="C925" s="463" t="s">
        <v>651</v>
      </c>
      <c r="D925" s="449" t="s">
        <v>261</v>
      </c>
      <c r="E925" s="262"/>
      <c r="F925" s="447" t="s">
        <v>1973</v>
      </c>
      <c r="G925" s="387" t="e">
        <f>VLOOKUP(A925,'Feature Summary'!$A$7:$C$3944,3,FALSE)</f>
        <v>#N/A</v>
      </c>
      <c r="H925" s="447" t="s">
        <v>1974</v>
      </c>
      <c r="I925" s="488" t="s">
        <v>264</v>
      </c>
      <c r="J925" s="448" t="s">
        <v>1873</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thickBot="1">
      <c r="A926" s="474" t="s">
        <v>1972</v>
      </c>
      <c r="B926" s="447"/>
      <c r="C926" s="485" t="s">
        <v>651</v>
      </c>
      <c r="D926" s="449" t="s">
        <v>261</v>
      </c>
      <c r="E926" s="262"/>
      <c r="F926" s="447" t="s">
        <v>1975</v>
      </c>
      <c r="G926" s="387" t="e">
        <f>VLOOKUP(A926,'Feature Summary'!$A$7:$C$3944,3,FALSE)</f>
        <v>#N/A</v>
      </c>
      <c r="H926" s="447" t="s">
        <v>1976</v>
      </c>
      <c r="I926" s="488" t="s">
        <v>264</v>
      </c>
      <c r="J926" s="448" t="s">
        <v>1873</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thickBot="1">
      <c r="A927" s="474" t="s">
        <v>1972</v>
      </c>
      <c r="B927" s="447"/>
      <c r="C927" s="463" t="s">
        <v>651</v>
      </c>
      <c r="D927" s="449" t="s">
        <v>261</v>
      </c>
      <c r="E927" s="262"/>
      <c r="F927" s="447" t="s">
        <v>1977</v>
      </c>
      <c r="G927" s="387" t="e">
        <f>VLOOKUP(A927,'Feature Summary'!$A$7:$C$3944,3,FALSE)</f>
        <v>#N/A</v>
      </c>
      <c r="H927" s="447" t="s">
        <v>1978</v>
      </c>
      <c r="I927" s="488" t="s">
        <v>264</v>
      </c>
      <c r="J927" s="448" t="s">
        <v>1873</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thickBot="1">
      <c r="A928" s="474" t="s">
        <v>1972</v>
      </c>
      <c r="B928" s="447"/>
      <c r="C928" s="463" t="s">
        <v>651</v>
      </c>
      <c r="D928" s="449" t="s">
        <v>261</v>
      </c>
      <c r="E928" s="262"/>
      <c r="F928" s="447" t="s">
        <v>1979</v>
      </c>
      <c r="G928" s="387" t="e">
        <f>VLOOKUP(A928,'Feature Summary'!$A$7:$C$3944,3,FALSE)</f>
        <v>#N/A</v>
      </c>
      <c r="H928" s="447" t="s">
        <v>1980</v>
      </c>
      <c r="I928" s="488" t="s">
        <v>264</v>
      </c>
      <c r="J928" s="448" t="s">
        <v>1873</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thickBot="1">
      <c r="A929" s="474"/>
      <c r="B929" s="447"/>
      <c r="C929" s="463" t="s">
        <v>655</v>
      </c>
      <c r="D929" s="449" t="s">
        <v>261</v>
      </c>
      <c r="E929" s="262"/>
      <c r="F929" s="447" t="s">
        <v>1981</v>
      </c>
      <c r="G929" s="387" t="e">
        <f>VLOOKUP(A929,'Feature Summary'!$A$7:$C$3944,3,FALSE)</f>
        <v>#N/A</v>
      </c>
      <c r="H929" s="447" t="s">
        <v>1982</v>
      </c>
      <c r="I929" s="488" t="s">
        <v>264</v>
      </c>
      <c r="J929" s="448" t="s">
        <v>1873</v>
      </c>
      <c r="K929" s="263">
        <v>1</v>
      </c>
      <c r="L929" s="391">
        <v>8</v>
      </c>
      <c r="M929" s="399" t="s">
        <v>33</v>
      </c>
      <c r="N929" s="475">
        <v>1</v>
      </c>
      <c r="O929" s="391">
        <v>8</v>
      </c>
      <c r="P929" s="496">
        <f t="shared" si="147"/>
        <v>1</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60.75" thickBot="1">
      <c r="A930" s="474"/>
      <c r="B930" s="447"/>
      <c r="C930" s="463" t="s">
        <v>44</v>
      </c>
      <c r="D930" s="449" t="s">
        <v>261</v>
      </c>
      <c r="E930" s="262"/>
      <c r="F930" s="447" t="s">
        <v>1981</v>
      </c>
      <c r="G930" s="387" t="e">
        <f>VLOOKUP(A930,'Feature Summary'!$A$7:$C$3944,3,FALSE)</f>
        <v>#N/A</v>
      </c>
      <c r="H930" s="447" t="s">
        <v>1983</v>
      </c>
      <c r="I930" s="447"/>
      <c r="J930" s="448" t="s">
        <v>1984</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thickBot="1">
      <c r="A931" s="474"/>
      <c r="B931" s="447"/>
      <c r="C931" s="463" t="s">
        <v>655</v>
      </c>
      <c r="D931" s="449" t="s">
        <v>261</v>
      </c>
      <c r="E931" s="262"/>
      <c r="F931" s="447" t="s">
        <v>1981</v>
      </c>
      <c r="G931" s="387" t="e">
        <f>VLOOKUP(A931,'Feature Summary'!$A$7:$C$3944,3,FALSE)</f>
        <v>#N/A</v>
      </c>
      <c r="H931" s="447" t="s">
        <v>1985</v>
      </c>
      <c r="I931" s="488" t="s">
        <v>288</v>
      </c>
      <c r="J931" s="448" t="s">
        <v>1873</v>
      </c>
      <c r="K931" s="263">
        <v>2</v>
      </c>
      <c r="L931" s="391">
        <v>1</v>
      </c>
      <c r="M931" s="399" t="s">
        <v>33</v>
      </c>
      <c r="N931" s="475">
        <v>1</v>
      </c>
      <c r="O931" s="391">
        <v>1</v>
      </c>
      <c r="P931" s="496">
        <f t="shared" ref="P931" si="160">IF((O931=0),0,(O931/L931))</f>
        <v>1</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thickBot="1">
      <c r="A932" s="474"/>
      <c r="B932" s="447"/>
      <c r="C932" s="463" t="s">
        <v>655</v>
      </c>
      <c r="D932" s="449" t="s">
        <v>261</v>
      </c>
      <c r="E932" s="262"/>
      <c r="F932" s="447" t="s">
        <v>1986</v>
      </c>
      <c r="G932" s="387" t="e">
        <f>VLOOKUP(A932,'Feature Summary'!$A$7:$C$3944,3,FALSE)</f>
        <v>#N/A</v>
      </c>
      <c r="H932" s="447" t="s">
        <v>1987</v>
      </c>
      <c r="I932" s="488" t="s">
        <v>264</v>
      </c>
      <c r="J932" s="448" t="s">
        <v>1873</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60.75" thickBot="1">
      <c r="A933" s="474" t="s">
        <v>1988</v>
      </c>
      <c r="B933" s="470" t="s">
        <v>306</v>
      </c>
      <c r="C933" s="463" t="s">
        <v>655</v>
      </c>
      <c r="D933" s="449" t="s">
        <v>261</v>
      </c>
      <c r="E933" s="262"/>
      <c r="F933" s="447" t="s">
        <v>1989</v>
      </c>
      <c r="G933" s="387" t="e">
        <f>VLOOKUP(A933,'Feature Summary'!$A$7:$C$3944,3,FALSE)</f>
        <v>#N/A</v>
      </c>
      <c r="H933" s="447" t="s">
        <v>1990</v>
      </c>
      <c r="I933" s="488" t="s">
        <v>264</v>
      </c>
      <c r="J933" s="448" t="s">
        <v>1873</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60.75" thickBot="1">
      <c r="A934" s="490" t="s">
        <v>1988</v>
      </c>
      <c r="B934" s="617" t="s">
        <v>306</v>
      </c>
      <c r="C934" s="486" t="s">
        <v>655</v>
      </c>
      <c r="D934" s="559" t="s">
        <v>261</v>
      </c>
      <c r="E934" s="560"/>
      <c r="F934" s="473" t="s">
        <v>1991</v>
      </c>
      <c r="G934" s="561" t="e">
        <f>VLOOKUP(A934,'Feature Summary'!$A$7:$C$3944,3,FALSE)</f>
        <v>#N/A</v>
      </c>
      <c r="H934" s="473" t="s">
        <v>1992</v>
      </c>
      <c r="I934" s="488" t="s">
        <v>264</v>
      </c>
      <c r="J934" s="483" t="s">
        <v>1873</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60.75" thickBot="1">
      <c r="A935" s="490" t="s">
        <v>1988</v>
      </c>
      <c r="B935" s="617" t="s">
        <v>306</v>
      </c>
      <c r="C935" s="486" t="s">
        <v>655</v>
      </c>
      <c r="D935" s="559" t="s">
        <v>261</v>
      </c>
      <c r="E935" s="560"/>
      <c r="F935" s="617" t="s">
        <v>1993</v>
      </c>
      <c r="G935" s="561" t="e">
        <f>VLOOKUP(A935,'Feature Summary'!$A$7:$C$3944,3,FALSE)</f>
        <v>#N/A</v>
      </c>
      <c r="H935" s="473" t="s">
        <v>1994</v>
      </c>
      <c r="I935" s="488" t="s">
        <v>264</v>
      </c>
      <c r="J935" s="483" t="s">
        <v>1873</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60.75" thickBot="1">
      <c r="A936" s="474" t="s">
        <v>1988</v>
      </c>
      <c r="B936" s="470" t="s">
        <v>306</v>
      </c>
      <c r="C936" s="463" t="s">
        <v>655</v>
      </c>
      <c r="D936" s="449" t="s">
        <v>261</v>
      </c>
      <c r="E936" s="262"/>
      <c r="F936" s="472" t="s">
        <v>1995</v>
      </c>
      <c r="G936" s="387" t="e">
        <f>VLOOKUP(A936,'Feature Summary'!$A$7:$C$3944,3,FALSE)</f>
        <v>#N/A</v>
      </c>
      <c r="H936" s="447" t="s">
        <v>1996</v>
      </c>
      <c r="I936" s="488" t="s">
        <v>264</v>
      </c>
      <c r="J936" s="448" t="s">
        <v>1873</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90.75" thickBot="1">
      <c r="A937" s="474" t="s">
        <v>1997</v>
      </c>
      <c r="B937" s="470" t="s">
        <v>306</v>
      </c>
      <c r="C937" s="463" t="s">
        <v>655</v>
      </c>
      <c r="D937" s="449" t="s">
        <v>261</v>
      </c>
      <c r="E937" s="262"/>
      <c r="F937" s="447" t="s">
        <v>1998</v>
      </c>
      <c r="G937" s="387" t="e">
        <f>VLOOKUP(A937,'Feature Summary'!$A$7:$C$3944,3,FALSE)</f>
        <v>#N/A</v>
      </c>
      <c r="H937" s="447" t="s">
        <v>1999</v>
      </c>
      <c r="I937" s="488" t="s">
        <v>264</v>
      </c>
      <c r="J937" s="448" t="s">
        <v>1873</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90.75" thickBot="1">
      <c r="A938" s="490" t="s">
        <v>1997</v>
      </c>
      <c r="B938" s="617" t="s">
        <v>306</v>
      </c>
      <c r="C938" s="486" t="s">
        <v>655</v>
      </c>
      <c r="D938" s="559" t="s">
        <v>261</v>
      </c>
      <c r="E938" s="560"/>
      <c r="F938" s="473" t="s">
        <v>1998</v>
      </c>
      <c r="G938" s="561" t="e">
        <f>VLOOKUP(A938,'Feature Summary'!$A$7:$C$3944,3,FALSE)</f>
        <v>#N/A</v>
      </c>
      <c r="H938" s="473" t="s">
        <v>2000</v>
      </c>
      <c r="I938" s="488" t="s">
        <v>264</v>
      </c>
      <c r="J938" s="483" t="s">
        <v>1873</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90.75" thickBot="1">
      <c r="A939" s="490" t="s">
        <v>1997</v>
      </c>
      <c r="B939" s="617" t="s">
        <v>306</v>
      </c>
      <c r="C939" s="486" t="s">
        <v>655</v>
      </c>
      <c r="D939" s="559" t="s">
        <v>261</v>
      </c>
      <c r="E939" s="560"/>
      <c r="F939" s="617" t="s">
        <v>2001</v>
      </c>
      <c r="G939" s="561" t="e">
        <f>VLOOKUP(A939,'Feature Summary'!$A$7:$C$3944,3,FALSE)</f>
        <v>#N/A</v>
      </c>
      <c r="H939" s="473" t="s">
        <v>2002</v>
      </c>
      <c r="I939" s="488" t="s">
        <v>264</v>
      </c>
      <c r="J939" s="483" t="s">
        <v>1873</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90.75" thickBot="1">
      <c r="A940" s="474" t="s">
        <v>1997</v>
      </c>
      <c r="B940" s="470" t="s">
        <v>306</v>
      </c>
      <c r="C940" s="463" t="s">
        <v>655</v>
      </c>
      <c r="D940" s="449" t="s">
        <v>261</v>
      </c>
      <c r="E940" s="262"/>
      <c r="F940" s="472" t="s">
        <v>2003</v>
      </c>
      <c r="G940" s="387" t="e">
        <f>VLOOKUP(A940,'Feature Summary'!$A$7:$C$3944,3,FALSE)</f>
        <v>#N/A</v>
      </c>
      <c r="H940" s="447" t="s">
        <v>2004</v>
      </c>
      <c r="I940" s="488" t="s">
        <v>264</v>
      </c>
      <c r="J940" s="448" t="s">
        <v>1873</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60.75" thickBot="1">
      <c r="A941" s="474" t="s">
        <v>1988</v>
      </c>
      <c r="B941" s="470" t="s">
        <v>306</v>
      </c>
      <c r="C941" s="463" t="s">
        <v>655</v>
      </c>
      <c r="D941" s="449" t="s">
        <v>261</v>
      </c>
      <c r="E941" s="262"/>
      <c r="F941" s="447" t="s">
        <v>2005</v>
      </c>
      <c r="G941" s="387" t="e">
        <f>VLOOKUP(A941,'Feature Summary'!$A$7:$C$3944,3,FALSE)</f>
        <v>#N/A</v>
      </c>
      <c r="H941" s="447" t="s">
        <v>2006</v>
      </c>
      <c r="I941" s="488" t="s">
        <v>264</v>
      </c>
      <c r="J941" s="448" t="s">
        <v>1873</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60.75" thickBot="1">
      <c r="A942" s="490" t="s">
        <v>1988</v>
      </c>
      <c r="B942" s="617" t="s">
        <v>306</v>
      </c>
      <c r="C942" s="486" t="s">
        <v>655</v>
      </c>
      <c r="D942" s="559" t="s">
        <v>261</v>
      </c>
      <c r="E942" s="560"/>
      <c r="F942" s="473" t="s">
        <v>2005</v>
      </c>
      <c r="G942" s="561" t="e">
        <f>VLOOKUP(A942,'Feature Summary'!$A$7:$C$3944,3,FALSE)</f>
        <v>#N/A</v>
      </c>
      <c r="H942" s="473" t="s">
        <v>2007</v>
      </c>
      <c r="I942" s="488" t="s">
        <v>264</v>
      </c>
      <c r="J942" s="483" t="s">
        <v>1873</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60.75" thickBot="1">
      <c r="A943" s="490" t="s">
        <v>1988</v>
      </c>
      <c r="B943" s="617" t="s">
        <v>306</v>
      </c>
      <c r="C943" s="486" t="s">
        <v>655</v>
      </c>
      <c r="D943" s="559" t="s">
        <v>261</v>
      </c>
      <c r="E943" s="560"/>
      <c r="F943" s="617" t="s">
        <v>2008</v>
      </c>
      <c r="G943" s="561" t="e">
        <f>VLOOKUP(A943,'Feature Summary'!$A$7:$C$3944,3,FALSE)</f>
        <v>#N/A</v>
      </c>
      <c r="H943" s="473" t="s">
        <v>2009</v>
      </c>
      <c r="I943" s="488" t="s">
        <v>264</v>
      </c>
      <c r="J943" s="483" t="s">
        <v>1873</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60.75" thickBot="1">
      <c r="A944" s="474" t="s">
        <v>1988</v>
      </c>
      <c r="B944" s="470" t="s">
        <v>306</v>
      </c>
      <c r="C944" s="463" t="s">
        <v>655</v>
      </c>
      <c r="D944" s="449" t="s">
        <v>261</v>
      </c>
      <c r="E944" s="262"/>
      <c r="F944" s="472" t="s">
        <v>2010</v>
      </c>
      <c r="G944" s="387" t="e">
        <f>VLOOKUP(A944,'Feature Summary'!$A$7:$C$3944,3,FALSE)</f>
        <v>#N/A</v>
      </c>
      <c r="H944" s="447" t="s">
        <v>2011</v>
      </c>
      <c r="I944" s="488" t="s">
        <v>264</v>
      </c>
      <c r="J944" s="448" t="s">
        <v>1873</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60.75" thickBot="1">
      <c r="A945" s="474" t="s">
        <v>1988</v>
      </c>
      <c r="B945" s="470" t="s">
        <v>306</v>
      </c>
      <c r="C945" s="463" t="s">
        <v>655</v>
      </c>
      <c r="D945" s="449" t="s">
        <v>261</v>
      </c>
      <c r="E945" s="262"/>
      <c r="F945" s="447" t="s">
        <v>2012</v>
      </c>
      <c r="G945" s="387" t="e">
        <f>VLOOKUP(A945,'Feature Summary'!$A$7:$C$3944,3,FALSE)</f>
        <v>#N/A</v>
      </c>
      <c r="H945" s="447" t="s">
        <v>2013</v>
      </c>
      <c r="I945" s="488" t="s">
        <v>264</v>
      </c>
      <c r="J945" s="448" t="s">
        <v>1873</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60.75" thickBot="1">
      <c r="A946" s="490" t="s">
        <v>1988</v>
      </c>
      <c r="B946" s="617" t="s">
        <v>306</v>
      </c>
      <c r="C946" s="486" t="s">
        <v>655</v>
      </c>
      <c r="D946" s="559" t="s">
        <v>261</v>
      </c>
      <c r="E946" s="560"/>
      <c r="F946" s="473" t="s">
        <v>2012</v>
      </c>
      <c r="G946" s="561" t="e">
        <f>VLOOKUP(A946,'Feature Summary'!$A$7:$C$3944,3,FALSE)</f>
        <v>#N/A</v>
      </c>
      <c r="H946" s="473" t="s">
        <v>2014</v>
      </c>
      <c r="I946" s="488" t="s">
        <v>264</v>
      </c>
      <c r="J946" s="483" t="s">
        <v>1873</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60.75" thickBot="1">
      <c r="A947" s="490" t="s">
        <v>1988</v>
      </c>
      <c r="B947" s="617" t="s">
        <v>306</v>
      </c>
      <c r="C947" s="486" t="s">
        <v>655</v>
      </c>
      <c r="D947" s="559" t="s">
        <v>261</v>
      </c>
      <c r="E947" s="560"/>
      <c r="F947" s="617" t="s">
        <v>2015</v>
      </c>
      <c r="G947" s="561" t="e">
        <f>VLOOKUP(A947,'Feature Summary'!$A$7:$C$3944,3,FALSE)</f>
        <v>#N/A</v>
      </c>
      <c r="H947" s="473" t="s">
        <v>2016</v>
      </c>
      <c r="I947" s="488" t="s">
        <v>264</v>
      </c>
      <c r="J947" s="483" t="s">
        <v>1873</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60.75" thickBot="1">
      <c r="A948" s="474" t="s">
        <v>1988</v>
      </c>
      <c r="B948" s="470" t="s">
        <v>306</v>
      </c>
      <c r="C948" s="463" t="s">
        <v>655</v>
      </c>
      <c r="D948" s="449" t="s">
        <v>261</v>
      </c>
      <c r="E948" s="262"/>
      <c r="F948" s="472" t="s">
        <v>2017</v>
      </c>
      <c r="G948" s="387" t="e">
        <f>VLOOKUP(A948,'Feature Summary'!$A$7:$C$3944,3,FALSE)</f>
        <v>#N/A</v>
      </c>
      <c r="H948" s="447" t="s">
        <v>2018</v>
      </c>
      <c r="I948" s="488" t="s">
        <v>264</v>
      </c>
      <c r="J948" s="448" t="s">
        <v>1873</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90.75" thickBot="1">
      <c r="A949" s="474" t="s">
        <v>1997</v>
      </c>
      <c r="B949" s="470" t="s">
        <v>306</v>
      </c>
      <c r="C949" s="463" t="s">
        <v>655</v>
      </c>
      <c r="D949" s="449" t="s">
        <v>261</v>
      </c>
      <c r="E949" s="262"/>
      <c r="F949" s="447" t="s">
        <v>2019</v>
      </c>
      <c r="G949" s="387" t="e">
        <f>VLOOKUP(A949,'Feature Summary'!$A$7:$C$3944,3,FALSE)</f>
        <v>#N/A</v>
      </c>
      <c r="H949" s="447" t="s">
        <v>2020</v>
      </c>
      <c r="I949" s="488" t="s">
        <v>264</v>
      </c>
      <c r="J949" s="448" t="s">
        <v>1873</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90.75" thickBot="1">
      <c r="A950" s="490" t="s">
        <v>1997</v>
      </c>
      <c r="B950" s="617" t="s">
        <v>306</v>
      </c>
      <c r="C950" s="486" t="s">
        <v>655</v>
      </c>
      <c r="D950" s="559" t="s">
        <v>261</v>
      </c>
      <c r="E950" s="560"/>
      <c r="F950" s="473" t="s">
        <v>2019</v>
      </c>
      <c r="G950" s="561" t="e">
        <f>VLOOKUP(A950,'Feature Summary'!$A$7:$C$3944,3,FALSE)</f>
        <v>#N/A</v>
      </c>
      <c r="H950" s="473" t="s">
        <v>2021</v>
      </c>
      <c r="I950" s="488" t="s">
        <v>264</v>
      </c>
      <c r="J950" s="483" t="s">
        <v>1873</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90.75" thickBot="1">
      <c r="A951" s="490" t="s">
        <v>1997</v>
      </c>
      <c r="B951" s="617" t="s">
        <v>306</v>
      </c>
      <c r="C951" s="486" t="s">
        <v>655</v>
      </c>
      <c r="D951" s="559" t="s">
        <v>261</v>
      </c>
      <c r="E951" s="560"/>
      <c r="F951" s="617" t="s">
        <v>2022</v>
      </c>
      <c r="G951" s="561" t="e">
        <f>VLOOKUP(A951,'Feature Summary'!$A$7:$C$3944,3,FALSE)</f>
        <v>#N/A</v>
      </c>
      <c r="H951" s="473" t="s">
        <v>2023</v>
      </c>
      <c r="I951" s="488" t="s">
        <v>264</v>
      </c>
      <c r="J951" s="483" t="s">
        <v>1873</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90.75" thickBot="1">
      <c r="A952" s="474" t="s">
        <v>1997</v>
      </c>
      <c r="B952" s="470" t="s">
        <v>306</v>
      </c>
      <c r="C952" s="463" t="s">
        <v>655</v>
      </c>
      <c r="D952" s="449" t="s">
        <v>261</v>
      </c>
      <c r="E952" s="262"/>
      <c r="F952" s="472" t="s">
        <v>2024</v>
      </c>
      <c r="G952" s="387" t="e">
        <f>VLOOKUP(A952,'Feature Summary'!$A$7:$C$3944,3,FALSE)</f>
        <v>#N/A</v>
      </c>
      <c r="H952" s="447" t="s">
        <v>2025</v>
      </c>
      <c r="I952" s="488" t="s">
        <v>264</v>
      </c>
      <c r="J952" s="448" t="s">
        <v>1873</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60.75" thickBot="1">
      <c r="A953" s="474" t="s">
        <v>1988</v>
      </c>
      <c r="B953" s="470" t="s">
        <v>306</v>
      </c>
      <c r="C953" s="463" t="s">
        <v>655</v>
      </c>
      <c r="D953" s="449" t="s">
        <v>261</v>
      </c>
      <c r="E953" s="262"/>
      <c r="F953" s="447" t="s">
        <v>2026</v>
      </c>
      <c r="G953" s="387" t="e">
        <f>VLOOKUP(A953,'Feature Summary'!$A$7:$C$3944,3,FALSE)</f>
        <v>#N/A</v>
      </c>
      <c r="H953" s="447" t="s">
        <v>2027</v>
      </c>
      <c r="I953" s="488" t="s">
        <v>264</v>
      </c>
      <c r="J953" s="448" t="s">
        <v>1873</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60.75" thickBot="1">
      <c r="A954" s="490" t="s">
        <v>1988</v>
      </c>
      <c r="B954" s="617" t="s">
        <v>306</v>
      </c>
      <c r="C954" s="486" t="s">
        <v>655</v>
      </c>
      <c r="D954" s="559" t="s">
        <v>261</v>
      </c>
      <c r="E954" s="560"/>
      <c r="F954" s="473" t="s">
        <v>2026</v>
      </c>
      <c r="G954" s="561" t="e">
        <f>VLOOKUP(A954,'Feature Summary'!$A$7:$C$3944,3,FALSE)</f>
        <v>#N/A</v>
      </c>
      <c r="H954" s="473" t="s">
        <v>2028</v>
      </c>
      <c r="I954" s="488" t="s">
        <v>264</v>
      </c>
      <c r="J954" s="483" t="s">
        <v>1873</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60.75" thickBot="1">
      <c r="A955" s="490" t="s">
        <v>1988</v>
      </c>
      <c r="B955" s="617" t="s">
        <v>306</v>
      </c>
      <c r="C955" s="486" t="s">
        <v>655</v>
      </c>
      <c r="D955" s="559" t="s">
        <v>261</v>
      </c>
      <c r="E955" s="560"/>
      <c r="F955" s="617" t="s">
        <v>2029</v>
      </c>
      <c r="G955" s="561" t="e">
        <f>VLOOKUP(A955,'Feature Summary'!$A$7:$C$3944,3,FALSE)</f>
        <v>#N/A</v>
      </c>
      <c r="H955" s="473" t="s">
        <v>2030</v>
      </c>
      <c r="I955" s="488" t="s">
        <v>264</v>
      </c>
      <c r="J955" s="483" t="s">
        <v>1873</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60.75" thickBot="1">
      <c r="A956" s="474" t="s">
        <v>1988</v>
      </c>
      <c r="B956" s="470" t="s">
        <v>306</v>
      </c>
      <c r="C956" s="463" t="s">
        <v>655</v>
      </c>
      <c r="D956" s="449" t="s">
        <v>261</v>
      </c>
      <c r="E956" s="262"/>
      <c r="F956" s="472" t="s">
        <v>2031</v>
      </c>
      <c r="G956" s="387" t="e">
        <f>VLOOKUP(A956,'Feature Summary'!$A$7:$C$3944,3,FALSE)</f>
        <v>#N/A</v>
      </c>
      <c r="H956" s="447" t="s">
        <v>2032</v>
      </c>
      <c r="I956" s="488" t="s">
        <v>264</v>
      </c>
      <c r="J956" s="448" t="s">
        <v>1873</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ht="15.75" thickBot="1">
      <c r="A957" s="490"/>
      <c r="B957" s="473"/>
      <c r="C957" s="486"/>
      <c r="D957" s="449" t="s">
        <v>261</v>
      </c>
      <c r="E957" s="262"/>
      <c r="F957" s="473" t="s">
        <v>2033</v>
      </c>
      <c r="G957" s="387" t="e">
        <f>VLOOKUP(A957,'Feature Summary'!$A$7:$C$3944,3,FALSE)</f>
        <v>#N/A</v>
      </c>
      <c r="H957" s="473" t="s">
        <v>2034</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thickBot="1">
      <c r="A958" s="458" t="s">
        <v>2035</v>
      </c>
      <c r="B958" s="470" t="s">
        <v>2036</v>
      </c>
      <c r="C958" s="463" t="s">
        <v>651</v>
      </c>
      <c r="D958" s="449" t="s">
        <v>261</v>
      </c>
      <c r="E958" s="262"/>
      <c r="F958" s="447" t="s">
        <v>2037</v>
      </c>
      <c r="G958" s="387" t="str">
        <f>VLOOKUP(A958,'Feature Summary'!$A$7:$C$3944,3,FALSE)</f>
        <v>P2</v>
      </c>
      <c r="H958" s="447" t="s">
        <v>2038</v>
      </c>
      <c r="I958" s="488" t="s">
        <v>264</v>
      </c>
      <c r="J958" s="480" t="s">
        <v>2039</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thickBot="1">
      <c r="A959" s="458" t="s">
        <v>2035</v>
      </c>
      <c r="B959" s="470" t="s">
        <v>2036</v>
      </c>
      <c r="C959" s="463" t="s">
        <v>651</v>
      </c>
      <c r="D959" s="449" t="s">
        <v>261</v>
      </c>
      <c r="E959" s="262"/>
      <c r="F959" s="447" t="s">
        <v>2040</v>
      </c>
      <c r="G959" s="387" t="str">
        <f>VLOOKUP(A959,'Feature Summary'!$A$7:$C$3944,3,FALSE)</f>
        <v>P2</v>
      </c>
      <c r="H959" s="447" t="s">
        <v>2041</v>
      </c>
      <c r="I959" s="488" t="s">
        <v>264</v>
      </c>
      <c r="J959" s="480" t="s">
        <v>2039</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thickBot="1">
      <c r="A960" s="458" t="s">
        <v>2035</v>
      </c>
      <c r="B960" s="470" t="s">
        <v>2036</v>
      </c>
      <c r="C960" s="463" t="s">
        <v>651</v>
      </c>
      <c r="D960" s="449" t="s">
        <v>261</v>
      </c>
      <c r="E960" s="262"/>
      <c r="F960" s="447" t="s">
        <v>2042</v>
      </c>
      <c r="G960" s="387" t="str">
        <f>VLOOKUP(A960,'Feature Summary'!$A$7:$C$3944,3,FALSE)</f>
        <v>P2</v>
      </c>
      <c r="H960" s="447" t="s">
        <v>2043</v>
      </c>
      <c r="I960" s="488" t="s">
        <v>264</v>
      </c>
      <c r="J960" s="480" t="s">
        <v>2039</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thickBot="1">
      <c r="A961" s="458" t="s">
        <v>2044</v>
      </c>
      <c r="B961" s="470" t="s">
        <v>2045</v>
      </c>
      <c r="C961" s="463" t="s">
        <v>651</v>
      </c>
      <c r="D961" s="449" t="s">
        <v>261</v>
      </c>
      <c r="E961" s="262"/>
      <c r="F961" s="447" t="s">
        <v>2046</v>
      </c>
      <c r="G961" s="387" t="e">
        <f>VLOOKUP(A961,'Feature Summary'!$A$7:$C$3944,3,FALSE)</f>
        <v>#N/A</v>
      </c>
      <c r="H961" s="447" t="s">
        <v>2047</v>
      </c>
      <c r="I961" s="488" t="s">
        <v>264</v>
      </c>
      <c r="J961" s="448" t="s">
        <v>1873</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thickBot="1">
      <c r="A962" s="474" t="s">
        <v>2048</v>
      </c>
      <c r="B962" s="470" t="s">
        <v>2049</v>
      </c>
      <c r="C962" s="463" t="s">
        <v>655</v>
      </c>
      <c r="D962" s="449" t="s">
        <v>261</v>
      </c>
      <c r="E962" s="262"/>
      <c r="F962" s="447" t="s">
        <v>2050</v>
      </c>
      <c r="G962" s="387" t="e">
        <f>VLOOKUP(A962,'Feature Summary'!$A$7:$C$3944,3,FALSE)</f>
        <v>#N/A</v>
      </c>
      <c r="H962" s="447" t="s">
        <v>2051</v>
      </c>
      <c r="I962" s="488" t="s">
        <v>264</v>
      </c>
      <c r="J962" s="480" t="s">
        <v>2052</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ht="15.75" thickBot="1">
      <c r="A963" s="474"/>
      <c r="B963" s="470" t="s">
        <v>2049</v>
      </c>
      <c r="C963" s="463" t="s">
        <v>44</v>
      </c>
      <c r="D963" s="449" t="s">
        <v>261</v>
      </c>
      <c r="E963" s="262"/>
      <c r="F963" s="447" t="s">
        <v>2050</v>
      </c>
      <c r="G963" s="387" t="e">
        <f>VLOOKUP(A963,'Feature Summary'!$A$7:$C$3944,3,FALSE)</f>
        <v>#N/A</v>
      </c>
      <c r="H963" s="447" t="s">
        <v>2053</v>
      </c>
      <c r="I963" s="447"/>
      <c r="J963" s="480" t="s">
        <v>2054</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ht="15.75" thickBot="1">
      <c r="A964" s="474"/>
      <c r="B964" s="470" t="s">
        <v>2049</v>
      </c>
      <c r="C964" s="463" t="s">
        <v>44</v>
      </c>
      <c r="D964" s="449" t="s">
        <v>261</v>
      </c>
      <c r="E964" s="262"/>
      <c r="F964" s="447" t="s">
        <v>2050</v>
      </c>
      <c r="G964" s="387" t="e">
        <f>VLOOKUP(A964,'Feature Summary'!$A$7:$C$3944,3,FALSE)</f>
        <v>#N/A</v>
      </c>
      <c r="H964" s="447" t="s">
        <v>2055</v>
      </c>
      <c r="I964" s="447"/>
      <c r="J964" s="480" t="s">
        <v>2056</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thickBot="1">
      <c r="A965" s="474" t="s">
        <v>2048</v>
      </c>
      <c r="B965" s="470" t="s">
        <v>2049</v>
      </c>
      <c r="C965" s="463" t="s">
        <v>655</v>
      </c>
      <c r="D965" s="449" t="s">
        <v>261</v>
      </c>
      <c r="E965" s="262"/>
      <c r="F965" s="447" t="s">
        <v>2057</v>
      </c>
      <c r="G965" s="387" t="e">
        <f>VLOOKUP(A965,'Feature Summary'!$A$7:$C$3944,3,FALSE)</f>
        <v>#N/A</v>
      </c>
      <c r="H965" s="447" t="s">
        <v>2058</v>
      </c>
      <c r="I965" s="488" t="s">
        <v>264</v>
      </c>
      <c r="J965" s="480" t="s">
        <v>2052</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ht="15.75" thickBot="1">
      <c r="A966" s="474"/>
      <c r="B966" s="470" t="s">
        <v>2049</v>
      </c>
      <c r="C966" s="463" t="s">
        <v>44</v>
      </c>
      <c r="D966" s="449" t="s">
        <v>261</v>
      </c>
      <c r="E966" s="262"/>
      <c r="F966" s="447" t="s">
        <v>2057</v>
      </c>
      <c r="G966" s="387" t="e">
        <f>VLOOKUP(A966,'Feature Summary'!$A$7:$C$3944,3,FALSE)</f>
        <v>#N/A</v>
      </c>
      <c r="H966" s="447" t="s">
        <v>2059</v>
      </c>
      <c r="I966" s="447"/>
      <c r="J966" s="480" t="s">
        <v>2054</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ht="15.75" thickBot="1">
      <c r="A967" s="474"/>
      <c r="B967" s="470" t="s">
        <v>2049</v>
      </c>
      <c r="C967" s="463" t="s">
        <v>44</v>
      </c>
      <c r="D967" s="449" t="s">
        <v>261</v>
      </c>
      <c r="E967" s="262"/>
      <c r="F967" s="447" t="s">
        <v>2057</v>
      </c>
      <c r="G967" s="387" t="e">
        <f>VLOOKUP(A967,'Feature Summary'!$A$7:$C$3944,3,FALSE)</f>
        <v>#N/A</v>
      </c>
      <c r="H967" s="447" t="s">
        <v>2060</v>
      </c>
      <c r="I967" s="447"/>
      <c r="J967" s="480" t="s">
        <v>2056</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60.75" thickBot="1">
      <c r="A968" s="474" t="s">
        <v>2061</v>
      </c>
      <c r="B968" s="470" t="s">
        <v>2049</v>
      </c>
      <c r="C968" s="463" t="s">
        <v>655</v>
      </c>
      <c r="D968" s="449" t="s">
        <v>261</v>
      </c>
      <c r="E968" s="262"/>
      <c r="F968" s="470" t="s">
        <v>2062</v>
      </c>
      <c r="G968" s="387" t="e">
        <f>VLOOKUP(A968,'Feature Summary'!$A$7:$C$3944,3,FALSE)</f>
        <v>#N/A</v>
      </c>
      <c r="H968" s="447" t="s">
        <v>2063</v>
      </c>
      <c r="I968" s="488" t="s">
        <v>264</v>
      </c>
      <c r="J968" s="480" t="s">
        <v>2052</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ht="15.75" thickBot="1">
      <c r="A969" s="474"/>
      <c r="B969" s="470" t="s">
        <v>2049</v>
      </c>
      <c r="C969" s="463" t="s">
        <v>44</v>
      </c>
      <c r="D969" s="449" t="s">
        <v>261</v>
      </c>
      <c r="E969" s="262"/>
      <c r="F969" s="470" t="s">
        <v>2062</v>
      </c>
      <c r="G969" s="387" t="e">
        <f>VLOOKUP(A969,'Feature Summary'!$A$7:$C$3944,3,FALSE)</f>
        <v>#N/A</v>
      </c>
      <c r="H969" s="447" t="s">
        <v>2064</v>
      </c>
      <c r="I969" s="447"/>
      <c r="J969" s="480" t="s">
        <v>2054</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ht="15.75" thickBot="1">
      <c r="A970" s="474"/>
      <c r="B970" s="470" t="s">
        <v>2049</v>
      </c>
      <c r="C970" s="463" t="s">
        <v>44</v>
      </c>
      <c r="D970" s="449" t="s">
        <v>261</v>
      </c>
      <c r="E970" s="262"/>
      <c r="F970" s="470" t="s">
        <v>2062</v>
      </c>
      <c r="G970" s="387" t="e">
        <f>VLOOKUP(A970,'Feature Summary'!$A$7:$C$3944,3,FALSE)</f>
        <v>#N/A</v>
      </c>
      <c r="H970" s="447" t="s">
        <v>2065</v>
      </c>
      <c r="I970" s="447"/>
      <c r="J970" s="480" t="s">
        <v>2056</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90.75" thickBot="1">
      <c r="A971" s="474" t="s">
        <v>2066</v>
      </c>
      <c r="B971" s="470" t="s">
        <v>2049</v>
      </c>
      <c r="C971" s="463" t="s">
        <v>655</v>
      </c>
      <c r="D971" s="449" t="s">
        <v>261</v>
      </c>
      <c r="E971" s="262"/>
      <c r="F971" s="470" t="s">
        <v>2067</v>
      </c>
      <c r="G971" s="387" t="e">
        <f>VLOOKUP(A971,'Feature Summary'!$A$7:$C$3944,3,FALSE)</f>
        <v>#N/A</v>
      </c>
      <c r="H971" s="447" t="s">
        <v>2068</v>
      </c>
      <c r="I971" s="488" t="s">
        <v>264</v>
      </c>
      <c r="J971" s="480" t="s">
        <v>2052</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75" thickBot="1">
      <c r="A972" s="474"/>
      <c r="B972" s="470" t="s">
        <v>2049</v>
      </c>
      <c r="C972" s="463" t="s">
        <v>44</v>
      </c>
      <c r="D972" s="449" t="s">
        <v>261</v>
      </c>
      <c r="E972" s="262"/>
      <c r="F972" s="470" t="s">
        <v>2067</v>
      </c>
      <c r="G972" s="387" t="e">
        <f>VLOOKUP(A972,'Feature Summary'!$A$7:$C$3944,3,FALSE)</f>
        <v>#N/A</v>
      </c>
      <c r="H972" s="447" t="s">
        <v>2069</v>
      </c>
      <c r="I972" s="447"/>
      <c r="J972" s="480" t="s">
        <v>2054</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75" thickBot="1">
      <c r="A973" s="474"/>
      <c r="B973" s="470" t="s">
        <v>2049</v>
      </c>
      <c r="C973" s="463" t="s">
        <v>44</v>
      </c>
      <c r="D973" s="449" t="s">
        <v>261</v>
      </c>
      <c r="E973" s="262"/>
      <c r="F973" s="470" t="s">
        <v>2067</v>
      </c>
      <c r="G973" s="387" t="e">
        <f>VLOOKUP(A973,'Feature Summary'!$A$7:$C$3944,3,FALSE)</f>
        <v>#N/A</v>
      </c>
      <c r="H973" s="447" t="s">
        <v>2070</v>
      </c>
      <c r="I973" s="447"/>
      <c r="J973" s="480" t="s">
        <v>2056</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60.75" thickBot="1">
      <c r="A974" s="474" t="s">
        <v>2061</v>
      </c>
      <c r="B974" s="470" t="s">
        <v>2049</v>
      </c>
      <c r="C974" s="463" t="s">
        <v>655</v>
      </c>
      <c r="D974" s="449" t="s">
        <v>261</v>
      </c>
      <c r="E974" s="262"/>
      <c r="F974" s="470" t="s">
        <v>2071</v>
      </c>
      <c r="G974" s="387" t="e">
        <f>VLOOKUP(A974,'Feature Summary'!$A$7:$C$3944,3,FALSE)</f>
        <v>#N/A</v>
      </c>
      <c r="H974" s="447" t="s">
        <v>2072</v>
      </c>
      <c r="I974" s="488" t="s">
        <v>264</v>
      </c>
      <c r="J974" s="480" t="s">
        <v>2073</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ht="15.75" thickBot="1">
      <c r="A975" s="474"/>
      <c r="B975" s="470" t="s">
        <v>2049</v>
      </c>
      <c r="C975" s="463" t="s">
        <v>44</v>
      </c>
      <c r="D975" s="449" t="s">
        <v>261</v>
      </c>
      <c r="E975" s="262"/>
      <c r="F975" s="470" t="s">
        <v>2071</v>
      </c>
      <c r="G975" s="387" t="e">
        <f>VLOOKUP(A975,'Feature Summary'!$A$7:$C$3944,3,FALSE)</f>
        <v>#N/A</v>
      </c>
      <c r="H975" s="447" t="s">
        <v>2074</v>
      </c>
      <c r="I975" s="447"/>
      <c r="J975" s="480" t="s">
        <v>2075</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ht="15.75" thickBot="1">
      <c r="A976" s="474"/>
      <c r="B976" s="470" t="s">
        <v>2049</v>
      </c>
      <c r="C976" s="463" t="s">
        <v>44</v>
      </c>
      <c r="D976" s="449" t="s">
        <v>261</v>
      </c>
      <c r="E976" s="262"/>
      <c r="F976" s="470" t="s">
        <v>2071</v>
      </c>
      <c r="G976" s="387" t="e">
        <f>VLOOKUP(A976,'Feature Summary'!$A$7:$C$3944,3,FALSE)</f>
        <v>#N/A</v>
      </c>
      <c r="H976" s="447" t="s">
        <v>2076</v>
      </c>
      <c r="I976" s="447"/>
      <c r="J976" s="480" t="s">
        <v>2077</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60.75" thickBot="1">
      <c r="A977" s="474" t="s">
        <v>2061</v>
      </c>
      <c r="B977" s="470" t="s">
        <v>2049</v>
      </c>
      <c r="C977" s="463" t="s">
        <v>655</v>
      </c>
      <c r="D977" s="449" t="s">
        <v>261</v>
      </c>
      <c r="E977" s="262"/>
      <c r="F977" s="470" t="s">
        <v>2078</v>
      </c>
      <c r="G977" s="387" t="e">
        <f>VLOOKUP(A977,'Feature Summary'!$A$7:$C$3944,3,FALSE)</f>
        <v>#N/A</v>
      </c>
      <c r="H977" s="447" t="s">
        <v>2079</v>
      </c>
      <c r="I977" s="488" t="s">
        <v>264</v>
      </c>
      <c r="J977" s="480" t="s">
        <v>2073</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ht="15.75" thickBot="1">
      <c r="A978" s="474"/>
      <c r="B978" s="470" t="s">
        <v>2049</v>
      </c>
      <c r="C978" s="463" t="s">
        <v>44</v>
      </c>
      <c r="D978" s="449" t="s">
        <v>261</v>
      </c>
      <c r="E978" s="262"/>
      <c r="F978" s="470" t="s">
        <v>2078</v>
      </c>
      <c r="G978" s="387" t="e">
        <f>VLOOKUP(A978,'Feature Summary'!$A$7:$C$3944,3,FALSE)</f>
        <v>#N/A</v>
      </c>
      <c r="H978" s="447" t="s">
        <v>2080</v>
      </c>
      <c r="I978" s="447"/>
      <c r="J978" s="480" t="s">
        <v>2075</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ht="15.75" thickBot="1">
      <c r="A979" s="474"/>
      <c r="B979" s="470" t="s">
        <v>2049</v>
      </c>
      <c r="C979" s="463" t="s">
        <v>44</v>
      </c>
      <c r="D979" s="449" t="s">
        <v>261</v>
      </c>
      <c r="E979" s="262"/>
      <c r="F979" s="470" t="s">
        <v>2078</v>
      </c>
      <c r="G979" s="387" t="e">
        <f>VLOOKUP(A979,'Feature Summary'!$A$7:$C$3944,3,FALSE)</f>
        <v>#N/A</v>
      </c>
      <c r="H979" s="447" t="s">
        <v>2081</v>
      </c>
      <c r="I979" s="447"/>
      <c r="J979" s="480" t="s">
        <v>2077</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180.75" thickBot="1">
      <c r="A980" s="474"/>
      <c r="B980" s="470" t="s">
        <v>2049</v>
      </c>
      <c r="C980" s="463" t="s">
        <v>44</v>
      </c>
      <c r="D980" s="449" t="s">
        <v>261</v>
      </c>
      <c r="E980" s="262"/>
      <c r="F980" s="470" t="s">
        <v>2078</v>
      </c>
      <c r="G980" s="387" t="e">
        <f>VLOOKUP(A980,'Feature Summary'!$A$7:$C$3944,3,FALSE)</f>
        <v>#N/A</v>
      </c>
      <c r="H980" s="447" t="s">
        <v>2082</v>
      </c>
      <c r="I980" s="447"/>
      <c r="J980" s="478" t="s">
        <v>2083</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thickBot="1">
      <c r="A981" s="474"/>
      <c r="B981" s="470" t="s">
        <v>2049</v>
      </c>
      <c r="C981" s="463" t="s">
        <v>655</v>
      </c>
      <c r="D981" s="449" t="s">
        <v>261</v>
      </c>
      <c r="E981" s="262"/>
      <c r="F981" s="470" t="s">
        <v>2078</v>
      </c>
      <c r="G981" s="387" t="e">
        <f>VLOOKUP(A981,'Feature Summary'!$A$7:$C$3944,3,FALSE)</f>
        <v>#N/A</v>
      </c>
      <c r="H981" s="447" t="s">
        <v>2079</v>
      </c>
      <c r="I981" s="488" t="s">
        <v>288</v>
      </c>
      <c r="J981" s="480" t="s">
        <v>2073</v>
      </c>
      <c r="K981" s="263">
        <v>1</v>
      </c>
      <c r="L981" s="391">
        <v>1</v>
      </c>
      <c r="M981" s="399" t="s">
        <v>33</v>
      </c>
      <c r="N981" s="475">
        <v>1</v>
      </c>
      <c r="O981" s="391">
        <v>1</v>
      </c>
      <c r="P981" s="496">
        <f t="shared" ref="P981" si="174">IF((O981=0),0,(O981/L981))</f>
        <v>1</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60.75" thickBot="1">
      <c r="A982" s="474" t="s">
        <v>2061</v>
      </c>
      <c r="B982" s="470" t="s">
        <v>2049</v>
      </c>
      <c r="C982" s="463" t="s">
        <v>655</v>
      </c>
      <c r="D982" s="449" t="s">
        <v>261</v>
      </c>
      <c r="E982" s="262"/>
      <c r="F982" s="470" t="s">
        <v>2084</v>
      </c>
      <c r="G982" s="387" t="e">
        <f>VLOOKUP(A982,'Feature Summary'!$A$7:$C$3944,3,FALSE)</f>
        <v>#N/A</v>
      </c>
      <c r="H982" s="447" t="s">
        <v>2085</v>
      </c>
      <c r="I982" s="488" t="s">
        <v>264</v>
      </c>
      <c r="J982" s="480" t="s">
        <v>2073</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ht="15.75" thickBot="1">
      <c r="A983" s="474"/>
      <c r="B983" s="470" t="s">
        <v>2049</v>
      </c>
      <c r="C983" s="463" t="s">
        <v>44</v>
      </c>
      <c r="D983" s="449" t="s">
        <v>261</v>
      </c>
      <c r="E983" s="262"/>
      <c r="F983" s="470" t="s">
        <v>2084</v>
      </c>
      <c r="G983" s="387" t="e">
        <f>VLOOKUP(A983,'Feature Summary'!$A$7:$C$3944,3,FALSE)</f>
        <v>#N/A</v>
      </c>
      <c r="H983" s="447" t="s">
        <v>2086</v>
      </c>
      <c r="I983" s="447"/>
      <c r="J983" s="480" t="s">
        <v>2075</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ht="15.75" thickBot="1">
      <c r="A984" s="474"/>
      <c r="B984" s="470" t="s">
        <v>2049</v>
      </c>
      <c r="C984" s="463" t="s">
        <v>44</v>
      </c>
      <c r="D984" s="449" t="s">
        <v>261</v>
      </c>
      <c r="E984" s="262"/>
      <c r="F984" s="470" t="s">
        <v>2084</v>
      </c>
      <c r="G984" s="387" t="e">
        <f>VLOOKUP(A984,'Feature Summary'!$A$7:$C$3944,3,FALSE)</f>
        <v>#N/A</v>
      </c>
      <c r="H984" s="447" t="s">
        <v>2087</v>
      </c>
      <c r="I984" s="447"/>
      <c r="J984" s="480" t="s">
        <v>2077</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90.75" thickBot="1">
      <c r="A985" s="474" t="s">
        <v>2066</v>
      </c>
      <c r="B985" s="470" t="s">
        <v>2049</v>
      </c>
      <c r="C985" s="463" t="s">
        <v>655</v>
      </c>
      <c r="D985" s="449" t="s">
        <v>261</v>
      </c>
      <c r="E985" s="262"/>
      <c r="F985" s="470" t="s">
        <v>2088</v>
      </c>
      <c r="G985" s="387" t="e">
        <f>VLOOKUP(A985,'Feature Summary'!$A$7:$C$3944,3,FALSE)</f>
        <v>#N/A</v>
      </c>
      <c r="H985" s="447" t="s">
        <v>2089</v>
      </c>
      <c r="I985" s="488" t="s">
        <v>264</v>
      </c>
      <c r="J985" s="480" t="s">
        <v>2073</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75" thickBot="1">
      <c r="A986" s="474"/>
      <c r="B986" s="470" t="s">
        <v>2049</v>
      </c>
      <c r="C986" s="463" t="s">
        <v>44</v>
      </c>
      <c r="D986" s="449" t="s">
        <v>261</v>
      </c>
      <c r="E986" s="262"/>
      <c r="F986" s="470" t="s">
        <v>2088</v>
      </c>
      <c r="G986" s="387" t="e">
        <f>VLOOKUP(A986,'Feature Summary'!$A$7:$C$3944,3,FALSE)</f>
        <v>#N/A</v>
      </c>
      <c r="H986" s="447" t="s">
        <v>2090</v>
      </c>
      <c r="I986" s="447"/>
      <c r="J986" s="480" t="s">
        <v>2075</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75" thickBot="1">
      <c r="A987" s="474"/>
      <c r="B987" s="470" t="s">
        <v>2049</v>
      </c>
      <c r="C987" s="463" t="s">
        <v>44</v>
      </c>
      <c r="D987" s="449" t="s">
        <v>261</v>
      </c>
      <c r="E987" s="262"/>
      <c r="F987" s="470" t="s">
        <v>2088</v>
      </c>
      <c r="G987" s="387" t="e">
        <f>VLOOKUP(A987,'Feature Summary'!$A$7:$C$3944,3,FALSE)</f>
        <v>#N/A</v>
      </c>
      <c r="H987" s="447" t="s">
        <v>2091</v>
      </c>
      <c r="I987" s="447"/>
      <c r="J987" s="480" t="s">
        <v>2077</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thickBot="1">
      <c r="A988" s="474" t="s">
        <v>2092</v>
      </c>
      <c r="B988" s="470" t="s">
        <v>2049</v>
      </c>
      <c r="C988" s="463" t="s">
        <v>655</v>
      </c>
      <c r="D988" s="449" t="s">
        <v>261</v>
      </c>
      <c r="E988" s="262"/>
      <c r="F988" s="470" t="s">
        <v>2093</v>
      </c>
      <c r="G988" s="387" t="e">
        <f>VLOOKUP(A988,'Feature Summary'!$A$7:$C$3944,3,FALSE)</f>
        <v>#N/A</v>
      </c>
      <c r="H988" s="447" t="s">
        <v>2094</v>
      </c>
      <c r="I988" s="488" t="s">
        <v>264</v>
      </c>
      <c r="J988" s="480" t="s">
        <v>2052</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ht="15.75" thickBot="1">
      <c r="A989" s="474"/>
      <c r="B989" s="470" t="s">
        <v>2049</v>
      </c>
      <c r="C989" s="463" t="s">
        <v>44</v>
      </c>
      <c r="D989" s="449" t="s">
        <v>261</v>
      </c>
      <c r="E989" s="262"/>
      <c r="F989" s="470" t="s">
        <v>2093</v>
      </c>
      <c r="G989" s="387" t="e">
        <f>VLOOKUP(A989,'Feature Summary'!$A$7:$C$3944,3,FALSE)</f>
        <v>#N/A</v>
      </c>
      <c r="H989" s="447" t="s">
        <v>2095</v>
      </c>
      <c r="I989" s="447"/>
      <c r="J989" s="480" t="s">
        <v>2054</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30.75" thickBot="1">
      <c r="A990" s="474"/>
      <c r="B990" s="470" t="s">
        <v>2049</v>
      </c>
      <c r="C990" s="463" t="s">
        <v>44</v>
      </c>
      <c r="D990" s="449" t="s">
        <v>261</v>
      </c>
      <c r="E990" s="262"/>
      <c r="F990" s="470" t="s">
        <v>2093</v>
      </c>
      <c r="G990" s="387" t="e">
        <f>VLOOKUP(A990,'Feature Summary'!$A$7:$C$3944,3,FALSE)</f>
        <v>#N/A</v>
      </c>
      <c r="H990" s="447" t="s">
        <v>2096</v>
      </c>
      <c r="I990" s="447"/>
      <c r="J990" s="480" t="s">
        <v>2056</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180.75" thickBot="1">
      <c r="A991" s="474"/>
      <c r="B991" s="470" t="s">
        <v>2049</v>
      </c>
      <c r="C991" s="463" t="s">
        <v>44</v>
      </c>
      <c r="D991" s="449" t="s">
        <v>261</v>
      </c>
      <c r="E991" s="262"/>
      <c r="F991" s="470" t="s">
        <v>2093</v>
      </c>
      <c r="G991" s="387" t="e">
        <f>VLOOKUP(A991,'Feature Summary'!$A$7:$C$3944,3,FALSE)</f>
        <v>#N/A</v>
      </c>
      <c r="H991" s="447" t="s">
        <v>2097</v>
      </c>
      <c r="I991" s="447"/>
      <c r="J991" s="478" t="s">
        <v>2098</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thickBot="1">
      <c r="A992" s="474"/>
      <c r="B992" s="470" t="s">
        <v>2049</v>
      </c>
      <c r="C992" s="463" t="s">
        <v>655</v>
      </c>
      <c r="D992" s="449" t="s">
        <v>261</v>
      </c>
      <c r="E992" s="262"/>
      <c r="F992" s="470" t="s">
        <v>2093</v>
      </c>
      <c r="G992" s="387" t="e">
        <f>VLOOKUP(A992,'Feature Summary'!$A$7:$C$3944,3,FALSE)</f>
        <v>#N/A</v>
      </c>
      <c r="H992" s="447" t="s">
        <v>2094</v>
      </c>
      <c r="I992" s="488" t="s">
        <v>288</v>
      </c>
      <c r="J992" s="480" t="s">
        <v>2052</v>
      </c>
      <c r="K992" s="263">
        <v>1</v>
      </c>
      <c r="L992" s="391">
        <v>1</v>
      </c>
      <c r="M992" s="399" t="s">
        <v>33</v>
      </c>
      <c r="N992" s="475">
        <v>1</v>
      </c>
      <c r="O992" s="391">
        <v>1</v>
      </c>
      <c r="P992" s="496">
        <f t="shared" ref="P992" si="177">IF((O992=0),0,(O992/L992))</f>
        <v>1</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thickBot="1">
      <c r="A993" s="474" t="s">
        <v>2092</v>
      </c>
      <c r="B993" s="470" t="s">
        <v>2049</v>
      </c>
      <c r="C993" s="463" t="s">
        <v>655</v>
      </c>
      <c r="D993" s="449" t="s">
        <v>261</v>
      </c>
      <c r="E993" s="262"/>
      <c r="F993" s="470" t="s">
        <v>2057</v>
      </c>
      <c r="G993" s="387" t="e">
        <f>VLOOKUP(A993,'Feature Summary'!$A$7:$C$3944,3,FALSE)</f>
        <v>#N/A</v>
      </c>
      <c r="H993" s="447" t="s">
        <v>2099</v>
      </c>
      <c r="I993" s="488" t="s">
        <v>264</v>
      </c>
      <c r="J993" s="480" t="s">
        <v>2052</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ht="15.75" thickBot="1">
      <c r="A994" s="474"/>
      <c r="B994" s="470" t="s">
        <v>2049</v>
      </c>
      <c r="C994" s="463" t="s">
        <v>44</v>
      </c>
      <c r="D994" s="449" t="s">
        <v>261</v>
      </c>
      <c r="E994" s="262"/>
      <c r="F994" s="470" t="s">
        <v>2057</v>
      </c>
      <c r="G994" s="387" t="e">
        <f>VLOOKUP(A994,'Feature Summary'!$A$7:$C$3944,3,FALSE)</f>
        <v>#N/A</v>
      </c>
      <c r="H994" s="447" t="s">
        <v>2100</v>
      </c>
      <c r="I994" s="447"/>
      <c r="J994" s="480" t="s">
        <v>2054</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30.75" thickBot="1">
      <c r="A995" s="474"/>
      <c r="B995" s="470" t="s">
        <v>2049</v>
      </c>
      <c r="C995" s="463" t="s">
        <v>44</v>
      </c>
      <c r="D995" s="449" t="s">
        <v>261</v>
      </c>
      <c r="E995" s="262"/>
      <c r="F995" s="470" t="s">
        <v>2057</v>
      </c>
      <c r="G995" s="387" t="e">
        <f>VLOOKUP(A995,'Feature Summary'!$A$7:$C$3944,3,FALSE)</f>
        <v>#N/A</v>
      </c>
      <c r="H995" s="447" t="s">
        <v>2101</v>
      </c>
      <c r="I995" s="447"/>
      <c r="J995" s="480" t="s">
        <v>2056</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thickBot="1">
      <c r="A996" s="474" t="s">
        <v>2092</v>
      </c>
      <c r="B996" s="470" t="s">
        <v>2049</v>
      </c>
      <c r="C996" s="463" t="s">
        <v>655</v>
      </c>
      <c r="D996" s="449" t="s">
        <v>261</v>
      </c>
      <c r="E996" s="262"/>
      <c r="F996" s="470" t="s">
        <v>2062</v>
      </c>
      <c r="G996" s="387" t="e">
        <f>VLOOKUP(A996,'Feature Summary'!$A$7:$C$3944,3,FALSE)</f>
        <v>#N/A</v>
      </c>
      <c r="H996" s="447" t="s">
        <v>2102</v>
      </c>
      <c r="I996" s="488" t="s">
        <v>264</v>
      </c>
      <c r="J996" s="480" t="s">
        <v>2052</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ht="15.75" thickBot="1">
      <c r="A997" s="474"/>
      <c r="B997" s="470" t="s">
        <v>2049</v>
      </c>
      <c r="C997" s="463" t="s">
        <v>44</v>
      </c>
      <c r="D997" s="449" t="s">
        <v>261</v>
      </c>
      <c r="E997" s="262"/>
      <c r="F997" s="470" t="s">
        <v>2062</v>
      </c>
      <c r="G997" s="387" t="e">
        <f>VLOOKUP(A997,'Feature Summary'!$A$7:$C$3944,3,FALSE)</f>
        <v>#N/A</v>
      </c>
      <c r="H997" s="447" t="s">
        <v>2103</v>
      </c>
      <c r="I997" s="447"/>
      <c r="J997" s="480" t="s">
        <v>2054</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30.75" thickBot="1">
      <c r="A998" s="474"/>
      <c r="B998" s="470" t="s">
        <v>2049</v>
      </c>
      <c r="C998" s="463" t="s">
        <v>44</v>
      </c>
      <c r="D998" s="449" t="s">
        <v>261</v>
      </c>
      <c r="E998" s="262"/>
      <c r="F998" s="470" t="s">
        <v>2062</v>
      </c>
      <c r="G998" s="387" t="e">
        <f>VLOOKUP(A998,'Feature Summary'!$A$7:$C$3944,3,FALSE)</f>
        <v>#N/A</v>
      </c>
      <c r="H998" s="447" t="s">
        <v>2104</v>
      </c>
      <c r="I998" s="447"/>
      <c r="J998" s="480" t="s">
        <v>2056</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60.75" thickBot="1">
      <c r="A999" s="474" t="s">
        <v>2105</v>
      </c>
      <c r="B999" s="470" t="s">
        <v>2049</v>
      </c>
      <c r="C999" s="463" t="s">
        <v>655</v>
      </c>
      <c r="D999" s="449" t="s">
        <v>261</v>
      </c>
      <c r="E999" s="262"/>
      <c r="F999" s="470" t="s">
        <v>2106</v>
      </c>
      <c r="G999" s="387" t="e">
        <f>VLOOKUP(A999,'Feature Summary'!$A$7:$C$3944,3,FALSE)</f>
        <v>#N/A</v>
      </c>
      <c r="H999" s="447" t="s">
        <v>2107</v>
      </c>
      <c r="I999" s="488" t="s">
        <v>264</v>
      </c>
      <c r="J999" s="480" t="s">
        <v>2052</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75" thickBot="1">
      <c r="A1000" s="474"/>
      <c r="B1000" s="470" t="s">
        <v>2049</v>
      </c>
      <c r="C1000" s="463" t="s">
        <v>44</v>
      </c>
      <c r="D1000" s="449" t="s">
        <v>261</v>
      </c>
      <c r="E1000" s="262"/>
      <c r="F1000" s="470" t="s">
        <v>2106</v>
      </c>
      <c r="G1000" s="387" t="e">
        <f>VLOOKUP(A1000,'Feature Summary'!$A$7:$C$3944,3,FALSE)</f>
        <v>#N/A</v>
      </c>
      <c r="H1000" s="447" t="s">
        <v>2108</v>
      </c>
      <c r="I1000" s="447"/>
      <c r="J1000" s="480" t="s">
        <v>2054</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75" thickBot="1">
      <c r="A1001" s="474"/>
      <c r="B1001" s="470" t="s">
        <v>2049</v>
      </c>
      <c r="C1001" s="463" t="s">
        <v>44</v>
      </c>
      <c r="D1001" s="449" t="s">
        <v>261</v>
      </c>
      <c r="E1001" s="262"/>
      <c r="F1001" s="470" t="s">
        <v>2106</v>
      </c>
      <c r="G1001" s="387" t="e">
        <f>VLOOKUP(A1001,'Feature Summary'!$A$7:$C$3944,3,FALSE)</f>
        <v>#N/A</v>
      </c>
      <c r="H1001" s="447" t="s">
        <v>2109</v>
      </c>
      <c r="I1001" s="447"/>
      <c r="J1001" s="480" t="s">
        <v>2056</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thickBot="1">
      <c r="A1002" s="474" t="s">
        <v>2092</v>
      </c>
      <c r="B1002" s="470" t="s">
        <v>2049</v>
      </c>
      <c r="C1002" s="463" t="s">
        <v>655</v>
      </c>
      <c r="D1002" s="449" t="s">
        <v>261</v>
      </c>
      <c r="E1002" s="262"/>
      <c r="F1002" s="470" t="s">
        <v>2110</v>
      </c>
      <c r="G1002" s="387" t="e">
        <f>VLOOKUP(A1002,'Feature Summary'!$A$7:$C$3944,3,FALSE)</f>
        <v>#N/A</v>
      </c>
      <c r="H1002" s="447" t="s">
        <v>2111</v>
      </c>
      <c r="I1002" s="488" t="s">
        <v>264</v>
      </c>
      <c r="J1002" s="480" t="s">
        <v>2073</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ht="15.75" thickBot="1">
      <c r="A1003" s="474"/>
      <c r="B1003" s="470" t="s">
        <v>2049</v>
      </c>
      <c r="C1003" s="463" t="s">
        <v>44</v>
      </c>
      <c r="D1003" s="449" t="s">
        <v>261</v>
      </c>
      <c r="E1003" s="262"/>
      <c r="F1003" s="470" t="s">
        <v>2110</v>
      </c>
      <c r="G1003" s="387" t="e">
        <f>VLOOKUP(A1003,'Feature Summary'!$A$7:$C$3944,3,FALSE)</f>
        <v>#N/A</v>
      </c>
      <c r="H1003" s="447" t="s">
        <v>2112</v>
      </c>
      <c r="I1003" s="447"/>
      <c r="J1003" s="480" t="s">
        <v>2075</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30.75" thickBot="1">
      <c r="A1004" s="474"/>
      <c r="B1004" s="470" t="s">
        <v>2049</v>
      </c>
      <c r="C1004" s="463" t="s">
        <v>44</v>
      </c>
      <c r="D1004" s="449" t="s">
        <v>261</v>
      </c>
      <c r="E1004" s="262"/>
      <c r="F1004" s="470" t="s">
        <v>2110</v>
      </c>
      <c r="G1004" s="387" t="e">
        <f>VLOOKUP(A1004,'Feature Summary'!$A$7:$C$3944,3,FALSE)</f>
        <v>#N/A</v>
      </c>
      <c r="H1004" s="447" t="s">
        <v>2113</v>
      </c>
      <c r="I1004" s="447"/>
      <c r="J1004" s="480" t="s">
        <v>2077</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180.75" thickBot="1">
      <c r="A1005" s="474"/>
      <c r="B1005" s="470" t="s">
        <v>2049</v>
      </c>
      <c r="C1005" s="463" t="s">
        <v>44</v>
      </c>
      <c r="D1005" s="449" t="s">
        <v>261</v>
      </c>
      <c r="E1005" s="262"/>
      <c r="F1005" s="470" t="s">
        <v>2110</v>
      </c>
      <c r="G1005" s="387" t="e">
        <f>VLOOKUP(A1005,'Feature Summary'!$A$7:$C$3944,3,FALSE)</f>
        <v>#N/A</v>
      </c>
      <c r="H1005" s="447" t="s">
        <v>2114</v>
      </c>
      <c r="I1005" s="447"/>
      <c r="J1005" s="478" t="s">
        <v>2083</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thickBot="1">
      <c r="A1006" s="474"/>
      <c r="B1006" s="470" t="s">
        <v>2049</v>
      </c>
      <c r="C1006" s="463" t="s">
        <v>655</v>
      </c>
      <c r="D1006" s="449" t="s">
        <v>261</v>
      </c>
      <c r="E1006" s="262"/>
      <c r="F1006" s="470" t="s">
        <v>2110</v>
      </c>
      <c r="G1006" s="387" t="e">
        <f>VLOOKUP(A1006,'Feature Summary'!$A$7:$C$3944,3,FALSE)</f>
        <v>#N/A</v>
      </c>
      <c r="H1006" s="447" t="s">
        <v>2111</v>
      </c>
      <c r="I1006" s="488" t="s">
        <v>288</v>
      </c>
      <c r="J1006" s="480" t="s">
        <v>2073</v>
      </c>
      <c r="K1006" s="263">
        <v>1</v>
      </c>
      <c r="L1006" s="391">
        <v>1</v>
      </c>
      <c r="M1006" s="399" t="s">
        <v>33</v>
      </c>
      <c r="N1006" s="475">
        <v>1</v>
      </c>
      <c r="O1006" s="391">
        <v>1</v>
      </c>
      <c r="P1006" s="496">
        <f t="shared" ref="P1006" si="184">IF((O1006=0),0,(O1006/L1006))</f>
        <v>1</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thickBot="1">
      <c r="A1007" s="474" t="s">
        <v>2092</v>
      </c>
      <c r="B1007" s="470" t="s">
        <v>2049</v>
      </c>
      <c r="C1007" s="463" t="s">
        <v>655</v>
      </c>
      <c r="D1007" s="449" t="s">
        <v>261</v>
      </c>
      <c r="E1007" s="262"/>
      <c r="F1007" s="470" t="s">
        <v>2078</v>
      </c>
      <c r="G1007" s="387" t="e">
        <f>VLOOKUP(A1007,'Feature Summary'!$A$7:$C$3944,3,FALSE)</f>
        <v>#N/A</v>
      </c>
      <c r="H1007" s="447" t="s">
        <v>2115</v>
      </c>
      <c r="I1007" s="488" t="s">
        <v>264</v>
      </c>
      <c r="J1007" s="480" t="s">
        <v>2073</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ht="15.75" thickBot="1">
      <c r="A1008" s="474"/>
      <c r="B1008" s="470" t="s">
        <v>2049</v>
      </c>
      <c r="C1008" s="463" t="s">
        <v>44</v>
      </c>
      <c r="D1008" s="449" t="s">
        <v>261</v>
      </c>
      <c r="E1008" s="262"/>
      <c r="F1008" s="470" t="s">
        <v>2078</v>
      </c>
      <c r="G1008" s="387" t="e">
        <f>VLOOKUP(A1008,'Feature Summary'!$A$7:$C$3944,3,FALSE)</f>
        <v>#N/A</v>
      </c>
      <c r="H1008" s="447" t="s">
        <v>2116</v>
      </c>
      <c r="I1008" s="447"/>
      <c r="J1008" s="480" t="s">
        <v>2075</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30.75" thickBot="1">
      <c r="A1009" s="474"/>
      <c r="B1009" s="470" t="s">
        <v>2049</v>
      </c>
      <c r="C1009" s="463" t="s">
        <v>44</v>
      </c>
      <c r="D1009" s="449" t="s">
        <v>261</v>
      </c>
      <c r="E1009" s="262"/>
      <c r="F1009" s="470" t="s">
        <v>2078</v>
      </c>
      <c r="G1009" s="387" t="e">
        <f>VLOOKUP(A1009,'Feature Summary'!$A$7:$C$3944,3,FALSE)</f>
        <v>#N/A</v>
      </c>
      <c r="H1009" s="447" t="s">
        <v>2117</v>
      </c>
      <c r="I1009" s="447"/>
      <c r="J1009" s="480" t="s">
        <v>2077</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thickBot="1">
      <c r="A1010" s="474" t="s">
        <v>2092</v>
      </c>
      <c r="B1010" s="470" t="s">
        <v>2049</v>
      </c>
      <c r="C1010" s="463" t="s">
        <v>655</v>
      </c>
      <c r="D1010" s="449" t="s">
        <v>261</v>
      </c>
      <c r="E1010" s="262"/>
      <c r="F1010" s="470" t="s">
        <v>2084</v>
      </c>
      <c r="G1010" s="387" t="e">
        <f>VLOOKUP(A1010,'Feature Summary'!$A$7:$C$3944,3,FALSE)</f>
        <v>#N/A</v>
      </c>
      <c r="H1010" s="447" t="s">
        <v>2118</v>
      </c>
      <c r="I1010" s="488" t="s">
        <v>264</v>
      </c>
      <c r="J1010" s="480" t="s">
        <v>2073</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ht="15.75" thickBot="1">
      <c r="A1011" s="474"/>
      <c r="B1011" s="470" t="s">
        <v>2049</v>
      </c>
      <c r="C1011" s="463" t="s">
        <v>44</v>
      </c>
      <c r="D1011" s="449" t="s">
        <v>261</v>
      </c>
      <c r="E1011" s="262"/>
      <c r="F1011" s="470" t="s">
        <v>2084</v>
      </c>
      <c r="G1011" s="387" t="e">
        <f>VLOOKUP(A1011,'Feature Summary'!$A$7:$C$3944,3,FALSE)</f>
        <v>#N/A</v>
      </c>
      <c r="H1011" s="447" t="s">
        <v>2119</v>
      </c>
      <c r="I1011" s="447"/>
      <c r="J1011" s="480" t="s">
        <v>2075</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30.75" thickBot="1">
      <c r="A1012" s="474"/>
      <c r="B1012" s="470" t="s">
        <v>2049</v>
      </c>
      <c r="C1012" s="463" t="s">
        <v>44</v>
      </c>
      <c r="D1012" s="449" t="s">
        <v>261</v>
      </c>
      <c r="E1012" s="262"/>
      <c r="F1012" s="470" t="s">
        <v>2084</v>
      </c>
      <c r="G1012" s="387" t="e">
        <f>VLOOKUP(A1012,'Feature Summary'!$A$7:$C$3944,3,FALSE)</f>
        <v>#N/A</v>
      </c>
      <c r="H1012" s="447" t="s">
        <v>2120</v>
      </c>
      <c r="I1012" s="447"/>
      <c r="J1012" s="480" t="s">
        <v>2077</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60.75" thickBot="1">
      <c r="A1013" s="474" t="s">
        <v>2105</v>
      </c>
      <c r="B1013" s="470" t="s">
        <v>2049</v>
      </c>
      <c r="C1013" s="463" t="s">
        <v>655</v>
      </c>
      <c r="D1013" s="449" t="s">
        <v>261</v>
      </c>
      <c r="E1013" s="262"/>
      <c r="F1013" s="470" t="s">
        <v>2121</v>
      </c>
      <c r="G1013" s="387" t="e">
        <f>VLOOKUP(A1013,'Feature Summary'!$A$7:$C$3944,3,FALSE)</f>
        <v>#N/A</v>
      </c>
      <c r="H1013" s="447" t="s">
        <v>2122</v>
      </c>
      <c r="I1013" s="488" t="s">
        <v>264</v>
      </c>
      <c r="J1013" s="480" t="s">
        <v>2073</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75" thickBot="1">
      <c r="A1014" s="474"/>
      <c r="B1014" s="470" t="s">
        <v>2049</v>
      </c>
      <c r="C1014" s="463" t="s">
        <v>44</v>
      </c>
      <c r="D1014" s="449" t="s">
        <v>261</v>
      </c>
      <c r="E1014" s="262"/>
      <c r="F1014" s="470" t="s">
        <v>2121</v>
      </c>
      <c r="G1014" s="387" t="e">
        <f>VLOOKUP(A1014,'Feature Summary'!$A$7:$C$3944,3,FALSE)</f>
        <v>#N/A</v>
      </c>
      <c r="H1014" s="447" t="s">
        <v>2123</v>
      </c>
      <c r="I1014" s="447"/>
      <c r="J1014" s="480" t="s">
        <v>2075</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75" thickBot="1">
      <c r="A1015" s="474"/>
      <c r="B1015" s="470" t="s">
        <v>2049</v>
      </c>
      <c r="C1015" s="463" t="s">
        <v>44</v>
      </c>
      <c r="D1015" s="449" t="s">
        <v>261</v>
      </c>
      <c r="E1015" s="262"/>
      <c r="F1015" s="470" t="s">
        <v>2121</v>
      </c>
      <c r="G1015" s="387" t="e">
        <f>VLOOKUP(A1015,'Feature Summary'!$A$7:$C$3944,3,FALSE)</f>
        <v>#N/A</v>
      </c>
      <c r="H1015" s="447" t="s">
        <v>2124</v>
      </c>
      <c r="I1015" s="447"/>
      <c r="J1015" s="480" t="s">
        <v>2077</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75.75" thickBot="1">
      <c r="A1016" s="474" t="s">
        <v>2125</v>
      </c>
      <c r="B1016" s="470" t="s">
        <v>2049</v>
      </c>
      <c r="C1016" s="463" t="s">
        <v>444</v>
      </c>
      <c r="D1016" s="449" t="s">
        <v>261</v>
      </c>
      <c r="E1016" s="262"/>
      <c r="F1016" s="470" t="s">
        <v>2126</v>
      </c>
      <c r="G1016" s="387" t="e">
        <f>VLOOKUP(A1016,'Feature Summary'!$A$7:$C$3944,3,FALSE)</f>
        <v>#N/A</v>
      </c>
      <c r="H1016" s="447" t="s">
        <v>2127</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thickBot="1">
      <c r="A1017" s="474"/>
      <c r="B1017" s="470" t="s">
        <v>2128</v>
      </c>
      <c r="C1017" s="463" t="s">
        <v>372</v>
      </c>
      <c r="D1017" s="449" t="s">
        <v>2129</v>
      </c>
      <c r="E1017" s="262"/>
      <c r="F1017" s="470" t="s">
        <v>2130</v>
      </c>
      <c r="G1017" s="387"/>
      <c r="H1017" s="447" t="s">
        <v>2131</v>
      </c>
      <c r="I1017" s="488" t="s">
        <v>264</v>
      </c>
      <c r="J1017" s="480" t="s">
        <v>2132</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75" thickBot="1">
      <c r="A1018" s="474" t="s">
        <v>2133</v>
      </c>
      <c r="B1018" s="470" t="s">
        <v>2134</v>
      </c>
      <c r="C1018" s="580" t="s">
        <v>335</v>
      </c>
      <c r="D1018" s="449" t="s">
        <v>261</v>
      </c>
      <c r="E1018" s="262"/>
      <c r="F1018" s="470" t="s">
        <v>2135</v>
      </c>
      <c r="G1018" s="387" t="str">
        <f>VLOOKUP(A1018,'Feature Summary'!$A$7:$C$3944,3,FALSE)</f>
        <v>P2</v>
      </c>
      <c r="H1018" s="447" t="s">
        <v>2136</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thickBot="1">
      <c r="A1019" s="474" t="s">
        <v>2133</v>
      </c>
      <c r="B1019" s="593" t="s">
        <v>2137</v>
      </c>
      <c r="C1019" s="580" t="s">
        <v>335</v>
      </c>
      <c r="D1019" s="449" t="s">
        <v>725</v>
      </c>
      <c r="E1019" s="580"/>
      <c r="F1019" s="593" t="s">
        <v>2138</v>
      </c>
      <c r="G1019" s="201" t="str">
        <f>VLOOKUP(A1019,'Feature Summary'!$A$7:$C$3993,3,FALSE)</f>
        <v>P2</v>
      </c>
      <c r="H1019" s="447" t="s">
        <v>2139</v>
      </c>
      <c r="I1019" s="488" t="s">
        <v>264</v>
      </c>
      <c r="J1019" s="594" t="s">
        <v>2140</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ht="15.75" thickBot="1">
      <c r="A1020" s="458"/>
      <c r="B1020" s="470" t="s">
        <v>2141</v>
      </c>
      <c r="C1020" s="580" t="s">
        <v>335</v>
      </c>
      <c r="D1020" s="449" t="s">
        <v>261</v>
      </c>
      <c r="E1020" s="262"/>
      <c r="F1020" s="447" t="s">
        <v>2142</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30.75" thickBot="1">
      <c r="A1021" s="474"/>
      <c r="B1021" s="470" t="s">
        <v>2143</v>
      </c>
      <c r="C1021" s="463" t="s">
        <v>655</v>
      </c>
      <c r="D1021" s="449" t="s">
        <v>261</v>
      </c>
      <c r="E1021" s="262"/>
      <c r="F1021" s="447" t="s">
        <v>2144</v>
      </c>
      <c r="G1021" s="387" t="e">
        <f>VLOOKUP(A1021,'Feature Summary'!$A$7:$C$3944,3,FALSE)</f>
        <v>#N/A</v>
      </c>
      <c r="H1021" s="447" t="s">
        <v>2145</v>
      </c>
      <c r="I1021" s="488" t="s">
        <v>264</v>
      </c>
      <c r="J1021" s="448" t="s">
        <v>2146</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75" thickBot="1">
      <c r="A1022" s="474"/>
      <c r="B1022" s="470" t="s">
        <v>2147</v>
      </c>
      <c r="C1022" s="463" t="s">
        <v>655</v>
      </c>
      <c r="D1022" s="449" t="s">
        <v>261</v>
      </c>
      <c r="E1022" s="262"/>
      <c r="F1022" s="447" t="s">
        <v>2148</v>
      </c>
      <c r="G1022" s="387" t="e">
        <f>VLOOKUP(A1022,'Feature Summary'!$A$7:$C$3944,3,FALSE)</f>
        <v>#N/A</v>
      </c>
      <c r="H1022" s="447" t="s">
        <v>2149</v>
      </c>
      <c r="I1022" s="488" t="s">
        <v>264</v>
      </c>
      <c r="J1022" s="476" t="s">
        <v>2146</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75" thickBot="1">
      <c r="A1023" s="474"/>
      <c r="B1023" s="470" t="s">
        <v>2150</v>
      </c>
      <c r="C1023" s="463" t="s">
        <v>655</v>
      </c>
      <c r="D1023" s="449" t="s">
        <v>261</v>
      </c>
      <c r="E1023" s="262"/>
      <c r="F1023" s="447" t="s">
        <v>2151</v>
      </c>
      <c r="G1023" s="387" t="e">
        <f>VLOOKUP(A1023,'Feature Summary'!$A$7:$C$3944,3,FALSE)</f>
        <v>#N/A</v>
      </c>
      <c r="H1023" s="447" t="s">
        <v>2094</v>
      </c>
      <c r="I1023" s="488" t="s">
        <v>264</v>
      </c>
      <c r="J1023" s="476" t="s">
        <v>2152</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75" thickBot="1">
      <c r="A1024" s="474"/>
      <c r="B1024" s="470" t="s">
        <v>2150</v>
      </c>
      <c r="C1024" s="463" t="s">
        <v>655</v>
      </c>
      <c r="D1024" s="449" t="s">
        <v>261</v>
      </c>
      <c r="E1024" s="262"/>
      <c r="F1024" s="447" t="s">
        <v>2151</v>
      </c>
      <c r="G1024" s="387" t="e">
        <f>VLOOKUP(A1024,'Feature Summary'!$A$7:$C$3944,3,FALSE)</f>
        <v>#N/A</v>
      </c>
      <c r="H1024" s="447" t="s">
        <v>2111</v>
      </c>
      <c r="I1024" s="488" t="s">
        <v>264</v>
      </c>
      <c r="J1024" s="476" t="s">
        <v>2075</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ht="15.75" thickBot="1">
      <c r="A1025" s="458" t="s">
        <v>305</v>
      </c>
      <c r="B1025" s="447" t="s">
        <v>2153</v>
      </c>
      <c r="C1025" s="463" t="s">
        <v>444</v>
      </c>
      <c r="D1025" s="449" t="s">
        <v>261</v>
      </c>
      <c r="E1025" s="262"/>
      <c r="F1025" s="447" t="s">
        <v>2154</v>
      </c>
      <c r="G1025" s="387" t="str">
        <f>VLOOKUP(A1025,'Feature Summary'!$A$7:$C$3944,3,FALSE)</f>
        <v>P2</v>
      </c>
      <c r="H1025" s="447" t="s">
        <v>2155</v>
      </c>
      <c r="I1025" s="488" t="s">
        <v>264</v>
      </c>
      <c r="J1025" s="448" t="s">
        <v>449</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30.75" thickBot="1">
      <c r="A1026" s="458" t="s">
        <v>2156</v>
      </c>
      <c r="B1026" s="447" t="s">
        <v>2157</v>
      </c>
      <c r="C1026" s="463" t="s">
        <v>444</v>
      </c>
      <c r="D1026" s="449" t="s">
        <v>261</v>
      </c>
      <c r="E1026" s="262"/>
      <c r="F1026" s="447" t="s">
        <v>2158</v>
      </c>
      <c r="G1026" s="387" t="e">
        <f>VLOOKUP(A1026,'Feature Summary'!$A$7:$C$3944,3,FALSE)</f>
        <v>#N/A</v>
      </c>
      <c r="H1026" s="447" t="s">
        <v>2159</v>
      </c>
      <c r="I1026" s="488" t="s">
        <v>264</v>
      </c>
      <c r="J1026" s="448" t="s">
        <v>1225</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ht="15.75" thickBot="1">
      <c r="A1027" s="474"/>
      <c r="B1027" s="463"/>
      <c r="C1027" s="463" t="s">
        <v>2160</v>
      </c>
      <c r="D1027" s="449" t="s">
        <v>261</v>
      </c>
      <c r="E1027" s="262"/>
      <c r="F1027" s="447" t="s">
        <v>2161</v>
      </c>
      <c r="G1027" s="387" t="e">
        <f>VLOOKUP(A1027,'Feature Summary'!$A$7:$C$3944,3,FALSE)</f>
        <v>#N/A</v>
      </c>
      <c r="H1027" s="463" t="s">
        <v>2162</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ht="15.75" thickBot="1">
      <c r="A1028" s="474"/>
      <c r="B1028" s="463"/>
      <c r="C1028" s="463" t="s">
        <v>2160</v>
      </c>
      <c r="D1028" s="449" t="s">
        <v>261</v>
      </c>
      <c r="E1028" s="262"/>
      <c r="F1028" s="447" t="s">
        <v>2161</v>
      </c>
      <c r="G1028" s="387" t="e">
        <f>VLOOKUP(A1028,'Feature Summary'!$A$7:$C$3944,3,FALSE)</f>
        <v>#N/A</v>
      </c>
      <c r="H1028" s="463" t="s">
        <v>2163</v>
      </c>
      <c r="I1028" s="488" t="s">
        <v>264</v>
      </c>
      <c r="J1028" s="476" t="s">
        <v>1148</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ht="15.75" thickBot="1">
      <c r="A1029" s="474"/>
      <c r="B1029" s="463"/>
      <c r="C1029" s="463" t="s">
        <v>2160</v>
      </c>
      <c r="D1029" s="449" t="s">
        <v>261</v>
      </c>
      <c r="E1029" s="262"/>
      <c r="F1029" s="447" t="s">
        <v>2161</v>
      </c>
      <c r="G1029" s="387" t="e">
        <f>VLOOKUP(A1029,'Feature Summary'!$A$7:$C$3944,3,FALSE)</f>
        <v>#N/A</v>
      </c>
      <c r="H1029" s="463" t="s">
        <v>2164</v>
      </c>
      <c r="I1029" s="488" t="s">
        <v>264</v>
      </c>
      <c r="J1029" s="476" t="s">
        <v>2165</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ht="15.75" thickBot="1">
      <c r="A1030" s="474"/>
      <c r="B1030" s="463" t="s">
        <v>2166</v>
      </c>
      <c r="C1030" s="463" t="s">
        <v>655</v>
      </c>
      <c r="D1030" s="449" t="s">
        <v>261</v>
      </c>
      <c r="E1030" s="262"/>
      <c r="F1030" s="447" t="s">
        <v>2167</v>
      </c>
      <c r="G1030" s="387" t="e">
        <f>VLOOKUP(A1030,'Feature Summary'!$A$7:$C$3944,3,FALSE)</f>
        <v>#N/A</v>
      </c>
      <c r="H1030" s="463" t="s">
        <v>2168</v>
      </c>
      <c r="I1030" s="488" t="s">
        <v>264</v>
      </c>
      <c r="J1030" s="476" t="s">
        <v>2169</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ht="15.75" thickBot="1">
      <c r="A1031" s="474"/>
      <c r="B1031" s="463" t="s">
        <v>2166</v>
      </c>
      <c r="C1031" s="463" t="s">
        <v>354</v>
      </c>
      <c r="D1031" s="449" t="s">
        <v>261</v>
      </c>
      <c r="E1031" s="262"/>
      <c r="F1031" s="463" t="s">
        <v>2170</v>
      </c>
      <c r="G1031" s="387" t="e">
        <f>VLOOKUP(A1031,'Feature Summary'!$A$7:$C$3944,3,FALSE)</f>
        <v>#N/A</v>
      </c>
      <c r="H1031" s="463" t="s">
        <v>901</v>
      </c>
      <c r="I1031" s="488" t="s">
        <v>264</v>
      </c>
      <c r="J1031" s="476" t="s">
        <v>2171</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ht="15.75" thickBot="1">
      <c r="A1032" s="474"/>
      <c r="B1032" s="463" t="s">
        <v>2166</v>
      </c>
      <c r="C1032" s="463" t="s">
        <v>354</v>
      </c>
      <c r="D1032" s="449" t="s">
        <v>261</v>
      </c>
      <c r="E1032" s="262"/>
      <c r="F1032" s="463" t="s">
        <v>2170</v>
      </c>
      <c r="G1032" s="387" t="e">
        <f>VLOOKUP(A1032,'Feature Summary'!$A$7:$C$3944,3,FALSE)</f>
        <v>#N/A</v>
      </c>
      <c r="H1032" s="463" t="s">
        <v>1688</v>
      </c>
      <c r="I1032" s="488" t="s">
        <v>264</v>
      </c>
      <c r="J1032" s="476" t="s">
        <v>2172</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ht="15.75" thickBot="1">
      <c r="A1033" s="474"/>
      <c r="B1033" s="463" t="s">
        <v>2166</v>
      </c>
      <c r="C1033" s="463" t="s">
        <v>260</v>
      </c>
      <c r="D1033" s="449" t="s">
        <v>261</v>
      </c>
      <c r="E1033" s="262"/>
      <c r="F1033" s="463" t="s">
        <v>2170</v>
      </c>
      <c r="G1033" s="387" t="e">
        <f>VLOOKUP(A1033,'Feature Summary'!$A$7:$C$3944,3,FALSE)</f>
        <v>#N/A</v>
      </c>
      <c r="H1033" s="463" t="s">
        <v>2173</v>
      </c>
      <c r="I1033" s="488" t="s">
        <v>264</v>
      </c>
      <c r="J1033" s="476" t="s">
        <v>2171</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ht="15.75" thickBot="1">
      <c r="A1034" s="474"/>
      <c r="B1034" s="463" t="s">
        <v>2166</v>
      </c>
      <c r="C1034" s="463" t="s">
        <v>260</v>
      </c>
      <c r="D1034" s="449" t="s">
        <v>261</v>
      </c>
      <c r="E1034" s="262"/>
      <c r="F1034" s="463" t="s">
        <v>2170</v>
      </c>
      <c r="G1034" s="387" t="e">
        <f>VLOOKUP(A1034,'Feature Summary'!$A$7:$C$3944,3,FALSE)</f>
        <v>#N/A</v>
      </c>
      <c r="H1034" s="463" t="s">
        <v>1703</v>
      </c>
      <c r="I1034" s="488" t="s">
        <v>264</v>
      </c>
      <c r="J1034" s="476" t="s">
        <v>2172</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ht="15.75" thickBot="1">
      <c r="A1035" s="474"/>
      <c r="B1035" s="463" t="s">
        <v>2166</v>
      </c>
      <c r="C1035" s="463" t="s">
        <v>444</v>
      </c>
      <c r="D1035" s="449" t="s">
        <v>261</v>
      </c>
      <c r="E1035" s="262"/>
      <c r="F1035" s="463" t="s">
        <v>2174</v>
      </c>
      <c r="G1035" s="387" t="e">
        <f>VLOOKUP(A1035,'Feature Summary'!$A$7:$C$3944,3,FALSE)</f>
        <v>#N/A</v>
      </c>
      <c r="H1035" s="463" t="s">
        <v>2175</v>
      </c>
      <c r="I1035" s="488" t="s">
        <v>264</v>
      </c>
      <c r="J1035" s="476" t="s">
        <v>2171</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ht="15.75" thickBot="1">
      <c r="A1036" s="474" t="s">
        <v>1245</v>
      </c>
      <c r="B1036" s="463" t="s">
        <v>2166</v>
      </c>
      <c r="C1036" s="463" t="s">
        <v>444</v>
      </c>
      <c r="D1036" s="449" t="s">
        <v>261</v>
      </c>
      <c r="E1036" s="262"/>
      <c r="F1036" s="463" t="s">
        <v>2174</v>
      </c>
      <c r="G1036" s="387" t="str">
        <f>VLOOKUP(A1036,'Feature Summary'!$A$7:$C$3944,3,FALSE)</f>
        <v>P2</v>
      </c>
      <c r="H1036" s="463" t="s">
        <v>2176</v>
      </c>
      <c r="I1036" s="488" t="s">
        <v>264</v>
      </c>
      <c r="J1036" s="476" t="s">
        <v>2177</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ht="15.75" thickBot="1">
      <c r="A1037" s="474"/>
      <c r="B1037" s="463" t="s">
        <v>2166</v>
      </c>
      <c r="C1037" s="463" t="s">
        <v>444</v>
      </c>
      <c r="D1037" s="449" t="s">
        <v>261</v>
      </c>
      <c r="E1037" s="262"/>
      <c r="F1037" s="463" t="s">
        <v>2174</v>
      </c>
      <c r="G1037" s="387" t="e">
        <f>VLOOKUP(A1037,'Feature Summary'!$A$7:$C$3944,3,FALSE)</f>
        <v>#N/A</v>
      </c>
      <c r="H1037" s="463" t="s">
        <v>2178</v>
      </c>
      <c r="I1037" s="488" t="s">
        <v>264</v>
      </c>
      <c r="J1037" s="476" t="s">
        <v>2171</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ht="15.75" thickBot="1">
      <c r="A1038" s="474"/>
      <c r="B1038" s="463" t="s">
        <v>2166</v>
      </c>
      <c r="C1038" s="463" t="s">
        <v>444</v>
      </c>
      <c r="D1038" s="449" t="s">
        <v>261</v>
      </c>
      <c r="E1038" s="262"/>
      <c r="F1038" s="463" t="s">
        <v>2174</v>
      </c>
      <c r="G1038" s="387" t="e">
        <f>VLOOKUP(A1038,'Feature Summary'!$A$7:$C$3944,3,FALSE)</f>
        <v>#N/A</v>
      </c>
      <c r="H1038" s="463" t="s">
        <v>1422</v>
      </c>
      <c r="I1038" s="488" t="s">
        <v>264</v>
      </c>
      <c r="J1038" s="476" t="s">
        <v>2179</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ht="15.75" thickBot="1">
      <c r="A1039" s="474"/>
      <c r="B1039" s="463" t="s">
        <v>2166</v>
      </c>
      <c r="C1039" s="463" t="s">
        <v>444</v>
      </c>
      <c r="D1039" s="449" t="s">
        <v>261</v>
      </c>
      <c r="E1039" s="262"/>
      <c r="F1039" s="463" t="s">
        <v>2174</v>
      </c>
      <c r="G1039" s="387" t="e">
        <f>VLOOKUP(A1039,'Feature Summary'!$A$7:$C$3944,3,FALSE)</f>
        <v>#N/A</v>
      </c>
      <c r="H1039" s="463" t="s">
        <v>2180</v>
      </c>
      <c r="I1039" s="488" t="s">
        <v>264</v>
      </c>
      <c r="J1039" s="476" t="s">
        <v>2171</v>
      </c>
      <c r="K1039" s="263">
        <v>1</v>
      </c>
      <c r="L1039" s="390">
        <v>8</v>
      </c>
      <c r="M1039" s="399" t="s">
        <v>33</v>
      </c>
      <c r="N1039" s="475">
        <v>1</v>
      </c>
      <c r="O1039" s="390">
        <v>8</v>
      </c>
      <c r="P1039" s="496">
        <f t="shared" si="198"/>
        <v>1</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ht="15.75" thickBot="1">
      <c r="A1040" s="474"/>
      <c r="B1040" s="463" t="s">
        <v>2166</v>
      </c>
      <c r="C1040" s="463" t="s">
        <v>444</v>
      </c>
      <c r="D1040" s="449" t="s">
        <v>261</v>
      </c>
      <c r="E1040" s="262"/>
      <c r="F1040" s="463" t="s">
        <v>2174</v>
      </c>
      <c r="G1040" s="387" t="e">
        <f>VLOOKUP(A1040,'Feature Summary'!$A$7:$C$3944,3,FALSE)</f>
        <v>#N/A</v>
      </c>
      <c r="H1040" s="463" t="s">
        <v>1430</v>
      </c>
      <c r="I1040" s="488" t="s">
        <v>264</v>
      </c>
      <c r="J1040" s="476" t="s">
        <v>2179</v>
      </c>
      <c r="K1040" s="263">
        <v>1</v>
      </c>
      <c r="L1040" s="390">
        <v>8</v>
      </c>
      <c r="M1040" s="399" t="s">
        <v>33</v>
      </c>
      <c r="N1040" s="475">
        <v>1</v>
      </c>
      <c r="O1040" s="390">
        <v>8</v>
      </c>
      <c r="P1040" s="496">
        <f t="shared" si="198"/>
        <v>1</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ht="15.75" thickBot="1">
      <c r="A1041" s="474"/>
      <c r="B1041" s="463" t="s">
        <v>2166</v>
      </c>
      <c r="C1041" s="463" t="s">
        <v>655</v>
      </c>
      <c r="D1041" s="449" t="s">
        <v>261</v>
      </c>
      <c r="E1041" s="262"/>
      <c r="F1041" s="463" t="s">
        <v>2181</v>
      </c>
      <c r="G1041" s="387" t="e">
        <f>VLOOKUP(A1041,'Feature Summary'!$A$7:$C$3944,3,FALSE)</f>
        <v>#N/A</v>
      </c>
      <c r="H1041" s="463" t="s">
        <v>2182</v>
      </c>
      <c r="I1041" s="488" t="s">
        <v>264</v>
      </c>
      <c r="J1041" s="476" t="s">
        <v>2169</v>
      </c>
      <c r="K1041" s="263">
        <v>1</v>
      </c>
      <c r="L1041" s="390">
        <v>15</v>
      </c>
      <c r="M1041" s="399" t="s">
        <v>33</v>
      </c>
      <c r="N1041" s="475">
        <v>1</v>
      </c>
      <c r="O1041" s="390">
        <v>15</v>
      </c>
      <c r="P1041" s="496">
        <f>IF((O1041=0),0,(O1041/L1041))</f>
        <v>1</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ht="15.75" thickBot="1">
      <c r="A1042" s="474"/>
      <c r="B1042" s="463" t="s">
        <v>2166</v>
      </c>
      <c r="C1042" s="463" t="s">
        <v>655</v>
      </c>
      <c r="D1042" s="449" t="s">
        <v>261</v>
      </c>
      <c r="E1042" s="262"/>
      <c r="F1042" s="463" t="s">
        <v>2181</v>
      </c>
      <c r="G1042" s="387" t="e">
        <f>VLOOKUP(A1042,'Feature Summary'!$A$7:$C$3944,3,FALSE)</f>
        <v>#N/A</v>
      </c>
      <c r="H1042" s="463" t="s">
        <v>1101</v>
      </c>
      <c r="I1042" s="488" t="s">
        <v>264</v>
      </c>
      <c r="J1042" s="476" t="s">
        <v>2169</v>
      </c>
      <c r="K1042" s="263">
        <v>1</v>
      </c>
      <c r="L1042" s="390">
        <v>15</v>
      </c>
      <c r="M1042" s="399" t="s">
        <v>33</v>
      </c>
      <c r="N1042" s="475">
        <v>1</v>
      </c>
      <c r="O1042" s="390">
        <v>15</v>
      </c>
      <c r="P1042" s="496">
        <f t="shared" ref="P1042:P1046" si="199">IF((O1042=0),0,(O1042/L1042))</f>
        <v>1</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ht="15.75" thickBot="1">
      <c r="A1043" s="474"/>
      <c r="B1043" s="463" t="s">
        <v>2166</v>
      </c>
      <c r="C1043" s="463" t="s">
        <v>655</v>
      </c>
      <c r="D1043" s="449" t="s">
        <v>261</v>
      </c>
      <c r="E1043" s="262"/>
      <c r="F1043" s="463" t="s">
        <v>2181</v>
      </c>
      <c r="G1043" s="387" t="e">
        <f>VLOOKUP(A1043,'Feature Summary'!$A$7:$C$3944,3,FALSE)</f>
        <v>#N/A</v>
      </c>
      <c r="H1043" s="463" t="s">
        <v>2183</v>
      </c>
      <c r="I1043" s="488" t="s">
        <v>264</v>
      </c>
      <c r="J1043" s="476" t="s">
        <v>2169</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ht="15.75" thickBot="1">
      <c r="A1044" s="474"/>
      <c r="B1044" s="463" t="s">
        <v>2166</v>
      </c>
      <c r="C1044" s="463" t="s">
        <v>655</v>
      </c>
      <c r="D1044" s="449" t="s">
        <v>261</v>
      </c>
      <c r="E1044" s="262"/>
      <c r="F1044" s="463" t="s">
        <v>2181</v>
      </c>
      <c r="G1044" s="387" t="e">
        <f>VLOOKUP(A1044,'Feature Summary'!$A$7:$C$3944,3,FALSE)</f>
        <v>#N/A</v>
      </c>
      <c r="H1044" s="463" t="s">
        <v>1551</v>
      </c>
      <c r="I1044" s="488" t="s">
        <v>264</v>
      </c>
      <c r="J1044" s="476" t="s">
        <v>2169</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ht="15.75" thickBot="1">
      <c r="A1045" s="474"/>
      <c r="B1045" s="463" t="s">
        <v>2166</v>
      </c>
      <c r="C1045" s="463" t="s">
        <v>655</v>
      </c>
      <c r="D1045" s="449" t="s">
        <v>261</v>
      </c>
      <c r="E1045" s="262"/>
      <c r="F1045" s="463" t="s">
        <v>2181</v>
      </c>
      <c r="G1045" s="387" t="e">
        <f>VLOOKUP(A1045,'Feature Summary'!$A$7:$C$3944,3,FALSE)</f>
        <v>#N/A</v>
      </c>
      <c r="H1045" s="463" t="s">
        <v>2184</v>
      </c>
      <c r="I1045" s="488" t="s">
        <v>264</v>
      </c>
      <c r="J1045" s="476" t="s">
        <v>2169</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ht="15.75" thickBot="1">
      <c r="A1046" s="474"/>
      <c r="B1046" s="463" t="s">
        <v>2166</v>
      </c>
      <c r="C1046" s="463" t="s">
        <v>655</v>
      </c>
      <c r="D1046" s="449" t="s">
        <v>261</v>
      </c>
      <c r="E1046" s="262"/>
      <c r="F1046" s="463" t="s">
        <v>2181</v>
      </c>
      <c r="G1046" s="387" t="e">
        <f>VLOOKUP(A1046,'Feature Summary'!$A$7:$C$3944,3,FALSE)</f>
        <v>#N/A</v>
      </c>
      <c r="H1046" s="463" t="s">
        <v>2185</v>
      </c>
      <c r="I1046" s="488" t="s">
        <v>264</v>
      </c>
      <c r="J1046" s="476" t="s">
        <v>2169</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ht="15.75" thickBot="1">
      <c r="A1047" s="474" t="s">
        <v>2186</v>
      </c>
      <c r="B1047" s="463"/>
      <c r="C1047" s="463" t="s">
        <v>655</v>
      </c>
      <c r="D1047" s="449" t="s">
        <v>261</v>
      </c>
      <c r="E1047" s="262"/>
      <c r="F1047" s="463" t="s">
        <v>2187</v>
      </c>
      <c r="G1047" s="387" t="str">
        <f>VLOOKUP(A1047,'Feature Summary'!$A$7:$C$3944,3,FALSE)</f>
        <v>P2</v>
      </c>
      <c r="H1047" s="463" t="s">
        <v>2188</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ht="15.75" thickBot="1">
      <c r="A1048" s="474"/>
      <c r="B1048" s="463"/>
      <c r="C1048" s="463" t="s">
        <v>44</v>
      </c>
      <c r="D1048" s="449" t="s">
        <v>261</v>
      </c>
      <c r="E1048" s="262"/>
      <c r="F1048" s="463" t="s">
        <v>2189</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ht="15.75" thickBot="1">
      <c r="A1049" s="474"/>
      <c r="B1049" s="463"/>
      <c r="C1049" s="463" t="s">
        <v>44</v>
      </c>
      <c r="D1049" s="449" t="s">
        <v>261</v>
      </c>
      <c r="E1049" s="262"/>
      <c r="F1049" s="463" t="s">
        <v>2190</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45.75" thickBot="1">
      <c r="A1050" s="446" t="s">
        <v>2191</v>
      </c>
      <c r="B1050" s="470" t="s">
        <v>2192</v>
      </c>
      <c r="C1050" s="580" t="s">
        <v>335</v>
      </c>
      <c r="D1050" s="449" t="s">
        <v>261</v>
      </c>
      <c r="E1050" s="262"/>
      <c r="F1050" s="447" t="s">
        <v>2193</v>
      </c>
      <c r="G1050" s="387" t="str">
        <f>VLOOKUP(A1050,'Feature Summary'!$A$7:$C$3944,3,FALSE)</f>
        <v>P2</v>
      </c>
      <c r="H1050" s="447" t="s">
        <v>2194</v>
      </c>
      <c r="I1050" s="488" t="s">
        <v>264</v>
      </c>
      <c r="J1050" s="448" t="s">
        <v>1873</v>
      </c>
      <c r="K1050" s="263">
        <v>1</v>
      </c>
      <c r="L1050" s="391">
        <v>20</v>
      </c>
      <c r="M1050" s="399" t="s">
        <v>33</v>
      </c>
      <c r="N1050" s="475">
        <v>1</v>
      </c>
      <c r="O1050" s="391">
        <v>20</v>
      </c>
      <c r="P1050" s="496">
        <f t="shared" si="202"/>
        <v>1</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thickBot="1">
      <c r="A1051" s="579" t="s">
        <v>2195</v>
      </c>
      <c r="B1051" s="580"/>
      <c r="C1051" s="580" t="s">
        <v>651</v>
      </c>
      <c r="D1051" s="581" t="s">
        <v>261</v>
      </c>
      <c r="E1051" s="580"/>
      <c r="F1051" s="584" t="s">
        <v>2196</v>
      </c>
      <c r="G1051" s="387" t="str">
        <f>VLOOKUP(A1051,'Feature Summary'!$A$7:$C$3944,3,FALSE)</f>
        <v>P2</v>
      </c>
      <c r="H1051" s="583" t="s">
        <v>2197</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30.75" thickBot="1">
      <c r="A1052" s="579" t="s">
        <v>2195</v>
      </c>
      <c r="B1052" s="580"/>
      <c r="C1052" s="580" t="s">
        <v>651</v>
      </c>
      <c r="D1052" s="581" t="s">
        <v>261</v>
      </c>
      <c r="E1052" s="580"/>
      <c r="F1052" s="584" t="s">
        <v>2198</v>
      </c>
      <c r="G1052" s="387" t="str">
        <f>VLOOKUP(A1052,'Feature Summary'!$A$7:$C$3944,3,FALSE)</f>
        <v>P2</v>
      </c>
      <c r="H1052" s="583" t="s">
        <v>2199</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30.75" thickBot="1">
      <c r="A1053" s="579" t="s">
        <v>2195</v>
      </c>
      <c r="B1053" s="580"/>
      <c r="C1053" s="580" t="s">
        <v>651</v>
      </c>
      <c r="D1053" s="581" t="s">
        <v>261</v>
      </c>
      <c r="E1053" s="580"/>
      <c r="F1053" s="584" t="s">
        <v>2200</v>
      </c>
      <c r="G1053" s="387" t="str">
        <f>VLOOKUP(A1053,'Feature Summary'!$A$7:$C$3944,3,FALSE)</f>
        <v>P2</v>
      </c>
      <c r="H1053" s="583" t="s">
        <v>2201</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30.75" thickBot="1">
      <c r="A1054" s="579" t="s">
        <v>2202</v>
      </c>
      <c r="B1054" s="580"/>
      <c r="C1054" s="580" t="s">
        <v>651</v>
      </c>
      <c r="D1054" s="581" t="s">
        <v>261</v>
      </c>
      <c r="E1054" s="580"/>
      <c r="F1054" s="584" t="s">
        <v>2196</v>
      </c>
      <c r="G1054" s="387" t="str">
        <f>VLOOKUP(A1054,'Feature Summary'!$A$7:$C$3944,3,FALSE)</f>
        <v>P2</v>
      </c>
      <c r="H1054" s="583" t="s">
        <v>2203</v>
      </c>
      <c r="I1054" s="488" t="s">
        <v>264</v>
      </c>
      <c r="J1054" s="615" t="s">
        <v>2204</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30.75" thickBot="1">
      <c r="A1055" s="579" t="s">
        <v>2202</v>
      </c>
      <c r="B1055" s="580"/>
      <c r="C1055" s="580" t="s">
        <v>651</v>
      </c>
      <c r="D1055" s="581" t="s">
        <v>261</v>
      </c>
      <c r="E1055" s="580"/>
      <c r="F1055" s="584" t="s">
        <v>2198</v>
      </c>
      <c r="G1055" s="387" t="str">
        <f>VLOOKUP(A1055,'Feature Summary'!$A$7:$C$3944,3,FALSE)</f>
        <v>P2</v>
      </c>
      <c r="H1055" s="583" t="s">
        <v>2205</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thickBot="1">
      <c r="A1056" s="446"/>
      <c r="B1056" s="600" t="s">
        <v>2206</v>
      </c>
      <c r="C1056" s="601" t="s">
        <v>372</v>
      </c>
      <c r="D1056" s="602" t="s">
        <v>725</v>
      </c>
      <c r="E1056" s="601"/>
      <c r="F1056" s="600" t="s">
        <v>2207</v>
      </c>
      <c r="G1056" s="604" t="e">
        <f>VLOOKUP(A1056,'Feature Summary'!$A$7:$C$3993,3,FALSE)</f>
        <v>#N/A</v>
      </c>
      <c r="H1056" s="473" t="s">
        <v>2208</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thickBot="1">
      <c r="A1057" s="567"/>
      <c r="B1057" s="600" t="s">
        <v>2209</v>
      </c>
      <c r="C1057" s="601" t="s">
        <v>651</v>
      </c>
      <c r="D1057" s="602" t="s">
        <v>725</v>
      </c>
      <c r="E1057" s="601"/>
      <c r="F1057" s="603" t="s">
        <v>2210</v>
      </c>
      <c r="G1057" s="604" t="e">
        <f>VLOOKUP(A1057,'Feature Summary'!$A$7:$C$3993,3,FALSE)</f>
        <v>#N/A</v>
      </c>
      <c r="H1057" s="473" t="s">
        <v>2211</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thickBot="1">
      <c r="A1058" s="270" t="s">
        <v>417</v>
      </c>
      <c r="B1058" s="593" t="s">
        <v>2212</v>
      </c>
      <c r="C1058" s="580"/>
      <c r="D1058" s="581" t="s">
        <v>725</v>
      </c>
      <c r="E1058" s="580"/>
      <c r="F1058" s="582" t="s">
        <v>2213</v>
      </c>
      <c r="G1058" s="201" t="str">
        <f>VLOOKUP(A1058,'Feature Summary'!$A$7:$C$3993,3,FALSE)</f>
        <v>P2</v>
      </c>
      <c r="H1058" s="583" t="s">
        <v>2214</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thickBot="1">
      <c r="A1059" s="270" t="s">
        <v>2215</v>
      </c>
      <c r="B1059" s="593" t="s">
        <v>2216</v>
      </c>
      <c r="C1059" s="580" t="s">
        <v>260</v>
      </c>
      <c r="D1059" s="581" t="s">
        <v>261</v>
      </c>
      <c r="E1059" s="580"/>
      <c r="F1059" s="584" t="s">
        <v>2217</v>
      </c>
      <c r="G1059" s="201" t="str">
        <f>VLOOKUP(A1059,'Feature Summary'!$A$7:$C$3993,3,FALSE)</f>
        <v>P2</v>
      </c>
      <c r="H1059" s="583" t="s">
        <v>2218</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60.75" thickBot="1">
      <c r="A1060" s="270" t="s">
        <v>2215</v>
      </c>
      <c r="B1060" s="593" t="s">
        <v>2216</v>
      </c>
      <c r="C1060" s="580" t="s">
        <v>260</v>
      </c>
      <c r="D1060" s="581" t="s">
        <v>261</v>
      </c>
      <c r="E1060" s="580"/>
      <c r="F1060" s="584" t="s">
        <v>2217</v>
      </c>
      <c r="G1060" s="201" t="str">
        <f>VLOOKUP(A1060,'Feature Summary'!$A$7:$C$3993,3,FALSE)</f>
        <v>P2</v>
      </c>
      <c r="H1060" s="583" t="s">
        <v>2219</v>
      </c>
      <c r="I1060" s="488" t="s">
        <v>264</v>
      </c>
      <c r="J1060" s="448" t="s">
        <v>2220</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thickBot="1">
      <c r="A1061" s="270" t="s">
        <v>2215</v>
      </c>
      <c r="B1061" s="593" t="s">
        <v>2221</v>
      </c>
      <c r="C1061" s="580" t="s">
        <v>260</v>
      </c>
      <c r="D1061" s="581" t="s">
        <v>725</v>
      </c>
      <c r="E1061" s="580"/>
      <c r="F1061" s="584" t="s">
        <v>2222</v>
      </c>
      <c r="G1061" s="201" t="e">
        <f>VLOOKUP(A1061,'[1]Feature Summary'!$A$7:$C$4100,3,FALSE)</f>
        <v>#N/A</v>
      </c>
      <c r="H1061" s="583" t="s">
        <v>2223</v>
      </c>
      <c r="I1061" s="488" t="s">
        <v>264</v>
      </c>
      <c r="J1061" s="448" t="s">
        <v>320</v>
      </c>
      <c r="K1061" s="581">
        <v>6</v>
      </c>
      <c r="L1061" s="581">
        <v>7</v>
      </c>
      <c r="M1061" s="399" t="s">
        <v>33</v>
      </c>
      <c r="N1061" s="585">
        <v>1</v>
      </c>
      <c r="O1061" s="586">
        <v>7</v>
      </c>
      <c r="P1061" s="587">
        <f t="shared" si="209"/>
        <v>1</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2224</v>
      </c>
    </row>
    <row r="1062" spans="1:34" ht="30.75" thickBot="1">
      <c r="A1062" s="579" t="s">
        <v>2202</v>
      </c>
      <c r="B1062" s="580"/>
      <c r="C1062" s="580" t="s">
        <v>651</v>
      </c>
      <c r="D1062" s="581" t="s">
        <v>261</v>
      </c>
      <c r="E1062" s="580"/>
      <c r="F1062" s="584" t="s">
        <v>2200</v>
      </c>
      <c r="G1062" s="387" t="str">
        <f>VLOOKUP(A1062,'Feature Summary'!$A$7:$C$3944,3,FALSE)</f>
        <v>P2</v>
      </c>
      <c r="H1062" s="583" t="s">
        <v>2225</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thickBot="1">
      <c r="A1063" s="270" t="s">
        <v>2226</v>
      </c>
      <c r="B1063" s="593" t="s">
        <v>2216</v>
      </c>
      <c r="C1063" s="580" t="s">
        <v>260</v>
      </c>
      <c r="D1063" s="581" t="s">
        <v>261</v>
      </c>
      <c r="E1063" s="580"/>
      <c r="F1063" s="584" t="s">
        <v>2217</v>
      </c>
      <c r="G1063" s="201" t="e">
        <f>VLOOKUP(A1063,'Feature Summary'!$A$7:$C$3993,3,FALSE)</f>
        <v>#N/A</v>
      </c>
      <c r="H1063" s="583" t="s">
        <v>2227</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60.75" thickBot="1">
      <c r="A1064" s="270" t="s">
        <v>2226</v>
      </c>
      <c r="B1064" s="593" t="s">
        <v>2216</v>
      </c>
      <c r="C1064" s="580" t="s">
        <v>260</v>
      </c>
      <c r="D1064" s="581" t="s">
        <v>261</v>
      </c>
      <c r="E1064" s="580"/>
      <c r="F1064" s="584" t="s">
        <v>2217</v>
      </c>
      <c r="G1064" s="201" t="e">
        <f>VLOOKUP(A1064,'Feature Summary'!$A$7:$C$3993,3,FALSE)</f>
        <v>#N/A</v>
      </c>
      <c r="H1064" s="583" t="s">
        <v>2228</v>
      </c>
      <c r="I1064" s="488" t="s">
        <v>264</v>
      </c>
      <c r="J1064" s="448" t="s">
        <v>2220</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ht="15.75" thickBot="1">
      <c r="A1065" s="270"/>
      <c r="B1065" s="593" t="s">
        <v>2229</v>
      </c>
      <c r="C1065" s="580"/>
      <c r="D1065" s="581" t="s">
        <v>725</v>
      </c>
      <c r="E1065" s="580"/>
      <c r="F1065" s="582" t="s">
        <v>2230</v>
      </c>
      <c r="G1065" s="201" t="e">
        <f>VLOOKUP(A1065,'Feature Summary'!$A$7:$C$3993,3,FALSE)</f>
        <v>#N/A</v>
      </c>
      <c r="H1065" s="583" t="s">
        <v>2231</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ht="15.75" thickBot="1">
      <c r="A1066" s="270"/>
      <c r="B1066" s="593" t="s">
        <v>2232</v>
      </c>
      <c r="C1066" s="580"/>
      <c r="D1066" s="581" t="s">
        <v>725</v>
      </c>
      <c r="E1066" s="580"/>
      <c r="F1066" s="597" t="s">
        <v>2213</v>
      </c>
      <c r="G1066" s="201" t="e">
        <f>VLOOKUP(A1066,'Feature Summary'!$A$7:$C$3993,3,FALSE)</f>
        <v>#N/A</v>
      </c>
      <c r="H1066" s="447" t="s">
        <v>2214</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75" thickBot="1">
      <c r="A1067" s="270"/>
      <c r="B1067" s="593" t="s">
        <v>2233</v>
      </c>
      <c r="C1067" s="580"/>
      <c r="D1067" s="581" t="s">
        <v>725</v>
      </c>
      <c r="E1067" s="580"/>
      <c r="F1067" s="582" t="s">
        <v>2234</v>
      </c>
      <c r="G1067" s="201" t="e">
        <f>VLOOKUP(A1067,'Feature Summary'!$A$7:$C$3993,3,FALSE)</f>
        <v>#N/A</v>
      </c>
      <c r="H1067" s="447" t="s">
        <v>2235</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30.75" thickBot="1">
      <c r="A1068" s="474" t="s">
        <v>2236</v>
      </c>
      <c r="B1068" s="593"/>
      <c r="C1068" s="463" t="s">
        <v>655</v>
      </c>
      <c r="D1068" s="449" t="s">
        <v>725</v>
      </c>
      <c r="E1068" s="580"/>
      <c r="F1068" s="463" t="s">
        <v>2237</v>
      </c>
      <c r="G1068" s="201" t="str">
        <f>VLOOKUP(A1068,'Feature Summary'!$A$7:$C$3993,3,FALSE)</f>
        <v>P2</v>
      </c>
      <c r="H1068" s="463" t="s">
        <v>2238</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75" thickBot="1">
      <c r="A1069" s="622"/>
      <c r="B1069" s="600" t="s">
        <v>2209</v>
      </c>
      <c r="C1069" s="601" t="s">
        <v>354</v>
      </c>
      <c r="D1069" s="602" t="s">
        <v>725</v>
      </c>
      <c r="E1069" s="601"/>
      <c r="F1069" s="603" t="s">
        <v>2210</v>
      </c>
      <c r="G1069" s="201" t="e">
        <f>VLOOKUP(A1069,'Feature Summary'!$A$7:$C$3993,3,FALSE)</f>
        <v>#N/A</v>
      </c>
      <c r="H1069" s="473" t="s">
        <v>2239</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75.75" thickBot="1">
      <c r="A1070" s="474" t="s">
        <v>2240</v>
      </c>
      <c r="B1070" s="593" t="s">
        <v>2241</v>
      </c>
      <c r="C1070" s="580" t="s">
        <v>2242</v>
      </c>
      <c r="D1070" s="581" t="s">
        <v>725</v>
      </c>
      <c r="E1070" s="580"/>
      <c r="F1070" s="584" t="s">
        <v>2241</v>
      </c>
      <c r="G1070" s="201"/>
      <c r="H1070" s="447" t="s">
        <v>2243</v>
      </c>
      <c r="I1070" s="488" t="s">
        <v>264</v>
      </c>
      <c r="J1070" s="594" t="s">
        <v>473</v>
      </c>
      <c r="K1070" s="263">
        <v>6</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ht="15.75" thickBot="1">
      <c r="A1071" s="446" t="s">
        <v>2244</v>
      </c>
      <c r="B1071" s="593" t="s">
        <v>2245</v>
      </c>
      <c r="C1071" s="580"/>
      <c r="D1071" s="581" t="s">
        <v>725</v>
      </c>
      <c r="E1071" s="580"/>
      <c r="F1071" s="584" t="s">
        <v>2213</v>
      </c>
      <c r="G1071" s="201" t="e">
        <v>#N/A</v>
      </c>
      <c r="H1071" s="447" t="s">
        <v>2246</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ht="15.75" thickBot="1">
      <c r="A1072" s="446" t="s">
        <v>2247</v>
      </c>
      <c r="B1072" s="593" t="s">
        <v>2229</v>
      </c>
      <c r="C1072" s="580"/>
      <c r="D1072" s="581" t="s">
        <v>725</v>
      </c>
      <c r="E1072" s="580"/>
      <c r="F1072" s="584" t="s">
        <v>2230</v>
      </c>
      <c r="G1072" s="201" t="e">
        <v>#N/A</v>
      </c>
      <c r="H1072" s="447" t="s">
        <v>2231</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ht="15.75" thickBot="1">
      <c r="A1073" s="446" t="s">
        <v>2248</v>
      </c>
      <c r="B1073" s="593" t="s">
        <v>2232</v>
      </c>
      <c r="C1073" s="580"/>
      <c r="D1073" s="581" t="s">
        <v>725</v>
      </c>
      <c r="E1073" s="580"/>
      <c r="F1073" s="584" t="s">
        <v>2213</v>
      </c>
      <c r="G1073" s="201" t="s">
        <v>2249</v>
      </c>
      <c r="H1073" s="447" t="s">
        <v>2214</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75" thickBot="1">
      <c r="A1074" s="446" t="s">
        <v>2250</v>
      </c>
      <c r="B1074" s="593" t="s">
        <v>2233</v>
      </c>
      <c r="C1074" s="580"/>
      <c r="D1074" s="581" t="s">
        <v>725</v>
      </c>
      <c r="E1074" s="580"/>
      <c r="F1074" s="584" t="s">
        <v>2234</v>
      </c>
      <c r="G1074" s="201" t="s">
        <v>2249</v>
      </c>
      <c r="H1074" s="447" t="s">
        <v>2235</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75" thickBot="1">
      <c r="A1075" s="446" t="s">
        <v>2251</v>
      </c>
      <c r="B1075" s="593" t="s">
        <v>2252</v>
      </c>
      <c r="C1075" s="580"/>
      <c r="D1075" s="581" t="s">
        <v>2253</v>
      </c>
      <c r="E1075" s="580"/>
      <c r="F1075" s="584" t="s">
        <v>2254</v>
      </c>
      <c r="G1075" s="201" t="s">
        <v>2249</v>
      </c>
      <c r="H1075" s="447" t="s">
        <v>2255</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75" thickBot="1">
      <c r="A1076" s="446" t="s">
        <v>2251</v>
      </c>
      <c r="B1076" s="593" t="s">
        <v>2252</v>
      </c>
      <c r="C1076" s="580"/>
      <c r="D1076" s="581" t="s">
        <v>2253</v>
      </c>
      <c r="E1076" s="580"/>
      <c r="F1076" s="584" t="s">
        <v>2256</v>
      </c>
      <c r="G1076" s="201" t="s">
        <v>2249</v>
      </c>
      <c r="H1076" s="447" t="s">
        <v>2257</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ht="15.75" thickBot="1">
      <c r="A1077" s="446" t="s">
        <v>2258</v>
      </c>
      <c r="B1077" s="593" t="s">
        <v>2259</v>
      </c>
      <c r="C1077" s="580"/>
      <c r="D1077" s="581" t="s">
        <v>2253</v>
      </c>
      <c r="E1077" s="580"/>
      <c r="F1077" s="584" t="s">
        <v>2256</v>
      </c>
      <c r="G1077" s="201" t="e">
        <v>#N/A</v>
      </c>
      <c r="H1077" s="447" t="s">
        <v>2260</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75" thickBot="1">
      <c r="A1078" s="446"/>
      <c r="B1078" s="593" t="s">
        <v>2261</v>
      </c>
      <c r="C1078" s="580"/>
      <c r="D1078" s="581" t="s">
        <v>2253</v>
      </c>
      <c r="E1078" s="580"/>
      <c r="F1078" s="584" t="s">
        <v>2256</v>
      </c>
      <c r="G1078" s="201" t="s">
        <v>2249</v>
      </c>
      <c r="H1078" s="447" t="s">
        <v>2262</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75" thickBot="1">
      <c r="A1079" s="446" t="s">
        <v>2263</v>
      </c>
      <c r="B1079" s="593" t="s">
        <v>2264</v>
      </c>
      <c r="C1079" s="580"/>
      <c r="D1079" s="581" t="s">
        <v>2253</v>
      </c>
      <c r="E1079" s="580"/>
      <c r="F1079" s="584" t="s">
        <v>2265</v>
      </c>
      <c r="G1079" s="201" t="s">
        <v>1010</v>
      </c>
      <c r="H1079" s="447" t="s">
        <v>2266</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ht="15.75" thickBot="1">
      <c r="A1080" s="446" t="s">
        <v>2267</v>
      </c>
      <c r="B1080" s="593" t="s">
        <v>2268</v>
      </c>
      <c r="C1080" s="580"/>
      <c r="D1080" s="581" t="s">
        <v>2253</v>
      </c>
      <c r="E1080" s="580"/>
      <c r="F1080" s="584" t="s">
        <v>2269</v>
      </c>
      <c r="G1080" s="201"/>
      <c r="H1080" s="447" t="s">
        <v>2270</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75" thickBot="1">
      <c r="A1081" s="446" t="s">
        <v>2271</v>
      </c>
      <c r="B1081" s="593" t="s">
        <v>2272</v>
      </c>
      <c r="C1081" s="580"/>
      <c r="D1081" s="581" t="s">
        <v>2253</v>
      </c>
      <c r="E1081" s="580"/>
      <c r="F1081" s="584" t="s">
        <v>2273</v>
      </c>
      <c r="G1081" s="201"/>
      <c r="H1081" s="447" t="s">
        <v>2270</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ht="15.75" thickBot="1">
      <c r="A1082" s="474"/>
      <c r="B1082" s="593" t="s">
        <v>2274</v>
      </c>
      <c r="C1082" s="580"/>
      <c r="D1082" s="581"/>
      <c r="E1082" s="580"/>
      <c r="F1082" s="593" t="s">
        <v>2275</v>
      </c>
      <c r="G1082" s="201" t="e">
        <f>VLOOKUP(A1082,'Feature Summary'!$A$7:$C$3993,3,FALSE)</f>
        <v>#N/A</v>
      </c>
      <c r="H1082" s="447" t="s">
        <v>2276</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90.75" thickBot="1">
      <c r="A1083" s="474"/>
      <c r="B1083" s="593" t="s">
        <v>2277</v>
      </c>
      <c r="C1083" s="580"/>
      <c r="D1083" s="581"/>
      <c r="E1083" s="580"/>
      <c r="F1083" s="593" t="s">
        <v>2278</v>
      </c>
      <c r="G1083" s="201" t="e">
        <f>VLOOKUP(A1083,'Feature Summary'!$A$7:$C$3993,3,FALSE)</f>
        <v>#N/A</v>
      </c>
      <c r="H1083" s="447" t="s">
        <v>2276</v>
      </c>
      <c r="I1083" s="488" t="s">
        <v>264</v>
      </c>
      <c r="J1083" s="594" t="s">
        <v>2279</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c r="A1084" s="474"/>
      <c r="B1084" s="593" t="s">
        <v>2280</v>
      </c>
      <c r="C1084" s="580"/>
      <c r="D1084" s="581"/>
      <c r="E1084" s="580"/>
      <c r="F1084" s="593" t="s">
        <v>2281</v>
      </c>
      <c r="G1084" s="201" t="e">
        <f>VLOOKUP(A1084,'Feature Summary'!$A$7:$C$3993,3,FALSE)</f>
        <v>#N/A</v>
      </c>
      <c r="H1084" s="447" t="s">
        <v>2282</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thickBot="1">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customHeight="1">
      <c r="A1087" s="682" t="s">
        <v>2283</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customHeight="1" thickBot="1">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customHeight="1" thickBot="1">
      <c r="A1089" s="692" t="s">
        <v>252</v>
      </c>
      <c r="B1089" s="693"/>
      <c r="C1089" s="693"/>
      <c r="D1089" s="693"/>
      <c r="E1089" s="693"/>
      <c r="F1089" s="693"/>
      <c r="G1089" s="693"/>
      <c r="H1089" s="693"/>
      <c r="I1089" s="693"/>
      <c r="J1089" s="694"/>
      <c r="K1089" s="306">
        <f>SUM(K6:K1086)</f>
        <v>639</v>
      </c>
      <c r="L1089" s="306">
        <f>SUM(L6:L1086)</f>
        <v>1157</v>
      </c>
      <c r="M1089" s="307"/>
      <c r="N1089" s="353">
        <f>SUMPRODUCT(K6:K1086,N6:N1086)/K1089</f>
        <v>1</v>
      </c>
      <c r="O1089" s="354">
        <f>SUM(O6:O1086)</f>
        <v>1157</v>
      </c>
      <c r="P1089" s="355">
        <f>SUMPRODUCT(K6:K1086,P6:P1086)/K1089</f>
        <v>1</v>
      </c>
      <c r="Q1089" s="308"/>
      <c r="R1089" s="309">
        <f t="shared" ref="R1089:W1089" si="218">SUM(R6:R1086)</f>
        <v>1156</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c r="J1091" s="454"/>
      <c r="L1091" s="159" t="s">
        <v>757</v>
      </c>
    </row>
    <row r="1092" spans="1:34">
      <c r="J1092" s="455"/>
    </row>
    <row r="1093" spans="1:34">
      <c r="J1093" s="455"/>
    </row>
    <row r="1094" spans="1:34">
      <c r="J1094" s="455"/>
    </row>
    <row r="1095" spans="1:34">
      <c r="J1095" s="455"/>
    </row>
    <row r="1096" spans="1:34">
      <c r="J1096" s="455"/>
    </row>
    <row r="1097" spans="1:34">
      <c r="J1097" s="455"/>
    </row>
    <row r="1098" spans="1:34">
      <c r="J1098" s="455"/>
    </row>
    <row r="1099" spans="1:34">
      <c r="J1099" s="455"/>
    </row>
    <row r="1100" spans="1:34">
      <c r="J1100" s="455"/>
    </row>
    <row r="1101" spans="1:34">
      <c r="J1101" s="455"/>
    </row>
    <row r="1102" spans="1:34">
      <c r="J1102" s="455"/>
    </row>
    <row r="1103" spans="1:34">
      <c r="J1103" s="455"/>
    </row>
    <row r="1104" spans="1:34">
      <c r="J1104" s="455"/>
    </row>
    <row r="1105" spans="10:10">
      <c r="J1105" s="455"/>
    </row>
  </sheetData>
  <sheetProtection insertColumns="0" insertRows="0" deleteRows="0" sort="0"/>
  <autoFilter ref="A5:AH1089" xr:uid="{00000000-0009-0000-0000-000002000000}"/>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xr3:uid="{8A7DB9E6-5825-5B6E-8AE4-6B4DECE2D06B}">
      <pane xSplit="1" ySplit="3" topLeftCell="B4" activePane="bottomRight" state="frozen"/>
      <selection pane="bottomRight" activeCell="H24" sqref="H24"/>
      <selection pane="bottomLeft" activeCell="A4" sqref="A4"/>
      <selection pane="topRight" activeCell="B1" sqref="B1"/>
    </sheetView>
  </sheetViews>
  <sheetFormatPr defaultColWidth="8.7109375" defaultRowHeight="1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c r="A1" s="707" t="s">
        <v>2284</v>
      </c>
      <c r="B1" s="708"/>
      <c r="C1" s="708"/>
      <c r="D1" s="708"/>
      <c r="E1" s="708"/>
      <c r="F1" s="708"/>
      <c r="G1" s="708"/>
      <c r="H1" s="708"/>
      <c r="I1" s="708"/>
      <c r="J1" s="708"/>
      <c r="K1" s="708"/>
      <c r="L1" s="708"/>
      <c r="M1" s="708"/>
      <c r="N1" s="708"/>
      <c r="O1" s="708"/>
      <c r="P1" s="708"/>
      <c r="Q1" s="708"/>
      <c r="R1" s="708"/>
      <c r="S1" s="708"/>
      <c r="T1" s="708"/>
      <c r="U1" s="708"/>
      <c r="V1" s="709"/>
    </row>
    <row r="2" spans="1:22" ht="15.75" thickBot="1">
      <c r="A2" s="191" t="s">
        <v>2285</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c r="A4" s="518" t="s">
        <v>261</v>
      </c>
      <c r="B4" s="207">
        <f>SUMIFS('Diags Raw Data'!$L$6:$L$5703,'Diags Raw Data'!$D$6:$D$5703,$A4)</f>
        <v>1115</v>
      </c>
      <c r="C4" s="200">
        <f>SUMIFS('Diags Raw Data'!$R$6:$R$5703,'Diags Raw Data'!$D$6:$D$5703,$A4)</f>
        <v>1114</v>
      </c>
      <c r="D4" s="200">
        <f>SUMIFS('Diags Raw Data'!$K$6:$K$5703,'Diags Raw Data'!$D$6:$D$5703,$A4)</f>
        <v>600</v>
      </c>
      <c r="E4" s="200">
        <f>SUMIFS('Diags Raw Data'!$O$6:$O$5703,'Diags Raw Data'!$D$6:$D$5703,$A4)</f>
        <v>1115</v>
      </c>
      <c r="F4" s="204">
        <f>IF(NOT($B4=0), E4/$B4, "---")</f>
        <v>1</v>
      </c>
      <c r="G4" s="521">
        <f>SUMIFS('Diags Raw Data'!$S$6:$S$5703,'Diags Raw Data'!$D$6:$D$5703,$A4)</f>
        <v>1114</v>
      </c>
      <c r="H4" s="509">
        <f>SUMIFS('Diags Raw Data'!$T$6:$T$5703,'Diags Raw Data'!$D$6:$D$5703,$A4)</f>
        <v>1037</v>
      </c>
      <c r="I4" s="510">
        <f>SUMIFS('Diags Raw Data'!$U$6:$U$5703,'Diags Raw Data'!$D$6:$D$5703,$A4)</f>
        <v>77</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c r="A5" s="519" t="s">
        <v>725</v>
      </c>
      <c r="B5" s="208">
        <f>SUMIFS('Diags Raw Data'!$L$6:$L$5703,'Diags Raw Data'!$D$6:$D$5703,$A5)</f>
        <v>28</v>
      </c>
      <c r="C5" s="201">
        <f>SUMIFS('Diags Raw Data'!$R$6:$R$5703,'Diags Raw Data'!$D$6:$D$5703,$A5)</f>
        <v>28</v>
      </c>
      <c r="D5" s="201">
        <f>SUMIFS('Diags Raw Data'!$K$6:$K$5703,'Diags Raw Data'!$D$6:$D$5703,$A5)</f>
        <v>25</v>
      </c>
      <c r="E5" s="201">
        <f>SUMIFS('Diags Raw Data'!$O$6:$O$5703,'Diags Raw Data'!$D$6:$D$5703,$A5)</f>
        <v>28</v>
      </c>
      <c r="F5" s="205">
        <f>IF(NOT($B5=0), E5/$B5, "---")</f>
        <v>1</v>
      </c>
      <c r="G5" s="197">
        <f>SUMIFS('Diags Raw Data'!$S$6:$S$5703,'Diags Raw Data'!$D$6:$D$5703,$A5)</f>
        <v>28</v>
      </c>
      <c r="H5" s="193">
        <f>SUMIFS('Diags Raw Data'!$T$6:$T$5703,'Diags Raw Data'!$D$6:$D$5703,$A5)</f>
        <v>24</v>
      </c>
      <c r="I5" s="194">
        <f>SUMIFS('Diags Raw Data'!$U$6:$U$5703,'Diags Raw Data'!$D$6:$D$5703,$A5)</f>
        <v>4</v>
      </c>
      <c r="J5" s="193">
        <f>SUMIFS('Diags Raw Data'!$V$6:$V$5703,'Diags Raw Data'!$D$6:$D$5703,$A5)</f>
        <v>0</v>
      </c>
      <c r="K5" s="194">
        <f>SUMIFS('Diags Raw Data'!$W$6:$W$5703,'Diags Raw Data'!$D$6:$D$5703,$A5)</f>
        <v>0</v>
      </c>
      <c r="L5" s="202">
        <f>IF(NOT($C5=0), G5/$C5, "---")</f>
        <v>1</v>
      </c>
      <c r="M5" s="195">
        <f>IF(NOT($G5=0), (H5+I5)/$G5, "---")</f>
        <v>1</v>
      </c>
      <c r="N5" s="199">
        <f>IF(NOT($C5=0), (H5+I5)/$C5, "---")</f>
        <v>1</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c r="A6" s="523" t="s">
        <v>2129</v>
      </c>
      <c r="B6" s="524">
        <f>SUMIFS('Diags Raw Data'!$L$6:$L$5703,'Diags Raw Data'!$D$6:$D$5703,$A6)</f>
        <v>1</v>
      </c>
      <c r="C6" s="525">
        <f>SUMIFS('Diags Raw Data'!$R$6:$R$5703,'Diags Raw Data'!$D$6:$D$5703,$A6)</f>
        <v>1</v>
      </c>
      <c r="D6" s="525">
        <f>SUMIFS('Diags Raw Data'!$K$6:$K$5703,'Diags Raw Data'!$D$6:$D$5703,$A6)</f>
        <v>1</v>
      </c>
      <c r="E6" s="525">
        <f>SUMIFS('Diags Raw Data'!$O$6:$O$5703,'Diags Raw Data'!$D$6:$D$5703,$A6)</f>
        <v>1</v>
      </c>
      <c r="F6" s="526">
        <f>IF(NOT($B6=0), E6/$B6, "---")</f>
        <v>1</v>
      </c>
      <c r="G6" s="527">
        <f>SUMIFS('Diags Raw Data'!$S$6:$S$5703,'Diags Raw Data'!$D$6:$D$5703,$A6)</f>
        <v>1</v>
      </c>
      <c r="H6" s="528">
        <f>SUMIFS('Diags Raw Data'!$T$6:$T$5703,'Diags Raw Data'!$D$6:$D$5703,$A6)</f>
        <v>1</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c r="A7" s="212" t="s">
        <v>2286</v>
      </c>
      <c r="B7" s="539">
        <f>SUM(B4:B6)</f>
        <v>1144</v>
      </c>
      <c r="C7" s="540">
        <f t="shared" ref="C7:E7" si="0">SUM(C4:C6)</f>
        <v>1143</v>
      </c>
      <c r="D7" s="540">
        <f t="shared" si="0"/>
        <v>626</v>
      </c>
      <c r="E7" s="540">
        <f t="shared" si="0"/>
        <v>1144</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1.0207667731629393</v>
      </c>
      <c r="G7" s="542">
        <f>SUM(G4:G6)</f>
        <v>1143</v>
      </c>
      <c r="H7" s="543">
        <f t="shared" ref="H7:K7" si="1">SUM(H4:H6)</f>
        <v>1062</v>
      </c>
      <c r="I7" s="543">
        <f t="shared" si="1"/>
        <v>81</v>
      </c>
      <c r="J7" s="543">
        <f t="shared" si="1"/>
        <v>0</v>
      </c>
      <c r="K7" s="543">
        <f t="shared" si="1"/>
        <v>0</v>
      </c>
      <c r="L7" s="544">
        <f>IF(NOT($C7=0), G7/$C7, "---")</f>
        <v>1</v>
      </c>
      <c r="M7" s="545">
        <f>IF(NOT($G7=0), (H7+I7)/$G7, "---")</f>
        <v>1</v>
      </c>
      <c r="N7" s="546">
        <f>IF(NOT($C7=0), (H7+I7)/$C7, "---")</f>
        <v>1</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row r="9" spans="1:22" ht="15.75" thickBot="1">
      <c r="A9" s="189" t="s">
        <v>2287</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c r="A11" s="518" t="s">
        <v>261</v>
      </c>
      <c r="B11" s="207">
        <f>SUMIFS('Diags Raw Data'!$L$6:$L$5703,'Diags Raw Data'!$D$6:$D$5703,$A11,'Diags Raw Data'!$M$6:$M$5703,"New")+SUMIFS('Diags Raw Data'!$L$6:$L$5703,'Diags Raw Data'!$D$6:$D$5703,$A11,'Diags Raw Data'!$M$6:$M$5703,"Delta")</f>
        <v>0</v>
      </c>
      <c r="C11" s="200">
        <f>SUMIFS('Diags Raw Data'!$R$6:$R$5703,'Diags Raw Data'!$D$6:$D$5703,$A11,'Diags Raw Data'!$M$6:$M$5703,"New")+SUMIFS('Diags Raw Data'!$R$6:$R$5703,'Diags Raw Data'!$D$6:$D$5703,$A11,'Diags Raw Data'!$M$6:$M$5703,"Delta")</f>
        <v>0</v>
      </c>
      <c r="D11" s="200">
        <f>SUMIFS('Diags Raw Data'!$K$6:$K$5703,'Diags Raw Data'!$D$6:$D$5703,$A11,'Diags Raw Data'!$M$6:$M$5703,"New")+SUMIFS('Diags Raw Data'!$K$6:$K$5703,'Diags Raw Data'!$D$6:$D$5703,$A11,'Diags Raw Data'!$M$6:$M$5703,"Delta")</f>
        <v>0</v>
      </c>
      <c r="E11" s="200">
        <f>SUMIFS('Diags Raw Data'!$O$6:$O$5703,'Diags Raw Data'!$D$6:$D$5703,$A11,'Diags Raw Data'!$M$6:$M$5703,"New")+SUMIFS('Diags Raw Data'!$O$6:$O$5703,'Diags Raw Data'!$D$6:$D$5703,$A11,'Diags Raw Data'!$M$6:$M$5703,"Delta")</f>
        <v>0</v>
      </c>
      <c r="F11" s="204" t="str">
        <f t="shared" ref="F11" si="3">IF(NOT($B11=0), E11/$B11, "---")</f>
        <v>---</v>
      </c>
      <c r="G11" s="521">
        <f>SUMIFS('Diags Raw Data'!$S$6:$S$5703,'Diags Raw Data'!$D$6:$D$5703,$A11,'Diags Raw Data'!$M$6:$M$5703,"New")+SUMIFS('Diags Raw Data'!$S$6:$S$5703,'Diags Raw Data'!$D$6:$D$5703,$A11,'Diags Raw Data'!$M$6:$M$5703,"Delta")</f>
        <v>0</v>
      </c>
      <c r="H11" s="509">
        <f>SUMIFS('Diags Raw Data'!$T$6:$T$5703,'Diags Raw Data'!$D$6:$D$5703,$A11,'Diags Raw Data'!$M$6:$M$5703,"New")+SUMIFS('Diags Raw Data'!$T$6:$T$5703,'Diags Raw Data'!$D$6:$D$5703,$A11,'Diags Raw Data'!$M$6:$M$5703,"Delta")</f>
        <v>0</v>
      </c>
      <c r="I11" s="509">
        <f>SUMIFS('Diags Raw Data'!$U$6:$U$5703,'Diags Raw Data'!$D$6:$D$5703,$A11,'Diags Raw Data'!$M$6:$M$5703,"New")+SUMIFS('Diags Raw Data'!$U$6:$U$5703,'Diags Raw Data'!$D$6:$D$5703,$A11,'Diags Raw Data'!$M$6:$M$5703,"Delta")</f>
        <v>0</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t="str">
        <f>IF(NOT($C11=0), G11/$C11, "---")</f>
        <v>---</v>
      </c>
      <c r="M11" s="512" t="str">
        <f>IF(NOT($G11=0), (H11+I11)/$G11, "---")</f>
        <v>---</v>
      </c>
      <c r="N11" s="522" t="str">
        <f>IF(NOT($C11=0), (H11+I11)/$C11, "---")</f>
        <v>---</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t="str">
        <f>IF(NOT($B11=0), O11/$B11, "---")</f>
        <v>---</v>
      </c>
      <c r="U11" s="516" t="str">
        <f>IF(NOT($O11=0), (P11+Q11)/$O11, "---")</f>
        <v>---</v>
      </c>
      <c r="V11" s="517" t="str">
        <f>IF(NOT($B11=0), (P11+Q11)/$B11, "---")</f>
        <v>---</v>
      </c>
    </row>
    <row r="12" spans="1:22">
      <c r="A12" s="519" t="s">
        <v>725</v>
      </c>
      <c r="B12" s="208">
        <f>SUMIFS('Diags Raw Data'!$L$6:$L$5703,'Diags Raw Data'!$D$6:$D$5703,$A12,'Diags Raw Data'!$M$6:$M$5703,"New")+SUMIFS('Diags Raw Data'!$L$6:$L$5703,'Diags Raw Data'!$D$6:$D$5703,$A12,'Diags Raw Data'!$M$6:$M$5703,"Delta")</f>
        <v>4</v>
      </c>
      <c r="C12" s="201">
        <f>SUMIFS('Diags Raw Data'!$R$6:$R$5703,'Diags Raw Data'!$D$6:$D$5703,$A12,'Diags Raw Data'!$M$6:$M$5703,"New")+SUMIFS('Diags Raw Data'!$R$6:$R$5703,'Diags Raw Data'!$D$6:$D$5703,$A12,'Diags Raw Data'!$M$6:$M$5703,"Delta")</f>
        <v>4</v>
      </c>
      <c r="D12" s="201">
        <f>SUMIFS('Diags Raw Data'!$K$6:$K$5703,'Diags Raw Data'!$D$6:$D$5703,$A12,'Diags Raw Data'!$M$6:$M$5703,"New")+SUMIFS('Diags Raw Data'!$K$6:$K$5703,'Diags Raw Data'!$D$6:$D$5703,$A12,'Diags Raw Data'!$M$6:$M$5703,"Delta")</f>
        <v>6</v>
      </c>
      <c r="E12" s="201">
        <f>SUMIFS('Diags Raw Data'!$O$6:$O$5703,'Diags Raw Data'!$D$6:$D$5703,$A12,'Diags Raw Data'!$M$6:$M$5703,"New")+SUMIFS('Diags Raw Data'!$O$6:$O$5703,'Diags Raw Data'!$D$6:$D$5703,$A12,'Diags Raw Data'!$M$6:$M$5703,"Delta")</f>
        <v>4</v>
      </c>
      <c r="F12" s="205">
        <f t="shared" ref="F12" si="4">IF(NOT($B12=0), E12/$B12, "---")</f>
        <v>1</v>
      </c>
      <c r="G12" s="197">
        <f>SUMIFS('Diags Raw Data'!$S$6:$S$5703,'Diags Raw Data'!$D$6:$D$5703,$A12,'Diags Raw Data'!$M$6:$M$5703,"New")+SUMIFS('Diags Raw Data'!$S$6:$S$5703,'Diags Raw Data'!$D$6:$D$5703,$A12,'Diags Raw Data'!$M$6:$M$5703,"Delta")</f>
        <v>4</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4</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f>IF(NOT($C12=0), G12/$C12, "---")</f>
        <v>1</v>
      </c>
      <c r="M12" s="195">
        <f>IF(NOT($G12=0), (H12+I12)/$G12, "---")</f>
        <v>1</v>
      </c>
      <c r="N12" s="199">
        <f>IF(NOT($C12=0), (H12+I12)/$C12, "---")</f>
        <v>1</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f>IF(NOT($B12=0), O12/$B12, "---")</f>
        <v>0</v>
      </c>
      <c r="U12" s="196" t="str">
        <f>IF(NOT($O12=0), (P12+Q12)/$O12, "---")</f>
        <v>---</v>
      </c>
      <c r="V12" s="198">
        <f>IF(NOT($B12=0), (P12+Q12)/$B12, "---")</f>
        <v>0</v>
      </c>
    </row>
    <row r="13" spans="1:22" ht="15.75" thickBot="1">
      <c r="A13" s="523" t="s">
        <v>2129</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c r="A14" s="210" t="s">
        <v>2288</v>
      </c>
      <c r="B14" s="539">
        <f>SUM(B11:B13)</f>
        <v>4</v>
      </c>
      <c r="C14" s="540">
        <f t="shared" ref="C14:E14" si="6">SUM(C11:C13)</f>
        <v>4</v>
      </c>
      <c r="D14" s="540">
        <f t="shared" si="6"/>
        <v>6</v>
      </c>
      <c r="E14" s="540">
        <f t="shared" si="6"/>
        <v>4</v>
      </c>
      <c r="F14" s="541" cm="1">
        <f t="array" ref="F14">SUMPRODUCT(--(ISNUMBER(SEARCH("New",'Diags Raw Data'!$M$6:$M$5703))),'Diags Raw Data'!$K$6:$K$5703,'Diags Raw Data'!$P$6:$P$5703)/D14+SUMPRODUCT(--(ISNUMBER(SEARCH("Delta",'Diags Raw Data'!$M$6:$M$5703))),'Diags Raw Data'!$K$6:$K$5703,'Diags Raw Data'!$P$6:$P$5703)/D14</f>
        <v>3.1666666666666665</v>
      </c>
      <c r="G14" s="542">
        <f>SUM(G11:G13)</f>
        <v>4</v>
      </c>
      <c r="H14" s="543">
        <f t="shared" ref="H14:K14" si="7">SUM(H11:H13)</f>
        <v>0</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c r="A18" s="518" t="s">
        <v>261</v>
      </c>
      <c r="B18" s="207">
        <f>SUMIFS('Diags Raw Data'!$L$6:$L$5703,'Diags Raw Data'!$D$6:$D$5703,$A18,'Diags Raw Data'!$M$6:$M$5703,"Legacy")</f>
        <v>1115</v>
      </c>
      <c r="C18" s="200">
        <f>SUMIFS('Diags Raw Data'!$R$6:$R$5703,'Diags Raw Data'!$D$6:$D$5703,$A18,'Diags Raw Data'!$M$6:$M$5703,"Legacy")</f>
        <v>1114</v>
      </c>
      <c r="D18" s="200">
        <f>SUMIFS('Diags Raw Data'!$K$6:$K$5703,'Diags Raw Data'!$D$6:$D$5703,$A18,'Diags Raw Data'!$M$6:$M$5703,"Legacy")</f>
        <v>600</v>
      </c>
      <c r="E18" s="200">
        <f>SUMIFS('Diags Raw Data'!$O$6:$O$5703,'Diags Raw Data'!$D$6:$D$5703,$A18,'Diags Raw Data'!$M$6:$M$5703,"Legacy")</f>
        <v>1115</v>
      </c>
      <c r="F18" s="204">
        <f>IF(NOT($B18=0), E18/$B18, "---")</f>
        <v>1</v>
      </c>
      <c r="G18" s="521">
        <f>SUMIFS('Diags Raw Data'!$S$6:$S$5703,'Diags Raw Data'!$D$6:$D$5703,$A18,'Diags Raw Data'!$M$6:$M$5703,"Legacy")</f>
        <v>1114</v>
      </c>
      <c r="H18" s="509">
        <f>SUMIFS('Diags Raw Data'!$T$6:$T$5703,'Diags Raw Data'!$D$6:$D$5703,$A18,'Diags Raw Data'!$M$6:$M$5703,"Legacy")</f>
        <v>1037</v>
      </c>
      <c r="I18" s="510">
        <f>SUMIFS('Diags Raw Data'!$U$6:$U$5703,'Diags Raw Data'!$D$6:$D$5703,$A18,'Diags Raw Data'!$M$6:$M$5703,"Legacy")</f>
        <v>77</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c r="A19" s="519" t="s">
        <v>725</v>
      </c>
      <c r="B19" s="208">
        <f>SUMIFS('Diags Raw Data'!$L$6:$L$5703,'Diags Raw Data'!$D$6:$D$5703,$A19,'Diags Raw Data'!$M$6:$M$5703,"Legacy")</f>
        <v>24</v>
      </c>
      <c r="C19" s="201">
        <f>SUMIFS('Diags Raw Data'!$R$6:$R$5703,'Diags Raw Data'!$D$6:$D$5703,$A19,'Diags Raw Data'!$M$6:$M$5703,"Legacy")</f>
        <v>24</v>
      </c>
      <c r="D19" s="201">
        <f>SUMIFS('Diags Raw Data'!$K$6:$K$5703,'Diags Raw Data'!$D$6:$D$5703,$A19,'Diags Raw Data'!$M$6:$M$5703,"Legacy")</f>
        <v>19</v>
      </c>
      <c r="E19" s="201">
        <f>SUMIFS('Diags Raw Data'!$O$6:$O$5703,'Diags Raw Data'!$D$6:$D$5703,$A19,'Diags Raw Data'!$M$6:$M$5703,"Legacy")</f>
        <v>24</v>
      </c>
      <c r="F19" s="205">
        <f>IF(NOT($B19=0), E19/$B19, "---")</f>
        <v>1</v>
      </c>
      <c r="G19" s="197">
        <f>SUMIFS('Diags Raw Data'!$S$6:$S$5703,'Diags Raw Data'!$D$6:$D$5703,$A19,'Diags Raw Data'!$M$6:$M$5703,"Legacy")</f>
        <v>24</v>
      </c>
      <c r="H19" s="193">
        <f>SUMIFS('Diags Raw Data'!$T$6:$T$5703,'Diags Raw Data'!$D$6:$D$5703,$A19,'Diags Raw Data'!$M$6:$M$5703,"Legacy")</f>
        <v>24</v>
      </c>
      <c r="I19" s="194">
        <f>SUMIFS('Diags Raw Data'!$U$6:$U$5703,'Diags Raw Data'!$D$6:$D$5703,$A19,'Diags Raw Data'!$M$6:$M$5703,"Legacy")</f>
        <v>0</v>
      </c>
      <c r="J19" s="193">
        <f>SUMIFS('Diags Raw Data'!$V$6:$V$5703,'Diags Raw Data'!$D$6:$D$5703,$A19,'Diags Raw Data'!$M$6:$M$5703,"Legacy")</f>
        <v>0</v>
      </c>
      <c r="K19" s="194">
        <f>SUMIFS('Diags Raw Data'!$W$6:$W$5703,'Diags Raw Data'!$D$6:$D$5703,$A19,'Diags Raw Data'!$M$6:$M$5703,"Legacy")</f>
        <v>0</v>
      </c>
      <c r="L19" s="202">
        <f>IF(NOT($C19=0), G19/$C19, "---")</f>
        <v>1</v>
      </c>
      <c r="M19" s="195">
        <f>IF(NOT($G19=0), (H19+I19)/$G19, "---")</f>
        <v>1</v>
      </c>
      <c r="N19" s="199">
        <f>IF(NOT($C19=0), (H19+I19)/$C19, "---")</f>
        <v>1</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c r="A20" s="523" t="s">
        <v>2129</v>
      </c>
      <c r="B20" s="524">
        <f>SUMIFS('Diags Raw Data'!$L$6:$L$5703,'Diags Raw Data'!$D$6:$D$5703,$A20,'Diags Raw Data'!$M$6:$M$5703,"Legacy")</f>
        <v>1</v>
      </c>
      <c r="C20" s="525">
        <f>SUMIFS('Diags Raw Data'!$R$6:$R$5703,'Diags Raw Data'!$D$6:$D$5703,$A20,'Diags Raw Data'!$M$6:$M$5703,"Legacy")</f>
        <v>1</v>
      </c>
      <c r="D20" s="525">
        <f>SUMIFS('Diags Raw Data'!$K$6:$K$5703,'Diags Raw Data'!$D$6:$D$5703,$A20,'Diags Raw Data'!$M$6:$M$5703,"Legacy")</f>
        <v>1</v>
      </c>
      <c r="E20" s="525">
        <f>SUMIFS('Diags Raw Data'!$O$6:$O$5703,'Diags Raw Data'!$D$6:$D$5703,$A20,'Diags Raw Data'!$M$6:$M$5703,"Legacy")</f>
        <v>1</v>
      </c>
      <c r="F20" s="526">
        <f>IF(NOT($B20=0), E20/$B20, "---")</f>
        <v>1</v>
      </c>
      <c r="G20" s="527">
        <f>SUMIFS('Diags Raw Data'!$S$6:$S$5703,'Diags Raw Data'!$D$6:$D$5703,$A20,'Diags Raw Data'!$M$6:$M$5703,"Legacy")</f>
        <v>1</v>
      </c>
      <c r="H20" s="528">
        <f>SUMIFS('Diags Raw Data'!$T$6:$T$5703,'Diags Raw Data'!$D$6:$D$5703,$A20,'Diags Raw Data'!$M$6:$M$5703,"Legacy")</f>
        <v>1</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c r="A21" s="211" t="s">
        <v>2289</v>
      </c>
      <c r="B21" s="539">
        <f>SUM(B18:B20)</f>
        <v>1140</v>
      </c>
      <c r="C21" s="540">
        <f t="shared" ref="C21:E21" si="12">SUM(C18:C20)</f>
        <v>1139</v>
      </c>
      <c r="D21" s="540">
        <f t="shared" si="12"/>
        <v>620</v>
      </c>
      <c r="E21" s="540">
        <f t="shared" si="12"/>
        <v>1140</v>
      </c>
      <c r="F21" s="541" cm="1">
        <f t="array" ref="F21">SUMPRODUCT(--(ISNUMBER(SEARCH("Legacy",'Diags Raw Data'!$M$6:$M$5703))),'Diags Raw Data'!$K$6:$K$5703,'Diags Raw Data'!$P$6:$P$5703)/D21</f>
        <v>1</v>
      </c>
      <c r="G21" s="542">
        <f>SUM(G18:G20)</f>
        <v>1139</v>
      </c>
      <c r="H21" s="543">
        <f t="shared" ref="H21:K21" si="13">SUM(H18:H20)</f>
        <v>1062</v>
      </c>
      <c r="I21" s="543">
        <f t="shared" si="13"/>
        <v>77</v>
      </c>
      <c r="J21" s="543">
        <f t="shared" si="13"/>
        <v>0</v>
      </c>
      <c r="K21" s="543">
        <f t="shared" si="13"/>
        <v>0</v>
      </c>
      <c r="L21" s="544">
        <f>IF(NOT($C21=0), G21/$C21, "---")</f>
        <v>1</v>
      </c>
      <c r="M21" s="545">
        <f t="shared" ref="M21" si="14">IF(NOT($G21=0), (H21+I21)/$G21, "---")</f>
        <v>1</v>
      </c>
      <c r="N21" s="546">
        <f t="shared" ref="N21" si="15">IF(NOT($C21=0), (H21+I21)/$C21, "---")</f>
        <v>1</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c r="F24" s="130"/>
    </row>
    <row r="27" spans="1:22">
      <c r="F27" s="316"/>
    </row>
    <row r="28" spans="1:22">
      <c r="F28" s="315"/>
    </row>
    <row r="29" spans="1:22">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39">
      <colorScale>
        <cfvo type="percent" val="20"/>
        <cfvo type="percent" val="50"/>
        <cfvo type="percent" val="100"/>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451">
      <colorScale>
        <cfvo type="percent" val="0"/>
        <cfvo type="percent" val="50"/>
        <cfvo type="percent" val="100"/>
        <color rgb="FFF8696B"/>
        <color rgb="FFFFEB84"/>
        <color rgb="FF63BE7B"/>
      </colorScale>
    </cfRule>
    <cfRule type="colorScale" priority="452">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443">
      <colorScale>
        <cfvo type="percent" val="0"/>
        <cfvo type="percent" val="50"/>
        <cfvo type="percent" val="100"/>
        <color rgb="FFF8696B"/>
        <color rgb="FFFFEB84"/>
        <color rgb="FF63BE7B"/>
      </colorScale>
    </cfRule>
    <cfRule type="colorScale" priority="444">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446">
      <colorScale>
        <cfvo type="percent" val="0"/>
        <cfvo type="percent" val="50"/>
        <cfvo type="percent" val="100"/>
        <color rgb="FFF8696B"/>
        <color rgb="FFFFEB84"/>
        <color rgb="FF63BE7B"/>
      </colorScale>
    </cfRule>
    <cfRule type="colorScale" priority="447">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N13 L13">
    <cfRule type="colorScale" priority="458">
      <colorScale>
        <cfvo type="percent" val="0"/>
        <cfvo type="percent" val="50"/>
        <cfvo type="percent" val="100"/>
        <color rgb="FFF8696B"/>
        <color rgb="FFFFEB84"/>
        <color rgb="FF63BE7B"/>
      </colorScale>
    </cfRule>
    <cfRule type="colorScale" priority="459">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2 V12">
    <cfRule type="colorScale" priority="65">
      <colorScale>
        <cfvo type="percent" val="0"/>
        <cfvo type="percent" val="50"/>
        <cfvo type="percent" val="100"/>
        <color rgb="FFF8696B"/>
        <color rgb="FFFFEB84"/>
        <color rgb="FF63BE7B"/>
      </colorScale>
    </cfRule>
  </conditionalFormatting>
  <conditionalFormatting sqref="T13 V13">
    <cfRule type="colorScale" priority="46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xr3:uid="{51F8DEE0-4D01-5F28-A812-FC0BD7CAC4A5}">
      <pane ySplit="2" topLeftCell="A240" activePane="bottomLeft" state="frozen"/>
      <selection pane="bottomLeft" activeCell="B262" sqref="B262"/>
    </sheetView>
  </sheetViews>
  <sheetFormatPr defaultColWidth="8.7109375" defaultRowHeight="1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c r="A1" s="720" t="s">
        <v>2290</v>
      </c>
      <c r="B1" s="721"/>
      <c r="C1" s="721"/>
      <c r="D1" s="721"/>
      <c r="E1" s="721"/>
      <c r="F1" s="721"/>
      <c r="G1" s="721"/>
      <c r="H1" s="721"/>
      <c r="I1" s="722"/>
    </row>
    <row r="2" spans="1:9" s="79" customFormat="1" ht="15.75" thickBot="1">
      <c r="A2" s="382" t="s">
        <v>77</v>
      </c>
      <c r="B2" s="383" t="s">
        <v>81</v>
      </c>
      <c r="C2" s="384" t="s">
        <v>96</v>
      </c>
      <c r="D2" s="384" t="s">
        <v>202</v>
      </c>
      <c r="E2" s="385" t="s">
        <v>1</v>
      </c>
    </row>
    <row r="3" spans="1:9" ht="45.75" thickBot="1">
      <c r="A3" s="445" t="s">
        <v>2291</v>
      </c>
      <c r="B3" s="459" t="s">
        <v>2292</v>
      </c>
      <c r="C3" s="403" t="s">
        <v>2249</v>
      </c>
      <c r="D3" s="282" t="s">
        <v>34</v>
      </c>
      <c r="E3" s="366" t="s">
        <v>33</v>
      </c>
      <c r="F3" s="206" t="s">
        <v>2293</v>
      </c>
      <c r="G3" s="229" t="s">
        <v>77</v>
      </c>
      <c r="H3" s="230" t="s">
        <v>2294</v>
      </c>
      <c r="I3" s="404">
        <v>176</v>
      </c>
    </row>
    <row r="4" spans="1:9" ht="15.75" thickBot="1">
      <c r="A4" s="445" t="s">
        <v>2295</v>
      </c>
      <c r="B4" s="460" t="s">
        <v>2296</v>
      </c>
      <c r="C4" s="403" t="s">
        <v>2249</v>
      </c>
      <c r="D4" s="263" t="s">
        <v>34</v>
      </c>
      <c r="E4" s="371" t="s">
        <v>33</v>
      </c>
      <c r="G4" s="633" t="s">
        <v>96</v>
      </c>
      <c r="H4" s="231" t="s">
        <v>2297</v>
      </c>
      <c r="I4" s="405">
        <f>COUNTIFS($C3:$C4067,"P1")</f>
        <v>7</v>
      </c>
    </row>
    <row r="5" spans="1:9" ht="15.75" thickBot="1">
      <c r="A5" s="445" t="s">
        <v>2298</v>
      </c>
      <c r="B5" s="460" t="s">
        <v>1066</v>
      </c>
      <c r="C5" s="403" t="s">
        <v>1010</v>
      </c>
      <c r="D5" s="263" t="s">
        <v>34</v>
      </c>
      <c r="E5" s="371" t="s">
        <v>38</v>
      </c>
      <c r="G5" s="634"/>
      <c r="H5" s="232" t="s">
        <v>2299</v>
      </c>
      <c r="I5" s="406">
        <f>COUNTIFS($C3:$C4067,"P2")</f>
        <v>174</v>
      </c>
    </row>
    <row r="6" spans="1:9" ht="15.75" thickBot="1">
      <c r="A6" s="445" t="s">
        <v>2300</v>
      </c>
      <c r="B6" s="460" t="s">
        <v>2245</v>
      </c>
      <c r="C6" s="403" t="s">
        <v>2249</v>
      </c>
      <c r="D6" s="263" t="s">
        <v>34</v>
      </c>
      <c r="E6" s="371" t="s">
        <v>33</v>
      </c>
      <c r="G6" s="646"/>
      <c r="H6" s="233" t="s">
        <v>2301</v>
      </c>
      <c r="I6" s="407">
        <f>COUNTIFS($C3:$C4067,"P3")</f>
        <v>2</v>
      </c>
    </row>
    <row r="7" spans="1:9" ht="15.75" thickBot="1">
      <c r="A7" s="445" t="s">
        <v>2302</v>
      </c>
      <c r="B7" s="460" t="s">
        <v>2303</v>
      </c>
      <c r="C7" s="403" t="s">
        <v>44</v>
      </c>
      <c r="D7" s="263" t="s">
        <v>44</v>
      </c>
      <c r="E7" s="371" t="s">
        <v>33</v>
      </c>
      <c r="F7" t="s">
        <v>2304</v>
      </c>
      <c r="G7" s="717" t="s">
        <v>202</v>
      </c>
      <c r="H7" s="231" t="s">
        <v>2305</v>
      </c>
      <c r="I7" s="405">
        <f>COUNTIFS($D3:$D4067,"Diagnostics")</f>
        <v>142</v>
      </c>
    </row>
    <row r="8" spans="1:9" ht="15.75" thickBot="1">
      <c r="A8" s="445" t="s">
        <v>2306</v>
      </c>
      <c r="B8" s="460" t="s">
        <v>2307</v>
      </c>
      <c r="C8" s="403" t="s">
        <v>44</v>
      </c>
      <c r="D8" s="263" t="s">
        <v>44</v>
      </c>
      <c r="E8" s="371" t="s">
        <v>33</v>
      </c>
      <c r="G8" s="718"/>
      <c r="H8" s="232" t="s">
        <v>2308</v>
      </c>
      <c r="I8" s="406">
        <f>COUNTIFS($D3:$D4067,"Driver")</f>
        <v>3</v>
      </c>
    </row>
    <row r="9" spans="1:9" ht="15.75" thickBot="1">
      <c r="A9" s="445" t="s">
        <v>2309</v>
      </c>
      <c r="B9" s="460" t="s">
        <v>2310</v>
      </c>
      <c r="C9" s="403" t="s">
        <v>44</v>
      </c>
      <c r="D9" s="263" t="s">
        <v>44</v>
      </c>
      <c r="E9" s="371" t="s">
        <v>33</v>
      </c>
      <c r="G9" s="718"/>
      <c r="H9" s="232" t="s">
        <v>2311</v>
      </c>
      <c r="I9" s="406">
        <f>COUNTIFS($D3:$D4067,"IPSE")</f>
        <v>39</v>
      </c>
    </row>
    <row r="10" spans="1:9" ht="15.75" thickBot="1">
      <c r="A10" s="445" t="s">
        <v>2312</v>
      </c>
      <c r="B10" s="460" t="s">
        <v>2313</v>
      </c>
      <c r="C10" s="403" t="s">
        <v>2249</v>
      </c>
      <c r="D10" s="263" t="s">
        <v>43</v>
      </c>
      <c r="E10" s="371" t="s">
        <v>33</v>
      </c>
      <c r="G10" s="719"/>
      <c r="H10" s="233" t="s">
        <v>2314</v>
      </c>
      <c r="I10" s="407">
        <f>COUNTIFS($D3:$D4067,"N/A")</f>
        <v>91</v>
      </c>
    </row>
    <row r="11" spans="1:9" ht="15.75" thickBot="1">
      <c r="A11" s="445" t="s">
        <v>2191</v>
      </c>
      <c r="B11" s="593" t="s">
        <v>2315</v>
      </c>
      <c r="C11" s="403" t="s">
        <v>2249</v>
      </c>
      <c r="D11" s="263" t="s">
        <v>34</v>
      </c>
      <c r="E11" s="371" t="s">
        <v>33</v>
      </c>
      <c r="G11" s="717" t="s">
        <v>1</v>
      </c>
      <c r="H11" s="231" t="s">
        <v>2316</v>
      </c>
      <c r="I11" s="405">
        <f>COUNTIFS($E3:$E4067,"Legacy")</f>
        <v>266</v>
      </c>
    </row>
    <row r="12" spans="1:9" ht="15.75" thickBot="1">
      <c r="A12" s="445" t="s">
        <v>2317</v>
      </c>
      <c r="B12" s="593" t="s">
        <v>2318</v>
      </c>
      <c r="C12" s="403" t="s">
        <v>2249</v>
      </c>
      <c r="D12" s="263" t="s">
        <v>43</v>
      </c>
      <c r="E12" s="371" t="s">
        <v>33</v>
      </c>
      <c r="G12" s="718"/>
      <c r="H12" s="232" t="s">
        <v>2319</v>
      </c>
      <c r="I12" s="406">
        <f>COUNTIFS($E3:$E4067,"Delta")</f>
        <v>8</v>
      </c>
    </row>
    <row r="13" spans="1:9" ht="15.75" thickBot="1">
      <c r="A13" s="445" t="s">
        <v>2320</v>
      </c>
      <c r="B13" s="593" t="s">
        <v>2321</v>
      </c>
      <c r="C13" s="403" t="s">
        <v>2249</v>
      </c>
      <c r="D13" s="263" t="s">
        <v>43</v>
      </c>
      <c r="E13" s="371" t="s">
        <v>33</v>
      </c>
      <c r="G13" s="719"/>
      <c r="H13" s="233" t="s">
        <v>2322</v>
      </c>
      <c r="I13" s="407">
        <f>COUNTIFS($E3:$E4067,"New")</f>
        <v>1</v>
      </c>
    </row>
    <row r="14" spans="1:9" ht="15.75" thickBot="1">
      <c r="A14" s="445" t="s">
        <v>2323</v>
      </c>
      <c r="B14" s="593" t="s">
        <v>2324</v>
      </c>
      <c r="C14" s="403" t="s">
        <v>2249</v>
      </c>
      <c r="D14" s="263" t="s">
        <v>34</v>
      </c>
      <c r="E14" s="371" t="s">
        <v>33</v>
      </c>
    </row>
    <row r="15" spans="1:9" ht="15.75" thickBot="1">
      <c r="A15" s="445" t="s">
        <v>2325</v>
      </c>
      <c r="B15" s="593" t="s">
        <v>2326</v>
      </c>
      <c r="C15" s="403" t="s">
        <v>2249</v>
      </c>
      <c r="D15" s="263" t="s">
        <v>44</v>
      </c>
      <c r="E15" s="371" t="s">
        <v>33</v>
      </c>
    </row>
    <row r="16" spans="1:9" ht="30.75" thickBot="1">
      <c r="A16" s="445" t="s">
        <v>2327</v>
      </c>
      <c r="B16" s="593" t="s">
        <v>2328</v>
      </c>
      <c r="C16" s="403" t="s">
        <v>2249</v>
      </c>
      <c r="D16" s="263" t="s">
        <v>44</v>
      </c>
      <c r="E16" s="371" t="s">
        <v>33</v>
      </c>
    </row>
    <row r="17" spans="1:6" ht="15.75" thickBot="1">
      <c r="A17" s="445" t="s">
        <v>2329</v>
      </c>
      <c r="B17" s="593" t="s">
        <v>2330</v>
      </c>
      <c r="C17" s="403" t="s">
        <v>2249</v>
      </c>
      <c r="D17" s="263" t="s">
        <v>43</v>
      </c>
      <c r="E17" s="371" t="s">
        <v>33</v>
      </c>
      <c r="F17" t="s">
        <v>2331</v>
      </c>
    </row>
    <row r="18" spans="1:6" ht="30.75" thickBot="1">
      <c r="A18" s="445" t="s">
        <v>2332</v>
      </c>
      <c r="B18" s="593" t="s">
        <v>2333</v>
      </c>
      <c r="C18" s="403" t="s">
        <v>44</v>
      </c>
      <c r="D18" s="263" t="s">
        <v>44</v>
      </c>
      <c r="E18" s="371" t="s">
        <v>33</v>
      </c>
    </row>
    <row r="19" spans="1:6" ht="15.75" thickBot="1">
      <c r="A19" s="445" t="s">
        <v>2334</v>
      </c>
      <c r="B19" s="593" t="s">
        <v>2335</v>
      </c>
      <c r="C19" s="403" t="s">
        <v>44</v>
      </c>
      <c r="D19" s="263" t="s">
        <v>34</v>
      </c>
      <c r="E19" s="371" t="s">
        <v>33</v>
      </c>
      <c r="F19" t="s">
        <v>2336</v>
      </c>
    </row>
    <row r="20" spans="1:6" ht="15.75" thickBot="1">
      <c r="A20" s="445" t="s">
        <v>2337</v>
      </c>
      <c r="B20" s="593" t="s">
        <v>2338</v>
      </c>
      <c r="C20" s="403" t="s">
        <v>44</v>
      </c>
      <c r="D20" s="263" t="s">
        <v>43</v>
      </c>
      <c r="E20" s="371" t="s">
        <v>33</v>
      </c>
      <c r="F20" t="s">
        <v>2336</v>
      </c>
    </row>
    <row r="21" spans="1:6" ht="30.75" thickBot="1">
      <c r="A21" s="445" t="s">
        <v>2339</v>
      </c>
      <c r="B21" s="593" t="s">
        <v>2340</v>
      </c>
      <c r="C21" s="403" t="s">
        <v>44</v>
      </c>
      <c r="D21" s="263" t="s">
        <v>44</v>
      </c>
      <c r="E21" s="371" t="s">
        <v>33</v>
      </c>
      <c r="F21" t="s">
        <v>2336</v>
      </c>
    </row>
    <row r="22" spans="1:6" ht="15.75" thickBot="1">
      <c r="A22" s="445" t="s">
        <v>2341</v>
      </c>
      <c r="B22" s="593" t="s">
        <v>2342</v>
      </c>
      <c r="C22" s="403" t="s">
        <v>44</v>
      </c>
      <c r="D22" s="263" t="s">
        <v>44</v>
      </c>
      <c r="E22" s="371" t="s">
        <v>33</v>
      </c>
      <c r="F22" t="s">
        <v>2336</v>
      </c>
    </row>
    <row r="23" spans="1:6" ht="15.75" thickBot="1">
      <c r="A23" s="445" t="s">
        <v>2343</v>
      </c>
      <c r="B23" s="593" t="s">
        <v>2344</v>
      </c>
      <c r="C23" s="403" t="s">
        <v>44</v>
      </c>
      <c r="D23" s="263" t="s">
        <v>39</v>
      </c>
      <c r="E23" s="371" t="s">
        <v>33</v>
      </c>
      <c r="F23" t="s">
        <v>2336</v>
      </c>
    </row>
    <row r="24" spans="1:6" ht="30.75" thickBot="1">
      <c r="A24" s="445" t="s">
        <v>2345</v>
      </c>
      <c r="B24" s="593" t="s">
        <v>2346</v>
      </c>
      <c r="C24" s="403" t="s">
        <v>44</v>
      </c>
      <c r="D24" s="263" t="s">
        <v>39</v>
      </c>
      <c r="E24" s="371" t="s">
        <v>33</v>
      </c>
      <c r="F24" t="s">
        <v>2336</v>
      </c>
    </row>
    <row r="25" spans="1:6" ht="15.75" thickBot="1">
      <c r="A25" s="445" t="s">
        <v>2347</v>
      </c>
      <c r="B25" s="593" t="s">
        <v>2348</v>
      </c>
      <c r="C25" s="403" t="s">
        <v>44</v>
      </c>
      <c r="D25" s="263" t="s">
        <v>43</v>
      </c>
      <c r="E25" s="371" t="s">
        <v>33</v>
      </c>
      <c r="F25" t="s">
        <v>2336</v>
      </c>
    </row>
    <row r="26" spans="1:6" ht="15.75" thickBot="1">
      <c r="A26" s="445" t="s">
        <v>2349</v>
      </c>
      <c r="B26" s="593" t="s">
        <v>2350</v>
      </c>
      <c r="C26" s="403" t="s">
        <v>44</v>
      </c>
      <c r="D26" s="263" t="s">
        <v>43</v>
      </c>
      <c r="E26" s="371" t="s">
        <v>33</v>
      </c>
      <c r="F26" t="s">
        <v>2336</v>
      </c>
    </row>
    <row r="27" spans="1:6" ht="30.75" thickBot="1">
      <c r="A27" s="445" t="s">
        <v>2351</v>
      </c>
      <c r="B27" s="593" t="s">
        <v>2352</v>
      </c>
      <c r="C27" s="403" t="s">
        <v>44</v>
      </c>
      <c r="D27" s="263" t="s">
        <v>34</v>
      </c>
      <c r="E27" s="371" t="s">
        <v>33</v>
      </c>
      <c r="F27" t="s">
        <v>2336</v>
      </c>
    </row>
    <row r="28" spans="1:6" ht="15.75" thickBot="1">
      <c r="A28" s="445" t="s">
        <v>2353</v>
      </c>
      <c r="B28" s="593" t="s">
        <v>2354</v>
      </c>
      <c r="C28" s="403" t="s">
        <v>44</v>
      </c>
      <c r="D28" s="263" t="s">
        <v>34</v>
      </c>
      <c r="E28" s="371" t="s">
        <v>33</v>
      </c>
      <c r="F28" t="s">
        <v>2336</v>
      </c>
    </row>
    <row r="29" spans="1:6" ht="15.75" thickBot="1">
      <c r="A29" s="445" t="s">
        <v>2355</v>
      </c>
      <c r="B29" s="593" t="s">
        <v>2356</v>
      </c>
      <c r="C29" s="403" t="s">
        <v>44</v>
      </c>
      <c r="D29" s="263" t="s">
        <v>44</v>
      </c>
      <c r="E29" s="371" t="s">
        <v>33</v>
      </c>
      <c r="F29" t="s">
        <v>2336</v>
      </c>
    </row>
    <row r="30" spans="1:6" ht="15.75" thickBot="1">
      <c r="A30" s="445" t="s">
        <v>2357</v>
      </c>
      <c r="B30" s="593" t="s">
        <v>2358</v>
      </c>
      <c r="C30" s="403" t="s">
        <v>44</v>
      </c>
      <c r="D30" s="263" t="s">
        <v>44</v>
      </c>
      <c r="E30" s="371" t="s">
        <v>33</v>
      </c>
      <c r="F30" t="s">
        <v>2336</v>
      </c>
    </row>
    <row r="31" spans="1:6" ht="15.75" thickBot="1">
      <c r="A31" s="445" t="s">
        <v>2359</v>
      </c>
      <c r="B31" s="593" t="s">
        <v>2360</v>
      </c>
      <c r="C31" s="403" t="s">
        <v>44</v>
      </c>
      <c r="D31" s="263" t="s">
        <v>44</v>
      </c>
      <c r="E31" s="371" t="s">
        <v>33</v>
      </c>
      <c r="F31" t="s">
        <v>2336</v>
      </c>
    </row>
    <row r="32" spans="1:6" ht="15.75" thickBot="1">
      <c r="A32" s="445" t="s">
        <v>2361</v>
      </c>
      <c r="B32" s="593" t="s">
        <v>2362</v>
      </c>
      <c r="C32" s="403" t="s">
        <v>44</v>
      </c>
      <c r="D32" s="263" t="s">
        <v>44</v>
      </c>
      <c r="E32" s="371" t="s">
        <v>33</v>
      </c>
    </row>
    <row r="33" spans="1:6" ht="15.75" thickBot="1">
      <c r="A33" s="445" t="s">
        <v>2363</v>
      </c>
      <c r="B33" s="593" t="s">
        <v>2364</v>
      </c>
      <c r="C33" s="403" t="s">
        <v>44</v>
      </c>
      <c r="D33" s="263" t="s">
        <v>44</v>
      </c>
      <c r="E33" s="371" t="s">
        <v>33</v>
      </c>
    </row>
    <row r="34" spans="1:6" ht="15.75" thickBot="1">
      <c r="A34" s="445" t="s">
        <v>2365</v>
      </c>
      <c r="B34" s="593" t="s">
        <v>2366</v>
      </c>
      <c r="C34" s="403" t="s">
        <v>44</v>
      </c>
      <c r="D34" s="263" t="s">
        <v>44</v>
      </c>
      <c r="E34" s="371" t="s">
        <v>33</v>
      </c>
    </row>
    <row r="35" spans="1:6" ht="15.75" thickBot="1">
      <c r="A35" s="445" t="s">
        <v>2367</v>
      </c>
      <c r="B35" s="593" t="s">
        <v>2368</v>
      </c>
      <c r="C35" s="403" t="s">
        <v>44</v>
      </c>
      <c r="D35" s="263" t="s">
        <v>34</v>
      </c>
      <c r="E35" s="371" t="s">
        <v>33</v>
      </c>
    </row>
    <row r="36" spans="1:6" ht="15.75" thickBot="1">
      <c r="A36" s="445" t="s">
        <v>2369</v>
      </c>
      <c r="B36" s="593" t="s">
        <v>2370</v>
      </c>
      <c r="C36" s="403" t="s">
        <v>1010</v>
      </c>
      <c r="D36" s="263" t="s">
        <v>34</v>
      </c>
      <c r="E36" s="371" t="s">
        <v>38</v>
      </c>
    </row>
    <row r="37" spans="1:6" ht="30.75" thickBot="1">
      <c r="A37" s="445" t="s">
        <v>2371</v>
      </c>
      <c r="B37" s="593" t="s">
        <v>2372</v>
      </c>
      <c r="C37" s="403" t="s">
        <v>44</v>
      </c>
      <c r="D37" s="263" t="s">
        <v>44</v>
      </c>
      <c r="E37" s="371" t="s">
        <v>33</v>
      </c>
    </row>
    <row r="38" spans="1:6" ht="15.75" thickBot="1">
      <c r="A38" s="445" t="s">
        <v>2373</v>
      </c>
      <c r="B38" s="593" t="s">
        <v>2374</v>
      </c>
      <c r="C38" s="403" t="s">
        <v>44</v>
      </c>
      <c r="D38" s="263" t="s">
        <v>44</v>
      </c>
      <c r="E38" s="371" t="s">
        <v>33</v>
      </c>
    </row>
    <row r="39" spans="1:6" ht="15.75" thickBot="1">
      <c r="A39" s="445" t="s">
        <v>2375</v>
      </c>
      <c r="B39" s="593" t="s">
        <v>2376</v>
      </c>
      <c r="C39" s="403" t="s">
        <v>44</v>
      </c>
      <c r="D39" s="263" t="s">
        <v>44</v>
      </c>
      <c r="E39" s="371" t="s">
        <v>33</v>
      </c>
    </row>
    <row r="40" spans="1:6" ht="15.75" thickBot="1">
      <c r="A40" s="445" t="s">
        <v>2377</v>
      </c>
      <c r="B40" s="460" t="s">
        <v>2378</v>
      </c>
      <c r="C40" s="403" t="s">
        <v>2249</v>
      </c>
      <c r="D40" s="263" t="s">
        <v>34</v>
      </c>
      <c r="E40" s="371" t="s">
        <v>33</v>
      </c>
    </row>
    <row r="41" spans="1:6" ht="15.75" thickBot="1">
      <c r="A41" s="445" t="s">
        <v>2379</v>
      </c>
      <c r="B41" s="593" t="s">
        <v>2380</v>
      </c>
      <c r="C41" s="403" t="s">
        <v>44</v>
      </c>
      <c r="D41" s="263" t="s">
        <v>44</v>
      </c>
      <c r="E41" s="371" t="s">
        <v>33</v>
      </c>
    </row>
    <row r="42" spans="1:6" ht="30.75" thickBot="1">
      <c r="A42" s="445" t="s">
        <v>2381</v>
      </c>
      <c r="B42" s="593" t="s">
        <v>734</v>
      </c>
      <c r="C42" s="403" t="s">
        <v>2249</v>
      </c>
      <c r="D42" s="263" t="s">
        <v>34</v>
      </c>
      <c r="E42" s="371" t="s">
        <v>33</v>
      </c>
    </row>
    <row r="43" spans="1:6" ht="15.75" thickBot="1">
      <c r="A43" s="445" t="s">
        <v>2382</v>
      </c>
      <c r="B43" s="460" t="s">
        <v>2206</v>
      </c>
      <c r="C43" s="403" t="s">
        <v>2249</v>
      </c>
      <c r="D43" s="263" t="s">
        <v>34</v>
      </c>
      <c r="E43" s="371" t="s">
        <v>33</v>
      </c>
    </row>
    <row r="44" spans="1:6" ht="60.75" thickBot="1">
      <c r="A44" s="445" t="s">
        <v>2383</v>
      </c>
      <c r="B44" s="593" t="s">
        <v>2384</v>
      </c>
      <c r="C44" s="403" t="s">
        <v>2249</v>
      </c>
      <c r="D44" s="263" t="s">
        <v>34</v>
      </c>
      <c r="E44" s="371" t="s">
        <v>33</v>
      </c>
    </row>
    <row r="45" spans="1:6" ht="15.75" thickBot="1">
      <c r="A45" s="445" t="s">
        <v>2385</v>
      </c>
      <c r="B45" s="593" t="s">
        <v>2386</v>
      </c>
      <c r="C45" s="403" t="s">
        <v>1010</v>
      </c>
      <c r="D45" s="263" t="s">
        <v>43</v>
      </c>
      <c r="E45" s="371" t="s">
        <v>38</v>
      </c>
      <c r="F45" t="s">
        <v>2387</v>
      </c>
    </row>
    <row r="46" spans="1:6" ht="15.75" thickBot="1">
      <c r="A46" s="445" t="s">
        <v>417</v>
      </c>
      <c r="B46" s="593" t="s">
        <v>2212</v>
      </c>
      <c r="C46" s="403" t="s">
        <v>2249</v>
      </c>
      <c r="D46" s="263" t="s">
        <v>34</v>
      </c>
      <c r="E46" s="371" t="s">
        <v>33</v>
      </c>
      <c r="F46" t="s">
        <v>2388</v>
      </c>
    </row>
    <row r="47" spans="1:6" ht="30.75" thickBot="1">
      <c r="A47" s="445" t="s">
        <v>2389</v>
      </c>
      <c r="B47" s="593" t="s">
        <v>2390</v>
      </c>
      <c r="C47" s="403" t="s">
        <v>2249</v>
      </c>
      <c r="D47" s="263" t="s">
        <v>34</v>
      </c>
      <c r="E47" s="371" t="s">
        <v>33</v>
      </c>
    </row>
    <row r="48" spans="1:6" ht="15.75" thickBot="1">
      <c r="A48" s="445" t="s">
        <v>2391</v>
      </c>
      <c r="B48" s="593" t="s">
        <v>2392</v>
      </c>
      <c r="C48" s="403" t="s">
        <v>44</v>
      </c>
      <c r="D48" s="263" t="s">
        <v>44</v>
      </c>
      <c r="E48" s="371" t="s">
        <v>33</v>
      </c>
    </row>
    <row r="49" spans="1:6" ht="15.75" thickBot="1">
      <c r="A49" s="445" t="s">
        <v>2393</v>
      </c>
      <c r="B49" s="593" t="s">
        <v>2394</v>
      </c>
      <c r="C49" s="403" t="s">
        <v>44</v>
      </c>
      <c r="D49" s="263" t="s">
        <v>44</v>
      </c>
      <c r="E49" s="371" t="s">
        <v>33</v>
      </c>
    </row>
    <row r="50" spans="1:6" ht="15.75" thickBot="1">
      <c r="A50" s="445" t="s">
        <v>2395</v>
      </c>
      <c r="B50" s="593" t="s">
        <v>2396</v>
      </c>
      <c r="C50" s="403" t="s">
        <v>44</v>
      </c>
      <c r="D50" s="263" t="s">
        <v>44</v>
      </c>
      <c r="E50" s="371" t="s">
        <v>33</v>
      </c>
    </row>
    <row r="51" spans="1:6" ht="15.75" thickBot="1">
      <c r="A51" s="445" t="s">
        <v>2397</v>
      </c>
      <c r="B51" s="593" t="s">
        <v>2398</v>
      </c>
      <c r="C51" s="403" t="s">
        <v>44</v>
      </c>
      <c r="D51" s="263" t="s">
        <v>44</v>
      </c>
      <c r="E51" s="371" t="s">
        <v>33</v>
      </c>
    </row>
    <row r="52" spans="1:6" ht="15.75" thickBot="1">
      <c r="A52" s="445" t="s">
        <v>2195</v>
      </c>
      <c r="B52" s="593" t="s">
        <v>2399</v>
      </c>
      <c r="C52" s="403" t="s">
        <v>2249</v>
      </c>
      <c r="D52" s="263" t="s">
        <v>34</v>
      </c>
      <c r="E52" s="371" t="s">
        <v>33</v>
      </c>
    </row>
    <row r="53" spans="1:6" ht="15.75" thickBot="1">
      <c r="A53" s="445" t="s">
        <v>544</v>
      </c>
      <c r="B53" s="593" t="s">
        <v>2400</v>
      </c>
      <c r="C53" s="403" t="s">
        <v>2249</v>
      </c>
      <c r="D53" s="263" t="s">
        <v>34</v>
      </c>
      <c r="E53" s="371" t="s">
        <v>33</v>
      </c>
    </row>
    <row r="54" spans="1:6" ht="15.75" thickBot="1">
      <c r="A54" s="445" t="s">
        <v>2401</v>
      </c>
      <c r="B54" s="593" t="s">
        <v>2209</v>
      </c>
      <c r="C54" s="403" t="s">
        <v>1010</v>
      </c>
      <c r="D54" s="263" t="s">
        <v>34</v>
      </c>
      <c r="E54" s="371" t="s">
        <v>38</v>
      </c>
    </row>
    <row r="55" spans="1:6" ht="15.75" thickBot="1">
      <c r="A55" s="445" t="s">
        <v>2215</v>
      </c>
      <c r="B55" s="593" t="s">
        <v>2402</v>
      </c>
      <c r="C55" s="403" t="s">
        <v>2249</v>
      </c>
      <c r="D55" s="263" t="s">
        <v>34</v>
      </c>
      <c r="E55" s="371" t="s">
        <v>33</v>
      </c>
    </row>
    <row r="56" spans="1:6" ht="30.75" thickBot="1">
      <c r="A56" s="445" t="s">
        <v>2403</v>
      </c>
      <c r="B56" s="593" t="s">
        <v>2404</v>
      </c>
      <c r="C56" s="403" t="s">
        <v>2249</v>
      </c>
      <c r="D56" s="263" t="s">
        <v>34</v>
      </c>
      <c r="E56" s="371" t="s">
        <v>33</v>
      </c>
      <c r="F56" s="206" t="s">
        <v>2405</v>
      </c>
    </row>
    <row r="57" spans="1:6" ht="30.75" thickBot="1">
      <c r="A57" s="445" t="s">
        <v>2406</v>
      </c>
      <c r="B57" s="593" t="s">
        <v>2407</v>
      </c>
      <c r="C57" s="403" t="s">
        <v>44</v>
      </c>
      <c r="D57" s="263" t="s">
        <v>34</v>
      </c>
      <c r="E57" s="371" t="s">
        <v>33</v>
      </c>
      <c r="F57" s="206" t="s">
        <v>2405</v>
      </c>
    </row>
    <row r="58" spans="1:6" ht="15.75" thickBot="1">
      <c r="A58" s="445" t="s">
        <v>2408</v>
      </c>
      <c r="B58" s="593" t="s">
        <v>2409</v>
      </c>
      <c r="C58" s="403" t="s">
        <v>2249</v>
      </c>
      <c r="D58" s="263" t="s">
        <v>34</v>
      </c>
      <c r="E58" s="371" t="s">
        <v>33</v>
      </c>
    </row>
    <row r="59" spans="1:6" ht="15.75" thickBot="1">
      <c r="A59" s="445" t="s">
        <v>649</v>
      </c>
      <c r="B59" s="593" t="s">
        <v>2410</v>
      </c>
      <c r="C59" s="403" t="s">
        <v>2249</v>
      </c>
      <c r="D59" s="263" t="s">
        <v>34</v>
      </c>
      <c r="E59" s="371" t="s">
        <v>33</v>
      </c>
    </row>
    <row r="60" spans="1:6" ht="15.75" thickBot="1">
      <c r="A60" s="445" t="s">
        <v>746</v>
      </c>
      <c r="B60" s="593" t="s">
        <v>2411</v>
      </c>
      <c r="C60" s="403" t="s">
        <v>2249</v>
      </c>
      <c r="D60" s="263" t="s">
        <v>34</v>
      </c>
      <c r="E60" s="371" t="s">
        <v>33</v>
      </c>
    </row>
    <row r="61" spans="1:6" ht="15.75" thickBot="1">
      <c r="A61" s="445" t="s">
        <v>2248</v>
      </c>
      <c r="B61" s="593" t="s">
        <v>2232</v>
      </c>
      <c r="C61" s="403" t="s">
        <v>2249</v>
      </c>
      <c r="D61" s="263" t="s">
        <v>34</v>
      </c>
      <c r="E61" s="371" t="s">
        <v>33</v>
      </c>
    </row>
    <row r="62" spans="1:6" ht="15.75" thickBot="1">
      <c r="A62" s="445" t="s">
        <v>666</v>
      </c>
      <c r="B62" s="593" t="s">
        <v>2412</v>
      </c>
      <c r="C62" s="403" t="s">
        <v>2249</v>
      </c>
      <c r="D62" s="263" t="s">
        <v>34</v>
      </c>
      <c r="E62" s="371" t="s">
        <v>33</v>
      </c>
    </row>
    <row r="63" spans="1:6" ht="15.75" thickBot="1">
      <c r="A63" s="445" t="s">
        <v>495</v>
      </c>
      <c r="B63" s="593" t="s">
        <v>2413</v>
      </c>
      <c r="C63" s="403" t="s">
        <v>2249</v>
      </c>
      <c r="D63" s="263" t="s">
        <v>34</v>
      </c>
      <c r="E63" s="371" t="s">
        <v>33</v>
      </c>
    </row>
    <row r="64" spans="1:6" ht="30.75" thickBot="1">
      <c r="A64" s="445" t="s">
        <v>2133</v>
      </c>
      <c r="B64" s="593" t="s">
        <v>2137</v>
      </c>
      <c r="C64" s="403" t="s">
        <v>2249</v>
      </c>
      <c r="D64" s="263" t="s">
        <v>34</v>
      </c>
      <c r="E64" s="371" t="s">
        <v>33</v>
      </c>
    </row>
    <row r="65" spans="1:6" ht="30.75" thickBot="1">
      <c r="A65" s="445" t="s">
        <v>2414</v>
      </c>
      <c r="B65" s="593" t="s">
        <v>2415</v>
      </c>
      <c r="C65" s="403" t="s">
        <v>2249</v>
      </c>
      <c r="D65" s="263" t="s">
        <v>34</v>
      </c>
      <c r="E65" s="371" t="s">
        <v>33</v>
      </c>
    </row>
    <row r="66" spans="1:6" ht="15.75" thickBot="1">
      <c r="A66" s="445" t="s">
        <v>2416</v>
      </c>
      <c r="B66" s="593" t="s">
        <v>738</v>
      </c>
      <c r="C66" s="403" t="s">
        <v>2249</v>
      </c>
      <c r="D66" s="263" t="s">
        <v>34</v>
      </c>
      <c r="E66" s="371" t="s">
        <v>33</v>
      </c>
    </row>
    <row r="67" spans="1:6" ht="15.75" thickBot="1">
      <c r="A67" s="445" t="s">
        <v>595</v>
      </c>
      <c r="B67" s="593" t="s">
        <v>2417</v>
      </c>
      <c r="C67" s="403" t="s">
        <v>2249</v>
      </c>
      <c r="D67" s="263" t="s">
        <v>34</v>
      </c>
      <c r="E67" s="371" t="s">
        <v>33</v>
      </c>
    </row>
    <row r="68" spans="1:6" ht="45.75" thickBot="1">
      <c r="A68" s="445" t="s">
        <v>1046</v>
      </c>
      <c r="B68" s="593" t="s">
        <v>2418</v>
      </c>
      <c r="C68" s="403" t="s">
        <v>2249</v>
      </c>
      <c r="D68" s="263" t="s">
        <v>34</v>
      </c>
      <c r="E68" s="371" t="s">
        <v>33</v>
      </c>
    </row>
    <row r="69" spans="1:6" ht="26.45" customHeight="1" thickBot="1">
      <c r="A69" s="445" t="s">
        <v>1052</v>
      </c>
      <c r="B69" s="593" t="s">
        <v>2419</v>
      </c>
      <c r="C69" s="403" t="s">
        <v>2249</v>
      </c>
      <c r="D69" s="263" t="s">
        <v>34</v>
      </c>
      <c r="E69" s="371" t="s">
        <v>33</v>
      </c>
    </row>
    <row r="70" spans="1:6" ht="45.75" thickBot="1">
      <c r="A70" s="445" t="s">
        <v>2420</v>
      </c>
      <c r="B70" s="593" t="s">
        <v>2421</v>
      </c>
      <c r="C70" s="403" t="s">
        <v>2249</v>
      </c>
      <c r="D70" s="263" t="s">
        <v>44</v>
      </c>
      <c r="E70" s="371" t="s">
        <v>33</v>
      </c>
      <c r="F70" t="s">
        <v>2422</v>
      </c>
    </row>
    <row r="71" spans="1:6" ht="30.75" thickBot="1">
      <c r="A71" s="445" t="s">
        <v>728</v>
      </c>
      <c r="B71" s="593" t="s">
        <v>724</v>
      </c>
      <c r="C71" s="403" t="s">
        <v>2249</v>
      </c>
      <c r="D71" s="263" t="s">
        <v>34</v>
      </c>
      <c r="E71" s="371" t="s">
        <v>33</v>
      </c>
    </row>
    <row r="72" spans="1:6" ht="30.75" thickBot="1">
      <c r="A72" s="445" t="s">
        <v>2423</v>
      </c>
      <c r="B72" s="593" t="s">
        <v>729</v>
      </c>
      <c r="C72" s="403" t="s">
        <v>2249</v>
      </c>
      <c r="D72" s="263" t="s">
        <v>34</v>
      </c>
      <c r="E72" s="371" t="s">
        <v>33</v>
      </c>
    </row>
    <row r="73" spans="1:6" ht="15.75" thickBot="1">
      <c r="A73" s="445" t="s">
        <v>2424</v>
      </c>
      <c r="B73" s="593" t="s">
        <v>2425</v>
      </c>
      <c r="C73" s="403" t="s">
        <v>2249</v>
      </c>
      <c r="D73" s="263" t="s">
        <v>34</v>
      </c>
      <c r="E73" s="371" t="s">
        <v>33</v>
      </c>
    </row>
    <row r="74" spans="1:6" ht="15.75" thickBot="1">
      <c r="A74" s="445" t="s">
        <v>305</v>
      </c>
      <c r="B74" s="593" t="s">
        <v>2426</v>
      </c>
      <c r="C74" s="403" t="s">
        <v>2249</v>
      </c>
      <c r="D74" s="263" t="s">
        <v>34</v>
      </c>
      <c r="E74" s="371" t="s">
        <v>33</v>
      </c>
    </row>
    <row r="75" spans="1:6" ht="15.75" thickBot="1">
      <c r="A75" s="445" t="s">
        <v>312</v>
      </c>
      <c r="B75" s="593" t="s">
        <v>2427</v>
      </c>
      <c r="C75" s="403" t="s">
        <v>2249</v>
      </c>
      <c r="D75" s="263" t="s">
        <v>34</v>
      </c>
      <c r="E75" s="371" t="s">
        <v>33</v>
      </c>
    </row>
    <row r="76" spans="1:6" ht="15.75" thickBot="1">
      <c r="A76" s="445" t="s">
        <v>944</v>
      </c>
      <c r="B76" s="593" t="s">
        <v>2428</v>
      </c>
      <c r="C76" s="403" t="s">
        <v>2249</v>
      </c>
      <c r="D76" s="263" t="s">
        <v>34</v>
      </c>
      <c r="E76" s="371" t="s">
        <v>33</v>
      </c>
    </row>
    <row r="77" spans="1:6" ht="15.75" thickBot="1">
      <c r="A77" s="445" t="s">
        <v>899</v>
      </c>
      <c r="B77" s="593" t="s">
        <v>2429</v>
      </c>
      <c r="C77" s="403" t="s">
        <v>2249</v>
      </c>
      <c r="D77" s="263" t="s">
        <v>34</v>
      </c>
      <c r="E77" s="371" t="s">
        <v>33</v>
      </c>
    </row>
    <row r="78" spans="1:6" ht="30.75" thickBot="1">
      <c r="A78" s="445" t="s">
        <v>2430</v>
      </c>
      <c r="B78" s="593" t="s">
        <v>2431</v>
      </c>
      <c r="C78" s="403" t="s">
        <v>2249</v>
      </c>
      <c r="D78" s="263" t="s">
        <v>34</v>
      </c>
      <c r="E78" s="371" t="s">
        <v>33</v>
      </c>
    </row>
    <row r="79" spans="1:6" ht="15.75" thickBot="1">
      <c r="A79" s="445" t="s">
        <v>1007</v>
      </c>
      <c r="B79" s="593" t="s">
        <v>1008</v>
      </c>
      <c r="C79" s="403" t="s">
        <v>2249</v>
      </c>
      <c r="D79" s="263" t="s">
        <v>34</v>
      </c>
      <c r="E79" s="371" t="s">
        <v>33</v>
      </c>
    </row>
    <row r="80" spans="1:6" ht="30.75" thickBot="1">
      <c r="A80" s="445" t="s">
        <v>2432</v>
      </c>
      <c r="B80" s="593" t="s">
        <v>2433</v>
      </c>
      <c r="C80" s="403" t="s">
        <v>2249</v>
      </c>
      <c r="D80" s="263" t="s">
        <v>34</v>
      </c>
      <c r="E80" s="371" t="s">
        <v>33</v>
      </c>
    </row>
    <row r="81" spans="1:5" ht="15.75" thickBot="1">
      <c r="A81" s="445" t="s">
        <v>2434</v>
      </c>
      <c r="B81" s="593" t="s">
        <v>2435</v>
      </c>
      <c r="C81" s="403" t="s">
        <v>2249</v>
      </c>
      <c r="D81" s="263" t="s">
        <v>44</v>
      </c>
      <c r="E81" s="371" t="s">
        <v>33</v>
      </c>
    </row>
    <row r="82" spans="1:5" ht="15.75" thickBot="1">
      <c r="A82" s="445" t="s">
        <v>2436</v>
      </c>
      <c r="B82" s="593" t="s">
        <v>2437</v>
      </c>
      <c r="C82" s="403" t="s">
        <v>2249</v>
      </c>
      <c r="D82" s="263" t="s">
        <v>44</v>
      </c>
      <c r="E82" s="371" t="s">
        <v>33</v>
      </c>
    </row>
    <row r="83" spans="1:5" ht="15.75" thickBot="1">
      <c r="A83" s="445" t="s">
        <v>2438</v>
      </c>
      <c r="B83" s="593" t="s">
        <v>2439</v>
      </c>
      <c r="C83" s="403" t="s">
        <v>44</v>
      </c>
      <c r="D83" s="263" t="s">
        <v>44</v>
      </c>
      <c r="E83" s="371" t="s">
        <v>33</v>
      </c>
    </row>
    <row r="84" spans="1:5" ht="30.75" thickBot="1">
      <c r="A84" s="445" t="s">
        <v>2236</v>
      </c>
      <c r="B84" s="593" t="s">
        <v>2440</v>
      </c>
      <c r="C84" s="403" t="s">
        <v>2249</v>
      </c>
      <c r="D84" s="263" t="s">
        <v>34</v>
      </c>
      <c r="E84" s="371" t="s">
        <v>33</v>
      </c>
    </row>
    <row r="85" spans="1:5" ht="15.75" thickBot="1">
      <c r="A85" s="445" t="s">
        <v>2441</v>
      </c>
      <c r="B85" s="593" t="s">
        <v>2442</v>
      </c>
      <c r="C85" s="403" t="s">
        <v>2249</v>
      </c>
      <c r="D85" s="263" t="s">
        <v>34</v>
      </c>
      <c r="E85" s="371" t="s">
        <v>33</v>
      </c>
    </row>
    <row r="86" spans="1:5" ht="15.75" thickBot="1">
      <c r="A86" s="445" t="s">
        <v>2443</v>
      </c>
      <c r="B86" s="593" t="s">
        <v>2444</v>
      </c>
      <c r="C86" s="403" t="s">
        <v>2249</v>
      </c>
      <c r="D86" s="263" t="s">
        <v>34</v>
      </c>
      <c r="E86" s="371" t="s">
        <v>33</v>
      </c>
    </row>
    <row r="87" spans="1:5" ht="15.75" thickBot="1">
      <c r="A87" s="445" t="s">
        <v>2445</v>
      </c>
      <c r="B87" s="593" t="s">
        <v>2446</v>
      </c>
      <c r="C87" s="403" t="s">
        <v>2249</v>
      </c>
      <c r="D87" s="263" t="s">
        <v>34</v>
      </c>
      <c r="E87" s="371" t="s">
        <v>33</v>
      </c>
    </row>
    <row r="88" spans="1:5" ht="15.75" thickBot="1">
      <c r="A88" s="445" t="s">
        <v>2447</v>
      </c>
      <c r="B88" s="593" t="s">
        <v>2448</v>
      </c>
      <c r="C88" s="403" t="s">
        <v>44</v>
      </c>
      <c r="D88" s="263" t="s">
        <v>34</v>
      </c>
      <c r="E88" s="371" t="s">
        <v>33</v>
      </c>
    </row>
    <row r="89" spans="1:5" ht="15.75" thickBot="1">
      <c r="A89" s="445" t="s">
        <v>2449</v>
      </c>
      <c r="B89" s="593" t="s">
        <v>2450</v>
      </c>
      <c r="C89" s="403" t="s">
        <v>44</v>
      </c>
      <c r="D89" s="263" t="s">
        <v>44</v>
      </c>
      <c r="E89" s="371" t="s">
        <v>33</v>
      </c>
    </row>
    <row r="90" spans="1:5" ht="30.75" thickBot="1">
      <c r="A90" s="445" t="s">
        <v>2451</v>
      </c>
      <c r="B90" s="593" t="s">
        <v>2452</v>
      </c>
      <c r="C90" s="403" t="s">
        <v>2249</v>
      </c>
      <c r="D90" s="263" t="s">
        <v>44</v>
      </c>
      <c r="E90" s="371" t="s">
        <v>33</v>
      </c>
    </row>
    <row r="91" spans="1:5" ht="30.75" thickBot="1">
      <c r="A91" s="445" t="s">
        <v>2453</v>
      </c>
      <c r="B91" s="593" t="s">
        <v>2454</v>
      </c>
      <c r="C91" s="403" t="s">
        <v>44</v>
      </c>
      <c r="D91" s="263" t="s">
        <v>34</v>
      </c>
      <c r="E91" s="371" t="s">
        <v>33</v>
      </c>
    </row>
    <row r="92" spans="1:5" ht="30.75" thickBot="1">
      <c r="A92" s="445" t="s">
        <v>2455</v>
      </c>
      <c r="B92" s="593" t="s">
        <v>2456</v>
      </c>
      <c r="C92" s="403" t="s">
        <v>2249</v>
      </c>
      <c r="D92" s="263" t="s">
        <v>34</v>
      </c>
      <c r="E92" s="371" t="s">
        <v>33</v>
      </c>
    </row>
    <row r="93" spans="1:5" ht="30.75" thickBot="1">
      <c r="A93" s="445" t="s">
        <v>484</v>
      </c>
      <c r="B93" s="593" t="s">
        <v>2457</v>
      </c>
      <c r="C93" s="403" t="s">
        <v>2458</v>
      </c>
      <c r="D93" s="263" t="s">
        <v>34</v>
      </c>
      <c r="E93" s="371" t="s">
        <v>33</v>
      </c>
    </row>
    <row r="94" spans="1:5" ht="30.75" thickBot="1">
      <c r="A94" s="445" t="s">
        <v>2459</v>
      </c>
      <c r="B94" s="593" t="s">
        <v>2460</v>
      </c>
      <c r="C94" s="403" t="s">
        <v>2249</v>
      </c>
      <c r="D94" s="263" t="s">
        <v>34</v>
      </c>
      <c r="E94" s="371" t="s">
        <v>33</v>
      </c>
    </row>
    <row r="95" spans="1:5" ht="15.75" thickBot="1">
      <c r="A95" s="445" t="s">
        <v>2461</v>
      </c>
      <c r="B95" s="593" t="s">
        <v>2462</v>
      </c>
      <c r="C95" s="403" t="s">
        <v>44</v>
      </c>
      <c r="D95" s="263" t="s">
        <v>44</v>
      </c>
      <c r="E95" s="371" t="s">
        <v>33</v>
      </c>
    </row>
    <row r="96" spans="1:5" ht="15.75" thickBot="1">
      <c r="A96" s="445" t="s">
        <v>2463</v>
      </c>
      <c r="B96" s="593" t="s">
        <v>2464</v>
      </c>
      <c r="C96" s="403" t="s">
        <v>2249</v>
      </c>
      <c r="D96" s="263" t="s">
        <v>44</v>
      </c>
      <c r="E96" s="371" t="s">
        <v>33</v>
      </c>
    </row>
    <row r="97" spans="1:5" ht="15.75" thickBot="1">
      <c r="A97" s="445" t="s">
        <v>2465</v>
      </c>
      <c r="B97" s="593" t="s">
        <v>2466</v>
      </c>
      <c r="C97" s="403" t="s">
        <v>2249</v>
      </c>
      <c r="D97" s="263" t="s">
        <v>34</v>
      </c>
      <c r="E97" s="371" t="s">
        <v>33</v>
      </c>
    </row>
    <row r="98" spans="1:5" ht="30.75" thickBot="1">
      <c r="A98" s="445" t="s">
        <v>2467</v>
      </c>
      <c r="B98" s="593" t="s">
        <v>2468</v>
      </c>
      <c r="C98" s="403" t="s">
        <v>44</v>
      </c>
      <c r="D98" s="263" t="s">
        <v>44</v>
      </c>
      <c r="E98" s="371" t="s">
        <v>33</v>
      </c>
    </row>
    <row r="99" spans="1:5" ht="30.75" thickBot="1">
      <c r="A99" s="445" t="s">
        <v>616</v>
      </c>
      <c r="B99" s="593" t="s">
        <v>2469</v>
      </c>
      <c r="C99" s="403" t="s">
        <v>2249</v>
      </c>
      <c r="D99" s="263" t="s">
        <v>34</v>
      </c>
      <c r="E99" s="371" t="s">
        <v>33</v>
      </c>
    </row>
    <row r="100" spans="1:5" ht="15.75" thickBot="1">
      <c r="A100" s="445" t="s">
        <v>2470</v>
      </c>
      <c r="B100" s="593" t="s">
        <v>2471</v>
      </c>
      <c r="C100" s="403" t="s">
        <v>2249</v>
      </c>
      <c r="D100" s="263" t="s">
        <v>43</v>
      </c>
      <c r="E100" s="371" t="s">
        <v>33</v>
      </c>
    </row>
    <row r="101" spans="1:5" ht="30.75" thickBot="1">
      <c r="A101" s="445" t="s">
        <v>2472</v>
      </c>
      <c r="B101" s="593" t="s">
        <v>2473</v>
      </c>
      <c r="C101" s="403" t="s">
        <v>2249</v>
      </c>
      <c r="D101" s="263" t="s">
        <v>34</v>
      </c>
      <c r="E101" s="371" t="s">
        <v>33</v>
      </c>
    </row>
    <row r="102" spans="1:5" ht="30.75" thickBot="1">
      <c r="A102" s="445" t="s">
        <v>2474</v>
      </c>
      <c r="B102" s="593" t="s">
        <v>2475</v>
      </c>
      <c r="C102" s="403" t="s">
        <v>2249</v>
      </c>
      <c r="D102" s="263" t="s">
        <v>44</v>
      </c>
      <c r="E102" s="371" t="s">
        <v>33</v>
      </c>
    </row>
    <row r="103" spans="1:5" ht="15.75" thickBot="1">
      <c r="A103" s="445" t="s">
        <v>2476</v>
      </c>
      <c r="B103" s="593" t="s">
        <v>2477</v>
      </c>
      <c r="C103" s="403" t="s">
        <v>2249</v>
      </c>
      <c r="D103" s="263" t="s">
        <v>44</v>
      </c>
      <c r="E103" s="371" t="s">
        <v>33</v>
      </c>
    </row>
    <row r="104" spans="1:5" ht="30.75" thickBot="1">
      <c r="A104" s="445" t="s">
        <v>2478</v>
      </c>
      <c r="B104" s="593" t="s">
        <v>2479</v>
      </c>
      <c r="C104" s="403" t="s">
        <v>2249</v>
      </c>
      <c r="D104" s="263" t="s">
        <v>34</v>
      </c>
      <c r="E104" s="371" t="s">
        <v>33</v>
      </c>
    </row>
    <row r="105" spans="1:5" ht="15.75" thickBot="1">
      <c r="A105" s="445" t="s">
        <v>2480</v>
      </c>
      <c r="B105" s="593" t="s">
        <v>2481</v>
      </c>
      <c r="C105" s="403" t="s">
        <v>2249</v>
      </c>
      <c r="D105" s="263" t="s">
        <v>34</v>
      </c>
      <c r="E105" s="371" t="s">
        <v>33</v>
      </c>
    </row>
    <row r="106" spans="1:5" ht="15.75" thickBot="1">
      <c r="A106" s="445" t="s">
        <v>2482</v>
      </c>
      <c r="B106" s="593" t="s">
        <v>2483</v>
      </c>
      <c r="C106" s="403" t="s">
        <v>2249</v>
      </c>
      <c r="D106" s="263" t="s">
        <v>34</v>
      </c>
      <c r="E106" s="371" t="s">
        <v>33</v>
      </c>
    </row>
    <row r="107" spans="1:5" ht="30.75" thickBot="1">
      <c r="A107" s="445" t="s">
        <v>2484</v>
      </c>
      <c r="B107" s="593" t="s">
        <v>2485</v>
      </c>
      <c r="C107" s="403" t="s">
        <v>2249</v>
      </c>
      <c r="D107" s="263" t="s">
        <v>34</v>
      </c>
      <c r="E107" s="371" t="s">
        <v>33</v>
      </c>
    </row>
    <row r="108" spans="1:5" ht="30.75" thickBot="1">
      <c r="A108" s="445" t="s">
        <v>2486</v>
      </c>
      <c r="B108" s="593" t="s">
        <v>2487</v>
      </c>
      <c r="C108" s="403" t="s">
        <v>2249</v>
      </c>
      <c r="D108" s="263" t="s">
        <v>34</v>
      </c>
      <c r="E108" s="371" t="s">
        <v>33</v>
      </c>
    </row>
    <row r="109" spans="1:5" ht="30.75" thickBot="1">
      <c r="A109" s="445" t="s">
        <v>2488</v>
      </c>
      <c r="B109" s="593" t="s">
        <v>2489</v>
      </c>
      <c r="C109" s="403" t="s">
        <v>2249</v>
      </c>
      <c r="D109" s="263" t="s">
        <v>34</v>
      </c>
      <c r="E109" s="371" t="s">
        <v>33</v>
      </c>
    </row>
    <row r="110" spans="1:5" ht="15.75" thickBot="1">
      <c r="A110" s="445" t="s">
        <v>2490</v>
      </c>
      <c r="B110" s="593" t="s">
        <v>2491</v>
      </c>
      <c r="C110" s="403" t="s">
        <v>2249</v>
      </c>
      <c r="D110" s="263" t="s">
        <v>34</v>
      </c>
      <c r="E110" s="371" t="s">
        <v>33</v>
      </c>
    </row>
    <row r="111" spans="1:5" ht="30.75" thickBot="1">
      <c r="A111" s="445" t="s">
        <v>2492</v>
      </c>
      <c r="B111" s="593" t="s">
        <v>2493</v>
      </c>
      <c r="C111" s="403" t="s">
        <v>2249</v>
      </c>
      <c r="D111" s="263" t="s">
        <v>43</v>
      </c>
      <c r="E111" s="371" t="s">
        <v>33</v>
      </c>
    </row>
    <row r="112" spans="1:5" ht="15.75" thickBot="1">
      <c r="A112" s="445" t="s">
        <v>2494</v>
      </c>
      <c r="B112" s="593" t="s">
        <v>2495</v>
      </c>
      <c r="C112" s="403" t="s">
        <v>44</v>
      </c>
      <c r="D112" s="263" t="s">
        <v>44</v>
      </c>
      <c r="E112" s="371" t="s">
        <v>33</v>
      </c>
    </row>
    <row r="113" spans="1:6" ht="15.75" thickBot="1">
      <c r="A113" s="445" t="s">
        <v>2496</v>
      </c>
      <c r="B113" s="593" t="s">
        <v>2497</v>
      </c>
      <c r="C113" s="403" t="s">
        <v>2249</v>
      </c>
      <c r="D113" s="263" t="s">
        <v>43</v>
      </c>
      <c r="E113" s="371" t="s">
        <v>33</v>
      </c>
    </row>
    <row r="114" spans="1:6" ht="15.75" thickBot="1">
      <c r="A114" s="445" t="s">
        <v>2498</v>
      </c>
      <c r="B114" s="593" t="s">
        <v>2499</v>
      </c>
      <c r="C114" s="403" t="s">
        <v>2249</v>
      </c>
      <c r="D114" s="263" t="s">
        <v>43</v>
      </c>
      <c r="E114" s="371" t="s">
        <v>33</v>
      </c>
    </row>
    <row r="115" spans="1:6" ht="15.75" thickBot="1">
      <c r="A115" s="445" t="s">
        <v>2500</v>
      </c>
      <c r="B115" s="593" t="s">
        <v>2501</v>
      </c>
      <c r="C115" s="403" t="s">
        <v>2249</v>
      </c>
      <c r="D115" s="263" t="s">
        <v>43</v>
      </c>
      <c r="E115" s="371" t="s">
        <v>33</v>
      </c>
    </row>
    <row r="116" spans="1:6" ht="15.75" thickBot="1">
      <c r="A116" s="445" t="s">
        <v>2502</v>
      </c>
      <c r="B116" s="593" t="s">
        <v>2503</v>
      </c>
      <c r="C116" s="403" t="s">
        <v>2249</v>
      </c>
      <c r="D116" s="263" t="s">
        <v>43</v>
      </c>
      <c r="E116" s="371" t="s">
        <v>33</v>
      </c>
    </row>
    <row r="117" spans="1:6" ht="30.75" thickBot="1">
      <c r="A117" s="445" t="s">
        <v>2504</v>
      </c>
      <c r="B117" s="593" t="s">
        <v>2505</v>
      </c>
      <c r="C117" s="403" t="s">
        <v>2249</v>
      </c>
      <c r="D117" s="263" t="s">
        <v>43</v>
      </c>
      <c r="E117" s="371" t="s">
        <v>33</v>
      </c>
    </row>
    <row r="118" spans="1:6" ht="15.75" thickBot="1">
      <c r="A118" s="445" t="s">
        <v>2506</v>
      </c>
      <c r="B118" s="593" t="s">
        <v>2507</v>
      </c>
      <c r="C118" s="403" t="s">
        <v>2249</v>
      </c>
      <c r="D118" s="263" t="s">
        <v>43</v>
      </c>
      <c r="E118" s="371" t="s">
        <v>33</v>
      </c>
    </row>
    <row r="119" spans="1:6" ht="15.75" thickBot="1">
      <c r="A119" s="445" t="s">
        <v>2508</v>
      </c>
      <c r="B119" s="593" t="s">
        <v>2509</v>
      </c>
      <c r="C119" s="403" t="s">
        <v>2249</v>
      </c>
      <c r="D119" s="263" t="s">
        <v>43</v>
      </c>
      <c r="E119" s="371" t="s">
        <v>33</v>
      </c>
    </row>
    <row r="120" spans="1:6" ht="15.75" thickBot="1">
      <c r="A120" s="445" t="s">
        <v>2510</v>
      </c>
      <c r="B120" s="593" t="s">
        <v>2511</v>
      </c>
      <c r="C120" s="403" t="s">
        <v>2249</v>
      </c>
      <c r="D120" s="263" t="s">
        <v>34</v>
      </c>
      <c r="E120" s="371" t="s">
        <v>33</v>
      </c>
    </row>
    <row r="121" spans="1:6" ht="15.75" thickBot="1">
      <c r="A121" s="445" t="s">
        <v>2250</v>
      </c>
      <c r="B121" s="593" t="s">
        <v>2233</v>
      </c>
      <c r="C121" s="403" t="s">
        <v>2249</v>
      </c>
      <c r="D121" s="263" t="s">
        <v>34</v>
      </c>
      <c r="E121" s="371" t="s">
        <v>33</v>
      </c>
      <c r="F121" t="s">
        <v>2235</v>
      </c>
    </row>
    <row r="122" spans="1:6" ht="15.75" thickBot="1">
      <c r="A122" s="445" t="s">
        <v>2512</v>
      </c>
      <c r="B122" s="593" t="s">
        <v>2513</v>
      </c>
      <c r="C122" s="403" t="s">
        <v>44</v>
      </c>
      <c r="D122" s="263" t="s">
        <v>44</v>
      </c>
      <c r="E122" s="371" t="s">
        <v>33</v>
      </c>
    </row>
    <row r="123" spans="1:6" ht="15.75" thickBot="1">
      <c r="A123" s="445" t="s">
        <v>2514</v>
      </c>
      <c r="B123" s="593" t="s">
        <v>2515</v>
      </c>
      <c r="C123" s="403" t="s">
        <v>44</v>
      </c>
      <c r="D123" s="263" t="s">
        <v>44</v>
      </c>
      <c r="E123" s="371" t="s">
        <v>33</v>
      </c>
    </row>
    <row r="124" spans="1:6" ht="15.75" thickBot="1">
      <c r="A124" s="445" t="s">
        <v>2516</v>
      </c>
      <c r="B124" s="593" t="s">
        <v>2517</v>
      </c>
      <c r="C124" s="403" t="s">
        <v>44</v>
      </c>
      <c r="D124" s="263" t="s">
        <v>44</v>
      </c>
      <c r="E124" s="371" t="s">
        <v>33</v>
      </c>
    </row>
    <row r="125" spans="1:6" ht="15.75" thickBot="1">
      <c r="A125" s="445" t="s">
        <v>2518</v>
      </c>
      <c r="B125" s="593" t="s">
        <v>2519</v>
      </c>
      <c r="C125" s="403" t="s">
        <v>44</v>
      </c>
      <c r="D125" s="263" t="s">
        <v>44</v>
      </c>
      <c r="E125" s="371" t="s">
        <v>33</v>
      </c>
    </row>
    <row r="126" spans="1:6" ht="15.75" thickBot="1">
      <c r="A126" s="445" t="s">
        <v>2520</v>
      </c>
      <c r="B126" s="593" t="s">
        <v>2521</v>
      </c>
      <c r="C126" s="403" t="s">
        <v>44</v>
      </c>
      <c r="D126" s="263" t="s">
        <v>44</v>
      </c>
      <c r="E126" s="371" t="s">
        <v>33</v>
      </c>
    </row>
    <row r="127" spans="1:6" ht="15.75" thickBot="1">
      <c r="A127" s="445" t="s">
        <v>2522</v>
      </c>
      <c r="B127" s="593" t="s">
        <v>2523</v>
      </c>
      <c r="C127" s="403" t="s">
        <v>44</v>
      </c>
      <c r="D127" s="263" t="s">
        <v>44</v>
      </c>
      <c r="E127" s="371" t="s">
        <v>33</v>
      </c>
    </row>
    <row r="128" spans="1:6" ht="15.75" thickBot="1">
      <c r="A128" s="445" t="s">
        <v>2524</v>
      </c>
      <c r="B128" s="593" t="s">
        <v>2525</v>
      </c>
      <c r="C128" s="403" t="s">
        <v>2249</v>
      </c>
      <c r="D128" s="263" t="s">
        <v>43</v>
      </c>
      <c r="E128" s="371" t="s">
        <v>33</v>
      </c>
    </row>
    <row r="129" spans="1:5" ht="15.75" thickBot="1">
      <c r="A129" s="445" t="s">
        <v>2526</v>
      </c>
      <c r="B129" s="593" t="s">
        <v>2527</v>
      </c>
      <c r="C129" s="403" t="s">
        <v>2249</v>
      </c>
      <c r="D129" s="263" t="s">
        <v>43</v>
      </c>
      <c r="E129" s="371" t="s">
        <v>38</v>
      </c>
    </row>
    <row r="130" spans="1:5" ht="15.75" thickBot="1">
      <c r="A130" s="445" t="s">
        <v>2528</v>
      </c>
      <c r="B130" s="593" t="s">
        <v>2529</v>
      </c>
      <c r="C130" s="403" t="s">
        <v>2249</v>
      </c>
      <c r="D130" s="263" t="s">
        <v>43</v>
      </c>
      <c r="E130" s="371" t="s">
        <v>33</v>
      </c>
    </row>
    <row r="131" spans="1:5" ht="15.75" thickBot="1">
      <c r="A131" s="445" t="s">
        <v>2530</v>
      </c>
      <c r="B131" s="593" t="s">
        <v>2531</v>
      </c>
      <c r="C131" s="403" t="s">
        <v>2249</v>
      </c>
      <c r="D131" s="263" t="s">
        <v>44</v>
      </c>
      <c r="E131" s="371" t="s">
        <v>33</v>
      </c>
    </row>
    <row r="132" spans="1:5" ht="15.75" thickBot="1">
      <c r="A132" s="445" t="s">
        <v>2532</v>
      </c>
      <c r="B132" s="593" t="s">
        <v>2533</v>
      </c>
      <c r="C132" s="403" t="s">
        <v>44</v>
      </c>
      <c r="D132" s="263" t="s">
        <v>43</v>
      </c>
      <c r="E132" s="371" t="s">
        <v>33</v>
      </c>
    </row>
    <row r="133" spans="1:5" ht="15.75" thickBot="1">
      <c r="A133" s="445" t="s">
        <v>2534</v>
      </c>
      <c r="B133" s="593" t="s">
        <v>2535</v>
      </c>
      <c r="C133" s="403" t="s">
        <v>2249</v>
      </c>
      <c r="D133" s="263" t="s">
        <v>43</v>
      </c>
      <c r="E133" s="371" t="s">
        <v>33</v>
      </c>
    </row>
    <row r="134" spans="1:5" ht="15.75" thickBot="1">
      <c r="A134" s="445" t="s">
        <v>2202</v>
      </c>
      <c r="B134" s="593" t="s">
        <v>2536</v>
      </c>
      <c r="C134" s="403" t="s">
        <v>2249</v>
      </c>
      <c r="D134" s="263" t="s">
        <v>34</v>
      </c>
      <c r="E134" s="371" t="s">
        <v>33</v>
      </c>
    </row>
    <row r="135" spans="1:5" ht="15.75" thickBot="1">
      <c r="A135" s="445" t="s">
        <v>2537</v>
      </c>
      <c r="B135" s="593" t="s">
        <v>2538</v>
      </c>
      <c r="C135" s="403" t="s">
        <v>44</v>
      </c>
      <c r="D135" s="263" t="s">
        <v>44</v>
      </c>
      <c r="E135" s="371" t="s">
        <v>33</v>
      </c>
    </row>
    <row r="136" spans="1:5" ht="15.75" thickBot="1">
      <c r="A136" s="445" t="s">
        <v>2539</v>
      </c>
      <c r="B136" s="593" t="s">
        <v>2540</v>
      </c>
      <c r="C136" s="403" t="s">
        <v>44</v>
      </c>
      <c r="D136" s="263" t="s">
        <v>44</v>
      </c>
      <c r="E136" s="371" t="s">
        <v>33</v>
      </c>
    </row>
    <row r="137" spans="1:5" ht="15.75" thickBot="1">
      <c r="A137" s="445" t="s">
        <v>2541</v>
      </c>
      <c r="B137" s="593" t="s">
        <v>2542</v>
      </c>
      <c r="C137" s="403" t="s">
        <v>44</v>
      </c>
      <c r="D137" s="263" t="s">
        <v>44</v>
      </c>
      <c r="E137" s="371" t="s">
        <v>33</v>
      </c>
    </row>
    <row r="138" spans="1:5" ht="15.75" thickBot="1">
      <c r="A138" s="445" t="s">
        <v>1540</v>
      </c>
      <c r="B138" s="593" t="s">
        <v>1541</v>
      </c>
      <c r="C138" s="403" t="s">
        <v>2249</v>
      </c>
      <c r="D138" s="263" t="s">
        <v>34</v>
      </c>
      <c r="E138" s="371" t="s">
        <v>33</v>
      </c>
    </row>
    <row r="139" spans="1:5" ht="15.75" thickBot="1">
      <c r="A139" s="445" t="s">
        <v>2543</v>
      </c>
      <c r="B139" s="593" t="s">
        <v>2544</v>
      </c>
      <c r="C139" s="403" t="s">
        <v>44</v>
      </c>
      <c r="D139" s="263" t="s">
        <v>43</v>
      </c>
      <c r="E139" s="371" t="s">
        <v>33</v>
      </c>
    </row>
    <row r="140" spans="1:5" ht="15.75" thickBot="1">
      <c r="A140" s="445" t="s">
        <v>2545</v>
      </c>
      <c r="B140" s="593" t="s">
        <v>2546</v>
      </c>
      <c r="C140" s="403" t="s">
        <v>44</v>
      </c>
      <c r="D140" s="263" t="s">
        <v>44</v>
      </c>
      <c r="E140" s="371" t="s">
        <v>33</v>
      </c>
    </row>
    <row r="141" spans="1:5" ht="15.75" thickBot="1">
      <c r="A141" s="445" t="s">
        <v>2547</v>
      </c>
      <c r="B141" s="593" t="s">
        <v>2548</v>
      </c>
      <c r="C141" s="403" t="s">
        <v>44</v>
      </c>
      <c r="D141" s="263" t="s">
        <v>44</v>
      </c>
      <c r="E141" s="371" t="s">
        <v>33</v>
      </c>
    </row>
    <row r="142" spans="1:5" ht="15.75" thickBot="1">
      <c r="A142" s="445" t="s">
        <v>2549</v>
      </c>
      <c r="B142" s="593" t="s">
        <v>2550</v>
      </c>
      <c r="C142" s="403" t="s">
        <v>44</v>
      </c>
      <c r="D142" s="263" t="s">
        <v>44</v>
      </c>
      <c r="E142" s="371" t="s">
        <v>33</v>
      </c>
    </row>
    <row r="143" spans="1:5" ht="25.9" customHeight="1" thickBot="1">
      <c r="A143" s="445" t="s">
        <v>2551</v>
      </c>
      <c r="B143" s="593" t="s">
        <v>2552</v>
      </c>
      <c r="C143" s="403" t="s">
        <v>44</v>
      </c>
      <c r="D143" s="263" t="s">
        <v>44</v>
      </c>
      <c r="E143" s="371" t="s">
        <v>33</v>
      </c>
    </row>
    <row r="144" spans="1:5" ht="30.75" thickBot="1">
      <c r="A144" s="445" t="s">
        <v>2553</v>
      </c>
      <c r="B144" s="593" t="s">
        <v>2554</v>
      </c>
      <c r="C144" s="403" t="s">
        <v>44</v>
      </c>
      <c r="D144" s="263" t="s">
        <v>44</v>
      </c>
      <c r="E144" s="371" t="s">
        <v>33</v>
      </c>
    </row>
    <row r="145" spans="1:5" ht="15.75" thickBot="1">
      <c r="A145" s="445" t="s">
        <v>2555</v>
      </c>
      <c r="B145" s="593" t="s">
        <v>2556</v>
      </c>
      <c r="C145" s="403" t="s">
        <v>44</v>
      </c>
      <c r="D145" s="263" t="s">
        <v>44</v>
      </c>
      <c r="E145" s="371" t="s">
        <v>33</v>
      </c>
    </row>
    <row r="146" spans="1:5" ht="15.75" thickBot="1">
      <c r="A146" s="445" t="s">
        <v>1245</v>
      </c>
      <c r="B146" s="593" t="s">
        <v>2557</v>
      </c>
      <c r="C146" s="403" t="s">
        <v>2249</v>
      </c>
      <c r="D146" s="263" t="s">
        <v>34</v>
      </c>
      <c r="E146" s="371" t="s">
        <v>33</v>
      </c>
    </row>
    <row r="147" spans="1:5" ht="15.75" thickBot="1">
      <c r="A147" s="445" t="s">
        <v>2558</v>
      </c>
      <c r="B147" s="593" t="s">
        <v>2559</v>
      </c>
      <c r="C147" s="403" t="s">
        <v>1010</v>
      </c>
      <c r="D147" s="263" t="s">
        <v>34</v>
      </c>
      <c r="E147" s="371" t="s">
        <v>38</v>
      </c>
    </row>
    <row r="148" spans="1:5" ht="15.75" thickBot="1">
      <c r="A148" s="445" t="s">
        <v>2560</v>
      </c>
      <c r="B148" s="593" t="s">
        <v>2216</v>
      </c>
      <c r="C148" s="403" t="s">
        <v>2249</v>
      </c>
      <c r="D148" s="263" t="s">
        <v>34</v>
      </c>
      <c r="E148" s="371" t="s">
        <v>33</v>
      </c>
    </row>
    <row r="149" spans="1:5" ht="15.75" thickBot="1">
      <c r="A149" s="445" t="s">
        <v>2561</v>
      </c>
      <c r="B149" s="593" t="s">
        <v>2562</v>
      </c>
      <c r="C149" s="403" t="s">
        <v>2458</v>
      </c>
      <c r="D149" s="263" t="s">
        <v>34</v>
      </c>
      <c r="E149" s="371" t="s">
        <v>33</v>
      </c>
    </row>
    <row r="150" spans="1:5" ht="15.75" thickBot="1">
      <c r="A150" s="445" t="s">
        <v>1570</v>
      </c>
      <c r="B150" s="593" t="s">
        <v>2563</v>
      </c>
      <c r="C150" s="403" t="s">
        <v>2249</v>
      </c>
      <c r="D150" s="263" t="s">
        <v>34</v>
      </c>
      <c r="E150" s="371" t="s">
        <v>33</v>
      </c>
    </row>
    <row r="151" spans="1:5" ht="15.75" thickBot="1">
      <c r="A151" s="445" t="s">
        <v>1475</v>
      </c>
      <c r="B151" s="593" t="s">
        <v>2564</v>
      </c>
      <c r="C151" s="403" t="s">
        <v>2249</v>
      </c>
      <c r="D151" s="263" t="s">
        <v>34</v>
      </c>
      <c r="E151" s="371" t="s">
        <v>33</v>
      </c>
    </row>
    <row r="152" spans="1:5" ht="15.75" thickBot="1">
      <c r="A152" s="445" t="s">
        <v>1493</v>
      </c>
      <c r="B152" s="593" t="s">
        <v>2565</v>
      </c>
      <c r="C152" s="403" t="s">
        <v>2249</v>
      </c>
      <c r="D152" s="263" t="s">
        <v>34</v>
      </c>
      <c r="E152" s="371" t="s">
        <v>33</v>
      </c>
    </row>
    <row r="153" spans="1:5" ht="29.45" customHeight="1" thickBot="1">
      <c r="A153" s="445" t="s">
        <v>2566</v>
      </c>
      <c r="B153" s="593" t="s">
        <v>2567</v>
      </c>
      <c r="C153" s="403" t="s">
        <v>2249</v>
      </c>
      <c r="D153" s="263" t="s">
        <v>34</v>
      </c>
      <c r="E153" s="371" t="s">
        <v>33</v>
      </c>
    </row>
    <row r="154" spans="1:5" ht="15.75" thickBot="1">
      <c r="A154" s="445" t="s">
        <v>1823</v>
      </c>
      <c r="B154" s="593" t="s">
        <v>2568</v>
      </c>
      <c r="C154" s="403" t="s">
        <v>2249</v>
      </c>
      <c r="D154" s="263" t="s">
        <v>34</v>
      </c>
      <c r="E154" s="371" t="s">
        <v>33</v>
      </c>
    </row>
    <row r="155" spans="1:5" ht="30.75" thickBot="1">
      <c r="A155" s="445" t="s">
        <v>2569</v>
      </c>
      <c r="B155" s="593" t="s">
        <v>2570</v>
      </c>
      <c r="C155" s="403" t="s">
        <v>2249</v>
      </c>
      <c r="D155" s="263" t="s">
        <v>34</v>
      </c>
      <c r="E155" s="371" t="s">
        <v>33</v>
      </c>
    </row>
    <row r="156" spans="1:5" ht="30" customHeight="1" thickBot="1">
      <c r="A156" s="445" t="s">
        <v>2251</v>
      </c>
      <c r="B156" s="593" t="s">
        <v>2571</v>
      </c>
      <c r="C156" s="403" t="s">
        <v>2249</v>
      </c>
      <c r="D156" s="263" t="s">
        <v>34</v>
      </c>
      <c r="E156" s="371" t="s">
        <v>33</v>
      </c>
    </row>
    <row r="157" spans="1:5" ht="30.75" thickBot="1">
      <c r="A157" s="445" t="s">
        <v>2572</v>
      </c>
      <c r="B157" s="593" t="s">
        <v>2573</v>
      </c>
      <c r="C157" s="403" t="s">
        <v>44</v>
      </c>
      <c r="D157" s="263" t="s">
        <v>44</v>
      </c>
      <c r="E157" s="371" t="s">
        <v>33</v>
      </c>
    </row>
    <row r="158" spans="1:5" ht="15.75" thickBot="1">
      <c r="A158" s="445" t="s">
        <v>1811</v>
      </c>
      <c r="B158" s="593" t="s">
        <v>2574</v>
      </c>
      <c r="C158" s="403" t="s">
        <v>2249</v>
      </c>
      <c r="D158" s="263" t="s">
        <v>34</v>
      </c>
      <c r="E158" s="371" t="s">
        <v>33</v>
      </c>
    </row>
    <row r="159" spans="1:5" ht="15.75" thickBot="1">
      <c r="A159" s="445" t="s">
        <v>2575</v>
      </c>
      <c r="B159" s="593" t="s">
        <v>2259</v>
      </c>
      <c r="C159" s="403" t="s">
        <v>2249</v>
      </c>
      <c r="D159" s="263" t="s">
        <v>34</v>
      </c>
      <c r="E159" s="371" t="s">
        <v>33</v>
      </c>
    </row>
    <row r="160" spans="1:5" ht="30.75" thickBot="1">
      <c r="A160" s="445" t="s">
        <v>2576</v>
      </c>
      <c r="B160" s="593" t="s">
        <v>2577</v>
      </c>
      <c r="C160" s="403" t="s">
        <v>2249</v>
      </c>
      <c r="D160" s="263" t="s">
        <v>34</v>
      </c>
      <c r="E160" s="371" t="s">
        <v>33</v>
      </c>
    </row>
    <row r="161" spans="1:5" ht="30.75" thickBot="1">
      <c r="A161" s="445" t="s">
        <v>1831</v>
      </c>
      <c r="B161" s="593" t="s">
        <v>2578</v>
      </c>
      <c r="C161" s="403" t="s">
        <v>2249</v>
      </c>
      <c r="D161" s="263" t="s">
        <v>34</v>
      </c>
      <c r="E161" s="371" t="s">
        <v>33</v>
      </c>
    </row>
    <row r="162" spans="1:5" ht="45.75" thickBot="1">
      <c r="A162" s="445" t="s">
        <v>1837</v>
      </c>
      <c r="B162" s="593" t="s">
        <v>2579</v>
      </c>
      <c r="C162" s="403" t="s">
        <v>2249</v>
      </c>
      <c r="D162" s="263" t="s">
        <v>34</v>
      </c>
      <c r="E162" s="371" t="s">
        <v>33</v>
      </c>
    </row>
    <row r="163" spans="1:5" ht="45.75" thickBot="1">
      <c r="A163" s="445" t="s">
        <v>2580</v>
      </c>
      <c r="B163" s="593" t="s">
        <v>2581</v>
      </c>
      <c r="C163" s="403" t="s">
        <v>2249</v>
      </c>
      <c r="D163" s="263" t="s">
        <v>34</v>
      </c>
      <c r="E163" s="371" t="s">
        <v>33</v>
      </c>
    </row>
    <row r="164" spans="1:5" ht="15.75" thickBot="1">
      <c r="A164" s="445" t="s">
        <v>1301</v>
      </c>
      <c r="B164" s="593" t="s">
        <v>2582</v>
      </c>
      <c r="C164" s="403" t="s">
        <v>2249</v>
      </c>
      <c r="D164" s="263" t="s">
        <v>34</v>
      </c>
      <c r="E164" s="371" t="s">
        <v>33</v>
      </c>
    </row>
    <row r="165" spans="1:5" ht="23.45" customHeight="1" thickBot="1">
      <c r="A165" s="445" t="s">
        <v>2583</v>
      </c>
      <c r="B165" s="593" t="s">
        <v>2584</v>
      </c>
      <c r="C165" s="403" t="s">
        <v>44</v>
      </c>
      <c r="D165" s="263" t="s">
        <v>44</v>
      </c>
      <c r="E165" s="371" t="s">
        <v>33</v>
      </c>
    </row>
    <row r="166" spans="1:5" ht="30.75" thickBot="1">
      <c r="A166" s="445" t="s">
        <v>1846</v>
      </c>
      <c r="B166" s="593" t="s">
        <v>2261</v>
      </c>
      <c r="C166" s="403" t="s">
        <v>2249</v>
      </c>
      <c r="D166" s="263" t="s">
        <v>34</v>
      </c>
      <c r="E166" s="371" t="s">
        <v>33</v>
      </c>
    </row>
    <row r="167" spans="1:5" ht="30.75" thickBot="1">
      <c r="A167" s="445" t="s">
        <v>1549</v>
      </c>
      <c r="B167" s="593" t="s">
        <v>2585</v>
      </c>
      <c r="C167" s="403" t="s">
        <v>2249</v>
      </c>
      <c r="D167" s="263" t="s">
        <v>34</v>
      </c>
      <c r="E167" s="371" t="s">
        <v>33</v>
      </c>
    </row>
    <row r="168" spans="1:5" ht="30.75" thickBot="1">
      <c r="A168" s="445" t="s">
        <v>2586</v>
      </c>
      <c r="B168" s="593" t="s">
        <v>2587</v>
      </c>
      <c r="C168" s="403" t="s">
        <v>2249</v>
      </c>
      <c r="D168" s="263" t="s">
        <v>34</v>
      </c>
      <c r="E168" s="371" t="s">
        <v>33</v>
      </c>
    </row>
    <row r="169" spans="1:5" ht="15.75" thickBot="1">
      <c r="A169" s="445" t="s">
        <v>1154</v>
      </c>
      <c r="B169" s="593" t="s">
        <v>2588</v>
      </c>
      <c r="C169" s="403" t="s">
        <v>2249</v>
      </c>
      <c r="D169" s="263" t="s">
        <v>34</v>
      </c>
      <c r="E169" s="371" t="s">
        <v>33</v>
      </c>
    </row>
    <row r="170" spans="1:5" ht="15.75" thickBot="1">
      <c r="A170" s="445" t="s">
        <v>1116</v>
      </c>
      <c r="B170" s="593" t="s">
        <v>2589</v>
      </c>
      <c r="C170" s="403" t="s">
        <v>1010</v>
      </c>
      <c r="D170" s="263" t="s">
        <v>34</v>
      </c>
      <c r="E170" s="371" t="s">
        <v>38</v>
      </c>
    </row>
    <row r="171" spans="1:5" ht="15.75" thickBot="1">
      <c r="A171" s="445" t="s">
        <v>1741</v>
      </c>
      <c r="B171" s="593" t="s">
        <v>2590</v>
      </c>
      <c r="C171" s="403" t="s">
        <v>2249</v>
      </c>
      <c r="D171" s="263" t="s">
        <v>34</v>
      </c>
      <c r="E171" s="371" t="s">
        <v>33</v>
      </c>
    </row>
    <row r="172" spans="1:5" ht="15.75" thickBot="1">
      <c r="A172" s="445" t="s">
        <v>2591</v>
      </c>
      <c r="B172" s="593" t="s">
        <v>2592</v>
      </c>
      <c r="C172" s="403" t="s">
        <v>2249</v>
      </c>
      <c r="D172" s="263" t="s">
        <v>34</v>
      </c>
      <c r="E172" s="371" t="s">
        <v>33</v>
      </c>
    </row>
    <row r="173" spans="1:5" ht="15.75" thickBot="1">
      <c r="A173" s="445" t="s">
        <v>2593</v>
      </c>
      <c r="B173" s="593" t="s">
        <v>2594</v>
      </c>
      <c r="C173" s="403" t="s">
        <v>2249</v>
      </c>
      <c r="D173" s="263" t="s">
        <v>34</v>
      </c>
      <c r="E173" s="371" t="s">
        <v>33</v>
      </c>
    </row>
    <row r="174" spans="1:5" ht="15.75" thickBot="1">
      <c r="A174" s="445" t="s">
        <v>1157</v>
      </c>
      <c r="B174" s="593" t="s">
        <v>1402</v>
      </c>
      <c r="C174" s="403" t="s">
        <v>2249</v>
      </c>
      <c r="D174" s="263" t="s">
        <v>34</v>
      </c>
      <c r="E174" s="371" t="s">
        <v>33</v>
      </c>
    </row>
    <row r="175" spans="1:5" ht="30.75" thickBot="1">
      <c r="A175" s="445" t="s">
        <v>1232</v>
      </c>
      <c r="B175" s="593" t="s">
        <v>2595</v>
      </c>
      <c r="C175" s="403" t="s">
        <v>2249</v>
      </c>
      <c r="D175" s="263" t="s">
        <v>34</v>
      </c>
      <c r="E175" s="371" t="s">
        <v>33</v>
      </c>
    </row>
    <row r="176" spans="1:5" ht="24" customHeight="1" thickBot="1">
      <c r="A176" s="445" t="s">
        <v>1178</v>
      </c>
      <c r="B176" s="593" t="s">
        <v>2596</v>
      </c>
      <c r="C176" s="403" t="s">
        <v>2249</v>
      </c>
      <c r="D176" s="263" t="s">
        <v>34</v>
      </c>
      <c r="E176" s="371" t="s">
        <v>33</v>
      </c>
    </row>
    <row r="177" spans="1:6" ht="15.75" thickBot="1">
      <c r="A177" s="445" t="s">
        <v>2597</v>
      </c>
      <c r="B177" s="593" t="s">
        <v>2598</v>
      </c>
      <c r="C177" s="403" t="s">
        <v>2249</v>
      </c>
      <c r="D177" s="263" t="s">
        <v>39</v>
      </c>
      <c r="E177" s="371" t="s">
        <v>33</v>
      </c>
    </row>
    <row r="178" spans="1:6" ht="15.75" thickBot="1">
      <c r="A178" s="445" t="s">
        <v>2599</v>
      </c>
      <c r="B178" s="593" t="s">
        <v>2600</v>
      </c>
      <c r="C178" s="403" t="s">
        <v>2249</v>
      </c>
      <c r="D178" s="263" t="s">
        <v>34</v>
      </c>
      <c r="E178" s="371" t="s">
        <v>33</v>
      </c>
    </row>
    <row r="179" spans="1:6" ht="15.75" thickBot="1">
      <c r="A179" s="445" t="s">
        <v>2601</v>
      </c>
      <c r="B179" s="593" t="s">
        <v>2602</v>
      </c>
      <c r="C179" s="403" t="s">
        <v>2249</v>
      </c>
      <c r="D179" s="263" t="s">
        <v>34</v>
      </c>
      <c r="E179" s="371" t="s">
        <v>33</v>
      </c>
    </row>
    <row r="180" spans="1:6" ht="15.75" thickBot="1">
      <c r="A180" s="445" t="s">
        <v>2603</v>
      </c>
      <c r="B180" s="600" t="s">
        <v>2604</v>
      </c>
      <c r="C180" s="564" t="s">
        <v>44</v>
      </c>
      <c r="D180" s="563" t="s">
        <v>44</v>
      </c>
      <c r="E180" s="614" t="s">
        <v>33</v>
      </c>
      <c r="F180" t="s">
        <v>2605</v>
      </c>
    </row>
    <row r="181" spans="1:6" ht="30.75" thickBot="1">
      <c r="A181" s="445" t="s">
        <v>2606</v>
      </c>
      <c r="B181" s="593" t="s">
        <v>2607</v>
      </c>
      <c r="C181" s="403" t="s">
        <v>2249</v>
      </c>
      <c r="D181" s="263" t="s">
        <v>44</v>
      </c>
      <c r="E181" s="371" t="s">
        <v>33</v>
      </c>
    </row>
    <row r="182" spans="1:6" ht="15.75" thickBot="1">
      <c r="A182" s="445" t="s">
        <v>1372</v>
      </c>
      <c r="B182" s="593" t="s">
        <v>2608</v>
      </c>
      <c r="C182" s="403" t="s">
        <v>2249</v>
      </c>
      <c r="D182" s="263" t="s">
        <v>34</v>
      </c>
      <c r="E182" s="371" t="s">
        <v>33</v>
      </c>
    </row>
    <row r="183" spans="1:6" ht="15.75" thickBot="1">
      <c r="A183" s="445" t="s">
        <v>2609</v>
      </c>
      <c r="B183" s="593" t="s">
        <v>2610</v>
      </c>
      <c r="C183" s="403" t="s">
        <v>2249</v>
      </c>
      <c r="D183" s="263" t="s">
        <v>44</v>
      </c>
      <c r="E183" s="371" t="s">
        <v>33</v>
      </c>
    </row>
    <row r="184" spans="1:6" ht="30.75" thickBot="1">
      <c r="A184" s="445" t="s">
        <v>2186</v>
      </c>
      <c r="B184" s="593" t="s">
        <v>2611</v>
      </c>
      <c r="C184" s="403" t="s">
        <v>2249</v>
      </c>
      <c r="D184" s="263" t="s">
        <v>34</v>
      </c>
      <c r="E184" s="371" t="s">
        <v>33</v>
      </c>
    </row>
    <row r="185" spans="1:6" ht="15.75" thickBot="1">
      <c r="A185" s="445" t="s">
        <v>2612</v>
      </c>
      <c r="B185" s="593" t="s">
        <v>2613</v>
      </c>
      <c r="C185" s="403" t="s">
        <v>2249</v>
      </c>
      <c r="D185" s="263" t="s">
        <v>34</v>
      </c>
      <c r="E185" s="371" t="s">
        <v>33</v>
      </c>
    </row>
    <row r="186" spans="1:6" ht="15.75" thickBot="1">
      <c r="A186" s="445" t="s">
        <v>2614</v>
      </c>
      <c r="B186" s="593" t="s">
        <v>2615</v>
      </c>
      <c r="C186" s="403" t="s">
        <v>2249</v>
      </c>
      <c r="D186" s="263" t="s">
        <v>34</v>
      </c>
      <c r="E186" s="371" t="s">
        <v>33</v>
      </c>
    </row>
    <row r="187" spans="1:6" ht="15.75" thickBot="1">
      <c r="A187" s="445" t="s">
        <v>2616</v>
      </c>
      <c r="B187" s="593" t="s">
        <v>2617</v>
      </c>
      <c r="C187" s="403" t="s">
        <v>44</v>
      </c>
      <c r="D187" s="263" t="s">
        <v>34</v>
      </c>
      <c r="E187" s="371" t="s">
        <v>33</v>
      </c>
    </row>
    <row r="188" spans="1:6" ht="15.75" thickBot="1">
      <c r="A188" s="445" t="s">
        <v>2618</v>
      </c>
      <c r="B188" s="593" t="s">
        <v>2619</v>
      </c>
      <c r="C188" s="403" t="s">
        <v>2249</v>
      </c>
      <c r="D188" s="263" t="s">
        <v>43</v>
      </c>
      <c r="E188" s="371" t="s">
        <v>33</v>
      </c>
    </row>
    <row r="189" spans="1:6" ht="30.75" thickBot="1">
      <c r="A189" s="445" t="s">
        <v>1853</v>
      </c>
      <c r="B189" s="593" t="s">
        <v>1854</v>
      </c>
      <c r="C189" s="403" t="s">
        <v>2249</v>
      </c>
      <c r="D189" s="263" t="s">
        <v>34</v>
      </c>
      <c r="E189" s="371" t="s">
        <v>33</v>
      </c>
    </row>
    <row r="190" spans="1:6" ht="30.75" thickBot="1">
      <c r="A190" s="445" t="s">
        <v>2620</v>
      </c>
      <c r="B190" s="600" t="s">
        <v>2621</v>
      </c>
      <c r="C190" s="564" t="s">
        <v>44</v>
      </c>
      <c r="D190" s="563" t="s">
        <v>34</v>
      </c>
      <c r="E190" s="614" t="s">
        <v>33</v>
      </c>
      <c r="F190" t="s">
        <v>2622</v>
      </c>
    </row>
    <row r="191" spans="1:6" ht="30.75" thickBot="1">
      <c r="A191" s="445" t="s">
        <v>2623</v>
      </c>
      <c r="B191" s="593" t="s">
        <v>2624</v>
      </c>
      <c r="C191" s="403" t="s">
        <v>2249</v>
      </c>
      <c r="D191" s="263" t="s">
        <v>34</v>
      </c>
      <c r="E191" s="371" t="s">
        <v>33</v>
      </c>
    </row>
    <row r="192" spans="1:6" ht="30.75" thickBot="1">
      <c r="A192" s="445" t="s">
        <v>1257</v>
      </c>
      <c r="B192" s="593" t="s">
        <v>2625</v>
      </c>
      <c r="C192" s="403" t="s">
        <v>2249</v>
      </c>
      <c r="D192" s="263" t="s">
        <v>34</v>
      </c>
      <c r="E192" s="371" t="s">
        <v>33</v>
      </c>
    </row>
    <row r="193" spans="1:6" ht="15.75" thickBot="1">
      <c r="A193" s="445" t="s">
        <v>2626</v>
      </c>
      <c r="B193" s="593" t="s">
        <v>2627</v>
      </c>
      <c r="C193" s="403" t="s">
        <v>44</v>
      </c>
      <c r="D193" s="263" t="s">
        <v>44</v>
      </c>
      <c r="E193" s="371" t="s">
        <v>33</v>
      </c>
    </row>
    <row r="194" spans="1:6" ht="30.75" thickBot="1">
      <c r="A194" s="445" t="s">
        <v>2263</v>
      </c>
      <c r="B194" s="593" t="s">
        <v>2264</v>
      </c>
      <c r="C194" s="403" t="s">
        <v>2249</v>
      </c>
      <c r="D194" s="263" t="s">
        <v>34</v>
      </c>
      <c r="E194" s="371" t="s">
        <v>33</v>
      </c>
      <c r="F194" t="s">
        <v>2628</v>
      </c>
    </row>
    <row r="195" spans="1:6" ht="15.75" thickBot="1">
      <c r="A195" s="445" t="s">
        <v>2629</v>
      </c>
      <c r="B195" s="593" t="s">
        <v>2630</v>
      </c>
      <c r="C195" s="403" t="s">
        <v>2249</v>
      </c>
      <c r="D195" s="263" t="s">
        <v>34</v>
      </c>
      <c r="E195" s="371" t="s">
        <v>33</v>
      </c>
    </row>
    <row r="196" spans="1:6" ht="30.75" thickBot="1">
      <c r="A196" s="445" t="s">
        <v>2631</v>
      </c>
      <c r="B196" s="593" t="s">
        <v>2632</v>
      </c>
      <c r="C196" s="403" t="s">
        <v>44</v>
      </c>
      <c r="D196" s="263" t="s">
        <v>44</v>
      </c>
      <c r="E196" s="371" t="s">
        <v>33</v>
      </c>
    </row>
    <row r="197" spans="1:6" ht="15.75" thickBot="1">
      <c r="A197" s="445" t="s">
        <v>2633</v>
      </c>
      <c r="B197" s="593" t="s">
        <v>2634</v>
      </c>
      <c r="C197" s="403" t="s">
        <v>2249</v>
      </c>
      <c r="D197" s="263" t="s">
        <v>34</v>
      </c>
      <c r="E197" s="371" t="s">
        <v>33</v>
      </c>
      <c r="F197" t="s">
        <v>2628</v>
      </c>
    </row>
    <row r="198" spans="1:6" ht="30.75" thickBot="1">
      <c r="A198" s="445" t="s">
        <v>2635</v>
      </c>
      <c r="B198" s="593" t="s">
        <v>2636</v>
      </c>
      <c r="C198" s="403" t="s">
        <v>2249</v>
      </c>
      <c r="D198" s="263" t="s">
        <v>34</v>
      </c>
      <c r="E198" s="371" t="s">
        <v>33</v>
      </c>
    </row>
    <row r="199" spans="1:6" ht="15.75" thickBot="1">
      <c r="A199" s="445" t="s">
        <v>2637</v>
      </c>
      <c r="B199" s="593" t="s">
        <v>2638</v>
      </c>
      <c r="C199" s="403" t="s">
        <v>2249</v>
      </c>
      <c r="D199" s="263" t="s">
        <v>34</v>
      </c>
      <c r="E199" s="371" t="s">
        <v>33</v>
      </c>
    </row>
    <row r="200" spans="1:6" ht="15.75" thickBot="1">
      <c r="A200" s="445" t="s">
        <v>2639</v>
      </c>
      <c r="B200" s="593" t="s">
        <v>2640</v>
      </c>
      <c r="C200" s="403" t="s">
        <v>2249</v>
      </c>
      <c r="D200" s="263" t="s">
        <v>34</v>
      </c>
      <c r="E200" s="371" t="s">
        <v>33</v>
      </c>
      <c r="F200" s="598" t="s">
        <v>2641</v>
      </c>
    </row>
    <row r="201" spans="1:6" ht="30.75" thickBot="1">
      <c r="A201" s="445" t="s">
        <v>2642</v>
      </c>
      <c r="B201" s="593" t="s">
        <v>2643</v>
      </c>
      <c r="C201" s="403" t="s">
        <v>2249</v>
      </c>
      <c r="D201" s="263" t="s">
        <v>34</v>
      </c>
      <c r="E201" s="371" t="s">
        <v>33</v>
      </c>
    </row>
    <row r="202" spans="1:6" ht="30.75" thickBot="1">
      <c r="A202" s="445" t="s">
        <v>2644</v>
      </c>
      <c r="B202" s="593" t="s">
        <v>2645</v>
      </c>
      <c r="C202" s="403" t="s">
        <v>2249</v>
      </c>
      <c r="D202" s="263" t="s">
        <v>34</v>
      </c>
      <c r="E202" s="371" t="s">
        <v>33</v>
      </c>
    </row>
    <row r="203" spans="1:6" ht="30.75" thickBot="1">
      <c r="A203" s="445" t="s">
        <v>2646</v>
      </c>
      <c r="B203" s="593" t="s">
        <v>2647</v>
      </c>
      <c r="C203" s="403" t="s">
        <v>2249</v>
      </c>
      <c r="D203" s="263" t="s">
        <v>34</v>
      </c>
      <c r="E203" s="371" t="s">
        <v>33</v>
      </c>
    </row>
    <row r="204" spans="1:6" ht="30.75" thickBot="1">
      <c r="A204" s="445" t="s">
        <v>2648</v>
      </c>
      <c r="B204" s="593" t="s">
        <v>2649</v>
      </c>
      <c r="C204" s="403" t="s">
        <v>2249</v>
      </c>
      <c r="D204" s="263" t="s">
        <v>44</v>
      </c>
      <c r="E204" s="371" t="s">
        <v>33</v>
      </c>
    </row>
    <row r="205" spans="1:6" ht="15.75" thickBot="1">
      <c r="A205" s="445" t="s">
        <v>2650</v>
      </c>
      <c r="B205" s="593" t="s">
        <v>2651</v>
      </c>
      <c r="C205" s="403" t="s">
        <v>2249</v>
      </c>
      <c r="D205" s="263" t="s">
        <v>34</v>
      </c>
      <c r="E205" s="371" t="s">
        <v>33</v>
      </c>
    </row>
    <row r="206" spans="1:6" ht="30.75" thickBot="1">
      <c r="A206" s="445" t="s">
        <v>2652</v>
      </c>
      <c r="B206" s="593" t="s">
        <v>2653</v>
      </c>
      <c r="C206" s="403" t="s">
        <v>2249</v>
      </c>
      <c r="D206" s="263" t="s">
        <v>34</v>
      </c>
      <c r="E206" s="371" t="s">
        <v>33</v>
      </c>
    </row>
    <row r="207" spans="1:6" ht="15.75" thickBot="1">
      <c r="A207" s="445" t="s">
        <v>2654</v>
      </c>
      <c r="B207" s="593" t="s">
        <v>2655</v>
      </c>
      <c r="C207" s="403" t="s">
        <v>2249</v>
      </c>
      <c r="D207" s="263" t="s">
        <v>34</v>
      </c>
      <c r="E207" s="371" t="s">
        <v>33</v>
      </c>
    </row>
    <row r="208" spans="1:6" ht="30.75" thickBot="1">
      <c r="A208" s="445" t="s">
        <v>2656</v>
      </c>
      <c r="B208" s="593" t="s">
        <v>2657</v>
      </c>
      <c r="C208" s="403" t="s">
        <v>2249</v>
      </c>
      <c r="D208" s="263" t="s">
        <v>43</v>
      </c>
      <c r="E208" s="371" t="s">
        <v>33</v>
      </c>
    </row>
    <row r="209" spans="1:6" ht="15.75" thickBot="1">
      <c r="A209" s="445" t="s">
        <v>2658</v>
      </c>
      <c r="B209" s="593" t="s">
        <v>2659</v>
      </c>
      <c r="C209" s="403" t="s">
        <v>44</v>
      </c>
      <c r="D209" s="263" t="s">
        <v>44</v>
      </c>
      <c r="E209" s="371" t="s">
        <v>33</v>
      </c>
    </row>
    <row r="210" spans="1:6" ht="15.75" thickBot="1">
      <c r="A210" s="445" t="s">
        <v>2660</v>
      </c>
      <c r="B210" s="593" t="s">
        <v>2661</v>
      </c>
      <c r="C210" s="403" t="s">
        <v>44</v>
      </c>
      <c r="D210" s="263" t="s">
        <v>44</v>
      </c>
      <c r="E210" s="371" t="s">
        <v>33</v>
      </c>
    </row>
    <row r="211" spans="1:6" ht="15.75" thickBot="1">
      <c r="A211" s="445" t="s">
        <v>2662</v>
      </c>
      <c r="B211" s="593" t="s">
        <v>2663</v>
      </c>
      <c r="C211" s="403" t="s">
        <v>44</v>
      </c>
      <c r="D211" s="263" t="s">
        <v>43</v>
      </c>
      <c r="E211" s="371" t="s">
        <v>33</v>
      </c>
    </row>
    <row r="212" spans="1:6" ht="15.75" thickBot="1">
      <c r="A212" s="445" t="s">
        <v>2664</v>
      </c>
      <c r="B212" s="593" t="s">
        <v>2665</v>
      </c>
      <c r="C212" s="403" t="s">
        <v>44</v>
      </c>
      <c r="D212" s="263" t="s">
        <v>44</v>
      </c>
      <c r="E212" s="371" t="s">
        <v>33</v>
      </c>
    </row>
    <row r="213" spans="1:6" ht="15.75" thickBot="1">
      <c r="A213" s="445" t="s">
        <v>2666</v>
      </c>
      <c r="B213" s="593" t="s">
        <v>2667</v>
      </c>
      <c r="C213" s="403" t="s">
        <v>44</v>
      </c>
      <c r="D213" s="263" t="s">
        <v>44</v>
      </c>
      <c r="E213" s="371" t="s">
        <v>33</v>
      </c>
    </row>
    <row r="214" spans="1:6" ht="15.75" thickBot="1">
      <c r="A214" s="445" t="s">
        <v>2267</v>
      </c>
      <c r="B214" s="593" t="s">
        <v>2268</v>
      </c>
      <c r="C214" s="403" t="s">
        <v>2249</v>
      </c>
      <c r="D214" s="263" t="s">
        <v>34</v>
      </c>
      <c r="E214" s="371" t="s">
        <v>33</v>
      </c>
      <c r="F214" t="s">
        <v>2668</v>
      </c>
    </row>
    <row r="215" spans="1:6" ht="15.75" thickBot="1">
      <c r="A215" s="445" t="s">
        <v>2669</v>
      </c>
      <c r="B215" s="593" t="s">
        <v>2670</v>
      </c>
      <c r="C215" s="403" t="s">
        <v>2249</v>
      </c>
      <c r="D215" s="263" t="s">
        <v>34</v>
      </c>
      <c r="E215" s="371" t="s">
        <v>33</v>
      </c>
      <c r="F215" t="s">
        <v>2668</v>
      </c>
    </row>
    <row r="216" spans="1:6" ht="15.75" thickBot="1">
      <c r="A216" s="445" t="s">
        <v>2671</v>
      </c>
      <c r="B216" s="593" t="s">
        <v>2672</v>
      </c>
      <c r="C216" s="403" t="s">
        <v>2249</v>
      </c>
      <c r="D216" s="263" t="s">
        <v>34</v>
      </c>
      <c r="E216" s="371" t="s">
        <v>33</v>
      </c>
    </row>
    <row r="217" spans="1:6" ht="15.75" thickBot="1">
      <c r="A217" s="445" t="s">
        <v>2673</v>
      </c>
      <c r="B217" s="593" t="s">
        <v>2674</v>
      </c>
      <c r="C217" s="403" t="s">
        <v>2249</v>
      </c>
      <c r="D217" s="263" t="s">
        <v>43</v>
      </c>
      <c r="E217" s="371" t="s">
        <v>33</v>
      </c>
    </row>
    <row r="218" spans="1:6" ht="15.75" thickBot="1">
      <c r="A218" s="445" t="s">
        <v>2675</v>
      </c>
      <c r="B218" s="593" t="s">
        <v>2676</v>
      </c>
      <c r="C218" s="403" t="s">
        <v>44</v>
      </c>
      <c r="D218" s="263" t="s">
        <v>44</v>
      </c>
      <c r="E218" s="371" t="s">
        <v>33</v>
      </c>
    </row>
    <row r="219" spans="1:6" ht="15.75" thickBot="1">
      <c r="A219" s="445" t="s">
        <v>2677</v>
      </c>
      <c r="B219" s="593" t="s">
        <v>2678</v>
      </c>
      <c r="C219" s="403" t="s">
        <v>44</v>
      </c>
      <c r="D219" s="263" t="s">
        <v>44</v>
      </c>
      <c r="E219" s="371" t="s">
        <v>33</v>
      </c>
    </row>
    <row r="220" spans="1:6" ht="15.75" thickBot="1">
      <c r="A220" s="445" t="s">
        <v>2679</v>
      </c>
      <c r="B220" s="593" t="s">
        <v>2680</v>
      </c>
      <c r="C220" s="403" t="s">
        <v>44</v>
      </c>
      <c r="D220" s="263" t="s">
        <v>44</v>
      </c>
      <c r="E220" s="371" t="s">
        <v>33</v>
      </c>
    </row>
    <row r="221" spans="1:6" ht="30.75" thickBot="1">
      <c r="A221" s="445" t="s">
        <v>2681</v>
      </c>
      <c r="B221" s="593" t="s">
        <v>2682</v>
      </c>
      <c r="C221" s="403" t="s">
        <v>44</v>
      </c>
      <c r="D221" s="263" t="s">
        <v>44</v>
      </c>
      <c r="E221" s="371" t="s">
        <v>33</v>
      </c>
    </row>
    <row r="222" spans="1:6" ht="30.75" thickBot="1">
      <c r="A222" s="445" t="s">
        <v>2271</v>
      </c>
      <c r="B222" s="593" t="s">
        <v>2272</v>
      </c>
      <c r="C222" s="403" t="s">
        <v>2249</v>
      </c>
      <c r="D222" s="263" t="s">
        <v>34</v>
      </c>
      <c r="E222" s="371" t="s">
        <v>33</v>
      </c>
      <c r="F222" t="s">
        <v>2668</v>
      </c>
    </row>
    <row r="223" spans="1:6" ht="15.75" thickBot="1">
      <c r="A223" s="445" t="s">
        <v>2683</v>
      </c>
      <c r="B223" s="593" t="s">
        <v>2684</v>
      </c>
      <c r="C223" s="403" t="s">
        <v>44</v>
      </c>
      <c r="D223" s="263" t="s">
        <v>44</v>
      </c>
      <c r="E223" s="371" t="s">
        <v>33</v>
      </c>
    </row>
    <row r="224" spans="1:6" ht="15.75" thickBot="1">
      <c r="A224" s="445" t="s">
        <v>2685</v>
      </c>
      <c r="B224" s="593" t="s">
        <v>2686</v>
      </c>
      <c r="C224" s="403" t="s">
        <v>2249</v>
      </c>
      <c r="D224" s="263" t="s">
        <v>43</v>
      </c>
      <c r="E224" s="371" t="s">
        <v>33</v>
      </c>
    </row>
    <row r="225" spans="1:5" ht="15.75" thickBot="1">
      <c r="A225" s="445" t="s">
        <v>2687</v>
      </c>
      <c r="B225" s="593" t="s">
        <v>2688</v>
      </c>
      <c r="C225" s="403" t="s">
        <v>2249</v>
      </c>
      <c r="D225" s="263" t="s">
        <v>43</v>
      </c>
      <c r="E225" s="371" t="s">
        <v>33</v>
      </c>
    </row>
    <row r="226" spans="1:5" ht="15.75" thickBot="1">
      <c r="A226" s="445" t="s">
        <v>2689</v>
      </c>
      <c r="B226" s="593" t="s">
        <v>2690</v>
      </c>
      <c r="C226" s="403" t="s">
        <v>2249</v>
      </c>
      <c r="D226" s="263" t="s">
        <v>34</v>
      </c>
      <c r="E226" s="371" t="s">
        <v>33</v>
      </c>
    </row>
    <row r="227" spans="1:5" ht="15.75" thickBot="1">
      <c r="A227" s="445" t="s">
        <v>2691</v>
      </c>
      <c r="B227" s="593" t="s">
        <v>2692</v>
      </c>
      <c r="C227" s="403" t="s">
        <v>2249</v>
      </c>
      <c r="D227" s="263" t="s">
        <v>34</v>
      </c>
      <c r="E227" s="371" t="s">
        <v>33</v>
      </c>
    </row>
    <row r="228" spans="1:5" ht="15.75" thickBot="1">
      <c r="A228" s="445" t="s">
        <v>2693</v>
      </c>
      <c r="B228" s="593" t="s">
        <v>2694</v>
      </c>
      <c r="C228" s="403" t="s">
        <v>44</v>
      </c>
      <c r="D228" s="263" t="s">
        <v>44</v>
      </c>
      <c r="E228" s="371" t="s">
        <v>33</v>
      </c>
    </row>
    <row r="229" spans="1:5" ht="15.75" thickBot="1">
      <c r="A229" s="445" t="s">
        <v>2695</v>
      </c>
      <c r="B229" s="593" t="s">
        <v>2696</v>
      </c>
      <c r="C229" s="403" t="s">
        <v>44</v>
      </c>
      <c r="D229" s="263" t="s">
        <v>44</v>
      </c>
      <c r="E229" s="371" t="s">
        <v>33</v>
      </c>
    </row>
    <row r="230" spans="1:5" ht="15.75" thickBot="1">
      <c r="A230" s="445" t="s">
        <v>2697</v>
      </c>
      <c r="B230" s="593" t="s">
        <v>2698</v>
      </c>
      <c r="C230" s="403" t="s">
        <v>44</v>
      </c>
      <c r="D230" s="263" t="s">
        <v>44</v>
      </c>
      <c r="E230" s="371" t="s">
        <v>33</v>
      </c>
    </row>
    <row r="231" spans="1:5" ht="15.75" thickBot="1">
      <c r="A231" s="445" t="s">
        <v>2699</v>
      </c>
      <c r="B231" s="593" t="s">
        <v>2700</v>
      </c>
      <c r="C231" s="403" t="s">
        <v>44</v>
      </c>
      <c r="D231" s="263" t="s">
        <v>44</v>
      </c>
      <c r="E231" s="371" t="s">
        <v>33</v>
      </c>
    </row>
    <row r="232" spans="1:5" ht="30.75" thickBot="1">
      <c r="A232" s="445" t="s">
        <v>2701</v>
      </c>
      <c r="B232" s="593" t="s">
        <v>2702</v>
      </c>
      <c r="C232" s="403" t="s">
        <v>44</v>
      </c>
      <c r="D232" s="263" t="s">
        <v>44</v>
      </c>
      <c r="E232" s="371" t="s">
        <v>33</v>
      </c>
    </row>
    <row r="233" spans="1:5" ht="15.75" thickBot="1">
      <c r="A233" s="445" t="s">
        <v>2703</v>
      </c>
      <c r="B233" s="593" t="s">
        <v>2704</v>
      </c>
      <c r="C233" s="403" t="s">
        <v>44</v>
      </c>
      <c r="D233" s="263" t="s">
        <v>44</v>
      </c>
      <c r="E233" s="371" t="s">
        <v>33</v>
      </c>
    </row>
    <row r="234" spans="1:5" ht="15.75" thickBot="1">
      <c r="A234" s="445" t="s">
        <v>2705</v>
      </c>
      <c r="B234" s="593" t="s">
        <v>2706</v>
      </c>
      <c r="C234" s="403" t="s">
        <v>44</v>
      </c>
      <c r="D234" s="263" t="s">
        <v>44</v>
      </c>
      <c r="E234" s="371" t="s">
        <v>33</v>
      </c>
    </row>
    <row r="235" spans="1:5" ht="15.75" thickBot="1">
      <c r="A235" s="445" t="s">
        <v>2707</v>
      </c>
      <c r="B235" s="593" t="s">
        <v>2708</v>
      </c>
      <c r="C235" s="403" t="s">
        <v>44</v>
      </c>
      <c r="D235" s="263" t="s">
        <v>44</v>
      </c>
      <c r="E235" s="371" t="s">
        <v>33</v>
      </c>
    </row>
    <row r="236" spans="1:5" ht="15.75" thickBot="1">
      <c r="A236" s="445" t="s">
        <v>2709</v>
      </c>
      <c r="B236" s="593" t="s">
        <v>2710</v>
      </c>
      <c r="C236" s="403" t="s">
        <v>44</v>
      </c>
      <c r="D236" s="263" t="s">
        <v>44</v>
      </c>
      <c r="E236" s="371" t="s">
        <v>33</v>
      </c>
    </row>
    <row r="237" spans="1:5" ht="15.75" thickBot="1">
      <c r="A237" s="445" t="s">
        <v>2711</v>
      </c>
      <c r="B237" s="593" t="s">
        <v>2712</v>
      </c>
      <c r="C237" s="403" t="s">
        <v>44</v>
      </c>
      <c r="D237" s="263" t="s">
        <v>44</v>
      </c>
      <c r="E237" s="371" t="s">
        <v>33</v>
      </c>
    </row>
    <row r="238" spans="1:5" ht="15.75" thickBot="1">
      <c r="A238" s="445" t="s">
        <v>2713</v>
      </c>
      <c r="B238" s="593" t="s">
        <v>2714</v>
      </c>
      <c r="C238" s="403" t="s">
        <v>44</v>
      </c>
      <c r="D238" s="263" t="s">
        <v>44</v>
      </c>
      <c r="E238" s="371" t="s">
        <v>33</v>
      </c>
    </row>
    <row r="239" spans="1:5" ht="15.75" thickBot="1">
      <c r="A239" s="445" t="s">
        <v>2715</v>
      </c>
      <c r="B239" s="593" t="s">
        <v>2716</v>
      </c>
      <c r="C239" s="403" t="s">
        <v>44</v>
      </c>
      <c r="D239" s="263" t="s">
        <v>44</v>
      </c>
      <c r="E239" s="371" t="s">
        <v>33</v>
      </c>
    </row>
    <row r="240" spans="1:5" ht="15.75" thickBot="1">
      <c r="A240" s="445" t="s">
        <v>2717</v>
      </c>
      <c r="B240" s="593" t="s">
        <v>2718</v>
      </c>
      <c r="C240" s="403" t="s">
        <v>2249</v>
      </c>
      <c r="D240" s="263" t="s">
        <v>34</v>
      </c>
      <c r="E240" s="371" t="s">
        <v>33</v>
      </c>
    </row>
    <row r="241" spans="1:6" ht="15.75" thickBot="1">
      <c r="A241" s="445" t="s">
        <v>2719</v>
      </c>
      <c r="B241" s="593" t="s">
        <v>2720</v>
      </c>
      <c r="C241" s="403" t="s">
        <v>2249</v>
      </c>
      <c r="D241" s="263" t="s">
        <v>43</v>
      </c>
      <c r="E241" s="371" t="s">
        <v>33</v>
      </c>
    </row>
    <row r="242" spans="1:6" ht="15.75" thickBot="1">
      <c r="A242" s="445" t="s">
        <v>2721</v>
      </c>
      <c r="B242" s="593" t="s">
        <v>2722</v>
      </c>
      <c r="C242" s="403" t="s">
        <v>2249</v>
      </c>
      <c r="D242" s="263" t="s">
        <v>43</v>
      </c>
      <c r="E242" s="371" t="s">
        <v>33</v>
      </c>
      <c r="F242" t="s">
        <v>2723</v>
      </c>
    </row>
    <row r="243" spans="1:6" ht="15.75" thickBot="1">
      <c r="A243" s="445" t="s">
        <v>2724</v>
      </c>
      <c r="B243" s="593" t="s">
        <v>2725</v>
      </c>
      <c r="C243" s="403" t="s">
        <v>2249</v>
      </c>
      <c r="D243" s="263" t="s">
        <v>43</v>
      </c>
      <c r="E243" s="371" t="s">
        <v>33</v>
      </c>
      <c r="F243" t="s">
        <v>2723</v>
      </c>
    </row>
    <row r="244" spans="1:6" ht="15.75" thickBot="1">
      <c r="A244" s="445" t="s">
        <v>2726</v>
      </c>
      <c r="B244" s="593" t="s">
        <v>2727</v>
      </c>
      <c r="C244" s="403" t="s">
        <v>2249</v>
      </c>
      <c r="D244" s="263" t="s">
        <v>34</v>
      </c>
      <c r="E244" s="371" t="s">
        <v>33</v>
      </c>
      <c r="F244" t="s">
        <v>2728</v>
      </c>
    </row>
    <row r="245" spans="1:6" ht="15.75" thickBot="1">
      <c r="A245" s="445" t="s">
        <v>2729</v>
      </c>
      <c r="B245" s="593" t="s">
        <v>2730</v>
      </c>
      <c r="C245" s="403" t="s">
        <v>44</v>
      </c>
      <c r="D245" s="263" t="s">
        <v>44</v>
      </c>
      <c r="E245" s="371" t="s">
        <v>33</v>
      </c>
    </row>
    <row r="246" spans="1:6" ht="15.75" thickBot="1">
      <c r="A246" s="445" t="s">
        <v>2731</v>
      </c>
      <c r="B246" s="593" t="s">
        <v>2732</v>
      </c>
      <c r="C246" s="403" t="s">
        <v>2249</v>
      </c>
      <c r="D246" s="263" t="s">
        <v>43</v>
      </c>
      <c r="E246" s="371" t="s">
        <v>33</v>
      </c>
    </row>
    <row r="247" spans="1:6" ht="30.75" thickBot="1">
      <c r="A247" s="445" t="s">
        <v>2733</v>
      </c>
      <c r="B247" s="593" t="s">
        <v>2734</v>
      </c>
      <c r="C247" s="403" t="s">
        <v>2249</v>
      </c>
      <c r="D247" s="263" t="s">
        <v>34</v>
      </c>
      <c r="E247" s="371" t="s">
        <v>33</v>
      </c>
    </row>
    <row r="248" spans="1:6" ht="15.75" thickBot="1">
      <c r="A248" s="445" t="s">
        <v>2735</v>
      </c>
      <c r="B248" s="593" t="s">
        <v>2736</v>
      </c>
      <c r="C248" s="403" t="s">
        <v>2249</v>
      </c>
      <c r="D248" s="263" t="s">
        <v>34</v>
      </c>
      <c r="E248" s="371" t="s">
        <v>33</v>
      </c>
    </row>
    <row r="249" spans="1:6" ht="15.75" thickBot="1">
      <c r="A249" s="445" t="s">
        <v>2737</v>
      </c>
      <c r="B249" s="593" t="s">
        <v>2738</v>
      </c>
      <c r="C249" s="403" t="s">
        <v>2249</v>
      </c>
      <c r="D249" s="263" t="s">
        <v>34</v>
      </c>
      <c r="E249" s="371" t="s">
        <v>33</v>
      </c>
    </row>
    <row r="250" spans="1:6" ht="15.75" thickBot="1">
      <c r="A250" s="445" t="s">
        <v>2035</v>
      </c>
      <c r="B250" s="593" t="s">
        <v>2739</v>
      </c>
      <c r="C250" s="403" t="s">
        <v>2249</v>
      </c>
      <c r="D250" s="263" t="s">
        <v>34</v>
      </c>
      <c r="E250" s="371" t="s">
        <v>33</v>
      </c>
    </row>
    <row r="251" spans="1:6" ht="15.75" thickBot="1">
      <c r="A251" s="445" t="s">
        <v>2740</v>
      </c>
      <c r="B251" s="593" t="s">
        <v>2741</v>
      </c>
      <c r="C251" s="403" t="s">
        <v>2249</v>
      </c>
      <c r="D251" s="263" t="s">
        <v>34</v>
      </c>
      <c r="E251" s="371" t="s">
        <v>33</v>
      </c>
    </row>
    <row r="252" spans="1:6" ht="15.75" thickBot="1">
      <c r="A252" s="445" t="s">
        <v>1679</v>
      </c>
      <c r="B252" s="593" t="s">
        <v>2742</v>
      </c>
      <c r="C252" s="403" t="s">
        <v>2249</v>
      </c>
      <c r="D252" s="263" t="s">
        <v>34</v>
      </c>
      <c r="E252" s="371" t="s">
        <v>33</v>
      </c>
    </row>
    <row r="253" spans="1:6" ht="15.75" thickBot="1">
      <c r="A253" s="445" t="s">
        <v>2743</v>
      </c>
      <c r="B253" s="593" t="s">
        <v>2744</v>
      </c>
      <c r="C253" s="403" t="s">
        <v>2249</v>
      </c>
      <c r="D253" s="263" t="s">
        <v>34</v>
      </c>
      <c r="E253" s="371" t="s">
        <v>33</v>
      </c>
    </row>
    <row r="254" spans="1:6" ht="15.75" thickBot="1">
      <c r="A254" s="445" t="s">
        <v>2745</v>
      </c>
      <c r="B254" s="593" t="s">
        <v>2746</v>
      </c>
      <c r="C254" s="403" t="s">
        <v>44</v>
      </c>
      <c r="D254" s="263" t="s">
        <v>44</v>
      </c>
      <c r="E254" s="371" t="s">
        <v>33</v>
      </c>
    </row>
    <row r="255" spans="1:6" ht="15.75" thickBot="1">
      <c r="A255" s="445" t="s">
        <v>1893</v>
      </c>
      <c r="B255" s="593" t="s">
        <v>2747</v>
      </c>
      <c r="C255" s="403" t="s">
        <v>2249</v>
      </c>
      <c r="D255" s="263" t="s">
        <v>34</v>
      </c>
      <c r="E255" s="371" t="s">
        <v>33</v>
      </c>
    </row>
    <row r="256" spans="1:6" ht="30.75" thickBot="1">
      <c r="A256" s="445" t="s">
        <v>2748</v>
      </c>
      <c r="B256" s="593" t="s">
        <v>2749</v>
      </c>
      <c r="C256" s="403" t="s">
        <v>2249</v>
      </c>
      <c r="D256" s="263" t="s">
        <v>34</v>
      </c>
      <c r="E256" s="371" t="s">
        <v>33</v>
      </c>
    </row>
    <row r="257" spans="1:6" ht="30.75" thickBot="1">
      <c r="A257" s="445" t="s">
        <v>2750</v>
      </c>
      <c r="B257" s="593" t="s">
        <v>2751</v>
      </c>
      <c r="C257" s="403" t="s">
        <v>2249</v>
      </c>
      <c r="D257" s="263" t="s">
        <v>34</v>
      </c>
      <c r="E257" s="371" t="s">
        <v>33</v>
      </c>
    </row>
    <row r="258" spans="1:6" ht="30.75" thickBot="1">
      <c r="A258" s="445" t="s">
        <v>2752</v>
      </c>
      <c r="B258" s="593" t="s">
        <v>2753</v>
      </c>
      <c r="C258" s="403" t="s">
        <v>2249</v>
      </c>
      <c r="D258" s="263" t="s">
        <v>34</v>
      </c>
      <c r="E258" s="371" t="s">
        <v>33</v>
      </c>
    </row>
    <row r="259" spans="1:6" ht="15.75" thickBot="1">
      <c r="A259" s="445" t="s">
        <v>2754</v>
      </c>
      <c r="B259" s="593" t="s">
        <v>2755</v>
      </c>
      <c r="C259" s="403" t="s">
        <v>2249</v>
      </c>
      <c r="D259" s="263" t="s">
        <v>43</v>
      </c>
      <c r="E259" s="371" t="s">
        <v>33</v>
      </c>
    </row>
    <row r="260" spans="1:6" ht="60.75" thickBot="1">
      <c r="A260" s="445" t="s">
        <v>1876</v>
      </c>
      <c r="B260" s="593" t="s">
        <v>2756</v>
      </c>
      <c r="C260" s="403" t="s">
        <v>2249</v>
      </c>
      <c r="D260" s="263" t="s">
        <v>34</v>
      </c>
      <c r="E260" s="371" t="s">
        <v>33</v>
      </c>
    </row>
    <row r="261" spans="1:6" ht="30.75" thickBot="1">
      <c r="A261" s="445" t="s">
        <v>2757</v>
      </c>
      <c r="B261" s="593" t="s">
        <v>2758</v>
      </c>
      <c r="C261" s="403" t="s">
        <v>2249</v>
      </c>
      <c r="D261" s="263" t="s">
        <v>34</v>
      </c>
      <c r="E261" s="371" t="s">
        <v>33</v>
      </c>
    </row>
    <row r="262" spans="1:6" ht="30.75" thickBot="1">
      <c r="A262" s="445" t="s">
        <v>2759</v>
      </c>
      <c r="B262" s="593" t="s">
        <v>2760</v>
      </c>
      <c r="C262" s="403" t="s">
        <v>2249</v>
      </c>
      <c r="D262" s="263" t="s">
        <v>34</v>
      </c>
      <c r="E262" s="371" t="s">
        <v>33</v>
      </c>
      <c r="F262" t="s">
        <v>2761</v>
      </c>
    </row>
    <row r="263" spans="1:6" ht="15.75" thickBot="1">
      <c r="A263" s="445" t="s">
        <v>2762</v>
      </c>
      <c r="B263" s="593" t="s">
        <v>2763</v>
      </c>
      <c r="C263" s="403" t="s">
        <v>2249</v>
      </c>
      <c r="D263" s="263" t="s">
        <v>44</v>
      </c>
      <c r="E263" s="371" t="s">
        <v>33</v>
      </c>
    </row>
    <row r="264" spans="1:6" ht="15.75" thickBot="1">
      <c r="A264" s="445" t="s">
        <v>2764</v>
      </c>
      <c r="B264" s="593" t="s">
        <v>2765</v>
      </c>
      <c r="C264" s="403" t="s">
        <v>44</v>
      </c>
      <c r="D264" s="263" t="s">
        <v>44</v>
      </c>
      <c r="E264" s="371" t="s">
        <v>33</v>
      </c>
    </row>
    <row r="265" spans="1:6" ht="15.75" thickBot="1">
      <c r="A265" s="445" t="s">
        <v>2766</v>
      </c>
      <c r="B265" s="593" t="s">
        <v>2767</v>
      </c>
      <c r="C265" s="403" t="s">
        <v>2249</v>
      </c>
      <c r="D265" s="263" t="s">
        <v>44</v>
      </c>
      <c r="E265" s="371" t="s">
        <v>33</v>
      </c>
    </row>
    <row r="266" spans="1:6" ht="15.75" thickBot="1">
      <c r="A266" s="445" t="s">
        <v>2768</v>
      </c>
      <c r="B266" s="593" t="s">
        <v>2769</v>
      </c>
      <c r="C266" s="403" t="s">
        <v>44</v>
      </c>
      <c r="D266" s="263" t="s">
        <v>44</v>
      </c>
      <c r="E266" s="371" t="s">
        <v>33</v>
      </c>
    </row>
    <row r="267" spans="1:6" ht="15.75" thickBot="1">
      <c r="A267" s="445" t="s">
        <v>2770</v>
      </c>
      <c r="B267" s="593" t="s">
        <v>2771</v>
      </c>
      <c r="C267" s="403" t="s">
        <v>44</v>
      </c>
      <c r="D267" s="263" t="s">
        <v>44</v>
      </c>
      <c r="E267" s="371" t="s">
        <v>33</v>
      </c>
    </row>
    <row r="268" spans="1:6" ht="15.75" thickBot="1">
      <c r="A268" s="445" t="s">
        <v>2772</v>
      </c>
      <c r="B268" s="593" t="s">
        <v>2773</v>
      </c>
      <c r="C268" s="403" t="s">
        <v>44</v>
      </c>
      <c r="D268" s="263" t="s">
        <v>44</v>
      </c>
      <c r="E268" s="371" t="s">
        <v>33</v>
      </c>
    </row>
    <row r="269" spans="1:6" ht="15.75" thickBot="1">
      <c r="A269" s="445" t="s">
        <v>2774</v>
      </c>
      <c r="B269" s="593" t="s">
        <v>2775</v>
      </c>
      <c r="C269" s="403" t="s">
        <v>44</v>
      </c>
      <c r="D269" s="263" t="s">
        <v>44</v>
      </c>
      <c r="E269" s="371" t="s">
        <v>33</v>
      </c>
    </row>
    <row r="270" spans="1:6" ht="15.75" thickBot="1">
      <c r="A270" s="445" t="s">
        <v>2776</v>
      </c>
      <c r="B270" s="593" t="s">
        <v>2777</v>
      </c>
      <c r="C270" s="403" t="s">
        <v>44</v>
      </c>
      <c r="D270" s="263" t="s">
        <v>44</v>
      </c>
      <c r="E270" s="371" t="s">
        <v>33</v>
      </c>
    </row>
    <row r="271" spans="1:6" ht="15.75" thickBot="1">
      <c r="A271" s="445" t="s">
        <v>2778</v>
      </c>
      <c r="B271" s="593" t="s">
        <v>2779</v>
      </c>
      <c r="C271" s="403" t="s">
        <v>2249</v>
      </c>
      <c r="D271" s="263" t="s">
        <v>43</v>
      </c>
      <c r="E271" s="371" t="s">
        <v>33</v>
      </c>
    </row>
    <row r="272" spans="1:6" ht="15.75" thickBot="1">
      <c r="A272" s="445" t="s">
        <v>2780</v>
      </c>
      <c r="B272" s="593" t="s">
        <v>2781</v>
      </c>
      <c r="C272" s="403" t="s">
        <v>2249</v>
      </c>
      <c r="D272" s="263" t="s">
        <v>43</v>
      </c>
      <c r="E272" s="371" t="s">
        <v>33</v>
      </c>
    </row>
    <row r="273" spans="1:6" ht="15.75" thickBot="1">
      <c r="A273" s="445" t="s">
        <v>2782</v>
      </c>
      <c r="B273" s="593" t="s">
        <v>2783</v>
      </c>
      <c r="C273" s="403" t="s">
        <v>2249</v>
      </c>
      <c r="D273" s="263" t="s">
        <v>44</v>
      </c>
      <c r="E273" s="371" t="s">
        <v>33</v>
      </c>
    </row>
    <row r="274" spans="1:6" ht="15.75" thickBot="1">
      <c r="A274" s="445" t="s">
        <v>2784</v>
      </c>
      <c r="B274" s="593" t="s">
        <v>2785</v>
      </c>
      <c r="C274" s="403" t="s">
        <v>2249</v>
      </c>
      <c r="D274" s="263" t="s">
        <v>44</v>
      </c>
      <c r="E274" s="371" t="s">
        <v>33</v>
      </c>
    </row>
    <row r="275" spans="1:6" ht="15.75" thickBot="1">
      <c r="A275" s="445" t="s">
        <v>2786</v>
      </c>
      <c r="B275" s="593" t="s">
        <v>2787</v>
      </c>
      <c r="C275" s="403" t="s">
        <v>2249</v>
      </c>
      <c r="D275" s="263" t="s">
        <v>43</v>
      </c>
      <c r="E275" s="371" t="s">
        <v>33</v>
      </c>
    </row>
    <row r="276" spans="1:6" ht="15.75" thickBot="1">
      <c r="A276" s="445" t="s">
        <v>2788</v>
      </c>
      <c r="B276" s="593" t="s">
        <v>2789</v>
      </c>
      <c r="C276" s="403" t="s">
        <v>1010</v>
      </c>
      <c r="D276" s="263" t="s">
        <v>43</v>
      </c>
      <c r="E276" s="371" t="s">
        <v>42</v>
      </c>
    </row>
    <row r="277" spans="1:6" ht="15.75" thickBot="1">
      <c r="A277" s="445" t="s">
        <v>2790</v>
      </c>
      <c r="B277" s="593" t="s">
        <v>2791</v>
      </c>
      <c r="C277" s="403" t="s">
        <v>2792</v>
      </c>
      <c r="D277" s="263" t="s">
        <v>43</v>
      </c>
      <c r="E277" s="371" t="s">
        <v>38</v>
      </c>
    </row>
    <row r="278" spans="1:6" ht="15.75" thickBot="1">
      <c r="A278" s="445" t="s">
        <v>2793</v>
      </c>
      <c r="B278" s="593" t="s">
        <v>2794</v>
      </c>
      <c r="C278" s="403"/>
      <c r="D278" s="263"/>
      <c r="E278" s="371"/>
    </row>
    <row r="279" spans="1:6" ht="30">
      <c r="A279" s="445"/>
      <c r="B279" s="593"/>
      <c r="C279" s="403"/>
      <c r="D279" s="263"/>
      <c r="E279" s="371"/>
      <c r="F279" s="206" t="s">
        <v>2795</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xr3:uid="{F9CF3CF3-643B-5BE6-8B46-32C596A47465}">
      <pane xSplit="4" ySplit="6" topLeftCell="S176" activePane="bottomRight" state="frozen"/>
      <selection pane="bottomRight" activeCell="V175" sqref="V175"/>
      <selection pane="bottomLeft" activeCell="A3" sqref="A3"/>
      <selection pane="topRight" activeCell="D1" sqref="D1"/>
    </sheetView>
  </sheetViews>
  <sheetFormatPr defaultColWidth="8.42578125" defaultRowHeight="1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c r="A1" s="727" t="s">
        <v>2796</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c r="A2" s="730" t="s">
        <v>252</v>
      </c>
      <c r="B2" s="731"/>
      <c r="C2" s="731"/>
      <c r="D2" s="731"/>
      <c r="E2" s="731"/>
      <c r="F2" s="732"/>
      <c r="G2" s="313">
        <f>COUNTIF(G7:G182,"Yes")</f>
        <v>135</v>
      </c>
      <c r="H2" s="313">
        <f>COUNTIF(H7:H182,"Yes")</f>
        <v>133</v>
      </c>
      <c r="I2" s="728">
        <f>'Diags Raw Data'!K1089</f>
        <v>639</v>
      </c>
      <c r="J2" s="742">
        <f>'Diags Raw Data'!L1089</f>
        <v>1157</v>
      </c>
      <c r="K2" s="744">
        <f>'Diags Raw Data'!N1089</f>
        <v>1</v>
      </c>
      <c r="L2" s="746">
        <f>'Diags Raw Data'!P1089</f>
        <v>1</v>
      </c>
      <c r="M2" s="748">
        <f>'Diags Raw Data'!R1089</f>
        <v>1156</v>
      </c>
      <c r="N2" s="750">
        <f>SUM('Diags Raw Data'!T1089+'Diags Raw Data'!U1089)</f>
        <v>1156</v>
      </c>
      <c r="O2" s="736">
        <f>IF((M2=0),0,N2/M2)</f>
        <v>1</v>
      </c>
      <c r="P2" s="738">
        <f>'Diags Raw Data'!Z1089</f>
        <v>0</v>
      </c>
      <c r="Q2" s="740">
        <f>SUM('Diags Raw Data'!AA1089+'Diags Raw Data'!AB1089)</f>
        <v>0</v>
      </c>
      <c r="R2" s="723">
        <f>IF((J183=0),0,P183/J183)</f>
        <v>0</v>
      </c>
      <c r="S2" s="723">
        <f>IF((P183=0),0,Q183/P183)</f>
        <v>0</v>
      </c>
      <c r="T2" s="723">
        <f>R183*S183</f>
        <v>0</v>
      </c>
      <c r="U2" s="725"/>
      <c r="V2" s="175"/>
    </row>
    <row r="3" spans="1:22" ht="19.5" thickBot="1">
      <c r="A3" s="733"/>
      <c r="B3" s="734"/>
      <c r="C3" s="734"/>
      <c r="D3" s="734"/>
      <c r="E3" s="734"/>
      <c r="F3" s="735"/>
      <c r="G3" s="314">
        <f>COUNTIF(G7:G182,"Yes")/COUNTA(A7:A182)</f>
        <v>0.76704545454545459</v>
      </c>
      <c r="H3" s="314">
        <f>(COUNTIF(H7:H182,"Yes")/G2)</f>
        <v>0.98518518518518516</v>
      </c>
      <c r="I3" s="729"/>
      <c r="J3" s="743"/>
      <c r="K3" s="745"/>
      <c r="L3" s="747"/>
      <c r="M3" s="749"/>
      <c r="N3" s="751"/>
      <c r="O3" s="737"/>
      <c r="P3" s="739"/>
      <c r="Q3" s="741"/>
      <c r="R3" s="724"/>
      <c r="S3" s="724"/>
      <c r="T3" s="724"/>
      <c r="U3" s="726"/>
      <c r="V3" s="170"/>
    </row>
    <row r="4" spans="1:22" ht="18.75">
      <c r="A4" s="686" t="s">
        <v>2797</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c r="A5" s="754" t="s">
        <v>76</v>
      </c>
      <c r="B5" s="755"/>
      <c r="C5" s="755"/>
      <c r="D5" s="755"/>
      <c r="E5" s="755"/>
      <c r="F5" s="755"/>
      <c r="G5" s="755"/>
      <c r="H5" s="755"/>
      <c r="I5" s="755"/>
      <c r="J5" s="756"/>
      <c r="K5" s="752" t="s">
        <v>113</v>
      </c>
      <c r="L5" s="753"/>
      <c r="M5" s="757" t="s">
        <v>124</v>
      </c>
      <c r="N5" s="758"/>
      <c r="O5" s="759"/>
      <c r="P5" s="760" t="s">
        <v>144</v>
      </c>
      <c r="Q5" s="761"/>
      <c r="R5" s="761"/>
      <c r="S5" s="761"/>
      <c r="T5" s="761"/>
      <c r="U5" s="762"/>
      <c r="V5" s="165"/>
    </row>
    <row r="6" spans="1:22" s="168" customFormat="1" ht="30.75" thickBot="1">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2798</v>
      </c>
    </row>
    <row r="7" spans="1:22" ht="285">
      <c r="A7" s="445" t="s">
        <v>2291</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1</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2799</v>
      </c>
      <c r="V7" s="170"/>
    </row>
    <row r="8" spans="1:22" ht="210">
      <c r="A8" s="446" t="s">
        <v>2295</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1</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2800</v>
      </c>
      <c r="V8" s="170"/>
    </row>
    <row r="9" spans="1:22" ht="255">
      <c r="A9" s="446" t="s">
        <v>2298</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1</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2801</v>
      </c>
      <c r="V9" s="170"/>
    </row>
    <row r="10" spans="1:22">
      <c r="A10" s="446" t="s">
        <v>2300</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c r="A11" s="446" t="s">
        <v>2302</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2304</v>
      </c>
    </row>
    <row r="12" spans="1:22">
      <c r="A12" s="446" t="s">
        <v>2312</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c r="A13" s="446" t="s">
        <v>2191</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GMHUB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1</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2802</v>
      </c>
      <c r="V13" s="170"/>
    </row>
    <row r="14" spans="1:22">
      <c r="A14" s="446" t="s">
        <v>2317</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c r="A15" s="446" t="s">
        <v>2320</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c r="A16" s="446" t="s">
        <v>2323</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2803</v>
      </c>
      <c r="V16" s="170"/>
    </row>
    <row r="17" spans="1:22" ht="16.149999999999999" customHeight="1">
      <c r="A17" s="446" t="s">
        <v>2329</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c r="A18" s="446" t="s">
        <v>2367</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2804</v>
      </c>
      <c r="V18" s="173"/>
    </row>
    <row r="19" spans="1:22" ht="90">
      <c r="A19" s="446" t="s">
        <v>2369</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2801</v>
      </c>
      <c r="V19" s="170"/>
    </row>
    <row r="20" spans="1:22" ht="409.5">
      <c r="A20" s="446" t="s">
        <v>2377</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2804</v>
      </c>
      <c r="V20" s="170"/>
    </row>
    <row r="21" spans="1:22" ht="105">
      <c r="A21" s="446" t="s">
        <v>2381</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2799</v>
      </c>
      <c r="V21" s="170"/>
    </row>
    <row r="22" spans="1:22" ht="255">
      <c r="A22" s="446" t="s">
        <v>2382</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1</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2801</v>
      </c>
      <c r="V22" s="170"/>
    </row>
    <row r="23" spans="1:22" ht="195">
      <c r="A23" s="446" t="s">
        <v>2383</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2803</v>
      </c>
      <c r="V23" s="170"/>
    </row>
    <row r="24" spans="1:22">
      <c r="A24" s="446" t="s">
        <v>2385</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GMHUB</v>
      </c>
      <c r="F25" s="169" t="str">
        <f>VLOOKUP(A25,'Feature Raw Data'!$A$3:$E$4067,5,FALSE)</f>
        <v>Legacy</v>
      </c>
      <c r="G25" s="169" t="str">
        <f t="shared" si="0"/>
        <v>Yes</v>
      </c>
      <c r="H25" s="169" t="str">
        <f t="shared" si="6"/>
        <v>Yes</v>
      </c>
      <c r="I25" s="273">
        <f>SUMIF('Diags Raw Data'!$A$6:$A$4699,"*"&amp;$A25&amp;"*",'Diags Raw Data'!$K$6:$K$4699)</f>
        <v>10</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2799</v>
      </c>
      <c r="V25" s="170"/>
    </row>
    <row r="26" spans="1:22" ht="75">
      <c r="A26" s="446" t="s">
        <v>2389</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2803</v>
      </c>
      <c r="V26" s="170"/>
    </row>
    <row r="27" spans="1:22" ht="345">
      <c r="A27" s="446" t="s">
        <v>2195</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GMHUB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1</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2805</v>
      </c>
      <c r="V27" s="170"/>
    </row>
    <row r="28" spans="1:22" ht="111" customHeight="1">
      <c r="A28" s="446" t="s">
        <v>544</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GMHUB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2806</v>
      </c>
      <c r="V28" s="170"/>
    </row>
    <row r="29" spans="1:22" ht="30">
      <c r="A29" s="446" t="s">
        <v>2401</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2800</v>
      </c>
      <c r="V29" s="170"/>
    </row>
    <row r="30" spans="1:22" ht="105">
      <c r="A30" s="446" t="s">
        <v>2215</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GMHUB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1</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2807</v>
      </c>
      <c r="V30" s="170"/>
    </row>
    <row r="31" spans="1:22" ht="30">
      <c r="A31" s="446" t="s">
        <v>2403</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2405</v>
      </c>
    </row>
    <row r="32" spans="1:22" ht="30">
      <c r="A32" s="446" t="s">
        <v>2406</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2405</v>
      </c>
    </row>
    <row r="33" spans="1:22" ht="126" customHeight="1">
      <c r="A33" s="446" t="s">
        <v>2408</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1</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2805</v>
      </c>
      <c r="V33" s="170"/>
    </row>
    <row r="34" spans="1:22" ht="16.899999999999999" customHeight="1">
      <c r="A34" s="446" t="s">
        <v>649</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GMHUB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1</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2808</v>
      </c>
      <c r="V34" s="170"/>
    </row>
    <row r="35" spans="1:22" ht="300">
      <c r="A35" s="446" t="s">
        <v>746</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GMHUB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2805</v>
      </c>
      <c r="V35" s="170"/>
    </row>
    <row r="36" spans="1:22">
      <c r="A36" s="446" t="s">
        <v>2248</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c r="A37" s="446" t="s">
        <v>666</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GMHUB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2801</v>
      </c>
      <c r="V37" s="170"/>
    </row>
    <row r="38" spans="1:22" ht="120.6" customHeight="1">
      <c r="A38" s="446" t="s">
        <v>495</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GMHUB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2808</v>
      </c>
      <c r="V38" s="170"/>
    </row>
    <row r="39" spans="1:22" ht="30">
      <c r="A39" s="446" t="s">
        <v>2133</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GMHUB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2802</v>
      </c>
      <c r="V39" s="170"/>
    </row>
    <row r="40" spans="1:22" ht="37.9" customHeight="1">
      <c r="A40" s="446" t="s">
        <v>2414</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2805</v>
      </c>
      <c r="V40" s="170"/>
    </row>
    <row r="41" spans="1:22" ht="15.6" customHeight="1">
      <c r="A41" s="446" t="s">
        <v>2416</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8</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2809</v>
      </c>
      <c r="V41" s="170"/>
    </row>
    <row r="42" spans="1:22" ht="135">
      <c r="A42" s="446" t="s">
        <v>595</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GMHUB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1</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2809</v>
      </c>
      <c r="V42" s="170"/>
    </row>
    <row r="43" spans="1:22" ht="120">
      <c r="A43" s="446" t="s">
        <v>1046</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GMHUB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2809</v>
      </c>
      <c r="V43" s="170" t="s">
        <v>43</v>
      </c>
    </row>
    <row r="44" spans="1:22" ht="33" customHeight="1">
      <c r="A44" s="446" t="s">
        <v>1052</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GMHUB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2803</v>
      </c>
      <c r="V44" s="170"/>
    </row>
    <row r="45" spans="1:22" ht="45" customHeight="1">
      <c r="A45" s="446" t="s">
        <v>2420</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31</v>
      </c>
      <c r="H45" s="169" t="str">
        <f t="shared" ref="H45" si="15">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6">IF((M45=0),0,N45/M45)</f>
        <v>0</v>
      </c>
      <c r="P45" s="420">
        <f>SUMIF('Diags Raw Data'!$A$6:$A$4699,"*"&amp;$A45&amp;"*",'Diags Raw Data'!$Z$6:$Z$4699)</f>
        <v>0</v>
      </c>
      <c r="Q45" s="421">
        <f>SUM(SUMIF('Diags Raw Data'!$A$6:$A$4699,"*"&amp;$A45&amp;"*",'Diags Raw Data'!$AA$6:$AA$4699),SUMIF('Diags Raw Data'!$A$6:$A$4699,"*"&amp;$A45&amp;"*",'Diags Raw Data'!$AB$6:$AB$4699))</f>
        <v>0</v>
      </c>
      <c r="R45" s="422">
        <f t="shared" ref="R45" si="17">IF((J45=0),0,P45/J45)</f>
        <v>0</v>
      </c>
      <c r="S45" s="422">
        <f t="shared" ref="S45" si="18">IF((P45=0),0,Q45/P45)</f>
        <v>0</v>
      </c>
      <c r="T45" s="423">
        <f t="shared" ref="T45" si="19">R45*S45</f>
        <v>0</v>
      </c>
      <c r="U45" s="469" t="s">
        <v>44</v>
      </c>
      <c r="V45" s="170"/>
    </row>
    <row r="46" spans="1:22" ht="45.6" customHeight="1">
      <c r="A46" s="446" t="s">
        <v>728</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2805</v>
      </c>
      <c r="V46" s="170"/>
    </row>
    <row r="47" spans="1:22" ht="75">
      <c r="A47" s="446" t="s">
        <v>2423</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15</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2805</v>
      </c>
      <c r="V47" s="170"/>
    </row>
    <row r="48" spans="1:22" ht="409.5">
      <c r="A48" s="446" t="s">
        <v>2424</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2806</v>
      </c>
      <c r="V48" s="170"/>
    </row>
    <row r="49" spans="1:22" ht="360">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GMHUB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1</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2801</v>
      </c>
      <c r="V49" s="170"/>
    </row>
    <row r="50" spans="1:22" ht="40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GMHUB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2801</v>
      </c>
      <c r="V50" s="170"/>
    </row>
    <row r="51" spans="1:22" ht="60">
      <c r="A51" s="446" t="s">
        <v>944</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GMHUB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2807</v>
      </c>
      <c r="V51" s="170"/>
    </row>
    <row r="52" spans="1:22" ht="409.5">
      <c r="A52" s="446" t="s">
        <v>899</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GMHUB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2804</v>
      </c>
      <c r="V52" s="170"/>
    </row>
    <row r="53" spans="1:22" ht="30">
      <c r="A53" s="446" t="s">
        <v>2430</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2800</v>
      </c>
      <c r="V53" s="170"/>
    </row>
    <row r="54" spans="1:22" ht="118.5" customHeight="1">
      <c r="A54" s="446" t="s">
        <v>1007</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GMHUB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2805</v>
      </c>
      <c r="V54" s="170"/>
    </row>
    <row r="55" spans="1:22" ht="30">
      <c r="A55" s="446" t="s">
        <v>2432</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2800</v>
      </c>
      <c r="V55" s="170"/>
    </row>
    <row r="56" spans="1:22" ht="30">
      <c r="A56" s="446" t="s">
        <v>2236</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20">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1">IF((M56=0),0,N56/M56)</f>
        <v>1</v>
      </c>
      <c r="P56" s="420">
        <f>SUMIF('Diags Raw Data'!$A$6:$A$4699,"*"&amp;$A56&amp;"*",'Diags Raw Data'!$Z$6:$Z$4699)</f>
        <v>0</v>
      </c>
      <c r="Q56" s="421">
        <f>SUM(SUMIF('Diags Raw Data'!$A$6:$A$4699,"*"&amp;$A56&amp;"*",'Diags Raw Data'!$AA$6:$AA$4699),SUMIF('Diags Raw Data'!$A$6:$A$4699,"*"&amp;$A56&amp;"*",'Diags Raw Data'!$AB$6:$AB$4699))</f>
        <v>0</v>
      </c>
      <c r="R56" s="422">
        <f t="shared" ref="R56:R58" si="22">IF((J56=0),0,P56/J56)</f>
        <v>0</v>
      </c>
      <c r="S56" s="422">
        <f t="shared" ref="S56:S58" si="23">IF((P56=0),0,Q56/P56)</f>
        <v>0</v>
      </c>
      <c r="T56" s="423">
        <f t="shared" ref="T56:T58" si="24">R56*S56</f>
        <v>0</v>
      </c>
      <c r="U56" s="469" t="s">
        <v>2802</v>
      </c>
      <c r="V56" s="170"/>
    </row>
    <row r="57" spans="1:22">
      <c r="A57" s="446" t="s">
        <v>2441</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20"/>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1"/>
        <v>0</v>
      </c>
      <c r="P57" s="420">
        <f>SUMIF('Diags Raw Data'!$A$6:$A$4699,"*"&amp;$A57&amp;"*",'Diags Raw Data'!$Z$6:$Z$4699)</f>
        <v>0</v>
      </c>
      <c r="Q57" s="421">
        <f>SUM(SUMIF('Diags Raw Data'!$A$6:$A$4699,"*"&amp;$A57&amp;"*",'Diags Raw Data'!$AA$6:$AA$4699),SUMIF('Diags Raw Data'!$A$6:$A$4699,"*"&amp;$A57&amp;"*",'Diags Raw Data'!$AB$6:$AB$4699))</f>
        <v>0</v>
      </c>
      <c r="R57" s="422">
        <f t="shared" si="22"/>
        <v>0</v>
      </c>
      <c r="S57" s="422">
        <f t="shared" si="23"/>
        <v>0</v>
      </c>
      <c r="T57" s="423">
        <f t="shared" si="24"/>
        <v>0</v>
      </c>
      <c r="U57" s="469" t="s">
        <v>44</v>
      </c>
      <c r="V57" s="170" t="s">
        <v>43</v>
      </c>
    </row>
    <row r="58" spans="1:22" ht="120">
      <c r="A58" s="446" t="s">
        <v>2443</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20"/>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1"/>
        <v>1</v>
      </c>
      <c r="P58" s="420">
        <f>SUMIF('Diags Raw Data'!$A$6:$A$4699,"*"&amp;$A58&amp;"*",'Diags Raw Data'!$Z$6:$Z$4699)</f>
        <v>0</v>
      </c>
      <c r="Q58" s="421">
        <f>SUM(SUMIF('Diags Raw Data'!$A$6:$A$4699,"*"&amp;$A58&amp;"*",'Diags Raw Data'!$AA$6:$AA$4699),SUMIF('Diags Raw Data'!$A$6:$A$4699,"*"&amp;$A58&amp;"*",'Diags Raw Data'!$AB$6:$AB$4699))</f>
        <v>0</v>
      </c>
      <c r="R58" s="422">
        <f t="shared" si="22"/>
        <v>0</v>
      </c>
      <c r="S58" s="422">
        <f t="shared" si="23"/>
        <v>0</v>
      </c>
      <c r="T58" s="423">
        <f t="shared" si="24"/>
        <v>0</v>
      </c>
      <c r="U58" s="469" t="s">
        <v>2804</v>
      </c>
      <c r="V58" s="170"/>
    </row>
    <row r="59" spans="1:22" ht="60">
      <c r="A59" s="446" t="s">
        <v>2445</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20"/>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2807</v>
      </c>
      <c r="V59" s="170"/>
    </row>
    <row r="60" spans="1:22" ht="45">
      <c r="A60" s="446" t="s">
        <v>2447</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20"/>
        <v>Yes</v>
      </c>
      <c r="I60" s="273">
        <f>SUMIF('Diags Raw Data'!$A$6:$A$4699,"*"&amp;$A60&amp;"*",'Diags Raw Data'!$K$6:$K$4699)</f>
        <v>1</v>
      </c>
      <c r="J60" s="179">
        <f>SUMIF('Diags Raw Data'!$A$6:$A$4699,"*"&amp;$A60&amp;"*",'Diags Raw Data'!$L$6:$L$4699)</f>
        <v>19</v>
      </c>
      <c r="K60" s="416" cm="1">
        <f t="array" ref="K60">IF(D60="",0, SUMPRODUCT(--(ISNUMBER(SEARCH($A60,'Diags Raw Data'!$A$6:$A$4699))),'Diags Raw Data'!$L$6:$L$4699,'Diags Raw Data'!$N$6:$N$4699)/J60)</f>
        <v>1</v>
      </c>
      <c r="L60" s="417" cm="1">
        <f t="array" ref="L60">IF(D60="",0, SUMPRODUCT(--(ISNUMBER(SEARCH($A60,'Diags Raw Data'!$A$6:$A$4699))),'Diags Raw Data'!$L$6:$L$4699,'Diags Raw Data'!$P$6:$P$4699)/J60)</f>
        <v>1</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2802</v>
      </c>
      <c r="V60" s="170"/>
    </row>
    <row r="61" spans="1:22" ht="30">
      <c r="A61" s="446" t="s">
        <v>2453</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20"/>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1</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5">IF((P61=0),0,Q61/P61)</f>
        <v>0</v>
      </c>
      <c r="T61" s="423">
        <f>R61*S61</f>
        <v>0</v>
      </c>
      <c r="U61" s="469" t="s">
        <v>2807</v>
      </c>
      <c r="V61" s="170"/>
    </row>
    <row r="62" spans="1:22" ht="30">
      <c r="A62" s="446" t="s">
        <v>2455</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20"/>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1</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5"/>
        <v>0</v>
      </c>
      <c r="T62" s="423">
        <f>R62*S62</f>
        <v>0</v>
      </c>
      <c r="U62" s="469" t="s">
        <v>2807</v>
      </c>
      <c r="V62" s="170"/>
    </row>
    <row r="63" spans="1:22" ht="90">
      <c r="A63" s="446" t="s">
        <v>484</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GMHUB</v>
      </c>
      <c r="F63" s="169" t="str">
        <f>VLOOKUP(A63,'Feature Raw Data'!$A$3:$E$4067,5,FALSE)</f>
        <v>Legacy</v>
      </c>
      <c r="G63" s="169" t="str">
        <f t="shared" si="0"/>
        <v>Yes</v>
      </c>
      <c r="H63" s="169" t="str">
        <f t="shared" si="20"/>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6">IF((M63=0),0,N63/M63)</f>
        <v>1</v>
      </c>
      <c r="P63" s="420">
        <f>SUMIF('Diags Raw Data'!$A$6:$A$4699,"*"&amp;$A63&amp;"*",'Diags Raw Data'!$Z$6:$Z$4699)</f>
        <v>0</v>
      </c>
      <c r="Q63" s="421">
        <f>SUM(SUMIF('Diags Raw Data'!$A$6:$A$4699,"*"&amp;$A63&amp;"*",'Diags Raw Data'!$AA$6:$AA$4699),SUMIF('Diags Raw Data'!$A$6:$A$4699,"*"&amp;$A63&amp;"*",'Diags Raw Data'!$AB$6:$AB$4699))</f>
        <v>0</v>
      </c>
      <c r="R63" s="422">
        <f t="shared" ref="R63:R76" si="27">IF((J63=0),0,P63/J63)</f>
        <v>0</v>
      </c>
      <c r="S63" s="422">
        <f t="shared" si="25"/>
        <v>0</v>
      </c>
      <c r="T63" s="423">
        <f t="shared" ref="T63:T76" si="28">R63*S63</f>
        <v>0</v>
      </c>
      <c r="U63" s="469" t="s">
        <v>2810</v>
      </c>
      <c r="V63" s="170"/>
    </row>
    <row r="64" spans="1:22" ht="150">
      <c r="A64" s="446" t="s">
        <v>2459</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9">IF(D64="","No","Yes")</f>
        <v>Yes</v>
      </c>
      <c r="H64" s="169" t="str">
        <f t="shared" si="20"/>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6"/>
        <v>1</v>
      </c>
      <c r="P64" s="420">
        <f>SUMIF('Diags Raw Data'!$A$6:$A$4699,"*"&amp;$A64&amp;"*",'Diags Raw Data'!$Z$6:$Z$4699)</f>
        <v>0</v>
      </c>
      <c r="Q64" s="421">
        <f>SUM(SUMIF('Diags Raw Data'!$A$6:$A$4699,"*"&amp;$A64&amp;"*",'Diags Raw Data'!$AA$6:$AA$4699),SUMIF('Diags Raw Data'!$A$6:$A$4699,"*"&amp;$A64&amp;"*",'Diags Raw Data'!$AB$6:$AB$4699))</f>
        <v>0</v>
      </c>
      <c r="R64" s="422">
        <f t="shared" si="27"/>
        <v>0</v>
      </c>
      <c r="S64" s="422">
        <f t="shared" si="25"/>
        <v>0</v>
      </c>
      <c r="T64" s="423">
        <f t="shared" si="28"/>
        <v>0</v>
      </c>
      <c r="U64" s="469" t="s">
        <v>2799</v>
      </c>
      <c r="V64" s="170"/>
    </row>
    <row r="65" spans="1:22" ht="90">
      <c r="A65" s="446" t="s">
        <v>2465</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9"/>
        <v>Yes</v>
      </c>
      <c r="H65" s="169" t="str">
        <f t="shared" si="20"/>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6"/>
        <v>1</v>
      </c>
      <c r="P65" s="420">
        <f>SUMIF('Diags Raw Data'!$A$6:$A$4699,"*"&amp;$A65&amp;"*",'Diags Raw Data'!$Z$6:$Z$4699)</f>
        <v>0</v>
      </c>
      <c r="Q65" s="421">
        <f>SUM(SUMIF('Diags Raw Data'!$A$6:$A$4699,"*"&amp;$A65&amp;"*",'Diags Raw Data'!$AA$6:$AA$4699),SUMIF('Diags Raw Data'!$A$6:$A$4699,"*"&amp;$A65&amp;"*",'Diags Raw Data'!$AB$6:$AB$4699))</f>
        <v>0</v>
      </c>
      <c r="R65" s="422">
        <f t="shared" si="27"/>
        <v>0</v>
      </c>
      <c r="S65" s="422">
        <f t="shared" si="25"/>
        <v>0</v>
      </c>
      <c r="T65" s="423">
        <f t="shared" si="28"/>
        <v>0</v>
      </c>
      <c r="U65" s="469" t="s">
        <v>2811</v>
      </c>
      <c r="V65" s="170"/>
    </row>
    <row r="66" spans="1:22" ht="120">
      <c r="A66" s="446" t="s">
        <v>616</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GMHUB</v>
      </c>
      <c r="F66" s="169" t="str">
        <f>VLOOKUP(A66,'Feature Raw Data'!$A$3:$E$4067,5,FALSE)</f>
        <v>Legacy</v>
      </c>
      <c r="G66" s="169" t="str">
        <f t="shared" si="29"/>
        <v>Yes</v>
      </c>
      <c r="H66" s="169" t="str">
        <f t="shared" si="20"/>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6"/>
        <v>1</v>
      </c>
      <c r="P66" s="420">
        <f>SUMIF('Diags Raw Data'!$A$6:$A$4699,"*"&amp;$A66&amp;"*",'Diags Raw Data'!$Z$6:$Z$4699)</f>
        <v>0</v>
      </c>
      <c r="Q66" s="421">
        <f>SUM(SUMIF('Diags Raw Data'!$A$6:$A$4699,"*"&amp;$A66&amp;"*",'Diags Raw Data'!$AA$6:$AA$4699),SUMIF('Diags Raw Data'!$A$6:$A$4699,"*"&amp;$A66&amp;"*",'Diags Raw Data'!$AB$6:$AB$4699))</f>
        <v>0</v>
      </c>
      <c r="R66" s="422">
        <f t="shared" si="27"/>
        <v>0</v>
      </c>
      <c r="S66" s="422">
        <f t="shared" si="25"/>
        <v>0</v>
      </c>
      <c r="T66" s="423">
        <f t="shared" si="28"/>
        <v>0</v>
      </c>
      <c r="U66" s="469" t="s">
        <v>2810</v>
      </c>
      <c r="V66" s="170"/>
    </row>
    <row r="67" spans="1:22" ht="30">
      <c r="A67" s="446" t="s">
        <v>2470</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9"/>
        <v>No</v>
      </c>
      <c r="H67" s="169" t="str">
        <f t="shared" si="20"/>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6"/>
        <v>0</v>
      </c>
      <c r="P67" s="420">
        <f>SUMIF('Diags Raw Data'!$A$6:$A$4699,"*"&amp;$A67&amp;"*",'Diags Raw Data'!$Z$6:$Z$4699)</f>
        <v>0</v>
      </c>
      <c r="Q67" s="421">
        <f>SUM(SUMIF('Diags Raw Data'!$A$6:$A$4699,"*"&amp;$A67&amp;"*",'Diags Raw Data'!$AA$6:$AA$4699),SUMIF('Diags Raw Data'!$A$6:$A$4699,"*"&amp;$A67&amp;"*",'Diags Raw Data'!$AB$6:$AB$4699))</f>
        <v>0</v>
      </c>
      <c r="R67" s="422">
        <f t="shared" si="27"/>
        <v>0</v>
      </c>
      <c r="S67" s="422">
        <f t="shared" si="25"/>
        <v>0</v>
      </c>
      <c r="T67" s="423">
        <f t="shared" si="28"/>
        <v>0</v>
      </c>
      <c r="U67" s="469" t="s">
        <v>44</v>
      </c>
      <c r="V67" s="170" t="s">
        <v>43</v>
      </c>
    </row>
    <row r="68" spans="1:22" ht="30">
      <c r="A68" s="446" t="s">
        <v>2472</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9"/>
        <v>Yes</v>
      </c>
      <c r="H68" s="169" t="str">
        <f t="shared" si="20"/>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6"/>
        <v>1</v>
      </c>
      <c r="P68" s="420">
        <f>SUMIF('Diags Raw Data'!$A$6:$A$4699,"*"&amp;$A68&amp;"*",'Diags Raw Data'!$Z$6:$Z$4699)</f>
        <v>0</v>
      </c>
      <c r="Q68" s="421">
        <f>SUM(SUMIF('Diags Raw Data'!$A$6:$A$4699,"*"&amp;$A68&amp;"*",'Diags Raw Data'!$AA$6:$AA$4699),SUMIF('Diags Raw Data'!$A$6:$A$4699,"*"&amp;$A68&amp;"*",'Diags Raw Data'!$AB$6:$AB$4699))</f>
        <v>0</v>
      </c>
      <c r="R68" s="422">
        <f t="shared" si="27"/>
        <v>0</v>
      </c>
      <c r="S68" s="422">
        <f t="shared" si="25"/>
        <v>0</v>
      </c>
      <c r="T68" s="423">
        <f t="shared" si="28"/>
        <v>0</v>
      </c>
      <c r="U68" s="469" t="s">
        <v>2810</v>
      </c>
      <c r="V68" s="170"/>
    </row>
    <row r="69" spans="1:22" ht="375">
      <c r="A69" s="446" t="s">
        <v>2478</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9"/>
        <v>Yes</v>
      </c>
      <c r="H69" s="169" t="str">
        <f t="shared" si="20"/>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6"/>
        <v>1</v>
      </c>
      <c r="P69" s="420">
        <f>SUMIF('Diags Raw Data'!$A$6:$A$4699,"*"&amp;$A69&amp;"*",'Diags Raw Data'!$Z$6:$Z$4699)</f>
        <v>0</v>
      </c>
      <c r="Q69" s="421">
        <f>SUM(SUMIF('Diags Raw Data'!$A$6:$A$4699,"*"&amp;$A69&amp;"*",'Diags Raw Data'!$AA$6:$AA$4699),SUMIF('Diags Raw Data'!$A$6:$A$4699,"*"&amp;$A69&amp;"*",'Diags Raw Data'!$AB$6:$AB$4699))</f>
        <v>0</v>
      </c>
      <c r="R69" s="422">
        <f t="shared" si="27"/>
        <v>0</v>
      </c>
      <c r="S69" s="422">
        <f t="shared" si="25"/>
        <v>0</v>
      </c>
      <c r="T69" s="423">
        <f t="shared" si="28"/>
        <v>0</v>
      </c>
      <c r="U69" s="469" t="s">
        <v>2806</v>
      </c>
      <c r="V69" s="170"/>
    </row>
    <row r="70" spans="1:22">
      <c r="A70" s="446" t="s">
        <v>2480</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9"/>
        <v>Yes</v>
      </c>
      <c r="H70" s="169" t="str">
        <f t="shared" si="20"/>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6"/>
        <v>1</v>
      </c>
      <c r="P70" s="420">
        <f>SUMIF('Diags Raw Data'!$A$6:$A$4699,"*"&amp;$A70&amp;"*",'Diags Raw Data'!$Z$6:$Z$4699)</f>
        <v>0</v>
      </c>
      <c r="Q70" s="421">
        <f>SUM(SUMIF('Diags Raw Data'!$A$6:$A$4699,"*"&amp;$A70&amp;"*",'Diags Raw Data'!$AA$6:$AA$4699),SUMIF('Diags Raw Data'!$A$6:$A$4699,"*"&amp;$A70&amp;"*",'Diags Raw Data'!$AB$6:$AB$4699))</f>
        <v>0</v>
      </c>
      <c r="R70" s="422">
        <f t="shared" si="27"/>
        <v>0</v>
      </c>
      <c r="S70" s="422">
        <f t="shared" si="25"/>
        <v>0</v>
      </c>
      <c r="T70" s="423">
        <f t="shared" si="28"/>
        <v>0</v>
      </c>
      <c r="U70" s="469" t="s">
        <v>2811</v>
      </c>
      <c r="V70" s="170"/>
    </row>
    <row r="71" spans="1:22" ht="30">
      <c r="A71" s="446" t="s">
        <v>2482</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9"/>
        <v>Yes</v>
      </c>
      <c r="H71" s="169" t="str">
        <f t="shared" si="20"/>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6"/>
        <v>1</v>
      </c>
      <c r="P71" s="420">
        <f>SUMIF('Diags Raw Data'!$A$6:$A$4699,"*"&amp;$A71&amp;"*",'Diags Raw Data'!$Z$6:$Z$4699)</f>
        <v>0</v>
      </c>
      <c r="Q71" s="421">
        <f>SUM(SUMIF('Diags Raw Data'!$A$6:$A$4699,"*"&amp;$A71&amp;"*",'Diags Raw Data'!$AA$6:$AA$4699),SUMIF('Diags Raw Data'!$A$6:$A$4699,"*"&amp;$A71&amp;"*",'Diags Raw Data'!$AB$6:$AB$4699))</f>
        <v>0</v>
      </c>
      <c r="R71" s="422">
        <f t="shared" si="27"/>
        <v>0</v>
      </c>
      <c r="S71" s="422">
        <f t="shared" si="25"/>
        <v>0</v>
      </c>
      <c r="T71" s="423">
        <f t="shared" si="28"/>
        <v>0</v>
      </c>
      <c r="U71" s="469" t="s">
        <v>2805</v>
      </c>
      <c r="V71" s="170"/>
    </row>
    <row r="72" spans="1:22" ht="30">
      <c r="A72" s="446" t="s">
        <v>2484</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9"/>
        <v>Yes</v>
      </c>
      <c r="H72" s="169" t="str">
        <f t="shared" si="20"/>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6"/>
        <v>1</v>
      </c>
      <c r="P72" s="420">
        <f>SUMIF('Diags Raw Data'!$A$6:$A$4699,"*"&amp;$A72&amp;"*",'Diags Raw Data'!$Z$6:$Z$4699)</f>
        <v>0</v>
      </c>
      <c r="Q72" s="421">
        <f>SUM(SUMIF('Diags Raw Data'!$A$6:$A$4699,"*"&amp;$A72&amp;"*",'Diags Raw Data'!$AA$6:$AA$4699),SUMIF('Diags Raw Data'!$A$6:$A$4699,"*"&amp;$A72&amp;"*",'Diags Raw Data'!$AB$6:$AB$4699))</f>
        <v>0</v>
      </c>
      <c r="R72" s="422">
        <f t="shared" si="27"/>
        <v>0</v>
      </c>
      <c r="S72" s="422">
        <f t="shared" si="25"/>
        <v>0</v>
      </c>
      <c r="T72" s="423">
        <f t="shared" si="28"/>
        <v>0</v>
      </c>
      <c r="U72" s="469" t="s">
        <v>2807</v>
      </c>
      <c r="V72" s="170"/>
    </row>
    <row r="73" spans="1:22" ht="90">
      <c r="A73" s="446" t="s">
        <v>2486</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9"/>
        <v>Yes</v>
      </c>
      <c r="H73" s="169" t="str">
        <f t="shared" si="20"/>
        <v>Yes</v>
      </c>
      <c r="I73" s="273">
        <f>SUMIF('Diags Raw Data'!$A$6:$A$4699,"*"&amp;$A73&amp;"*",'Diags Raw Data'!$K$6:$K$4699)</f>
        <v>9</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6"/>
        <v>1</v>
      </c>
      <c r="P73" s="420">
        <f>SUMIF('Diags Raw Data'!$A$6:$A$4699,"*"&amp;$A73&amp;"*",'Diags Raw Data'!$Z$6:$Z$4699)</f>
        <v>0</v>
      </c>
      <c r="Q73" s="421">
        <f>SUM(SUMIF('Diags Raw Data'!$A$6:$A$4699,"*"&amp;$A73&amp;"*",'Diags Raw Data'!$AA$6:$AA$4699),SUMIF('Diags Raw Data'!$A$6:$A$4699,"*"&amp;$A73&amp;"*",'Diags Raw Data'!$AB$6:$AB$4699))</f>
        <v>0</v>
      </c>
      <c r="R73" s="422">
        <f t="shared" si="27"/>
        <v>0</v>
      </c>
      <c r="S73" s="422">
        <f t="shared" si="25"/>
        <v>0</v>
      </c>
      <c r="T73" s="423">
        <f t="shared" si="28"/>
        <v>0</v>
      </c>
      <c r="U73" s="469" t="s">
        <v>2804</v>
      </c>
      <c r="V73" s="170"/>
    </row>
    <row r="74" spans="1:22" ht="45">
      <c r="A74" s="446" t="s">
        <v>2488</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9"/>
        <v>Yes</v>
      </c>
      <c r="H74" s="169" t="str">
        <f t="shared" si="20"/>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1</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6"/>
        <v>1</v>
      </c>
      <c r="P74" s="420">
        <f>SUMIF('Diags Raw Data'!$A$6:$A$4699,"*"&amp;$A74&amp;"*",'Diags Raw Data'!$Z$6:$Z$4699)</f>
        <v>0</v>
      </c>
      <c r="Q74" s="421">
        <f>SUM(SUMIF('Diags Raw Data'!$A$6:$A$4699,"*"&amp;$A74&amp;"*",'Diags Raw Data'!$AA$6:$AA$4699),SUMIF('Diags Raw Data'!$A$6:$A$4699,"*"&amp;$A74&amp;"*",'Diags Raw Data'!$AB$6:$AB$4699))</f>
        <v>0</v>
      </c>
      <c r="R74" s="422">
        <f t="shared" si="27"/>
        <v>0</v>
      </c>
      <c r="S74" s="422">
        <f t="shared" si="25"/>
        <v>0</v>
      </c>
      <c r="T74" s="423">
        <f t="shared" si="28"/>
        <v>0</v>
      </c>
      <c r="U74" s="469" t="s">
        <v>2799</v>
      </c>
      <c r="V74" s="170"/>
    </row>
    <row r="75" spans="1:22" ht="30">
      <c r="A75" s="446" t="s">
        <v>2490</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9"/>
        <v>Yes</v>
      </c>
      <c r="H75" s="169" t="str">
        <f t="shared" si="20"/>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6"/>
        <v>1</v>
      </c>
      <c r="P75" s="420">
        <f>SUMIF('Diags Raw Data'!$A$6:$A$4699,"*"&amp;$A75&amp;"*",'Diags Raw Data'!$Z$6:$Z$4699)</f>
        <v>0</v>
      </c>
      <c r="Q75" s="421">
        <f>SUM(SUMIF('Diags Raw Data'!$A$6:$A$4699,"*"&amp;$A75&amp;"*",'Diags Raw Data'!$AA$6:$AA$4699),SUMIF('Diags Raw Data'!$A$6:$A$4699,"*"&amp;$A75&amp;"*",'Diags Raw Data'!$AB$6:$AB$4699))</f>
        <v>0</v>
      </c>
      <c r="R75" s="422">
        <f t="shared" si="27"/>
        <v>0</v>
      </c>
      <c r="S75" s="422">
        <f t="shared" si="25"/>
        <v>0</v>
      </c>
      <c r="T75" s="423">
        <f t="shared" si="28"/>
        <v>0</v>
      </c>
      <c r="U75" s="469" t="s">
        <v>2807</v>
      </c>
      <c r="V75" s="170"/>
    </row>
    <row r="76" spans="1:22" ht="45">
      <c r="A76" s="446" t="s">
        <v>2492</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9"/>
        <v>No</v>
      </c>
      <c r="H76" s="169" t="str">
        <f t="shared" si="20"/>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6"/>
        <v>0</v>
      </c>
      <c r="P76" s="420">
        <f>SUMIF('Diags Raw Data'!$A$6:$A$4699,"*"&amp;$A76&amp;"*",'Diags Raw Data'!$Z$6:$Z$4699)</f>
        <v>0</v>
      </c>
      <c r="Q76" s="421">
        <f>SUM(SUMIF('Diags Raw Data'!$A$6:$A$4699,"*"&amp;$A76&amp;"*",'Diags Raw Data'!$AA$6:$AA$4699),SUMIF('Diags Raw Data'!$A$6:$A$4699,"*"&amp;$A76&amp;"*",'Diags Raw Data'!$AB$6:$AB$4699))</f>
        <v>0</v>
      </c>
      <c r="R76" s="422">
        <f t="shared" si="27"/>
        <v>0</v>
      </c>
      <c r="S76" s="422">
        <f t="shared" si="25"/>
        <v>0</v>
      </c>
      <c r="T76" s="423">
        <f t="shared" si="28"/>
        <v>0</v>
      </c>
      <c r="U76" s="469" t="s">
        <v>44</v>
      </c>
      <c r="V76" s="170" t="s">
        <v>43</v>
      </c>
    </row>
    <row r="77" spans="1:22">
      <c r="A77" s="446" t="s">
        <v>2496</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9"/>
        <v>No</v>
      </c>
      <c r="H77" s="169" t="str">
        <f t="shared" si="20"/>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30">IF((M77=0),0,N77/M77)</f>
        <v>0</v>
      </c>
      <c r="P77" s="420">
        <f>SUMIF('Diags Raw Data'!$A$6:$A$4699,"*"&amp;$A77&amp;"*",'Diags Raw Data'!$Z$6:$Z$4699)</f>
        <v>0</v>
      </c>
      <c r="Q77" s="421">
        <f>SUM(SUMIF('Diags Raw Data'!$A$6:$A$4699,"*"&amp;$A77&amp;"*",'Diags Raw Data'!$AA$6:$AA$4699),SUMIF('Diags Raw Data'!$A$6:$A$4699,"*"&amp;$A77&amp;"*",'Diags Raw Data'!$AB$6:$AB$4699))</f>
        <v>0</v>
      </c>
      <c r="R77" s="422">
        <f t="shared" ref="R77:R85" si="31">IF((J77=0),0,P77/J77)</f>
        <v>0</v>
      </c>
      <c r="S77" s="422">
        <f t="shared" ref="S77:S85" si="32">IF((P77=0),0,Q77/P77)</f>
        <v>0</v>
      </c>
      <c r="T77" s="423">
        <f t="shared" ref="T77:T85" si="33">R77*S77</f>
        <v>0</v>
      </c>
      <c r="U77" s="469" t="s">
        <v>44</v>
      </c>
      <c r="V77" s="170" t="s">
        <v>43</v>
      </c>
    </row>
    <row r="78" spans="1:22">
      <c r="A78" s="446" t="s">
        <v>2498</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9"/>
        <v>No</v>
      </c>
      <c r="H78" s="169" t="str">
        <f t="shared" si="20"/>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30"/>
        <v>0</v>
      </c>
      <c r="P78" s="420">
        <f>SUMIF('Diags Raw Data'!$A$6:$A$4699,"*"&amp;$A78&amp;"*",'Diags Raw Data'!$Z$6:$Z$4699)</f>
        <v>0</v>
      </c>
      <c r="Q78" s="421">
        <f>SUM(SUMIF('Diags Raw Data'!$A$6:$A$4699,"*"&amp;$A78&amp;"*",'Diags Raw Data'!$AA$6:$AA$4699),SUMIF('Diags Raw Data'!$A$6:$A$4699,"*"&amp;$A78&amp;"*",'Diags Raw Data'!$AB$6:$AB$4699))</f>
        <v>0</v>
      </c>
      <c r="R78" s="422">
        <f t="shared" si="31"/>
        <v>0</v>
      </c>
      <c r="S78" s="422">
        <f t="shared" si="32"/>
        <v>0</v>
      </c>
      <c r="T78" s="423">
        <f t="shared" si="33"/>
        <v>0</v>
      </c>
      <c r="U78" s="469" t="s">
        <v>44</v>
      </c>
      <c r="V78" s="170" t="s">
        <v>43</v>
      </c>
    </row>
    <row r="79" spans="1:22">
      <c r="A79" s="446" t="s">
        <v>2500</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9"/>
        <v>No</v>
      </c>
      <c r="H79" s="169" t="str">
        <f t="shared" si="20"/>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30"/>
        <v>0</v>
      </c>
      <c r="P79" s="420">
        <f>SUMIF('Diags Raw Data'!$A$6:$A$4699,"*"&amp;$A79&amp;"*",'Diags Raw Data'!$Z$6:$Z$4699)</f>
        <v>0</v>
      </c>
      <c r="Q79" s="421">
        <f>SUM(SUMIF('Diags Raw Data'!$A$6:$A$4699,"*"&amp;$A79&amp;"*",'Diags Raw Data'!$AA$6:$AA$4699),SUMIF('Diags Raw Data'!$A$6:$A$4699,"*"&amp;$A79&amp;"*",'Diags Raw Data'!$AB$6:$AB$4699))</f>
        <v>0</v>
      </c>
      <c r="R79" s="422">
        <f t="shared" si="31"/>
        <v>0</v>
      </c>
      <c r="S79" s="422">
        <f t="shared" si="32"/>
        <v>0</v>
      </c>
      <c r="T79" s="423">
        <f t="shared" si="33"/>
        <v>0</v>
      </c>
      <c r="U79" s="469" t="s">
        <v>44</v>
      </c>
      <c r="V79" s="170" t="s">
        <v>43</v>
      </c>
    </row>
    <row r="80" spans="1:22">
      <c r="A80" s="446" t="s">
        <v>2502</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9"/>
        <v>No</v>
      </c>
      <c r="H80" s="169" t="str">
        <f t="shared" si="20"/>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30"/>
        <v>0</v>
      </c>
      <c r="P80" s="420">
        <f>SUMIF('Diags Raw Data'!$A$6:$A$4699,"*"&amp;$A80&amp;"*",'Diags Raw Data'!$Z$6:$Z$4699)</f>
        <v>0</v>
      </c>
      <c r="Q80" s="421">
        <f>SUM(SUMIF('Diags Raw Data'!$A$6:$A$4699,"*"&amp;$A80&amp;"*",'Diags Raw Data'!$AA$6:$AA$4699),SUMIF('Diags Raw Data'!$A$6:$A$4699,"*"&amp;$A80&amp;"*",'Diags Raw Data'!$AB$6:$AB$4699))</f>
        <v>0</v>
      </c>
      <c r="R80" s="422">
        <f t="shared" si="31"/>
        <v>0</v>
      </c>
      <c r="S80" s="422">
        <f t="shared" si="32"/>
        <v>0</v>
      </c>
      <c r="T80" s="423">
        <f t="shared" si="33"/>
        <v>0</v>
      </c>
      <c r="U80" s="469" t="s">
        <v>44</v>
      </c>
      <c r="V80" s="170" t="s">
        <v>43</v>
      </c>
    </row>
    <row r="81" spans="1:22" ht="30">
      <c r="A81" s="446" t="s">
        <v>2504</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9"/>
        <v>No</v>
      </c>
      <c r="H81" s="169" t="str">
        <f t="shared" si="20"/>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30"/>
        <v>0</v>
      </c>
      <c r="P81" s="420">
        <f>SUMIF('Diags Raw Data'!$A$6:$A$4699,"*"&amp;$A81&amp;"*",'Diags Raw Data'!$Z$6:$Z$4699)</f>
        <v>0</v>
      </c>
      <c r="Q81" s="421">
        <f>SUM(SUMIF('Diags Raw Data'!$A$6:$A$4699,"*"&amp;$A81&amp;"*",'Diags Raw Data'!$AA$6:$AA$4699),SUMIF('Diags Raw Data'!$A$6:$A$4699,"*"&amp;$A81&amp;"*",'Diags Raw Data'!$AB$6:$AB$4699))</f>
        <v>0</v>
      </c>
      <c r="R81" s="422">
        <f t="shared" si="31"/>
        <v>0</v>
      </c>
      <c r="S81" s="422">
        <f t="shared" si="32"/>
        <v>0</v>
      </c>
      <c r="T81" s="423">
        <f t="shared" si="33"/>
        <v>0</v>
      </c>
      <c r="U81" s="469" t="s">
        <v>44</v>
      </c>
      <c r="V81" s="170" t="s">
        <v>43</v>
      </c>
    </row>
    <row r="82" spans="1:22">
      <c r="A82" s="446" t="s">
        <v>2506</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9"/>
        <v>No</v>
      </c>
      <c r="H82" s="169" t="str">
        <f t="shared" si="20"/>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30"/>
        <v>0</v>
      </c>
      <c r="P82" s="420">
        <f>SUMIF('Diags Raw Data'!$A$6:$A$4699,"*"&amp;$A82&amp;"*",'Diags Raw Data'!$Z$6:$Z$4699)</f>
        <v>0</v>
      </c>
      <c r="Q82" s="421">
        <f>SUM(SUMIF('Diags Raw Data'!$A$6:$A$4699,"*"&amp;$A82&amp;"*",'Diags Raw Data'!$AA$6:$AA$4699),SUMIF('Diags Raw Data'!$A$6:$A$4699,"*"&amp;$A82&amp;"*",'Diags Raw Data'!$AB$6:$AB$4699))</f>
        <v>0</v>
      </c>
      <c r="R82" s="422">
        <f t="shared" si="31"/>
        <v>0</v>
      </c>
      <c r="S82" s="422">
        <f t="shared" si="32"/>
        <v>0</v>
      </c>
      <c r="T82" s="423">
        <f t="shared" si="33"/>
        <v>0</v>
      </c>
      <c r="U82" s="469" t="s">
        <v>44</v>
      </c>
      <c r="V82" s="170" t="s">
        <v>43</v>
      </c>
    </row>
    <row r="83" spans="1:22">
      <c r="A83" s="446" t="s">
        <v>2508</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9"/>
        <v>No</v>
      </c>
      <c r="H83" s="169" t="str">
        <f t="shared" si="20"/>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30"/>
        <v>0</v>
      </c>
      <c r="P83" s="420">
        <f>SUMIF('Diags Raw Data'!$A$6:$A$4699,"*"&amp;$A83&amp;"*",'Diags Raw Data'!$Z$6:$Z$4699)</f>
        <v>0</v>
      </c>
      <c r="Q83" s="421">
        <f>SUM(SUMIF('Diags Raw Data'!$A$6:$A$4699,"*"&amp;$A83&amp;"*",'Diags Raw Data'!$AA$6:$AA$4699),SUMIF('Diags Raw Data'!$A$6:$A$4699,"*"&amp;$A83&amp;"*",'Diags Raw Data'!$AB$6:$AB$4699))</f>
        <v>0</v>
      </c>
      <c r="R83" s="422">
        <f t="shared" si="31"/>
        <v>0</v>
      </c>
      <c r="S83" s="422">
        <f t="shared" si="32"/>
        <v>0</v>
      </c>
      <c r="T83" s="423">
        <f t="shared" si="33"/>
        <v>0</v>
      </c>
      <c r="U83" s="469" t="s">
        <v>44</v>
      </c>
      <c r="V83" s="170" t="s">
        <v>43</v>
      </c>
    </row>
    <row r="84" spans="1:22" ht="45">
      <c r="A84" s="446" t="s">
        <v>2510</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9"/>
        <v>Yes</v>
      </c>
      <c r="H84" s="169" t="str">
        <f t="shared" si="20"/>
        <v>Yes</v>
      </c>
      <c r="I84" s="273">
        <f>SUMIF('Diags Raw Data'!$A$6:$A$4699,"*"&amp;$A84&amp;"*",'Diags Raw Data'!$K$6:$K$4699)</f>
        <v>1</v>
      </c>
      <c r="J84" s="179">
        <f>SUMIF('Diags Raw Data'!$A$6:$A$4699,"*"&amp;$A84&amp;"*",'Diags Raw Data'!$L$6:$L$4699)</f>
        <v>19</v>
      </c>
      <c r="K84" s="416" cm="1">
        <f t="array" ref="K84">IF(D84="",0, SUMPRODUCT(--(ISNUMBER(SEARCH($A84,'Diags Raw Data'!$A$6:$A$4699))),'Diags Raw Data'!$L$6:$L$4699,'Diags Raw Data'!$N$6:$N$4699)/J84)</f>
        <v>1</v>
      </c>
      <c r="L84" s="417" cm="1">
        <f t="array" ref="L84">IF(D84="",0, SUMPRODUCT(--(ISNUMBER(SEARCH($A84,'Diags Raw Data'!$A$6:$A$4699))),'Diags Raw Data'!$L$6:$L$4699,'Diags Raw Data'!$P$6:$P$4699)/J84)</f>
        <v>1</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30"/>
        <v>1</v>
      </c>
      <c r="P84" s="420">
        <f>SUMIF('Diags Raw Data'!$A$6:$A$4699,"*"&amp;$A84&amp;"*",'Diags Raw Data'!$Z$6:$Z$4699)</f>
        <v>0</v>
      </c>
      <c r="Q84" s="421">
        <f>SUM(SUMIF('Diags Raw Data'!$A$6:$A$4699,"*"&amp;$A84&amp;"*",'Diags Raw Data'!$AA$6:$AA$4699),SUMIF('Diags Raw Data'!$A$6:$A$4699,"*"&amp;$A84&amp;"*",'Diags Raw Data'!$AB$6:$AB$4699))</f>
        <v>0</v>
      </c>
      <c r="R84" s="422">
        <f t="shared" si="31"/>
        <v>0</v>
      </c>
      <c r="S84" s="422">
        <f t="shared" si="32"/>
        <v>0</v>
      </c>
      <c r="T84" s="423">
        <f t="shared" si="33"/>
        <v>0</v>
      </c>
      <c r="U84" s="469" t="s">
        <v>2811</v>
      </c>
      <c r="V84" s="170"/>
    </row>
    <row r="85" spans="1:22" ht="30">
      <c r="A85" s="446" t="s">
        <v>2250</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20"/>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30"/>
        <v>0</v>
      </c>
      <c r="P85" s="420">
        <f>SUMIF('Diags Raw Data'!$A$6:$A$4699,"*"&amp;$A85&amp;"*",'Diags Raw Data'!$Z$6:$Z$4699)</f>
        <v>0</v>
      </c>
      <c r="Q85" s="421">
        <f>SUM(SUMIF('Diags Raw Data'!$A$6:$A$4699,"*"&amp;$A85&amp;"*",'Diags Raw Data'!$AA$6:$AA$4699),SUMIF('Diags Raw Data'!$A$6:$A$4699,"*"&amp;$A85&amp;"*",'Diags Raw Data'!$AB$6:$AB$4699))</f>
        <v>0</v>
      </c>
      <c r="R85" s="422">
        <f t="shared" si="31"/>
        <v>0</v>
      </c>
      <c r="S85" s="422">
        <f t="shared" si="32"/>
        <v>0</v>
      </c>
      <c r="T85" s="423">
        <f t="shared" si="33"/>
        <v>0</v>
      </c>
      <c r="U85" s="469" t="s">
        <v>44</v>
      </c>
      <c r="V85" s="170" t="s">
        <v>2235</v>
      </c>
    </row>
    <row r="86" spans="1:22">
      <c r="A86" s="446" t="s">
        <v>2524</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4">IF(D86="","No","Yes")</f>
        <v>No</v>
      </c>
      <c r="H86" s="169" t="str">
        <f t="shared" ref="H86:H89" si="35">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6">IF((M86=0),0,N86/M86)</f>
        <v>0</v>
      </c>
      <c r="P86" s="420">
        <f>SUMIF('Diags Raw Data'!$A$6:$A$4699,"*"&amp;$A86&amp;"*",'Diags Raw Data'!$Z$6:$Z$4699)</f>
        <v>0</v>
      </c>
      <c r="Q86" s="421">
        <f>SUM(SUMIF('Diags Raw Data'!$A$6:$A$4699,"*"&amp;$A86&amp;"*",'Diags Raw Data'!$AA$6:$AA$4699),SUMIF('Diags Raw Data'!$A$6:$A$4699,"*"&amp;$A86&amp;"*",'Diags Raw Data'!$AB$6:$AB$4699))</f>
        <v>0</v>
      </c>
      <c r="R86" s="422">
        <f t="shared" ref="R86:R89" si="37">IF((J86=0),0,P86/J86)</f>
        <v>0</v>
      </c>
      <c r="S86" s="422">
        <f t="shared" ref="S86:S89" si="38">IF((P86=0),0,Q86/P86)</f>
        <v>0</v>
      </c>
      <c r="T86" s="423">
        <f t="shared" ref="T86:T89" si="39">R86*S86</f>
        <v>0</v>
      </c>
      <c r="U86" s="469" t="s">
        <v>44</v>
      </c>
      <c r="V86" s="170" t="s">
        <v>43</v>
      </c>
    </row>
    <row r="87" spans="1:22">
      <c r="A87" s="446" t="s">
        <v>2526</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4"/>
        <v>No</v>
      </c>
      <c r="H87" s="169" t="str">
        <f t="shared" si="35"/>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6"/>
        <v>0</v>
      </c>
      <c r="P87" s="420">
        <f>SUMIF('Diags Raw Data'!$A$6:$A$4699,"*"&amp;$A87&amp;"*",'Diags Raw Data'!$Z$6:$Z$4699)</f>
        <v>0</v>
      </c>
      <c r="Q87" s="421">
        <f>SUM(SUMIF('Diags Raw Data'!$A$6:$A$4699,"*"&amp;$A87&amp;"*",'Diags Raw Data'!$AA$6:$AA$4699),SUMIF('Diags Raw Data'!$A$6:$A$4699,"*"&amp;$A87&amp;"*",'Diags Raw Data'!$AB$6:$AB$4699))</f>
        <v>0</v>
      </c>
      <c r="R87" s="422">
        <f t="shared" si="37"/>
        <v>0</v>
      </c>
      <c r="S87" s="422">
        <f t="shared" si="38"/>
        <v>0</v>
      </c>
      <c r="T87" s="423">
        <f t="shared" si="39"/>
        <v>0</v>
      </c>
      <c r="U87" s="469" t="s">
        <v>44</v>
      </c>
      <c r="V87" s="170" t="s">
        <v>43</v>
      </c>
    </row>
    <row r="88" spans="1:22">
      <c r="A88" s="446" t="s">
        <v>2528</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4"/>
        <v>No</v>
      </c>
      <c r="H88" s="169" t="str">
        <f t="shared" si="35"/>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6"/>
        <v>0</v>
      </c>
      <c r="P88" s="420">
        <f>SUMIF('Diags Raw Data'!$A$6:$A$4699,"*"&amp;$A88&amp;"*",'Diags Raw Data'!$Z$6:$Z$4699)</f>
        <v>0</v>
      </c>
      <c r="Q88" s="421">
        <f>SUM(SUMIF('Diags Raw Data'!$A$6:$A$4699,"*"&amp;$A88&amp;"*",'Diags Raw Data'!$AA$6:$AA$4699),SUMIF('Diags Raw Data'!$A$6:$A$4699,"*"&amp;$A88&amp;"*",'Diags Raw Data'!$AB$6:$AB$4699))</f>
        <v>0</v>
      </c>
      <c r="R88" s="422">
        <f t="shared" si="37"/>
        <v>0</v>
      </c>
      <c r="S88" s="422">
        <f t="shared" si="38"/>
        <v>0</v>
      </c>
      <c r="T88" s="423">
        <f t="shared" si="39"/>
        <v>0</v>
      </c>
      <c r="U88" s="469" t="s">
        <v>44</v>
      </c>
      <c r="V88" s="170" t="s">
        <v>43</v>
      </c>
    </row>
    <row r="89" spans="1:22">
      <c r="A89" s="446" t="s">
        <v>2532</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4"/>
        <v>No</v>
      </c>
      <c r="H89" s="169" t="str">
        <f t="shared" si="35"/>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6"/>
        <v>0</v>
      </c>
      <c r="P89" s="420">
        <f>SUMIF('Diags Raw Data'!$A$6:$A$4699,"*"&amp;$A89&amp;"*",'Diags Raw Data'!$Z$6:$Z$4699)</f>
        <v>0</v>
      </c>
      <c r="Q89" s="421">
        <f>SUM(SUMIF('Diags Raw Data'!$A$6:$A$4699,"*"&amp;$A89&amp;"*",'Diags Raw Data'!$AA$6:$AA$4699),SUMIF('Diags Raw Data'!$A$6:$A$4699,"*"&amp;$A89&amp;"*",'Diags Raw Data'!$AB$6:$AB$4699))</f>
        <v>0</v>
      </c>
      <c r="R89" s="422">
        <f t="shared" si="37"/>
        <v>0</v>
      </c>
      <c r="S89" s="422">
        <f t="shared" si="38"/>
        <v>0</v>
      </c>
      <c r="T89" s="423">
        <f t="shared" si="39"/>
        <v>0</v>
      </c>
      <c r="U89" s="469" t="s">
        <v>44</v>
      </c>
      <c r="V89" s="170" t="s">
        <v>43</v>
      </c>
    </row>
    <row r="90" spans="1:22" ht="30">
      <c r="A90" s="446" t="s">
        <v>2534</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40">IF(D90="","No","Yes")</f>
        <v>No</v>
      </c>
      <c r="H90" s="169" t="str">
        <f t="shared" ref="H90:H100" si="41">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2">IF((M90=0),0,N90/M90)</f>
        <v>0</v>
      </c>
      <c r="P90" s="420">
        <f>SUMIF('Diags Raw Data'!$A$6:$A$4699,"*"&amp;$A90&amp;"*",'Diags Raw Data'!$Z$6:$Z$4699)</f>
        <v>0</v>
      </c>
      <c r="Q90" s="421">
        <f>SUM(SUMIF('Diags Raw Data'!$A$6:$A$4699,"*"&amp;$A90&amp;"*",'Diags Raw Data'!$AA$6:$AA$4699),SUMIF('Diags Raw Data'!$A$6:$A$4699,"*"&amp;$A90&amp;"*",'Diags Raw Data'!$AB$6:$AB$4699))</f>
        <v>0</v>
      </c>
      <c r="R90" s="422">
        <f t="shared" ref="R90:R93" si="43">IF((J90=0),0,P90/J90)</f>
        <v>0</v>
      </c>
      <c r="S90" s="422">
        <f t="shared" ref="S90:S93" si="44">IF((P90=0),0,Q90/P90)</f>
        <v>0</v>
      </c>
      <c r="T90" s="423">
        <f t="shared" ref="T90:T93" si="45">R90*S90</f>
        <v>0</v>
      </c>
      <c r="U90" s="469" t="s">
        <v>44</v>
      </c>
      <c r="V90" s="170" t="s">
        <v>43</v>
      </c>
    </row>
    <row r="91" spans="1:22" ht="345">
      <c r="A91" s="446" t="s">
        <v>2202</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GMHUB</v>
      </c>
      <c r="F91" s="169" t="str">
        <f>VLOOKUP(A91,'Feature Raw Data'!$A$3:$E$4067,5,FALSE)</f>
        <v>Legacy</v>
      </c>
      <c r="G91" s="169" t="str">
        <f t="shared" si="40"/>
        <v>Yes</v>
      </c>
      <c r="H91" s="169" t="str">
        <f t="shared" si="41"/>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1</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2"/>
        <v>1</v>
      </c>
      <c r="P91" s="420">
        <f>SUMIF('Diags Raw Data'!$A$6:$A$4699,"*"&amp;$A91&amp;"*",'Diags Raw Data'!$Z$6:$Z$4699)</f>
        <v>0</v>
      </c>
      <c r="Q91" s="421">
        <f>SUM(SUMIF('Diags Raw Data'!$A$6:$A$4699,"*"&amp;$A91&amp;"*",'Diags Raw Data'!$AA$6:$AA$4699),SUMIF('Diags Raw Data'!$A$6:$A$4699,"*"&amp;$A91&amp;"*",'Diags Raw Data'!$AB$6:$AB$4699))</f>
        <v>0</v>
      </c>
      <c r="R91" s="422">
        <f t="shared" si="43"/>
        <v>0</v>
      </c>
      <c r="S91" s="422">
        <f t="shared" si="44"/>
        <v>0</v>
      </c>
      <c r="T91" s="423">
        <f t="shared" si="45"/>
        <v>0</v>
      </c>
      <c r="U91" s="469" t="s">
        <v>2810</v>
      </c>
      <c r="V91" s="170"/>
    </row>
    <row r="92" spans="1:22" ht="30">
      <c r="A92" s="446" t="s">
        <v>1540</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GMHUB</v>
      </c>
      <c r="F92" s="169" t="str">
        <f>VLOOKUP(A92,'Feature Raw Data'!$A$3:$E$4067,5,FALSE)</f>
        <v>Legacy</v>
      </c>
      <c r="G92" s="169" t="str">
        <f t="shared" si="40"/>
        <v>Yes</v>
      </c>
      <c r="H92" s="169" t="str">
        <f t="shared" si="41"/>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2"/>
        <v>1</v>
      </c>
      <c r="P92" s="420">
        <f>SUMIF('Diags Raw Data'!$A$6:$A$4699,"*"&amp;$A92&amp;"*",'Diags Raw Data'!$Z$6:$Z$4699)</f>
        <v>0</v>
      </c>
      <c r="Q92" s="421">
        <f>SUM(SUMIF('Diags Raw Data'!$A$6:$A$4699,"*"&amp;$A92&amp;"*",'Diags Raw Data'!$AA$6:$AA$4699),SUMIF('Diags Raw Data'!$A$6:$A$4699,"*"&amp;$A92&amp;"*",'Diags Raw Data'!$AB$6:$AB$4699))</f>
        <v>0</v>
      </c>
      <c r="R92" s="422">
        <f t="shared" si="43"/>
        <v>0</v>
      </c>
      <c r="S92" s="422">
        <f t="shared" si="44"/>
        <v>0</v>
      </c>
      <c r="T92" s="423">
        <f t="shared" si="45"/>
        <v>0</v>
      </c>
      <c r="U92" s="469" t="s">
        <v>2802</v>
      </c>
      <c r="V92" s="170"/>
    </row>
    <row r="93" spans="1:22">
      <c r="A93" s="446" t="s">
        <v>2543</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40"/>
        <v>No</v>
      </c>
      <c r="H93" s="169" t="str">
        <f t="shared" si="41"/>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2"/>
        <v>0</v>
      </c>
      <c r="P93" s="420">
        <f>SUMIF('Diags Raw Data'!$A$6:$A$4699,"*"&amp;$A93&amp;"*",'Diags Raw Data'!$Z$6:$Z$4699)</f>
        <v>0</v>
      </c>
      <c r="Q93" s="421">
        <f>SUM(SUMIF('Diags Raw Data'!$A$6:$A$4699,"*"&amp;$A93&amp;"*",'Diags Raw Data'!$AA$6:$AA$4699),SUMIF('Diags Raw Data'!$A$6:$A$4699,"*"&amp;$A93&amp;"*",'Diags Raw Data'!$AB$6:$AB$4699))</f>
        <v>0</v>
      </c>
      <c r="R93" s="422">
        <f t="shared" si="43"/>
        <v>0</v>
      </c>
      <c r="S93" s="422">
        <f t="shared" si="44"/>
        <v>0</v>
      </c>
      <c r="T93" s="423">
        <f t="shared" si="45"/>
        <v>0</v>
      </c>
      <c r="U93" s="469" t="s">
        <v>44</v>
      </c>
      <c r="V93" s="170" t="s">
        <v>43</v>
      </c>
    </row>
    <row r="94" spans="1:22" ht="330">
      <c r="A94" s="446" t="s">
        <v>1245</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GMHUB</v>
      </c>
      <c r="F94" s="169" t="str">
        <f>VLOOKUP(A94,'Feature Raw Data'!$A$3:$E$4067,5,FALSE)</f>
        <v>Legacy</v>
      </c>
      <c r="G94" s="169" t="str">
        <f t="shared" si="40"/>
        <v>Yes</v>
      </c>
      <c r="H94" s="169" t="str">
        <f t="shared" si="41"/>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6">IF((M94=0),0,N94/M94)</f>
        <v>1</v>
      </c>
      <c r="P94" s="420">
        <f>SUMIF('Diags Raw Data'!$A$6:$A$4699,"*"&amp;$A94&amp;"*",'Diags Raw Data'!$Z$6:$Z$4699)</f>
        <v>0</v>
      </c>
      <c r="Q94" s="421">
        <f>SUM(SUMIF('Diags Raw Data'!$A$6:$A$4699,"*"&amp;$A94&amp;"*",'Diags Raw Data'!$AA$6:$AA$4699),SUMIF('Diags Raw Data'!$A$6:$A$4699,"*"&amp;$A94&amp;"*",'Diags Raw Data'!$AB$6:$AB$4699))</f>
        <v>0</v>
      </c>
      <c r="R94" s="422">
        <f t="shared" ref="R94:R100" si="47">IF((J94=0),0,P94/J94)</f>
        <v>0</v>
      </c>
      <c r="S94" s="422">
        <f t="shared" ref="S94:S100" si="48">IF((P94=0),0,Q94/P94)</f>
        <v>0</v>
      </c>
      <c r="T94" s="423">
        <f t="shared" ref="T94:T100" si="49">R94*S94</f>
        <v>0</v>
      </c>
      <c r="U94" s="469" t="s">
        <v>2806</v>
      </c>
      <c r="V94" s="170"/>
    </row>
    <row r="95" spans="1:22" ht="30">
      <c r="A95" s="446" t="s">
        <v>2558</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40"/>
        <v>Yes</v>
      </c>
      <c r="H95" s="169" t="str">
        <f t="shared" si="41"/>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6"/>
        <v>1</v>
      </c>
      <c r="P95" s="420">
        <f>SUMIF('Diags Raw Data'!$A$6:$A$4699,"*"&amp;$A95&amp;"*",'Diags Raw Data'!$Z$6:$Z$4699)</f>
        <v>0</v>
      </c>
      <c r="Q95" s="421">
        <f>SUM(SUMIF('Diags Raw Data'!$A$6:$A$4699,"*"&amp;$A95&amp;"*",'Diags Raw Data'!$AA$6:$AA$4699),SUMIF('Diags Raw Data'!$A$6:$A$4699,"*"&amp;$A95&amp;"*",'Diags Raw Data'!$AB$6:$AB$4699))</f>
        <v>0</v>
      </c>
      <c r="R95" s="422">
        <f t="shared" si="47"/>
        <v>0</v>
      </c>
      <c r="S95" s="422">
        <f t="shared" si="48"/>
        <v>0</v>
      </c>
      <c r="T95" s="423">
        <f t="shared" si="49"/>
        <v>0</v>
      </c>
      <c r="U95" s="469" t="s">
        <v>2800</v>
      </c>
      <c r="V95" s="170"/>
    </row>
    <row r="96" spans="1:22" ht="45">
      <c r="A96" s="446" t="s">
        <v>2560</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40"/>
        <v>Yes</v>
      </c>
      <c r="H96" s="169" t="str">
        <f t="shared" si="41"/>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6"/>
        <v>1</v>
      </c>
      <c r="P96" s="420">
        <f>SUMIF('Diags Raw Data'!$A$6:$A$4699,"*"&amp;$A96&amp;"*",'Diags Raw Data'!$Z$6:$Z$4699)</f>
        <v>0</v>
      </c>
      <c r="Q96" s="421">
        <f>SUM(SUMIF('Diags Raw Data'!$A$6:$A$4699,"*"&amp;$A96&amp;"*",'Diags Raw Data'!$AA$6:$AA$4699),SUMIF('Diags Raw Data'!$A$6:$A$4699,"*"&amp;$A96&amp;"*",'Diags Raw Data'!$AB$6:$AB$4699))</f>
        <v>0</v>
      </c>
      <c r="R96" s="422">
        <f t="shared" si="47"/>
        <v>0</v>
      </c>
      <c r="S96" s="422">
        <f t="shared" si="48"/>
        <v>0</v>
      </c>
      <c r="T96" s="423">
        <f t="shared" si="49"/>
        <v>0</v>
      </c>
      <c r="U96" s="469" t="s">
        <v>2807</v>
      </c>
      <c r="V96" s="170"/>
    </row>
    <row r="97" spans="1:22" ht="14.65" customHeight="1">
      <c r="A97" s="446" t="s">
        <v>2561</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40"/>
        <v>Yes</v>
      </c>
      <c r="H97" s="169" t="str">
        <f t="shared" si="41"/>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1</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6"/>
        <v>1</v>
      </c>
      <c r="P97" s="420">
        <f>SUMIF('Diags Raw Data'!$A$6:$A$4699,"*"&amp;$A97&amp;"*",'Diags Raw Data'!$Z$6:$Z$4699)</f>
        <v>0</v>
      </c>
      <c r="Q97" s="421">
        <f>SUM(SUMIF('Diags Raw Data'!$A$6:$A$4699,"*"&amp;$A97&amp;"*",'Diags Raw Data'!$AA$6:$AA$4699),SUMIF('Diags Raw Data'!$A$6:$A$4699,"*"&amp;$A97&amp;"*",'Diags Raw Data'!$AB$6:$AB$4699))</f>
        <v>0</v>
      </c>
      <c r="R97" s="422">
        <f t="shared" si="47"/>
        <v>0</v>
      </c>
      <c r="S97" s="422">
        <f t="shared" si="48"/>
        <v>0</v>
      </c>
      <c r="T97" s="423">
        <f t="shared" si="49"/>
        <v>0</v>
      </c>
      <c r="U97" s="469" t="s">
        <v>2810</v>
      </c>
      <c r="V97" s="170"/>
    </row>
    <row r="98" spans="1:22" ht="14.65" customHeight="1">
      <c r="A98" s="446" t="s">
        <v>1570</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GMHUB</v>
      </c>
      <c r="F98" s="169" t="str">
        <f>VLOOKUP(A98,'Feature Raw Data'!$A$3:$E$4067,5,FALSE)</f>
        <v>Legacy</v>
      </c>
      <c r="G98" s="169" t="str">
        <f t="shared" si="40"/>
        <v>Yes</v>
      </c>
      <c r="H98" s="169" t="str">
        <f t="shared" si="41"/>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6"/>
        <v>1</v>
      </c>
      <c r="P98" s="420">
        <f>SUMIF('Diags Raw Data'!$A$6:$A$4699,"*"&amp;$A98&amp;"*",'Diags Raw Data'!$Z$6:$Z$4699)</f>
        <v>0</v>
      </c>
      <c r="Q98" s="421">
        <f>SUM(SUMIF('Diags Raw Data'!$A$6:$A$4699,"*"&amp;$A98&amp;"*",'Diags Raw Data'!$AA$6:$AA$4699),SUMIF('Diags Raw Data'!$A$6:$A$4699,"*"&amp;$A98&amp;"*",'Diags Raw Data'!$AB$6:$AB$4699))</f>
        <v>0</v>
      </c>
      <c r="R98" s="422">
        <f t="shared" si="47"/>
        <v>0</v>
      </c>
      <c r="S98" s="422">
        <f t="shared" si="48"/>
        <v>0</v>
      </c>
      <c r="T98" s="423">
        <f t="shared" si="49"/>
        <v>0</v>
      </c>
      <c r="U98" s="469" t="s">
        <v>2805</v>
      </c>
      <c r="V98" s="170"/>
    </row>
    <row r="99" spans="1:22" ht="75">
      <c r="A99" s="446" t="s">
        <v>1475</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GMHUB</v>
      </c>
      <c r="F99" s="169" t="str">
        <f>VLOOKUP(A99,'Feature Raw Data'!$A$3:$E$4067,5,FALSE)</f>
        <v>Legacy</v>
      </c>
      <c r="G99" s="169" t="str">
        <f t="shared" si="40"/>
        <v>Yes</v>
      </c>
      <c r="H99" s="169" t="str">
        <f t="shared" si="41"/>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1</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6"/>
        <v>1</v>
      </c>
      <c r="P99" s="420">
        <f>SUMIF('Diags Raw Data'!$A$6:$A$4699,"*"&amp;$A99&amp;"*",'Diags Raw Data'!$Z$6:$Z$4699)</f>
        <v>0</v>
      </c>
      <c r="Q99" s="421">
        <f>SUM(SUMIF('Diags Raw Data'!$A$6:$A$4699,"*"&amp;$A99&amp;"*",'Diags Raw Data'!$AA$6:$AA$4699),SUMIF('Diags Raw Data'!$A$6:$A$4699,"*"&amp;$A99&amp;"*",'Diags Raw Data'!$AB$6:$AB$4699))</f>
        <v>0</v>
      </c>
      <c r="R99" s="422">
        <f t="shared" si="47"/>
        <v>0</v>
      </c>
      <c r="S99" s="422">
        <f t="shared" si="48"/>
        <v>0</v>
      </c>
      <c r="T99" s="423">
        <f t="shared" si="49"/>
        <v>0</v>
      </c>
      <c r="U99" s="469" t="s">
        <v>2811</v>
      </c>
      <c r="V99" s="170"/>
    </row>
    <row r="100" spans="1:22" ht="14.65" customHeight="1">
      <c r="A100" s="446" t="s">
        <v>1493</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GMHUB</v>
      </c>
      <c r="F100" s="169" t="str">
        <f>VLOOKUP(A100,'Feature Raw Data'!$A$3:$E$4067,5,FALSE)</f>
        <v>Legacy</v>
      </c>
      <c r="G100" s="169" t="str">
        <f t="shared" si="40"/>
        <v>Yes</v>
      </c>
      <c r="H100" s="169" t="str">
        <f t="shared" si="41"/>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6"/>
        <v>1</v>
      </c>
      <c r="P100" s="420">
        <f>SUMIF('Diags Raw Data'!$A$6:$A$4699,"*"&amp;$A100&amp;"*",'Diags Raw Data'!$Z$6:$Z$4699)</f>
        <v>0</v>
      </c>
      <c r="Q100" s="421">
        <f>SUM(SUMIF('Diags Raw Data'!$A$6:$A$4699,"*"&amp;$A100&amp;"*",'Diags Raw Data'!$AA$6:$AA$4699),SUMIF('Diags Raw Data'!$A$6:$A$4699,"*"&amp;$A100&amp;"*",'Diags Raw Data'!$AB$6:$AB$4699))</f>
        <v>0</v>
      </c>
      <c r="R100" s="422">
        <f t="shared" si="47"/>
        <v>0</v>
      </c>
      <c r="S100" s="422">
        <f t="shared" si="48"/>
        <v>0</v>
      </c>
      <c r="T100" s="423">
        <f t="shared" si="49"/>
        <v>0</v>
      </c>
      <c r="U100" s="469" t="s">
        <v>2810</v>
      </c>
      <c r="V100" s="170"/>
    </row>
    <row r="101" spans="1:22" ht="30">
      <c r="A101" s="446" t="s">
        <v>2566</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50">IF(D101="","No","Yes")</f>
        <v>Yes</v>
      </c>
      <c r="H101" s="169" t="str">
        <f t="shared" ref="H101:H109" si="51">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2">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3">IF((J101=0),0,P101/J101)</f>
        <v>0</v>
      </c>
      <c r="S101" s="422">
        <f t="shared" ref="S101:S109" si="54">IF((P101=0),0,Q101/P101)</f>
        <v>0</v>
      </c>
      <c r="T101" s="423">
        <f t="shared" ref="T101:T109" si="55">R101*S101</f>
        <v>0</v>
      </c>
      <c r="U101" s="469" t="s">
        <v>2810</v>
      </c>
      <c r="V101" s="170"/>
    </row>
    <row r="102" spans="1:22" s="176" customFormat="1" ht="18.75" customHeight="1">
      <c r="A102" s="446" t="s">
        <v>1823</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GMHUB</v>
      </c>
      <c r="F102" s="169" t="str">
        <f>VLOOKUP(A102,'Feature Raw Data'!$A$3:$E$4067,5,FALSE)</f>
        <v>Legacy</v>
      </c>
      <c r="G102" s="169" t="str">
        <f t="shared" si="50"/>
        <v>Yes</v>
      </c>
      <c r="H102" s="169" t="str">
        <f t="shared" si="51"/>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2"/>
        <v>1</v>
      </c>
      <c r="P102" s="420">
        <f>SUMIF('Diags Raw Data'!$A$6:$A$4699,"*"&amp;$A102&amp;"*",'Diags Raw Data'!$Z$6:$Z$4699)</f>
        <v>0</v>
      </c>
      <c r="Q102" s="421">
        <f>SUM(SUMIF('Diags Raw Data'!$A$6:$A$4699,"*"&amp;$A102&amp;"*",'Diags Raw Data'!$AA$6:$AA$4699),SUMIF('Diags Raw Data'!$A$6:$A$4699,"*"&amp;$A102&amp;"*",'Diags Raw Data'!$AB$6:$AB$4699))</f>
        <v>0</v>
      </c>
      <c r="R102" s="422">
        <f t="shared" si="53"/>
        <v>0</v>
      </c>
      <c r="S102" s="422">
        <f t="shared" si="54"/>
        <v>0</v>
      </c>
      <c r="T102" s="423">
        <f t="shared" si="55"/>
        <v>0</v>
      </c>
      <c r="U102" s="469" t="s">
        <v>2807</v>
      </c>
      <c r="V102" s="175"/>
    </row>
    <row r="103" spans="1:22" ht="19.149999999999999" customHeight="1">
      <c r="A103" s="446" t="s">
        <v>2569</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50"/>
        <v>Yes</v>
      </c>
      <c r="H103" s="169" t="str">
        <f t="shared" si="51"/>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2"/>
        <v>1</v>
      </c>
      <c r="P103" s="420">
        <f>SUMIF('Diags Raw Data'!$A$6:$A$4699,"*"&amp;$A103&amp;"*",'Diags Raw Data'!$Z$6:$Z$4699)</f>
        <v>0</v>
      </c>
      <c r="Q103" s="421">
        <f>SUM(SUMIF('Diags Raw Data'!$A$6:$A$4699,"*"&amp;$A103&amp;"*",'Diags Raw Data'!$AA$6:$AA$4699),SUMIF('Diags Raw Data'!$A$6:$A$4699,"*"&amp;$A103&amp;"*",'Diags Raw Data'!$AB$6:$AB$4699))</f>
        <v>0</v>
      </c>
      <c r="R103" s="422">
        <f t="shared" si="53"/>
        <v>0</v>
      </c>
      <c r="S103" s="422">
        <f t="shared" si="54"/>
        <v>0</v>
      </c>
      <c r="T103" s="423">
        <f t="shared" si="55"/>
        <v>0</v>
      </c>
      <c r="U103" s="469" t="s">
        <v>2803</v>
      </c>
      <c r="V103" s="170"/>
    </row>
    <row r="104" spans="1:22" ht="18.75" customHeight="1">
      <c r="A104" s="446" t="s">
        <v>2251</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GFXHUB</v>
      </c>
      <c r="F104" s="169" t="str">
        <f>VLOOKUP(A104,'Feature Raw Data'!$A$3:$E$4067,5,FALSE)</f>
        <v>Legacy</v>
      </c>
      <c r="G104" s="169" t="s">
        <v>31</v>
      </c>
      <c r="H104" s="169" t="str">
        <f t="shared" si="51"/>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2"/>
        <v>0</v>
      </c>
      <c r="P104" s="420">
        <f>SUMIF('Diags Raw Data'!$A$6:$A$4699,"*"&amp;$A104&amp;"*",'Diags Raw Data'!$Z$6:$Z$4699)</f>
        <v>0</v>
      </c>
      <c r="Q104" s="421">
        <f>SUM(SUMIF('Diags Raw Data'!$A$6:$A$4699,"*"&amp;$A104&amp;"*",'Diags Raw Data'!$AA$6:$AA$4699),SUMIF('Diags Raw Data'!$A$6:$A$4699,"*"&amp;$A104&amp;"*",'Diags Raw Data'!$AB$6:$AB$4699))</f>
        <v>0</v>
      </c>
      <c r="R104" s="422">
        <f t="shared" si="53"/>
        <v>0</v>
      </c>
      <c r="S104" s="422">
        <f t="shared" si="54"/>
        <v>0</v>
      </c>
      <c r="T104" s="423">
        <f t="shared" si="55"/>
        <v>0</v>
      </c>
      <c r="U104" s="469" t="s">
        <v>44</v>
      </c>
    </row>
    <row r="105" spans="1:22" ht="14.65" customHeight="1">
      <c r="A105" s="446" t="s">
        <v>1811</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GMHUB</v>
      </c>
      <c r="F105" s="169" t="str">
        <f>VLOOKUP(A105,'Feature Raw Data'!$A$3:$E$4067,5,FALSE)</f>
        <v>Legacy</v>
      </c>
      <c r="G105" s="169" t="str">
        <f t="shared" si="50"/>
        <v>Yes</v>
      </c>
      <c r="H105" s="169" t="str">
        <f t="shared" si="51"/>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2"/>
        <v>1</v>
      </c>
      <c r="P105" s="420">
        <f>SUMIF('Diags Raw Data'!$A$6:$A$4699,"*"&amp;$A105&amp;"*",'Diags Raw Data'!$Z$6:$Z$4699)</f>
        <v>0</v>
      </c>
      <c r="Q105" s="421">
        <f>SUM(SUMIF('Diags Raw Data'!$A$6:$A$4699,"*"&amp;$A105&amp;"*",'Diags Raw Data'!$AA$6:$AA$4699),SUMIF('Diags Raw Data'!$A$6:$A$4699,"*"&amp;$A105&amp;"*",'Diags Raw Data'!$AB$6:$AB$4699))</f>
        <v>0</v>
      </c>
      <c r="R105" s="422">
        <f t="shared" si="53"/>
        <v>0</v>
      </c>
      <c r="S105" s="422">
        <f t="shared" si="54"/>
        <v>0</v>
      </c>
      <c r="T105" s="423">
        <f t="shared" si="55"/>
        <v>0</v>
      </c>
      <c r="U105" s="469" t="s">
        <v>2810</v>
      </c>
    </row>
    <row r="106" spans="1:22" ht="14.65" customHeight="1">
      <c r="A106" s="446" t="s">
        <v>2575</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1"/>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2"/>
        <v>0</v>
      </c>
      <c r="P106" s="420">
        <f>SUMIF('Diags Raw Data'!$A$6:$A$4699,"*"&amp;$A106&amp;"*",'Diags Raw Data'!$Z$6:$Z$4699)</f>
        <v>0</v>
      </c>
      <c r="Q106" s="421">
        <f>SUM(SUMIF('Diags Raw Data'!$A$6:$A$4699,"*"&amp;$A106&amp;"*",'Diags Raw Data'!$AA$6:$AA$4699),SUMIF('Diags Raw Data'!$A$6:$A$4699,"*"&amp;$A106&amp;"*",'Diags Raw Data'!$AB$6:$AB$4699))</f>
        <v>0</v>
      </c>
      <c r="R106" s="422">
        <f t="shared" si="53"/>
        <v>0</v>
      </c>
      <c r="S106" s="422">
        <f t="shared" si="54"/>
        <v>0</v>
      </c>
      <c r="T106" s="423">
        <f t="shared" si="55"/>
        <v>0</v>
      </c>
      <c r="U106" s="469" t="s">
        <v>44</v>
      </c>
    </row>
    <row r="107" spans="1:22" ht="14.65" customHeight="1">
      <c r="A107" s="446" t="s">
        <v>2576</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1"/>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2"/>
        <v>0</v>
      </c>
      <c r="P107" s="420">
        <f>SUMIF('Diags Raw Data'!$A$6:$A$4699,"*"&amp;$A107&amp;"*",'Diags Raw Data'!$Z$6:$Z$4699)</f>
        <v>0</v>
      </c>
      <c r="Q107" s="421">
        <f>SUM(SUMIF('Diags Raw Data'!$A$6:$A$4699,"*"&amp;$A107&amp;"*",'Diags Raw Data'!$AA$6:$AA$4699),SUMIF('Diags Raw Data'!$A$6:$A$4699,"*"&amp;$A107&amp;"*",'Diags Raw Data'!$AB$6:$AB$4699))</f>
        <v>0</v>
      </c>
      <c r="R107" s="422">
        <f t="shared" si="53"/>
        <v>0</v>
      </c>
      <c r="S107" s="422">
        <f t="shared" si="54"/>
        <v>0</v>
      </c>
      <c r="T107" s="423">
        <f t="shared" si="55"/>
        <v>0</v>
      </c>
      <c r="U107" s="469" t="s">
        <v>44</v>
      </c>
    </row>
    <row r="108" spans="1:22" ht="14.65" customHeight="1">
      <c r="A108" s="446" t="s">
        <v>1831</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GMHUB</v>
      </c>
      <c r="F108" s="169" t="str">
        <f>VLOOKUP(A108,'Feature Raw Data'!$A$3:$E$4067,5,FALSE)</f>
        <v>Legacy</v>
      </c>
      <c r="G108" s="169" t="str">
        <f t="shared" si="50"/>
        <v>Yes</v>
      </c>
      <c r="H108" s="169" t="str">
        <f t="shared" si="51"/>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2"/>
        <v>1</v>
      </c>
      <c r="P108" s="420">
        <f>SUMIF('Diags Raw Data'!$A$6:$A$4699,"*"&amp;$A108&amp;"*",'Diags Raw Data'!$Z$6:$Z$4699)</f>
        <v>0</v>
      </c>
      <c r="Q108" s="421">
        <f>SUM(SUMIF('Diags Raw Data'!$A$6:$A$4699,"*"&amp;$A108&amp;"*",'Diags Raw Data'!$AA$6:$AA$4699),SUMIF('Diags Raw Data'!$A$6:$A$4699,"*"&amp;$A108&amp;"*",'Diags Raw Data'!$AB$6:$AB$4699))</f>
        <v>0</v>
      </c>
      <c r="R108" s="422">
        <f t="shared" si="53"/>
        <v>0</v>
      </c>
      <c r="S108" s="422">
        <f t="shared" si="54"/>
        <v>0</v>
      </c>
      <c r="T108" s="423">
        <f t="shared" si="55"/>
        <v>0</v>
      </c>
      <c r="U108" s="469" t="s">
        <v>2809</v>
      </c>
    </row>
    <row r="109" spans="1:22" ht="14.65" customHeight="1">
      <c r="A109" s="446" t="s">
        <v>1837</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GMHUB</v>
      </c>
      <c r="F109" s="169" t="str">
        <f>VLOOKUP(A109,'Feature Raw Data'!$A$3:$E$4067,5,FALSE)</f>
        <v>Legacy</v>
      </c>
      <c r="G109" s="169" t="str">
        <f t="shared" si="50"/>
        <v>Yes</v>
      </c>
      <c r="H109" s="169" t="str">
        <f t="shared" si="51"/>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2"/>
        <v>1</v>
      </c>
      <c r="P109" s="420">
        <f>SUMIF('Diags Raw Data'!$A$6:$A$4699,"*"&amp;$A109&amp;"*",'Diags Raw Data'!$Z$6:$Z$4699)</f>
        <v>0</v>
      </c>
      <c r="Q109" s="421">
        <f>SUM(SUMIF('Diags Raw Data'!$A$6:$A$4699,"*"&amp;$A109&amp;"*",'Diags Raw Data'!$AA$6:$AA$4699),SUMIF('Diags Raw Data'!$A$6:$A$4699,"*"&amp;$A109&amp;"*",'Diags Raw Data'!$AB$6:$AB$4699))</f>
        <v>0</v>
      </c>
      <c r="R109" s="422">
        <f t="shared" si="53"/>
        <v>0</v>
      </c>
      <c r="S109" s="422">
        <f t="shared" si="54"/>
        <v>0</v>
      </c>
      <c r="T109" s="423">
        <f t="shared" si="55"/>
        <v>0</v>
      </c>
      <c r="U109" s="469" t="s">
        <v>2809</v>
      </c>
    </row>
    <row r="110" spans="1:22" ht="45">
      <c r="A110" s="446" t="s">
        <v>2580</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6">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7">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8">IF((J110=0),0,P110/J110)</f>
        <v>0</v>
      </c>
      <c r="S110" s="422">
        <f t="shared" ref="S110:S118" si="59">IF((P110=0),0,Q110/P110)</f>
        <v>0</v>
      </c>
      <c r="T110" s="423">
        <f t="shared" ref="T110:T118" si="60">R110*S110</f>
        <v>0</v>
      </c>
      <c r="U110" s="469" t="s">
        <v>44</v>
      </c>
    </row>
    <row r="111" spans="1:22" ht="105">
      <c r="A111" s="446" t="s">
        <v>1301</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GMHUB</v>
      </c>
      <c r="F111" s="169" t="str">
        <f>VLOOKUP(A111,'Feature Raw Data'!$A$3:$E$4067,5,FALSE)</f>
        <v>Legacy</v>
      </c>
      <c r="G111" s="169" t="str">
        <f t="shared" ref="G111:G118" si="61">IF(D111="","No","Yes")</f>
        <v>Yes</v>
      </c>
      <c r="H111" s="169" t="str">
        <f t="shared" si="56"/>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7"/>
        <v>1</v>
      </c>
      <c r="P111" s="420">
        <f>SUMIF('Diags Raw Data'!$A$6:$A$4699,"*"&amp;$A111&amp;"*",'Diags Raw Data'!$Z$6:$Z$4699)</f>
        <v>0</v>
      </c>
      <c r="Q111" s="421">
        <f>SUM(SUMIF('Diags Raw Data'!$A$6:$A$4699,"*"&amp;$A111&amp;"*",'Diags Raw Data'!$AA$6:$AA$4699),SUMIF('Diags Raw Data'!$A$6:$A$4699,"*"&amp;$A111&amp;"*",'Diags Raw Data'!$AB$6:$AB$4699))</f>
        <v>0</v>
      </c>
      <c r="R111" s="422">
        <f t="shared" si="58"/>
        <v>0</v>
      </c>
      <c r="S111" s="422">
        <f t="shared" si="59"/>
        <v>0</v>
      </c>
      <c r="T111" s="423">
        <f t="shared" si="60"/>
        <v>0</v>
      </c>
      <c r="U111" s="469" t="s">
        <v>2808</v>
      </c>
    </row>
    <row r="112" spans="1:22" ht="60">
      <c r="A112" s="446" t="s">
        <v>1846</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GMHUB</v>
      </c>
      <c r="F112" s="169" t="str">
        <f>VLOOKUP(A112,'Feature Raw Data'!$A$3:$E$4067,5,FALSE)</f>
        <v>Legacy</v>
      </c>
      <c r="G112" s="169" t="str">
        <f t="shared" si="61"/>
        <v>Yes</v>
      </c>
      <c r="H112" s="169" t="str">
        <f t="shared" si="56"/>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1</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7"/>
        <v>1</v>
      </c>
      <c r="P112" s="420">
        <f>SUMIF('Diags Raw Data'!$A$6:$A$4699,"*"&amp;$A112&amp;"*",'Diags Raw Data'!$Z$6:$Z$4699)</f>
        <v>0</v>
      </c>
      <c r="Q112" s="421">
        <f>SUM(SUMIF('Diags Raw Data'!$A$6:$A$4699,"*"&amp;$A112&amp;"*",'Diags Raw Data'!$AA$6:$AA$4699),SUMIF('Diags Raw Data'!$A$6:$A$4699,"*"&amp;$A112&amp;"*",'Diags Raw Data'!$AB$6:$AB$4699))</f>
        <v>0</v>
      </c>
      <c r="R112" s="422">
        <f t="shared" si="58"/>
        <v>0</v>
      </c>
      <c r="S112" s="422">
        <f t="shared" si="59"/>
        <v>0</v>
      </c>
      <c r="T112" s="423">
        <f t="shared" si="60"/>
        <v>0</v>
      </c>
      <c r="U112" s="469" t="s">
        <v>2811</v>
      </c>
    </row>
    <row r="113" spans="1:22" ht="105">
      <c r="A113" s="446" t="s">
        <v>1549</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GMHUB</v>
      </c>
      <c r="F113" s="169" t="str">
        <f>VLOOKUP(A113,'Feature Raw Data'!$A$3:$E$4067,5,FALSE)</f>
        <v>Legacy</v>
      </c>
      <c r="G113" s="169" t="str">
        <f t="shared" si="61"/>
        <v>Yes</v>
      </c>
      <c r="H113" s="169" t="str">
        <f t="shared" si="56"/>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7"/>
        <v>1</v>
      </c>
      <c r="P113" s="420">
        <f>SUMIF('Diags Raw Data'!$A$6:$A$4699,"*"&amp;$A113&amp;"*",'Diags Raw Data'!$Z$6:$Z$4699)</f>
        <v>0</v>
      </c>
      <c r="Q113" s="421">
        <f>SUM(SUMIF('Diags Raw Data'!$A$6:$A$4699,"*"&amp;$A113&amp;"*",'Diags Raw Data'!$AA$6:$AA$4699),SUMIF('Diags Raw Data'!$A$6:$A$4699,"*"&amp;$A113&amp;"*",'Diags Raw Data'!$AB$6:$AB$4699))</f>
        <v>0</v>
      </c>
      <c r="R113" s="422">
        <f t="shared" si="58"/>
        <v>0</v>
      </c>
      <c r="S113" s="422">
        <f t="shared" si="59"/>
        <v>0</v>
      </c>
      <c r="T113" s="423">
        <f t="shared" si="60"/>
        <v>0</v>
      </c>
      <c r="U113" s="469" t="s">
        <v>2805</v>
      </c>
    </row>
    <row r="114" spans="1:22" ht="45">
      <c r="A114" s="446" t="s">
        <v>2586</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1"/>
        <v>Yes</v>
      </c>
      <c r="H114" s="169" t="str">
        <f t="shared" si="56"/>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7"/>
        <v>1</v>
      </c>
      <c r="P114" s="420">
        <f>SUMIF('Diags Raw Data'!$A$6:$A$4699,"*"&amp;$A114&amp;"*",'Diags Raw Data'!$Z$6:$Z$4699)</f>
        <v>0</v>
      </c>
      <c r="Q114" s="421">
        <f>SUM(SUMIF('Diags Raw Data'!$A$6:$A$4699,"*"&amp;$A114&amp;"*",'Diags Raw Data'!$AA$6:$AA$4699),SUMIF('Diags Raw Data'!$A$6:$A$4699,"*"&amp;$A114&amp;"*",'Diags Raw Data'!$AB$6:$AB$4699))</f>
        <v>0</v>
      </c>
      <c r="R114" s="422">
        <f t="shared" si="58"/>
        <v>0</v>
      </c>
      <c r="S114" s="422">
        <f t="shared" si="59"/>
        <v>0</v>
      </c>
      <c r="T114" s="423">
        <f t="shared" si="60"/>
        <v>0</v>
      </c>
      <c r="U114" s="469" t="s">
        <v>2805</v>
      </c>
    </row>
    <row r="115" spans="1:22" ht="75">
      <c r="A115" s="446" t="s">
        <v>1154</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GMHUB</v>
      </c>
      <c r="F115" s="169" t="str">
        <f>VLOOKUP(A115,'Feature Raw Data'!$A$3:$E$4067,5,FALSE)</f>
        <v>Legacy</v>
      </c>
      <c r="G115" s="169" t="str">
        <f t="shared" si="61"/>
        <v>Yes</v>
      </c>
      <c r="H115" s="169" t="str">
        <f t="shared" si="56"/>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7"/>
        <v>1</v>
      </c>
      <c r="P115" s="420">
        <f>SUMIF('Diags Raw Data'!$A$6:$A$4699,"*"&amp;$A115&amp;"*",'Diags Raw Data'!$Z$6:$Z$4699)</f>
        <v>0</v>
      </c>
      <c r="Q115" s="421">
        <f>SUM(SUMIF('Diags Raw Data'!$A$6:$A$4699,"*"&amp;$A115&amp;"*",'Diags Raw Data'!$AA$6:$AA$4699),SUMIF('Diags Raw Data'!$A$6:$A$4699,"*"&amp;$A115&amp;"*",'Diags Raw Data'!$AB$6:$AB$4699))</f>
        <v>0</v>
      </c>
      <c r="R115" s="422">
        <f t="shared" si="58"/>
        <v>0</v>
      </c>
      <c r="S115" s="422">
        <f t="shared" si="59"/>
        <v>0</v>
      </c>
      <c r="T115" s="423">
        <f t="shared" si="60"/>
        <v>0</v>
      </c>
      <c r="U115" s="469" t="s">
        <v>2801</v>
      </c>
    </row>
    <row r="116" spans="1:22" ht="165">
      <c r="A116" s="446" t="s">
        <v>1116</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GMHUB</v>
      </c>
      <c r="F116" s="169" t="str">
        <f>VLOOKUP(A116,'Feature Raw Data'!$A$3:$E$4067,5,FALSE)</f>
        <v>Delta</v>
      </c>
      <c r="G116" s="169" t="str">
        <f t="shared" si="61"/>
        <v>Yes</v>
      </c>
      <c r="H116" s="169" t="str">
        <f t="shared" si="56"/>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7"/>
        <v>1</v>
      </c>
      <c r="P116" s="420">
        <f>SUMIF('Diags Raw Data'!$A$6:$A$4699,"*"&amp;$A116&amp;"*",'Diags Raw Data'!$Z$6:$Z$4699)</f>
        <v>0</v>
      </c>
      <c r="Q116" s="421">
        <f>SUM(SUMIF('Diags Raw Data'!$A$6:$A$4699,"*"&amp;$A116&amp;"*",'Diags Raw Data'!$AA$6:$AA$4699),SUMIF('Diags Raw Data'!$A$6:$A$4699,"*"&amp;$A116&amp;"*",'Diags Raw Data'!$AB$6:$AB$4699))</f>
        <v>0</v>
      </c>
      <c r="R116" s="422">
        <f t="shared" si="58"/>
        <v>0</v>
      </c>
      <c r="S116" s="422">
        <f t="shared" si="59"/>
        <v>0</v>
      </c>
      <c r="T116" s="423">
        <f t="shared" si="60"/>
        <v>0</v>
      </c>
      <c r="U116" s="469" t="s">
        <v>2800</v>
      </c>
    </row>
    <row r="117" spans="1:22" ht="60">
      <c r="A117" s="446" t="s">
        <v>1741</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GMHUB</v>
      </c>
      <c r="F117" s="169" t="str">
        <f>VLOOKUP(A117,'Feature Raw Data'!$A$3:$E$4067,5,FALSE)</f>
        <v>Legacy</v>
      </c>
      <c r="G117" s="169" t="str">
        <f t="shared" si="61"/>
        <v>Yes</v>
      </c>
      <c r="H117" s="169" t="str">
        <f t="shared" si="56"/>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7"/>
        <v>1</v>
      </c>
      <c r="P117" s="420">
        <f>SUMIF('Diags Raw Data'!$A$6:$A$4699,"*"&amp;$A117&amp;"*",'Diags Raw Data'!$Z$6:$Z$4699)</f>
        <v>0</v>
      </c>
      <c r="Q117" s="421">
        <f>SUM(SUMIF('Diags Raw Data'!$A$6:$A$4699,"*"&amp;$A117&amp;"*",'Diags Raw Data'!$AA$6:$AA$4699),SUMIF('Diags Raw Data'!$A$6:$A$4699,"*"&amp;$A117&amp;"*",'Diags Raw Data'!$AB$6:$AB$4699))</f>
        <v>0</v>
      </c>
      <c r="R117" s="422">
        <f t="shared" si="58"/>
        <v>0</v>
      </c>
      <c r="S117" s="422">
        <f t="shared" si="59"/>
        <v>0</v>
      </c>
      <c r="T117" s="423">
        <f t="shared" si="60"/>
        <v>0</v>
      </c>
      <c r="U117" s="469" t="s">
        <v>2806</v>
      </c>
    </row>
    <row r="118" spans="1:22" ht="30">
      <c r="A118" s="446" t="s">
        <v>2591</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1"/>
        <v>Yes</v>
      </c>
      <c r="H118" s="169" t="str">
        <f t="shared" si="56"/>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7"/>
        <v>1</v>
      </c>
      <c r="P118" s="420">
        <f>SUMIF('Diags Raw Data'!$A$6:$A$4699,"*"&amp;$A118&amp;"*",'Diags Raw Data'!$Z$6:$Z$4699)</f>
        <v>0</v>
      </c>
      <c r="Q118" s="421">
        <f>SUM(SUMIF('Diags Raw Data'!$A$6:$A$4699,"*"&amp;$A118&amp;"*",'Diags Raw Data'!$AA$6:$AA$4699),SUMIF('Diags Raw Data'!$A$6:$A$4699,"*"&amp;$A118&amp;"*",'Diags Raw Data'!$AB$6:$AB$4699))</f>
        <v>0</v>
      </c>
      <c r="R118" s="422">
        <f t="shared" si="58"/>
        <v>0</v>
      </c>
      <c r="S118" s="422">
        <f t="shared" si="59"/>
        <v>0</v>
      </c>
      <c r="T118" s="423">
        <f t="shared" si="60"/>
        <v>0</v>
      </c>
      <c r="U118" s="469" t="s">
        <v>2810</v>
      </c>
    </row>
    <row r="119" spans="1:22" ht="409.5">
      <c r="A119" s="446" t="s">
        <v>2593</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2">IF(D119="","No","Yes")</f>
        <v>Yes</v>
      </c>
      <c r="H119" s="169" t="str">
        <f t="shared" ref="H119:H126" si="63">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4">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5">IF((J119=0),0,P119/J119)</f>
        <v>0</v>
      </c>
      <c r="S119" s="422">
        <f t="shared" ref="S119:S126" si="66">IF((P119=0),0,Q119/P119)</f>
        <v>0</v>
      </c>
      <c r="T119" s="423">
        <f t="shared" ref="T119:T126" si="67">R119*S119</f>
        <v>0</v>
      </c>
      <c r="U119" s="469" t="s">
        <v>2804</v>
      </c>
    </row>
    <row r="120" spans="1:22" ht="75">
      <c r="A120" s="446" t="s">
        <v>1157</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GMHUB</v>
      </c>
      <c r="F120" s="169" t="str">
        <f>VLOOKUP(A120,'Feature Raw Data'!$A$3:$E$4067,5,FALSE)</f>
        <v>Legacy</v>
      </c>
      <c r="G120" s="169" t="str">
        <f t="shared" si="62"/>
        <v>Yes</v>
      </c>
      <c r="H120" s="169" t="str">
        <f t="shared" si="63"/>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4"/>
        <v>1</v>
      </c>
      <c r="P120" s="420">
        <f>SUMIF('Diags Raw Data'!$A$6:$A$4699,"*"&amp;$A120&amp;"*",'Diags Raw Data'!$Z$6:$Z$4699)</f>
        <v>0</v>
      </c>
      <c r="Q120" s="421">
        <f>SUM(SUMIF('Diags Raw Data'!$A$6:$A$4699,"*"&amp;$A120&amp;"*",'Diags Raw Data'!$AA$6:$AA$4699),SUMIF('Diags Raw Data'!$A$6:$A$4699,"*"&amp;$A120&amp;"*",'Diags Raw Data'!$AB$6:$AB$4699))</f>
        <v>0</v>
      </c>
      <c r="R120" s="422">
        <f t="shared" si="65"/>
        <v>0</v>
      </c>
      <c r="S120" s="422">
        <f t="shared" si="66"/>
        <v>0</v>
      </c>
      <c r="T120" s="423">
        <f t="shared" si="67"/>
        <v>0</v>
      </c>
      <c r="U120" s="469" t="s">
        <v>2806</v>
      </c>
    </row>
    <row r="121" spans="1:22" ht="75">
      <c r="A121" s="446" t="s">
        <v>1232</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GMHUB</v>
      </c>
      <c r="F121" s="169" t="str">
        <f>VLOOKUP(A121,'Feature Raw Data'!$A$3:$E$4067,5,FALSE)</f>
        <v>Legacy</v>
      </c>
      <c r="G121" s="169" t="str">
        <f t="shared" si="62"/>
        <v>Yes</v>
      </c>
      <c r="H121" s="169" t="str">
        <f t="shared" si="63"/>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4"/>
        <v>1</v>
      </c>
      <c r="P121" s="420">
        <f>SUMIF('Diags Raw Data'!$A$6:$A$4699,"*"&amp;$A121&amp;"*",'Diags Raw Data'!$Z$6:$Z$4699)</f>
        <v>0</v>
      </c>
      <c r="Q121" s="421">
        <f>SUM(SUMIF('Diags Raw Data'!$A$6:$A$4699,"*"&amp;$A121&amp;"*",'Diags Raw Data'!$AA$6:$AA$4699),SUMIF('Diags Raw Data'!$A$6:$A$4699,"*"&amp;$A121&amp;"*",'Diags Raw Data'!$AB$6:$AB$4699))</f>
        <v>0</v>
      </c>
      <c r="R121" s="422">
        <f t="shared" si="65"/>
        <v>0</v>
      </c>
      <c r="S121" s="422">
        <f t="shared" si="66"/>
        <v>0</v>
      </c>
      <c r="T121" s="423">
        <f t="shared" si="67"/>
        <v>0</v>
      </c>
      <c r="U121" s="469" t="s">
        <v>2799</v>
      </c>
    </row>
    <row r="122" spans="1:22" ht="30">
      <c r="A122" s="446" t="s">
        <v>1178</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GMHUB</v>
      </c>
      <c r="F122" s="169" t="str">
        <f>VLOOKUP(A122,'Feature Raw Data'!$A$3:$E$4067,5,FALSE)</f>
        <v>Legacy</v>
      </c>
      <c r="G122" s="169" t="str">
        <f t="shared" si="62"/>
        <v>Yes</v>
      </c>
      <c r="H122" s="169" t="str">
        <f t="shared" si="63"/>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4"/>
        <v>1</v>
      </c>
      <c r="P122" s="420">
        <f>SUMIF('Diags Raw Data'!$A$6:$A$4699,"*"&amp;$A122&amp;"*",'Diags Raw Data'!$Z$6:$Z$4699)</f>
        <v>0</v>
      </c>
      <c r="Q122" s="421">
        <f>SUM(SUMIF('Diags Raw Data'!$A$6:$A$4699,"*"&amp;$A122&amp;"*",'Diags Raw Data'!$AA$6:$AA$4699),SUMIF('Diags Raw Data'!$A$6:$A$4699,"*"&amp;$A122&amp;"*",'Diags Raw Data'!$AB$6:$AB$4699))</f>
        <v>0</v>
      </c>
      <c r="R122" s="422">
        <f t="shared" si="65"/>
        <v>0</v>
      </c>
      <c r="S122" s="422">
        <f t="shared" si="66"/>
        <v>0</v>
      </c>
      <c r="T122" s="423">
        <f t="shared" si="67"/>
        <v>0</v>
      </c>
      <c r="U122" s="469" t="s">
        <v>2799</v>
      </c>
    </row>
    <row r="123" spans="1:22">
      <c r="A123" s="446" t="s">
        <v>2597</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2"/>
        <v>No</v>
      </c>
      <c r="H123" s="169" t="str">
        <f t="shared" si="63"/>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4"/>
        <v>0</v>
      </c>
      <c r="P123" s="420">
        <f>SUMIF('Diags Raw Data'!$A$6:$A$4699,"*"&amp;$A123&amp;"*",'Diags Raw Data'!$Z$6:$Z$4699)</f>
        <v>0</v>
      </c>
      <c r="Q123" s="421">
        <f>SUM(SUMIF('Diags Raw Data'!$A$6:$A$4699,"*"&amp;$A123&amp;"*",'Diags Raw Data'!$AA$6:$AA$4699),SUMIF('Diags Raw Data'!$A$6:$A$4699,"*"&amp;$A123&amp;"*",'Diags Raw Data'!$AB$6:$AB$4699))</f>
        <v>0</v>
      </c>
      <c r="R123" s="422">
        <f t="shared" si="65"/>
        <v>0</v>
      </c>
      <c r="S123" s="422">
        <f t="shared" si="66"/>
        <v>0</v>
      </c>
      <c r="T123" s="423">
        <f t="shared" si="67"/>
        <v>0</v>
      </c>
      <c r="U123" s="469" t="s">
        <v>44</v>
      </c>
    </row>
    <row r="124" spans="1:22">
      <c r="A124" s="446" t="s">
        <v>2599</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3"/>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4"/>
        <v>0</v>
      </c>
      <c r="P124" s="420">
        <f>SUMIF('Diags Raw Data'!$A$6:$A$4699,"*"&amp;$A124&amp;"*",'Diags Raw Data'!$Z$6:$Z$4699)</f>
        <v>0</v>
      </c>
      <c r="Q124" s="421">
        <f>SUM(SUMIF('Diags Raw Data'!$A$6:$A$4699,"*"&amp;$A124&amp;"*",'Diags Raw Data'!$AA$6:$AA$4699),SUMIF('Diags Raw Data'!$A$6:$A$4699,"*"&amp;$A124&amp;"*",'Diags Raw Data'!$AB$6:$AB$4699))</f>
        <v>0</v>
      </c>
      <c r="R124" s="422">
        <f t="shared" si="65"/>
        <v>0</v>
      </c>
      <c r="S124" s="422">
        <f t="shared" si="66"/>
        <v>0</v>
      </c>
      <c r="T124" s="423">
        <f t="shared" si="67"/>
        <v>0</v>
      </c>
      <c r="U124" s="469" t="s">
        <v>44</v>
      </c>
      <c r="V124" s="171" t="s">
        <v>43</v>
      </c>
    </row>
    <row r="125" spans="1:22" ht="30">
      <c r="A125" s="446" t="s">
        <v>2601</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3"/>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4"/>
        <v>0</v>
      </c>
      <c r="P125" s="420">
        <f>SUMIF('Diags Raw Data'!$A$6:$A$4699,"*"&amp;$A125&amp;"*",'Diags Raw Data'!$Z$6:$Z$4699)</f>
        <v>0</v>
      </c>
      <c r="Q125" s="421">
        <f>SUM(SUMIF('Diags Raw Data'!$A$6:$A$4699,"*"&amp;$A125&amp;"*",'Diags Raw Data'!$AA$6:$AA$4699),SUMIF('Diags Raw Data'!$A$6:$A$4699,"*"&amp;$A125&amp;"*",'Diags Raw Data'!$AB$6:$AB$4699))</f>
        <v>0</v>
      </c>
      <c r="R125" s="422">
        <f t="shared" si="65"/>
        <v>0</v>
      </c>
      <c r="S125" s="422">
        <f t="shared" si="66"/>
        <v>0</v>
      </c>
      <c r="T125" s="423">
        <f t="shared" si="67"/>
        <v>0</v>
      </c>
      <c r="U125" s="469" t="s">
        <v>44</v>
      </c>
    </row>
    <row r="126" spans="1:22" ht="60">
      <c r="A126" s="446" t="s">
        <v>1372</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GMHUB</v>
      </c>
      <c r="F126" s="169" t="str">
        <f>VLOOKUP(A126,'Feature Raw Data'!$A$3:$E$4067,5,FALSE)</f>
        <v>Legacy</v>
      </c>
      <c r="G126" s="169" t="str">
        <f t="shared" si="62"/>
        <v>Yes</v>
      </c>
      <c r="H126" s="169" t="str">
        <f t="shared" si="63"/>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4"/>
        <v>1</v>
      </c>
      <c r="P126" s="420">
        <f>SUMIF('Diags Raw Data'!$A$6:$A$4699,"*"&amp;$A126&amp;"*",'Diags Raw Data'!$Z$6:$Z$4699)</f>
        <v>0</v>
      </c>
      <c r="Q126" s="421">
        <f>SUM(SUMIF('Diags Raw Data'!$A$6:$A$4699,"*"&amp;$A126&amp;"*",'Diags Raw Data'!$AA$6:$AA$4699),SUMIF('Diags Raw Data'!$A$6:$A$4699,"*"&amp;$A126&amp;"*",'Diags Raw Data'!$AB$6:$AB$4699))</f>
        <v>0</v>
      </c>
      <c r="R126" s="422">
        <f t="shared" si="65"/>
        <v>0</v>
      </c>
      <c r="S126" s="422">
        <f t="shared" si="66"/>
        <v>0</v>
      </c>
      <c r="T126" s="423">
        <f t="shared" si="67"/>
        <v>0</v>
      </c>
      <c r="U126" s="469" t="s">
        <v>2807</v>
      </c>
    </row>
    <row r="127" spans="1:22" ht="30">
      <c r="A127" s="446" t="s">
        <v>2186</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GMHUB</v>
      </c>
      <c r="F127" s="169" t="str">
        <f>VLOOKUP(A127,'Feature Raw Data'!$A$3:$E$4067,5,FALSE)</f>
        <v>Legacy</v>
      </c>
      <c r="G127" s="169" t="str">
        <f t="shared" ref="G127:G134" si="68">IF(D127="","No","Yes")</f>
        <v>Yes</v>
      </c>
      <c r="H127" s="169" t="str">
        <f t="shared" ref="H127:H134" si="69">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70">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1">IF((J127=0),0,P127/J127)</f>
        <v>0</v>
      </c>
      <c r="S127" s="422">
        <f t="shared" ref="S127:S134" si="72">IF((P127=0),0,Q127/P127)</f>
        <v>0</v>
      </c>
      <c r="T127" s="423">
        <f t="shared" ref="T127:T134" si="73">R127*S127</f>
        <v>0</v>
      </c>
      <c r="U127" s="469" t="s">
        <v>2802</v>
      </c>
    </row>
    <row r="128" spans="1:22" ht="120">
      <c r="A128" s="446" t="s">
        <v>2612</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8"/>
        <v>Yes</v>
      </c>
      <c r="H128" s="169" t="str">
        <f t="shared" si="69"/>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70"/>
        <v>1</v>
      </c>
      <c r="P128" s="420">
        <f>SUMIF('Diags Raw Data'!$A$6:$A$4699,"*"&amp;$A128&amp;"*",'Diags Raw Data'!$Z$6:$Z$4699)</f>
        <v>0</v>
      </c>
      <c r="Q128" s="421">
        <f>SUM(SUMIF('Diags Raw Data'!$A$6:$A$4699,"*"&amp;$A128&amp;"*",'Diags Raw Data'!$AA$6:$AA$4699),SUMIF('Diags Raw Data'!$A$6:$A$4699,"*"&amp;$A128&amp;"*",'Diags Raw Data'!$AB$6:$AB$4699))</f>
        <v>0</v>
      </c>
      <c r="R128" s="422">
        <f t="shared" si="71"/>
        <v>0</v>
      </c>
      <c r="S128" s="422">
        <f t="shared" si="72"/>
        <v>0</v>
      </c>
      <c r="T128" s="423">
        <f t="shared" si="73"/>
        <v>0</v>
      </c>
      <c r="U128" s="469" t="s">
        <v>2804</v>
      </c>
    </row>
    <row r="129" spans="1:22" ht="30">
      <c r="A129" s="446" t="s">
        <v>2614</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8"/>
        <v>Yes</v>
      </c>
      <c r="H129" s="169" t="str">
        <f t="shared" si="69"/>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70"/>
        <v>1</v>
      </c>
      <c r="P129" s="420">
        <f>SUMIF('Diags Raw Data'!$A$6:$A$4699,"*"&amp;$A129&amp;"*",'Diags Raw Data'!$Z$6:$Z$4699)</f>
        <v>0</v>
      </c>
      <c r="Q129" s="421">
        <f>SUM(SUMIF('Diags Raw Data'!$A$6:$A$4699,"*"&amp;$A129&amp;"*",'Diags Raw Data'!$AA$6:$AA$4699),SUMIF('Diags Raw Data'!$A$6:$A$4699,"*"&amp;$A129&amp;"*",'Diags Raw Data'!$AB$6:$AB$4699))</f>
        <v>0</v>
      </c>
      <c r="R129" s="422">
        <f t="shared" si="71"/>
        <v>0</v>
      </c>
      <c r="S129" s="422">
        <f t="shared" si="72"/>
        <v>0</v>
      </c>
      <c r="T129" s="423">
        <f t="shared" si="73"/>
        <v>0</v>
      </c>
      <c r="U129" s="469" t="s">
        <v>2801</v>
      </c>
    </row>
    <row r="130" spans="1:22" ht="30">
      <c r="A130" s="446" t="s">
        <v>2616</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9"/>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70"/>
        <v>0</v>
      </c>
      <c r="P130" s="420">
        <f>SUMIF('Diags Raw Data'!$A$6:$A$4699,"*"&amp;$A130&amp;"*",'Diags Raw Data'!$Z$6:$Z$4699)</f>
        <v>0</v>
      </c>
      <c r="Q130" s="421">
        <f>SUM(SUMIF('Diags Raw Data'!$A$6:$A$4699,"*"&amp;$A130&amp;"*",'Diags Raw Data'!$AA$6:$AA$4699),SUMIF('Diags Raw Data'!$A$6:$A$4699,"*"&amp;$A130&amp;"*",'Diags Raw Data'!$AB$6:$AB$4699))</f>
        <v>0</v>
      </c>
      <c r="R130" s="422">
        <f t="shared" si="71"/>
        <v>0</v>
      </c>
      <c r="S130" s="422">
        <f t="shared" si="72"/>
        <v>0</v>
      </c>
      <c r="T130" s="423">
        <f t="shared" si="73"/>
        <v>0</v>
      </c>
      <c r="U130" s="469" t="s">
        <v>44</v>
      </c>
    </row>
    <row r="131" spans="1:22">
      <c r="A131" s="446" t="s">
        <v>2618</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9"/>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70"/>
        <v>0</v>
      </c>
      <c r="P131" s="420">
        <f>SUMIF('Diags Raw Data'!$A$6:$A$4699,"*"&amp;$A131&amp;"*",'Diags Raw Data'!$Z$6:$Z$4699)</f>
        <v>0</v>
      </c>
      <c r="Q131" s="421">
        <f>SUM(SUMIF('Diags Raw Data'!$A$6:$A$4699,"*"&amp;$A131&amp;"*",'Diags Raw Data'!$AA$6:$AA$4699),SUMIF('Diags Raw Data'!$A$6:$A$4699,"*"&amp;$A131&amp;"*",'Diags Raw Data'!$AB$6:$AB$4699))</f>
        <v>0</v>
      </c>
      <c r="R131" s="422">
        <f t="shared" si="71"/>
        <v>0</v>
      </c>
      <c r="S131" s="422">
        <f t="shared" si="72"/>
        <v>0</v>
      </c>
      <c r="T131" s="423">
        <f t="shared" si="73"/>
        <v>0</v>
      </c>
      <c r="U131" s="469" t="s">
        <v>44</v>
      </c>
      <c r="V131" s="171" t="s">
        <v>43</v>
      </c>
    </row>
    <row r="132" spans="1:22" ht="30">
      <c r="A132" s="446" t="s">
        <v>1853</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GMHUB</v>
      </c>
      <c r="F132" s="169" t="str">
        <f>VLOOKUP(A132,'Feature Raw Data'!$A$3:$E$4067,5,FALSE)</f>
        <v>Legacy</v>
      </c>
      <c r="G132" s="169" t="str">
        <f t="shared" si="68"/>
        <v>Yes</v>
      </c>
      <c r="H132" s="169" t="str">
        <f t="shared" si="69"/>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70"/>
        <v>1</v>
      </c>
      <c r="P132" s="420">
        <f>SUMIF('Diags Raw Data'!$A$6:$A$4699,"*"&amp;$A132&amp;"*",'Diags Raw Data'!$Z$6:$Z$4699)</f>
        <v>0</v>
      </c>
      <c r="Q132" s="421">
        <f>SUM(SUMIF('Diags Raw Data'!$A$6:$A$4699,"*"&amp;$A132&amp;"*",'Diags Raw Data'!$AA$6:$AA$4699),SUMIF('Diags Raw Data'!$A$6:$A$4699,"*"&amp;$A132&amp;"*",'Diags Raw Data'!$AB$6:$AB$4699))</f>
        <v>0</v>
      </c>
      <c r="R132" s="422">
        <f t="shared" si="71"/>
        <v>0</v>
      </c>
      <c r="S132" s="422">
        <f t="shared" si="72"/>
        <v>0</v>
      </c>
      <c r="T132" s="423">
        <f t="shared" si="73"/>
        <v>0</v>
      </c>
      <c r="U132" s="469" t="s">
        <v>2811</v>
      </c>
    </row>
    <row r="133" spans="1:22" ht="30">
      <c r="A133" s="446" t="s">
        <v>2623</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8"/>
        <v>Yes</v>
      </c>
      <c r="H133" s="169" t="str">
        <f t="shared" si="69"/>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1</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70"/>
        <v>1</v>
      </c>
      <c r="P133" s="420">
        <f>SUMIF('Diags Raw Data'!$A$6:$A$4699,"*"&amp;$A133&amp;"*",'Diags Raw Data'!$Z$6:$Z$4699)</f>
        <v>0</v>
      </c>
      <c r="Q133" s="421">
        <f>SUM(SUMIF('Diags Raw Data'!$A$6:$A$4699,"*"&amp;$A133&amp;"*",'Diags Raw Data'!$AA$6:$AA$4699),SUMIF('Diags Raw Data'!$A$6:$A$4699,"*"&amp;$A133&amp;"*",'Diags Raw Data'!$AB$6:$AB$4699))</f>
        <v>0</v>
      </c>
      <c r="R133" s="422">
        <f t="shared" si="71"/>
        <v>0</v>
      </c>
      <c r="S133" s="422">
        <f t="shared" si="72"/>
        <v>0</v>
      </c>
      <c r="T133" s="423">
        <f t="shared" si="73"/>
        <v>0</v>
      </c>
      <c r="U133" s="469" t="s">
        <v>2807</v>
      </c>
    </row>
    <row r="134" spans="1:22" ht="60">
      <c r="A134" s="446" t="s">
        <v>1257</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GMHUB</v>
      </c>
      <c r="F134" s="169" t="str">
        <f>VLOOKUP(A134,'Feature Raw Data'!$A$3:$E$4067,5,FALSE)</f>
        <v>Legacy</v>
      </c>
      <c r="G134" s="169" t="str">
        <f t="shared" si="68"/>
        <v>Yes</v>
      </c>
      <c r="H134" s="169" t="str">
        <f t="shared" si="69"/>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70"/>
        <v>1</v>
      </c>
      <c r="P134" s="420">
        <f>SUMIF('Diags Raw Data'!$A$6:$A$4699,"*"&amp;$A134&amp;"*",'Diags Raw Data'!$Z$6:$Z$4699)</f>
        <v>0</v>
      </c>
      <c r="Q134" s="421">
        <f>SUM(SUMIF('Diags Raw Data'!$A$6:$A$4699,"*"&amp;$A134&amp;"*",'Diags Raw Data'!$AA$6:$AA$4699),SUMIF('Diags Raw Data'!$A$6:$A$4699,"*"&amp;$A134&amp;"*",'Diags Raw Data'!$AB$6:$AB$4699))</f>
        <v>0</v>
      </c>
      <c r="R134" s="422">
        <f t="shared" si="71"/>
        <v>0</v>
      </c>
      <c r="S134" s="422">
        <f t="shared" si="72"/>
        <v>0</v>
      </c>
      <c r="T134" s="423">
        <f t="shared" si="73"/>
        <v>0</v>
      </c>
      <c r="U134" s="469" t="s">
        <v>2806</v>
      </c>
    </row>
    <row r="135" spans="1:22" ht="30">
      <c r="A135" s="446" t="s">
        <v>2263</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GFXHUB</v>
      </c>
      <c r="F135" s="169" t="str">
        <f>VLOOKUP(A135,'Feature Raw Data'!$A$3:$E$4067,5,FALSE)</f>
        <v>Legacy</v>
      </c>
      <c r="G135" s="169" t="s">
        <v>31</v>
      </c>
      <c r="H135" s="169" t="str">
        <f t="shared" ref="H135:H146" si="74">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5">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6">IF((J135=0),0,P135/J135)</f>
        <v>0</v>
      </c>
      <c r="S135" s="422">
        <f t="shared" ref="S135:S146" si="77">IF((P135=0),0,Q135/P135)</f>
        <v>0</v>
      </c>
      <c r="T135" s="423">
        <f t="shared" ref="T135:T146" si="78">R135*S135</f>
        <v>0</v>
      </c>
      <c r="U135" s="469" t="s">
        <v>44</v>
      </c>
      <c r="V135" s="171" t="s">
        <v>2628</v>
      </c>
    </row>
    <row r="136" spans="1:22" ht="75">
      <c r="A136" s="446" t="s">
        <v>2629</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9">IF(D136="","No","Yes")</f>
        <v>Yes</v>
      </c>
      <c r="H136" s="169" t="str">
        <f t="shared" si="74"/>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5"/>
        <v>1</v>
      </c>
      <c r="P136" s="420">
        <f>SUMIF('Diags Raw Data'!$A$6:$A$4699,"*"&amp;$A136&amp;"*",'Diags Raw Data'!$Z$6:$Z$4699)</f>
        <v>0</v>
      </c>
      <c r="Q136" s="421">
        <f>SUM(SUMIF('Diags Raw Data'!$A$6:$A$4699,"*"&amp;$A136&amp;"*",'Diags Raw Data'!$AA$6:$AA$4699),SUMIF('Diags Raw Data'!$A$6:$A$4699,"*"&amp;$A136&amp;"*",'Diags Raw Data'!$AB$6:$AB$4699))</f>
        <v>0</v>
      </c>
      <c r="R136" s="422">
        <f t="shared" si="76"/>
        <v>0</v>
      </c>
      <c r="S136" s="422">
        <f t="shared" si="77"/>
        <v>0</v>
      </c>
      <c r="T136" s="423">
        <f t="shared" si="78"/>
        <v>0</v>
      </c>
      <c r="U136" s="469" t="s">
        <v>2808</v>
      </c>
    </row>
    <row r="137" spans="1:22">
      <c r="A137" s="446" t="s">
        <v>2633</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31</v>
      </c>
      <c r="H137" s="169" t="str">
        <f t="shared" si="74"/>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5"/>
        <v>0</v>
      </c>
      <c r="P137" s="420">
        <f>SUMIF('Diags Raw Data'!$A$6:$A$4699,"*"&amp;$A137&amp;"*",'Diags Raw Data'!$Z$6:$Z$4699)</f>
        <v>0</v>
      </c>
      <c r="Q137" s="421">
        <f>SUM(SUMIF('Diags Raw Data'!$A$6:$A$4699,"*"&amp;$A137&amp;"*",'Diags Raw Data'!$AA$6:$AA$4699),SUMIF('Diags Raw Data'!$A$6:$A$4699,"*"&amp;$A137&amp;"*",'Diags Raw Data'!$AB$6:$AB$4699))</f>
        <v>0</v>
      </c>
      <c r="R137" s="422">
        <f t="shared" si="76"/>
        <v>0</v>
      </c>
      <c r="S137" s="422">
        <f t="shared" si="77"/>
        <v>0</v>
      </c>
      <c r="T137" s="423">
        <f t="shared" si="78"/>
        <v>0</v>
      </c>
      <c r="U137" s="469" t="s">
        <v>44</v>
      </c>
      <c r="V137" s="171" t="s">
        <v>2628</v>
      </c>
    </row>
    <row r="138" spans="1:22" ht="285">
      <c r="A138" s="446" t="s">
        <v>2635</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9"/>
        <v>Yes</v>
      </c>
      <c r="H138" s="169" t="str">
        <f t="shared" si="74"/>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5"/>
        <v>1</v>
      </c>
      <c r="P138" s="420">
        <f>SUMIF('Diags Raw Data'!$A$6:$A$4699,"*"&amp;$A138&amp;"*",'Diags Raw Data'!$Z$6:$Z$4699)</f>
        <v>0</v>
      </c>
      <c r="Q138" s="421">
        <f>SUM(SUMIF('Diags Raw Data'!$A$6:$A$4699,"*"&amp;$A138&amp;"*",'Diags Raw Data'!$AA$6:$AA$4699),SUMIF('Diags Raw Data'!$A$6:$A$4699,"*"&amp;$A138&amp;"*",'Diags Raw Data'!$AB$6:$AB$4699))</f>
        <v>0</v>
      </c>
      <c r="R138" s="422">
        <f t="shared" si="76"/>
        <v>0</v>
      </c>
      <c r="S138" s="422">
        <f t="shared" si="77"/>
        <v>0</v>
      </c>
      <c r="T138" s="423">
        <f t="shared" si="78"/>
        <v>0</v>
      </c>
      <c r="U138" s="469" t="s">
        <v>2806</v>
      </c>
    </row>
    <row r="139" spans="1:22">
      <c r="A139" s="446" t="s">
        <v>2637</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9"/>
        <v>Yes</v>
      </c>
      <c r="H139" s="169" t="str">
        <f t="shared" si="74"/>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5"/>
        <v>1</v>
      </c>
      <c r="P139" s="420">
        <f>SUMIF('Diags Raw Data'!$A$6:$A$4699,"*"&amp;$A139&amp;"*",'Diags Raw Data'!$Z$6:$Z$4699)</f>
        <v>0</v>
      </c>
      <c r="Q139" s="421">
        <f>SUM(SUMIF('Diags Raw Data'!$A$6:$A$4699,"*"&amp;$A139&amp;"*",'Diags Raw Data'!$AA$6:$AA$4699),SUMIF('Diags Raw Data'!$A$6:$A$4699,"*"&amp;$A139&amp;"*",'Diags Raw Data'!$AB$6:$AB$4699))</f>
        <v>0</v>
      </c>
      <c r="R139" s="422">
        <f t="shared" si="76"/>
        <v>0</v>
      </c>
      <c r="S139" s="422">
        <f t="shared" si="77"/>
        <v>0</v>
      </c>
      <c r="T139" s="423">
        <f t="shared" si="78"/>
        <v>0</v>
      </c>
      <c r="U139" s="469" t="s">
        <v>2811</v>
      </c>
    </row>
    <row r="140" spans="1:22" ht="30">
      <c r="A140" s="446" t="s">
        <v>2639</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9"/>
        <v>Yes</v>
      </c>
      <c r="H140" s="169" t="str">
        <f t="shared" si="74"/>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5"/>
        <v>1</v>
      </c>
      <c r="P140" s="420">
        <f>SUMIF('Diags Raw Data'!$A$6:$A$4699,"*"&amp;$A140&amp;"*",'Diags Raw Data'!$Z$6:$Z$4699)</f>
        <v>0</v>
      </c>
      <c r="Q140" s="421">
        <f>SUM(SUMIF('Diags Raw Data'!$A$6:$A$4699,"*"&amp;$A140&amp;"*",'Diags Raw Data'!$AA$6:$AA$4699),SUMIF('Diags Raw Data'!$A$6:$A$4699,"*"&amp;$A140&amp;"*",'Diags Raw Data'!$AB$6:$AB$4699))</f>
        <v>0</v>
      </c>
      <c r="R140" s="422">
        <f t="shared" si="76"/>
        <v>0</v>
      </c>
      <c r="S140" s="422">
        <f t="shared" si="77"/>
        <v>0</v>
      </c>
      <c r="T140" s="423">
        <f t="shared" si="78"/>
        <v>0</v>
      </c>
      <c r="U140" s="469" t="s">
        <v>2805</v>
      </c>
    </row>
    <row r="141" spans="1:22" ht="30">
      <c r="A141" s="446" t="s">
        <v>2642</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9"/>
        <v>Yes</v>
      </c>
      <c r="H141" s="169" t="str">
        <f t="shared" si="74"/>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5"/>
        <v>1</v>
      </c>
      <c r="P141" s="420">
        <f>SUMIF('Diags Raw Data'!$A$6:$A$4699,"*"&amp;$A141&amp;"*",'Diags Raw Data'!$Z$6:$Z$4699)</f>
        <v>0</v>
      </c>
      <c r="Q141" s="421">
        <f>SUM(SUMIF('Diags Raw Data'!$A$6:$A$4699,"*"&amp;$A141&amp;"*",'Diags Raw Data'!$AA$6:$AA$4699),SUMIF('Diags Raw Data'!$A$6:$A$4699,"*"&amp;$A141&amp;"*",'Diags Raw Data'!$AB$6:$AB$4699))</f>
        <v>0</v>
      </c>
      <c r="R141" s="422">
        <f t="shared" si="76"/>
        <v>0</v>
      </c>
      <c r="S141" s="422">
        <f t="shared" si="77"/>
        <v>0</v>
      </c>
      <c r="T141" s="423">
        <f t="shared" si="78"/>
        <v>0</v>
      </c>
      <c r="U141" s="469" t="s">
        <v>2807</v>
      </c>
    </row>
    <row r="142" spans="1:22" ht="90">
      <c r="A142" s="446" t="s">
        <v>2644</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9"/>
        <v>Yes</v>
      </c>
      <c r="H142" s="169" t="str">
        <f t="shared" si="74"/>
        <v>Yes</v>
      </c>
      <c r="I142" s="273">
        <f>SUMIF('Diags Raw Data'!$A$6:$A$4699,"*"&amp;$A142&amp;"*",'Diags Raw Data'!$K$6:$K$4699)</f>
        <v>9</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5"/>
        <v>1</v>
      </c>
      <c r="P142" s="420">
        <f>SUMIF('Diags Raw Data'!$A$6:$A$4699,"*"&amp;$A142&amp;"*",'Diags Raw Data'!$Z$6:$Z$4699)</f>
        <v>0</v>
      </c>
      <c r="Q142" s="421">
        <f>SUM(SUMIF('Diags Raw Data'!$A$6:$A$4699,"*"&amp;$A142&amp;"*",'Diags Raw Data'!$AA$6:$AA$4699),SUMIF('Diags Raw Data'!$A$6:$A$4699,"*"&amp;$A142&amp;"*",'Diags Raw Data'!$AB$6:$AB$4699))</f>
        <v>0</v>
      </c>
      <c r="R142" s="422">
        <f t="shared" si="76"/>
        <v>0</v>
      </c>
      <c r="S142" s="422">
        <f t="shared" si="77"/>
        <v>0</v>
      </c>
      <c r="T142" s="423">
        <f t="shared" si="78"/>
        <v>0</v>
      </c>
      <c r="U142" s="469" t="s">
        <v>2804</v>
      </c>
    </row>
    <row r="143" spans="1:22" ht="120">
      <c r="A143" s="446" t="s">
        <v>2646</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9"/>
        <v>Yes</v>
      </c>
      <c r="H143" s="169" t="str">
        <f t="shared" si="74"/>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5"/>
        <v>1</v>
      </c>
      <c r="P143" s="420">
        <f>SUMIF('Diags Raw Data'!$A$6:$A$4699,"*"&amp;$A143&amp;"*",'Diags Raw Data'!$Z$6:$Z$4699)</f>
        <v>0</v>
      </c>
      <c r="Q143" s="421">
        <f>SUM(SUMIF('Diags Raw Data'!$A$6:$A$4699,"*"&amp;$A143&amp;"*",'Diags Raw Data'!$AA$6:$AA$4699),SUMIF('Diags Raw Data'!$A$6:$A$4699,"*"&amp;$A143&amp;"*",'Diags Raw Data'!$AB$6:$AB$4699))</f>
        <v>0</v>
      </c>
      <c r="R143" s="422">
        <f t="shared" si="76"/>
        <v>0</v>
      </c>
      <c r="S143" s="422">
        <f t="shared" si="77"/>
        <v>0</v>
      </c>
      <c r="T143" s="423">
        <f t="shared" si="78"/>
        <v>0</v>
      </c>
      <c r="U143" s="469" t="s">
        <v>2808</v>
      </c>
    </row>
    <row r="144" spans="1:22">
      <c r="A144" s="446" t="s">
        <v>2650</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9"/>
        <v>Yes</v>
      </c>
      <c r="H144" s="169" t="str">
        <f t="shared" si="74"/>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5"/>
        <v>1</v>
      </c>
      <c r="P144" s="420">
        <f>SUMIF('Diags Raw Data'!$A$6:$A$4699,"*"&amp;$A144&amp;"*",'Diags Raw Data'!$Z$6:$Z$4699)</f>
        <v>0</v>
      </c>
      <c r="Q144" s="421">
        <f>SUM(SUMIF('Diags Raw Data'!$A$6:$A$4699,"*"&amp;$A144&amp;"*",'Diags Raw Data'!$AA$6:$AA$4699),SUMIF('Diags Raw Data'!$A$6:$A$4699,"*"&amp;$A144&amp;"*",'Diags Raw Data'!$AB$6:$AB$4699))</f>
        <v>0</v>
      </c>
      <c r="R144" s="422">
        <f t="shared" si="76"/>
        <v>0</v>
      </c>
      <c r="S144" s="422">
        <f t="shared" si="77"/>
        <v>0</v>
      </c>
      <c r="T144" s="423">
        <f t="shared" si="78"/>
        <v>0</v>
      </c>
      <c r="U144" s="469" t="s">
        <v>2810</v>
      </c>
    </row>
    <row r="145" spans="1:22" ht="45">
      <c r="A145" s="446" t="s">
        <v>2652</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9"/>
        <v>Yes</v>
      </c>
      <c r="H145" s="169" t="str">
        <f t="shared" si="74"/>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1</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5"/>
        <v>1</v>
      </c>
      <c r="P145" s="420">
        <f>SUMIF('Diags Raw Data'!$A$6:$A$4699,"*"&amp;$A145&amp;"*",'Diags Raw Data'!$Z$6:$Z$4699)</f>
        <v>0</v>
      </c>
      <c r="Q145" s="421">
        <f>SUM(SUMIF('Diags Raw Data'!$A$6:$A$4699,"*"&amp;$A145&amp;"*",'Diags Raw Data'!$AA$6:$AA$4699),SUMIF('Diags Raw Data'!$A$6:$A$4699,"*"&amp;$A145&amp;"*",'Diags Raw Data'!$AB$6:$AB$4699))</f>
        <v>0</v>
      </c>
      <c r="R145" s="422">
        <f t="shared" si="76"/>
        <v>0</v>
      </c>
      <c r="S145" s="422">
        <f t="shared" si="77"/>
        <v>0</v>
      </c>
      <c r="T145" s="423">
        <f t="shared" si="78"/>
        <v>0</v>
      </c>
      <c r="U145" s="469" t="s">
        <v>2799</v>
      </c>
    </row>
    <row r="146" spans="1:22" ht="30">
      <c r="A146" s="446" t="s">
        <v>2654</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9"/>
        <v>Yes</v>
      </c>
      <c r="H146" s="169" t="str">
        <f t="shared" si="74"/>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5"/>
        <v>1</v>
      </c>
      <c r="P146" s="420">
        <f>SUMIF('Diags Raw Data'!$A$6:$A$4699,"*"&amp;$A146&amp;"*",'Diags Raw Data'!$Z$6:$Z$4699)</f>
        <v>0</v>
      </c>
      <c r="Q146" s="421">
        <f>SUM(SUMIF('Diags Raw Data'!$A$6:$A$4699,"*"&amp;$A146&amp;"*",'Diags Raw Data'!$AA$6:$AA$4699),SUMIF('Diags Raw Data'!$A$6:$A$4699,"*"&amp;$A146&amp;"*",'Diags Raw Data'!$AB$6:$AB$4699))</f>
        <v>0</v>
      </c>
      <c r="R146" s="422">
        <f t="shared" si="76"/>
        <v>0</v>
      </c>
      <c r="S146" s="422">
        <f t="shared" si="77"/>
        <v>0</v>
      </c>
      <c r="T146" s="423">
        <f t="shared" si="78"/>
        <v>0</v>
      </c>
      <c r="U146" s="469" t="s">
        <v>2810</v>
      </c>
    </row>
    <row r="147" spans="1:22" ht="45">
      <c r="A147" s="446" t="s">
        <v>2656</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80">IF(D147="","No","Yes")</f>
        <v>No</v>
      </c>
      <c r="H147" s="169" t="str">
        <f t="shared" ref="H147:H152" si="81">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2">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3">IF((J147=0),0,P147/J147)</f>
        <v>0</v>
      </c>
      <c r="S147" s="422">
        <f t="shared" ref="S147:S152" si="84">IF((P147=0),0,Q147/P147)</f>
        <v>0</v>
      </c>
      <c r="T147" s="423">
        <f t="shared" ref="T147:T152" si="85">R147*S147</f>
        <v>0</v>
      </c>
      <c r="U147" s="469" t="s">
        <v>44</v>
      </c>
      <c r="V147" s="171" t="s">
        <v>43</v>
      </c>
    </row>
    <row r="148" spans="1:22">
      <c r="A148" s="446" t="s">
        <v>2662</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80"/>
        <v>No</v>
      </c>
      <c r="H148" s="169" t="str">
        <f t="shared" si="81"/>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2"/>
        <v>0</v>
      </c>
      <c r="P148" s="420">
        <f>SUMIF('Diags Raw Data'!$A$6:$A$4699,"*"&amp;$A148&amp;"*",'Diags Raw Data'!$Z$6:$Z$4699)</f>
        <v>0</v>
      </c>
      <c r="Q148" s="421">
        <f>SUM(SUMIF('Diags Raw Data'!$A$6:$A$4699,"*"&amp;$A148&amp;"*",'Diags Raw Data'!$AA$6:$AA$4699),SUMIF('Diags Raw Data'!$A$6:$A$4699,"*"&amp;$A148&amp;"*",'Diags Raw Data'!$AB$6:$AB$4699))</f>
        <v>0</v>
      </c>
      <c r="R148" s="422">
        <f t="shared" si="83"/>
        <v>0</v>
      </c>
      <c r="S148" s="422">
        <f t="shared" si="84"/>
        <v>0</v>
      </c>
      <c r="T148" s="423">
        <f t="shared" si="85"/>
        <v>0</v>
      </c>
      <c r="U148" s="469" t="s">
        <v>44</v>
      </c>
      <c r="V148" s="171" t="s">
        <v>43</v>
      </c>
    </row>
    <row r="149" spans="1:22">
      <c r="A149" s="446" t="s">
        <v>2267</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GFXHUB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2"/>
        <v>0</v>
      </c>
      <c r="P149" s="420">
        <f>SUMIF('Diags Raw Data'!$A$6:$A$4699,"*"&amp;$A149&amp;"*",'Diags Raw Data'!$Z$6:$Z$4699)</f>
        <v>0</v>
      </c>
      <c r="Q149" s="421">
        <f>SUM(SUMIF('Diags Raw Data'!$A$6:$A$4699,"*"&amp;$A149&amp;"*",'Diags Raw Data'!$AA$6:$AA$4699),SUMIF('Diags Raw Data'!$A$6:$A$4699,"*"&amp;$A149&amp;"*",'Diags Raw Data'!$AB$6:$AB$4699))</f>
        <v>0</v>
      </c>
      <c r="R149" s="422">
        <f t="shared" si="83"/>
        <v>0</v>
      </c>
      <c r="S149" s="422">
        <f t="shared" si="84"/>
        <v>0</v>
      </c>
      <c r="T149" s="423">
        <f t="shared" si="85"/>
        <v>0</v>
      </c>
      <c r="U149" s="469" t="s">
        <v>44</v>
      </c>
      <c r="V149" s="171" t="s">
        <v>2668</v>
      </c>
    </row>
    <row r="150" spans="1:22" ht="30">
      <c r="A150" s="446" t="s">
        <v>2669</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80"/>
        <v>Yes</v>
      </c>
      <c r="H150" s="169" t="str">
        <f t="shared" si="81"/>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2"/>
        <v>1</v>
      </c>
      <c r="P150" s="420">
        <f>SUMIF('Diags Raw Data'!$A$6:$A$4699,"*"&amp;$A150&amp;"*",'Diags Raw Data'!$Z$6:$Z$4699)</f>
        <v>0</v>
      </c>
      <c r="Q150" s="421">
        <f>SUM(SUMIF('Diags Raw Data'!$A$6:$A$4699,"*"&amp;$A150&amp;"*",'Diags Raw Data'!$AA$6:$AA$4699),SUMIF('Diags Raw Data'!$A$6:$A$4699,"*"&amp;$A150&amp;"*",'Diags Raw Data'!$AB$6:$AB$4699))</f>
        <v>0</v>
      </c>
      <c r="R150" s="422">
        <f t="shared" si="83"/>
        <v>0</v>
      </c>
      <c r="S150" s="422">
        <f t="shared" si="84"/>
        <v>0</v>
      </c>
      <c r="T150" s="423">
        <f t="shared" si="85"/>
        <v>0</v>
      </c>
      <c r="U150" s="469" t="s">
        <v>2803</v>
      </c>
    </row>
    <row r="151" spans="1:22" ht="30">
      <c r="A151" s="446" t="s">
        <v>2671</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80"/>
        <v>Yes</v>
      </c>
      <c r="H151" s="169" t="str">
        <f t="shared" si="81"/>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2"/>
        <v>1</v>
      </c>
      <c r="P151" s="420">
        <f>SUMIF('Diags Raw Data'!$A$6:$A$4699,"*"&amp;$A151&amp;"*",'Diags Raw Data'!$Z$6:$Z$4699)</f>
        <v>0</v>
      </c>
      <c r="Q151" s="421">
        <f>SUM(SUMIF('Diags Raw Data'!$A$6:$A$4699,"*"&amp;$A151&amp;"*",'Diags Raw Data'!$AA$6:$AA$4699),SUMIF('Diags Raw Data'!$A$6:$A$4699,"*"&amp;$A151&amp;"*",'Diags Raw Data'!$AB$6:$AB$4699))</f>
        <v>0</v>
      </c>
      <c r="R151" s="422">
        <f t="shared" si="83"/>
        <v>0</v>
      </c>
      <c r="S151" s="422">
        <f t="shared" si="84"/>
        <v>0</v>
      </c>
      <c r="T151" s="423">
        <f t="shared" si="85"/>
        <v>0</v>
      </c>
      <c r="U151" s="469" t="s">
        <v>2803</v>
      </c>
    </row>
    <row r="152" spans="1:22">
      <c r="A152" s="446" t="s">
        <v>2673</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80"/>
        <v>No</v>
      </c>
      <c r="H152" s="169" t="str">
        <f t="shared" si="81"/>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2"/>
        <v>0</v>
      </c>
      <c r="P152" s="420">
        <f>SUMIF('Diags Raw Data'!$A$6:$A$4699,"*"&amp;$A152&amp;"*",'Diags Raw Data'!$Z$6:$Z$4699)</f>
        <v>0</v>
      </c>
      <c r="Q152" s="421">
        <f>SUM(SUMIF('Diags Raw Data'!$A$6:$A$4699,"*"&amp;$A152&amp;"*",'Diags Raw Data'!$AA$6:$AA$4699),SUMIF('Diags Raw Data'!$A$6:$A$4699,"*"&amp;$A152&amp;"*",'Diags Raw Data'!$AB$6:$AB$4699))</f>
        <v>0</v>
      </c>
      <c r="R152" s="422">
        <f t="shared" si="83"/>
        <v>0</v>
      </c>
      <c r="S152" s="422">
        <f t="shared" si="84"/>
        <v>0</v>
      </c>
      <c r="T152" s="423">
        <f t="shared" si="85"/>
        <v>0</v>
      </c>
      <c r="U152" s="469" t="s">
        <v>44</v>
      </c>
      <c r="V152" s="171" t="s">
        <v>43</v>
      </c>
    </row>
    <row r="153" spans="1:22" ht="30">
      <c r="A153" s="446" t="s">
        <v>2271</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GFXHUB</v>
      </c>
      <c r="F153" s="169" t="str">
        <f>VLOOKUP(A153,'Feature Raw Data'!$A$3:$E$4067,5,FALSE)</f>
        <v>Legacy</v>
      </c>
      <c r="G153" s="169" t="s">
        <v>31</v>
      </c>
      <c r="H153" s="169" t="str">
        <f t="shared" ref="H153:H157" si="86">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7">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8">IF((J153=0),0,P153/J153)</f>
        <v>0</v>
      </c>
      <c r="S153" s="422">
        <f t="shared" ref="S153:S157" si="89">IF((P153=0),0,Q153/P153)</f>
        <v>0</v>
      </c>
      <c r="T153" s="423">
        <f t="shared" ref="T153:T157" si="90">R153*S153</f>
        <v>0</v>
      </c>
      <c r="U153" s="469" t="s">
        <v>44</v>
      </c>
      <c r="V153" s="171" t="s">
        <v>2668</v>
      </c>
    </row>
    <row r="154" spans="1:22">
      <c r="A154" s="446" t="s">
        <v>2685</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1">IF(D154="","No","Yes")</f>
        <v>No</v>
      </c>
      <c r="H154" s="169" t="str">
        <f t="shared" si="86"/>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7"/>
        <v>0</v>
      </c>
      <c r="P154" s="420">
        <f>SUMIF('Diags Raw Data'!$A$6:$A$4699,"*"&amp;$A154&amp;"*",'Diags Raw Data'!$Z$6:$Z$4699)</f>
        <v>0</v>
      </c>
      <c r="Q154" s="421">
        <f>SUM(SUMIF('Diags Raw Data'!$A$6:$A$4699,"*"&amp;$A154&amp;"*",'Diags Raw Data'!$AA$6:$AA$4699),SUMIF('Diags Raw Data'!$A$6:$A$4699,"*"&amp;$A154&amp;"*",'Diags Raw Data'!$AB$6:$AB$4699))</f>
        <v>0</v>
      </c>
      <c r="R154" s="422">
        <f t="shared" si="88"/>
        <v>0</v>
      </c>
      <c r="S154" s="422">
        <f t="shared" si="89"/>
        <v>0</v>
      </c>
      <c r="T154" s="423">
        <f t="shared" si="90"/>
        <v>0</v>
      </c>
      <c r="U154" s="469" t="s">
        <v>44</v>
      </c>
      <c r="V154" s="171" t="s">
        <v>43</v>
      </c>
    </row>
    <row r="155" spans="1:22">
      <c r="A155" s="446" t="s">
        <v>2687</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1"/>
        <v>No</v>
      </c>
      <c r="H155" s="169" t="str">
        <f t="shared" si="86"/>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7"/>
        <v>0</v>
      </c>
      <c r="P155" s="420">
        <f>SUMIF('Diags Raw Data'!$A$6:$A$4699,"*"&amp;$A155&amp;"*",'Diags Raw Data'!$Z$6:$Z$4699)</f>
        <v>0</v>
      </c>
      <c r="Q155" s="421">
        <f>SUM(SUMIF('Diags Raw Data'!$A$6:$A$4699,"*"&amp;$A155&amp;"*",'Diags Raw Data'!$AA$6:$AA$4699),SUMIF('Diags Raw Data'!$A$6:$A$4699,"*"&amp;$A155&amp;"*",'Diags Raw Data'!$AB$6:$AB$4699))</f>
        <v>0</v>
      </c>
      <c r="R155" s="422">
        <f t="shared" si="88"/>
        <v>0</v>
      </c>
      <c r="S155" s="422">
        <f t="shared" si="89"/>
        <v>0</v>
      </c>
      <c r="T155" s="423">
        <f t="shared" si="90"/>
        <v>0</v>
      </c>
      <c r="U155" s="469" t="s">
        <v>44</v>
      </c>
      <c r="V155" s="171" t="s">
        <v>43</v>
      </c>
    </row>
    <row r="156" spans="1:22" ht="30">
      <c r="A156" s="446" t="s">
        <v>2689</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1"/>
        <v>Yes</v>
      </c>
      <c r="H156" s="169" t="str">
        <f t="shared" si="86"/>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7"/>
        <v>1</v>
      </c>
      <c r="P156" s="420">
        <f>SUMIF('Diags Raw Data'!$A$6:$A$4699,"*"&amp;$A156&amp;"*",'Diags Raw Data'!$Z$6:$Z$4699)</f>
        <v>0</v>
      </c>
      <c r="Q156" s="421">
        <f>SUM(SUMIF('Diags Raw Data'!$A$6:$A$4699,"*"&amp;$A156&amp;"*",'Diags Raw Data'!$AA$6:$AA$4699),SUMIF('Diags Raw Data'!$A$6:$A$4699,"*"&amp;$A156&amp;"*",'Diags Raw Data'!$AB$6:$AB$4699))</f>
        <v>0</v>
      </c>
      <c r="R156" s="422">
        <f t="shared" si="88"/>
        <v>0</v>
      </c>
      <c r="S156" s="422">
        <f t="shared" si="89"/>
        <v>0</v>
      </c>
      <c r="T156" s="423">
        <f t="shared" si="90"/>
        <v>0</v>
      </c>
      <c r="U156" s="469" t="s">
        <v>2803</v>
      </c>
    </row>
    <row r="157" spans="1:22">
      <c r="A157" s="446" t="s">
        <v>2691</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6"/>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7"/>
        <v>0</v>
      </c>
      <c r="P157" s="420">
        <f>SUMIF('Diags Raw Data'!$A$6:$A$4699,"*"&amp;$A157&amp;"*",'Diags Raw Data'!$Z$6:$Z$4699)</f>
        <v>0</v>
      </c>
      <c r="Q157" s="421">
        <f>SUM(SUMIF('Diags Raw Data'!$A$6:$A$4699,"*"&amp;$A157&amp;"*",'Diags Raw Data'!$AA$6:$AA$4699),SUMIF('Diags Raw Data'!$A$6:$A$4699,"*"&amp;$A157&amp;"*",'Diags Raw Data'!$AB$6:$AB$4699))</f>
        <v>0</v>
      </c>
      <c r="R157" s="422">
        <f t="shared" si="88"/>
        <v>0</v>
      </c>
      <c r="S157" s="422">
        <f t="shared" si="89"/>
        <v>0</v>
      </c>
      <c r="T157" s="423">
        <f t="shared" si="90"/>
        <v>0</v>
      </c>
      <c r="U157" s="469" t="s">
        <v>44</v>
      </c>
      <c r="V157" s="171" t="s">
        <v>43</v>
      </c>
    </row>
    <row r="158" spans="1:22" ht="315">
      <c r="A158" s="446" t="s">
        <v>2717</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2">IF(D158="","No","Yes")</f>
        <v>Yes</v>
      </c>
      <c r="H158" s="169" t="str">
        <f t="shared" ref="H158:H170" si="93">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1</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4">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5">IF((J158=0),0,P158/J158)</f>
        <v>0</v>
      </c>
      <c r="S158" s="422">
        <f t="shared" ref="S158:S170" si="96">IF((P158=0),0,Q158/P158)</f>
        <v>0</v>
      </c>
      <c r="T158" s="423">
        <f t="shared" ref="T158:T170" si="97">R158*S158</f>
        <v>0</v>
      </c>
      <c r="U158" s="469" t="s">
        <v>2802</v>
      </c>
    </row>
    <row r="159" spans="1:22" ht="30">
      <c r="A159" s="446" t="s">
        <v>2719</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2"/>
        <v>No</v>
      </c>
      <c r="H159" s="169" t="str">
        <f t="shared" si="93"/>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4"/>
        <v>0</v>
      </c>
      <c r="P159" s="420">
        <f>SUMIF('Diags Raw Data'!$A$6:$A$4699,"*"&amp;$A159&amp;"*",'Diags Raw Data'!$Z$6:$Z$4699)</f>
        <v>0</v>
      </c>
      <c r="Q159" s="421">
        <f>SUM(SUMIF('Diags Raw Data'!$A$6:$A$4699,"*"&amp;$A159&amp;"*",'Diags Raw Data'!$AA$6:$AA$4699),SUMIF('Diags Raw Data'!$A$6:$A$4699,"*"&amp;$A159&amp;"*",'Diags Raw Data'!$AB$6:$AB$4699))</f>
        <v>0</v>
      </c>
      <c r="R159" s="422">
        <f t="shared" si="95"/>
        <v>0</v>
      </c>
      <c r="S159" s="422">
        <f t="shared" si="96"/>
        <v>0</v>
      </c>
      <c r="T159" s="423">
        <f t="shared" si="97"/>
        <v>0</v>
      </c>
      <c r="U159" s="469" t="s">
        <v>44</v>
      </c>
      <c r="V159" s="171" t="s">
        <v>43</v>
      </c>
    </row>
    <row r="160" spans="1:22" ht="60">
      <c r="A160" s="446" t="s">
        <v>2721</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2"/>
        <v>Yes</v>
      </c>
      <c r="H160" s="169" t="str">
        <f t="shared" si="93"/>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1</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4"/>
        <v>1</v>
      </c>
      <c r="P160" s="420">
        <f>SUMIF('Diags Raw Data'!$A$6:$A$4699,"*"&amp;$A160&amp;"*",'Diags Raw Data'!$Z$6:$Z$4699)</f>
        <v>0</v>
      </c>
      <c r="Q160" s="421">
        <f>SUM(SUMIF('Diags Raw Data'!$A$6:$A$4699,"*"&amp;$A160&amp;"*",'Diags Raw Data'!$AA$6:$AA$4699),SUMIF('Diags Raw Data'!$A$6:$A$4699,"*"&amp;$A160&amp;"*",'Diags Raw Data'!$AB$6:$AB$4699))</f>
        <v>0</v>
      </c>
      <c r="R160" s="422">
        <f t="shared" si="95"/>
        <v>0</v>
      </c>
      <c r="S160" s="422">
        <f t="shared" si="96"/>
        <v>0</v>
      </c>
      <c r="T160" s="423">
        <f t="shared" si="97"/>
        <v>0</v>
      </c>
      <c r="U160" s="469" t="s">
        <v>2799</v>
      </c>
    </row>
    <row r="161" spans="1:22">
      <c r="A161" s="446" t="s">
        <v>2724</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2"/>
        <v>Yes</v>
      </c>
      <c r="H161" s="169" t="str">
        <f t="shared" si="93"/>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4"/>
        <v>1</v>
      </c>
      <c r="P161" s="420">
        <f>SUMIF('Diags Raw Data'!$A$6:$A$4699,"*"&amp;$A161&amp;"*",'Diags Raw Data'!$Z$6:$Z$4699)</f>
        <v>0</v>
      </c>
      <c r="Q161" s="421">
        <f>SUM(SUMIF('Diags Raw Data'!$A$6:$A$4699,"*"&amp;$A161&amp;"*",'Diags Raw Data'!$AA$6:$AA$4699),SUMIF('Diags Raw Data'!$A$6:$A$4699,"*"&amp;$A161&amp;"*",'Diags Raw Data'!$AB$6:$AB$4699))</f>
        <v>0</v>
      </c>
      <c r="R161" s="422">
        <f t="shared" si="95"/>
        <v>0</v>
      </c>
      <c r="S161" s="422">
        <f t="shared" si="96"/>
        <v>0</v>
      </c>
      <c r="T161" s="423">
        <f t="shared" si="97"/>
        <v>0</v>
      </c>
      <c r="U161" s="469" t="s">
        <v>2800</v>
      </c>
    </row>
    <row r="162" spans="1:22">
      <c r="A162" s="446" t="s">
        <v>2726</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3"/>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4"/>
        <v>0</v>
      </c>
      <c r="P162" s="420">
        <f>SUMIF('Diags Raw Data'!$A$6:$A$4699,"*"&amp;$A162&amp;"*",'Diags Raw Data'!$Z$6:$Z$4699)</f>
        <v>0</v>
      </c>
      <c r="Q162" s="421">
        <f>SUM(SUMIF('Diags Raw Data'!$A$6:$A$4699,"*"&amp;$A162&amp;"*",'Diags Raw Data'!$AA$6:$AA$4699),SUMIF('Diags Raw Data'!$A$6:$A$4699,"*"&amp;$A162&amp;"*",'Diags Raw Data'!$AB$6:$AB$4699))</f>
        <v>0</v>
      </c>
      <c r="R162" s="422">
        <f t="shared" si="95"/>
        <v>0</v>
      </c>
      <c r="S162" s="422">
        <f t="shared" si="96"/>
        <v>0</v>
      </c>
      <c r="T162" s="423">
        <f t="shared" si="97"/>
        <v>0</v>
      </c>
      <c r="U162" s="469" t="s">
        <v>44</v>
      </c>
      <c r="V162" s="171" t="s">
        <v>2668</v>
      </c>
    </row>
    <row r="163" spans="1:22" ht="30">
      <c r="A163" s="446" t="s">
        <v>2731</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2"/>
        <v>No</v>
      </c>
      <c r="H163" s="169" t="str">
        <f t="shared" si="93"/>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4"/>
        <v>0</v>
      </c>
      <c r="P163" s="420">
        <f>SUMIF('Diags Raw Data'!$A$6:$A$4699,"*"&amp;$A163&amp;"*",'Diags Raw Data'!$Z$6:$Z$4699)</f>
        <v>0</v>
      </c>
      <c r="Q163" s="421">
        <f>SUM(SUMIF('Diags Raw Data'!$A$6:$A$4699,"*"&amp;$A163&amp;"*",'Diags Raw Data'!$AA$6:$AA$4699),SUMIF('Diags Raw Data'!$A$6:$A$4699,"*"&amp;$A163&amp;"*",'Diags Raw Data'!$AB$6:$AB$4699))</f>
        <v>0</v>
      </c>
      <c r="R163" s="422">
        <f t="shared" si="95"/>
        <v>0</v>
      </c>
      <c r="S163" s="422">
        <f t="shared" si="96"/>
        <v>0</v>
      </c>
      <c r="T163" s="423">
        <f t="shared" si="97"/>
        <v>0</v>
      </c>
      <c r="U163" s="469" t="s">
        <v>44</v>
      </c>
      <c r="V163" s="171" t="s">
        <v>43</v>
      </c>
    </row>
    <row r="164" spans="1:22" ht="90">
      <c r="A164" s="446" t="s">
        <v>2733</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2"/>
        <v>Yes</v>
      </c>
      <c r="H164" s="169" t="str">
        <f t="shared" si="93"/>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1</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4"/>
        <v>1</v>
      </c>
      <c r="P164" s="420">
        <f>SUMIF('Diags Raw Data'!$A$6:$A$4699,"*"&amp;$A164&amp;"*",'Diags Raw Data'!$Z$6:$Z$4699)</f>
        <v>0</v>
      </c>
      <c r="Q164" s="421">
        <f>SUM(SUMIF('Diags Raw Data'!$A$6:$A$4699,"*"&amp;$A164&amp;"*",'Diags Raw Data'!$AA$6:$AA$4699),SUMIF('Diags Raw Data'!$A$6:$A$4699,"*"&amp;$A164&amp;"*",'Diags Raw Data'!$AB$6:$AB$4699))</f>
        <v>0</v>
      </c>
      <c r="R164" s="422">
        <f t="shared" si="95"/>
        <v>0</v>
      </c>
      <c r="S164" s="422">
        <f t="shared" si="96"/>
        <v>0</v>
      </c>
      <c r="T164" s="423">
        <f t="shared" si="97"/>
        <v>0</v>
      </c>
      <c r="U164" s="469" t="s">
        <v>2802</v>
      </c>
    </row>
    <row r="165" spans="1:22" ht="135">
      <c r="A165" s="446" t="s">
        <v>2735</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2"/>
        <v>Yes</v>
      </c>
      <c r="H165" s="169" t="str">
        <f t="shared" si="93"/>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4"/>
        <v>1</v>
      </c>
      <c r="P165" s="420">
        <f>SUMIF('Diags Raw Data'!$A$6:$A$4699,"*"&amp;$A165&amp;"*",'Diags Raw Data'!$Z$6:$Z$4699)</f>
        <v>0</v>
      </c>
      <c r="Q165" s="421">
        <f>SUM(SUMIF('Diags Raw Data'!$A$6:$A$4699,"*"&amp;$A165&amp;"*",'Diags Raw Data'!$AA$6:$AA$4699),SUMIF('Diags Raw Data'!$A$6:$A$4699,"*"&amp;$A165&amp;"*",'Diags Raw Data'!$AB$6:$AB$4699))</f>
        <v>0</v>
      </c>
      <c r="R165" s="422">
        <f t="shared" si="95"/>
        <v>0</v>
      </c>
      <c r="S165" s="422">
        <f t="shared" si="96"/>
        <v>0</v>
      </c>
      <c r="T165" s="423">
        <f t="shared" si="97"/>
        <v>0</v>
      </c>
      <c r="U165" s="469" t="s">
        <v>2811</v>
      </c>
    </row>
    <row r="166" spans="1:22" ht="45">
      <c r="A166" s="446" t="s">
        <v>2737</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2"/>
        <v>Yes</v>
      </c>
      <c r="H166" s="169" t="str">
        <f t="shared" si="93"/>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4"/>
        <v>1</v>
      </c>
      <c r="P166" s="420">
        <f>SUMIF('Diags Raw Data'!$A$6:$A$4699,"*"&amp;$A166&amp;"*",'Diags Raw Data'!$Z$6:$Z$4699)</f>
        <v>0</v>
      </c>
      <c r="Q166" s="421">
        <f>SUM(SUMIF('Diags Raw Data'!$A$6:$A$4699,"*"&amp;$A166&amp;"*",'Diags Raw Data'!$AA$6:$AA$4699),SUMIF('Diags Raw Data'!$A$6:$A$4699,"*"&amp;$A166&amp;"*",'Diags Raw Data'!$AB$6:$AB$4699))</f>
        <v>0</v>
      </c>
      <c r="R166" s="422">
        <f t="shared" si="95"/>
        <v>0</v>
      </c>
      <c r="S166" s="422">
        <f t="shared" si="96"/>
        <v>0</v>
      </c>
      <c r="T166" s="423">
        <f t="shared" si="97"/>
        <v>0</v>
      </c>
      <c r="U166" s="469" t="s">
        <v>2804</v>
      </c>
    </row>
    <row r="167" spans="1:22" ht="135">
      <c r="A167" s="446" t="s">
        <v>2035</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GMHUB</v>
      </c>
      <c r="F167" s="169" t="str">
        <f>VLOOKUP(A167,'Feature Raw Data'!$A$3:$E$4067,5,FALSE)</f>
        <v>Legacy</v>
      </c>
      <c r="G167" s="169" t="str">
        <f t="shared" si="92"/>
        <v>Yes</v>
      </c>
      <c r="H167" s="169" t="str">
        <f t="shared" si="93"/>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4"/>
        <v>1</v>
      </c>
      <c r="P167" s="420">
        <f>SUMIF('Diags Raw Data'!$A$6:$A$4699,"*"&amp;$A167&amp;"*",'Diags Raw Data'!$Z$6:$Z$4699)</f>
        <v>0</v>
      </c>
      <c r="Q167" s="421">
        <f>SUM(SUMIF('Diags Raw Data'!$A$6:$A$4699,"*"&amp;$A167&amp;"*",'Diags Raw Data'!$AA$6:$AA$4699),SUMIF('Diags Raw Data'!$A$6:$A$4699,"*"&amp;$A167&amp;"*",'Diags Raw Data'!$AB$6:$AB$4699))</f>
        <v>0</v>
      </c>
      <c r="R167" s="422">
        <f t="shared" si="95"/>
        <v>0</v>
      </c>
      <c r="S167" s="422">
        <f t="shared" si="96"/>
        <v>0</v>
      </c>
      <c r="T167" s="423">
        <f t="shared" si="97"/>
        <v>0</v>
      </c>
      <c r="U167" s="469" t="s">
        <v>2811</v>
      </c>
    </row>
    <row r="168" spans="1:22" ht="45">
      <c r="A168" s="446" t="s">
        <v>2740</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2"/>
        <v>Yes</v>
      </c>
      <c r="H168" s="169" t="str">
        <f t="shared" si="93"/>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4"/>
        <v>1</v>
      </c>
      <c r="P168" s="420">
        <f>SUMIF('Diags Raw Data'!$A$6:$A$4699,"*"&amp;$A168&amp;"*",'Diags Raw Data'!$Z$6:$Z$4699)</f>
        <v>0</v>
      </c>
      <c r="Q168" s="421">
        <f>SUM(SUMIF('Diags Raw Data'!$A$6:$A$4699,"*"&amp;$A168&amp;"*",'Diags Raw Data'!$AA$6:$AA$4699),SUMIF('Diags Raw Data'!$A$6:$A$4699,"*"&amp;$A168&amp;"*",'Diags Raw Data'!$AB$6:$AB$4699))</f>
        <v>0</v>
      </c>
      <c r="R168" s="422">
        <f t="shared" si="95"/>
        <v>0</v>
      </c>
      <c r="S168" s="422">
        <f t="shared" si="96"/>
        <v>0</v>
      </c>
      <c r="T168" s="423">
        <f t="shared" si="97"/>
        <v>0</v>
      </c>
      <c r="U168" s="469" t="s">
        <v>2802</v>
      </c>
    </row>
    <row r="169" spans="1:22" ht="150">
      <c r="A169" s="446" t="s">
        <v>1679</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GMHUB</v>
      </c>
      <c r="F169" s="169" t="str">
        <f>VLOOKUP(A169,'Feature Raw Data'!$A$3:$E$4067,5,FALSE)</f>
        <v>Legacy</v>
      </c>
      <c r="G169" s="169" t="str">
        <f t="shared" si="92"/>
        <v>Yes</v>
      </c>
      <c r="H169" s="169" t="str">
        <f t="shared" si="93"/>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4"/>
        <v>1</v>
      </c>
      <c r="P169" s="420">
        <f>SUMIF('Diags Raw Data'!$A$6:$A$4699,"*"&amp;$A169&amp;"*",'Diags Raw Data'!$Z$6:$Z$4699)</f>
        <v>0</v>
      </c>
      <c r="Q169" s="421">
        <f>SUM(SUMIF('Diags Raw Data'!$A$6:$A$4699,"*"&amp;$A169&amp;"*",'Diags Raw Data'!$AA$6:$AA$4699),SUMIF('Diags Raw Data'!$A$6:$A$4699,"*"&amp;$A169&amp;"*",'Diags Raw Data'!$AB$6:$AB$4699))</f>
        <v>0</v>
      </c>
      <c r="R169" s="422">
        <f t="shared" si="95"/>
        <v>0</v>
      </c>
      <c r="S169" s="422">
        <f t="shared" si="96"/>
        <v>0</v>
      </c>
      <c r="T169" s="423">
        <f t="shared" si="97"/>
        <v>0</v>
      </c>
      <c r="U169" s="469" t="s">
        <v>2804</v>
      </c>
    </row>
    <row r="170" spans="1:22" ht="45">
      <c r="A170" s="446" t="s">
        <v>2743</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2"/>
        <v>Yes</v>
      </c>
      <c r="H170" s="169" t="str">
        <f t="shared" si="93"/>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4"/>
        <v>1</v>
      </c>
      <c r="P170" s="420">
        <f>SUMIF('Diags Raw Data'!$A$6:$A$4699,"*"&amp;$A170&amp;"*",'Diags Raw Data'!$Z$6:$Z$4699)</f>
        <v>0</v>
      </c>
      <c r="Q170" s="421">
        <f>SUM(SUMIF('Diags Raw Data'!$A$6:$A$4699,"*"&amp;$A170&amp;"*",'Diags Raw Data'!$AA$6:$AA$4699),SUMIF('Diags Raw Data'!$A$6:$A$4699,"*"&amp;$A170&amp;"*",'Diags Raw Data'!$AB$6:$AB$4699))</f>
        <v>0</v>
      </c>
      <c r="R170" s="422">
        <f t="shared" si="95"/>
        <v>0</v>
      </c>
      <c r="S170" s="422">
        <f t="shared" si="96"/>
        <v>0</v>
      </c>
      <c r="T170" s="423">
        <f t="shared" si="97"/>
        <v>0</v>
      </c>
      <c r="U170" s="469" t="s">
        <v>2802</v>
      </c>
    </row>
    <row r="171" spans="1:22" ht="360">
      <c r="A171" s="446" t="s">
        <v>1893</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GMHUB</v>
      </c>
      <c r="F171" s="169" t="str">
        <f>VLOOKUP(A171,'Feature Raw Data'!$A$3:$E$4067,5,FALSE)</f>
        <v>Legacy</v>
      </c>
      <c r="G171" s="169" t="str">
        <f t="shared" ref="G171:G179" si="98">IF(D171="","No","Yes")</f>
        <v>Yes</v>
      </c>
      <c r="H171" s="169" t="str">
        <f t="shared" ref="H171:H181" si="99">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100">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1">IF((J171=0),0,P171/J171)</f>
        <v>0</v>
      </c>
      <c r="S171" s="422">
        <f t="shared" ref="S171:S181" si="102">IF((P171=0),0,Q171/P171)</f>
        <v>0</v>
      </c>
      <c r="T171" s="423">
        <f t="shared" ref="T171:T181" si="103">R171*S171</f>
        <v>0</v>
      </c>
      <c r="U171" s="469" t="s">
        <v>2811</v>
      </c>
    </row>
    <row r="172" spans="1:22" ht="135">
      <c r="A172" s="446" t="s">
        <v>2748</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8"/>
        <v>Yes</v>
      </c>
      <c r="H172" s="169" t="str">
        <f t="shared" si="99"/>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100"/>
        <v>1</v>
      </c>
      <c r="P172" s="420">
        <f>SUMIF('Diags Raw Data'!$A$6:$A$4699,"*"&amp;$A172&amp;"*",'Diags Raw Data'!$Z$6:$Z$4699)</f>
        <v>0</v>
      </c>
      <c r="Q172" s="421">
        <f>SUM(SUMIF('Diags Raw Data'!$A$6:$A$4699,"*"&amp;$A172&amp;"*",'Diags Raw Data'!$AA$6:$AA$4699),SUMIF('Diags Raw Data'!$A$6:$A$4699,"*"&amp;$A172&amp;"*",'Diags Raw Data'!$AB$6:$AB$4699))</f>
        <v>0</v>
      </c>
      <c r="R172" s="422">
        <f t="shared" si="101"/>
        <v>0</v>
      </c>
      <c r="S172" s="422">
        <f t="shared" si="102"/>
        <v>0</v>
      </c>
      <c r="T172" s="423">
        <f t="shared" si="103"/>
        <v>0</v>
      </c>
      <c r="U172" s="469" t="s">
        <v>2806</v>
      </c>
    </row>
    <row r="173" spans="1:22" ht="105">
      <c r="A173" s="446" t="s">
        <v>2750</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8"/>
        <v>Yes</v>
      </c>
      <c r="H173" s="169" t="str">
        <f t="shared" si="99"/>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100"/>
        <v>1</v>
      </c>
      <c r="P173" s="420">
        <f>SUMIF('Diags Raw Data'!$A$6:$A$4699,"*"&amp;$A173&amp;"*",'Diags Raw Data'!$Z$6:$Z$4699)</f>
        <v>0</v>
      </c>
      <c r="Q173" s="421">
        <f>SUM(SUMIF('Diags Raw Data'!$A$6:$A$4699,"*"&amp;$A173&amp;"*",'Diags Raw Data'!$AA$6:$AA$4699),SUMIF('Diags Raw Data'!$A$6:$A$4699,"*"&amp;$A173&amp;"*",'Diags Raw Data'!$AB$6:$AB$4699))</f>
        <v>0</v>
      </c>
      <c r="R173" s="422">
        <f t="shared" si="101"/>
        <v>0</v>
      </c>
      <c r="S173" s="422">
        <f t="shared" si="102"/>
        <v>0</v>
      </c>
      <c r="T173" s="423">
        <f t="shared" si="103"/>
        <v>0</v>
      </c>
      <c r="U173" s="469" t="s">
        <v>2806</v>
      </c>
    </row>
    <row r="174" spans="1:22" ht="90">
      <c r="A174" s="446" t="s">
        <v>2752</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8"/>
        <v>Yes</v>
      </c>
      <c r="H174" s="169" t="str">
        <f t="shared" si="99"/>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100"/>
        <v>1</v>
      </c>
      <c r="P174" s="420">
        <f>SUMIF('Diags Raw Data'!$A$6:$A$4699,"*"&amp;$A174&amp;"*",'Diags Raw Data'!$Z$6:$Z$4699)</f>
        <v>0</v>
      </c>
      <c r="Q174" s="421">
        <f>SUM(SUMIF('Diags Raw Data'!$A$6:$A$4699,"*"&amp;$A174&amp;"*",'Diags Raw Data'!$AA$6:$AA$4699),SUMIF('Diags Raw Data'!$A$6:$A$4699,"*"&amp;$A174&amp;"*",'Diags Raw Data'!$AB$6:$AB$4699))</f>
        <v>0</v>
      </c>
      <c r="R174" s="422">
        <f t="shared" si="101"/>
        <v>0</v>
      </c>
      <c r="S174" s="422">
        <f t="shared" si="102"/>
        <v>0</v>
      </c>
      <c r="T174" s="423">
        <f t="shared" si="103"/>
        <v>0</v>
      </c>
      <c r="U174" s="469" t="s">
        <v>2806</v>
      </c>
    </row>
    <row r="175" spans="1:22" ht="30">
      <c r="A175" s="446" t="s">
        <v>2754</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8"/>
        <v>No</v>
      </c>
      <c r="H175" s="169" t="str">
        <f t="shared" si="99"/>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100"/>
        <v>0</v>
      </c>
      <c r="P175" s="420">
        <f>SUMIF('Diags Raw Data'!$A$6:$A$4699,"*"&amp;$A175&amp;"*",'Diags Raw Data'!$Z$6:$Z$4699)</f>
        <v>0</v>
      </c>
      <c r="Q175" s="421">
        <f>SUM(SUMIF('Diags Raw Data'!$A$6:$A$4699,"*"&amp;$A175&amp;"*",'Diags Raw Data'!$AA$6:$AA$4699),SUMIF('Diags Raw Data'!$A$6:$A$4699,"*"&amp;$A175&amp;"*",'Diags Raw Data'!$AB$6:$AB$4699))</f>
        <v>0</v>
      </c>
      <c r="R175" s="422">
        <f t="shared" si="101"/>
        <v>0</v>
      </c>
      <c r="S175" s="422">
        <f t="shared" si="102"/>
        <v>0</v>
      </c>
      <c r="T175" s="423">
        <f t="shared" si="103"/>
        <v>0</v>
      </c>
      <c r="U175" s="469" t="s">
        <v>44</v>
      </c>
      <c r="V175" s="171" t="s">
        <v>43</v>
      </c>
    </row>
    <row r="176" spans="1:22" ht="120">
      <c r="A176" s="446" t="s">
        <v>1876</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GMHUB</v>
      </c>
      <c r="F176" s="169" t="str">
        <f>VLOOKUP(A176,'Feature Raw Data'!$A$3:$E$4067,5,FALSE)</f>
        <v>Legacy</v>
      </c>
      <c r="G176" s="169" t="str">
        <f t="shared" ref="G176" si="104">IF(D176="","No","Yes")</f>
        <v>Yes</v>
      </c>
      <c r="H176" s="169" t="str">
        <f t="shared" ref="H176" si="105">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1</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6">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7">IF((J176=0),0,P176/J176)</f>
        <v>0</v>
      </c>
      <c r="S176" s="422">
        <f t="shared" ref="S176" si="108">IF((P176=0),0,Q176/P176)</f>
        <v>0</v>
      </c>
      <c r="T176" s="423">
        <f t="shared" ref="T176" si="109">R176*S176</f>
        <v>0</v>
      </c>
      <c r="U176" s="469" t="s">
        <v>2799</v>
      </c>
    </row>
    <row r="177" spans="1:22" ht="30">
      <c r="A177" s="446" t="s">
        <v>2757</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10">IF(D177="","No","Yes")</f>
        <v>No</v>
      </c>
      <c r="H177" s="169" t="str">
        <f t="shared" ref="H177:H178" si="111">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2">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3">IF((J177=0),0,P177/J177)</f>
        <v>0</v>
      </c>
      <c r="S177" s="422">
        <f t="shared" ref="S177:S178" si="114">IF((P177=0),0,Q177/P177)</f>
        <v>0</v>
      </c>
      <c r="T177" s="423">
        <f t="shared" ref="T177:T178" si="115">R177*S177</f>
        <v>0</v>
      </c>
      <c r="U177" s="469" t="s">
        <v>44</v>
      </c>
      <c r="V177" s="171" t="s">
        <v>43</v>
      </c>
    </row>
    <row r="178" spans="1:22" ht="30">
      <c r="A178" s="446" t="s">
        <v>2759</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10"/>
        <v>No</v>
      </c>
      <c r="H178" s="169" t="str">
        <f t="shared" si="111"/>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2"/>
        <v>0</v>
      </c>
      <c r="P178" s="420">
        <f>SUMIF('Diags Raw Data'!$A$6:$A$4699,"*"&amp;$A178&amp;"*",'Diags Raw Data'!$Z$6:$Z$4699)</f>
        <v>0</v>
      </c>
      <c r="Q178" s="421">
        <f>SUM(SUMIF('Diags Raw Data'!$A$6:$A$4699,"*"&amp;$A178&amp;"*",'Diags Raw Data'!$AA$6:$AA$4699),SUMIF('Diags Raw Data'!$A$6:$A$4699,"*"&amp;$A178&amp;"*",'Diags Raw Data'!$AB$6:$AB$4699))</f>
        <v>0</v>
      </c>
      <c r="R178" s="422">
        <f t="shared" si="113"/>
        <v>0</v>
      </c>
      <c r="S178" s="422">
        <f t="shared" si="114"/>
        <v>0</v>
      </c>
      <c r="T178" s="423">
        <f t="shared" si="115"/>
        <v>0</v>
      </c>
      <c r="U178" s="469" t="s">
        <v>44</v>
      </c>
      <c r="V178" s="171" t="s">
        <v>43</v>
      </c>
    </row>
    <row r="179" spans="1:22">
      <c r="A179" s="446" t="s">
        <v>2778</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8"/>
        <v>No</v>
      </c>
      <c r="H179" s="169" t="str">
        <f t="shared" si="99"/>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100"/>
        <v>0</v>
      </c>
      <c r="P179" s="420">
        <f>SUMIF('Diags Raw Data'!$A$6:$A$4699,"*"&amp;$A179&amp;"*",'Diags Raw Data'!$Z$6:$Z$4699)</f>
        <v>0</v>
      </c>
      <c r="Q179" s="421">
        <f>SUM(SUMIF('Diags Raw Data'!$A$6:$A$4699,"*"&amp;$A179&amp;"*",'Diags Raw Data'!$AA$6:$AA$4699),SUMIF('Diags Raw Data'!$A$6:$A$4699,"*"&amp;$A179&amp;"*",'Diags Raw Data'!$AB$6:$AB$4699))</f>
        <v>0</v>
      </c>
      <c r="R179" s="422">
        <f t="shared" si="101"/>
        <v>0</v>
      </c>
      <c r="S179" s="422">
        <f t="shared" si="102"/>
        <v>0</v>
      </c>
      <c r="T179" s="423">
        <f t="shared" si="103"/>
        <v>0</v>
      </c>
      <c r="U179" s="469" t="s">
        <v>44</v>
      </c>
      <c r="V179" s="171" t="s">
        <v>43</v>
      </c>
    </row>
    <row r="180" spans="1:22">
      <c r="A180" s="446" t="s">
        <v>2780</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9"/>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100"/>
        <v>0</v>
      </c>
      <c r="P180" s="420">
        <f>SUMIF('Diags Raw Data'!$A$6:$A$4699,"*"&amp;$A180&amp;"*",'Diags Raw Data'!$Z$6:$Z$4699)</f>
        <v>0</v>
      </c>
      <c r="Q180" s="421">
        <f>SUM(SUMIF('Diags Raw Data'!$A$6:$A$4699,"*"&amp;$A180&amp;"*",'Diags Raw Data'!$AA$6:$AA$4699),SUMIF('Diags Raw Data'!$A$6:$A$4699,"*"&amp;$A180&amp;"*",'Diags Raw Data'!$AB$6:$AB$4699))</f>
        <v>0</v>
      </c>
      <c r="R180" s="422">
        <f t="shared" si="101"/>
        <v>0</v>
      </c>
      <c r="S180" s="422">
        <f t="shared" si="102"/>
        <v>0</v>
      </c>
      <c r="T180" s="423">
        <f t="shared" si="103"/>
        <v>0</v>
      </c>
      <c r="U180" s="469" t="s">
        <v>44</v>
      </c>
      <c r="V180" s="171" t="s">
        <v>43</v>
      </c>
    </row>
    <row r="181" spans="1:22">
      <c r="A181" s="446" t="s">
        <v>2786</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9"/>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100"/>
        <v>0</v>
      </c>
      <c r="P181" s="420">
        <f>SUMIF('Diags Raw Data'!$A$6:$A$4699,"*"&amp;$A181&amp;"*",'Diags Raw Data'!$Z$6:$Z$4699)</f>
        <v>0</v>
      </c>
      <c r="Q181" s="421">
        <f>SUM(SUMIF('Diags Raw Data'!$A$6:$A$4699,"*"&amp;$A181&amp;"*",'Diags Raw Data'!$AA$6:$AA$4699),SUMIF('Diags Raw Data'!$A$6:$A$4699,"*"&amp;$A181&amp;"*",'Diags Raw Data'!$AB$6:$AB$4699))</f>
        <v>0</v>
      </c>
      <c r="R181" s="422">
        <f t="shared" si="101"/>
        <v>0</v>
      </c>
      <c r="S181" s="422">
        <f t="shared" si="102"/>
        <v>0</v>
      </c>
      <c r="T181" s="423">
        <f t="shared" si="103"/>
        <v>0</v>
      </c>
      <c r="U181" s="469" t="s">
        <v>44</v>
      </c>
      <c r="V181" s="171" t="s">
        <v>43</v>
      </c>
    </row>
    <row r="182" spans="1:22">
      <c r="A182" s="446" t="s">
        <v>2788</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6">IF(D182="","No","Yes")</f>
        <v>No</v>
      </c>
      <c r="H182" s="169" t="str">
        <f t="shared" ref="H182" si="117">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8">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9">IF((J182=0),0,P182/J182)</f>
        <v>0</v>
      </c>
      <c r="S182" s="422">
        <f t="shared" ref="S182" si="120">IF((P182=0),0,Q182/P182)</f>
        <v>0</v>
      </c>
      <c r="T182" s="423">
        <f t="shared" ref="T182" si="121">R182*S182</f>
        <v>0</v>
      </c>
      <c r="U182" s="469" t="s">
        <v>44</v>
      </c>
      <c r="V182" s="171" t="s">
        <v>43</v>
      </c>
    </row>
    <row r="183" spans="1:22" ht="18.75">
      <c r="A183" s="763" t="s">
        <v>252</v>
      </c>
      <c r="B183" s="764"/>
      <c r="C183" s="764"/>
      <c r="D183" s="764"/>
      <c r="E183" s="764"/>
      <c r="F183" s="765"/>
      <c r="G183" s="629">
        <f>COUNTIF(G7:G182,"Yes")</f>
        <v>135</v>
      </c>
      <c r="H183" s="629">
        <f>COUNTIF(H7:H182,"Yes")</f>
        <v>133</v>
      </c>
      <c r="I183" s="769">
        <f>'Diags Raw Data'!K1089</f>
        <v>639</v>
      </c>
      <c r="J183" s="769">
        <f>'Diags Raw Data'!L1089</f>
        <v>1157</v>
      </c>
      <c r="K183" s="771">
        <f>'Diags Raw Data'!N1089</f>
        <v>1</v>
      </c>
      <c r="L183" s="771">
        <f>'Diags Raw Data'!P1089</f>
        <v>1</v>
      </c>
      <c r="M183" s="779">
        <f>'Diags Raw Data'!R1089</f>
        <v>1156</v>
      </c>
      <c r="N183" s="779">
        <f>SUM('Diags Raw Data'!T1089+'Diags Raw Data'!U1089)</f>
        <v>1156</v>
      </c>
      <c r="O183" s="781">
        <f>IF((M183=0),0,N183/M183)</f>
        <v>1</v>
      </c>
      <c r="P183" s="783">
        <f>'Diags Raw Data'!Z1089</f>
        <v>0</v>
      </c>
      <c r="Q183" s="783">
        <f>SUM('Diags Raw Data'!AA1089+'Diags Raw Data'!AB1089)</f>
        <v>0</v>
      </c>
      <c r="R183" s="773">
        <f>IF((J183=0),0,P183/J183)</f>
        <v>0</v>
      </c>
      <c r="S183" s="773">
        <f>IF((P183=0),0,Q183/P183)</f>
        <v>0</v>
      </c>
      <c r="T183" s="775">
        <f>R183*S183</f>
        <v>0</v>
      </c>
      <c r="U183" s="777"/>
    </row>
    <row r="184" spans="1:22" ht="18.75">
      <c r="A184" s="766"/>
      <c r="B184" s="767"/>
      <c r="C184" s="767"/>
      <c r="D184" s="767"/>
      <c r="E184" s="767"/>
      <c r="F184" s="768"/>
      <c r="G184" s="629">
        <f>COUNTIF(G7:G182,"Yes")/COUNTA(A7:A182)</f>
        <v>0.76704545454545459</v>
      </c>
      <c r="H184" s="629">
        <f>(COUNTIF(H7:H182,"Yes")/G183)</f>
        <v>0.98518518518518516</v>
      </c>
      <c r="I184" s="770"/>
      <c r="J184" s="770"/>
      <c r="K184" s="772"/>
      <c r="L184" s="772"/>
      <c r="M184" s="780"/>
      <c r="N184" s="780"/>
      <c r="O184" s="782"/>
      <c r="P184" s="784"/>
      <c r="Q184" s="784"/>
      <c r="R184" s="774"/>
      <c r="S184" s="774"/>
      <c r="T184" s="776"/>
      <c r="U184" s="778"/>
    </row>
  </sheetData>
  <sheetProtection insertColumns="0" insertRows="0" deleteRows="0" sort="0"/>
  <autoFilter ref="A6:U184" xr:uid="{00000000-0009-0000-0000-000004000000}"/>
  <mergeCells count="34">
    <mergeCell ref="R183:R184"/>
    <mergeCell ref="S183:S184"/>
    <mergeCell ref="T183:T184"/>
    <mergeCell ref="U183:U184"/>
    <mergeCell ref="M183:M184"/>
    <mergeCell ref="N183:N184"/>
    <mergeCell ref="O183:O184"/>
    <mergeCell ref="P183:P184"/>
    <mergeCell ref="Q183:Q184"/>
    <mergeCell ref="A183:F184"/>
    <mergeCell ref="I183:I184"/>
    <mergeCell ref="J183:J184"/>
    <mergeCell ref="K183:K184"/>
    <mergeCell ref="L183:L184"/>
    <mergeCell ref="K5:L5"/>
    <mergeCell ref="A5:J5"/>
    <mergeCell ref="M5:O5"/>
    <mergeCell ref="P5:U5"/>
    <mergeCell ref="A4:U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c r="A1" s="34"/>
      <c r="B1" s="36" t="s">
        <v>2812</v>
      </c>
      <c r="C1" s="36" t="s">
        <v>2813</v>
      </c>
      <c r="D1" s="36" t="s">
        <v>2814</v>
      </c>
      <c r="E1" s="36" t="s">
        <v>2815</v>
      </c>
      <c r="F1" s="36" t="s">
        <v>2816</v>
      </c>
      <c r="G1" s="37" t="s">
        <v>2817</v>
      </c>
      <c r="H1" s="12"/>
      <c r="I1" s="12"/>
      <c r="J1" s="12"/>
      <c r="K1" s="12"/>
      <c r="L1" s="13"/>
      <c r="M1" s="1"/>
      <c r="N1" s="11"/>
      <c r="X1" s="11"/>
      <c r="AB1" s="785" t="s">
        <v>2818</v>
      </c>
      <c r="AM1" s="785" t="s">
        <v>2819</v>
      </c>
    </row>
    <row r="2" spans="1:40" s="14" customFormat="1" ht="12">
      <c r="A2" s="35" t="s">
        <v>2820</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87" t="s">
        <v>2821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88"/>
      <c r="B5" s="47" t="s">
        <v>2822</v>
      </c>
      <c r="C5" s="47" t="s">
        <v>2823</v>
      </c>
      <c r="D5" s="47" t="s">
        <v>2824</v>
      </c>
      <c r="E5" s="47" t="s">
        <v>2825</v>
      </c>
      <c r="F5" s="47" t="s">
        <v>2826</v>
      </c>
      <c r="G5" s="47" t="s">
        <v>2827</v>
      </c>
      <c r="H5" s="47" t="s">
        <v>2828</v>
      </c>
      <c r="I5" s="47" t="s">
        <v>2829</v>
      </c>
      <c r="J5" s="47" t="s">
        <v>2830</v>
      </c>
      <c r="K5" s="47" t="s">
        <v>2831</v>
      </c>
      <c r="L5" s="47" t="s">
        <v>2832</v>
      </c>
      <c r="M5" s="47" t="s">
        <v>2833</v>
      </c>
      <c r="N5" s="47" t="s">
        <v>2834</v>
      </c>
      <c r="O5" s="47" t="s">
        <v>2835</v>
      </c>
      <c r="P5" s="47" t="s">
        <v>2836</v>
      </c>
      <c r="Q5" s="47" t="s">
        <v>2837</v>
      </c>
      <c r="R5" s="47" t="s">
        <v>2838</v>
      </c>
      <c r="S5" s="47" t="s">
        <v>2839</v>
      </c>
      <c r="T5" s="47" t="s">
        <v>2840</v>
      </c>
      <c r="U5" s="47" t="s">
        <v>2841</v>
      </c>
      <c r="V5" s="47" t="s">
        <v>2842</v>
      </c>
      <c r="W5" s="47" t="s">
        <v>2843</v>
      </c>
      <c r="X5" s="47" t="s">
        <v>2844</v>
      </c>
      <c r="Y5" s="47" t="s">
        <v>2845</v>
      </c>
      <c r="Z5" s="47" t="s">
        <v>2846</v>
      </c>
      <c r="AA5" s="47" t="s">
        <v>2847</v>
      </c>
      <c r="AB5" s="47" t="s">
        <v>2848</v>
      </c>
      <c r="AC5" s="47" t="s">
        <v>2849</v>
      </c>
      <c r="AD5" s="47" t="s">
        <v>2850</v>
      </c>
      <c r="AE5" s="47" t="s">
        <v>2851</v>
      </c>
      <c r="AF5" s="47" t="s">
        <v>2852</v>
      </c>
      <c r="AG5" s="47" t="s">
        <v>2853</v>
      </c>
      <c r="AH5" s="47" t="s">
        <v>2854</v>
      </c>
      <c r="AI5" s="47" t="s">
        <v>2855</v>
      </c>
      <c r="AJ5" s="47" t="s">
        <v>2856</v>
      </c>
      <c r="AK5" s="47" t="s">
        <v>2857</v>
      </c>
      <c r="AL5" s="66" t="s">
        <v>2858</v>
      </c>
      <c r="AM5" s="65" t="s">
        <v>2859</v>
      </c>
      <c r="AN5" s="50"/>
    </row>
    <row r="6" spans="1:40" ht="12">
      <c r="A6" s="48" t="s">
        <v>2860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2861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87" t="s">
        <v>2862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89"/>
      <c r="B10" s="32" t="s">
        <v>2822</v>
      </c>
      <c r="C10" s="32" t="s">
        <v>2823</v>
      </c>
      <c r="D10" s="32" t="s">
        <v>2824</v>
      </c>
      <c r="E10" s="32" t="s">
        <v>2825</v>
      </c>
      <c r="F10" s="32" t="s">
        <v>2826</v>
      </c>
      <c r="G10" s="32" t="s">
        <v>2827</v>
      </c>
      <c r="H10" s="32" t="s">
        <v>2828</v>
      </c>
      <c r="I10" s="32" t="s">
        <v>2829</v>
      </c>
      <c r="J10" s="32" t="s">
        <v>2830</v>
      </c>
      <c r="K10" s="32" t="s">
        <v>2831</v>
      </c>
      <c r="L10" s="32" t="s">
        <v>2832</v>
      </c>
      <c r="M10" s="32" t="s">
        <v>2833</v>
      </c>
      <c r="N10" s="32" t="s">
        <v>2834</v>
      </c>
      <c r="O10" s="32" t="s">
        <v>2835</v>
      </c>
      <c r="P10" s="32" t="s">
        <v>2836</v>
      </c>
      <c r="Q10" s="32" t="s">
        <v>2837</v>
      </c>
      <c r="R10" s="32" t="s">
        <v>2838</v>
      </c>
      <c r="S10" s="32" t="s">
        <v>2839</v>
      </c>
      <c r="T10" s="32" t="s">
        <v>2840</v>
      </c>
      <c r="U10" s="32" t="s">
        <v>2841</v>
      </c>
      <c r="V10" s="32" t="s">
        <v>2842</v>
      </c>
      <c r="W10" s="32" t="s">
        <v>2843</v>
      </c>
      <c r="X10" s="32" t="s">
        <v>2844</v>
      </c>
      <c r="Y10" s="32" t="s">
        <v>2845</v>
      </c>
      <c r="Z10" s="32" t="s">
        <v>2846</v>
      </c>
      <c r="AA10" s="32" t="s">
        <v>2847</v>
      </c>
      <c r="AB10" s="32" t="s">
        <v>2848</v>
      </c>
      <c r="AC10" s="32" t="s">
        <v>2849</v>
      </c>
      <c r="AD10" s="32" t="s">
        <v>2850</v>
      </c>
      <c r="AE10" s="32" t="s">
        <v>2851</v>
      </c>
      <c r="AF10" s="32" t="s">
        <v>2852</v>
      </c>
      <c r="AG10" s="32" t="s">
        <v>2853</v>
      </c>
      <c r="AH10" s="32" t="s">
        <v>2854</v>
      </c>
      <c r="AI10" s="32" t="s">
        <v>2855</v>
      </c>
      <c r="AJ10" s="64" t="s">
        <v>2856</v>
      </c>
      <c r="AK10" s="63" t="s">
        <v>2857</v>
      </c>
      <c r="AL10" s="47" t="s">
        <v>2858</v>
      </c>
      <c r="AM10" s="72" t="s">
        <v>2859</v>
      </c>
      <c r="AN10" s="68"/>
    </row>
    <row r="11" spans="1:40">
      <c r="A11" s="42" t="s">
        <v>2860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2861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2863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2864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xr3:uid="{85D5C41F-068E-5C55-9968-509E7C2A5619}">
      <selection activeCell="C9" sqref="C9"/>
    </sheetView>
  </sheetViews>
  <sheetFormatPr defaultColWidth="15" defaultRowHeight="12.75"/>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c r="A1" s="149" t="s">
        <v>2865</v>
      </c>
      <c r="B1" s="150" t="s">
        <v>2866</v>
      </c>
      <c r="C1" s="151" t="s">
        <v>2867</v>
      </c>
      <c r="D1" s="151" t="s">
        <v>2868</v>
      </c>
      <c r="E1" s="151" t="s">
        <v>2869</v>
      </c>
      <c r="F1" s="151" t="s">
        <v>2870</v>
      </c>
      <c r="G1" s="151" t="s">
        <v>2871</v>
      </c>
      <c r="H1" s="151" t="s">
        <v>2872</v>
      </c>
      <c r="I1" s="151" t="s">
        <v>2873</v>
      </c>
      <c r="J1" s="151" t="s">
        <v>2874</v>
      </c>
      <c r="K1" s="151" t="s">
        <v>2875</v>
      </c>
      <c r="L1" s="151" t="s">
        <v>2876</v>
      </c>
      <c r="M1" s="151" t="s">
        <v>2877</v>
      </c>
      <c r="N1" s="151" t="s">
        <v>2878</v>
      </c>
      <c r="O1" s="151" t="s">
        <v>2879</v>
      </c>
      <c r="P1" s="151" t="s">
        <v>2880</v>
      </c>
      <c r="Q1" s="151" t="s">
        <v>2881</v>
      </c>
      <c r="R1" s="151" t="s">
        <v>2882</v>
      </c>
      <c r="S1" s="151" t="s">
        <v>2883</v>
      </c>
      <c r="T1" s="151" t="s">
        <v>2884</v>
      </c>
      <c r="U1" s="151" t="s">
        <v>2885</v>
      </c>
      <c r="V1" s="151" t="s">
        <v>2886</v>
      </c>
      <c r="W1" s="151" t="s">
        <v>2887</v>
      </c>
      <c r="X1" s="151" t="s">
        <v>2888</v>
      </c>
      <c r="Y1" s="151" t="s">
        <v>2889</v>
      </c>
      <c r="Z1" s="151" t="s">
        <v>2890</v>
      </c>
      <c r="AA1" s="151" t="s">
        <v>2891</v>
      </c>
      <c r="AB1" s="151" t="s">
        <v>2892</v>
      </c>
      <c r="AC1" s="151" t="s">
        <v>2893</v>
      </c>
      <c r="AD1" s="151" t="s">
        <v>2894</v>
      </c>
      <c r="AE1" s="151" t="s">
        <v>2895</v>
      </c>
      <c r="AF1" s="151" t="s">
        <v>2896</v>
      </c>
      <c r="AG1" s="151" t="s">
        <v>2897</v>
      </c>
      <c r="AH1" s="151" t="s">
        <v>2898</v>
      </c>
      <c r="AI1" s="151" t="s">
        <v>2899</v>
      </c>
      <c r="AJ1" s="151" t="s">
        <v>2900</v>
      </c>
      <c r="AK1" s="151" t="s">
        <v>2901</v>
      </c>
      <c r="AL1" s="151" t="s">
        <v>2902</v>
      </c>
      <c r="AM1" s="151" t="s">
        <v>2903</v>
      </c>
      <c r="AN1" s="151" t="s">
        <v>2904</v>
      </c>
      <c r="AO1" s="151" t="s">
        <v>2905</v>
      </c>
      <c r="AP1" s="151" t="s">
        <v>2906</v>
      </c>
      <c r="AQ1" s="151" t="s">
        <v>2907</v>
      </c>
      <c r="AR1" s="151" t="s">
        <v>2908</v>
      </c>
      <c r="AS1" s="151" t="s">
        <v>2909</v>
      </c>
      <c r="AT1" s="151" t="s">
        <v>2910</v>
      </c>
      <c r="AU1" s="151" t="s">
        <v>2911</v>
      </c>
      <c r="AV1" s="151" t="s">
        <v>2912</v>
      </c>
      <c r="AW1" s="151" t="s">
        <v>2913</v>
      </c>
      <c r="AX1" s="151" t="s">
        <v>2914</v>
      </c>
      <c r="AY1" s="151" t="s">
        <v>2915</v>
      </c>
      <c r="AZ1" s="151" t="s">
        <v>2916</v>
      </c>
      <c r="BA1" s="151" t="s">
        <v>2917</v>
      </c>
      <c r="BB1" s="152" t="s">
        <v>2918</v>
      </c>
    </row>
    <row r="2" spans="1:54" s="134" customFormat="1">
      <c r="A2" s="146" t="s">
        <v>2861</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c r="A3" s="143" t="s">
        <v>2864</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c r="A5" s="153" t="s">
        <v>2862</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2861</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2863</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xr3:uid="{64BC319D-C488-5139-9AC9-898488EE1BC5}">
      <selection activeCell="F10" sqref="F10"/>
    </sheetView>
  </sheetViews>
  <sheetFormatPr defaultColWidth="8.7109375" defaultRowHeight="15"/>
  <cols>
    <col min="1" max="1" width="18.7109375" customWidth="1"/>
  </cols>
  <sheetData>
    <row r="1" spans="1:9">
      <c r="B1" s="575" t="s">
        <v>2919</v>
      </c>
    </row>
    <row r="3" spans="1:9">
      <c r="A3" s="22"/>
      <c r="B3" s="576" t="s">
        <v>2920</v>
      </c>
      <c r="C3" s="576" t="s">
        <v>655</v>
      </c>
      <c r="D3" s="576" t="s">
        <v>444</v>
      </c>
      <c r="E3" s="576" t="s">
        <v>2921</v>
      </c>
      <c r="F3" s="576" t="s">
        <v>2922</v>
      </c>
      <c r="G3" s="576" t="s">
        <v>354</v>
      </c>
      <c r="H3" s="576" t="s">
        <v>260</v>
      </c>
      <c r="I3" s="576" t="s">
        <v>2923</v>
      </c>
    </row>
    <row r="4" spans="1:9">
      <c r="A4" s="576" t="s">
        <v>2924</v>
      </c>
      <c r="B4" s="208">
        <f>SUMIFS('Diags Raw Data'!$L$6:$L$4944,'Diags Raw Data'!$C$6:$C$4944,B3)</f>
        <v>0</v>
      </c>
      <c r="C4" s="208">
        <f>SUMIFS('Diags Raw Data'!$L$6:$L$4944,'Diags Raw Data'!$C$6:$C$4944,C3)</f>
        <v>199</v>
      </c>
      <c r="D4" s="208">
        <f>SUMIFS('Diags Raw Data'!$L$6:$L$4944,'Diags Raw Data'!$C$6:$C$4944,D3)</f>
        <v>270</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ColWidth="8.7109375" defaultRowHeight="15"/>
  <cols>
    <col min="1" max="2" width="13.28515625" bestFit="1" customWidth="1"/>
    <col min="4" max="4" width="9.28515625" style="130"/>
  </cols>
  <sheetData>
    <row r="3" spans="1:5">
      <c r="A3" s="129" t="s">
        <v>2925</v>
      </c>
      <c r="B3" s="129" t="s">
        <v>2926</v>
      </c>
      <c r="C3" s="129"/>
      <c r="D3" s="192"/>
      <c r="E3" s="129"/>
    </row>
    <row r="4" spans="1:5">
      <c r="A4" s="79" t="s">
        <v>44</v>
      </c>
      <c r="B4">
        <v>0</v>
      </c>
    </row>
    <row r="5" spans="1:5">
      <c r="A5" s="79" t="s">
        <v>2927</v>
      </c>
      <c r="B5">
        <v>85</v>
      </c>
      <c r="D5" s="130">
        <f>GETPIVOTDATA("#Tests",$A$3,"ETA","wk-1")/GETPIVOTDATA("#Tests",$A$3)</f>
        <v>0.17</v>
      </c>
      <c r="E5" s="131">
        <f>D5</f>
        <v>0.17</v>
      </c>
    </row>
    <row r="6" spans="1:5">
      <c r="A6" s="79" t="s">
        <v>2928</v>
      </c>
      <c r="B6">
        <v>48</v>
      </c>
      <c r="D6" s="130">
        <f>GETPIVOTDATA("#Tests",$A$3,"ETA","wk-2")/GETPIVOTDATA("#Tests",$A$3)</f>
        <v>9.6000000000000002E-2</v>
      </c>
      <c r="E6" s="131">
        <f t="shared" ref="E6:E12" si="0">E5+D6</f>
        <v>0.26600000000000001</v>
      </c>
    </row>
    <row r="7" spans="1:5">
      <c r="A7" s="79" t="s">
        <v>2929</v>
      </c>
      <c r="B7">
        <v>96</v>
      </c>
      <c r="D7" s="130">
        <f>GETPIVOTDATA("#Tests",$A$3,"ETA","wk-3")/GETPIVOTDATA("#Tests",$A$3)</f>
        <v>0.192</v>
      </c>
      <c r="E7" s="131">
        <f t="shared" si="0"/>
        <v>0.45800000000000002</v>
      </c>
    </row>
    <row r="8" spans="1:5">
      <c r="A8" s="79" t="s">
        <v>2930</v>
      </c>
      <c r="B8">
        <v>79</v>
      </c>
      <c r="D8" s="130">
        <f>GETPIVOTDATA("#Tests",$A$3,"ETA","wk-4")/GETPIVOTDATA("#Tests",$A$3)</f>
        <v>0.158</v>
      </c>
      <c r="E8" s="131">
        <f t="shared" si="0"/>
        <v>0.61599999999999999</v>
      </c>
    </row>
    <row r="9" spans="1:5">
      <c r="A9" s="79" t="s">
        <v>2931</v>
      </c>
      <c r="B9">
        <v>82</v>
      </c>
      <c r="D9" s="130">
        <f>GETPIVOTDATA("#Tests",$A$3,"ETA","wk-5")/GETPIVOTDATA("#Tests",$A$3)</f>
        <v>0.16400000000000001</v>
      </c>
      <c r="E9" s="131">
        <f t="shared" si="0"/>
        <v>0.78</v>
      </c>
    </row>
    <row r="10" spans="1:5">
      <c r="A10" s="79" t="s">
        <v>2932</v>
      </c>
      <c r="B10">
        <v>60</v>
      </c>
      <c r="D10" s="130">
        <f>GETPIVOTDATA("#Tests",$A$3,"ETA","wk-6")/GETPIVOTDATA("#Tests",$A$3)</f>
        <v>0.12</v>
      </c>
      <c r="E10" s="131">
        <f t="shared" si="0"/>
        <v>0.9</v>
      </c>
    </row>
    <row r="11" spans="1:5">
      <c r="A11" s="79" t="s">
        <v>2933</v>
      </c>
      <c r="B11">
        <v>30</v>
      </c>
      <c r="D11" s="130">
        <f>GETPIVOTDATA("#Tests",$A$3,"ETA","wk-7")/GETPIVOTDATA("#Tests",$A$3)</f>
        <v>0.06</v>
      </c>
      <c r="E11" s="131">
        <f t="shared" si="0"/>
        <v>0.96</v>
      </c>
    </row>
    <row r="12" spans="1:5">
      <c r="A12" s="79" t="s">
        <v>2934</v>
      </c>
      <c r="B12">
        <v>20</v>
      </c>
      <c r="D12" s="130">
        <f>GETPIVOTDATA("#Tests",$A$3,"ETA","wk-8")/GETPIVOTDATA("#Tests",$A$3)</f>
        <v>0.04</v>
      </c>
      <c r="E12" s="131">
        <f t="shared" si="0"/>
        <v>1</v>
      </c>
    </row>
    <row r="13" spans="1:5">
      <c r="A13" s="79" t="s">
        <v>2286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1DE80D61-2BBD-4FBA-A769-145B40154C7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Yao, Albert</cp:lastModifiedBy>
  <cp:revision/>
  <dcterms:created xsi:type="dcterms:W3CDTF">2013-03-11T21:33:52Z</dcterms:created>
  <dcterms:modified xsi:type="dcterms:W3CDTF">2024-01-15T08:42:37Z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